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mc:AlternateContent xmlns:mc="http://schemas.openxmlformats.org/markup-compatibility/2006">
    <mc:Choice Requires="x15">
      <x15ac:absPath xmlns:x15ac="http://schemas.microsoft.com/office/spreadsheetml/2010/11/ac" url="/Users/jomipujol/Desktop/PER_JOMI/HATCH.MON/"/>
    </mc:Choice>
  </mc:AlternateContent>
  <xr:revisionPtr revIDLastSave="0" documentId="13_ncr:1_{D03842D9-BE74-6C48-B2AF-4405D675F776}" xr6:coauthVersionLast="47" xr6:coauthVersionMax="47" xr10:uidLastSave="{00000000-0000-0000-0000-000000000000}"/>
  <bookViews>
    <workbookView xWindow="0" yWindow="660" windowWidth="29400" windowHeight="16900" tabRatio="797" activeTab="7" xr2:uid="{00000000-000D-0000-FFFF-FFFF00000000}"/>
  </bookViews>
  <sheets>
    <sheet name="pokemon" sheetId="1" state="hidden" r:id="rId1"/>
    <sheet name="PKMN BULBAP" sheetId="36" state="hidden" r:id="rId2"/>
    <sheet name="Evolution Special" sheetId="24" state="hidden" r:id="rId3"/>
    <sheet name="Breed" sheetId="26" state="hidden" r:id="rId4"/>
    <sheet name="Pokemon Db" sheetId="2" state="hidden" r:id="rId5"/>
    <sheet name="Analisis lideres" sheetId="19" state="hidden" r:id="rId6"/>
    <sheet name="Pokemon Data" sheetId="25" state="hidden" r:id="rId7"/>
    <sheet name="Hatch" sheetId="52" r:id="rId8"/>
    <sheet name="Hoja3" sheetId="54" state="hidden" r:id="rId9"/>
    <sheet name="LP Cost x Team" sheetId="51" state="hidden" r:id="rId10"/>
    <sheet name="Pokedex" sheetId="15" state="hidden" r:id="rId11"/>
    <sheet name="Evolution" sheetId="41" state="hidden" r:id="rId12"/>
    <sheet name="Habilidades" sheetId="37" state="hidden" r:id="rId13"/>
    <sheet name="Moves" sheetId="29" state="hidden" r:id="rId14"/>
    <sheet name="Movimientos" sheetId="12" state="hidden" r:id="rId15"/>
    <sheet name="Habs" sheetId="11" state="hidden" r:id="rId16"/>
    <sheet name="MISC" sheetId="21" state="hidden" r:id="rId17"/>
    <sheet name="Status" sheetId="22" state="hidden" r:id="rId18"/>
    <sheet name="Estados" sheetId="38" state="hidden" r:id="rId19"/>
    <sheet name="STR-WEAK" sheetId="32" state="hidden" r:id="rId20"/>
    <sheet name="STR-WEAK OFFICIAL" sheetId="31" state="hidden" r:id="rId21"/>
    <sheet name="Kanto Locations" sheetId="7" state="hidden" r:id="rId22"/>
    <sheet name="Locations (%)" sheetId="8" state="hidden" r:id="rId23"/>
    <sheet name="Consumable Items" sheetId="5" state="hidden" r:id="rId24"/>
    <sheet name="Itemdex" sheetId="16" state="hidden" r:id="rId25"/>
    <sheet name="Eventos (Old)" sheetId="4" state="hidden" r:id="rId26"/>
    <sheet name="Key Itemdex" sheetId="17" state="hidden" r:id="rId27"/>
    <sheet name="Eventdex" sheetId="18" state="hidden" r:id="rId28"/>
    <sheet name="Reglas" sheetId="9" state="hidden" r:id="rId29"/>
  </sheets>
  <definedNames>
    <definedName name="_xlnm._FilterDatabase" localSheetId="5" hidden="1">'Analisis lideres'!$B$21:$G$33</definedName>
    <definedName name="_xlnm._FilterDatabase" localSheetId="3" hidden="1">Breed!$C$1:$M$899</definedName>
    <definedName name="_xlnm._FilterDatabase" localSheetId="18" hidden="1">Estados!$A$1:$H$32</definedName>
    <definedName name="_xlnm._FilterDatabase" localSheetId="25" hidden="1">'Eventos (Old)'!$A$1:$D$1</definedName>
    <definedName name="_xlnm._FilterDatabase" localSheetId="11" hidden="1">Evolution!$A$1:$AA$154</definedName>
    <definedName name="_xlnm._FilterDatabase" localSheetId="12" hidden="1">Habilidades!$A$1:$D$174</definedName>
    <definedName name="_xlnm._FilterDatabase" localSheetId="15" hidden="1">Habs!$B$2:$E$108</definedName>
    <definedName name="_xlnm._FilterDatabase" localSheetId="7" hidden="1">Hatch!$A$2:$AI$1102</definedName>
    <definedName name="_xlnm._FilterDatabase" localSheetId="21" hidden="1">'Kanto Locations'!$A$2:$AE$153</definedName>
    <definedName name="_xlnm._FilterDatabase" localSheetId="13" hidden="1">Moves!$A$1:$AL$1</definedName>
    <definedName name="_xlnm._FilterDatabase" localSheetId="14" hidden="1">Movimientos!$A$1:$AL$358</definedName>
    <definedName name="_xlnm._FilterDatabase" localSheetId="1" hidden="1">'PKMN BULBAP'!$A$1:$W$1063</definedName>
    <definedName name="_xlnm._FilterDatabase" localSheetId="0" hidden="1">pokemon!$A$1:$M$752</definedName>
    <definedName name="_xlnm._FilterDatabase" localSheetId="6" hidden="1">'Pokemon Data'!$A$3:$AJ$1185</definedName>
    <definedName name="_xlnm._FilterDatabase" localSheetId="4" hidden="1">'Pokemon Db'!$A$3:$BJ$3</definedName>
    <definedName name="_xlnm._FilterDatabase" localSheetId="17" hidden="1">Status!$A$1:$I$36</definedName>
    <definedName name="_xlnm._FilterDatabase" localSheetId="19" hidden="1">'STR-WEAK'!$A$1:$S$325</definedName>
    <definedName name="_xlnm._FilterDatabase" localSheetId="20" hidden="1">'STR-WEAK OFFICIAL'!$A$1:$S$325</definedName>
  </definedNames>
  <calcPr calcId="191029"/>
  <pivotCaches>
    <pivotCache cacheId="1" r:id="rId3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70" i="36" l="1"/>
  <c r="L3" i="36"/>
  <c r="L4" i="36"/>
  <c r="L5" i="36"/>
  <c r="L6" i="36"/>
  <c r="L7" i="36"/>
  <c r="L8" i="36"/>
  <c r="L9" i="36"/>
  <c r="L10" i="36"/>
  <c r="L11" i="36"/>
  <c r="L12" i="36"/>
  <c r="L13" i="36"/>
  <c r="L14" i="36"/>
  <c r="L15" i="36"/>
  <c r="L16" i="36"/>
  <c r="L17" i="36"/>
  <c r="L18" i="36"/>
  <c r="L19" i="36"/>
  <c r="L20" i="36"/>
  <c r="L21" i="36"/>
  <c r="L22" i="36"/>
  <c r="L23" i="36"/>
  <c r="L24" i="36"/>
  <c r="L25" i="36"/>
  <c r="L26" i="36"/>
  <c r="L27" i="36"/>
  <c r="L28" i="36"/>
  <c r="L29" i="36"/>
  <c r="L30" i="36"/>
  <c r="L31" i="36"/>
  <c r="L32" i="36"/>
  <c r="L33" i="36"/>
  <c r="L34" i="36"/>
  <c r="L35" i="36"/>
  <c r="L36" i="36"/>
  <c r="L37" i="36"/>
  <c r="L38" i="36"/>
  <c r="L39" i="36"/>
  <c r="L40" i="36"/>
  <c r="L41" i="36"/>
  <c r="L42" i="36"/>
  <c r="L43" i="36"/>
  <c r="L44" i="36"/>
  <c r="L45" i="36"/>
  <c r="L46" i="36"/>
  <c r="L47" i="36"/>
  <c r="L48" i="36"/>
  <c r="L49" i="36"/>
  <c r="L50" i="36"/>
  <c r="L51" i="36"/>
  <c r="L52" i="36"/>
  <c r="L53" i="36"/>
  <c r="L54" i="36"/>
  <c r="L55" i="36"/>
  <c r="L56" i="36"/>
  <c r="L57" i="36"/>
  <c r="L58" i="36"/>
  <c r="L59" i="36"/>
  <c r="L60" i="36"/>
  <c r="L61" i="36"/>
  <c r="L62" i="36"/>
  <c r="L63" i="36"/>
  <c r="L64" i="36"/>
  <c r="L65" i="36"/>
  <c r="L66" i="36"/>
  <c r="L67" i="36"/>
  <c r="L68" i="36"/>
  <c r="L69" i="36"/>
  <c r="L70" i="36"/>
  <c r="L71" i="36"/>
  <c r="L72" i="36"/>
  <c r="L73" i="36"/>
  <c r="L74" i="36"/>
  <c r="L75" i="36"/>
  <c r="L76" i="36"/>
  <c r="L77" i="36"/>
  <c r="L78" i="36"/>
  <c r="L79" i="36"/>
  <c r="L80" i="36"/>
  <c r="L81" i="36"/>
  <c r="L82" i="36"/>
  <c r="L83" i="36"/>
  <c r="L84" i="36"/>
  <c r="L85" i="36"/>
  <c r="L86" i="36"/>
  <c r="L87" i="36"/>
  <c r="L88" i="36"/>
  <c r="L89" i="36"/>
  <c r="L90" i="36"/>
  <c r="L91" i="36"/>
  <c r="L92" i="36"/>
  <c r="L93" i="36"/>
  <c r="L94" i="36"/>
  <c r="L95" i="36"/>
  <c r="L96" i="36"/>
  <c r="L97" i="36"/>
  <c r="L98" i="36"/>
  <c r="L99" i="36"/>
  <c r="L100" i="36"/>
  <c r="L101" i="36"/>
  <c r="L102" i="36"/>
  <c r="L103" i="36"/>
  <c r="L104" i="36"/>
  <c r="L105" i="36"/>
  <c r="L106" i="36"/>
  <c r="L107" i="36"/>
  <c r="L108" i="36"/>
  <c r="L109" i="36"/>
  <c r="L110" i="36"/>
  <c r="L111" i="36"/>
  <c r="L112" i="36"/>
  <c r="L113" i="36"/>
  <c r="L114" i="36"/>
  <c r="L115" i="36"/>
  <c r="L116" i="36"/>
  <c r="L117" i="36"/>
  <c r="L118" i="36"/>
  <c r="L119" i="36"/>
  <c r="L120" i="36"/>
  <c r="L121" i="36"/>
  <c r="L122" i="36"/>
  <c r="L123" i="36"/>
  <c r="L124" i="36"/>
  <c r="L125" i="36"/>
  <c r="L126" i="36"/>
  <c r="L127" i="36"/>
  <c r="L128" i="36"/>
  <c r="L129" i="36"/>
  <c r="L130" i="36"/>
  <c r="L131" i="36"/>
  <c r="L132" i="36"/>
  <c r="L133" i="36"/>
  <c r="L134" i="36"/>
  <c r="L135" i="36"/>
  <c r="L136" i="36"/>
  <c r="L137" i="36"/>
  <c r="L138" i="36"/>
  <c r="L139" i="36"/>
  <c r="L140" i="36"/>
  <c r="L141" i="36"/>
  <c r="L142" i="36"/>
  <c r="L143" i="36"/>
  <c r="L144" i="36"/>
  <c r="L145" i="36"/>
  <c r="L146" i="36"/>
  <c r="L147" i="36"/>
  <c r="L148" i="36"/>
  <c r="L149" i="36"/>
  <c r="L150" i="36"/>
  <c r="L151" i="36"/>
  <c r="L152" i="36"/>
  <c r="L153" i="36"/>
  <c r="L154" i="36"/>
  <c r="L155" i="36"/>
  <c r="L156" i="36"/>
  <c r="L157" i="36"/>
  <c r="L158" i="36"/>
  <c r="L159" i="36"/>
  <c r="L160" i="36"/>
  <c r="L161" i="36"/>
  <c r="L162" i="36"/>
  <c r="L163" i="36"/>
  <c r="L164" i="36"/>
  <c r="L165" i="36"/>
  <c r="L166" i="36"/>
  <c r="L167" i="36"/>
  <c r="L168" i="36"/>
  <c r="L169" i="36"/>
  <c r="L170" i="36"/>
  <c r="L171" i="36"/>
  <c r="L172" i="36"/>
  <c r="L173" i="36"/>
  <c r="L174" i="36"/>
  <c r="L175" i="36"/>
  <c r="L176" i="36"/>
  <c r="L177" i="36"/>
  <c r="L178" i="36"/>
  <c r="L179" i="36"/>
  <c r="L180" i="36"/>
  <c r="L181" i="36"/>
  <c r="L182" i="36"/>
  <c r="L183" i="36"/>
  <c r="L184" i="36"/>
  <c r="L185" i="36"/>
  <c r="L186" i="36"/>
  <c r="L187" i="36"/>
  <c r="L188" i="36"/>
  <c r="L189" i="36"/>
  <c r="L190" i="36"/>
  <c r="L191" i="36"/>
  <c r="L192" i="36"/>
  <c r="L193" i="36"/>
  <c r="L194" i="36"/>
  <c r="L195" i="36"/>
  <c r="L196" i="36"/>
  <c r="L197" i="36"/>
  <c r="L198" i="36"/>
  <c r="L199" i="36"/>
  <c r="L200" i="36"/>
  <c r="L201" i="36"/>
  <c r="L202" i="36"/>
  <c r="L203" i="36"/>
  <c r="L204" i="36"/>
  <c r="L205" i="36"/>
  <c r="L206" i="36"/>
  <c r="L207" i="36"/>
  <c r="L208" i="36"/>
  <c r="L209" i="36"/>
  <c r="L210" i="36"/>
  <c r="L211" i="36"/>
  <c r="L212" i="36"/>
  <c r="L213" i="36"/>
  <c r="L214" i="36"/>
  <c r="L215" i="36"/>
  <c r="L216" i="36"/>
  <c r="L217" i="36"/>
  <c r="L218" i="36"/>
  <c r="L219" i="36"/>
  <c r="L220" i="36"/>
  <c r="L221" i="36"/>
  <c r="L222" i="36"/>
  <c r="L223" i="36"/>
  <c r="L224" i="36"/>
  <c r="L225" i="36"/>
  <c r="L226" i="36"/>
  <c r="L227" i="36"/>
  <c r="L228" i="36"/>
  <c r="L229" i="36"/>
  <c r="L230" i="36"/>
  <c r="L231" i="36"/>
  <c r="L232" i="36"/>
  <c r="L233" i="36"/>
  <c r="L234" i="36"/>
  <c r="L235" i="36"/>
  <c r="L236" i="36"/>
  <c r="L237" i="36"/>
  <c r="L238" i="36"/>
  <c r="L239" i="36"/>
  <c r="L240" i="36"/>
  <c r="L241" i="36"/>
  <c r="L242" i="36"/>
  <c r="L243" i="36"/>
  <c r="L244" i="36"/>
  <c r="L245" i="36"/>
  <c r="L246" i="36"/>
  <c r="L247" i="36"/>
  <c r="L248" i="36"/>
  <c r="L249" i="36"/>
  <c r="L250" i="36"/>
  <c r="L251" i="36"/>
  <c r="L252" i="36"/>
  <c r="L253" i="36"/>
  <c r="L254" i="36"/>
  <c r="L255" i="36"/>
  <c r="L256" i="36"/>
  <c r="L257" i="36"/>
  <c r="L258" i="36"/>
  <c r="L259" i="36"/>
  <c r="L260" i="36"/>
  <c r="L261" i="36"/>
  <c r="L262" i="36"/>
  <c r="L263" i="36"/>
  <c r="L264" i="36"/>
  <c r="L265" i="36"/>
  <c r="L266" i="36"/>
  <c r="L267" i="36"/>
  <c r="L268" i="36"/>
  <c r="L269" i="36"/>
  <c r="L270" i="36"/>
  <c r="L271" i="36"/>
  <c r="L272" i="36"/>
  <c r="L273" i="36"/>
  <c r="L274" i="36"/>
  <c r="L275" i="36"/>
  <c r="L276" i="36"/>
  <c r="L277" i="36"/>
  <c r="L278" i="36"/>
  <c r="L279" i="36"/>
  <c r="L280" i="36"/>
  <c r="L281" i="36"/>
  <c r="L282" i="36"/>
  <c r="L283" i="36"/>
  <c r="L284" i="36"/>
  <c r="L285" i="36"/>
  <c r="L286" i="36"/>
  <c r="L287" i="36"/>
  <c r="L288" i="36"/>
  <c r="L289" i="36"/>
  <c r="L290" i="36"/>
  <c r="L291" i="36"/>
  <c r="L292" i="36"/>
  <c r="L293" i="36"/>
  <c r="L294" i="36"/>
  <c r="L295" i="36"/>
  <c r="L296" i="36"/>
  <c r="L297" i="36"/>
  <c r="L298" i="36"/>
  <c r="L299" i="36"/>
  <c r="L300" i="36"/>
  <c r="L301" i="36"/>
  <c r="L302" i="36"/>
  <c r="L303" i="36"/>
  <c r="L304" i="36"/>
  <c r="L305" i="36"/>
  <c r="L306" i="36"/>
  <c r="L307" i="36"/>
  <c r="L308" i="36"/>
  <c r="L309" i="36"/>
  <c r="L310" i="36"/>
  <c r="L311" i="36"/>
  <c r="L312" i="36"/>
  <c r="L313" i="36"/>
  <c r="L314" i="36"/>
  <c r="L315" i="36"/>
  <c r="L316" i="36"/>
  <c r="L317" i="36"/>
  <c r="L318" i="36"/>
  <c r="L319" i="36"/>
  <c r="L320" i="36"/>
  <c r="L321" i="36"/>
  <c r="L322" i="36"/>
  <c r="L323" i="36"/>
  <c r="L324" i="36"/>
  <c r="L325" i="36"/>
  <c r="L326" i="36"/>
  <c r="L327" i="36"/>
  <c r="L328" i="36"/>
  <c r="L329" i="36"/>
  <c r="L330" i="36"/>
  <c r="L331" i="36"/>
  <c r="L332" i="36"/>
  <c r="L333" i="36"/>
  <c r="L334" i="36"/>
  <c r="L335" i="36"/>
  <c r="L336" i="36"/>
  <c r="L337" i="36"/>
  <c r="L338" i="36"/>
  <c r="L339" i="36"/>
  <c r="L340" i="36"/>
  <c r="L341" i="36"/>
  <c r="L342" i="36"/>
  <c r="L343" i="36"/>
  <c r="L344" i="36"/>
  <c r="L345" i="36"/>
  <c r="L346" i="36"/>
  <c r="L347" i="36"/>
  <c r="L348" i="36"/>
  <c r="L349" i="36"/>
  <c r="L350" i="36"/>
  <c r="L351" i="36"/>
  <c r="L352" i="36"/>
  <c r="L353" i="36"/>
  <c r="L354" i="36"/>
  <c r="L355" i="36"/>
  <c r="L356" i="36"/>
  <c r="L357" i="36"/>
  <c r="L358" i="36"/>
  <c r="L359" i="36"/>
  <c r="L360" i="36"/>
  <c r="L361" i="36"/>
  <c r="L362" i="36"/>
  <c r="L363" i="36"/>
  <c r="L364" i="36"/>
  <c r="L365" i="36"/>
  <c r="L366" i="36"/>
  <c r="L367" i="36"/>
  <c r="L368" i="36"/>
  <c r="L369" i="36"/>
  <c r="L370" i="36"/>
  <c r="L371" i="36"/>
  <c r="L372" i="36"/>
  <c r="L373" i="36"/>
  <c r="L374" i="36"/>
  <c r="L375" i="36"/>
  <c r="L376" i="36"/>
  <c r="L377" i="36"/>
  <c r="L378" i="36"/>
  <c r="L379" i="36"/>
  <c r="L380" i="36"/>
  <c r="L381" i="36"/>
  <c r="L382" i="36"/>
  <c r="L383" i="36"/>
  <c r="L384" i="36"/>
  <c r="L385" i="36"/>
  <c r="L386" i="36"/>
  <c r="L387" i="36"/>
  <c r="L388" i="36"/>
  <c r="L389" i="36"/>
  <c r="L390" i="36"/>
  <c r="L391" i="36"/>
  <c r="L392" i="36"/>
  <c r="L393" i="36"/>
  <c r="L394" i="36"/>
  <c r="L395" i="36"/>
  <c r="L396" i="36"/>
  <c r="L397" i="36"/>
  <c r="L398" i="36"/>
  <c r="L399" i="36"/>
  <c r="L400" i="36"/>
  <c r="L401" i="36"/>
  <c r="L402" i="36"/>
  <c r="L403" i="36"/>
  <c r="L404" i="36"/>
  <c r="L405" i="36"/>
  <c r="L406" i="36"/>
  <c r="L407" i="36"/>
  <c r="L408" i="36"/>
  <c r="L409" i="36"/>
  <c r="L410" i="36"/>
  <c r="L411" i="36"/>
  <c r="L412" i="36"/>
  <c r="L413" i="36"/>
  <c r="L414" i="36"/>
  <c r="L415" i="36"/>
  <c r="L416" i="36"/>
  <c r="L417" i="36"/>
  <c r="L418" i="36"/>
  <c r="L419" i="36"/>
  <c r="L420" i="36"/>
  <c r="L421" i="36"/>
  <c r="L422" i="36"/>
  <c r="L423" i="36"/>
  <c r="L424" i="36"/>
  <c r="L425" i="36"/>
  <c r="L426" i="36"/>
  <c r="L427" i="36"/>
  <c r="L428" i="36"/>
  <c r="L429" i="36"/>
  <c r="L430" i="36"/>
  <c r="L431" i="36"/>
  <c r="L432" i="36"/>
  <c r="L433" i="36"/>
  <c r="L434" i="36"/>
  <c r="L435" i="36"/>
  <c r="L436" i="36"/>
  <c r="L437" i="36"/>
  <c r="L438" i="36"/>
  <c r="L439" i="36"/>
  <c r="L440" i="36"/>
  <c r="L441" i="36"/>
  <c r="L442" i="36"/>
  <c r="L443" i="36"/>
  <c r="L444" i="36"/>
  <c r="L445" i="36"/>
  <c r="L446" i="36"/>
  <c r="L447" i="36"/>
  <c r="L448" i="36"/>
  <c r="L449" i="36"/>
  <c r="L450" i="36"/>
  <c r="L451" i="36"/>
  <c r="L452" i="36"/>
  <c r="L453" i="36"/>
  <c r="L454" i="36"/>
  <c r="L455" i="36"/>
  <c r="L456" i="36"/>
  <c r="L457" i="36"/>
  <c r="L458" i="36"/>
  <c r="L459" i="36"/>
  <c r="L460" i="36"/>
  <c r="L461" i="36"/>
  <c r="L462" i="36"/>
  <c r="L463" i="36"/>
  <c r="L464" i="36"/>
  <c r="L465" i="36"/>
  <c r="L466" i="36"/>
  <c r="L467" i="36"/>
  <c r="L468" i="36"/>
  <c r="L469" i="36"/>
  <c r="L470" i="36"/>
  <c r="L471" i="36"/>
  <c r="L472" i="36"/>
  <c r="L473" i="36"/>
  <c r="L474" i="36"/>
  <c r="L475" i="36"/>
  <c r="L476" i="36"/>
  <c r="L477" i="36"/>
  <c r="L478" i="36"/>
  <c r="L479" i="36"/>
  <c r="L480" i="36"/>
  <c r="L481" i="36"/>
  <c r="L482" i="36"/>
  <c r="L483" i="36"/>
  <c r="L484" i="36"/>
  <c r="L485" i="36"/>
  <c r="L486" i="36"/>
  <c r="L487" i="36"/>
  <c r="L488" i="36"/>
  <c r="L489" i="36"/>
  <c r="L490" i="36"/>
  <c r="L491" i="36"/>
  <c r="L492" i="36"/>
  <c r="L493" i="36"/>
  <c r="L494" i="36"/>
  <c r="L495" i="36"/>
  <c r="L496" i="36"/>
  <c r="L497" i="36"/>
  <c r="L498" i="36"/>
  <c r="L499" i="36"/>
  <c r="L500" i="36"/>
  <c r="L501" i="36"/>
  <c r="L502" i="36"/>
  <c r="L503" i="36"/>
  <c r="L504" i="36"/>
  <c r="L505" i="36"/>
  <c r="L506" i="36"/>
  <c r="L507" i="36"/>
  <c r="L508" i="36"/>
  <c r="L509" i="36"/>
  <c r="L510" i="36"/>
  <c r="L511" i="36"/>
  <c r="L512" i="36"/>
  <c r="L513" i="36"/>
  <c r="L514" i="36"/>
  <c r="L515" i="36"/>
  <c r="L516" i="36"/>
  <c r="L517" i="36"/>
  <c r="L518" i="36"/>
  <c r="L519" i="36"/>
  <c r="L520" i="36"/>
  <c r="L521" i="36"/>
  <c r="L522" i="36"/>
  <c r="L523" i="36"/>
  <c r="L524" i="36"/>
  <c r="L525" i="36"/>
  <c r="L526" i="36"/>
  <c r="L527" i="36"/>
  <c r="L528" i="36"/>
  <c r="L529" i="36"/>
  <c r="L530" i="36"/>
  <c r="L531" i="36"/>
  <c r="L532" i="36"/>
  <c r="L533" i="36"/>
  <c r="L534" i="36"/>
  <c r="L535" i="36"/>
  <c r="L536" i="36"/>
  <c r="L537" i="36"/>
  <c r="L538" i="36"/>
  <c r="L539" i="36"/>
  <c r="L540" i="36"/>
  <c r="L541" i="36"/>
  <c r="L542" i="36"/>
  <c r="L543" i="36"/>
  <c r="L544" i="36"/>
  <c r="L545" i="36"/>
  <c r="L546" i="36"/>
  <c r="L547" i="36"/>
  <c r="L548" i="36"/>
  <c r="L549" i="36"/>
  <c r="L550" i="36"/>
  <c r="L551" i="36"/>
  <c r="L552" i="36"/>
  <c r="L553" i="36"/>
  <c r="L554" i="36"/>
  <c r="L555" i="36"/>
  <c r="L556" i="36"/>
  <c r="L557" i="36"/>
  <c r="L558" i="36"/>
  <c r="L559" i="36"/>
  <c r="L560" i="36"/>
  <c r="L561" i="36"/>
  <c r="L562" i="36"/>
  <c r="L563" i="36"/>
  <c r="L564" i="36"/>
  <c r="L565" i="36"/>
  <c r="L566" i="36"/>
  <c r="L567" i="36"/>
  <c r="L568" i="36"/>
  <c r="L569" i="36"/>
  <c r="L570" i="36"/>
  <c r="L571" i="36"/>
  <c r="L572" i="36"/>
  <c r="L573" i="36"/>
  <c r="L574" i="36"/>
  <c r="L575" i="36"/>
  <c r="L576" i="36"/>
  <c r="L577" i="36"/>
  <c r="L578" i="36"/>
  <c r="L579" i="36"/>
  <c r="L580" i="36"/>
  <c r="L581" i="36"/>
  <c r="L582" i="36"/>
  <c r="L583" i="36"/>
  <c r="L584" i="36"/>
  <c r="L585" i="36"/>
  <c r="L586" i="36"/>
  <c r="L587" i="36"/>
  <c r="L588" i="36"/>
  <c r="L589" i="36"/>
  <c r="L590" i="36"/>
  <c r="L591" i="36"/>
  <c r="L592" i="36"/>
  <c r="L593" i="36"/>
  <c r="L594" i="36"/>
  <c r="L595" i="36"/>
  <c r="L596" i="36"/>
  <c r="L597" i="36"/>
  <c r="L598" i="36"/>
  <c r="L599" i="36"/>
  <c r="L600" i="36"/>
  <c r="L601" i="36"/>
  <c r="L602" i="36"/>
  <c r="L603" i="36"/>
  <c r="L604" i="36"/>
  <c r="L605" i="36"/>
  <c r="L606" i="36"/>
  <c r="L607" i="36"/>
  <c r="L608" i="36"/>
  <c r="L609" i="36"/>
  <c r="L610" i="36"/>
  <c r="L611" i="36"/>
  <c r="L612" i="36"/>
  <c r="L613" i="36"/>
  <c r="L614" i="36"/>
  <c r="L615" i="36"/>
  <c r="L616" i="36"/>
  <c r="L617" i="36"/>
  <c r="L618" i="36"/>
  <c r="L619" i="36"/>
  <c r="L620" i="36"/>
  <c r="L621" i="36"/>
  <c r="L622" i="36"/>
  <c r="L623" i="36"/>
  <c r="L624" i="36"/>
  <c r="L625" i="36"/>
  <c r="L626" i="36"/>
  <c r="L627" i="36"/>
  <c r="L628" i="36"/>
  <c r="L629" i="36"/>
  <c r="L630" i="36"/>
  <c r="L631" i="36"/>
  <c r="L632" i="36"/>
  <c r="L633" i="36"/>
  <c r="L634" i="36"/>
  <c r="L635" i="36"/>
  <c r="L636" i="36"/>
  <c r="L637" i="36"/>
  <c r="L638" i="36"/>
  <c r="L639" i="36"/>
  <c r="L640" i="36"/>
  <c r="L641" i="36"/>
  <c r="L642" i="36"/>
  <c r="L643" i="36"/>
  <c r="L644" i="36"/>
  <c r="L645" i="36"/>
  <c r="L646" i="36"/>
  <c r="L647" i="36"/>
  <c r="L648" i="36"/>
  <c r="L649" i="36"/>
  <c r="L650" i="36"/>
  <c r="L651" i="36"/>
  <c r="L652" i="36"/>
  <c r="L653" i="36"/>
  <c r="L654" i="36"/>
  <c r="L655" i="36"/>
  <c r="L656" i="36"/>
  <c r="L657" i="36"/>
  <c r="L658" i="36"/>
  <c r="L659" i="36"/>
  <c r="L660" i="36"/>
  <c r="L661" i="36"/>
  <c r="L662" i="36"/>
  <c r="L663" i="36"/>
  <c r="L664" i="36"/>
  <c r="L665" i="36"/>
  <c r="L666" i="36"/>
  <c r="L667" i="36"/>
  <c r="L668" i="36"/>
  <c r="L669" i="36"/>
  <c r="L670" i="36"/>
  <c r="L671" i="36"/>
  <c r="L672" i="36"/>
  <c r="L673" i="36"/>
  <c r="L674" i="36"/>
  <c r="L675" i="36"/>
  <c r="L676" i="36"/>
  <c r="L677" i="36"/>
  <c r="L678" i="36"/>
  <c r="L679" i="36"/>
  <c r="L680" i="36"/>
  <c r="L681" i="36"/>
  <c r="L682" i="36"/>
  <c r="L683" i="36"/>
  <c r="L684" i="36"/>
  <c r="L685" i="36"/>
  <c r="L686" i="36"/>
  <c r="L687" i="36"/>
  <c r="L688" i="36"/>
  <c r="L689" i="36"/>
  <c r="L690" i="36"/>
  <c r="L691" i="36"/>
  <c r="L692" i="36"/>
  <c r="L693" i="36"/>
  <c r="L694" i="36"/>
  <c r="L695" i="36"/>
  <c r="L696" i="36"/>
  <c r="L697" i="36"/>
  <c r="L698" i="36"/>
  <c r="L699" i="36"/>
  <c r="L700" i="36"/>
  <c r="L701" i="36"/>
  <c r="L702" i="36"/>
  <c r="L703" i="36"/>
  <c r="L704" i="36"/>
  <c r="L705" i="36"/>
  <c r="L706" i="36"/>
  <c r="L707" i="36"/>
  <c r="L708" i="36"/>
  <c r="L709" i="36"/>
  <c r="L710" i="36"/>
  <c r="L711" i="36"/>
  <c r="L712" i="36"/>
  <c r="L713" i="36"/>
  <c r="L714" i="36"/>
  <c r="L715" i="36"/>
  <c r="L716" i="36"/>
  <c r="L717" i="36"/>
  <c r="L718" i="36"/>
  <c r="L719" i="36"/>
  <c r="L720" i="36"/>
  <c r="L721" i="36"/>
  <c r="L722" i="36"/>
  <c r="L723" i="36"/>
  <c r="L724" i="36"/>
  <c r="L725" i="36"/>
  <c r="L726" i="36"/>
  <c r="L727" i="36"/>
  <c r="L728" i="36"/>
  <c r="L729" i="36"/>
  <c r="L730" i="36"/>
  <c r="L731" i="36"/>
  <c r="L732" i="36"/>
  <c r="L733" i="36"/>
  <c r="L734" i="36"/>
  <c r="L735" i="36"/>
  <c r="L736" i="36"/>
  <c r="L737" i="36"/>
  <c r="L738" i="36"/>
  <c r="L739" i="36"/>
  <c r="L740" i="36"/>
  <c r="L741" i="36"/>
  <c r="L742" i="36"/>
  <c r="L743" i="36"/>
  <c r="L744" i="36"/>
  <c r="L745" i="36"/>
  <c r="L746" i="36"/>
  <c r="L747" i="36"/>
  <c r="L748" i="36"/>
  <c r="L749" i="36"/>
  <c r="L750" i="36"/>
  <c r="L751" i="36"/>
  <c r="L752" i="36"/>
  <c r="L753" i="36"/>
  <c r="L754" i="36"/>
  <c r="L755" i="36"/>
  <c r="L756" i="36"/>
  <c r="L757" i="36"/>
  <c r="L758" i="36"/>
  <c r="L759" i="36"/>
  <c r="L760" i="36"/>
  <c r="L761" i="36"/>
  <c r="L762" i="36"/>
  <c r="L763" i="36"/>
  <c r="L764" i="36"/>
  <c r="L765" i="36"/>
  <c r="L766" i="36"/>
  <c r="L767" i="36"/>
  <c r="L768" i="36"/>
  <c r="L769" i="36"/>
  <c r="L771" i="36"/>
  <c r="L772" i="36"/>
  <c r="L773" i="36"/>
  <c r="L774" i="36"/>
  <c r="L775" i="36"/>
  <c r="L776" i="36"/>
  <c r="L777" i="36"/>
  <c r="L778" i="36"/>
  <c r="L779" i="36"/>
  <c r="L780" i="36"/>
  <c r="L781" i="36"/>
  <c r="L782" i="36"/>
  <c r="L783" i="36"/>
  <c r="L784" i="36"/>
  <c r="L785" i="36"/>
  <c r="L786" i="36"/>
  <c r="L787" i="36"/>
  <c r="L788" i="36"/>
  <c r="L789" i="36"/>
  <c r="L790" i="36"/>
  <c r="L791" i="36"/>
  <c r="L792" i="36"/>
  <c r="L793" i="36"/>
  <c r="L794" i="36"/>
  <c r="L795" i="36"/>
  <c r="L796" i="36"/>
  <c r="L797" i="36"/>
  <c r="L798" i="36"/>
  <c r="L799" i="36"/>
  <c r="L800" i="36"/>
  <c r="L801" i="36"/>
  <c r="L802" i="36"/>
  <c r="L803" i="36"/>
  <c r="L804" i="36"/>
  <c r="L805" i="36"/>
  <c r="L806" i="36"/>
  <c r="L807" i="36"/>
  <c r="L808" i="36"/>
  <c r="L809" i="36"/>
  <c r="L810" i="36"/>
  <c r="L811" i="36"/>
  <c r="L812" i="36"/>
  <c r="L813" i="36"/>
  <c r="L814" i="36"/>
  <c r="L815" i="36"/>
  <c r="L816" i="36"/>
  <c r="L817" i="36"/>
  <c r="L818" i="36"/>
  <c r="L819" i="36"/>
  <c r="L820" i="36"/>
  <c r="L821" i="36"/>
  <c r="L822" i="36"/>
  <c r="L823" i="36"/>
  <c r="L824" i="36"/>
  <c r="L825" i="36"/>
  <c r="L826" i="36"/>
  <c r="L827" i="36"/>
  <c r="L828" i="36"/>
  <c r="L829" i="36"/>
  <c r="L830" i="36"/>
  <c r="L831" i="36"/>
  <c r="L832" i="36"/>
  <c r="L833" i="36"/>
  <c r="L834" i="36"/>
  <c r="L835" i="36"/>
  <c r="L836" i="36"/>
  <c r="L837" i="36"/>
  <c r="L838" i="36"/>
  <c r="L839" i="36"/>
  <c r="L840" i="36"/>
  <c r="L841" i="36"/>
  <c r="L842" i="36"/>
  <c r="L843" i="36"/>
  <c r="L844" i="36"/>
  <c r="L845" i="36"/>
  <c r="L846" i="36"/>
  <c r="L847" i="36"/>
  <c r="L848" i="36"/>
  <c r="L849" i="36"/>
  <c r="L850" i="36"/>
  <c r="L851" i="36"/>
  <c r="L852" i="36"/>
  <c r="L853" i="36"/>
  <c r="L854" i="36"/>
  <c r="L855" i="36"/>
  <c r="L856" i="36"/>
  <c r="L857" i="36"/>
  <c r="L858" i="36"/>
  <c r="L859" i="36"/>
  <c r="L860" i="36"/>
  <c r="L861" i="36"/>
  <c r="L862" i="36"/>
  <c r="L863" i="36"/>
  <c r="L864" i="36"/>
  <c r="L865" i="36"/>
  <c r="L866" i="36"/>
  <c r="L867" i="36"/>
  <c r="L868" i="36"/>
  <c r="L869" i="36"/>
  <c r="L870" i="36"/>
  <c r="L871" i="36"/>
  <c r="L872" i="36"/>
  <c r="L873" i="36"/>
  <c r="L874" i="36"/>
  <c r="L875" i="36"/>
  <c r="L876" i="36"/>
  <c r="L877" i="36"/>
  <c r="L878" i="36"/>
  <c r="L879" i="36"/>
  <c r="L880" i="36"/>
  <c r="L881" i="36"/>
  <c r="L882" i="36"/>
  <c r="L883" i="36"/>
  <c r="L884" i="36"/>
  <c r="L885" i="36"/>
  <c r="L886" i="36"/>
  <c r="L887" i="36"/>
  <c r="L888" i="36"/>
  <c r="L889" i="36"/>
  <c r="L890" i="36"/>
  <c r="L891" i="36"/>
  <c r="L892" i="36"/>
  <c r="L893" i="36"/>
  <c r="L894" i="36"/>
  <c r="L895" i="36"/>
  <c r="L896" i="36"/>
  <c r="L897" i="36"/>
  <c r="L898" i="36"/>
  <c r="L899" i="36"/>
  <c r="L900" i="36"/>
  <c r="L901" i="36"/>
  <c r="L902" i="36"/>
  <c r="L903" i="36"/>
  <c r="L904" i="36"/>
  <c r="L905" i="36"/>
  <c r="L906" i="36"/>
  <c r="L907" i="36"/>
  <c r="L908" i="36"/>
  <c r="L909" i="36"/>
  <c r="L910" i="36"/>
  <c r="L911" i="36"/>
  <c r="L912" i="36"/>
  <c r="L913" i="36"/>
  <c r="L914" i="36"/>
  <c r="L915" i="36"/>
  <c r="L916" i="36"/>
  <c r="L917" i="36"/>
  <c r="L918" i="36"/>
  <c r="L919" i="36"/>
  <c r="L920" i="36"/>
  <c r="L921" i="36"/>
  <c r="L922" i="36"/>
  <c r="L923" i="36"/>
  <c r="L924" i="36"/>
  <c r="L925" i="36"/>
  <c r="L926" i="36"/>
  <c r="L927" i="36"/>
  <c r="L928" i="36"/>
  <c r="L929" i="36"/>
  <c r="L930" i="36"/>
  <c r="L931" i="36"/>
  <c r="L932" i="36"/>
  <c r="L933" i="36"/>
  <c r="L934" i="36"/>
  <c r="L935" i="36"/>
  <c r="L936" i="36"/>
  <c r="L937" i="36"/>
  <c r="L938" i="36"/>
  <c r="L939" i="36"/>
  <c r="L940" i="36"/>
  <c r="L941" i="36"/>
  <c r="L942" i="36"/>
  <c r="L943" i="36"/>
  <c r="L944" i="36"/>
  <c r="L945" i="36"/>
  <c r="L946" i="36"/>
  <c r="L947" i="36"/>
  <c r="L948" i="36"/>
  <c r="L949" i="36"/>
  <c r="L950" i="36"/>
  <c r="L951" i="36"/>
  <c r="L952" i="36"/>
  <c r="L953" i="36"/>
  <c r="L954" i="36"/>
  <c r="L955" i="36"/>
  <c r="L956" i="36"/>
  <c r="L957" i="36"/>
  <c r="L958" i="36"/>
  <c r="L959" i="36"/>
  <c r="L960" i="36"/>
  <c r="L961" i="36"/>
  <c r="L962" i="36"/>
  <c r="L963" i="36"/>
  <c r="L964" i="36"/>
  <c r="L965" i="36"/>
  <c r="L966" i="36"/>
  <c r="L967" i="36"/>
  <c r="L968" i="36"/>
  <c r="L969" i="36"/>
  <c r="L970" i="36"/>
  <c r="L971" i="36"/>
  <c r="L972" i="36"/>
  <c r="L973" i="36"/>
  <c r="L974" i="36"/>
  <c r="L975" i="36"/>
  <c r="L976" i="36"/>
  <c r="L977" i="36"/>
  <c r="L978" i="36"/>
  <c r="L979" i="36"/>
  <c r="L980" i="36"/>
  <c r="L981" i="36"/>
  <c r="L982" i="36"/>
  <c r="L983" i="36"/>
  <c r="L984" i="36"/>
  <c r="L985" i="36"/>
  <c r="L986" i="36"/>
  <c r="L987" i="36"/>
  <c r="L988" i="36"/>
  <c r="L989" i="36"/>
  <c r="L990" i="36"/>
  <c r="L991" i="36"/>
  <c r="L992" i="36"/>
  <c r="L993" i="36"/>
  <c r="L994" i="36"/>
  <c r="L995" i="36"/>
  <c r="L996" i="36"/>
  <c r="L997" i="36"/>
  <c r="L998" i="36"/>
  <c r="L999" i="36"/>
  <c r="L1000" i="36"/>
  <c r="L1001" i="36"/>
  <c r="L1002" i="36"/>
  <c r="L1003" i="36"/>
  <c r="L1004" i="36"/>
  <c r="L1005" i="36"/>
  <c r="L1006" i="36"/>
  <c r="L1007" i="36"/>
  <c r="L1008" i="36"/>
  <c r="L1009" i="36"/>
  <c r="L1010" i="36"/>
  <c r="L1011" i="36"/>
  <c r="L1012" i="36"/>
  <c r="L1013" i="36"/>
  <c r="L1014" i="36"/>
  <c r="L1015" i="36"/>
  <c r="L1016" i="36"/>
  <c r="L1017" i="36"/>
  <c r="L1018" i="36"/>
  <c r="L1019" i="36"/>
  <c r="L1020" i="36"/>
  <c r="L1021" i="36"/>
  <c r="L1022" i="36"/>
  <c r="L1023" i="36"/>
  <c r="L1024" i="36"/>
  <c r="L1025" i="36"/>
  <c r="L1026" i="36"/>
  <c r="L1027" i="36"/>
  <c r="L1028" i="36"/>
  <c r="L1029" i="36"/>
  <c r="L1030" i="36"/>
  <c r="L1031" i="36"/>
  <c r="L1032" i="36"/>
  <c r="L1033" i="36"/>
  <c r="L1034" i="36"/>
  <c r="L1035" i="36"/>
  <c r="L1036" i="36"/>
  <c r="L1037" i="36"/>
  <c r="L1038" i="36"/>
  <c r="L1039" i="36"/>
  <c r="L1040" i="36"/>
  <c r="L1041" i="36"/>
  <c r="L1042" i="36"/>
  <c r="L1043" i="36"/>
  <c r="L1044" i="36"/>
  <c r="L1045" i="36"/>
  <c r="L1046" i="36"/>
  <c r="L1047" i="36"/>
  <c r="L1048" i="36"/>
  <c r="L1049" i="36"/>
  <c r="L1050" i="36"/>
  <c r="L1051" i="36"/>
  <c r="L1052" i="36"/>
  <c r="L1053" i="36"/>
  <c r="L1054" i="36"/>
  <c r="L1055" i="36"/>
  <c r="L1056" i="36"/>
  <c r="L1057" i="36"/>
  <c r="L1058" i="36"/>
  <c r="L1059" i="36"/>
  <c r="L1060" i="36"/>
  <c r="L1061" i="36"/>
  <c r="L1062" i="36"/>
  <c r="L1063" i="36"/>
  <c r="L2" i="36"/>
  <c r="T3" i="32"/>
  <c r="U3" i="32"/>
  <c r="V3" i="32"/>
  <c r="T4" i="32"/>
  <c r="U4" i="32"/>
  <c r="V4" i="32"/>
  <c r="T5" i="32"/>
  <c r="U5" i="32"/>
  <c r="V5" i="32"/>
  <c r="T6" i="32"/>
  <c r="U6" i="32"/>
  <c r="V6" i="32"/>
  <c r="T7" i="32"/>
  <c r="U7" i="32"/>
  <c r="V7" i="32"/>
  <c r="T8" i="32"/>
  <c r="U8" i="32"/>
  <c r="V8" i="32"/>
  <c r="T9" i="32"/>
  <c r="U9" i="32"/>
  <c r="V9" i="32"/>
  <c r="T10" i="32"/>
  <c r="U10" i="32"/>
  <c r="V10" i="32"/>
  <c r="T11" i="32"/>
  <c r="U11" i="32"/>
  <c r="V11" i="32"/>
  <c r="T12" i="32"/>
  <c r="U12" i="32"/>
  <c r="V12" i="32"/>
  <c r="T13" i="32"/>
  <c r="U13" i="32"/>
  <c r="V13" i="32"/>
  <c r="T14" i="32"/>
  <c r="U14" i="32"/>
  <c r="V14" i="32"/>
  <c r="T15" i="32"/>
  <c r="U15" i="32"/>
  <c r="V15" i="32"/>
  <c r="T16" i="32"/>
  <c r="U16" i="32"/>
  <c r="V16" i="32"/>
  <c r="T17" i="32"/>
  <c r="U17" i="32"/>
  <c r="V17" i="32"/>
  <c r="T18" i="32"/>
  <c r="U18" i="32"/>
  <c r="V18" i="32"/>
  <c r="T19" i="32"/>
  <c r="U19" i="32"/>
  <c r="V19" i="32"/>
  <c r="T20" i="32"/>
  <c r="U20" i="32"/>
  <c r="V20" i="32"/>
  <c r="T21" i="32"/>
  <c r="U21" i="32"/>
  <c r="V21" i="32"/>
  <c r="T22" i="32"/>
  <c r="U22" i="32"/>
  <c r="V22" i="32"/>
  <c r="T23" i="32"/>
  <c r="U23" i="32"/>
  <c r="V23" i="32"/>
  <c r="T24" i="32"/>
  <c r="U24" i="32"/>
  <c r="V24" i="32"/>
  <c r="T25" i="32"/>
  <c r="U25" i="32"/>
  <c r="V25" i="32"/>
  <c r="T26" i="32"/>
  <c r="U26" i="32"/>
  <c r="V26" i="32"/>
  <c r="T27" i="32"/>
  <c r="U27" i="32"/>
  <c r="V27" i="32"/>
  <c r="T28" i="32"/>
  <c r="U28" i="32"/>
  <c r="V28" i="32"/>
  <c r="T29" i="32"/>
  <c r="U29" i="32"/>
  <c r="V29" i="32"/>
  <c r="T30" i="32"/>
  <c r="U30" i="32"/>
  <c r="V30" i="32"/>
  <c r="T31" i="32"/>
  <c r="U31" i="32"/>
  <c r="V31" i="32"/>
  <c r="T32" i="32"/>
  <c r="U32" i="32"/>
  <c r="V32" i="32"/>
  <c r="T33" i="32"/>
  <c r="U33" i="32"/>
  <c r="V33" i="32"/>
  <c r="T34" i="32"/>
  <c r="U34" i="32"/>
  <c r="V34" i="32"/>
  <c r="T35" i="32"/>
  <c r="U35" i="32"/>
  <c r="V35" i="32"/>
  <c r="T36" i="32"/>
  <c r="U36" i="32"/>
  <c r="V36" i="32"/>
  <c r="T37" i="32"/>
  <c r="U37" i="32"/>
  <c r="V37" i="32"/>
  <c r="T38" i="32"/>
  <c r="U38" i="32"/>
  <c r="V38" i="32"/>
  <c r="T39" i="32"/>
  <c r="U39" i="32"/>
  <c r="V39" i="32"/>
  <c r="T40" i="32"/>
  <c r="U40" i="32"/>
  <c r="V40" i="32"/>
  <c r="T41" i="32"/>
  <c r="U41" i="32"/>
  <c r="V41" i="32"/>
  <c r="T42" i="32"/>
  <c r="U42" i="32"/>
  <c r="V42" i="32"/>
  <c r="T43" i="32"/>
  <c r="U43" i="32"/>
  <c r="V43" i="32"/>
  <c r="T44" i="32"/>
  <c r="U44" i="32"/>
  <c r="V44" i="32"/>
  <c r="T45" i="32"/>
  <c r="U45" i="32"/>
  <c r="V45" i="32"/>
  <c r="T46" i="32"/>
  <c r="U46" i="32"/>
  <c r="V46" i="32"/>
  <c r="T47" i="32"/>
  <c r="U47" i="32"/>
  <c r="V47" i="32"/>
  <c r="T48" i="32"/>
  <c r="U48" i="32"/>
  <c r="V48" i="32"/>
  <c r="T49" i="32"/>
  <c r="U49" i="32"/>
  <c r="V49" i="32"/>
  <c r="T50" i="32"/>
  <c r="U50" i="32"/>
  <c r="V50" i="32"/>
  <c r="T51" i="32"/>
  <c r="U51" i="32"/>
  <c r="V51" i="32"/>
  <c r="T52" i="32"/>
  <c r="U52" i="32"/>
  <c r="V52" i="32"/>
  <c r="T53" i="32"/>
  <c r="U53" i="32"/>
  <c r="V53" i="32"/>
  <c r="T54" i="32"/>
  <c r="U54" i="32"/>
  <c r="V54" i="32"/>
  <c r="T55" i="32"/>
  <c r="U55" i="32"/>
  <c r="V55" i="32"/>
  <c r="T56" i="32"/>
  <c r="U56" i="32"/>
  <c r="V56" i="32"/>
  <c r="T57" i="32"/>
  <c r="U57" i="32"/>
  <c r="V57" i="32"/>
  <c r="T58" i="32"/>
  <c r="U58" i="32"/>
  <c r="V58" i="32"/>
  <c r="T59" i="32"/>
  <c r="U59" i="32"/>
  <c r="V59" i="32"/>
  <c r="T60" i="32"/>
  <c r="U60" i="32"/>
  <c r="V60" i="32"/>
  <c r="T61" i="32"/>
  <c r="U61" i="32"/>
  <c r="V61" i="32"/>
  <c r="T62" i="32"/>
  <c r="U62" i="32"/>
  <c r="V62" i="32"/>
  <c r="T63" i="32"/>
  <c r="U63" i="32"/>
  <c r="V63" i="32"/>
  <c r="T64" i="32"/>
  <c r="U64" i="32"/>
  <c r="V64" i="32"/>
  <c r="T65" i="32"/>
  <c r="U65" i="32"/>
  <c r="V65" i="32"/>
  <c r="T66" i="32"/>
  <c r="U66" i="32"/>
  <c r="V66" i="32"/>
  <c r="T67" i="32"/>
  <c r="U67" i="32"/>
  <c r="V67" i="32"/>
  <c r="T68" i="32"/>
  <c r="U68" i="32"/>
  <c r="V68" i="32"/>
  <c r="T69" i="32"/>
  <c r="U69" i="32"/>
  <c r="V69" i="32"/>
  <c r="T70" i="32"/>
  <c r="U70" i="32"/>
  <c r="V70" i="32"/>
  <c r="T71" i="32"/>
  <c r="U71" i="32"/>
  <c r="V71" i="32"/>
  <c r="T72" i="32"/>
  <c r="U72" i="32"/>
  <c r="V72" i="32"/>
  <c r="T73" i="32"/>
  <c r="U73" i="32"/>
  <c r="V73" i="32"/>
  <c r="T74" i="32"/>
  <c r="U74" i="32"/>
  <c r="V74" i="32"/>
  <c r="T75" i="32"/>
  <c r="U75" i="32"/>
  <c r="V75" i="32"/>
  <c r="T76" i="32"/>
  <c r="U76" i="32"/>
  <c r="V76" i="32"/>
  <c r="T77" i="32"/>
  <c r="U77" i="32"/>
  <c r="V77" i="32"/>
  <c r="T78" i="32"/>
  <c r="U78" i="32"/>
  <c r="V78" i="32"/>
  <c r="T79" i="32"/>
  <c r="U79" i="32"/>
  <c r="V79" i="32"/>
  <c r="T80" i="32"/>
  <c r="U80" i="32"/>
  <c r="V80" i="32"/>
  <c r="T81" i="32"/>
  <c r="U81" i="32"/>
  <c r="V81" i="32"/>
  <c r="T82" i="32"/>
  <c r="U82" i="32"/>
  <c r="V82" i="32"/>
  <c r="T83" i="32"/>
  <c r="U83" i="32"/>
  <c r="V83" i="32"/>
  <c r="T84" i="32"/>
  <c r="U84" i="32"/>
  <c r="V84" i="32"/>
  <c r="T85" i="32"/>
  <c r="U85" i="32"/>
  <c r="V85" i="32"/>
  <c r="T86" i="32"/>
  <c r="U86" i="32"/>
  <c r="V86" i="32"/>
  <c r="T87" i="32"/>
  <c r="U87" i="32"/>
  <c r="V87" i="32"/>
  <c r="T88" i="32"/>
  <c r="U88" i="32"/>
  <c r="V88" i="32"/>
  <c r="T89" i="32"/>
  <c r="U89" i="32"/>
  <c r="V89" i="32"/>
  <c r="T90" i="32"/>
  <c r="U90" i="32"/>
  <c r="V90" i="32"/>
  <c r="T91" i="32"/>
  <c r="U91" i="32"/>
  <c r="V91" i="32"/>
  <c r="T92" i="32"/>
  <c r="U92" i="32"/>
  <c r="V92" i="32"/>
  <c r="T93" i="32"/>
  <c r="U93" i="32"/>
  <c r="V93" i="32"/>
  <c r="T94" i="32"/>
  <c r="U94" i="32"/>
  <c r="V94" i="32"/>
  <c r="T95" i="32"/>
  <c r="U95" i="32"/>
  <c r="V95" i="32"/>
  <c r="T96" i="32"/>
  <c r="U96" i="32"/>
  <c r="V96" i="32"/>
  <c r="T97" i="32"/>
  <c r="U97" i="32"/>
  <c r="V97" i="32"/>
  <c r="T98" i="32"/>
  <c r="U98" i="32"/>
  <c r="V98" i="32"/>
  <c r="T99" i="32"/>
  <c r="U99" i="32"/>
  <c r="V99" i="32"/>
  <c r="T100" i="32"/>
  <c r="U100" i="32"/>
  <c r="V100" i="32"/>
  <c r="T101" i="32"/>
  <c r="U101" i="32"/>
  <c r="V101" i="32"/>
  <c r="T102" i="32"/>
  <c r="U102" i="32"/>
  <c r="V102" i="32"/>
  <c r="T103" i="32"/>
  <c r="U103" i="32"/>
  <c r="V103" i="32"/>
  <c r="T104" i="32"/>
  <c r="U104" i="32"/>
  <c r="V104" i="32"/>
  <c r="T105" i="32"/>
  <c r="U105" i="32"/>
  <c r="V105" i="32"/>
  <c r="T106" i="32"/>
  <c r="U106" i="32"/>
  <c r="V106" i="32"/>
  <c r="T107" i="32"/>
  <c r="U107" i="32"/>
  <c r="V107" i="32"/>
  <c r="T108" i="32"/>
  <c r="U108" i="32"/>
  <c r="V108" i="32"/>
  <c r="T109" i="32"/>
  <c r="U109" i="32"/>
  <c r="V109" i="32"/>
  <c r="T110" i="32"/>
  <c r="U110" i="32"/>
  <c r="V110" i="32"/>
  <c r="T111" i="32"/>
  <c r="U111" i="32"/>
  <c r="V111" i="32"/>
  <c r="T112" i="32"/>
  <c r="U112" i="32"/>
  <c r="V112" i="32"/>
  <c r="T113" i="32"/>
  <c r="U113" i="32"/>
  <c r="V113" i="32"/>
  <c r="T114" i="32"/>
  <c r="U114" i="32"/>
  <c r="V114" i="32"/>
  <c r="T115" i="32"/>
  <c r="U115" i="32"/>
  <c r="V115" i="32"/>
  <c r="T116" i="32"/>
  <c r="U116" i="32"/>
  <c r="V116" i="32"/>
  <c r="T117" i="32"/>
  <c r="U117" i="32"/>
  <c r="V117" i="32"/>
  <c r="T118" i="32"/>
  <c r="U118" i="32"/>
  <c r="V118" i="32"/>
  <c r="T119" i="32"/>
  <c r="U119" i="32"/>
  <c r="V119" i="32"/>
  <c r="T120" i="32"/>
  <c r="U120" i="32"/>
  <c r="V120" i="32"/>
  <c r="T121" i="32"/>
  <c r="U121" i="32"/>
  <c r="V121" i="32"/>
  <c r="T122" i="32"/>
  <c r="U122" i="32"/>
  <c r="V122" i="32"/>
  <c r="T123" i="32"/>
  <c r="U123" i="32"/>
  <c r="V123" i="32"/>
  <c r="T124" i="32"/>
  <c r="U124" i="32"/>
  <c r="V124" i="32"/>
  <c r="T125" i="32"/>
  <c r="U125" i="32"/>
  <c r="V125" i="32"/>
  <c r="T126" i="32"/>
  <c r="U126" i="32"/>
  <c r="V126" i="32"/>
  <c r="T127" i="32"/>
  <c r="U127" i="32"/>
  <c r="V127" i="32"/>
  <c r="T128" i="32"/>
  <c r="U128" i="32"/>
  <c r="V128" i="32"/>
  <c r="T129" i="32"/>
  <c r="U129" i="32"/>
  <c r="V129" i="32"/>
  <c r="T130" i="32"/>
  <c r="U130" i="32"/>
  <c r="V130" i="32"/>
  <c r="T131" i="32"/>
  <c r="U131" i="32"/>
  <c r="V131" i="32"/>
  <c r="T132" i="32"/>
  <c r="U132" i="32"/>
  <c r="V132" i="32"/>
  <c r="T133" i="32"/>
  <c r="U133" i="32"/>
  <c r="V133" i="32"/>
  <c r="T134" i="32"/>
  <c r="U134" i="32"/>
  <c r="V134" i="32"/>
  <c r="T135" i="32"/>
  <c r="U135" i="32"/>
  <c r="V135" i="32"/>
  <c r="T136" i="32"/>
  <c r="U136" i="32"/>
  <c r="V136" i="32"/>
  <c r="T137" i="32"/>
  <c r="U137" i="32"/>
  <c r="V137" i="32"/>
  <c r="T138" i="32"/>
  <c r="U138" i="32"/>
  <c r="V138" i="32"/>
  <c r="T139" i="32"/>
  <c r="U139" i="32"/>
  <c r="V139" i="32"/>
  <c r="T140" i="32"/>
  <c r="U140" i="32"/>
  <c r="V140" i="32"/>
  <c r="T141" i="32"/>
  <c r="U141" i="32"/>
  <c r="V141" i="32"/>
  <c r="T142" i="32"/>
  <c r="U142" i="32"/>
  <c r="V142" i="32"/>
  <c r="T143" i="32"/>
  <c r="U143" i="32"/>
  <c r="V143" i="32"/>
  <c r="T144" i="32"/>
  <c r="U144" i="32"/>
  <c r="V144" i="32"/>
  <c r="T145" i="32"/>
  <c r="U145" i="32"/>
  <c r="V145" i="32"/>
  <c r="T146" i="32"/>
  <c r="U146" i="32"/>
  <c r="V146" i="32"/>
  <c r="T147" i="32"/>
  <c r="U147" i="32"/>
  <c r="V147" i="32"/>
  <c r="T148" i="32"/>
  <c r="U148" i="32"/>
  <c r="V148" i="32"/>
  <c r="T149" i="32"/>
  <c r="U149" i="32"/>
  <c r="V149" i="32"/>
  <c r="T150" i="32"/>
  <c r="U150" i="32"/>
  <c r="V150" i="32"/>
  <c r="T151" i="32"/>
  <c r="U151" i="32"/>
  <c r="V151" i="32"/>
  <c r="T152" i="32"/>
  <c r="U152" i="32"/>
  <c r="V152" i="32"/>
  <c r="T153" i="32"/>
  <c r="U153" i="32"/>
  <c r="V153" i="32"/>
  <c r="T154" i="32"/>
  <c r="U154" i="32"/>
  <c r="V154" i="32"/>
  <c r="T155" i="32"/>
  <c r="U155" i="32"/>
  <c r="V155" i="32"/>
  <c r="T156" i="32"/>
  <c r="U156" i="32"/>
  <c r="V156" i="32"/>
  <c r="T157" i="32"/>
  <c r="U157" i="32"/>
  <c r="V157" i="32"/>
  <c r="T158" i="32"/>
  <c r="U158" i="32"/>
  <c r="V158" i="32"/>
  <c r="T159" i="32"/>
  <c r="U159" i="32"/>
  <c r="V159" i="32"/>
  <c r="T160" i="32"/>
  <c r="U160" i="32"/>
  <c r="V160" i="32"/>
  <c r="T161" i="32"/>
  <c r="U161" i="32"/>
  <c r="V161" i="32"/>
  <c r="T162" i="32"/>
  <c r="U162" i="32"/>
  <c r="V162" i="32"/>
  <c r="T163" i="32"/>
  <c r="U163" i="32"/>
  <c r="V163" i="32"/>
  <c r="T164" i="32"/>
  <c r="U164" i="32"/>
  <c r="V164" i="32"/>
  <c r="T165" i="32"/>
  <c r="U165" i="32"/>
  <c r="V165" i="32"/>
  <c r="T166" i="32"/>
  <c r="U166" i="32"/>
  <c r="V166" i="32"/>
  <c r="T167" i="32"/>
  <c r="U167" i="32"/>
  <c r="V167" i="32"/>
  <c r="T168" i="32"/>
  <c r="U168" i="32"/>
  <c r="V168" i="32"/>
  <c r="T169" i="32"/>
  <c r="U169" i="32"/>
  <c r="V169" i="32"/>
  <c r="T170" i="32"/>
  <c r="U170" i="32"/>
  <c r="V170" i="32"/>
  <c r="T171" i="32"/>
  <c r="U171" i="32"/>
  <c r="V171" i="32"/>
  <c r="T172" i="32"/>
  <c r="U172" i="32"/>
  <c r="V172" i="32"/>
  <c r="T173" i="32"/>
  <c r="U173" i="32"/>
  <c r="V173" i="32"/>
  <c r="T174" i="32"/>
  <c r="U174" i="32"/>
  <c r="V174" i="32"/>
  <c r="T175" i="32"/>
  <c r="U175" i="32"/>
  <c r="V175" i="32"/>
  <c r="T176" i="32"/>
  <c r="U176" i="32"/>
  <c r="V176" i="32"/>
  <c r="T177" i="32"/>
  <c r="U177" i="32"/>
  <c r="V177" i="32"/>
  <c r="T178" i="32"/>
  <c r="U178" i="32"/>
  <c r="V178" i="32"/>
  <c r="T179" i="32"/>
  <c r="U179" i="32"/>
  <c r="V179" i="32"/>
  <c r="T180" i="32"/>
  <c r="U180" i="32"/>
  <c r="V180" i="32"/>
  <c r="T181" i="32"/>
  <c r="U181" i="32"/>
  <c r="V181" i="32"/>
  <c r="T182" i="32"/>
  <c r="U182" i="32"/>
  <c r="V182" i="32"/>
  <c r="T183" i="32"/>
  <c r="U183" i="32"/>
  <c r="V183" i="32"/>
  <c r="T184" i="32"/>
  <c r="U184" i="32"/>
  <c r="V184" i="32"/>
  <c r="T185" i="32"/>
  <c r="U185" i="32"/>
  <c r="V185" i="32"/>
  <c r="T186" i="32"/>
  <c r="U186" i="32"/>
  <c r="V186" i="32"/>
  <c r="T187" i="32"/>
  <c r="U187" i="32"/>
  <c r="V187" i="32"/>
  <c r="T188" i="32"/>
  <c r="U188" i="32"/>
  <c r="V188" i="32"/>
  <c r="T189" i="32"/>
  <c r="U189" i="32"/>
  <c r="V189" i="32"/>
  <c r="T190" i="32"/>
  <c r="U190" i="32"/>
  <c r="V190" i="32"/>
  <c r="T191" i="32"/>
  <c r="U191" i="32"/>
  <c r="V191" i="32"/>
  <c r="T192" i="32"/>
  <c r="U192" i="32"/>
  <c r="V192" i="32"/>
  <c r="T193" i="32"/>
  <c r="U193" i="32"/>
  <c r="V193" i="32"/>
  <c r="T194" i="32"/>
  <c r="U194" i="32"/>
  <c r="V194" i="32"/>
  <c r="T195" i="32"/>
  <c r="U195" i="32"/>
  <c r="V195" i="32"/>
  <c r="T196" i="32"/>
  <c r="U196" i="32"/>
  <c r="V196" i="32"/>
  <c r="T197" i="32"/>
  <c r="U197" i="32"/>
  <c r="V197" i="32"/>
  <c r="T198" i="32"/>
  <c r="U198" i="32"/>
  <c r="V198" i="32"/>
  <c r="T199" i="32"/>
  <c r="U199" i="32"/>
  <c r="V199" i="32"/>
  <c r="T200" i="32"/>
  <c r="U200" i="32"/>
  <c r="V200" i="32"/>
  <c r="T201" i="32"/>
  <c r="U201" i="32"/>
  <c r="V201" i="32"/>
  <c r="T202" i="32"/>
  <c r="U202" i="32"/>
  <c r="V202" i="32"/>
  <c r="T203" i="32"/>
  <c r="U203" i="32"/>
  <c r="V203" i="32"/>
  <c r="T204" i="32"/>
  <c r="U204" i="32"/>
  <c r="V204" i="32"/>
  <c r="T205" i="32"/>
  <c r="U205" i="32"/>
  <c r="V205" i="32"/>
  <c r="T206" i="32"/>
  <c r="U206" i="32"/>
  <c r="V206" i="32"/>
  <c r="T207" i="32"/>
  <c r="U207" i="32"/>
  <c r="V207" i="32"/>
  <c r="T208" i="32"/>
  <c r="U208" i="32"/>
  <c r="V208" i="32"/>
  <c r="T209" i="32"/>
  <c r="U209" i="32"/>
  <c r="V209" i="32"/>
  <c r="T210" i="32"/>
  <c r="U210" i="32"/>
  <c r="V210" i="32"/>
  <c r="T211" i="32"/>
  <c r="U211" i="32"/>
  <c r="V211" i="32"/>
  <c r="T212" i="32"/>
  <c r="U212" i="32"/>
  <c r="V212" i="32"/>
  <c r="T213" i="32"/>
  <c r="U213" i="32"/>
  <c r="V213" i="32"/>
  <c r="T214" i="32"/>
  <c r="U214" i="32"/>
  <c r="V214" i="32"/>
  <c r="T215" i="32"/>
  <c r="U215" i="32"/>
  <c r="V215" i="32"/>
  <c r="T216" i="32"/>
  <c r="U216" i="32"/>
  <c r="V216" i="32"/>
  <c r="T217" i="32"/>
  <c r="U217" i="32"/>
  <c r="V217" i="32"/>
  <c r="T218" i="32"/>
  <c r="U218" i="32"/>
  <c r="V218" i="32"/>
  <c r="T219" i="32"/>
  <c r="U219" i="32"/>
  <c r="V219" i="32"/>
  <c r="T220" i="32"/>
  <c r="U220" i="32"/>
  <c r="V220" i="32"/>
  <c r="T221" i="32"/>
  <c r="U221" i="32"/>
  <c r="V221" i="32"/>
  <c r="T222" i="32"/>
  <c r="U222" i="32"/>
  <c r="V222" i="32"/>
  <c r="T223" i="32"/>
  <c r="U223" i="32"/>
  <c r="V223" i="32"/>
  <c r="T224" i="32"/>
  <c r="U224" i="32"/>
  <c r="V224" i="32"/>
  <c r="T225" i="32"/>
  <c r="U225" i="32"/>
  <c r="V225" i="32"/>
  <c r="T226" i="32"/>
  <c r="U226" i="32"/>
  <c r="V226" i="32"/>
  <c r="T227" i="32"/>
  <c r="U227" i="32"/>
  <c r="V227" i="32"/>
  <c r="T228" i="32"/>
  <c r="U228" i="32"/>
  <c r="V228" i="32"/>
  <c r="T229" i="32"/>
  <c r="U229" i="32"/>
  <c r="V229" i="32"/>
  <c r="T230" i="32"/>
  <c r="U230" i="32"/>
  <c r="V230" i="32"/>
  <c r="T231" i="32"/>
  <c r="U231" i="32"/>
  <c r="V231" i="32"/>
  <c r="T232" i="32"/>
  <c r="U232" i="32"/>
  <c r="V232" i="32"/>
  <c r="T233" i="32"/>
  <c r="U233" i="32"/>
  <c r="V233" i="32"/>
  <c r="T234" i="32"/>
  <c r="U234" i="32"/>
  <c r="V234" i="32"/>
  <c r="T235" i="32"/>
  <c r="U235" i="32"/>
  <c r="V235" i="32"/>
  <c r="T236" i="32"/>
  <c r="U236" i="32"/>
  <c r="V236" i="32"/>
  <c r="T237" i="32"/>
  <c r="U237" i="32"/>
  <c r="V237" i="32"/>
  <c r="T238" i="32"/>
  <c r="U238" i="32"/>
  <c r="V238" i="32"/>
  <c r="T239" i="32"/>
  <c r="U239" i="32"/>
  <c r="V239" i="32"/>
  <c r="T240" i="32"/>
  <c r="U240" i="32"/>
  <c r="V240" i="32"/>
  <c r="T241" i="32"/>
  <c r="U241" i="32"/>
  <c r="V241" i="32"/>
  <c r="T242" i="32"/>
  <c r="U242" i="32"/>
  <c r="V242" i="32"/>
  <c r="T243" i="32"/>
  <c r="U243" i="32"/>
  <c r="V243" i="32"/>
  <c r="T244" i="32"/>
  <c r="U244" i="32"/>
  <c r="V244" i="32"/>
  <c r="T245" i="32"/>
  <c r="U245" i="32"/>
  <c r="V245" i="32"/>
  <c r="T246" i="32"/>
  <c r="U246" i="32"/>
  <c r="V246" i="32"/>
  <c r="T247" i="32"/>
  <c r="U247" i="32"/>
  <c r="V247" i="32"/>
  <c r="T248" i="32"/>
  <c r="U248" i="32"/>
  <c r="V248" i="32"/>
  <c r="T249" i="32"/>
  <c r="U249" i="32"/>
  <c r="V249" i="32"/>
  <c r="T250" i="32"/>
  <c r="U250" i="32"/>
  <c r="V250" i="32"/>
  <c r="T251" i="32"/>
  <c r="U251" i="32"/>
  <c r="V251" i="32"/>
  <c r="T252" i="32"/>
  <c r="U252" i="32"/>
  <c r="V252" i="32"/>
  <c r="T253" i="32"/>
  <c r="U253" i="32"/>
  <c r="V253" i="32"/>
  <c r="T254" i="32"/>
  <c r="U254" i="32"/>
  <c r="V254" i="32"/>
  <c r="T255" i="32"/>
  <c r="U255" i="32"/>
  <c r="V255" i="32"/>
  <c r="T256" i="32"/>
  <c r="U256" i="32"/>
  <c r="V256" i="32"/>
  <c r="T257" i="32"/>
  <c r="U257" i="32"/>
  <c r="V257" i="32"/>
  <c r="T258" i="32"/>
  <c r="U258" i="32"/>
  <c r="V258" i="32"/>
  <c r="T259" i="32"/>
  <c r="U259" i="32"/>
  <c r="V259" i="32"/>
  <c r="T260" i="32"/>
  <c r="U260" i="32"/>
  <c r="V260" i="32"/>
  <c r="T261" i="32"/>
  <c r="U261" i="32"/>
  <c r="V261" i="32"/>
  <c r="T262" i="32"/>
  <c r="U262" i="32"/>
  <c r="V262" i="32"/>
  <c r="T263" i="32"/>
  <c r="U263" i="32"/>
  <c r="V263" i="32"/>
  <c r="T264" i="32"/>
  <c r="U264" i="32"/>
  <c r="V264" i="32"/>
  <c r="T265" i="32"/>
  <c r="U265" i="32"/>
  <c r="V265" i="32"/>
  <c r="T266" i="32"/>
  <c r="U266" i="32"/>
  <c r="V266" i="32"/>
  <c r="T267" i="32"/>
  <c r="U267" i="32"/>
  <c r="V267" i="32"/>
  <c r="T268" i="32"/>
  <c r="U268" i="32"/>
  <c r="V268" i="32"/>
  <c r="T269" i="32"/>
  <c r="U269" i="32"/>
  <c r="V269" i="32"/>
  <c r="T270" i="32"/>
  <c r="U270" i="32"/>
  <c r="V270" i="32"/>
  <c r="T271" i="32"/>
  <c r="U271" i="32"/>
  <c r="V271" i="32"/>
  <c r="T272" i="32"/>
  <c r="U272" i="32"/>
  <c r="V272" i="32"/>
  <c r="T273" i="32"/>
  <c r="U273" i="32"/>
  <c r="V273" i="32"/>
  <c r="T274" i="32"/>
  <c r="U274" i="32"/>
  <c r="V274" i="32"/>
  <c r="T275" i="32"/>
  <c r="U275" i="32"/>
  <c r="V275" i="32"/>
  <c r="T276" i="32"/>
  <c r="U276" i="32"/>
  <c r="V276" i="32"/>
  <c r="T277" i="32"/>
  <c r="U277" i="32"/>
  <c r="V277" i="32"/>
  <c r="T278" i="32"/>
  <c r="U278" i="32"/>
  <c r="V278" i="32"/>
  <c r="T279" i="32"/>
  <c r="U279" i="32"/>
  <c r="V279" i="32"/>
  <c r="T280" i="32"/>
  <c r="U280" i="32"/>
  <c r="V280" i="32"/>
  <c r="T281" i="32"/>
  <c r="U281" i="32"/>
  <c r="V281" i="32"/>
  <c r="T282" i="32"/>
  <c r="U282" i="32"/>
  <c r="V282" i="32"/>
  <c r="T283" i="32"/>
  <c r="U283" i="32"/>
  <c r="V283" i="32"/>
  <c r="T284" i="32"/>
  <c r="U284" i="32"/>
  <c r="V284" i="32"/>
  <c r="T285" i="32"/>
  <c r="U285" i="32"/>
  <c r="V285" i="32"/>
  <c r="T286" i="32"/>
  <c r="U286" i="32"/>
  <c r="V286" i="32"/>
  <c r="T287" i="32"/>
  <c r="U287" i="32"/>
  <c r="V287" i="32"/>
  <c r="T288" i="32"/>
  <c r="U288" i="32"/>
  <c r="V288" i="32"/>
  <c r="T289" i="32"/>
  <c r="U289" i="32"/>
  <c r="V289" i="32"/>
  <c r="T290" i="32"/>
  <c r="U290" i="32"/>
  <c r="V290" i="32"/>
  <c r="T291" i="32"/>
  <c r="U291" i="32"/>
  <c r="V291" i="32"/>
  <c r="T292" i="32"/>
  <c r="U292" i="32"/>
  <c r="V292" i="32"/>
  <c r="T293" i="32"/>
  <c r="U293" i="32"/>
  <c r="V293" i="32"/>
  <c r="T294" i="32"/>
  <c r="U294" i="32"/>
  <c r="V294" i="32"/>
  <c r="T295" i="32"/>
  <c r="U295" i="32"/>
  <c r="V295" i="32"/>
  <c r="T296" i="32"/>
  <c r="U296" i="32"/>
  <c r="V296" i="32"/>
  <c r="T297" i="32"/>
  <c r="U297" i="32"/>
  <c r="V297" i="32"/>
  <c r="T298" i="32"/>
  <c r="U298" i="32"/>
  <c r="V298" i="32"/>
  <c r="T299" i="32"/>
  <c r="U299" i="32"/>
  <c r="V299" i="32"/>
  <c r="T300" i="32"/>
  <c r="U300" i="32"/>
  <c r="V300" i="32"/>
  <c r="T301" i="32"/>
  <c r="U301" i="32"/>
  <c r="V301" i="32"/>
  <c r="T302" i="32"/>
  <c r="U302" i="32"/>
  <c r="V302" i="32"/>
  <c r="T303" i="32"/>
  <c r="U303" i="32"/>
  <c r="V303" i="32"/>
  <c r="T304" i="32"/>
  <c r="U304" i="32"/>
  <c r="V304" i="32"/>
  <c r="T305" i="32"/>
  <c r="U305" i="32"/>
  <c r="V305" i="32"/>
  <c r="T306" i="32"/>
  <c r="U306" i="32"/>
  <c r="V306" i="32"/>
  <c r="T307" i="32"/>
  <c r="U307" i="32"/>
  <c r="V307" i="32"/>
  <c r="T308" i="32"/>
  <c r="U308" i="32"/>
  <c r="V308" i="32"/>
  <c r="T309" i="32"/>
  <c r="U309" i="32"/>
  <c r="V309" i="32"/>
  <c r="T310" i="32"/>
  <c r="U310" i="32"/>
  <c r="V310" i="32"/>
  <c r="T311" i="32"/>
  <c r="U311" i="32"/>
  <c r="V311" i="32"/>
  <c r="T312" i="32"/>
  <c r="U312" i="32"/>
  <c r="V312" i="32"/>
  <c r="T313" i="32"/>
  <c r="U313" i="32"/>
  <c r="V313" i="32"/>
  <c r="T314" i="32"/>
  <c r="U314" i="32"/>
  <c r="V314" i="32"/>
  <c r="T315" i="32"/>
  <c r="U315" i="32"/>
  <c r="V315" i="32"/>
  <c r="T316" i="32"/>
  <c r="U316" i="32"/>
  <c r="V316" i="32"/>
  <c r="T317" i="32"/>
  <c r="U317" i="32"/>
  <c r="V317" i="32"/>
  <c r="T318" i="32"/>
  <c r="U318" i="32"/>
  <c r="V318" i="32"/>
  <c r="T319" i="32"/>
  <c r="U319" i="32"/>
  <c r="V319" i="32"/>
  <c r="T320" i="32"/>
  <c r="U320" i="32"/>
  <c r="V320" i="32"/>
  <c r="T321" i="32"/>
  <c r="U321" i="32"/>
  <c r="V321" i="32"/>
  <c r="T322" i="32"/>
  <c r="U322" i="32"/>
  <c r="V322" i="32"/>
  <c r="T323" i="32"/>
  <c r="U323" i="32"/>
  <c r="V323" i="32"/>
  <c r="T324" i="32"/>
  <c r="U324" i="32"/>
  <c r="V324" i="32"/>
  <c r="T325" i="32"/>
  <c r="U325" i="32"/>
  <c r="V325" i="32"/>
  <c r="V2" i="32"/>
  <c r="U2" i="32"/>
  <c r="T2" i="32"/>
  <c r="AC200" i="2" l="1"/>
  <c r="AC159" i="2"/>
  <c r="AC87" i="2"/>
  <c r="AC185" i="2"/>
  <c r="AC153" i="2"/>
  <c r="AC81" i="2"/>
  <c r="AC149" i="2"/>
  <c r="AC106" i="2"/>
  <c r="AC33" i="2"/>
  <c r="AC205" i="2"/>
  <c r="AC108" i="2"/>
  <c r="AC238" i="2"/>
  <c r="AC190" i="2"/>
  <c r="AC247" i="2"/>
  <c r="AC232" i="2"/>
  <c r="AC170" i="2"/>
  <c r="AC66" i="2"/>
  <c r="AC69" i="2"/>
  <c r="AC228" i="2"/>
  <c r="AC171" i="2"/>
  <c r="AC224" i="2"/>
  <c r="AC243" i="2"/>
  <c r="AC239" i="2"/>
  <c r="AC250" i="2"/>
  <c r="AC227" i="2"/>
  <c r="AC192" i="2"/>
  <c r="AC114" i="2"/>
  <c r="AC222" i="2"/>
  <c r="AC180" i="2"/>
  <c r="AC113" i="2"/>
  <c r="AC100" i="2"/>
  <c r="AC248" i="2"/>
  <c r="AC191" i="2"/>
  <c r="AC42" i="2"/>
  <c r="AC115" i="2"/>
  <c r="AC231" i="2"/>
  <c r="AC208" i="2"/>
  <c r="AC178" i="2"/>
  <c r="AC125" i="2"/>
  <c r="AC241" i="2"/>
  <c r="AC121" i="2"/>
  <c r="AC151" i="2"/>
  <c r="AC216" i="2"/>
  <c r="AC79" i="2"/>
  <c r="AC137" i="2"/>
  <c r="AC138" i="2"/>
  <c r="AC74" i="2"/>
  <c r="AC118" i="2"/>
  <c r="AC164" i="2"/>
  <c r="AC124" i="2"/>
  <c r="AC236" i="2"/>
  <c r="AC93" i="2"/>
  <c r="AC144" i="2"/>
  <c r="AC64" i="2"/>
  <c r="AC127" i="2"/>
  <c r="AC111" i="2"/>
  <c r="AC75" i="2"/>
  <c r="AC104" i="2"/>
  <c r="AC18" i="2"/>
  <c r="AC52" i="2"/>
  <c r="AC11" i="2"/>
  <c r="AC253" i="2"/>
  <c r="AC13" i="2"/>
  <c r="AC54" i="2"/>
  <c r="AC105" i="2"/>
  <c r="AC12" i="2"/>
  <c r="AC225" i="2"/>
  <c r="AC195" i="2"/>
  <c r="AC197" i="2"/>
  <c r="AC43" i="2"/>
  <c r="AC174" i="2"/>
  <c r="AC146" i="2"/>
  <c r="AC32" i="2"/>
  <c r="AC175" i="2"/>
  <c r="AC221" i="2"/>
  <c r="AC103" i="2"/>
  <c r="AC162" i="2"/>
  <c r="AC60" i="2"/>
  <c r="AC47" i="2"/>
  <c r="AC166" i="2"/>
  <c r="AC17" i="2"/>
  <c r="AC102" i="2"/>
  <c r="AC55" i="2"/>
  <c r="AC249" i="2"/>
  <c r="AC234" i="2"/>
  <c r="AC56" i="2"/>
  <c r="AC240" i="2"/>
  <c r="AC156" i="2"/>
  <c r="AC112" i="2"/>
  <c r="AC98" i="2"/>
  <c r="AC251" i="2"/>
  <c r="AC77" i="2"/>
  <c r="AC20" i="2"/>
  <c r="AC120" i="2"/>
  <c r="AC155" i="2"/>
  <c r="AC83" i="2"/>
  <c r="AC5" i="2"/>
  <c r="AC62" i="2"/>
  <c r="AC7" i="2"/>
  <c r="AC36" i="2"/>
  <c r="AO199" i="2"/>
  <c r="F33" i="19"/>
  <c r="F32" i="19"/>
  <c r="F31" i="19"/>
  <c r="G31" i="19" s="1"/>
  <c r="F30" i="19"/>
  <c r="F29" i="19"/>
  <c r="F28" i="19"/>
  <c r="G28" i="19" s="1"/>
  <c r="F27" i="19"/>
  <c r="G25" i="19" s="1"/>
  <c r="F26" i="19"/>
  <c r="F25" i="19"/>
  <c r="F24" i="19"/>
  <c r="F23" i="19"/>
  <c r="G22" i="19" s="1"/>
  <c r="F22" i="19"/>
  <c r="F35" i="19" s="1"/>
  <c r="G7" i="19" l="1"/>
  <c r="F18" i="19"/>
  <c r="G17" i="19" s="1"/>
  <c r="F16" i="19"/>
  <c r="F15" i="19"/>
  <c r="G15" i="19" s="1"/>
  <c r="F14" i="19"/>
  <c r="F13" i="19"/>
  <c r="F12" i="19"/>
  <c r="F11" i="19"/>
  <c r="G11" i="19" s="1"/>
  <c r="F10" i="19"/>
  <c r="F9" i="19"/>
  <c r="F8" i="19"/>
  <c r="F7" i="19"/>
  <c r="F6" i="19"/>
  <c r="F5" i="19"/>
  <c r="F4" i="19"/>
  <c r="F3" i="19"/>
  <c r="G3" i="19" s="1"/>
  <c r="G5" i="19" l="1"/>
  <c r="G13" i="19"/>
  <c r="G9" i="19"/>
  <c r="K3" i="18"/>
  <c r="E13" i="18"/>
  <c r="B3" i="18"/>
  <c r="E3" i="18" s="1"/>
  <c r="K3" i="17"/>
  <c r="E18" i="17"/>
  <c r="E11" i="17"/>
  <c r="B3" i="17"/>
  <c r="E3" i="17" s="1"/>
  <c r="E18" i="16" l="1"/>
  <c r="E11" i="16"/>
  <c r="B3" i="16"/>
  <c r="E3" i="16" s="1"/>
  <c r="B3" i="15" l="1"/>
  <c r="E3" i="15" s="1"/>
  <c r="H9" i="8" l="1"/>
  <c r="H8" i="8"/>
  <c r="D57" i="8" l="1"/>
  <c r="D3" i="8"/>
  <c r="D176" i="8"/>
  <c r="D175" i="8"/>
  <c r="D174" i="8"/>
  <c r="D158" i="8"/>
  <c r="D157" i="8"/>
  <c r="D156" i="8"/>
  <c r="D153" i="8"/>
  <c r="D152" i="8"/>
  <c r="D151" i="8"/>
  <c r="D150" i="8"/>
  <c r="D149" i="8"/>
  <c r="D148" i="8"/>
  <c r="D147" i="8"/>
  <c r="D144" i="8"/>
  <c r="D143" i="8"/>
  <c r="D142" i="8"/>
  <c r="D141" i="8"/>
  <c r="D140" i="8"/>
  <c r="D139" i="8"/>
  <c r="D138" i="8"/>
  <c r="D135" i="8"/>
  <c r="D134" i="8"/>
  <c r="D133" i="8"/>
  <c r="D132" i="8"/>
  <c r="D131" i="8"/>
  <c r="D130" i="8"/>
  <c r="D129" i="8"/>
  <c r="D120" i="8"/>
  <c r="D119" i="8"/>
  <c r="D106" i="8"/>
  <c r="D105" i="8"/>
  <c r="D104" i="8"/>
  <c r="D103" i="8"/>
  <c r="D102" i="8"/>
  <c r="D101" i="8"/>
  <c r="D100" i="8"/>
  <c r="D97" i="8"/>
  <c r="D96" i="8"/>
  <c r="D95" i="8"/>
  <c r="D94" i="8"/>
  <c r="D93" i="8"/>
  <c r="D92" i="8"/>
  <c r="D91" i="8"/>
  <c r="D88" i="8"/>
  <c r="D87" i="8"/>
  <c r="D84" i="8"/>
  <c r="D85" i="8"/>
  <c r="D86" i="8"/>
  <c r="D83" i="8"/>
  <c r="AC158" i="2" l="1"/>
  <c r="AC86" i="2"/>
  <c r="AC184" i="2"/>
  <c r="AC152" i="2"/>
  <c r="AC80" i="2"/>
  <c r="E15" i="15" s="1"/>
  <c r="AC203" i="2"/>
  <c r="AC157" i="2"/>
  <c r="AC85" i="2"/>
  <c r="AC237" i="2"/>
  <c r="AC246" i="2"/>
  <c r="AC206" i="2"/>
  <c r="AC235" i="2"/>
  <c r="AC244" i="2"/>
  <c r="AC67" i="2"/>
  <c r="AC213" i="2"/>
  <c r="AC167" i="2"/>
  <c r="AC101" i="2"/>
  <c r="AC173" i="2"/>
  <c r="AC89" i="2"/>
  <c r="AC169" i="2"/>
  <c r="AC65" i="2"/>
  <c r="AC161" i="2"/>
  <c r="AC72" i="2"/>
  <c r="AC181" i="2"/>
  <c r="AC63" i="2"/>
  <c r="AC116" i="2"/>
  <c r="AC41" i="2"/>
  <c r="AC204" i="2"/>
  <c r="AC160" i="2"/>
  <c r="AC58" i="2"/>
  <c r="AC172" i="2"/>
  <c r="AC123" i="2"/>
  <c r="AC35" i="2"/>
  <c r="AC207" i="2"/>
  <c r="AC126" i="2"/>
  <c r="AC218" i="2"/>
  <c r="AC109" i="2"/>
  <c r="AC209" i="2"/>
  <c r="AC129" i="2"/>
  <c r="AC217" i="2"/>
  <c r="AC107" i="2"/>
  <c r="AC193" i="2"/>
  <c r="AC143" i="2"/>
  <c r="AC99" i="2"/>
  <c r="AC131" i="2"/>
  <c r="AC50" i="2"/>
  <c r="AC183" i="2"/>
  <c r="AC150" i="2"/>
  <c r="AC176" i="2"/>
  <c r="AC91" i="2"/>
  <c r="AC210" i="2"/>
  <c r="AC130" i="2"/>
  <c r="AC186" i="2"/>
  <c r="AC88" i="2"/>
  <c r="AC97" i="2"/>
  <c r="AC31" i="2"/>
  <c r="AC128" i="2"/>
  <c r="AC23" i="2"/>
  <c r="AC194" i="2"/>
  <c r="AC145" i="2"/>
  <c r="AC51" i="2"/>
  <c r="AC245" i="2"/>
  <c r="AC229" i="2"/>
  <c r="AC187" i="2"/>
  <c r="AC96" i="2"/>
  <c r="AC37" i="2"/>
  <c r="AC9" i="2"/>
  <c r="AC110" i="2"/>
  <c r="AC59" i="2"/>
  <c r="AC28" i="2"/>
  <c r="AC226" i="2"/>
  <c r="AC133" i="2"/>
  <c r="AC92" i="2"/>
  <c r="AC46" i="2"/>
  <c r="AC16" i="2"/>
  <c r="AC76" i="2"/>
  <c r="AC40" i="2"/>
  <c r="AC148" i="2"/>
  <c r="AC117" i="2"/>
  <c r="AC233" i="2"/>
  <c r="AC163" i="2"/>
  <c r="AC139" i="2"/>
  <c r="AC71" i="2"/>
  <c r="AC22" i="2"/>
  <c r="AC214" i="2"/>
  <c r="AC132" i="2"/>
  <c r="AC94" i="2"/>
  <c r="AC29" i="2"/>
  <c r="AC147" i="2"/>
  <c r="AC53" i="2"/>
  <c r="AC230" i="2"/>
  <c r="AC189" i="2"/>
  <c r="AC140" i="2"/>
  <c r="AC212" i="2"/>
  <c r="AC202" i="2"/>
  <c r="AC122" i="2"/>
  <c r="AC30" i="2"/>
  <c r="AC8" i="2"/>
  <c r="AC242" i="2"/>
  <c r="AC198" i="2"/>
  <c r="AC219" i="2"/>
  <c r="AC45" i="2"/>
  <c r="AC188" i="2"/>
  <c r="AC90" i="2"/>
  <c r="AC19" i="2"/>
  <c r="AC34" i="2"/>
  <c r="AC179" i="2"/>
  <c r="AC142" i="2"/>
  <c r="AC61" i="2"/>
  <c r="AC78" i="2"/>
  <c r="AC10" i="2"/>
  <c r="AC254" i="2"/>
  <c r="AC182" i="2"/>
  <c r="AC48" i="2"/>
  <c r="AC220" i="2"/>
  <c r="AC141" i="2"/>
  <c r="AC134" i="2"/>
  <c r="AC57" i="2"/>
  <c r="AC215" i="2"/>
  <c r="AC119" i="2"/>
  <c r="AC211" i="2"/>
  <c r="AC25" i="2"/>
  <c r="AC196" i="2"/>
  <c r="AC84" i="2"/>
  <c r="AC49" i="2"/>
  <c r="AC15" i="2"/>
  <c r="AC44" i="2"/>
  <c r="AC252" i="2"/>
  <c r="AC14" i="2"/>
  <c r="AC73" i="2"/>
  <c r="AC201" i="2"/>
  <c r="AC177" i="2"/>
  <c r="AC135" i="2"/>
  <c r="AC136" i="2"/>
  <c r="AC6" i="2"/>
  <c r="AC168" i="2"/>
  <c r="AC223" i="2"/>
  <c r="AC165" i="2"/>
  <c r="AC95" i="2"/>
  <c r="AC21" i="2"/>
  <c r="AC27" i="2"/>
  <c r="AC26" i="2"/>
  <c r="AC70" i="2"/>
  <c r="AC68" i="2"/>
  <c r="AC39" i="2"/>
  <c r="AC154" i="2"/>
  <c r="AC82" i="2"/>
  <c r="AC4" i="2"/>
  <c r="AC24" i="2"/>
  <c r="AC38" i="2"/>
  <c r="AC199" i="2"/>
  <c r="E13" i="15" l="1"/>
  <c r="F15" i="15"/>
  <c r="E16" i="15" s="1"/>
  <c r="E10" i="15"/>
  <c r="E11" i="15" s="1"/>
  <c r="F13" i="15"/>
  <c r="E14" i="15" s="1"/>
</calcChain>
</file>

<file path=xl/sharedStrings.xml><?xml version="1.0" encoding="utf-8"?>
<sst xmlns="http://schemas.openxmlformats.org/spreadsheetml/2006/main" count="58386" uniqueCount="6546">
  <si>
    <t>#</t>
  </si>
  <si>
    <t>Name</t>
  </si>
  <si>
    <t>Type 1</t>
  </si>
  <si>
    <t>Type 2</t>
  </si>
  <si>
    <t>Total</t>
  </si>
  <si>
    <t>HP</t>
  </si>
  <si>
    <t>Attack</t>
  </si>
  <si>
    <t>Defense</t>
  </si>
  <si>
    <t>Sp. Atk</t>
  </si>
  <si>
    <t>Sp. Def</t>
  </si>
  <si>
    <t>Speed</t>
  </si>
  <si>
    <t>Generation</t>
  </si>
  <si>
    <t>Legendary</t>
  </si>
  <si>
    <t>Bulbasaur</t>
  </si>
  <si>
    <t>Grass</t>
  </si>
  <si>
    <t>Poison</t>
  </si>
  <si>
    <t>Ivysaur</t>
  </si>
  <si>
    <t>Venusaur</t>
  </si>
  <si>
    <t>Charmander</t>
  </si>
  <si>
    <t>Fire</t>
  </si>
  <si>
    <t>Charmeleon</t>
  </si>
  <si>
    <t>Charizard</t>
  </si>
  <si>
    <t>Flying</t>
  </si>
  <si>
    <t>Dragon</t>
  </si>
  <si>
    <t>Squirtle</t>
  </si>
  <si>
    <t>Water</t>
  </si>
  <si>
    <t>Wartortle</t>
  </si>
  <si>
    <t>Blastoise</t>
  </si>
  <si>
    <t>Caterpie</t>
  </si>
  <si>
    <t>Bug</t>
  </si>
  <si>
    <t>Metapod</t>
  </si>
  <si>
    <t>Butterfree</t>
  </si>
  <si>
    <t>Weedle</t>
  </si>
  <si>
    <t>Kakuna</t>
  </si>
  <si>
    <t>Beedrill</t>
  </si>
  <si>
    <t>Pidgey</t>
  </si>
  <si>
    <t>Normal</t>
  </si>
  <si>
    <t>Pidgeotto</t>
  </si>
  <si>
    <t>Pidgeot</t>
  </si>
  <si>
    <t>Rattata</t>
  </si>
  <si>
    <t>Raticate</t>
  </si>
  <si>
    <t>Spearow</t>
  </si>
  <si>
    <t>Fearow</t>
  </si>
  <si>
    <t>Ekans</t>
  </si>
  <si>
    <t>Arbok</t>
  </si>
  <si>
    <t>Pikachu</t>
  </si>
  <si>
    <t>Electric</t>
  </si>
  <si>
    <t>Raichu</t>
  </si>
  <si>
    <t>Sandshrew</t>
  </si>
  <si>
    <t>Ground</t>
  </si>
  <si>
    <t>Sandslash</t>
  </si>
  <si>
    <t>Nidorina</t>
  </si>
  <si>
    <t>Nidoqueen</t>
  </si>
  <si>
    <t>Nidorino</t>
  </si>
  <si>
    <t>Nidoking</t>
  </si>
  <si>
    <t>Clefairy</t>
  </si>
  <si>
    <t>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</si>
  <si>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</si>
  <si>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</si>
  <si>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</si>
  <si>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</si>
  <si>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</si>
  <si>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</si>
  <si>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</si>
  <si>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</si>
  <si>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</si>
  <si>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</si>
  <si>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</si>
  <si>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</si>
  <si>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</si>
  <si>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</si>
  <si>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</si>
  <si>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</si>
  <si>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</si>
  <si>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</si>
  <si>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</si>
  <si>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</si>
  <si>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</si>
  <si>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Fighting</t>
  </si>
  <si>
    <t>Primeape</t>
  </si>
  <si>
    <t>Growlithe</t>
  </si>
  <si>
    <t>Arcanine</t>
  </si>
  <si>
    <t>Poliwag</t>
  </si>
  <si>
    <t>Poliwhirl</t>
  </si>
  <si>
    <t>Poliwrath</t>
  </si>
  <si>
    <t>Abra</t>
  </si>
  <si>
    <t>Psychic</t>
  </si>
  <si>
    <t>Kadabra</t>
  </si>
  <si>
    <t>Alakazam</t>
  </si>
  <si>
    <t>Machop</t>
  </si>
  <si>
    <t>Machoke</t>
  </si>
  <si>
    <t>Machamp</t>
  </si>
  <si>
    <t>Bellsprout</t>
  </si>
  <si>
    <t>Weepinbell</t>
  </si>
  <si>
    <t>Victreebel</t>
  </si>
  <si>
    <t>Tentacool</t>
  </si>
  <si>
    <t>Tentacruel</t>
  </si>
  <si>
    <t>Geodude</t>
  </si>
  <si>
    <t>Rock</t>
  </si>
  <si>
    <t>Graveler</t>
  </si>
  <si>
    <t>Golem</t>
  </si>
  <si>
    <t>Ponyta</t>
  </si>
  <si>
    <t>Rapidash</t>
  </si>
  <si>
    <t>Slowpoke</t>
  </si>
  <si>
    <t>Slowbro</t>
  </si>
  <si>
    <t>Magnemite</t>
  </si>
  <si>
    <t>Steel</t>
  </si>
  <si>
    <t>Magneton</t>
  </si>
  <si>
    <t>Farfetch'd</t>
  </si>
  <si>
    <t>Doduo</t>
  </si>
  <si>
    <t>Dodrio</t>
  </si>
  <si>
    <t>Seel</t>
  </si>
  <si>
    <t>Dewgong</t>
  </si>
  <si>
    <t>Ice</t>
  </si>
  <si>
    <t>Grimer</t>
  </si>
  <si>
    <t>Muk</t>
  </si>
  <si>
    <t>Shellder</t>
  </si>
  <si>
    <t>Cloyster</t>
  </si>
  <si>
    <t>Gastly</t>
  </si>
  <si>
    <t>Ghost</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</si>
  <si>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</si>
  <si>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</si>
  <si>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</si>
  <si>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</si>
  <si>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</si>
  <si>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</si>
  <si>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</si>
  <si>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</si>
  <si>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</si>
  <si>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</si>
  <si>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</si>
  <si>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</si>
  <si>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</si>
  <si>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</si>
  <si>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</si>
  <si>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</si>
  <si>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</si>
  <si>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</si>
  <si>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</si>
  <si>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</si>
  <si>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</si>
  <si>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</si>
  <si>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</si>
  <si>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</si>
  <si>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</si>
  <si>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</si>
  <si>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</si>
  <si>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</si>
  <si>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</si>
  <si>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</si>
  <si>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</si>
  <si>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Jynx</t>
  </si>
  <si>
    <t>Electabuzz</t>
  </si>
  <si>
    <t>Magmar</t>
  </si>
  <si>
    <t>Pinsir</t>
  </si>
  <si>
    <t>Tauros</t>
  </si>
  <si>
    <t>Magikarp</t>
  </si>
  <si>
    <t>Gyarados</t>
  </si>
  <si>
    <t>Dark</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</si>
  <si>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</si>
  <si>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</si>
  <si>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</si>
  <si>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</si>
  <si>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</si>
  <si>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</si>
  <si>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</si>
  <si>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</si>
  <si>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</si>
  <si>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</si>
  <si>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</si>
  <si>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</si>
  <si>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</si>
  <si>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</si>
  <si>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</si>
  <si>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</si>
  <si>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</si>
  <si>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Dragonair</t>
  </si>
  <si>
    <t>Dragonite</t>
  </si>
  <si>
    <t>Mewtwo</t>
  </si>
  <si>
    <t>Mew</t>
  </si>
  <si>
    <t>Chikorita</t>
  </si>
  <si>
    <t>Bayleef</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</si>
  <si>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</si>
  <si>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</si>
  <si>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</si>
  <si>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</si>
  <si>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</si>
  <si>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</si>
  <si>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</si>
  <si>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</si>
  <si>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</si>
  <si>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</si>
  <si>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</si>
  <si>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</si>
  <si>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</si>
  <si>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</si>
  <si>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</si>
  <si>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</si>
  <si>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</si>
  <si>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</si>
  <si>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</si>
  <si>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</si>
  <si>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</si>
  <si>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</si>
  <si>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</si>
  <si>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</si>
  <si>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</si>
  <si>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</si>
  <si>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</si>
  <si>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</si>
  <si>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</si>
  <si>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</si>
  <si>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</si>
  <si>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Politoed</t>
  </si>
  <si>
    <t>Hoppip</t>
  </si>
  <si>
    <t>Skiploom</t>
  </si>
  <si>
    <t>Jumpluff</t>
  </si>
  <si>
    <t>Aipom</t>
  </si>
  <si>
    <t>Sunkern</t>
  </si>
  <si>
    <t>Sunflora</t>
  </si>
  <si>
    <t>Yanma</t>
  </si>
  <si>
    <t>Wooper</t>
  </si>
  <si>
    <t>Quagsire</t>
  </si>
  <si>
    <t>Espeon</t>
  </si>
  <si>
    <t>Umbreon</t>
  </si>
  <si>
    <t>Murkrow</t>
  </si>
  <si>
    <t>Slowking</t>
  </si>
  <si>
    <t>Misdreavus</t>
  </si>
  <si>
    <t>Unown</t>
  </si>
  <si>
    <t>Wobbuffet</t>
  </si>
  <si>
    <t>Girafarig</t>
  </si>
  <si>
    <t>Pineco</t>
  </si>
  <si>
    <t>Forretress</t>
  </si>
  <si>
    <t>Dunsparce</t>
  </si>
  <si>
    <t>Gligar</t>
  </si>
  <si>
    <t>Steelix</t>
  </si>
  <si>
    <t>Snubbull</t>
  </si>
  <si>
    <t>Granbull</t>
  </si>
  <si>
    <t>Qwilfish</t>
  </si>
  <si>
    <t>Scizor</t>
  </si>
  <si>
    <t>Shuckle</t>
  </si>
  <si>
    <t>Heracross</t>
  </si>
  <si>
    <t>Sneasel</t>
  </si>
  <si>
    <t>Teddiursa</t>
  </si>
  <si>
    <t>Ursaring</t>
  </si>
  <si>
    <t>Slugma</t>
  </si>
  <si>
    <t>Magcargo</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</si>
  <si>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</si>
  <si>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</si>
  <si>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</si>
  <si>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</si>
  <si>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</si>
  <si>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</si>
  <si>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</si>
  <si>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</si>
  <si>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</si>
  <si>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</si>
  <si>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</si>
  <si>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</si>
  <si>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</si>
  <si>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</si>
  <si>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</si>
  <si>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</si>
  <si>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</si>
  <si>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</si>
  <si>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</si>
  <si>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</si>
  <si>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</si>
  <si>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</si>
  <si>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</si>
  <si>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</si>
  <si>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</si>
  <si>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</si>
  <si>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</si>
  <si>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</si>
  <si>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</si>
  <si>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</si>
  <si>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</si>
  <si>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</si>
  <si>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</si>
  <si>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</si>
  <si>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</si>
  <si>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</si>
  <si>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</si>
  <si>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</si>
  <si>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</si>
  <si>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</si>
  <si>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</si>
  <si>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</si>
  <si>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</si>
  <si>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</si>
  <si>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</si>
  <si>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</si>
  <si>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</si>
  <si>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</si>
  <si>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</si>
  <si>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</si>
  <si>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</si>
  <si>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</si>
  <si>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</si>
  <si>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</si>
  <si>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</si>
  <si>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</si>
  <si>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</si>
  <si>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</si>
  <si>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</si>
  <si>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</si>
  <si>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</si>
  <si>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</si>
  <si>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</si>
  <si>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</si>
  <si>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</si>
  <si>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</si>
  <si>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</si>
  <si>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</si>
  <si>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</si>
  <si>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</si>
  <si>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</si>
  <si>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</si>
  <si>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</si>
  <si>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</si>
  <si>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</si>
  <si>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</si>
  <si>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</si>
  <si>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</si>
  <si>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</si>
  <si>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</si>
  <si>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</si>
  <si>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</si>
  <si>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</si>
  <si>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</si>
  <si>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</si>
  <si>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</si>
  <si>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</si>
  <si>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</si>
  <si>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</si>
  <si>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</si>
  <si>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</si>
  <si>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</si>
  <si>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</si>
  <si>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</si>
  <si>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</si>
  <si>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</si>
  <si>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</si>
  <si>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</si>
  <si>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</si>
  <si>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</si>
  <si>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</si>
  <si>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</si>
  <si>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</si>
  <si>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</si>
  <si>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</si>
  <si>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</si>
  <si>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</si>
  <si>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</si>
  <si>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</si>
  <si>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</si>
  <si>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</si>
  <si>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</si>
  <si>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</si>
  <si>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</si>
  <si>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</si>
  <si>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</si>
  <si>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</si>
  <si>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</si>
  <si>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</si>
  <si>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</si>
  <si>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</si>
  <si>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</si>
  <si>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</si>
  <si>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</si>
  <si>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</si>
  <si>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</si>
  <si>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</si>
  <si>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</si>
  <si>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</si>
  <si>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</si>
  <si>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</si>
  <si>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</si>
  <si>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</si>
  <si>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</si>
  <si>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</si>
  <si>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</si>
  <si>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</si>
  <si>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</si>
  <si>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</si>
  <si>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</si>
  <si>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</si>
  <si>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</si>
  <si>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</si>
  <si>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</si>
  <si>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</si>
  <si>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</si>
  <si>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</si>
  <si>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</si>
  <si>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</si>
  <si>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</si>
  <si>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</si>
  <si>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</si>
  <si>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</si>
  <si>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</si>
  <si>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</si>
  <si>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</si>
  <si>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</si>
  <si>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</si>
  <si>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</si>
  <si>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</si>
  <si>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</si>
  <si>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</si>
  <si>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</si>
  <si>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KyogrePrimal Kyogre</t>
  </si>
  <si>
    <t>Groudon</t>
  </si>
  <si>
    <t>GroudonPrimal Groudon</t>
  </si>
  <si>
    <t>Rayquaza</t>
  </si>
  <si>
    <t>Jirachi</t>
  </si>
  <si>
    <t>DeoxysNormal Forme</t>
  </si>
  <si>
    <t>DeoxysAttack Forme</t>
  </si>
  <si>
    <t>DeoxysDefense Forme</t>
  </si>
  <si>
    <t>DeoxysSpeed Forme</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</si>
  <si>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</si>
  <si>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</si>
  <si>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</si>
  <si>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</si>
  <si>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</si>
  <si>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</si>
  <si>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</si>
  <si>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</si>
  <si>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</si>
  <si>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</si>
  <si>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</si>
  <si>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</si>
  <si>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</si>
  <si>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</si>
  <si>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</si>
  <si>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</si>
  <si>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</si>
  <si>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</si>
  <si>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</si>
  <si>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</si>
  <si>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</si>
  <si>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</si>
  <si>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</si>
  <si>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</si>
  <si>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</si>
  <si>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</si>
  <si>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WormadamPlant Cloak</t>
  </si>
  <si>
    <t>WormadamSandy Cloak</t>
  </si>
  <si>
    <t>WormadamTrash Cloak</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</si>
  <si>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</si>
  <si>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</si>
  <si>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</si>
  <si>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</si>
  <si>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</si>
  <si>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</si>
  <si>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</si>
  <si>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</si>
  <si>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</si>
  <si>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</si>
  <si>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</si>
  <si>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</si>
  <si>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</si>
  <si>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</si>
  <si>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</si>
  <si>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</si>
  <si>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</si>
  <si>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</si>
  <si>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</si>
  <si>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</si>
  <si>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</si>
  <si>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</si>
  <si>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</si>
  <si>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</si>
  <si>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</si>
  <si>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</si>
  <si>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</si>
  <si>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</si>
  <si>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</si>
  <si>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</si>
  <si>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</si>
  <si>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</si>
  <si>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</si>
  <si>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</si>
  <si>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</si>
  <si>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</si>
  <si>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</si>
  <si>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</si>
  <si>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</si>
  <si>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</si>
  <si>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</si>
  <si>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</si>
  <si>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</si>
  <si>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</si>
  <si>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</si>
  <si>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</si>
  <si>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</si>
  <si>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</si>
  <si>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</si>
  <si>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</si>
  <si>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</si>
  <si>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</si>
  <si>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</si>
  <si>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</si>
  <si>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</si>
  <si>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Leafeon</t>
  </si>
  <si>
    <t>Glaceon</t>
  </si>
  <si>
    <t>Gliscor</t>
  </si>
  <si>
    <t>Mamoswine</t>
  </si>
  <si>
    <t>Porygon-Z</t>
  </si>
  <si>
    <t>Gallade</t>
  </si>
  <si>
    <t>Probopass</t>
  </si>
  <si>
    <t>Dusknoir</t>
  </si>
  <si>
    <t>Froslass</t>
  </si>
  <si>
    <t>Rotom</t>
  </si>
  <si>
    <t>RotomHeat Rotom</t>
  </si>
  <si>
    <t>RotomWash Rotom</t>
  </si>
  <si>
    <t>RotomFrost Rotom</t>
  </si>
  <si>
    <t>RotomFan Rotom</t>
  </si>
  <si>
    <t>RotomMow Rotom</t>
  </si>
  <si>
    <t>Uxie</t>
  </si>
  <si>
    <t>Mesprit</t>
  </si>
  <si>
    <t>Azelf</t>
  </si>
  <si>
    <t>Dialga</t>
  </si>
  <si>
    <t>Palkia</t>
  </si>
  <si>
    <t>Heatran</t>
  </si>
  <si>
    <t>Regigigas</t>
  </si>
  <si>
    <t>GiratinaAltered Forme</t>
  </si>
  <si>
    <t>GiratinaOrigin Forme</t>
  </si>
  <si>
    <t>Cresselia</t>
  </si>
  <si>
    <t>Phione</t>
  </si>
  <si>
    <t>Manaphy</t>
  </si>
  <si>
    <t>Darkrai</t>
  </si>
  <si>
    <t>ShayminLand Forme</t>
  </si>
  <si>
    <t>ShayminSky Forme</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</si>
  <si>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</si>
  <si>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</si>
  <si>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</si>
  <si>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</si>
  <si>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</si>
  <si>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</si>
  <si>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</si>
  <si>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</si>
  <si>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</si>
  <si>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</si>
  <si>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</si>
  <si>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</si>
  <si>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</si>
  <si>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</si>
  <si>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</si>
  <si>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</si>
  <si>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</si>
  <si>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</si>
  <si>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</si>
  <si>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</si>
  <si>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</si>
  <si>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</si>
  <si>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</si>
  <si>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</si>
  <si>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</si>
  <si>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</si>
  <si>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</si>
  <si>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</si>
  <si>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</si>
  <si>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</si>
  <si>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</si>
  <si>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</si>
  <si>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</si>
  <si>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</si>
  <si>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</si>
  <si>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</si>
  <si>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</si>
  <si>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</si>
  <si>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</si>
  <si>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</si>
  <si>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</si>
  <si>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</si>
  <si>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</si>
  <si>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</si>
  <si>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</si>
  <si>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</si>
  <si>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</si>
  <si>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</si>
  <si>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</si>
  <si>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</si>
  <si>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</si>
  <si>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</si>
  <si>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</si>
  <si>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</si>
  <si>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</si>
  <si>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</si>
  <si>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</si>
  <si>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</si>
  <si>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Sandile</t>
  </si>
  <si>
    <t>Krokorok</t>
  </si>
  <si>
    <t>Krookodile</t>
  </si>
  <si>
    <t>Darumaka</t>
  </si>
  <si>
    <t>DarmanitanStandard Mode</t>
  </si>
  <si>
    <t>DarmanitanZen Mode</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</si>
  <si>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</si>
  <si>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</si>
  <si>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</si>
  <si>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</si>
  <si>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</si>
  <si>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</si>
  <si>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</si>
  <si>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</si>
  <si>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</si>
  <si>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</si>
  <si>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</si>
  <si>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</si>
  <si>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</si>
  <si>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</si>
  <si>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</si>
  <si>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</si>
  <si>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</si>
  <si>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</si>
  <si>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</si>
  <si>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</si>
  <si>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</si>
  <si>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</si>
  <si>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</si>
  <si>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</si>
  <si>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</si>
  <si>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</si>
  <si>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</si>
  <si>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</si>
  <si>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</si>
  <si>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</si>
  <si>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</si>
  <si>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</si>
  <si>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</si>
  <si>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</si>
  <si>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</si>
  <si>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</si>
  <si>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</si>
  <si>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</si>
  <si>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</si>
  <si>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</si>
  <si>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</si>
  <si>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</si>
  <si>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</si>
  <si>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</si>
  <si>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</si>
  <si>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</si>
  <si>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</si>
  <si>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</si>
  <si>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</si>
  <si>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</si>
  <si>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</si>
  <si>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</si>
  <si>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</si>
  <si>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</si>
  <si>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</si>
  <si>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</si>
  <si>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</si>
  <si>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</si>
  <si>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</si>
  <si>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</si>
  <si>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</si>
  <si>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</si>
  <si>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</si>
  <si>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</si>
  <si>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</si>
  <si>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</si>
  <si>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</si>
  <si>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</si>
  <si>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</si>
  <si>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</si>
  <si>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</si>
  <si>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</si>
  <si>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</si>
  <si>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</si>
  <si>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</si>
  <si>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</si>
  <si>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</si>
  <si>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</si>
  <si>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</si>
  <si>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</si>
  <si>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</si>
  <si>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</si>
  <si>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</si>
  <si>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</si>
  <si>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</si>
  <si>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TornadusIncarnate Forme</t>
  </si>
  <si>
    <t>TornadusTherian Forme</t>
  </si>
  <si>
    <t>ThundurusIncarnate Forme</t>
  </si>
  <si>
    <t>ThundurusTherian Forme</t>
  </si>
  <si>
    <t>Reshiram</t>
  </si>
  <si>
    <t>Zekrom</t>
  </si>
  <si>
    <t>LandorusIncarnate Forme</t>
  </si>
  <si>
    <t>LandorusTherian Forme</t>
  </si>
  <si>
    <t>Kyurem</t>
  </si>
  <si>
    <t>KyuremBlack Kyurem</t>
  </si>
  <si>
    <t>KyuremWhite Kyurem</t>
  </si>
  <si>
    <t>KeldeoOrdinary Forme</t>
  </si>
  <si>
    <t>KeldeoResolute Forme</t>
  </si>
  <si>
    <t>MeloettaAria Forme</t>
  </si>
  <si>
    <t>MeloettaPirouette Forme</t>
  </si>
  <si>
    <t>Genesect</t>
  </si>
  <si>
    <t>Chespin</t>
  </si>
  <si>
    <t>Quilladin</t>
  </si>
  <si>
    <t>Chesnaught</t>
  </si>
  <si>
    <t>Fennekin</t>
  </si>
  <si>
    <t>Braixen</t>
  </si>
  <si>
    <t>Delphox</t>
  </si>
  <si>
    <t>Froakie</t>
  </si>
  <si>
    <t>Frogadier</t>
  </si>
  <si>
    <t>Greninja</t>
  </si>
  <si>
    <t>Bunnelby</t>
  </si>
  <si>
    <t>Diggersby</t>
  </si>
  <si>
    <t>Fletchling</t>
  </si>
  <si>
    <t>Fletchinder</t>
  </si>
  <si>
    <t>Talonflame</t>
  </si>
  <si>
    <t>Scatterbug</t>
  </si>
  <si>
    <t>Spewpa</t>
  </si>
  <si>
    <t>Vivillon</t>
  </si>
  <si>
    <t>Litleo</t>
  </si>
  <si>
    <t>Pyroar</t>
  </si>
  <si>
    <t>FlabÃ©bÃ©</t>
  </si>
  <si>
    <t>Floette</t>
  </si>
  <si>
    <t>Florges</t>
  </si>
  <si>
    <t>Skiddo</t>
  </si>
  <si>
    <t>Gogoat</t>
  </si>
  <si>
    <t>Pancham</t>
  </si>
  <si>
    <t>Pangoro</t>
  </si>
  <si>
    <t>Furfrou</t>
  </si>
  <si>
    <t>Espurr</t>
  </si>
  <si>
    <t>MeowsticMale</t>
  </si>
  <si>
    <t>MeowsticFemale</t>
  </si>
  <si>
    <t>Honedge</t>
  </si>
  <si>
    <t>Doublade</t>
  </si>
  <si>
    <t>AegislashBlade Forme</t>
  </si>
  <si>
    <t>AegislashShield Forme</t>
  </si>
  <si>
    <t>Spritzee</t>
  </si>
  <si>
    <t>Aromatisse</t>
  </si>
  <si>
    <t>Swirlix</t>
  </si>
  <si>
    <t>Slurpuff</t>
  </si>
  <si>
    <t>Inkay</t>
  </si>
  <si>
    <t>Malamar</t>
  </si>
  <si>
    <t>Binacle</t>
  </si>
  <si>
    <t>Barbaracle</t>
  </si>
  <si>
    <t>Skrelp</t>
  </si>
  <si>
    <t>Dragalge</t>
  </si>
  <si>
    <t>Clauncher</t>
  </si>
  <si>
    <t>Clawitzer</t>
  </si>
  <si>
    <t>Helioptile</t>
  </si>
  <si>
    <t>Heliolisk</t>
  </si>
  <si>
    <t>Tyrunt</t>
  </si>
  <si>
    <t>Tyrantrum</t>
  </si>
  <si>
    <t>Amaura</t>
  </si>
  <si>
    <t>Aurorus</t>
  </si>
  <si>
    <t>Sylveon</t>
  </si>
  <si>
    <t>Hawlucha</t>
  </si>
  <si>
    <t>Dedenne</t>
  </si>
  <si>
    <t>Carbink</t>
  </si>
  <si>
    <t>Goomy</t>
  </si>
  <si>
    <t>Sliggoo</t>
  </si>
  <si>
    <t>Goodra</t>
  </si>
  <si>
    <t>Klefki</t>
  </si>
  <si>
    <t>Phantump</t>
  </si>
  <si>
    <t>Trevenant</t>
  </si>
  <si>
    <t>Bergmite</t>
  </si>
  <si>
    <t>Avalugg</t>
  </si>
  <si>
    <t>Noibat</t>
  </si>
  <si>
    <t>Noivern</t>
  </si>
  <si>
    <t>Xerneas</t>
  </si>
  <si>
    <t>Yveltal</t>
  </si>
  <si>
    <t>Diancie</t>
  </si>
  <si>
    <t>Volcanion</t>
  </si>
  <si>
    <t>Nidoran H</t>
  </si>
  <si>
    <t>Nidoran M</t>
  </si>
  <si>
    <t>Real Games</t>
  </si>
  <si>
    <t>Descripción</t>
  </si>
  <si>
    <t>Agua</t>
  </si>
  <si>
    <t>Overall</t>
  </si>
  <si>
    <t>Item</t>
  </si>
  <si>
    <t>Bicicleta</t>
  </si>
  <si>
    <t>Shilp Scope</t>
  </si>
  <si>
    <t>Fósil domo</t>
  </si>
  <si>
    <t>Fósil hélix</t>
  </si>
  <si>
    <t>Ambar viejo</t>
  </si>
  <si>
    <t>Poke flauta</t>
  </si>
  <si>
    <t>Buscapelea</t>
  </si>
  <si>
    <t>Saco de bayas</t>
  </si>
  <si>
    <t>Monedero</t>
  </si>
  <si>
    <t>Caña vieja</t>
  </si>
  <si>
    <t>Supercaña</t>
  </si>
  <si>
    <t>Buscaobjetos</t>
  </si>
  <si>
    <t>SS. Ticket</t>
  </si>
  <si>
    <t>Oficial Jenny</t>
  </si>
  <si>
    <t>Safari Ball</t>
  </si>
  <si>
    <t>Mt. Moon</t>
  </si>
  <si>
    <t>Evo</t>
  </si>
  <si>
    <t>Starter</t>
  </si>
  <si>
    <t>Route 1</t>
  </si>
  <si>
    <t>Route 22</t>
  </si>
  <si>
    <t>Pokemon</t>
  </si>
  <si>
    <t>Stats</t>
  </si>
  <si>
    <t>Route 2</t>
  </si>
  <si>
    <t>Route 3</t>
  </si>
  <si>
    <t>Route 4</t>
  </si>
  <si>
    <t>Route 5</t>
  </si>
  <si>
    <t>Route 6</t>
  </si>
  <si>
    <t>Route 7</t>
  </si>
  <si>
    <t>Route 8</t>
  </si>
  <si>
    <t>Route 11</t>
  </si>
  <si>
    <t>Route 12</t>
  </si>
  <si>
    <t>Route 13</t>
  </si>
  <si>
    <t>Route 14</t>
  </si>
  <si>
    <t>Route 15</t>
  </si>
  <si>
    <t>Route 19</t>
  </si>
  <si>
    <t>Route 20</t>
  </si>
  <si>
    <t>Route 21</t>
  </si>
  <si>
    <t>Route 23</t>
  </si>
  <si>
    <t>In route</t>
  </si>
  <si>
    <t>Special</t>
  </si>
  <si>
    <t>Route 9 &amp; 10</t>
  </si>
  <si>
    <t>Route 16, 17 &amp; 18</t>
  </si>
  <si>
    <t>Route 24 &amp; 25</t>
  </si>
  <si>
    <t>Torre Pokemon</t>
  </si>
  <si>
    <t>Zona Safari</t>
  </si>
  <si>
    <t>Fósil Hélix (Isla Canela)</t>
  </si>
  <si>
    <t>Fósil Domo (Isla Canela)</t>
  </si>
  <si>
    <t>Ámbar Viejo (Ciudad Plateada)</t>
  </si>
  <si>
    <t>Ruta 12/13 en la casilla de Snorlax (Poke flauta necesaria) - solo uno</t>
  </si>
  <si>
    <t>Camión del muelle (100%) - requisitos: 8 medallas + intercambio por Nidoking - solo uno</t>
  </si>
  <si>
    <t>Ciudad Azulona (casino)</t>
  </si>
  <si>
    <t>Regalo de Bill - solo uno</t>
  </si>
  <si>
    <t>Mt. Moon, Rock Tunnel</t>
  </si>
  <si>
    <t>Rock Tunnel</t>
  </si>
  <si>
    <t>n19/20 en tunel roca (si 8 medallas)</t>
  </si>
  <si>
    <t>n19/20 en islas espuma (si 8 medallas)</t>
  </si>
  <si>
    <t>n19/20 en calle victoria (si 8 medallas)</t>
  </si>
  <si>
    <t>RUTA 1</t>
  </si>
  <si>
    <t>% Probabilidad</t>
  </si>
  <si>
    <t>1 a 6</t>
  </si>
  <si>
    <t>7 a 12</t>
  </si>
  <si>
    <t>13 a 15</t>
  </si>
  <si>
    <t>16 a 18</t>
  </si>
  <si>
    <t>19 o 20</t>
  </si>
  <si>
    <t>RUTA 2</t>
  </si>
  <si>
    <t>RUTA 3</t>
  </si>
  <si>
    <t>RUTA 4</t>
  </si>
  <si>
    <t>RUTA 5</t>
  </si>
  <si>
    <t>RUTA 6</t>
  </si>
  <si>
    <t>RUTA 7</t>
  </si>
  <si>
    <t>15 a 17</t>
  </si>
  <si>
    <t>18 a 20</t>
  </si>
  <si>
    <t>13 a 16</t>
  </si>
  <si>
    <t>17 a 19</t>
  </si>
  <si>
    <t>16 o 17</t>
  </si>
  <si>
    <t>18 o 19</t>
  </si>
  <si>
    <t>1 a 4</t>
  </si>
  <si>
    <t>5 a 8</t>
  </si>
  <si>
    <t>9 a 12</t>
  </si>
  <si>
    <t>1 a 5</t>
  </si>
  <si>
    <t>6 a 10</t>
  </si>
  <si>
    <t>11 a 15</t>
  </si>
  <si>
    <t>11 a 14</t>
  </si>
  <si>
    <t>RUTA 8</t>
  </si>
  <si>
    <t>1 a 3</t>
  </si>
  <si>
    <t>4 a 6</t>
  </si>
  <si>
    <t>7 a 9</t>
  </si>
  <si>
    <t>10 a 12</t>
  </si>
  <si>
    <t>Combate</t>
  </si>
  <si>
    <t>Movimiento</t>
  </si>
  <si>
    <t>Para moverte por el tablero utilizas 1d6. Antes de iniciar el movimiento debes escoger la dirección; una vez escogida, el movimiento solo podrá ser hacia delante (siguiendo la ruta).
Excepción: s te encuentras con un "roadblock" (snorlax, oficial jenny...) puedes continuar el movimiento en dirección contraria.</t>
  </si>
  <si>
    <t>RUTA 9 &amp; 10</t>
  </si>
  <si>
    <t>RUTA 11</t>
  </si>
  <si>
    <t>RUTA 12</t>
  </si>
  <si>
    <t>17 o 18</t>
  </si>
  <si>
    <t>RUTA 13</t>
  </si>
  <si>
    <t>RUTA 14</t>
  </si>
  <si>
    <t>RUTA 15</t>
  </si>
  <si>
    <t>RUTA 16, 17 &amp; 18</t>
  </si>
  <si>
    <t>15 o 16</t>
  </si>
  <si>
    <t>9 a 11</t>
  </si>
  <si>
    <t>12 a 14</t>
  </si>
  <si>
    <t>RUTA 19</t>
  </si>
  <si>
    <t>Seafoam Islands</t>
  </si>
  <si>
    <t>RUTA 20</t>
  </si>
  <si>
    <t>RUTA 21</t>
  </si>
  <si>
    <t>RUTA 22</t>
  </si>
  <si>
    <t>14 o 15</t>
  </si>
  <si>
    <t>12 o 13</t>
  </si>
  <si>
    <t>10 o 11</t>
  </si>
  <si>
    <t>1 o 2</t>
  </si>
  <si>
    <t>3 o 4</t>
  </si>
  <si>
    <t>5 o 6</t>
  </si>
  <si>
    <t>Event PKMN</t>
  </si>
  <si>
    <t>Obtención?</t>
  </si>
  <si>
    <t>1 a 8</t>
  </si>
  <si>
    <t>8 a 16</t>
  </si>
  <si>
    <t>Torre Pokémon*</t>
  </si>
  <si>
    <t>Pueblo Paleta*</t>
  </si>
  <si>
    <t>Zona Safari*</t>
  </si>
  <si>
    <t>Casino Azulona*</t>
  </si>
  <si>
    <t>Con objeto "Fósil Helix", ir a Isla Canela</t>
  </si>
  <si>
    <t>Con objeto "Fósil Domo", ir a Isla Canela</t>
  </si>
  <si>
    <t>Con objeto "Ámbar Viejo", ir a Ciudad Plateada</t>
  </si>
  <si>
    <t>Primer jugador en llegar a casa de Bill (solo uno)</t>
  </si>
  <si>
    <t>Cueva celeste (100%) - requisitos: 8 medallas + n19/20 - solo uno</t>
  </si>
  <si>
    <t>Master Ball</t>
  </si>
  <si>
    <t>Piedra Evolutiva</t>
  </si>
  <si>
    <t>Caramelo Raro</t>
  </si>
  <si>
    <t>Perla</t>
  </si>
  <si>
    <t>Pepita</t>
  </si>
  <si>
    <t>Poción</t>
  </si>
  <si>
    <t>Rest. Todo</t>
  </si>
  <si>
    <t>Máx. Revivir</t>
  </si>
  <si>
    <t>Precisión X</t>
  </si>
  <si>
    <t>Ataque X</t>
  </si>
  <si>
    <t>Defensa X</t>
  </si>
  <si>
    <t>Mon. Amuleto</t>
  </si>
  <si>
    <t>Piedra Eterna</t>
  </si>
  <si>
    <t>Restos</t>
  </si>
  <si>
    <t>Bolaluminosa</t>
  </si>
  <si>
    <t>Huevo Suerte</t>
  </si>
  <si>
    <t>Puño Suerte</t>
  </si>
  <si>
    <t>Garra Rápida</t>
  </si>
  <si>
    <t>Periscopio</t>
  </si>
  <si>
    <t>Palo</t>
  </si>
  <si>
    <t>Hueso Grueso</t>
  </si>
  <si>
    <t>Cinta Experto</t>
  </si>
  <si>
    <t>Cinta Focus</t>
  </si>
  <si>
    <t>Cinta Elección</t>
  </si>
  <si>
    <t>Velocidad X</t>
  </si>
  <si>
    <t>Poké Muñeco</t>
  </si>
  <si>
    <t>game corner</t>
  </si>
  <si>
    <t>pokemon o objetos</t>
  </si>
  <si>
    <t>3 a 6 (tirada 1)</t>
  </si>
  <si>
    <t>3 a 6 (tirada 2)</t>
  </si>
  <si>
    <t>3 a 6 (tirada 3)</t>
  </si>
  <si>
    <t>Habilidades</t>
  </si>
  <si>
    <t>You will fight all of the opponent's Pokémon in order, using (if needed) all of your Pokémon.
At the start of the battle, you may decide which Pokémon to start with and if you want to use any PlusPowers/Defenders on any of your Pokémon.
You and another player (posing as the opponent) both throw the dice simultaneously. The outcomes are multiplied by the amount of Battle Points of the fighting Pokémon, deciding the total battle outcomes of both Pokémon.
Many Pokémon abilities can affect this total battle outcome, so keep a close eye on them!
The Pokémon with the lowest battle outcome is now knocked out, and the victorious Pokémon has to stay in battle for the opponent's next Pokémon (the victorious Pokémon will also evolve after the battle, if eligible).
Once all Pokémon of a trainer have been defeated, the victor will receive his rewards.
Duels function differently since you're fighting one of your rival trainers, and you'll both only use one Pokémon. You can read more about duels here.</t>
  </si>
  <si>
    <t>Gyms &amp; the Pokémon League</t>
  </si>
  <si>
    <t>Conquistar gyms?</t>
  </si>
  <si>
    <t>Pokemon Tabletop Stats</t>
  </si>
  <si>
    <t>Habilidad</t>
  </si>
  <si>
    <t>Movimiento 1</t>
  </si>
  <si>
    <t>Movimiento 2</t>
  </si>
  <si>
    <t>Team Rocket</t>
  </si>
  <si>
    <t xml:space="preserve"> Passive abilities are abilities that always function, even when the Pokémon is knocked out. Active abilities are abilities that do not work when the Pokémon is knocked out, and you can utilize most of the active abilities by choice (such as Machamp's ability shown). Some active abilities always function (such as Celebi's), except when the Pokémon is knocked out. HABILIDADES DE COMBATE / NO COMBATE
growlithe, evita team rocket</t>
  </si>
  <si>
    <t>Tipo</t>
  </si>
  <si>
    <t>T</t>
  </si>
  <si>
    <t>Regeneración</t>
  </si>
  <si>
    <t>Vengador</t>
  </si>
  <si>
    <t>C</t>
  </si>
  <si>
    <t>Si un rival te pide un intercambio, juega esta carta para evitarlo.</t>
  </si>
  <si>
    <t>Intimidación</t>
  </si>
  <si>
    <t>Autoestima</t>
  </si>
  <si>
    <t>Robustez</t>
  </si>
  <si>
    <t>Al usar a "X" en combate, puedes repetir la tirada de ataque.</t>
  </si>
  <si>
    <t>Enjambre</t>
  </si>
  <si>
    <t>Evolución rápida</t>
  </si>
  <si>
    <t>Al entrar en combate tira un dado. Si 1/2 envenena al rival; si 3/4; paraliza al rival; si 5/6 duerme al rival.</t>
  </si>
  <si>
    <t>Efecto Espora</t>
  </si>
  <si>
    <t>Indefenso</t>
  </si>
  <si>
    <t>Excavar</t>
  </si>
  <si>
    <t>Permite usar objetos curativos durante combate.</t>
  </si>
  <si>
    <t>Dentro de una misma ruta, retrocede tres casillas cuando quieras. (una vez por ruta)</t>
  </si>
  <si>
    <t>En vez de tirar el dado de movimiento puedes moverte una casilla hacia delante o hacia atrás.</t>
  </si>
  <si>
    <t>Venomoth puede cambiar los puntos de ataque con los de su oponente. Al derrotar al oponente se revierte el cambio. Una vez por combate.</t>
  </si>
  <si>
    <t>Entusiasmo</t>
  </si>
  <si>
    <t>Agallas</t>
  </si>
  <si>
    <t>Sacrificio</t>
  </si>
  <si>
    <t>Puedes moverte el mismo número de casillas que el jugador anterior. Recarga 1 turno.</t>
  </si>
  <si>
    <t>Puedes llevar contigo hasta 10 cartas de objeto (en vez de 8).</t>
  </si>
  <si>
    <t>Puedes pasar una carta de evento a otro jugador (antes de mirarla).</t>
  </si>
  <si>
    <t>Puedes permanecer en la misma casilla por un turno adicional. Solo una vez por ruta.</t>
  </si>
  <si>
    <t>Guillotina</t>
  </si>
  <si>
    <t>Si alguna vez el resultado de una tirada de movimiento es 6, Dratini evoluciona directamente.</t>
  </si>
  <si>
    <t>Dicha</t>
  </si>
  <si>
    <t>Copión</t>
  </si>
  <si>
    <t>Sebo</t>
  </si>
  <si>
    <t>Escuadrón</t>
  </si>
  <si>
    <t>Venusaur recibe daño neutral de los movimientos de tipo fuego / hielo.</t>
  </si>
  <si>
    <t>Protector</t>
  </si>
  <si>
    <t>Rivalidad</t>
  </si>
  <si>
    <t>Fuga</t>
  </si>
  <si>
    <t>Puedes dividir el resultado de una tirada de movimiento por 2 (redondear a la alza). Recarga 1 turno.</t>
  </si>
  <si>
    <t>Puedes moverte 3 casillas en cualquier dirección en vez de tirar el dado de movimiento.</t>
  </si>
  <si>
    <t>Tus ataques tienen un 100% de probabilidades de activar su efecto secundario.</t>
  </si>
  <si>
    <t>Blastoise puede repetir una vez por turno la tirada de ataque. Cuenta siempre la segunda tirada.</t>
  </si>
  <si>
    <t>Una vez por combate puede realizar el doble de daño.</t>
  </si>
  <si>
    <t>Evita los efectos secundarios de los movimientos de los rivales.</t>
  </si>
  <si>
    <t>Sorpresa</t>
  </si>
  <si>
    <t>Intrépido</t>
  </si>
  <si>
    <t>Puedes repetir cualquier tirada de dado (captura, combate, movimiento…). Recarga 1 turno.</t>
  </si>
  <si>
    <t>Al evolucionar a eevee tira un dado para determinar su evolución: 1/2 = jolteon; 3/4 = flareon; 5/6 = vaporeon.</t>
  </si>
  <si>
    <t>Bromista</t>
  </si>
  <si>
    <t>Resquicio</t>
  </si>
  <si>
    <t>Alas vendaval</t>
  </si>
  <si>
    <t>Impulso</t>
  </si>
  <si>
    <t>Espejo mágico</t>
  </si>
  <si>
    <t>No puede sufrir problemas de estado.</t>
  </si>
  <si>
    <t>Encadenado</t>
  </si>
  <si>
    <t>X puede repetir una vez por turno la tirada de ataque. Cuenta el valor más alto.</t>
  </si>
  <si>
    <t>Jaqueca</t>
  </si>
  <si>
    <t>Si su movimiento falla, Psyduck enloquece y duplica su poder de ataque durante todo el combate.</t>
  </si>
  <si>
    <t>Guardián</t>
  </si>
  <si>
    <t>Clan</t>
  </si>
  <si>
    <t>Doble Cañón</t>
  </si>
  <si>
    <t>Huraño</t>
  </si>
  <si>
    <t>Polvo veneno</t>
  </si>
  <si>
    <t>Placaje</t>
  </si>
  <si>
    <t>Arañazo</t>
  </si>
  <si>
    <t>Ascuas</t>
  </si>
  <si>
    <t>Burbuja</t>
  </si>
  <si>
    <t>Somnífero</t>
  </si>
  <si>
    <t>Gigadrenado</t>
  </si>
  <si>
    <t>Puño trueno</t>
  </si>
  <si>
    <t>Lanzallamas</t>
  </si>
  <si>
    <t>Pistola agua</t>
  </si>
  <si>
    <t>Látigo cepa</t>
  </si>
  <si>
    <t>Garra metal</t>
  </si>
  <si>
    <t>Hoja afilada</t>
  </si>
  <si>
    <t>Colm. ígneo</t>
  </si>
  <si>
    <t>Mordisco</t>
  </si>
  <si>
    <t>Hidrobomba</t>
  </si>
  <si>
    <t>Puño hielo</t>
  </si>
  <si>
    <t>Ventisca</t>
  </si>
  <si>
    <t>Resistencias</t>
  </si>
  <si>
    <t>Debilidades</t>
  </si>
  <si>
    <t>Planta / Tierra / Lucha</t>
  </si>
  <si>
    <t>Volador / Fuego / Roca</t>
  </si>
  <si>
    <t>Agua / Acero / Fuego / Hielo</t>
  </si>
  <si>
    <t>Eléctrico / Planta</t>
  </si>
  <si>
    <t>Planta / Hada / Lucha / Agua / Eléctrico</t>
  </si>
  <si>
    <t>Fuego / Volador / Hielo / Psíquico</t>
  </si>
  <si>
    <t>Bicho / Fuego / Acero / Hielo / Planta / Hada</t>
  </si>
  <si>
    <t>Tierra / Roca / Agua</t>
  </si>
  <si>
    <t>Tierra / Bicho / Planta / Hada / Lucha / Fuego / Acero</t>
  </si>
  <si>
    <t>Eléctrico / Roca / Agua</t>
  </si>
  <si>
    <t>Disp. Demora</t>
  </si>
  <si>
    <t>Fortaleza</t>
  </si>
  <si>
    <t>Paralizador</t>
  </si>
  <si>
    <t>Confusión</t>
  </si>
  <si>
    <t>Puya nociva</t>
  </si>
  <si>
    <t>Aguijón letal</t>
  </si>
  <si>
    <t>Planta / Lucha / Veneno / Bicho / Hada</t>
  </si>
  <si>
    <t>Fuego / Volador / Psíquico / Roca</t>
  </si>
  <si>
    <t>Eléctrico / Fuego / Volador / Hielo / Roca</t>
  </si>
  <si>
    <t>Tierra / Planta / Lucha / Bicho</t>
  </si>
  <si>
    <t>Tierra / Fantasma / Bicho / Planta</t>
  </si>
  <si>
    <t>Eléctrico / Hielo / Roca</t>
  </si>
  <si>
    <t>Tornado</t>
  </si>
  <si>
    <t>Ciclón</t>
  </si>
  <si>
    <t>Golpe aéreo</t>
  </si>
  <si>
    <t>Ataque ala</t>
  </si>
  <si>
    <t>Vendaval</t>
  </si>
  <si>
    <t>Onda ígnea</t>
  </si>
  <si>
    <t>Esfuerzo</t>
  </si>
  <si>
    <t>Superdiente</t>
  </si>
  <si>
    <t>Hipercolmillo</t>
  </si>
  <si>
    <t>Fantasma</t>
  </si>
  <si>
    <t>Lucha</t>
  </si>
  <si>
    <t>Hurto</t>
  </si>
  <si>
    <t>Mafioso</t>
  </si>
  <si>
    <t>Ladrón</t>
  </si>
  <si>
    <t>Cuándo el team rocket roba un objeto a un rival, recibes el objeto robado.</t>
  </si>
  <si>
    <t>Cuándo el team rocket roba un objeto o un PKMN a un rival, recibes el objeto o el PKMN robado.</t>
  </si>
  <si>
    <t>El poseedor adquiere la habilidad de un aliado que caiga debilitado en combate.</t>
  </si>
  <si>
    <t>Gas reactivo</t>
  </si>
  <si>
    <t>Receptor</t>
  </si>
  <si>
    <t>Ensañamiento</t>
  </si>
  <si>
    <t>Todos los ataques hacen golpe crítico si se sufre algún problema de estado.</t>
  </si>
  <si>
    <t>Cólera</t>
  </si>
  <si>
    <t>En cualquier momento puedes tomar una casilla de "encuentro PKMN" como si fuera una casilla de duelo.</t>
  </si>
  <si>
    <t>Al evolucionar un PKMN puedes evolucionarlo directamente a su máxima etapa evolutiva. Recarga 3 turnos.</t>
  </si>
  <si>
    <t>Mewtwo puede clonar cualquier PKMN que tenga otro jugador y añadirlo a tu equipo (no legendarios ni iniciales). Recarga 2 turnos.</t>
  </si>
  <si>
    <t>El PKMN evoluciona en cuanto añades otro PKMN a tu equipo.</t>
  </si>
  <si>
    <t>Excavador</t>
  </si>
  <si>
    <t>Teletransporte</t>
  </si>
  <si>
    <t>Escurridizo</t>
  </si>
  <si>
    <t>Predicción</t>
  </si>
  <si>
    <t>Mutación</t>
  </si>
  <si>
    <t>Poder pasado</t>
  </si>
  <si>
    <t>Poder antiguo</t>
  </si>
  <si>
    <t>Cazador primitivo</t>
  </si>
  <si>
    <t>Descanso</t>
  </si>
  <si>
    <t>Ronquido</t>
  </si>
  <si>
    <t>Remolón</t>
  </si>
  <si>
    <t>Clonación</t>
  </si>
  <si>
    <t>Psíquico</t>
  </si>
  <si>
    <t>Rayo Hielo</t>
  </si>
  <si>
    <t>Rey del mar</t>
  </si>
  <si>
    <t>En vez de tirar el dado de movimiento puedes moverte a la casilla que quieras dentro de una ruta acuática.</t>
  </si>
  <si>
    <t>Transformación</t>
  </si>
  <si>
    <t>Ditto se transforma en el primer PKMN contra el que luche (no legendarios ni iniciales). El cambio es permanente durante todo el juego.</t>
  </si>
  <si>
    <t>Reclamo</t>
  </si>
  <si>
    <t>Lealtad</t>
  </si>
  <si>
    <t>Si tienes a Nidoking y a Nidoqueen en tu equipo, el poder de ataque de ambos aumenta en +2.</t>
  </si>
  <si>
    <t>Presión</t>
  </si>
  <si>
    <t>Cálculo final</t>
  </si>
  <si>
    <t>Potencia el movimiento si es el último en atacar.</t>
  </si>
  <si>
    <t>Irascible</t>
  </si>
  <si>
    <t>Adaptable</t>
  </si>
  <si>
    <t>Afortunado</t>
  </si>
  <si>
    <t>Restauración</t>
  </si>
  <si>
    <t>Puedes reactivar todas las habilidades y sanar a todos tus PKMN al instante. Una vez en toda la partida.</t>
  </si>
  <si>
    <t>Tinovictoria</t>
  </si>
  <si>
    <t>Automáticamente ganas todos los duelos en los que participes.</t>
  </si>
  <si>
    <t>Esfera aural</t>
  </si>
  <si>
    <t>Psíquico / Lucha</t>
  </si>
  <si>
    <t>Siniestro / Fantasma / Bicho</t>
  </si>
  <si>
    <t>Anulación</t>
  </si>
  <si>
    <t>Psicorrayo</t>
  </si>
  <si>
    <t>Psicocarga</t>
  </si>
  <si>
    <t>Recuperación</t>
  </si>
  <si>
    <t>-</t>
  </si>
  <si>
    <t>Por cada PKMN eliminado en tu equipo, el ataque de "X" se ve aumentado en +1</t>
  </si>
  <si>
    <t>Reduce el ataque de todos los PKMN a los que se enfrenta en -2.</t>
  </si>
  <si>
    <t>Si el PKMN recibe un ataque que le debilitaría de un solo golpe, resiste con 1 HP.</t>
  </si>
  <si>
    <t>Beedrill suma +1 ataque por cada PKMN de tipo bicho (no debilitado) en tu equipo.</t>
  </si>
  <si>
    <t>Si eres el jugador con más PKMN debilitados tu PKMN tiene +1 punto de ataque.</t>
  </si>
  <si>
    <t>Si eres el jugador con más PKMN debilitados tu PKMN tiene +2 punto de ataque.</t>
  </si>
  <si>
    <t>Al usar a Zapdos en combate, todos los PKMN del rival que tengan menos de 7 puntos de ataque pierden inmediatamente.</t>
  </si>
  <si>
    <t>Squirtle aumenta su ataque en +2 si hay otro PKMN de tipo agua en tu equipo.</t>
  </si>
  <si>
    <t>Wartortle aumenta su ataque en +1 por cada PKMN de tipo agua en tu equipo.</t>
  </si>
  <si>
    <t>Charmander aumenta su ataque +2 si es el único PKMN en el equipo.</t>
  </si>
  <si>
    <t>Charizard aumenta momentáneamente su poder de ataque en +4 si se enfrenta a PKMN de tipo agua o fuego.</t>
  </si>
  <si>
    <t>Cuerpo maldito</t>
  </si>
  <si>
    <t>Bola sombra</t>
  </si>
  <si>
    <t>Puño sombra</t>
  </si>
  <si>
    <t>Hypnosis</t>
  </si>
  <si>
    <t>Come sueños</t>
  </si>
  <si>
    <t>Rayo confuso</t>
  </si>
  <si>
    <t>Lengüetazo</t>
  </si>
  <si>
    <t>Fantasma / Siniestro / Tierra / Psíquico</t>
  </si>
  <si>
    <t>Lucha / Normal / Bicho / Veneno / Planta / Hada</t>
  </si>
  <si>
    <t>Si Nidoran (M/H) no tiene un compañero del sexo opuesto, tira un dado al inicio de cada turno. Si sale 2, añádelo a  a tu equipo.</t>
  </si>
  <si>
    <t>Si tu Nidorino/a pierde a su compañera/o en combate, su poder de ataque aumenta en +4.</t>
  </si>
  <si>
    <t>Compañerismo</t>
  </si>
  <si>
    <t>Cuando tu oponente utiliza un objeto en combate, Ninetales roba los efectos.</t>
  </si>
  <si>
    <t>Cuando tu oponente utiliza un objeto en combate, Vulpix también recibe los efectos.</t>
  </si>
  <si>
    <t>Recogida</t>
  </si>
  <si>
    <t>Tesoro oculto</t>
  </si>
  <si>
    <t>Cada vez que atrapes un Shellder tira un 1d6. Si sale 1-5 consigues una perla. Si sale 6 consigues una pepita.</t>
  </si>
  <si>
    <t>Explosión</t>
  </si>
  <si>
    <t>Viento afín</t>
  </si>
  <si>
    <t>Velo sagrado</t>
  </si>
  <si>
    <t>Duelista</t>
  </si>
  <si>
    <t>Alborotador</t>
  </si>
  <si>
    <t>Anticipación</t>
  </si>
  <si>
    <t>Experto</t>
  </si>
  <si>
    <t>Iluminación</t>
  </si>
  <si>
    <t>Peleón</t>
  </si>
  <si>
    <t>Cambio fuerza</t>
  </si>
  <si>
    <t>Policía</t>
  </si>
  <si>
    <t>Ilusión</t>
  </si>
  <si>
    <t>Enfado</t>
  </si>
  <si>
    <t>Vel. Extrema</t>
  </si>
  <si>
    <t>Autodestrucción</t>
  </si>
  <si>
    <t>Los asaltos del team rocket no tienen efecto sobre ti.</t>
  </si>
  <si>
    <t>Primeros auxilios</t>
  </si>
  <si>
    <t>Ojo compuesto</t>
  </si>
  <si>
    <t>Mudar</t>
  </si>
  <si>
    <t>Ultra impulso</t>
  </si>
  <si>
    <t>Nadador</t>
  </si>
  <si>
    <t>Pestilente</t>
  </si>
  <si>
    <t>En el momento que quieras puedes descartar dos de tus objetos para volver a tirar el dado de captura en una ruta.</t>
  </si>
  <si>
    <t>Aclimatación</t>
  </si>
  <si>
    <t>Atrapamoscas</t>
  </si>
  <si>
    <t>Puedes tratar la casilla en la que has caído como si se tratase de una casilla de "hierba alta". 1 turno de recarga.</t>
  </si>
  <si>
    <t>Marsupial</t>
  </si>
  <si>
    <t>Oráculo</t>
  </si>
  <si>
    <t>Salto</t>
  </si>
  <si>
    <t>Regateador</t>
  </si>
  <si>
    <t>Amuleto</t>
  </si>
  <si>
    <t>El coste de las cartas de objeto en tienda se reduce un 50%.</t>
  </si>
  <si>
    <t>Saqueo</t>
  </si>
  <si>
    <t>Si caes en la casilla de otro jugador tira 1d6. Si sacas 3 o superior, roba una carta de objeto a tu contrincante. En el siguiente turno no podrá hacer nada (está dormido).</t>
  </si>
  <si>
    <t>Compensación</t>
  </si>
  <si>
    <t>Puedes tomar una carta de objeto al perder un duelo como premio de consolación.</t>
  </si>
  <si>
    <t>Justiciero</t>
  </si>
  <si>
    <t>Protege al jugador de cualquier intento de robo de objetos / cartas por parte de otros jugadores.</t>
  </si>
  <si>
    <t>Hacker</t>
  </si>
  <si>
    <t>Cuándo caes en una casilla de hierba alta, puedes capturar cualquier PKMN de la ruta a tu elección. 2 turnos de recarga. No utilizable en cuevas, zona safari o encuentros especiales.</t>
  </si>
  <si>
    <t>¡Al ring!</t>
  </si>
  <si>
    <t>Cartero</t>
  </si>
  <si>
    <t>Impasible</t>
  </si>
  <si>
    <t>En un duelo, si tienes a Hitmonchan en el equipo, decides que PKMN usa tu contrincante.</t>
  </si>
  <si>
    <t>Cuchillada</t>
  </si>
  <si>
    <t>Cuándo un jugador juega una carta de evento puedes jugarla tu también. Recaga 2 turnos.</t>
  </si>
  <si>
    <t>Cobardía</t>
  </si>
  <si>
    <t>Revertir</t>
  </si>
  <si>
    <t>Permite coger las cartas de evento / objetos clave de la parte superior o de la parte inferior de la pila de cartas.</t>
  </si>
  <si>
    <t>Al caer en una casilla de objetos clave puedes coger dos cartas y decidir cuál te quedas.</t>
  </si>
  <si>
    <t>Al aterrizar en una casilla de evento, puedes mirar las dos cartas que estén en la parte superior y escoger la que más te convenga (descarta la otra).</t>
  </si>
  <si>
    <t>Enredadera</t>
  </si>
  <si>
    <t>Jugón</t>
  </si>
  <si>
    <t>Aspirante</t>
  </si>
  <si>
    <t>Puedes utilizar un PKMN adicional en las batallas contra líderes de gimnasio.</t>
  </si>
  <si>
    <t>Defensor</t>
  </si>
  <si>
    <t>Si tienes a Krabby/Kingler en tu equipo y alguien te reta a un duelo, siempre deberás usarlo para combatir. Tira 1d6 y suma el resultado a su poder de ataque.</t>
  </si>
  <si>
    <t>Allanamiento</t>
  </si>
  <si>
    <t>Otra vez</t>
  </si>
  <si>
    <t>Puedes volver a tirar el dado de movimiento o de captura. Recarga 2 turnos.</t>
  </si>
  <si>
    <t>Agilidad</t>
  </si>
  <si>
    <t>Los ataques de tipo volador siempre van primero.</t>
  </si>
  <si>
    <t>Su poder de ataque aumenta en +3 si sufre un problema de estado.</t>
  </si>
  <si>
    <t>Al debilitar a un PKMN rival, Gyarados aumenta su ataque en +2.</t>
  </si>
  <si>
    <t>Aumenta su poder de ataque en +4 si recibe un golpe crítico.</t>
  </si>
  <si>
    <t>Cabeza Roca</t>
  </si>
  <si>
    <t>Anula los efectos secundarios de los movimientos del rival.</t>
  </si>
  <si>
    <t>Por cada Magnemite / Magneton en tu equipo aumenta su poder de ataque en +2.</t>
  </si>
  <si>
    <t>Imán</t>
  </si>
  <si>
    <t>Aromaterapia</t>
  </si>
  <si>
    <t>Pura potencia</t>
  </si>
  <si>
    <t>Puedes convertir el efecto secundario de tu ataque en +4 de daño.</t>
  </si>
  <si>
    <t>Las tiradas de ataque nunca fallan. Sacar un 1 equivale a sacar un 2.</t>
  </si>
  <si>
    <t>Cuando alguien se enfrenta a Tauros tira el dado de ataque dos veces. Cuenta el valor más bajo.</t>
  </si>
  <si>
    <t>Retroceso</t>
  </si>
  <si>
    <t>Cada vez que el PKMN recibe un golpe, el PKMN rival recibe -2HP de daño.</t>
  </si>
  <si>
    <t>Espacio raro</t>
  </si>
  <si>
    <t>Los PKMN más lentos atacan primero.</t>
  </si>
  <si>
    <t>Pantallahumo</t>
  </si>
  <si>
    <t>Puedes elegir no activar una carta de evento. Recarga 1 turno.</t>
  </si>
  <si>
    <t>Picotazo</t>
  </si>
  <si>
    <t>Ataque furia</t>
  </si>
  <si>
    <t>Persecución</t>
  </si>
  <si>
    <t>Pico taladro</t>
  </si>
  <si>
    <t>Constricción</t>
  </si>
  <si>
    <t>Ácido</t>
  </si>
  <si>
    <t>Deslumbrar</t>
  </si>
  <si>
    <t>Colm. Veneno</t>
  </si>
  <si>
    <t>Tierra / Psíquico</t>
  </si>
  <si>
    <t>Bicho / Lucha / Veneno / Planta / Hada</t>
  </si>
  <si>
    <t>At. Rápido</t>
  </si>
  <si>
    <t>Picotazo ven.</t>
  </si>
  <si>
    <t>Impactrueno</t>
  </si>
  <si>
    <t>Acero / Eléctrico / Volador</t>
  </si>
  <si>
    <t>Tierra</t>
  </si>
  <si>
    <t>Rayo</t>
  </si>
  <si>
    <t>Bofetón Lodo</t>
  </si>
  <si>
    <t>Terremoto</t>
  </si>
  <si>
    <t>Eléctrico / Roca / Veneno</t>
  </si>
  <si>
    <t>Planta / Hielo / Agua</t>
  </si>
  <si>
    <t>Corte furia</t>
  </si>
  <si>
    <t>Doble patada</t>
  </si>
  <si>
    <t>Fuerza bruta</t>
  </si>
  <si>
    <t>Tierra viva</t>
  </si>
  <si>
    <t>Cornada</t>
  </si>
  <si>
    <t>Carga tóxica</t>
  </si>
  <si>
    <t>Megacuerno</t>
  </si>
  <si>
    <t>Tumba rocas</t>
  </si>
  <si>
    <t>Rayo hielo</t>
  </si>
  <si>
    <t>Destructor</t>
  </si>
  <si>
    <t>Deseo cura</t>
  </si>
  <si>
    <t>Fuerza lunar</t>
  </si>
  <si>
    <t>Siempre que el resultado de una tirada sea 1 (movimiento o combate), puedes transformarlo en un 6. Solo aplica en combate al PKMN usuario de la habilidad.</t>
  </si>
  <si>
    <t>Dragón / Bicho / Siniestro / Lucha</t>
  </si>
  <si>
    <t>Veneno / Acero</t>
  </si>
  <si>
    <t>Tierra / Hielo / Psíquico / Agua</t>
  </si>
  <si>
    <t>Eléctrico / Veneno / Bicho / Hada / Lucha / Roca</t>
  </si>
  <si>
    <t>Giro fuego</t>
  </si>
  <si>
    <t>Paranormal</t>
  </si>
  <si>
    <t>Canto</t>
  </si>
  <si>
    <t>Carantoña</t>
  </si>
  <si>
    <t>Fantasma / Dragón / Bicho / Siniestro</t>
  </si>
  <si>
    <t>Eléctrico / Hielo / Psíquico / Roca</t>
  </si>
  <si>
    <t>Tierra / Bicho / Lucha / Planta /Hada / Veneno</t>
  </si>
  <si>
    <t>Supersónico</t>
  </si>
  <si>
    <t>Chupavidas</t>
  </si>
  <si>
    <t>Terapeuta</t>
  </si>
  <si>
    <t>Absorber</t>
  </si>
  <si>
    <t>Megadrenado</t>
  </si>
  <si>
    <t>Planta / Tierra / Lucha / Agua / Eléctrico</t>
  </si>
  <si>
    <t>Hielo / Veneno / Roca / Bicho / Fuego / Volador</t>
  </si>
  <si>
    <t>Zumbido</t>
  </si>
  <si>
    <t>Bomba lodo</t>
  </si>
  <si>
    <t>Bomba fango</t>
  </si>
  <si>
    <t>Fisura</t>
  </si>
  <si>
    <t>Día de pago</t>
  </si>
  <si>
    <t>Tajo úmbrio</t>
  </si>
  <si>
    <t>Golpes furia</t>
  </si>
  <si>
    <t>Surf</t>
  </si>
  <si>
    <t>Cabezazo zen</t>
  </si>
  <si>
    <t>Patada baja</t>
  </si>
  <si>
    <t>Bicho / Siniestro / Roca</t>
  </si>
  <si>
    <t>Volador / Hada / Psíquico</t>
  </si>
  <si>
    <t>Avalancha</t>
  </si>
  <si>
    <t>Demolición</t>
  </si>
  <si>
    <t>Rueda fuego</t>
  </si>
  <si>
    <t>Colm. Rayo</t>
  </si>
  <si>
    <t>Llamarada</t>
  </si>
  <si>
    <t>Rayo burbuja</t>
  </si>
  <si>
    <t>Espabila</t>
  </si>
  <si>
    <t>Cascada</t>
  </si>
  <si>
    <t>Puñodinámico</t>
  </si>
  <si>
    <t>Volador / Hada / Psíquico / Eléctrico / Planta</t>
  </si>
  <si>
    <t>Bicho / Siniestro / Acero / Roca / Hielo / Agua / Fuego</t>
  </si>
  <si>
    <t>Puño bala</t>
  </si>
  <si>
    <t>Tajo cruzado</t>
  </si>
  <si>
    <t>Golpe karáte</t>
  </si>
  <si>
    <t>Desarme</t>
  </si>
  <si>
    <t>Latigazo</t>
  </si>
  <si>
    <t>Bomba ácida</t>
  </si>
  <si>
    <t>Patada ígnea</t>
  </si>
  <si>
    <t>Pat. S. Alta</t>
  </si>
  <si>
    <t>Puño drenaje</t>
  </si>
  <si>
    <t>Onda tóxica</t>
  </si>
  <si>
    <t>Tierra / Eléctrico / Psíquico</t>
  </si>
  <si>
    <t>Bicho / Fuego / Acero / Veneno / Hielo / Agua / Lucha / Hada</t>
  </si>
  <si>
    <t>Magnitud</t>
  </si>
  <si>
    <t>Eléctrico / Veneno / Fuego / Volador / Normal / Roca</t>
  </si>
  <si>
    <t>Acero / Lucha / Tierra / Hielo / Planta / Agua</t>
  </si>
  <si>
    <t>Lanzarrocas</t>
  </si>
  <si>
    <t>Trueno</t>
  </si>
  <si>
    <t>Ataque aéreo</t>
  </si>
  <si>
    <t>Hielo / Roca</t>
  </si>
  <si>
    <t>Tierra / Bicho / Volador / Acero / Planta / Lucha</t>
  </si>
  <si>
    <t>Tierra / Bicho / Planta</t>
  </si>
  <si>
    <t>Eléctrico / Fuego / Acero / Roca</t>
  </si>
  <si>
    <t>Dragoaliento</t>
  </si>
  <si>
    <t>Acua cola</t>
  </si>
  <si>
    <t>Acua jet</t>
  </si>
  <si>
    <t>Roca afilada</t>
  </si>
  <si>
    <t>Hidropulso</t>
  </si>
  <si>
    <t>Viento hielo</t>
  </si>
  <si>
    <t>Triataque</t>
  </si>
  <si>
    <t>Pin misil</t>
  </si>
  <si>
    <t>Fuego / Hielo / Veneno / Volador / Normal</t>
  </si>
  <si>
    <t>Tierra / Lucha / Eléctrico / Planta</t>
  </si>
  <si>
    <t>Tierra / Bicho / Veneno / Normal / Fuego / Volador</t>
  </si>
  <si>
    <t>Hielo / Eléctrico / Roca / Acero / Agua</t>
  </si>
  <si>
    <t>Agua / Fuego / Planta / Eléctrico</t>
  </si>
  <si>
    <t>Hada / Dragón / Hielo</t>
  </si>
  <si>
    <t>Tierra / Planta / Lucha / Fuego / Bicho / Agua</t>
  </si>
  <si>
    <t>Hada / Dragón / Roca / Hielo</t>
  </si>
  <si>
    <t>Triturar</t>
  </si>
  <si>
    <t>Golpe cuerpo</t>
  </si>
  <si>
    <t>Tijera X</t>
  </si>
  <si>
    <t>Psicoonda</t>
  </si>
  <si>
    <t>Rapidez</t>
  </si>
  <si>
    <t>Imitación</t>
  </si>
  <si>
    <t>Tierra / Bicho / Fuego / Acero / Agua / Lucha</t>
  </si>
  <si>
    <t>Eléctrico / Roca</t>
  </si>
  <si>
    <t>Hielo / Agua</t>
  </si>
  <si>
    <t>Lucha / Eléctrico / Roca / Planta</t>
  </si>
  <si>
    <t>Psíquico / Hielo</t>
  </si>
  <si>
    <t>Fantasma / Siniestro / Fuego / Roca / Acero / Bicho</t>
  </si>
  <si>
    <t>Dragón / Lucha / Psíquico</t>
  </si>
  <si>
    <t>Fantasma / Veneno / Acero</t>
  </si>
  <si>
    <t>Bicho / Siniestro / Fantasma / Eléctrico / Planta</t>
  </si>
  <si>
    <t>Agua / Acero / Lucha / Fuego / Psíquico / Hielo</t>
  </si>
  <si>
    <t>Perforador</t>
  </si>
  <si>
    <t>Pulso dragón</t>
  </si>
  <si>
    <t>Puño mareo</t>
  </si>
  <si>
    <t>Mov. Sísmico</t>
  </si>
  <si>
    <t>Amortiguador</t>
  </si>
  <si>
    <t>Bomba imán</t>
  </si>
  <si>
    <t>Foco resplandor</t>
  </si>
  <si>
    <t>Chispazo</t>
  </si>
  <si>
    <t>Fuego / Lucha / Tierra</t>
  </si>
  <si>
    <t>Veneno / Acero / Volador / Bicho / Hielo / Roca / Psíquico / Normal / Planta / Eléctrico / Hada / Dragón</t>
  </si>
  <si>
    <t>Hoja aguda</t>
  </si>
  <si>
    <t>Rayo aurora</t>
  </si>
  <si>
    <t>Frío Polar</t>
  </si>
  <si>
    <t>Residuos</t>
  </si>
  <si>
    <t>Lanza mugre</t>
  </si>
  <si>
    <t>Canto helado</t>
  </si>
  <si>
    <t>Carámbano</t>
  </si>
  <si>
    <t>Pedrada</t>
  </si>
  <si>
    <t>Cola férrea</t>
  </si>
  <si>
    <t>Agarre</t>
  </si>
  <si>
    <t>Concha filo</t>
  </si>
  <si>
    <t>Martillazo</t>
  </si>
  <si>
    <t>Chispa</t>
  </si>
  <si>
    <t>Giro bola</t>
  </si>
  <si>
    <t>Recurrente</t>
  </si>
  <si>
    <t>Lluevehojas</t>
  </si>
  <si>
    <t>Fuego / Volador / Fantasma / Siniestro / Hielo / Veneno / Bicho</t>
  </si>
  <si>
    <t>Agua / Lucha / Psíquico / Tierra / Planta / Eléctrico</t>
  </si>
  <si>
    <t>Puño fuego</t>
  </si>
  <si>
    <t>Huesomerang</t>
  </si>
  <si>
    <t>Hueso palo</t>
  </si>
  <si>
    <t>Golpe cabeza</t>
  </si>
  <si>
    <t>Polución</t>
  </si>
  <si>
    <t>Veneno</t>
  </si>
  <si>
    <t>Planta</t>
  </si>
  <si>
    <t>Acero</t>
  </si>
  <si>
    <t>Eléctrico</t>
  </si>
  <si>
    <t>Siniestro</t>
  </si>
  <si>
    <t>Hielo</t>
  </si>
  <si>
    <t>Bicho</t>
  </si>
  <si>
    <t>Dragón</t>
  </si>
  <si>
    <t>Fuego</t>
  </si>
  <si>
    <t>Volador</t>
  </si>
  <si>
    <t>Hada</t>
  </si>
  <si>
    <t>Roca</t>
  </si>
  <si>
    <t>Agua / Tierra / Planta / Eléctrico</t>
  </si>
  <si>
    <t>Fuego / Volador / Hielo / Veneno / Bicho</t>
  </si>
  <si>
    <t>Salpicadura</t>
  </si>
  <si>
    <t>Heal +2HP</t>
  </si>
  <si>
    <t>No DMG. Heal +10HP</t>
  </si>
  <si>
    <t>No DMG. No effect</t>
  </si>
  <si>
    <t>10-20% PAR; 30-40% BRN; 50-60% FRZ</t>
  </si>
  <si>
    <t>&lt;30% PAR</t>
  </si>
  <si>
    <t>&lt;50% CNF</t>
  </si>
  <si>
    <t>Heal +3HP</t>
  </si>
  <si>
    <t>Heal +1HP</t>
  </si>
  <si>
    <t>Heal one ally if dice result = 6</t>
  </si>
  <si>
    <t>Hit again if dice result = 6 (x2 max). No CRT</t>
  </si>
  <si>
    <t>Hit again if dice result = 6 (x5 max). No CRT</t>
  </si>
  <si>
    <t>Split foe HP (1/2)</t>
  </si>
  <si>
    <t>Foe speed -2</t>
  </si>
  <si>
    <t>Foe HP = user HP</t>
  </si>
  <si>
    <t>If user win battle = +100$</t>
  </si>
  <si>
    <t>If used 3 times = user can't die</t>
  </si>
  <si>
    <t>If dice result is 5, proceed as 6</t>
  </si>
  <si>
    <t>&lt;10% BRN</t>
  </si>
  <si>
    <t>&lt;10% CNF</t>
  </si>
  <si>
    <t>&lt;10% FRZ</t>
  </si>
  <si>
    <t>&lt;10% PAR</t>
  </si>
  <si>
    <t>&lt;10% PSN</t>
  </si>
  <si>
    <t>&lt;20% BRN</t>
  </si>
  <si>
    <t>&lt;20% FRZ</t>
  </si>
  <si>
    <t>&lt;20% PAR</t>
  </si>
  <si>
    <t>&lt;20% PSN</t>
  </si>
  <si>
    <t>&lt;30% BRN</t>
  </si>
  <si>
    <t>&lt;30% CNF</t>
  </si>
  <si>
    <t>&lt;30% PSN</t>
  </si>
  <si>
    <t>No DMG. &lt;70% PSN</t>
  </si>
  <si>
    <t>No DMG. &lt;70% CNF</t>
  </si>
  <si>
    <t>No DMG. &lt;70% PAR</t>
  </si>
  <si>
    <t>OHKO if dice result is 6 (if not fails)</t>
  </si>
  <si>
    <t>Priority +1</t>
  </si>
  <si>
    <t>Priority +2</t>
  </si>
  <si>
    <t>Repeat move = power +1</t>
  </si>
  <si>
    <t>Use one of foe's moves</t>
  </si>
  <si>
    <t>&lt;10% foe flinch</t>
  </si>
  <si>
    <t>&lt;20% foe flinch</t>
  </si>
  <si>
    <t>No DMG. Foe speed -2</t>
  </si>
  <si>
    <t>Si al lanzar el dado de ataque sale un 5, Cloyster procede como si fuera un 6.</t>
  </si>
  <si>
    <t>ADN misterioso</t>
  </si>
  <si>
    <t>Si 8 medallas + Nidoking + SS. Ticket, ir a camión del muelle e intercambio x Ndoking (solo uno)</t>
  </si>
  <si>
    <t>Si 8 medallas + ADN misterioso, ir a cueva celeste y vencer a Mewtwo (solo uno)</t>
  </si>
  <si>
    <t>Caza-pokémon</t>
  </si>
  <si>
    <t>Relevo</t>
  </si>
  <si>
    <t>Repartir Exp.</t>
  </si>
  <si>
    <t>Mapa</t>
  </si>
  <si>
    <t>Pokédex</t>
  </si>
  <si>
    <t>Teletransportador</t>
  </si>
  <si>
    <t>Puedes teletransportarte a la casilla de otro jugador inmediatamente.</t>
  </si>
  <si>
    <t>Criapokémon</t>
  </si>
  <si>
    <t>Calvo</t>
  </si>
  <si>
    <t>Sr. Fuji</t>
  </si>
  <si>
    <t>Cada jugador tiene que descartar dos objetos.</t>
  </si>
  <si>
    <t>Un voltorb salvaje te ataca y te paraliza durante un turno. Pierdes el siguiente turno.</t>
  </si>
  <si>
    <t>Un enjambre de Beedrill te ataca. Retrocede tres casillas y activa la casilla en la que caigas.</t>
  </si>
  <si>
    <t>Remolino</t>
  </si>
  <si>
    <t>Teletransporta a otro jugador a la casilla que quieras.</t>
  </si>
  <si>
    <t>Asistente de OAK</t>
  </si>
  <si>
    <t>Descuento</t>
  </si>
  <si>
    <t>Tu próxima compra en tienda a mitad de precio.</t>
  </si>
  <si>
    <t>Cable roto</t>
  </si>
  <si>
    <t>Error de sistema</t>
  </si>
  <si>
    <t>Team Rocket 2</t>
  </si>
  <si>
    <t>Seguro debilidad</t>
  </si>
  <si>
    <t>Coge una carta de objetos clave. Si no te gusta, descarta y coge la siguiente.</t>
  </si>
  <si>
    <t>Pikachu Surfista</t>
  </si>
  <si>
    <t>Missigno</t>
  </si>
  <si>
    <t>Pokérus</t>
  </si>
  <si>
    <t>El team rocket te roba 2 objetos.</t>
  </si>
  <si>
    <t>Team Rocket 3</t>
  </si>
  <si>
    <t>Máx. Repel</t>
  </si>
  <si>
    <t>* pay 50€ each round</t>
  </si>
  <si>
    <t>* pay 100€ each round</t>
  </si>
  <si>
    <t>* need scope shilp</t>
  </si>
  <si>
    <t>Túnel Roca</t>
  </si>
  <si>
    <t>Islas Espuma</t>
  </si>
  <si>
    <t>RUTA 24</t>
  </si>
  <si>
    <t>RUTA 23 + V. Road</t>
  </si>
  <si>
    <t>Superball</t>
  </si>
  <si>
    <t>5 o 6 (tirada 5)</t>
  </si>
  <si>
    <t>4 a 6 (tirada 4)</t>
  </si>
  <si>
    <t>L</t>
  </si>
  <si>
    <t>M</t>
  </si>
  <si>
    <t>S</t>
  </si>
  <si>
    <t>Sem. Milagro</t>
  </si>
  <si>
    <t>Resistencias Simp.</t>
  </si>
  <si>
    <t>Ivysaur aumenta su poder de ataque en +2 si ninguno de los PKMN en tu equipo ha llegado a su última fase evolutiva.</t>
  </si>
  <si>
    <t>Charmeleon aumenta su poder de ataque en +2 si no tienes más de 3 PKMN en tu equipo.</t>
  </si>
  <si>
    <t>Bulbasaur aumenta su poder de ataque en +2 si el resto de los PKMN en tu equipo están en su primera fase evolutiva.</t>
  </si>
  <si>
    <t>No DMG. &lt;60% SLP</t>
  </si>
  <si>
    <t>Miedoso</t>
  </si>
  <si>
    <t>W|</t>
  </si>
  <si>
    <t>|R</t>
  </si>
  <si>
    <t>Ho-Oh</t>
  </si>
  <si>
    <t>El PKMN puede retirarse en cualquier momento durante un duelo. No hay ganadores.</t>
  </si>
  <si>
    <t>*</t>
  </si>
  <si>
    <t>Tu PKMN tiene un 50% de probabilidades de librarse de los problemas de estado al finalizar cada turno.</t>
  </si>
  <si>
    <t>Puedes llevar contigo hasta 8 pokémon (en vez de 6).</t>
  </si>
  <si>
    <t>Puedes cambiar en cualquier momento el resultado de una tirada de movimiento o captura por el resultado del lado opuesto del dado. Recarga 1 turno.</t>
  </si>
  <si>
    <t>Cuándo un rival te reta a un duelo tira el dado. Si el resultado es 1, 3 o 6 puedes teletransportarte a la última ciudad que visitaste.</t>
  </si>
  <si>
    <t>Puedes decidir el resultado de tu tirada de movimiento. Recarga 1 turno.</t>
  </si>
  <si>
    <t>En vez de tirar el dado de movimiento puedes teletransportarte a cualquier casilla dentro deuna ruta terrestre. Recarga 2 turnos.</t>
  </si>
  <si>
    <t>En un duelo, si tienes a Tentacool/Tentacruel en el equipo, tus oponentes nunca podrán elegir que PKMN has de utilizar.</t>
  </si>
  <si>
    <t>Puedes modificar el resultado del dado en una tirada de movimiento en +1. Recarga 1 turno.</t>
  </si>
  <si>
    <t>Puedes modificar el resultado del dado en una tirada de movimiento en +1/+2. Recarga 1 turno.</t>
  </si>
  <si>
    <t>Si tu PKMN es eliminado durante un combate, tira un dado. Si el resultado es 4 o 6 el enemigo también cae debilitado.</t>
  </si>
  <si>
    <t>Cuándo un duelo tenga lugar puedes apostar por quien saldrá victorioso. Si aciertas puedes tomar una carta de objeto. Recarga 1 turno.</t>
  </si>
  <si>
    <t>Anula las habilidades de los demás PKMN durante el combate. Esto afecta a PKMN rivales + propio equipo. Solo funciona si Koffing/Weezing participan en el combate.</t>
  </si>
  <si>
    <t>Al caer en una casilla de "encuentro PKMN", puedes lanzar los dados como si estuvieras en cualquier otra ruta. Recarga 1 turno.</t>
  </si>
  <si>
    <t>El PKMN puede hacer que el rival repita su tirada de ataque una vez por turno.</t>
  </si>
  <si>
    <t>Si es tu último PKMN en pie, sus puntos de ataque se doblan.</t>
  </si>
  <si>
    <t>Si el PKMN es más rápido, todos sus ataque son críticos.</t>
  </si>
  <si>
    <t>No DMG. Heal status all team</t>
  </si>
  <si>
    <t>Onix de Brock</t>
  </si>
  <si>
    <t>Sandshrew de Brock</t>
  </si>
  <si>
    <t>Psyduck de Misty</t>
  </si>
  <si>
    <t>Starmie de Misty</t>
  </si>
  <si>
    <t>Raichu de Lt Surge</t>
  </si>
  <si>
    <t>Electabuzz de Lt Surge</t>
  </si>
  <si>
    <t>Parasect de Erika</t>
  </si>
  <si>
    <t>Vileplume de Erika</t>
  </si>
  <si>
    <t>Jynx de Sabrina</t>
  </si>
  <si>
    <t>Alakazam de Sabrina</t>
  </si>
  <si>
    <t>Arbok de Koga</t>
  </si>
  <si>
    <t>Venomoth de Koga</t>
  </si>
  <si>
    <t>Arcanine de Blaine</t>
  </si>
  <si>
    <t>Magmar de Blaine</t>
  </si>
  <si>
    <t>Kangaskhan de Giovanni</t>
  </si>
  <si>
    <t>Rhydon de Giovanni</t>
  </si>
  <si>
    <t>Al ganar un duelo con Pinsir recibes dos cartas de objeto clave.</t>
  </si>
  <si>
    <t>Primer jugador en despertar y vencer a Snorlax (solo uno)</t>
  </si>
  <si>
    <t>Event card (19/20)</t>
  </si>
  <si>
    <t>Un electrode salvaje te ataca. Tira 1d6. Empezando por ti, y siguiendo por el jugador a tu derecha, sigue la cuenta para determinar que jugador perderá su siguiente turno.</t>
  </si>
  <si>
    <t>Combate inverso</t>
  </si>
  <si>
    <t>Enfermera</t>
  </si>
  <si>
    <t>Potencia los movimientos superfeficaces (+2 daño).</t>
  </si>
  <si>
    <t>Disminuye precisión (2 = fallo), pero su poder de ataque aumenta en +4.</t>
  </si>
  <si>
    <t>Reduce el daño recibido en combate a la mitad si sus HP están completos.</t>
  </si>
  <si>
    <t>Escama especial</t>
  </si>
  <si>
    <t>Potencia los movimientos del mismo tipo que el PKMN (daño +2).</t>
  </si>
  <si>
    <t>Trade Lock</t>
  </si>
  <si>
    <t>A</t>
  </si>
  <si>
    <t>B</t>
  </si>
  <si>
    <t>PKMN</t>
  </si>
  <si>
    <t>ATT</t>
  </si>
  <si>
    <t>SPD</t>
  </si>
  <si>
    <t>ALL</t>
  </si>
  <si>
    <t>SUM</t>
  </si>
  <si>
    <t>Tier</t>
  </si>
  <si>
    <t>D</t>
  </si>
  <si>
    <t>E</t>
  </si>
  <si>
    <t>Clorofila</t>
  </si>
  <si>
    <t>Hedor</t>
  </si>
  <si>
    <t>En tu turno de ataque puedes sacrificar a tu PKMN, provocando daño al PKMN rival equivalente a los HP restantes del usuario.</t>
  </si>
  <si>
    <t>Los jugadores rivales no podrán situarse en una casilla adyacente a la tuya, teniendo que cesar su acción de movimiento si fuese necesario.</t>
  </si>
  <si>
    <t>La velocidad de este PKMN aumenta en +3 cada turno que pasa.</t>
  </si>
  <si>
    <t>Al entrar en combate hace 2 de daño al PKMN rival.</t>
  </si>
  <si>
    <t>Devuelve los problemas de estado al agresor (el PKMN con esta habilidad es inmune a problemas de estado).</t>
  </si>
  <si>
    <t>Alma cura</t>
  </si>
  <si>
    <t>Si el PKMN está en el equipo, una vez por combate (en tu turno) puedes restaurar la salud y problemas de estado del PKMN que está combatiendo.</t>
  </si>
  <si>
    <t>Durante un combate, si este PKMN está en el equipo de combate, restaura 2HP a todos sus compañeros al finalizar cada turno.</t>
  </si>
  <si>
    <t>Mientras este PKMN esté en el equipo de combate (pero no combatiendo), puede recibir el daño en lugar de su compañero combatiente.</t>
  </si>
  <si>
    <t>Si el día que juegas hace un clima lluvioso, este PKMN aumenta su poder de ataque y su velocidad en +2.</t>
  </si>
  <si>
    <t>Tempestad</t>
  </si>
  <si>
    <t>Poder solar</t>
  </si>
  <si>
    <t>Amistoso</t>
  </si>
  <si>
    <t>Al finalizar cualquier tipo de combate todo tu equipo sanará.</t>
  </si>
  <si>
    <t>Al intercambiar al PKMN durante un combate este recupera el 50% de sus HP máximos.</t>
  </si>
  <si>
    <t>Duplica la probabilidad de que se den efectos secundarios al utilizar distintos movimientos.</t>
  </si>
  <si>
    <t>Al intercambiar al PKMN durante un combate este se recupera de los problemas de estado.</t>
  </si>
  <si>
    <t>Punto tóxico</t>
  </si>
  <si>
    <t>Cura natural</t>
  </si>
  <si>
    <t>Al recibir un golpe en combate, el PKMN rival pasa a estar envenenado.</t>
  </si>
  <si>
    <t>Movimiento 3</t>
  </si>
  <si>
    <t>Movimiento 4</t>
  </si>
  <si>
    <t>Habilidad 2</t>
  </si>
  <si>
    <t>Habilidad 1</t>
  </si>
  <si>
    <t>Bofetón lodo</t>
  </si>
  <si>
    <t>Terratemblor</t>
  </si>
  <si>
    <t>Tóxico</t>
  </si>
  <si>
    <t>No DMG. 100% PSN.</t>
  </si>
  <si>
    <t>Bostezo</t>
  </si>
  <si>
    <t>Onda trueno</t>
  </si>
  <si>
    <t>Yo primero</t>
  </si>
  <si>
    <t>Si el PKMN con esta habilidad está en el equipo de combate, todos tus PKMN tendrán +4 de velocidad.</t>
  </si>
  <si>
    <t>Brillo mágico</t>
  </si>
  <si>
    <t>DMG. Foe hability desactivated.</t>
  </si>
  <si>
    <t>Estrujón</t>
  </si>
  <si>
    <t>Golpe bajo</t>
  </si>
  <si>
    <t>Foe cant switch</t>
  </si>
  <si>
    <t>Remove foe held item during the battle.</t>
  </si>
  <si>
    <t>DMG. Steal foe held item during the battle.</t>
  </si>
  <si>
    <t>Energibola</t>
  </si>
  <si>
    <t>Pesadilla</t>
  </si>
  <si>
    <t>Alboroto</t>
  </si>
  <si>
    <t>Coshecha</t>
  </si>
  <si>
    <t>Si este PKMN lleva una baya equipada, al activarse la baya tira 1d6; si el resultado es 4 o mayor, el efecto de la baya vuelve a activarse.</t>
  </si>
  <si>
    <t>Glotón</t>
  </si>
  <si>
    <t>Si este PKMN lleva una baya equipada la consumirá nada más empezar el combate.</t>
  </si>
  <si>
    <t>Cuándo un jugador vaya a iniciar su movimiento, haz que pare y dirige tu su acción de movimiento. Dicho jugador deberá hacer dos tiradas de movimiento libre antes de que puedas volver a utilizar la habilidad.</t>
  </si>
  <si>
    <t>Drenadoras</t>
  </si>
  <si>
    <t>El jugador podrá tomar una carta de objeto clave cada vez que caiga en una casilla de evento o duelo.</t>
  </si>
  <si>
    <t>Si el PKMN recibe un golpe, el oponente reduce su velocidad a la mitad.</t>
  </si>
  <si>
    <t>If dice result is higher than 4 = ATQ and SPD +2</t>
  </si>
  <si>
    <t>Espesura</t>
  </si>
  <si>
    <t>Los movimientos de tipo planta hacen +2 de daño si los HP de este PKMN están por debajo de la mitad.</t>
  </si>
  <si>
    <t>&lt;10% PSN. If foe PSN damage x2</t>
  </si>
  <si>
    <t>Si el día que juegas hace un clima soleado, este PKMN aumenta su poder de ataque en +4, pero pierde 4HP con cada ataque realizado (solo funciona de día).</t>
  </si>
  <si>
    <t>Si el día que juegas hace un clima soleado, este PKMN aumenta su poder de ataque y su velocidad en +2 (solo funciona de día).</t>
  </si>
  <si>
    <t>Danza espada</t>
  </si>
  <si>
    <t>Tambor</t>
  </si>
  <si>
    <t>OHKO if dice result is 5/6 (if not fails)</t>
  </si>
  <si>
    <t>User attack never fails</t>
  </si>
  <si>
    <t>Viento aciago</t>
  </si>
  <si>
    <t>Acróbata</t>
  </si>
  <si>
    <t>Tajo aéreo</t>
  </si>
  <si>
    <t>Refugio</t>
  </si>
  <si>
    <t>Defensa férrea</t>
  </si>
  <si>
    <t>Rompecoraza</t>
  </si>
  <si>
    <t>Los ataques enemigos hacen -4 de daño (un uso)</t>
  </si>
  <si>
    <t>Los ataques enemigos hacen -2 de daño (un uso)</t>
  </si>
  <si>
    <t>Bilis</t>
  </si>
  <si>
    <t>Picadura</t>
  </si>
  <si>
    <t>Electrotela</t>
  </si>
  <si>
    <t>Bola de polen</t>
  </si>
  <si>
    <t>Púas tóxicas</t>
  </si>
  <si>
    <t>Cualquier PKMN rival que salga a combatir será envenenado</t>
  </si>
  <si>
    <t>Taladradora</t>
  </si>
  <si>
    <t>Ataque arena</t>
  </si>
  <si>
    <t>Ala de acero</t>
  </si>
  <si>
    <t>Doble equipo</t>
  </si>
  <si>
    <t>Ida y vuelta</t>
  </si>
  <si>
    <t>Látigo</t>
  </si>
  <si>
    <t>Voltio cruel</t>
  </si>
  <si>
    <t>Golpe mordaza</t>
  </si>
  <si>
    <t>Enrosque</t>
  </si>
  <si>
    <t>Pulso umbrío</t>
  </si>
  <si>
    <t>Bomba germen</t>
  </si>
  <si>
    <t>Beso dulce</t>
  </si>
  <si>
    <t>Placaj. eléc.</t>
  </si>
  <si>
    <t>Rodar</t>
  </si>
  <si>
    <t>Garra brutal</t>
  </si>
  <si>
    <t>Gruñido</t>
  </si>
  <si>
    <t>Disp. Lodo</t>
  </si>
  <si>
    <t>Onda voltio</t>
  </si>
  <si>
    <t>Voz cautivadora</t>
  </si>
  <si>
    <t>Puño meteoro</t>
  </si>
  <si>
    <t>Deseo</t>
  </si>
  <si>
    <t>Duplica la posibilidad de activar efectos secundarios de los movimientos del PKMN</t>
  </si>
  <si>
    <t>Infortunio</t>
  </si>
  <si>
    <t>Llama embrujada</t>
  </si>
  <si>
    <t>Fuego fatuo</t>
  </si>
  <si>
    <t>Vozarrón</t>
  </si>
  <si>
    <t>Beso drenaje</t>
  </si>
  <si>
    <t>Onda certera</t>
  </si>
  <si>
    <t>Competitividad</t>
  </si>
  <si>
    <t>Si el PKMN ve reducida alguna de sus características, o el PKMN rival aumenta las suyas de alguna forma, ATQ y SPD aumentan en +3</t>
  </si>
  <si>
    <t>Retirada</t>
  </si>
  <si>
    <t>El PKMN se cambia por otro o huye si los PS bajan de la mitad</t>
  </si>
  <si>
    <t>Impresionar</t>
  </si>
  <si>
    <t>Polvo ira</t>
  </si>
  <si>
    <t>Veneno X</t>
  </si>
  <si>
    <t>Danza dragón</t>
  </si>
  <si>
    <t>Cometa draco</t>
  </si>
  <si>
    <t>Hace el doble de daño, pero el próximo turno el PKMN no puede atacar.</t>
  </si>
  <si>
    <t>Aqua jet</t>
  </si>
  <si>
    <t>Canon</t>
  </si>
  <si>
    <t>Lanzamiento</t>
  </si>
  <si>
    <t>Vendetta</t>
  </si>
  <si>
    <t>Lariat oscuro</t>
  </si>
  <si>
    <t>Cuándo otro jugador pasa por la casilla en la que te encuentras, puedes activar esta habilidad. Tu PKMN cae debilitado pero se lleva consigo a todo el equipo del rival (no se puede utilizar si el PKMN está debilitado).</t>
  </si>
  <si>
    <t>Niebla clara</t>
  </si>
  <si>
    <t>Maldición</t>
  </si>
  <si>
    <t>Sombratrampa</t>
  </si>
  <si>
    <t>Foco energía</t>
  </si>
  <si>
    <t>No DMG. Todos sus ataques serán críticos.</t>
  </si>
  <si>
    <t>Trampa rocas</t>
  </si>
  <si>
    <t>Impide al rival cambiar de PKMN</t>
  </si>
  <si>
    <t>Esparce rocas por el suelo que restan 2HP a los PKMN rivales que entran a combatir</t>
  </si>
  <si>
    <t>Cabeza de hierro</t>
  </si>
  <si>
    <t>Bote</t>
  </si>
  <si>
    <t>Al acabar un combate todo tu equipo es curado.</t>
  </si>
  <si>
    <t>Contraataque</t>
  </si>
  <si>
    <t>Machada</t>
  </si>
  <si>
    <t>Siempre CRT. Reduce SPD y ATQ en 1 punto.</t>
  </si>
  <si>
    <t>Giga Impacto</t>
  </si>
  <si>
    <t>Giga impacto</t>
  </si>
  <si>
    <t>A Bocajarro</t>
  </si>
  <si>
    <t>At. Arena</t>
  </si>
  <si>
    <t>Sincroruido</t>
  </si>
  <si>
    <t>Humareda</t>
  </si>
  <si>
    <t>Arenas ardientes</t>
  </si>
  <si>
    <t>DMG. &lt;50% foe BRN.</t>
  </si>
  <si>
    <t>Attack only while SLP</t>
  </si>
  <si>
    <t>Only works if foe SLP. Heal +6HP</t>
  </si>
  <si>
    <t>Eructo</t>
  </si>
  <si>
    <t>Hace el doble de daño (una vez) si el PKMN ha consumido una baya.</t>
  </si>
  <si>
    <t>Sonámbulo</t>
  </si>
  <si>
    <t>Liofilización</t>
  </si>
  <si>
    <t>También es muy efectivo contra PKMN de tipo agua.</t>
  </si>
  <si>
    <t>También es muy efectivo contra PKMN del mismo tipo que el usuario.</t>
  </si>
  <si>
    <t>Descarga</t>
  </si>
  <si>
    <t>Si el rival tiene más ATQ o más SPD, este PKMN duplica el valor de dicho stat</t>
  </si>
  <si>
    <t>Actualización</t>
  </si>
  <si>
    <t>Evoluciona cualquier PKMN a su máxima etapa evolutiva sin necesidad de objetos</t>
  </si>
  <si>
    <t>Electrocañón</t>
  </si>
  <si>
    <t>If fails = user -10HP. If not, double DMG.</t>
  </si>
  <si>
    <t>No DMG. User lose 1/2HP + ATQ power x2.</t>
  </si>
  <si>
    <t>If dice result is &lt;4, user fail. 100% PAR.</t>
  </si>
  <si>
    <t>Doble rayo</t>
  </si>
  <si>
    <t>Garra umbía</t>
  </si>
  <si>
    <t>Permite moverse el doble de rápido por el agua.</t>
  </si>
  <si>
    <t>Ágil</t>
  </si>
  <si>
    <t>Puedes doblar el resultado de una tirada de movimiento en tierra firme. Recarga 2 turnos.</t>
  </si>
  <si>
    <t>Golpe bis</t>
  </si>
  <si>
    <t>Sofoco</t>
  </si>
  <si>
    <t>Sol matinal</t>
  </si>
  <si>
    <t>Envite ígneo</t>
  </si>
  <si>
    <t>Al usar ataque el daño se duplica, pero el usuario pierde 10HP.</t>
  </si>
  <si>
    <t>Aligerar</t>
  </si>
  <si>
    <t>Pulimiento</t>
  </si>
  <si>
    <t>No DMG. UserATQ +4</t>
  </si>
  <si>
    <t>Foe extra 20% probability to fail.</t>
  </si>
  <si>
    <t>Danza pétalo</t>
  </si>
  <si>
    <t>No DMG. User attack and speed +2.</t>
  </si>
  <si>
    <t>Megapuño</t>
  </si>
  <si>
    <t>Fuerza equina</t>
  </si>
  <si>
    <t>Metaláser</t>
  </si>
  <si>
    <t>Gravedad</t>
  </si>
  <si>
    <t>Levitón</t>
  </si>
  <si>
    <t>Otorga inmunidad a ataques de tipo tierra al PKMN usuario de la habilidad</t>
  </si>
  <si>
    <t>Los ataques de tipo tierra no tendrán efecto durante todo el combate</t>
  </si>
  <si>
    <t>Mov. Espejo</t>
  </si>
  <si>
    <t>Prioridad -1. Devuelve el ataque al enemigo con el doble de potencia.</t>
  </si>
  <si>
    <t>Prioridad -1. Golpe recibido hace la mitad de daño, contraataca haciendo el mismo daño al rival.</t>
  </si>
  <si>
    <t>Respiro</t>
  </si>
  <si>
    <t>Determinación</t>
  </si>
  <si>
    <t>La velocidad y el ataque de este PKMN aumentan en +2 cada turno que pasa.</t>
  </si>
  <si>
    <t>Pies rápidos</t>
  </si>
  <si>
    <t>Campo psíquico</t>
  </si>
  <si>
    <t>Los movimientos de prioridad no pueden utilizarse. Los ataques de tipo psíquico hacen +4 de daño durante 5 turnos.</t>
  </si>
  <si>
    <t>Robo</t>
  </si>
  <si>
    <t>Psicorayo</t>
  </si>
  <si>
    <t>Poder reserva</t>
  </si>
  <si>
    <t>Paz mental</t>
  </si>
  <si>
    <t>Hace 1 punto extra de daño por cada nivel que tenga aumentadas las características de ATQ y/o SPD.</t>
  </si>
  <si>
    <t>DMG = attack power + 1d6 (no CRT).</t>
  </si>
  <si>
    <t>No DMG. User attack +2 &amp; recover 4HP</t>
  </si>
  <si>
    <t>Reduce 1/2 de los HP máximos. El oponente perderá 10HP cada turno.</t>
  </si>
  <si>
    <t>Giro rápido</t>
  </si>
  <si>
    <t>Bruma</t>
  </si>
  <si>
    <t>Atadura</t>
  </si>
  <si>
    <t>Escaldar</t>
  </si>
  <si>
    <t>Mientras este PKMN esté en combate los cambios en características de todos los combatientes se resetearan cada turno.</t>
  </si>
  <si>
    <t>Elimina todas las trampas y obstáculos que haya en el campo de batalla.</t>
  </si>
  <si>
    <t>Patada Salto</t>
  </si>
  <si>
    <t>If foe switchs, DMG x2 to the switching PKMN.</t>
  </si>
  <si>
    <t>Patada salto</t>
  </si>
  <si>
    <t>If fails = user -5HP. If not, +2 DMG.</t>
  </si>
  <si>
    <t>Frío polar</t>
  </si>
  <si>
    <t>Laguna</t>
  </si>
  <si>
    <t>Al entrar en combate se activa esta habilidad. Durante el resto del combate todos los PKMN de tipo agua recuperan +3HP cada turno.</t>
  </si>
  <si>
    <t>Sombra vil</t>
  </si>
  <si>
    <t>Puño incremento</t>
  </si>
  <si>
    <t>Hyperrayo</t>
  </si>
  <si>
    <t>Ala bis</t>
  </si>
  <si>
    <t>Hit again if dice result = 5/6 (x2 max). No CRT</t>
  </si>
  <si>
    <t>Disparo lodo</t>
  </si>
  <si>
    <t>Si el rvial lleva una baya equipada, se la come y se apropia de los efectos</t>
  </si>
  <si>
    <t>Beso amoroso</t>
  </si>
  <si>
    <t>Psicocorte</t>
  </si>
  <si>
    <t>Tajo umbrío</t>
  </si>
  <si>
    <t>Magikarp solo puede evolucionar saliendo victorioso en un combate. Para ello, puedes enfrentarte a los PKMN salvajes que te aparezcan.</t>
  </si>
  <si>
    <t>Puedes copiar y usar cualquier movimiento de tu rival.</t>
  </si>
  <si>
    <t>Hoja mágica</t>
  </si>
  <si>
    <t>Más psique</t>
  </si>
  <si>
    <t>Roba los cambios en las características al PKMN rival</t>
  </si>
  <si>
    <t>Gas venenoso</t>
  </si>
  <si>
    <t>Juego sucio</t>
  </si>
  <si>
    <t>Permite usar cualquier ataque al usuario de la habilidad si está dormido (excepto descanso).</t>
  </si>
  <si>
    <t>Ataca siempre a los rivales como si estuvieran dormidos</t>
  </si>
  <si>
    <t>Zombie</t>
  </si>
  <si>
    <t>El usuario explota y se debilita causando el x2 DMG al oponente.</t>
  </si>
  <si>
    <t>El usuario explota y se debilita causando el x3 DMG al oponente.</t>
  </si>
  <si>
    <t>Mismodestino</t>
  </si>
  <si>
    <t>Si el rival te debilita justo después de usar este movimiento, también cae en combate</t>
  </si>
  <si>
    <t>Pataleta</t>
  </si>
  <si>
    <t>Reciclaje</t>
  </si>
  <si>
    <t>Pisotón</t>
  </si>
  <si>
    <t>Tras consumir una baya, una vez haya finalizado el turno, tira 1d6. Si sale un número &gt;2 vuelves a tener la baya equipada.</t>
  </si>
  <si>
    <t>Gas corrosivo</t>
  </si>
  <si>
    <t>Pulso umbío</t>
  </si>
  <si>
    <t>&lt;70% PSN</t>
  </si>
  <si>
    <t>&lt;80% PSN + Destroys foe hel item</t>
  </si>
  <si>
    <t>Cuerpo pesado</t>
  </si>
  <si>
    <t>Carga dragón</t>
  </si>
  <si>
    <t>Pararrayos</t>
  </si>
  <si>
    <t>Hidroariete</t>
  </si>
  <si>
    <t>Cuerno certero</t>
  </si>
  <si>
    <t>Rayo solar</t>
  </si>
  <si>
    <t>Onda mental</t>
  </si>
  <si>
    <t>Bola voltio</t>
  </si>
  <si>
    <t>Fitoimpulso</t>
  </si>
  <si>
    <t>Poltergeist</t>
  </si>
  <si>
    <t>If user has held item, DMG x2.</t>
  </si>
  <si>
    <t>Debilidades simp.</t>
  </si>
  <si>
    <t>Preevolution</t>
  </si>
  <si>
    <t>Stone</t>
  </si>
  <si>
    <t>Fully evolved</t>
  </si>
  <si>
    <t>DMG</t>
  </si>
  <si>
    <t>Yes</t>
  </si>
  <si>
    <t>No</t>
  </si>
  <si>
    <t>STATUS</t>
  </si>
  <si>
    <t>FRZ</t>
  </si>
  <si>
    <t>BRN</t>
  </si>
  <si>
    <t>PAR</t>
  </si>
  <si>
    <t>PSN</t>
  </si>
  <si>
    <t>SLP</t>
  </si>
  <si>
    <t>Burn</t>
  </si>
  <si>
    <t>Paralyzed</t>
  </si>
  <si>
    <t>Poisoned</t>
  </si>
  <si>
    <t>Sleep</t>
  </si>
  <si>
    <t>Status</t>
  </si>
  <si>
    <t>Type</t>
  </si>
  <si>
    <t>Short</t>
  </si>
  <si>
    <t>Desc.</t>
  </si>
  <si>
    <t>Permanent</t>
  </si>
  <si>
    <t>Volatile</t>
  </si>
  <si>
    <t>Types</t>
  </si>
  <si>
    <t>Bound</t>
  </si>
  <si>
    <t>Trapped</t>
  </si>
  <si>
    <t>A Pokémon that can't escape is unable to switch out or flee as long as the Pokémon that trapped it is on the field.</t>
  </si>
  <si>
    <t>Confusion</t>
  </si>
  <si>
    <t>Freeze</t>
  </si>
  <si>
    <t>The freeze condition (FRZ) causes a Pokémon to be unable to use moves. If a frozen Pokémon is hit by a damaging Fire-type move it will be thawed. The frozen Pokémon has a 30% chance to be thawed at the end of each turn (including the first one).</t>
  </si>
  <si>
    <t>The paralysis condition (PAR) reduces the Pokémon's Speed stat and causes it to have a 25% chance of being unable to use a move ("fully paralyzed") when trying to use one. 50% of its normal value</t>
  </si>
  <si>
    <t>The burn condition (BRN) inflicts damage every turn and lowers a Pokémon attack stat to it's 75% normal value. The damage taken is equal to 1/12 of the Pokemon HP.</t>
  </si>
  <si>
    <t>The poison condition (PSN) inflicts damage every turn, with the amount of damage increasing each turn. It initially inflicts damage equal to 1/12 of the Pokémon's maximum HP, with the damage inflicted increasing by 1/16 each turn (2/16 on the second turn, 3/16 on the third turn, etc.).</t>
  </si>
  <si>
    <t>The sleep condition (SLP) causes a Pokémon to be unable to use moves, except Snore and Sleep Talk. The minimum and maximum sleep count is 1 turn higher, lasting 2 to 4 turns (probability to awake at the beginning of the turn equal to 25%).If a Pokémon puts itself to sleep using Rest, it will sleep for exactly 2 turns.</t>
  </si>
  <si>
    <t>Pokemon takes damage at the end of each turn and cannot switch out or flee. This lasts 2-4 turns (30% probability to unbound at the end of each turn).</t>
  </si>
  <si>
    <t>CNF</t>
  </si>
  <si>
    <t>BND</t>
  </si>
  <si>
    <t>TRP</t>
  </si>
  <si>
    <t>Curse</t>
  </si>
  <si>
    <t>CRS</t>
  </si>
  <si>
    <t>Drowsy</t>
  </si>
  <si>
    <t>DRW</t>
  </si>
  <si>
    <t>At the end of the next turn, the drowsy Pokémon will fall asleep, unless it is already afflicted by a permanent status condition. If a drowsy Pokémon switches out, it loses its drowsiness.</t>
  </si>
  <si>
    <t>Embargo</t>
  </si>
  <si>
    <t>EMB</t>
  </si>
  <si>
    <t>Encore</t>
  </si>
  <si>
    <t>ENC</t>
  </si>
  <si>
    <t>Flinch</t>
  </si>
  <si>
    <t>FNC</t>
  </si>
  <si>
    <t>The flinch status is a one-turn status that prevents a Pokémon from attacking. A Pokémon can only flinch if it is hit by another Pokémon's move before using its move.</t>
  </si>
  <si>
    <t>Heal Block</t>
  </si>
  <si>
    <t>HLB</t>
  </si>
  <si>
    <t>Infatuation</t>
  </si>
  <si>
    <t>INF</t>
  </si>
  <si>
    <t>A Pokémon that is infatuated cannot use moves 50% of the time, even against Pokémon other than the one it is infatuated with. It is caused when Attract is used on an opponent of the opposite gender. Infatuation will end as soon as either the affected Pokémon or the Pokémon it is infatuated with is removed from the battle.</t>
  </si>
  <si>
    <t>Leech Seed</t>
  </si>
  <si>
    <t>LCH</t>
  </si>
  <si>
    <t>The Leech Seed status can be caused by Leech Seed move. Each turn, a Pokémon afflicted with Leech Seed loses 1/12 of its maximum hit points. The Pokémon that used Leech Seed (or it's substitute) is healed by the same amount. Once the Pokémon switchs or faints the effect dissapear.</t>
  </si>
  <si>
    <t>A Pokémon affected by Heal Block is prevented from healing for five turns.  Once the Pokémon switchs or faints the effect dissapear.</t>
  </si>
  <si>
    <t>Encore forces the Pokémon to repeat its last attack for 2-5 turns (40% probability to move each turn). Once the Pokémon attacks, the encore effect dissapear.  Once the Pokémon switchs or faints the effect dissapear.</t>
  </si>
  <si>
    <t>A Pokémon under the effect of Embargo is unable to use its held item and its Trainer cannot use items on it.  Once the Pokémon switchs or faints the effect dissapear.</t>
  </si>
  <si>
    <t>If a Ghost-type Pokémon uses Curse, its target will be afflicted by the cursed condition. A cursed Pokémon takes damage equal to ¼ of its maximum HP every turn.  Once the Pokémon switchs or faints the effect dissapear.</t>
  </si>
  <si>
    <t>The confused condition causes a Pokémon to sometimes hurt itself in its confusion instead of executing a selected move. The chance to hurt itself is 50%; the damage taken is equal to 1/12 of the Pokemon HP. Confusion wears off after 2-5 attacking turns (30% probability).  Once the Pokémon switchs or faints the effect dissapear.</t>
  </si>
  <si>
    <t>After three turns, all Pokémon who heard the Perish Song will faint. Any Pokémon who heard it can avoid the effect of fainting if it is switched out before the three-turn count finishes</t>
  </si>
  <si>
    <t>Perish song</t>
  </si>
  <si>
    <t>PER</t>
  </si>
  <si>
    <t>A taunted Pokémon cannot use any status moves for 3 turns. The effect dissapear if the pokemon is switched out.</t>
  </si>
  <si>
    <t>Taunt</t>
  </si>
  <si>
    <t>TNT</t>
  </si>
  <si>
    <t>A tormented Pokémon cannot use the same move twice in a row. If the Pokémon is holding a Choice item  it is forced to use Struggle (normal type move) every second turn. Receiving 50% of the damage dealt.</t>
  </si>
  <si>
    <t>Torment</t>
  </si>
  <si>
    <t>TOR</t>
  </si>
  <si>
    <t>Battle</t>
  </si>
  <si>
    <t>Aqua ring</t>
  </si>
  <si>
    <t>Defense curl</t>
  </si>
  <si>
    <t>Rooting</t>
  </si>
  <si>
    <t>Magic coat</t>
  </si>
  <si>
    <t>Magnetic levitation</t>
  </si>
  <si>
    <t>Mimic</t>
  </si>
  <si>
    <t>Minimize</t>
  </si>
  <si>
    <t>Protection</t>
  </si>
  <si>
    <t>Recharging</t>
  </si>
  <si>
    <t>Invulnerable turn</t>
  </si>
  <si>
    <t>Substitute</t>
  </si>
  <si>
    <t>Transformed</t>
  </si>
  <si>
    <t>Thrashing</t>
  </si>
  <si>
    <t>Taking aim</t>
  </si>
  <si>
    <t>CONDITION</t>
  </si>
  <si>
    <t>BATTLE</t>
  </si>
  <si>
    <t>AQR</t>
  </si>
  <si>
    <t>DFC</t>
  </si>
  <si>
    <t>ROT</t>
  </si>
  <si>
    <t>MGC</t>
  </si>
  <si>
    <t>MGL</t>
  </si>
  <si>
    <t>MMC</t>
  </si>
  <si>
    <t>MIN</t>
  </si>
  <si>
    <t>PRT</t>
  </si>
  <si>
    <t>RCH</t>
  </si>
  <si>
    <t>INV</t>
  </si>
  <si>
    <t>SUB</t>
  </si>
  <si>
    <t>THR</t>
  </si>
  <si>
    <t>AIM</t>
  </si>
  <si>
    <t>TRF</t>
  </si>
  <si>
    <t>FIX</t>
  </si>
  <si>
    <t>PERCENT</t>
  </si>
  <si>
    <t>If foe SLP, damage x2. Awakes it.</t>
  </si>
  <si>
    <t>PRIORITY</t>
  </si>
  <si>
    <t>REPEAT</t>
  </si>
  <si>
    <t>TYPE DMG</t>
  </si>
  <si>
    <t>BASIC</t>
  </si>
  <si>
    <t>AMOUNT</t>
  </si>
  <si>
    <t>ATQ</t>
  </si>
  <si>
    <t>DEF</t>
  </si>
  <si>
    <t>INCREASE</t>
  </si>
  <si>
    <t>No DMG. User speed +6.</t>
  </si>
  <si>
    <t>AUTOSTAT</t>
  </si>
  <si>
    <t>P1</t>
  </si>
  <si>
    <t>P2</t>
  </si>
  <si>
    <t>P3</t>
  </si>
  <si>
    <t>P4</t>
  </si>
  <si>
    <t>P5</t>
  </si>
  <si>
    <t>P6</t>
  </si>
  <si>
    <t>P7</t>
  </si>
  <si>
    <t>P8</t>
  </si>
  <si>
    <t>P9</t>
  </si>
  <si>
    <t>P10</t>
  </si>
  <si>
    <t>Always slower but 1.5 DMG</t>
  </si>
  <si>
    <t>SPD reduction 20%</t>
  </si>
  <si>
    <t>Critical aumento</t>
  </si>
  <si>
    <t>SPD reduction 40%</t>
  </si>
  <si>
    <t>P11</t>
  </si>
  <si>
    <t>AL DERROTAR A UN ENEMIGO SUBE ATAQUE EN 2 NV</t>
  </si>
  <si>
    <t>CRITICAL</t>
  </si>
  <si>
    <t>Foe ATQ power +2. DEF-2.  Foe CNF.</t>
  </si>
  <si>
    <t>305 crt</t>
  </si>
  <si>
    <t>don't fail</t>
  </si>
  <si>
    <t>No DMG. User attack and speed +1.</t>
  </si>
  <si>
    <t>prioridad</t>
  </si>
  <si>
    <t>prob bajar def</t>
  </si>
  <si>
    <t>atrapa al rival</t>
  </si>
  <si>
    <t>&lt;20% BRN +CRT - ACC</t>
  </si>
  <si>
    <t>&lt;10% BRN + FNC</t>
  </si>
  <si>
    <t>LOW DEF</t>
  </si>
  <si>
    <t>HIGH CRT</t>
  </si>
  <si>
    <t>&lt;30% FRZ</t>
  </si>
  <si>
    <t>break defense changes</t>
  </si>
  <si>
    <t>Hit again if dice result = 5/6 (x2 max).</t>
  </si>
  <si>
    <t>50% prob to drop atq, spd and def. but x1,5 dmg</t>
  </si>
  <si>
    <t>lowwers speed chance 30</t>
  </si>
  <si>
    <t>El próximo ataque recibido hará el doble de daño; ATQ y SPD +3</t>
  </si>
  <si>
    <t>No DMG. Heal All HP + cure status + put PKMN to SLP (2 turns)</t>
  </si>
  <si>
    <t>Foe can't use last move (only one move)</t>
  </si>
  <si>
    <t>DMG. 30% foe SLP</t>
  </si>
  <si>
    <t>HEALFIX</t>
  </si>
  <si>
    <t>HEALXCENT</t>
  </si>
  <si>
    <t>DMGTKN</t>
  </si>
  <si>
    <t>TRAPPED</t>
  </si>
  <si>
    <t>HEALSTAT</t>
  </si>
  <si>
    <t>the highest the attk status, the highest the damage dealt</t>
  </si>
  <si>
    <t>DMGDEALT</t>
  </si>
  <si>
    <t>LWDEF</t>
  </si>
  <si>
    <t>LWATK</t>
  </si>
  <si>
    <t>Meganium</t>
  </si>
  <si>
    <t>Trading</t>
  </si>
  <si>
    <t>Stage</t>
  </si>
  <si>
    <t>Chain  nº</t>
  </si>
  <si>
    <t>Family</t>
  </si>
  <si>
    <t>Candy</t>
  </si>
  <si>
    <t>Cápsula Hab.</t>
  </si>
  <si>
    <t>MT</t>
  </si>
  <si>
    <t>Evolves with</t>
  </si>
  <si>
    <t>F</t>
  </si>
  <si>
    <t>Kanto</t>
  </si>
  <si>
    <t>Johto</t>
  </si>
  <si>
    <t xml:space="preserve">Basic </t>
  </si>
  <si>
    <t>Habilities and Moves</t>
  </si>
  <si>
    <t>Resistances and Weaknessess</t>
  </si>
  <si>
    <t>Evolution</t>
  </si>
  <si>
    <t>Regions</t>
  </si>
  <si>
    <t>Kanto+</t>
  </si>
  <si>
    <t>Johto+</t>
  </si>
  <si>
    <t>Hoenn+</t>
  </si>
  <si>
    <t>Shinnoh+</t>
  </si>
  <si>
    <t>Unova+</t>
  </si>
  <si>
    <t>Kalos+</t>
  </si>
  <si>
    <t>Alola+</t>
  </si>
  <si>
    <t>Galar+</t>
  </si>
  <si>
    <t>Hisui+</t>
  </si>
  <si>
    <t>Friend</t>
  </si>
  <si>
    <t>Gender</t>
  </si>
  <si>
    <t>Move</t>
  </si>
  <si>
    <t>Time</t>
  </si>
  <si>
    <t>Male</t>
  </si>
  <si>
    <t>Female</t>
  </si>
  <si>
    <t>Day</t>
  </si>
  <si>
    <t>Night</t>
  </si>
  <si>
    <t>M1</t>
  </si>
  <si>
    <t>M2</t>
  </si>
  <si>
    <t>M3</t>
  </si>
  <si>
    <t>M4</t>
  </si>
  <si>
    <t>Weather</t>
  </si>
  <si>
    <t>Clear</t>
  </si>
  <si>
    <t>Rain</t>
  </si>
  <si>
    <t>Sandstorm</t>
  </si>
  <si>
    <t>Fog</t>
  </si>
  <si>
    <t>Cloudy</t>
  </si>
  <si>
    <t>Fighting, Poison, Dark</t>
  </si>
  <si>
    <t>Water, Bug</t>
  </si>
  <si>
    <t>Thunderstorm</t>
  </si>
  <si>
    <t>Water, Electric, Dragon</t>
  </si>
  <si>
    <t>Snow</t>
  </si>
  <si>
    <t>Blizzard</t>
  </si>
  <si>
    <t>Ice, Steel</t>
  </si>
  <si>
    <t>Harsh sunlight</t>
  </si>
  <si>
    <t>Fire, Ground</t>
  </si>
  <si>
    <t>Ground, Rock</t>
  </si>
  <si>
    <t>Psychic, Ghost, Fairy</t>
  </si>
  <si>
    <t>Windy</t>
  </si>
  <si>
    <t>Normal, Grass</t>
  </si>
  <si>
    <t>Benefits</t>
  </si>
  <si>
    <t>Hability</t>
  </si>
  <si>
    <t>H1</t>
  </si>
  <si>
    <t>H2</t>
  </si>
  <si>
    <t>ATQ &lt; SPD</t>
  </si>
  <si>
    <t>ATQ &gt; SPD</t>
  </si>
  <si>
    <t>ATQ = SPD</t>
  </si>
  <si>
    <t>Stat</t>
  </si>
  <si>
    <t>Original stats</t>
  </si>
  <si>
    <t>TAG</t>
  </si>
  <si>
    <t>STARTER</t>
  </si>
  <si>
    <t>NORMAL</t>
  </si>
  <si>
    <t>LEGEND</t>
  </si>
  <si>
    <t>Cuando el PKMN es debilitado, puedes sacrificar a otro de tus PKMN para que el usuario de la habilidad recupere toda su salud.</t>
  </si>
  <si>
    <t>TASKS</t>
  </si>
  <si>
    <t>Special contditions to get this stage</t>
  </si>
  <si>
    <t>Habilities</t>
  </si>
  <si>
    <t>Moves</t>
  </si>
  <si>
    <t xml:space="preserve">Cambiar el metodo evolutivo a la fase evolutiva a la que va a evolucionar
Hacer tabla de configuración del juego (numero de ataques, región en la que empiezas)
Asignar probabilidad a stats (10% / 70% / 20%)
6 posibilidades en resistencia y debilidades
Tabla con tipos alfabético en inglés
</t>
  </si>
  <si>
    <t>BONUS</t>
  </si>
  <si>
    <t>MAX</t>
  </si>
  <si>
    <t>Random</t>
  </si>
  <si>
    <t>RND</t>
  </si>
  <si>
    <t>A permanent status condition is a status condition that remains outside of battle and after being switched out. It's displayed in the party screen, and the Pokémon's summary. A Pokémon cannot gain a permanent status condition if it's already afflicted by another one.</t>
  </si>
  <si>
    <t>A volatile status is a status condition that is inflicted by a move or ability from another Pokémon and will wear off when a Pokémon is switched out of battle or when a battle is over. Many volatile status conditions will also wear off after a number of turns have passed. A Pokémon can be affected by multiple volatile status conditions at a time. A volatile status condition is not indicated by an icon.</t>
  </si>
  <si>
    <t>PROBAB</t>
  </si>
  <si>
    <t>TURNS</t>
  </si>
  <si>
    <t>REGION / RUTA / POKEMON / PROBABILIDAD / MIN / MAX / % H1 / % H2 / % M1-M4 / EXTRA</t>
  </si>
  <si>
    <t>Silbato</t>
  </si>
  <si>
    <t>Tormenta floral</t>
  </si>
  <si>
    <t>Cola dragón</t>
  </si>
  <si>
    <t>Estallido</t>
  </si>
  <si>
    <t>Malicioso</t>
  </si>
  <si>
    <t>Furia</t>
  </si>
  <si>
    <t>Rayo carga</t>
  </si>
  <si>
    <t>Derribo</t>
  </si>
  <si>
    <t>Reflejo</t>
  </si>
  <si>
    <t>Viento plata</t>
  </si>
  <si>
    <t>Ultrapuño</t>
  </si>
  <si>
    <t>Pantalla Luz</t>
  </si>
  <si>
    <t>Red viscosa</t>
  </si>
  <si>
    <t>Acoso</t>
  </si>
  <si>
    <t>Tinieblas</t>
  </si>
  <si>
    <t>Hilo venenoso</t>
  </si>
  <si>
    <t>Torbellino</t>
  </si>
  <si>
    <t>Alto voltaje</t>
  </si>
  <si>
    <t>Triple patada</t>
  </si>
  <si>
    <t>Puntapié</t>
  </si>
  <si>
    <t>Triple axel</t>
  </si>
  <si>
    <t>Viento feérico</t>
  </si>
  <si>
    <t>Metrónomo</t>
  </si>
  <si>
    <t>Nieve polvo</t>
  </si>
  <si>
    <t>Canto mortal</t>
  </si>
  <si>
    <t>Piscocarga</t>
  </si>
  <si>
    <t>En caso de caer en una casilla de evento, duelo o team rocket, puedes saltar a la siguiente casilla.</t>
  </si>
  <si>
    <t>Danza aleteo</t>
  </si>
  <si>
    <t>DMG. User attack +1.</t>
  </si>
  <si>
    <t>DMG. User speed +1.</t>
  </si>
  <si>
    <t>Golpe kárate</t>
  </si>
  <si>
    <t>Rizo defensa</t>
  </si>
  <si>
    <t>Ráfaga escamas</t>
  </si>
  <si>
    <t>Meteorobola</t>
  </si>
  <si>
    <t>Aerochorro</t>
  </si>
  <si>
    <t>Fuegosagrado</t>
  </si>
  <si>
    <t>Pájaro osado</t>
  </si>
  <si>
    <t>Golpe roca</t>
  </si>
  <si>
    <t>Mazazo</t>
  </si>
  <si>
    <t>Testarazo</t>
  </si>
  <si>
    <t>Síntesis</t>
  </si>
  <si>
    <t>Megaagotar</t>
  </si>
  <si>
    <t>Absorbefuerza</t>
  </si>
  <si>
    <t>Doblebofetón</t>
  </si>
  <si>
    <t>Adaptación</t>
  </si>
  <si>
    <t>Desarrollo</t>
  </si>
  <si>
    <t>A bocajarro</t>
  </si>
  <si>
    <t>Afilagarras</t>
  </si>
  <si>
    <t>Pulpocañon</t>
  </si>
  <si>
    <t>Bola de hielo</t>
  </si>
  <si>
    <t>Presente</t>
  </si>
  <si>
    <t>Despejar</t>
  </si>
  <si>
    <t>Niebla</t>
  </si>
  <si>
    <t>Púas</t>
  </si>
  <si>
    <t>Infierno</t>
  </si>
  <si>
    <t>Maquinación</t>
  </si>
  <si>
    <t>Aullido</t>
  </si>
  <si>
    <t>Hipnosis</t>
  </si>
  <si>
    <t>Doble filo</t>
  </si>
  <si>
    <t>Esquema</t>
  </si>
  <si>
    <t>Batido</t>
  </si>
  <si>
    <t>Atracción</t>
  </si>
  <si>
    <t>Arrumaco</t>
  </si>
  <si>
    <t>Tormenta</t>
  </si>
  <si>
    <t>Mineral</t>
  </si>
  <si>
    <t>Poder oculto</t>
  </si>
  <si>
    <t>Manto espejo</t>
  </si>
  <si>
    <t>Encanto</t>
  </si>
  <si>
    <t>Psicocolmillo</t>
  </si>
  <si>
    <t>Calcinación</t>
  </si>
  <si>
    <t>Alud</t>
  </si>
  <si>
    <t>Hoenn</t>
  </si>
  <si>
    <t>Sinnoh</t>
  </si>
  <si>
    <t>Teselia</t>
  </si>
  <si>
    <t>Darmanitan</t>
  </si>
  <si>
    <t>Keldeo</t>
  </si>
  <si>
    <t>1HIT ACC.</t>
  </si>
  <si>
    <t>Garra umbría</t>
  </si>
  <si>
    <t>Hierba lazo</t>
  </si>
  <si>
    <t>PERCENTAGE</t>
  </si>
  <si>
    <t>Experience</t>
  </si>
  <si>
    <t>Basic</t>
  </si>
  <si>
    <t>Gift</t>
  </si>
  <si>
    <t>Nidoran♀</t>
  </si>
  <si>
    <t>Nidoran♂</t>
  </si>
  <si>
    <t>Deoxys</t>
  </si>
  <si>
    <t>Meloetta</t>
  </si>
  <si>
    <t>Landorus</t>
  </si>
  <si>
    <t>Thundurus</t>
  </si>
  <si>
    <t>Tornadus</t>
  </si>
  <si>
    <t>Shaymin</t>
  </si>
  <si>
    <t>Giratina</t>
  </si>
  <si>
    <t>Yanmega</t>
  </si>
  <si>
    <t>Method</t>
  </si>
  <si>
    <t>Exp</t>
  </si>
  <si>
    <t>PKMN in team</t>
  </si>
  <si>
    <t>Impidimp</t>
  </si>
  <si>
    <t>Morgrem</t>
  </si>
  <si>
    <t>Grimmsnarl</t>
  </si>
  <si>
    <t>Rowlet</t>
  </si>
  <si>
    <t>Dartrix</t>
  </si>
  <si>
    <t>Decidueye</t>
  </si>
  <si>
    <t>Litten</t>
  </si>
  <si>
    <t>Torracat</t>
  </si>
  <si>
    <t>Incineroar</t>
  </si>
  <si>
    <t>Popplio</t>
  </si>
  <si>
    <t>Brionne</t>
  </si>
  <si>
    <t>Primarina</t>
  </si>
  <si>
    <t>Salandit</t>
  </si>
  <si>
    <t>Grookey</t>
  </si>
  <si>
    <t>Thwackey</t>
  </si>
  <si>
    <t>Rillaboom</t>
  </si>
  <si>
    <t>Scorbunny</t>
  </si>
  <si>
    <t>Raboot</t>
  </si>
  <si>
    <t>Cinderace</t>
  </si>
  <si>
    <t>Sobble</t>
  </si>
  <si>
    <t>Drizzile</t>
  </si>
  <si>
    <t>Inteleon</t>
  </si>
  <si>
    <t>Kubfu</t>
  </si>
  <si>
    <t>Urshifu</t>
  </si>
  <si>
    <t>Meowstic</t>
  </si>
  <si>
    <t>Aegislash</t>
  </si>
  <si>
    <t>Pumpkaboo</t>
  </si>
  <si>
    <t>Gourgeist</t>
  </si>
  <si>
    <t>Pikipek</t>
  </si>
  <si>
    <t>Trumbeak</t>
  </si>
  <si>
    <t>Toucannon</t>
  </si>
  <si>
    <t>Yungoos</t>
  </si>
  <si>
    <t>Gumshoos</t>
  </si>
  <si>
    <t>Grubbin</t>
  </si>
  <si>
    <t>Charjabug</t>
  </si>
  <si>
    <t>Vikavolt</t>
  </si>
  <si>
    <t>Crabrawler</t>
  </si>
  <si>
    <t>Crabominable</t>
  </si>
  <si>
    <t>Cutiefly</t>
  </si>
  <si>
    <t>Ribombee</t>
  </si>
  <si>
    <t>Rockruff</t>
  </si>
  <si>
    <t>Lycanroc</t>
  </si>
  <si>
    <t>Wishiwashi</t>
  </si>
  <si>
    <t>Mareanie</t>
  </si>
  <si>
    <t>Toxapex</t>
  </si>
  <si>
    <t>Mudbray</t>
  </si>
  <si>
    <t>Mudsdale</t>
  </si>
  <si>
    <t>Dewpider</t>
  </si>
  <si>
    <t>Araquanid</t>
  </si>
  <si>
    <t>Fomantis</t>
  </si>
  <si>
    <t>Lurantis</t>
  </si>
  <si>
    <t>Morelull</t>
  </si>
  <si>
    <t>Shiinotic</t>
  </si>
  <si>
    <t>Stufful</t>
  </si>
  <si>
    <t>Bewear</t>
  </si>
  <si>
    <t>Oranguru</t>
  </si>
  <si>
    <t>Passimian</t>
  </si>
  <si>
    <t>Wimpod</t>
  </si>
  <si>
    <t>Golisopod</t>
  </si>
  <si>
    <t>Sandygast</t>
  </si>
  <si>
    <t>Palossand</t>
  </si>
  <si>
    <t>Pyukumuku</t>
  </si>
  <si>
    <t>Komala</t>
  </si>
  <si>
    <t>Turtonator</t>
  </si>
  <si>
    <t>Togedemaru</t>
  </si>
  <si>
    <t>Mimikyu</t>
  </si>
  <si>
    <t>Bruxish</t>
  </si>
  <si>
    <t>Drampa</t>
  </si>
  <si>
    <t>Jangmo-o</t>
  </si>
  <si>
    <t>Hakamo-o</t>
  </si>
  <si>
    <t>Kommo-o</t>
  </si>
  <si>
    <t>Skwovet</t>
  </si>
  <si>
    <t>Greedent</t>
  </si>
  <si>
    <t>Rookidee</t>
  </si>
  <si>
    <t>Corvisquire</t>
  </si>
  <si>
    <t>Corviknight</t>
  </si>
  <si>
    <t>Blipbug</t>
  </si>
  <si>
    <t>Dottler</t>
  </si>
  <si>
    <t>Orbeetle</t>
  </si>
  <si>
    <t>Nickit</t>
  </si>
  <si>
    <t>Thievul</t>
  </si>
  <si>
    <t>Gossifleur</t>
  </si>
  <si>
    <t>Eldegoss</t>
  </si>
  <si>
    <t>Wooloo</t>
  </si>
  <si>
    <t>Dubwool</t>
  </si>
  <si>
    <t>Chewtle</t>
  </si>
  <si>
    <t>Drednaw</t>
  </si>
  <si>
    <t>Yamper</t>
  </si>
  <si>
    <t>Boltund</t>
  </si>
  <si>
    <t>Rolycoly</t>
  </si>
  <si>
    <t>Carkol</t>
  </si>
  <si>
    <t>Coalossal</t>
  </si>
  <si>
    <t>Applin</t>
  </si>
  <si>
    <t>Flapple</t>
  </si>
  <si>
    <t>Appletun</t>
  </si>
  <si>
    <t>Silicobra</t>
  </si>
  <si>
    <t>Sandaconda</t>
  </si>
  <si>
    <t>Cramorant</t>
  </si>
  <si>
    <t>Arrokuda</t>
  </si>
  <si>
    <t>Barraskewda</t>
  </si>
  <si>
    <t>Toxtricity</t>
  </si>
  <si>
    <t>Sizzlipede</t>
  </si>
  <si>
    <t>Centiskorch</t>
  </si>
  <si>
    <t>Clobbopus</t>
  </si>
  <si>
    <t>Grapploct</t>
  </si>
  <si>
    <t>Obstagoon</t>
  </si>
  <si>
    <t>Perrserker</t>
  </si>
  <si>
    <t>Sirfetch'd</t>
  </si>
  <si>
    <t>Mr. Rime</t>
  </si>
  <si>
    <t>Runerigus</t>
  </si>
  <si>
    <t>Pincurchin</t>
  </si>
  <si>
    <t>Snom</t>
  </si>
  <si>
    <t>Frosmoth</t>
  </si>
  <si>
    <t>Stonjourner</t>
  </si>
  <si>
    <t>Eiscue</t>
  </si>
  <si>
    <t>Indeedee</t>
  </si>
  <si>
    <t>Morpeko</t>
  </si>
  <si>
    <t>Cufant</t>
  </si>
  <si>
    <t>Copperajah</t>
  </si>
  <si>
    <t>Duraludon</t>
  </si>
  <si>
    <t>Dreepy</t>
  </si>
  <si>
    <t>Drakloak</t>
  </si>
  <si>
    <t>Dragapult</t>
  </si>
  <si>
    <t>Toxel</t>
  </si>
  <si>
    <t>Oricorio</t>
  </si>
  <si>
    <t>Comfey</t>
  </si>
  <si>
    <t>Cursola</t>
  </si>
  <si>
    <t>Wormadam</t>
  </si>
  <si>
    <t>Flabébé</t>
  </si>
  <si>
    <t>Salazzle</t>
  </si>
  <si>
    <t>Bounsweet</t>
  </si>
  <si>
    <t>Steenee</t>
  </si>
  <si>
    <t>Tsareena</t>
  </si>
  <si>
    <t>Hatenna</t>
  </si>
  <si>
    <t>Hattrem</t>
  </si>
  <si>
    <t>Hatterene</t>
  </si>
  <si>
    <t>Milcery</t>
  </si>
  <si>
    <t>Alcremie</t>
  </si>
  <si>
    <t>Minior</t>
  </si>
  <si>
    <t>Dhelmise</t>
  </si>
  <si>
    <t>Sinistea</t>
  </si>
  <si>
    <t>Polteageist</t>
  </si>
  <si>
    <t>Falinks</t>
  </si>
  <si>
    <t>Ditto*</t>
  </si>
  <si>
    <t>Zygarde</t>
  </si>
  <si>
    <t>Hoopa</t>
  </si>
  <si>
    <t>Type: Null</t>
  </si>
  <si>
    <t>Silvally</t>
  </si>
  <si>
    <t>Tapu Koko</t>
  </si>
  <si>
    <t>Tapu Lele</t>
  </si>
  <si>
    <t>Tapu Bulu</t>
  </si>
  <si>
    <t>Tapu Fini</t>
  </si>
  <si>
    <t>Cosmog</t>
  </si>
  <si>
    <t>Cosmoem</t>
  </si>
  <si>
    <t>Solgaleo</t>
  </si>
  <si>
    <t>Lunala</t>
  </si>
  <si>
    <t>Nihilego</t>
  </si>
  <si>
    <t>Buzzwole</t>
  </si>
  <si>
    <t>Pheromosa</t>
  </si>
  <si>
    <t>Xurkitree</t>
  </si>
  <si>
    <t>Celesteela</t>
  </si>
  <si>
    <t>Kartana</t>
  </si>
  <si>
    <t>Guzzlord</t>
  </si>
  <si>
    <t>Necrozma</t>
  </si>
  <si>
    <t>Magearna</t>
  </si>
  <si>
    <t>Marshadow</t>
  </si>
  <si>
    <t>Poipole</t>
  </si>
  <si>
    <t>Naganadel</t>
  </si>
  <si>
    <t>Stakataka</t>
  </si>
  <si>
    <t>Blacephalon</t>
  </si>
  <si>
    <t>Zeraora</t>
  </si>
  <si>
    <t>Meltan</t>
  </si>
  <si>
    <t>Melmetal</t>
  </si>
  <si>
    <t>Dracozolt</t>
  </si>
  <si>
    <t>Arctozolt</t>
  </si>
  <si>
    <t>Dracovish</t>
  </si>
  <si>
    <t>Arctovish</t>
  </si>
  <si>
    <t>Zacian</t>
  </si>
  <si>
    <t>Zamazenta</t>
  </si>
  <si>
    <t>Eternatus</t>
  </si>
  <si>
    <t>Zarude</t>
  </si>
  <si>
    <t>Regieleki</t>
  </si>
  <si>
    <t>Regidrago</t>
  </si>
  <si>
    <t>Glastrier</t>
  </si>
  <si>
    <t>Spectrier</t>
  </si>
  <si>
    <t>Calyrex</t>
  </si>
  <si>
    <t>Monster</t>
  </si>
  <si>
    <t>Water 1</t>
  </si>
  <si>
    <t>Field</t>
  </si>
  <si>
    <t>Undiscovered</t>
  </si>
  <si>
    <t>Human-Like</t>
  </si>
  <si>
    <t>Water 3</t>
  </si>
  <si>
    <t>Amorphous</t>
  </si>
  <si>
    <t>Water 2</t>
  </si>
  <si>
    <t>Wyrdeer</t>
  </si>
  <si>
    <t>Kleavor</t>
  </si>
  <si>
    <t>Ursaluna</t>
  </si>
  <si>
    <t>Basculegion</t>
  </si>
  <si>
    <t>Sneasler</t>
  </si>
  <si>
    <t>Overqwil</t>
  </si>
  <si>
    <t>Enamorus</t>
  </si>
  <si>
    <t>Egg 1</t>
  </si>
  <si>
    <t>Egg</t>
  </si>
  <si>
    <t>Truco</t>
  </si>
  <si>
    <t>Celebración</t>
  </si>
  <si>
    <t>Bloqueo</t>
  </si>
  <si>
    <t>Vuelo</t>
  </si>
  <si>
    <t>NOR</t>
  </si>
  <si>
    <t>FIR</t>
  </si>
  <si>
    <t>WAT</t>
  </si>
  <si>
    <t>ELE</t>
  </si>
  <si>
    <t>GRA</t>
  </si>
  <si>
    <t>ICE</t>
  </si>
  <si>
    <t>FIG</t>
  </si>
  <si>
    <t>POI</t>
  </si>
  <si>
    <t>GRO</t>
  </si>
  <si>
    <t>FLY</t>
  </si>
  <si>
    <t>PSY</t>
  </si>
  <si>
    <t>BUG</t>
  </si>
  <si>
    <t>ROC</t>
  </si>
  <si>
    <t>GHO</t>
  </si>
  <si>
    <t>DRA</t>
  </si>
  <si>
    <t>DAR</t>
  </si>
  <si>
    <t>STE</t>
  </si>
  <si>
    <t>FAI</t>
  </si>
  <si>
    <t>FIRE</t>
  </si>
  <si>
    <t>WATER</t>
  </si>
  <si>
    <t>ELECTRIC</t>
  </si>
  <si>
    <t>GRASS</t>
  </si>
  <si>
    <t>FIGHTING</t>
  </si>
  <si>
    <t>POISON</t>
  </si>
  <si>
    <t>GROUND</t>
  </si>
  <si>
    <t>FLYING</t>
  </si>
  <si>
    <t>PSYCHIC</t>
  </si>
  <si>
    <t>ROCK</t>
  </si>
  <si>
    <t>GHOST</t>
  </si>
  <si>
    <t>DRAGON</t>
  </si>
  <si>
    <t>DARK</t>
  </si>
  <si>
    <t>STEEL</t>
  </si>
  <si>
    <t>FAIRY</t>
  </si>
  <si>
    <t>NORMAL / FIRE</t>
  </si>
  <si>
    <t>NORMAL / WATER</t>
  </si>
  <si>
    <t>NORMAL / ELECTRIC</t>
  </si>
  <si>
    <t>NORMAL / GRASS</t>
  </si>
  <si>
    <t>NORMAL / ICE</t>
  </si>
  <si>
    <t>NORMAL / FIGHTING</t>
  </si>
  <si>
    <t>NORMAL / POISON</t>
  </si>
  <si>
    <t>NORMAL / GROUND</t>
  </si>
  <si>
    <t>NORMAL / FLYING</t>
  </si>
  <si>
    <t>NORMAL / PSYCHIC</t>
  </si>
  <si>
    <t>NORMAL / BUG</t>
  </si>
  <si>
    <t>NORMAL / ROCK</t>
  </si>
  <si>
    <t>NORMAL / GHOST</t>
  </si>
  <si>
    <t>NORMAL / DRAGON</t>
  </si>
  <si>
    <t>NORMAL / DARK</t>
  </si>
  <si>
    <t>NORMAL / STEEL</t>
  </si>
  <si>
    <t>NORMAL / FAIRY</t>
  </si>
  <si>
    <t>FIRE / NORMAL</t>
  </si>
  <si>
    <t>FIRE / WATER</t>
  </si>
  <si>
    <t>FIRE / ELECTRIC</t>
  </si>
  <si>
    <t>FIRE / GRASS</t>
  </si>
  <si>
    <t>FIRE / ICE</t>
  </si>
  <si>
    <t>FIRE / FIGHTING</t>
  </si>
  <si>
    <t>FIRE / POISON</t>
  </si>
  <si>
    <t>FIRE / GROUND</t>
  </si>
  <si>
    <t>FIRE / FLYING</t>
  </si>
  <si>
    <t>FIRE / PSYCHIC</t>
  </si>
  <si>
    <t>FIRE / BUG</t>
  </si>
  <si>
    <t>FIRE / ROCK</t>
  </si>
  <si>
    <t>FIRE / GHOST</t>
  </si>
  <si>
    <t>FIRE / DRAGON</t>
  </si>
  <si>
    <t>FIRE / DARK</t>
  </si>
  <si>
    <t>FIRE / STEEL</t>
  </si>
  <si>
    <t>FIRE / FAIRY</t>
  </si>
  <si>
    <t>WATER / NORMAL</t>
  </si>
  <si>
    <t>WATER / FIRE</t>
  </si>
  <si>
    <t>WATER / ELECTRIC</t>
  </si>
  <si>
    <t>WATER / GRASS</t>
  </si>
  <si>
    <t>WATER / ICE</t>
  </si>
  <si>
    <t>WATER / FIGHTING</t>
  </si>
  <si>
    <t>WATER / POISON</t>
  </si>
  <si>
    <t>WATER / GROUND</t>
  </si>
  <si>
    <t>WATER / FLYING</t>
  </si>
  <si>
    <t>WATER / PSYCHIC</t>
  </si>
  <si>
    <t>WATER / BUG</t>
  </si>
  <si>
    <t>WATER / ROCK</t>
  </si>
  <si>
    <t>WATER / GHOST</t>
  </si>
  <si>
    <t>WATER / DRAGON</t>
  </si>
  <si>
    <t>WATER / DARK</t>
  </si>
  <si>
    <t>WATER / STEEL</t>
  </si>
  <si>
    <t>WATER / FAIRY</t>
  </si>
  <si>
    <t>ELECTRIC / NORMAL</t>
  </si>
  <si>
    <t>ELECTRIC / FIRE</t>
  </si>
  <si>
    <t>ELECTRIC / WATER</t>
  </si>
  <si>
    <t>ELECTRIC / GRASS</t>
  </si>
  <si>
    <t>ELECTRIC / ICE</t>
  </si>
  <si>
    <t>ELECTRIC / FIGHTING</t>
  </si>
  <si>
    <t>ELECTRIC / POISON</t>
  </si>
  <si>
    <t>ELECTRIC / GROUND</t>
  </si>
  <si>
    <t>ELECTRIC / FLYING</t>
  </si>
  <si>
    <t>ELECTRIC / PSYCHIC</t>
  </si>
  <si>
    <t>ELECTRIC / BUG</t>
  </si>
  <si>
    <t>ELECTRIC / ROCK</t>
  </si>
  <si>
    <t>ELECTRIC / GHOST</t>
  </si>
  <si>
    <t>ELECTRIC / DRAGON</t>
  </si>
  <si>
    <t>ELECTRIC / DARK</t>
  </si>
  <si>
    <t>ELECTRIC / STEEL</t>
  </si>
  <si>
    <t>ELECTRIC / FAIRY</t>
  </si>
  <si>
    <t>GRASS / NORMAL</t>
  </si>
  <si>
    <t>GRASS / FIRE</t>
  </si>
  <si>
    <t>GRASS / WATER</t>
  </si>
  <si>
    <t>GRASS / ELECTRIC</t>
  </si>
  <si>
    <t>GRASS / ICE</t>
  </si>
  <si>
    <t>GRASS / FIGHTING</t>
  </si>
  <si>
    <t>GRASS / POISON</t>
  </si>
  <si>
    <t>GRASS / GROUND</t>
  </si>
  <si>
    <t>GRASS / FLYING</t>
  </si>
  <si>
    <t>GRASS / PSYCHIC</t>
  </si>
  <si>
    <t>GRASS / BUG</t>
  </si>
  <si>
    <t>GRASS / ROCK</t>
  </si>
  <si>
    <t>GRASS / GHOST</t>
  </si>
  <si>
    <t>GRASS / DRAGON</t>
  </si>
  <si>
    <t>GRASS / DARK</t>
  </si>
  <si>
    <t>GRASS / STEEL</t>
  </si>
  <si>
    <t>GRASS / FAIRY</t>
  </si>
  <si>
    <t>ICE / NORMAL</t>
  </si>
  <si>
    <t>ICE / FIRE</t>
  </si>
  <si>
    <t>ICE / WATER</t>
  </si>
  <si>
    <t>ICE / ELECTRIC</t>
  </si>
  <si>
    <t>ICE / GRASS</t>
  </si>
  <si>
    <t>ICE / FIGHTING</t>
  </si>
  <si>
    <t>ICE / POISON</t>
  </si>
  <si>
    <t>ICE / GROUND</t>
  </si>
  <si>
    <t>ICE / FLYING</t>
  </si>
  <si>
    <t>ICE / PSYCHIC</t>
  </si>
  <si>
    <t>ICE / BUG</t>
  </si>
  <si>
    <t>ICE / ROCK</t>
  </si>
  <si>
    <t>ICE / GHOST</t>
  </si>
  <si>
    <t>ICE / DRAGON</t>
  </si>
  <si>
    <t>ICE / DARK</t>
  </si>
  <si>
    <t>ICE / STEEL</t>
  </si>
  <si>
    <t>ICE / FAIRY</t>
  </si>
  <si>
    <t>FIGHTING / NORMAL</t>
  </si>
  <si>
    <t>FIGHTING / FIRE</t>
  </si>
  <si>
    <t>FIGHTING / WATER</t>
  </si>
  <si>
    <t>FIGHTING / ELECTRIC</t>
  </si>
  <si>
    <t>FIGHTING / GRASS</t>
  </si>
  <si>
    <t>FIGHTING / ICE</t>
  </si>
  <si>
    <t>FIGHTING / POISON</t>
  </si>
  <si>
    <t>FIGHTING / GROUND</t>
  </si>
  <si>
    <t>FIGHTING / FLYING</t>
  </si>
  <si>
    <t>FIGHTING / PSYCHIC</t>
  </si>
  <si>
    <t>FIGHTING / BUG</t>
  </si>
  <si>
    <t>FIGHTING / ROCK</t>
  </si>
  <si>
    <t>FIGHTING / GHOST</t>
  </si>
  <si>
    <t>FIGHTING / DRAGON</t>
  </si>
  <si>
    <t>FIGHTING / DARK</t>
  </si>
  <si>
    <t>FIGHTING / STEEL</t>
  </si>
  <si>
    <t>FIGHTING / FAIRY</t>
  </si>
  <si>
    <t>POISON / NORMAL</t>
  </si>
  <si>
    <t>POISON / FIRE</t>
  </si>
  <si>
    <t>POISON / WATER</t>
  </si>
  <si>
    <t>POISON / ELECTRIC</t>
  </si>
  <si>
    <t>POISON / GRASS</t>
  </si>
  <si>
    <t>POISON / ICE</t>
  </si>
  <si>
    <t>POISON / FIGHTING</t>
  </si>
  <si>
    <t>POISON / GROUND</t>
  </si>
  <si>
    <t>POISON / FLYING</t>
  </si>
  <si>
    <t>POISON / PSYCHIC</t>
  </si>
  <si>
    <t>POISON / BUG</t>
  </si>
  <si>
    <t>POISON / ROCK</t>
  </si>
  <si>
    <t>POISON / GHOST</t>
  </si>
  <si>
    <t>POISON / DRAGON</t>
  </si>
  <si>
    <t>POISON / DARK</t>
  </si>
  <si>
    <t>POISON / STEEL</t>
  </si>
  <si>
    <t>POISON / FAIRY</t>
  </si>
  <si>
    <t>GROUND / NORMAL</t>
  </si>
  <si>
    <t>GROUND / FIRE</t>
  </si>
  <si>
    <t>GROUND / WATER</t>
  </si>
  <si>
    <t>GROUND / ELECTRIC</t>
  </si>
  <si>
    <t>GROUND / GRASS</t>
  </si>
  <si>
    <t>GROUND / ICE</t>
  </si>
  <si>
    <t>GROUND / FIGHTING</t>
  </si>
  <si>
    <t>GROUND / POISON</t>
  </si>
  <si>
    <t>GROUND / FLYING</t>
  </si>
  <si>
    <t>GROUND / PSYCHIC</t>
  </si>
  <si>
    <t>GROUND / BUG</t>
  </si>
  <si>
    <t>GROUND / ROCK</t>
  </si>
  <si>
    <t>GROUND / GHOST</t>
  </si>
  <si>
    <t>GROUND / DRAGON</t>
  </si>
  <si>
    <t>GROUND / DARK</t>
  </si>
  <si>
    <t>GROUND / STEEL</t>
  </si>
  <si>
    <t>GROUND / FAIRY</t>
  </si>
  <si>
    <t>FLYING / NORMAL</t>
  </si>
  <si>
    <t>FLYING / FIRE</t>
  </si>
  <si>
    <t>FLYING / WATER</t>
  </si>
  <si>
    <t>FLYING / ELECTRIC</t>
  </si>
  <si>
    <t>FLYING / GRASS</t>
  </si>
  <si>
    <t>FLYING / ICE</t>
  </si>
  <si>
    <t>FLYING / FIGHTING</t>
  </si>
  <si>
    <t>FLYING / POISON</t>
  </si>
  <si>
    <t>FLYING / GROUND</t>
  </si>
  <si>
    <t>FLYING / PSYCHIC</t>
  </si>
  <si>
    <t>FLYING / BUG</t>
  </si>
  <si>
    <t>FLYING / ROCK</t>
  </si>
  <si>
    <t>FLYING / GHOST</t>
  </si>
  <si>
    <t>FLYING / DRAGON</t>
  </si>
  <si>
    <t>FLYING / DARK</t>
  </si>
  <si>
    <t>FLYING / STEEL</t>
  </si>
  <si>
    <t>FLYING / FAIRY</t>
  </si>
  <si>
    <t>PSYCHIC / NORMAL</t>
  </si>
  <si>
    <t>PSYCHIC / FIRE</t>
  </si>
  <si>
    <t>PSYCHIC / WATER</t>
  </si>
  <si>
    <t>PSYCHIC / ELECTRIC</t>
  </si>
  <si>
    <t>PSYCHIC / GRASS</t>
  </si>
  <si>
    <t>PSYCHIC / ICE</t>
  </si>
  <si>
    <t>PSYCHIC / FIGHTING</t>
  </si>
  <si>
    <t>PSYCHIC / POISON</t>
  </si>
  <si>
    <t>PSYCHIC / GROUND</t>
  </si>
  <si>
    <t>PSYCHIC / FLYING</t>
  </si>
  <si>
    <t>PSYCHIC / BUG</t>
  </si>
  <si>
    <t>PSYCHIC / ROCK</t>
  </si>
  <si>
    <t>PSYCHIC / GHOST</t>
  </si>
  <si>
    <t>PSYCHIC / DRAGON</t>
  </si>
  <si>
    <t>PSYCHIC / DARK</t>
  </si>
  <si>
    <t>PSYCHIC / STEEL</t>
  </si>
  <si>
    <t>PSYCHIC / FAIRY</t>
  </si>
  <si>
    <t>BUG / NORMAL</t>
  </si>
  <si>
    <t>BUG / FIRE</t>
  </si>
  <si>
    <t>BUG / WATER</t>
  </si>
  <si>
    <t>BUG / ELECTRIC</t>
  </si>
  <si>
    <t>BUG / GRASS</t>
  </si>
  <si>
    <t>BUG / ICE</t>
  </si>
  <si>
    <t>BUG / FIGHTING</t>
  </si>
  <si>
    <t>BUG / POISON</t>
  </si>
  <si>
    <t>BUG / GROUND</t>
  </si>
  <si>
    <t>BUG / FLYING</t>
  </si>
  <si>
    <t>BUG / PSYCHIC</t>
  </si>
  <si>
    <t>BUG / ROCK</t>
  </si>
  <si>
    <t>BUG / GHOST</t>
  </si>
  <si>
    <t>BUG / DRAGON</t>
  </si>
  <si>
    <t>BUG / DARK</t>
  </si>
  <si>
    <t>BUG / STEEL</t>
  </si>
  <si>
    <t>BUG / FAIRY</t>
  </si>
  <si>
    <t>ROCK / NORMAL</t>
  </si>
  <si>
    <t>ROCK / FIRE</t>
  </si>
  <si>
    <t>ROCK / WATER</t>
  </si>
  <si>
    <t>ROCK / ELECTRIC</t>
  </si>
  <si>
    <t>ROCK / GRASS</t>
  </si>
  <si>
    <t>ROCK / ICE</t>
  </si>
  <si>
    <t>ROCK / FIGHTING</t>
  </si>
  <si>
    <t>ROCK / POISON</t>
  </si>
  <si>
    <t>ROCK / GROUND</t>
  </si>
  <si>
    <t>ROCK / FLYING</t>
  </si>
  <si>
    <t>ROCK / PSYCHIC</t>
  </si>
  <si>
    <t>ROCK / BUG</t>
  </si>
  <si>
    <t>ROCK / GHOST</t>
  </si>
  <si>
    <t>ROCK / DRAGON</t>
  </si>
  <si>
    <t>ROCK / DARK</t>
  </si>
  <si>
    <t>ROCK / STEEL</t>
  </si>
  <si>
    <t>ROCK / FAIRY</t>
  </si>
  <si>
    <t>GHOST / NORMAL</t>
  </si>
  <si>
    <t>GHOST / FIRE</t>
  </si>
  <si>
    <t>GHOST / WATER</t>
  </si>
  <si>
    <t>GHOST / ELECTRIC</t>
  </si>
  <si>
    <t>GHOST / GRASS</t>
  </si>
  <si>
    <t>GHOST / ICE</t>
  </si>
  <si>
    <t>GHOST / FIGHTING</t>
  </si>
  <si>
    <t>GHOST / POISON</t>
  </si>
  <si>
    <t>GHOST / GROUND</t>
  </si>
  <si>
    <t>GHOST / FLYING</t>
  </si>
  <si>
    <t>GHOST / PSYCHIC</t>
  </si>
  <si>
    <t>GHOST / BUG</t>
  </si>
  <si>
    <t>GHOST / ROCK</t>
  </si>
  <si>
    <t>GHOST / DRAGON</t>
  </si>
  <si>
    <t>GHOST / DARK</t>
  </si>
  <si>
    <t>GHOST / STEEL</t>
  </si>
  <si>
    <t>GHOST / FAIRY</t>
  </si>
  <si>
    <t>DRAGON / NORMAL</t>
  </si>
  <si>
    <t>DRAGON / FIRE</t>
  </si>
  <si>
    <t>DRAGON / WATER</t>
  </si>
  <si>
    <t>DRAGON / ELECTRIC</t>
  </si>
  <si>
    <t>DRAGON / GRASS</t>
  </si>
  <si>
    <t>DRAGON / ICE</t>
  </si>
  <si>
    <t>DRAGON / FIGHTING</t>
  </si>
  <si>
    <t>DRAGON / POISON</t>
  </si>
  <si>
    <t>DRAGON / GROUND</t>
  </si>
  <si>
    <t>DRAGON / FLYING</t>
  </si>
  <si>
    <t>DRAGON / PSYCHIC</t>
  </si>
  <si>
    <t>DRAGON / BUG</t>
  </si>
  <si>
    <t>DRAGON / ROCK</t>
  </si>
  <si>
    <t>DRAGON / GHOST</t>
  </si>
  <si>
    <t>DRAGON / DARK</t>
  </si>
  <si>
    <t>DRAGON / STEEL</t>
  </si>
  <si>
    <t>DRAGON / FAIRY</t>
  </si>
  <si>
    <t>DARK / NORMAL</t>
  </si>
  <si>
    <t>DARK / FIRE</t>
  </si>
  <si>
    <t>DARK / WATER</t>
  </si>
  <si>
    <t>DARK / ELECTRIC</t>
  </si>
  <si>
    <t>DARK / GRASS</t>
  </si>
  <si>
    <t>DARK / ICE</t>
  </si>
  <si>
    <t>DARK / FIGHTING</t>
  </si>
  <si>
    <t>DARK / POISON</t>
  </si>
  <si>
    <t>DARK / GROUND</t>
  </si>
  <si>
    <t>DARK / FLYING</t>
  </si>
  <si>
    <t>DARK / PSYCHIC</t>
  </si>
  <si>
    <t>DARK / BUG</t>
  </si>
  <si>
    <t>DARK / ROCK</t>
  </si>
  <si>
    <t>DARK / GHOST</t>
  </si>
  <si>
    <t>DARK / DRAGON</t>
  </si>
  <si>
    <t>DARK / STEEL</t>
  </si>
  <si>
    <t>DARK / FAIRY</t>
  </si>
  <si>
    <t>STEEL / NORMAL</t>
  </si>
  <si>
    <t>STEEL / FIRE</t>
  </si>
  <si>
    <t>STEEL / WATER</t>
  </si>
  <si>
    <t>STEEL / ELECTRIC</t>
  </si>
  <si>
    <t>STEEL / GRASS</t>
  </si>
  <si>
    <t>STEEL / ICE</t>
  </si>
  <si>
    <t>STEEL / FIGHTING</t>
  </si>
  <si>
    <t>STEEL / POISON</t>
  </si>
  <si>
    <t>STEEL / GROUND</t>
  </si>
  <si>
    <t>STEEL / FLYING</t>
  </si>
  <si>
    <t>STEEL / PSYCHIC</t>
  </si>
  <si>
    <t>STEEL / BUG</t>
  </si>
  <si>
    <t>STEEL / ROCK</t>
  </si>
  <si>
    <t>STEEL / GHOST</t>
  </si>
  <si>
    <t>STEEL / DRAGON</t>
  </si>
  <si>
    <t>STEEL / DARK</t>
  </si>
  <si>
    <t>STEEL / FAIRY</t>
  </si>
  <si>
    <t>FAIRY / NORMAL</t>
  </si>
  <si>
    <t>FAIRY / FIRE</t>
  </si>
  <si>
    <t>FAIRY / WATER</t>
  </si>
  <si>
    <t>FAIRY / ELECTRIC</t>
  </si>
  <si>
    <t>FAIRY / GRASS</t>
  </si>
  <si>
    <t>FAIRY / ICE</t>
  </si>
  <si>
    <t>FAIRY / FIGHTING</t>
  </si>
  <si>
    <t>FAIRY / POISON</t>
  </si>
  <si>
    <t>FAIRY / GROUND</t>
  </si>
  <si>
    <t>FAIRY / FLYING</t>
  </si>
  <si>
    <t>FAIRY / PSYCHIC</t>
  </si>
  <si>
    <t>FAIRY / BUG</t>
  </si>
  <si>
    <t>FAIRY / ROCK</t>
  </si>
  <si>
    <t>FAIRY / GHOST</t>
  </si>
  <si>
    <t>FAIRY / DRAGON</t>
  </si>
  <si>
    <t>FAIRY / DARK</t>
  </si>
  <si>
    <t>FAIRY / STEEL</t>
  </si>
  <si>
    <t>TYPE</t>
  </si>
  <si>
    <t>I</t>
  </si>
  <si>
    <t>R</t>
  </si>
  <si>
    <t>W</t>
  </si>
  <si>
    <t>Weak</t>
  </si>
  <si>
    <t>Inmune</t>
  </si>
  <si>
    <t>Resistant</t>
  </si>
  <si>
    <t>ALT</t>
  </si>
  <si>
    <t>Altered</t>
  </si>
  <si>
    <t>Can lead to PSN, Par or SLP with 1/3 probability.</t>
  </si>
  <si>
    <t>Can lead to FRZ, BRN or PAR with 1/3 probability.</t>
  </si>
  <si>
    <t>Trainer</t>
  </si>
  <si>
    <t>Alola</t>
  </si>
  <si>
    <t>Galar</t>
  </si>
  <si>
    <t>Lyra</t>
  </si>
  <si>
    <t>Serena</t>
  </si>
  <si>
    <t>Calem</t>
  </si>
  <si>
    <t>Kalos</t>
  </si>
  <si>
    <t>Elio</t>
  </si>
  <si>
    <t>Selene</t>
  </si>
  <si>
    <t>Victor</t>
  </si>
  <si>
    <t>Gloria</t>
  </si>
  <si>
    <t>Common</t>
  </si>
  <si>
    <t>Marinero</t>
  </si>
  <si>
    <t>Criador</t>
  </si>
  <si>
    <t>Explorador</t>
  </si>
  <si>
    <t>Se gana a través de: nueva entrada en la pokédex; ganar duelo; ganar líder.</t>
  </si>
  <si>
    <t>Zygarde (50%)</t>
  </si>
  <si>
    <t>Hoopa Confined</t>
  </si>
  <si>
    <t>Hoopa Unbound</t>
  </si>
  <si>
    <t>Pumpkaboo-M</t>
  </si>
  <si>
    <t>Pumpkaboo-S</t>
  </si>
  <si>
    <t>Pumpkaboo-L</t>
  </si>
  <si>
    <t>Pumpkaboo-XL</t>
  </si>
  <si>
    <t>Gourgeist-M</t>
  </si>
  <si>
    <t>Gourgeist-S</t>
  </si>
  <si>
    <t>Gourgeist-L</t>
  </si>
  <si>
    <t>Gourgeist-XL</t>
  </si>
  <si>
    <t>718T</t>
  </si>
  <si>
    <t>718C</t>
  </si>
  <si>
    <t>719M</t>
  </si>
  <si>
    <t>720U</t>
  </si>
  <si>
    <t>724H</t>
  </si>
  <si>
    <t>745D</t>
  </si>
  <si>
    <t>774R</t>
  </si>
  <si>
    <t>800U</t>
  </si>
  <si>
    <t>849L</t>
  </si>
  <si>
    <t>875N</t>
  </si>
  <si>
    <t>876F</t>
  </si>
  <si>
    <t>888C</t>
  </si>
  <si>
    <t>889C</t>
  </si>
  <si>
    <t>890E</t>
  </si>
  <si>
    <t>898I</t>
  </si>
  <si>
    <t>898S</t>
  </si>
  <si>
    <t>902F</t>
  </si>
  <si>
    <t>905T</t>
  </si>
  <si>
    <t>Zygarde (50% Forme)</t>
  </si>
  <si>
    <t>Zygarde (10% Forme)</t>
  </si>
  <si>
    <t>Zygarde (Complete Forme)</t>
  </si>
  <si>
    <t>Diancie (Mega Diancie)</t>
  </si>
  <si>
    <t>Hoopa (Hoopa Confined)</t>
  </si>
  <si>
    <t>Hoopa (Hoopa Unbound)</t>
  </si>
  <si>
    <t>Decidueye (Hisuian Decidueye)</t>
  </si>
  <si>
    <t>Lycanroc (Midday Form)</t>
  </si>
  <si>
    <t>Lycanroc (Midnight Form)</t>
  </si>
  <si>
    <t>Lycanroc (Dusk Form)</t>
  </si>
  <si>
    <t>Wishiwashi (Solo Form)</t>
  </si>
  <si>
    <t>Wishiwashi (School Form)</t>
  </si>
  <si>
    <t>Minior (Meteor Form)</t>
  </si>
  <si>
    <t>Minior (Core)</t>
  </si>
  <si>
    <t>Necrozma (Dusk Mane Necrozma)</t>
  </si>
  <si>
    <t>Necrozma (Dawn Wings Necrozma)</t>
  </si>
  <si>
    <t>Necrozma (Ultra Necrozma)</t>
  </si>
  <si>
    <t>Toxtricity (Amped Form)</t>
  </si>
  <si>
    <t>Toxtricity (Low Key Form)</t>
  </si>
  <si>
    <t>Eiscue (Ice Face)</t>
  </si>
  <si>
    <t>Eiscue (Noice Face)</t>
  </si>
  <si>
    <t>Indeedee (Male)</t>
  </si>
  <si>
    <t>Indeedee (Female)</t>
  </si>
  <si>
    <t>Zacian (Hero of Many Battles)</t>
  </si>
  <si>
    <t>Zacian (Crowned Sword)</t>
  </si>
  <si>
    <t>Zamazenta (Hero of Many Battles)</t>
  </si>
  <si>
    <t>Zamazenta (Crowned Shield)</t>
  </si>
  <si>
    <t>Eternatus (Eternamax Eternatus)</t>
  </si>
  <si>
    <t>Urshifu (Single Strike Style)</t>
  </si>
  <si>
    <t>Urshifu (Rapid Strike Style)</t>
  </si>
  <si>
    <t>Calyrex (Ice Rider Calyrex)</t>
  </si>
  <si>
    <t>Calyrex (Shadow Rider Calyrex)</t>
  </si>
  <si>
    <t>Basculegion (Male)</t>
  </si>
  <si>
    <t>Basculegion (Female)</t>
  </si>
  <si>
    <t>Enamorus (Incarnate Forme)</t>
  </si>
  <si>
    <t>Enamorus (Therian Forme)</t>
  </si>
  <si>
    <t>003M</t>
  </si>
  <si>
    <t>Venusaur (Mega Venusaur)</t>
  </si>
  <si>
    <t>Charizard (Mega Charizard X)</t>
  </si>
  <si>
    <t>Charizard (Mega Charizard Y)</t>
  </si>
  <si>
    <t>009M</t>
  </si>
  <si>
    <t>Blastoise (Mega Blastoise)</t>
  </si>
  <si>
    <t>015M</t>
  </si>
  <si>
    <t>Beedrill (Mega Beedrill)</t>
  </si>
  <si>
    <t>018M</t>
  </si>
  <si>
    <t>Pidgeot (Mega Pidgeot)</t>
  </si>
  <si>
    <t>019A</t>
  </si>
  <si>
    <t>Rattata (Alolan Rattata)</t>
  </si>
  <si>
    <t>020A</t>
  </si>
  <si>
    <t>Raticate (Alolan Raticate)</t>
  </si>
  <si>
    <t>Pikachu (Partner Pikachu)</t>
  </si>
  <si>
    <t>026A</t>
  </si>
  <si>
    <t>Raichu (Alolan Raichu)</t>
  </si>
  <si>
    <t>027A</t>
  </si>
  <si>
    <t>Sandshrew (Alolan Sandshrew)</t>
  </si>
  <si>
    <t>028A</t>
  </si>
  <si>
    <t>Sandslash (Alolan Sandslash)</t>
  </si>
  <si>
    <t>037A</t>
  </si>
  <si>
    <t>Vulpix (Alolan Vulpix)</t>
  </si>
  <si>
    <t>038A</t>
  </si>
  <si>
    <t>Ninetales (Alolan Ninetales)</t>
  </si>
  <si>
    <t>050A</t>
  </si>
  <si>
    <t>Diglett (Alolan Diglett)</t>
  </si>
  <si>
    <t>051A</t>
  </si>
  <si>
    <t>Dugtrio (Alolan Dugtrio)</t>
  </si>
  <si>
    <t>052A</t>
  </si>
  <si>
    <t>Meowth (Alolan Meowth)</t>
  </si>
  <si>
    <t>052G</t>
  </si>
  <si>
    <t>Meowth (Galarian Meowth)</t>
  </si>
  <si>
    <t>053A</t>
  </si>
  <si>
    <t>Persian (Alolan Persian)</t>
  </si>
  <si>
    <t>058H</t>
  </si>
  <si>
    <t>Growlithe (Hisuian Growlithe)</t>
  </si>
  <si>
    <t>059H</t>
  </si>
  <si>
    <t>Arcanine (Hisuian Arcanine)</t>
  </si>
  <si>
    <t>065M</t>
  </si>
  <si>
    <t>Alakazam (Mega Alakazam)</t>
  </si>
  <si>
    <t>074A</t>
  </si>
  <si>
    <t>Geodude (Alolan Geodude)</t>
  </si>
  <si>
    <t>075A</t>
  </si>
  <si>
    <t>Graveler (Alolan Graveler)</t>
  </si>
  <si>
    <t>076A</t>
  </si>
  <si>
    <t>Golem (Alolan Golem)</t>
  </si>
  <si>
    <t>077G</t>
  </si>
  <si>
    <t>Ponyta (Galarian Ponyta)</t>
  </si>
  <si>
    <t>078G</t>
  </si>
  <si>
    <t>Rapidash (Galarian Rapidash)</t>
  </si>
  <si>
    <t>079G</t>
  </si>
  <si>
    <t>Slowpoke (Galarian Slowpoke)</t>
  </si>
  <si>
    <t>080M</t>
  </si>
  <si>
    <t>Slowbro (Mega Slowbro)</t>
  </si>
  <si>
    <t>080G</t>
  </si>
  <si>
    <t>Slowbro (Galarian Slowbro)</t>
  </si>
  <si>
    <t>083G</t>
  </si>
  <si>
    <t>Farfetch'd (Galarian Farfetch'd)</t>
  </si>
  <si>
    <t>088A</t>
  </si>
  <si>
    <t>Grimer (Alolan Grimer)</t>
  </si>
  <si>
    <t>089A</t>
  </si>
  <si>
    <t>Muk (Alolan Muk)</t>
  </si>
  <si>
    <t>094M</t>
  </si>
  <si>
    <t>Gengar (Mega Gengar)</t>
  </si>
  <si>
    <t>100H</t>
  </si>
  <si>
    <t>Voltorb (Hisuian Voltorb)</t>
  </si>
  <si>
    <t>101H</t>
  </si>
  <si>
    <t>Electrode (Hisuian Electrode)</t>
  </si>
  <si>
    <t>103A</t>
  </si>
  <si>
    <t>Exeggutor (Alolan Exeggutor)</t>
  </si>
  <si>
    <t>105A</t>
  </si>
  <si>
    <t>Marowak (Alolan Marowak)</t>
  </si>
  <si>
    <t>110G</t>
  </si>
  <si>
    <t>Weezing (Galarian Weezing)</t>
  </si>
  <si>
    <t>115M</t>
  </si>
  <si>
    <t>Kangaskhan (Mega Kangaskhan)</t>
  </si>
  <si>
    <t>122G</t>
  </si>
  <si>
    <t>Mr. Mime (Galarian Mr. Mime)</t>
  </si>
  <si>
    <t>127M</t>
  </si>
  <si>
    <t>Pinsir (Mega Pinsir)</t>
  </si>
  <si>
    <t>130M</t>
  </si>
  <si>
    <t>Gyarados (Mega Gyarados)</t>
  </si>
  <si>
    <t>Eevee (Partner Eevee)</t>
  </si>
  <si>
    <t>142M</t>
  </si>
  <si>
    <t>Aerodactyl (Mega Aerodactyl)</t>
  </si>
  <si>
    <t>144G</t>
  </si>
  <si>
    <t>Articuno (Galarian Articuno)</t>
  </si>
  <si>
    <t>145G</t>
  </si>
  <si>
    <t>Zapdos (Galarian Zapdos)</t>
  </si>
  <si>
    <t>146G</t>
  </si>
  <si>
    <t>Moltres (Galarian Moltres)</t>
  </si>
  <si>
    <t>Mewtwo (Mega Mewtwo X)</t>
  </si>
  <si>
    <t>Mewtwo (Mega Mewtwo Y)</t>
  </si>
  <si>
    <t>157H</t>
  </si>
  <si>
    <t>Typhlosion (Hisuian Typhlosion)</t>
  </si>
  <si>
    <t>181M</t>
  </si>
  <si>
    <t>Ampharos (Mega Ampharos)</t>
  </si>
  <si>
    <t>199G</t>
  </si>
  <si>
    <t>Slowking (Galarian Slowking)</t>
  </si>
  <si>
    <t>208M</t>
  </si>
  <si>
    <t>Steelix (Mega Steelix)</t>
  </si>
  <si>
    <t>211H</t>
  </si>
  <si>
    <t>Qwilfish (Hisuian Qwilfish)</t>
  </si>
  <si>
    <t>212M</t>
  </si>
  <si>
    <t>Scizor (Mega Scizor)</t>
  </si>
  <si>
    <t>214M</t>
  </si>
  <si>
    <t>Heracross (Mega Heracross)</t>
  </si>
  <si>
    <t>215H</t>
  </si>
  <si>
    <t>Sneasel (Hisuian Sneasel)</t>
  </si>
  <si>
    <t>222G</t>
  </si>
  <si>
    <t>Corsola (Galarian Corsola)</t>
  </si>
  <si>
    <t>229M</t>
  </si>
  <si>
    <t>Houndoom (Mega Houndoom)</t>
  </si>
  <si>
    <t>248M</t>
  </si>
  <si>
    <t>Tyranitar (Mega Tyranitar)</t>
  </si>
  <si>
    <t>254M</t>
  </si>
  <si>
    <t>Sceptile (Mega Sceptile)</t>
  </si>
  <si>
    <t>257M</t>
  </si>
  <si>
    <t>Blaziken (Mega Blaziken)</t>
  </si>
  <si>
    <t>260M</t>
  </si>
  <si>
    <t>Swampert (Mega Swampert)</t>
  </si>
  <si>
    <t>263G</t>
  </si>
  <si>
    <t>Zigzagoon (Galarian Zigzagoon)</t>
  </si>
  <si>
    <t>264G</t>
  </si>
  <si>
    <t>Linoone (Galarian Linoone)</t>
  </si>
  <si>
    <t>282M</t>
  </si>
  <si>
    <t>Gardevoir (Mega Gardevoir)</t>
  </si>
  <si>
    <t>302M</t>
  </si>
  <si>
    <t>Sableye (Mega Sableye)</t>
  </si>
  <si>
    <t>303M</t>
  </si>
  <si>
    <t>Mawile (Mega Mawile)</t>
  </si>
  <si>
    <t>306M</t>
  </si>
  <si>
    <t>Aggron (Mega Aggron)</t>
  </si>
  <si>
    <t>308M</t>
  </si>
  <si>
    <t>Medicham (Mega Medicham)</t>
  </si>
  <si>
    <t>310M</t>
  </si>
  <si>
    <t>Manectric (Mega Manectric)</t>
  </si>
  <si>
    <t>319M</t>
  </si>
  <si>
    <t>Sharpedo (Mega Sharpedo)</t>
  </si>
  <si>
    <t>323M</t>
  </si>
  <si>
    <t>Camerupt (Mega Camerupt)</t>
  </si>
  <si>
    <t>334M</t>
  </si>
  <si>
    <t>Altaria (Mega Altaria)</t>
  </si>
  <si>
    <t>354M</t>
  </si>
  <si>
    <t>Banette (Mega Banette)</t>
  </si>
  <si>
    <t>359M</t>
  </si>
  <si>
    <t>Absol (Mega Absol)</t>
  </si>
  <si>
    <t>362M</t>
  </si>
  <si>
    <t>Glalie (Mega Glalie)</t>
  </si>
  <si>
    <t>373M</t>
  </si>
  <si>
    <t>Salamence (Mega Salamence)</t>
  </si>
  <si>
    <t>376M</t>
  </si>
  <si>
    <t>Metagross (Mega Metagross)</t>
  </si>
  <si>
    <t>380M</t>
  </si>
  <si>
    <t>Latias (Mega Latias)</t>
  </si>
  <si>
    <t>381M</t>
  </si>
  <si>
    <t>Latios (Mega Latios)</t>
  </si>
  <si>
    <t>382P</t>
  </si>
  <si>
    <t>Kyogre (Primal Kyogre)</t>
  </si>
  <si>
    <t>383P</t>
  </si>
  <si>
    <t>Groudon (Primal Groudon)</t>
  </si>
  <si>
    <t>384M</t>
  </si>
  <si>
    <t>Rayquaza (Mega Rayquaza)</t>
  </si>
  <si>
    <t>Deoxys (Normal Forme)</t>
  </si>
  <si>
    <t>386A</t>
  </si>
  <si>
    <t>Deoxys (Attack Forme)</t>
  </si>
  <si>
    <t>386D</t>
  </si>
  <si>
    <t>Deoxys (Defense Forme)</t>
  </si>
  <si>
    <t>386S</t>
  </si>
  <si>
    <t>Deoxys (Speed Forme)</t>
  </si>
  <si>
    <t>Wormadam (Plant Cloak)</t>
  </si>
  <si>
    <t>413G</t>
  </si>
  <si>
    <t>Wormadam (Sandy Cloak)</t>
  </si>
  <si>
    <t>413S</t>
  </si>
  <si>
    <t>Wormadam (Trash Cloak)</t>
  </si>
  <si>
    <t>428M</t>
  </si>
  <si>
    <t>Lopunny (Mega Lopunny)</t>
  </si>
  <si>
    <t>445M</t>
  </si>
  <si>
    <t>Garchomp (Mega Garchomp)</t>
  </si>
  <si>
    <t>448M</t>
  </si>
  <si>
    <t>Lucario (Mega Lucario)</t>
  </si>
  <si>
    <t>460M</t>
  </si>
  <si>
    <t>Abomasnow (Mega Abomasnow)</t>
  </si>
  <si>
    <t>475M</t>
  </si>
  <si>
    <t>Gallade (Mega Gallade)</t>
  </si>
  <si>
    <t>479O</t>
  </si>
  <si>
    <t>Rotom (Heat Rotom)</t>
  </si>
  <si>
    <t>479W</t>
  </si>
  <si>
    <t>Rotom (Wash Rotom)</t>
  </si>
  <si>
    <t>479R</t>
  </si>
  <si>
    <t>Rotom (Frost Rotom)</t>
  </si>
  <si>
    <t>479F</t>
  </si>
  <si>
    <t>Rotom (Fan Rotom)</t>
  </si>
  <si>
    <t>479L</t>
  </si>
  <si>
    <t>Rotom (Mow Rotom)</t>
  </si>
  <si>
    <t>483O</t>
  </si>
  <si>
    <t>Dialga (Origin Forme)</t>
  </si>
  <si>
    <t>484O</t>
  </si>
  <si>
    <t>Palkia (Origin Forme)</t>
  </si>
  <si>
    <t>Giratina (Altered Forme)</t>
  </si>
  <si>
    <t>487O</t>
  </si>
  <si>
    <t>Giratina (Origin Forme)</t>
  </si>
  <si>
    <t>Shaymin (Land Forme)</t>
  </si>
  <si>
    <t>492S</t>
  </si>
  <si>
    <t>Shaymin (Sky Forme)</t>
  </si>
  <si>
    <t>503H</t>
  </si>
  <si>
    <t>Samurott (Hisuian Samurott)</t>
  </si>
  <si>
    <t>531M</t>
  </si>
  <si>
    <t>Audino (Mega Audino)</t>
  </si>
  <si>
    <t>549H</t>
  </si>
  <si>
    <t>Lilligant (Hisuian Lilligant)</t>
  </si>
  <si>
    <t>554G</t>
  </si>
  <si>
    <t>Darumaka (Galarian Darumaka)</t>
  </si>
  <si>
    <t>Darmanitan (Standard Mode)</t>
  </si>
  <si>
    <t>555Z</t>
  </si>
  <si>
    <t>Darmanitan (Zen Mode)</t>
  </si>
  <si>
    <t>555G</t>
  </si>
  <si>
    <t>Darmanitan (Galarian Standard Mode)</t>
  </si>
  <si>
    <t>Darmanitan (Galarian Zen Mode)</t>
  </si>
  <si>
    <t>562G</t>
  </si>
  <si>
    <t>Yamask (Galarian Yamask)</t>
  </si>
  <si>
    <t>570H</t>
  </si>
  <si>
    <t>Zorua (Hisuian Zorua)</t>
  </si>
  <si>
    <t>571H</t>
  </si>
  <si>
    <t>Zoroark (Hisuian Zoroark)</t>
  </si>
  <si>
    <t>618G</t>
  </si>
  <si>
    <t>Stunfisk (Galarian Stunfisk)</t>
  </si>
  <si>
    <t>628H</t>
  </si>
  <si>
    <t>Braviary (Hisuian Braviary)</t>
  </si>
  <si>
    <t>Tornadus (Incarnate Forme)</t>
  </si>
  <si>
    <t>641T</t>
  </si>
  <si>
    <t>Tornadus (Therian Forme)</t>
  </si>
  <si>
    <t>Thundurus (Incarnate Forme)</t>
  </si>
  <si>
    <t>642T</t>
  </si>
  <si>
    <t>Thundurus (Therian Forme)</t>
  </si>
  <si>
    <t>Landorus (Incarnate Forme)</t>
  </si>
  <si>
    <t>645T</t>
  </si>
  <si>
    <t>Landorus (Therian Forme)</t>
  </si>
  <si>
    <t>646B</t>
  </si>
  <si>
    <t>Kyurem (Black Kyurem)</t>
  </si>
  <si>
    <t>646W</t>
  </si>
  <si>
    <t>Kyurem (White Kyurem)</t>
  </si>
  <si>
    <t>Meloetta (Aria Forme)</t>
  </si>
  <si>
    <t>648P</t>
  </si>
  <si>
    <t>Meloetta (Pirouette Forme)</t>
  </si>
  <si>
    <t>658A</t>
  </si>
  <si>
    <t>Greninja (Ash-Greninja)</t>
  </si>
  <si>
    <t>Aegislash (Shield Forme)</t>
  </si>
  <si>
    <t>681B</t>
  </si>
  <si>
    <t>Aegislash (Blade Forme)</t>
  </si>
  <si>
    <t>705H</t>
  </si>
  <si>
    <t>Sliggoo (Hisuian Sliggoo)</t>
  </si>
  <si>
    <t>706H</t>
  </si>
  <si>
    <t>Goodra (Hisuian Goodra)</t>
  </si>
  <si>
    <t>Pumpkaboo (Small Size)</t>
  </si>
  <si>
    <t>Pumpkaboo (Average Size)</t>
  </si>
  <si>
    <t>Pumpkaboo (Large Size)</t>
  </si>
  <si>
    <t>Pumpkaboo (Super Size)</t>
  </si>
  <si>
    <t>Gourgeist (Small Size)</t>
  </si>
  <si>
    <t>Gourgeist (Average Size)</t>
  </si>
  <si>
    <t>Gourgeist (Large Size)</t>
  </si>
  <si>
    <t>Gourgeist (Super Size)</t>
  </si>
  <si>
    <t>713H</t>
  </si>
  <si>
    <t>Avalugg (Hisuian Avalugg)</t>
  </si>
  <si>
    <t>Pokémon</t>
  </si>
  <si>
    <t>Sp. Attack</t>
  </si>
  <si>
    <t>Sp. Defense</t>
  </si>
  <si>
    <t>Average</t>
  </si>
  <si>
    <t>Cod</t>
  </si>
  <si>
    <t>001O</t>
  </si>
  <si>
    <t>479H</t>
  </si>
  <si>
    <t>484A</t>
  </si>
  <si>
    <t>487A</t>
  </si>
  <si>
    <t>483A</t>
  </si>
  <si>
    <t>002O</t>
  </si>
  <si>
    <t>003O</t>
  </si>
  <si>
    <t>004O</t>
  </si>
  <si>
    <t>005O</t>
  </si>
  <si>
    <t>006O</t>
  </si>
  <si>
    <t>007O</t>
  </si>
  <si>
    <t>008O</t>
  </si>
  <si>
    <t>009O</t>
  </si>
  <si>
    <t>010O</t>
  </si>
  <si>
    <t>011O</t>
  </si>
  <si>
    <t>012O</t>
  </si>
  <si>
    <t>013O</t>
  </si>
  <si>
    <t>014O</t>
  </si>
  <si>
    <t>015O</t>
  </si>
  <si>
    <t>016O</t>
  </si>
  <si>
    <t>017O</t>
  </si>
  <si>
    <t>018O</t>
  </si>
  <si>
    <t>019O</t>
  </si>
  <si>
    <t>020O</t>
  </si>
  <si>
    <t>021O</t>
  </si>
  <si>
    <t>022O</t>
  </si>
  <si>
    <t>023O</t>
  </si>
  <si>
    <t>024O</t>
  </si>
  <si>
    <t>025O</t>
  </si>
  <si>
    <t>026O</t>
  </si>
  <si>
    <t>027O</t>
  </si>
  <si>
    <t>028O</t>
  </si>
  <si>
    <t>029O</t>
  </si>
  <si>
    <t>030O</t>
  </si>
  <si>
    <t>031O</t>
  </si>
  <si>
    <t>032O</t>
  </si>
  <si>
    <t>033O</t>
  </si>
  <si>
    <t>034O</t>
  </si>
  <si>
    <t>035O</t>
  </si>
  <si>
    <t>036O</t>
  </si>
  <si>
    <t>037O</t>
  </si>
  <si>
    <t>038O</t>
  </si>
  <si>
    <t>039O</t>
  </si>
  <si>
    <t>040O</t>
  </si>
  <si>
    <t>041O</t>
  </si>
  <si>
    <t>042O</t>
  </si>
  <si>
    <t>043O</t>
  </si>
  <si>
    <t>044O</t>
  </si>
  <si>
    <t>045O</t>
  </si>
  <si>
    <t>046O</t>
  </si>
  <si>
    <t>047O</t>
  </si>
  <si>
    <t>048O</t>
  </si>
  <si>
    <t>049O</t>
  </si>
  <si>
    <t>050O</t>
  </si>
  <si>
    <t>051O</t>
  </si>
  <si>
    <t>052O</t>
  </si>
  <si>
    <t>053O</t>
  </si>
  <si>
    <t>054O</t>
  </si>
  <si>
    <t>055O</t>
  </si>
  <si>
    <t>056O</t>
  </si>
  <si>
    <t>057O</t>
  </si>
  <si>
    <t>058O</t>
  </si>
  <si>
    <t>059O</t>
  </si>
  <si>
    <t>060O</t>
  </si>
  <si>
    <t>061O</t>
  </si>
  <si>
    <t>062O</t>
  </si>
  <si>
    <t>063O</t>
  </si>
  <si>
    <t>064O</t>
  </si>
  <si>
    <t>065O</t>
  </si>
  <si>
    <t>066O</t>
  </si>
  <si>
    <t>067O</t>
  </si>
  <si>
    <t>068O</t>
  </si>
  <si>
    <t>069O</t>
  </si>
  <si>
    <t>070O</t>
  </si>
  <si>
    <t>071O</t>
  </si>
  <si>
    <t>072O</t>
  </si>
  <si>
    <t>073O</t>
  </si>
  <si>
    <t>074O</t>
  </si>
  <si>
    <t>075O</t>
  </si>
  <si>
    <t>076O</t>
  </si>
  <si>
    <t>077O</t>
  </si>
  <si>
    <t>078O</t>
  </si>
  <si>
    <t>079O</t>
  </si>
  <si>
    <t>080O</t>
  </si>
  <si>
    <t>081O</t>
  </si>
  <si>
    <t>082O</t>
  </si>
  <si>
    <t>083O</t>
  </si>
  <si>
    <t>084O</t>
  </si>
  <si>
    <t>085O</t>
  </si>
  <si>
    <t>086O</t>
  </si>
  <si>
    <t>087O</t>
  </si>
  <si>
    <t>088O</t>
  </si>
  <si>
    <t>089O</t>
  </si>
  <si>
    <t>090O</t>
  </si>
  <si>
    <t>091O</t>
  </si>
  <si>
    <t>092O</t>
  </si>
  <si>
    <t>093O</t>
  </si>
  <si>
    <t>094O</t>
  </si>
  <si>
    <t>095O</t>
  </si>
  <si>
    <t>096O</t>
  </si>
  <si>
    <t>097O</t>
  </si>
  <si>
    <t>098O</t>
  </si>
  <si>
    <t>099O</t>
  </si>
  <si>
    <t>100O</t>
  </si>
  <si>
    <t>101O</t>
  </si>
  <si>
    <t>102O</t>
  </si>
  <si>
    <t>103O</t>
  </si>
  <si>
    <t>104O</t>
  </si>
  <si>
    <t>105O</t>
  </si>
  <si>
    <t>106O</t>
  </si>
  <si>
    <t>107O</t>
  </si>
  <si>
    <t>108O</t>
  </si>
  <si>
    <t>109O</t>
  </si>
  <si>
    <t>110O</t>
  </si>
  <si>
    <t>111O</t>
  </si>
  <si>
    <t>112O</t>
  </si>
  <si>
    <t>113O</t>
  </si>
  <si>
    <t>114O</t>
  </si>
  <si>
    <t>115O</t>
  </si>
  <si>
    <t>116O</t>
  </si>
  <si>
    <t>117O</t>
  </si>
  <si>
    <t>118O</t>
  </si>
  <si>
    <t>119O</t>
  </si>
  <si>
    <t>120O</t>
  </si>
  <si>
    <t>121O</t>
  </si>
  <si>
    <t>122O</t>
  </si>
  <si>
    <t>123O</t>
  </si>
  <si>
    <t>124O</t>
  </si>
  <si>
    <t>125O</t>
  </si>
  <si>
    <t>126O</t>
  </si>
  <si>
    <t>127O</t>
  </si>
  <si>
    <t>128O</t>
  </si>
  <si>
    <t>129O</t>
  </si>
  <si>
    <t>130O</t>
  </si>
  <si>
    <t>131O</t>
  </si>
  <si>
    <t>132O</t>
  </si>
  <si>
    <t>133O</t>
  </si>
  <si>
    <t>134O</t>
  </si>
  <si>
    <t>135O</t>
  </si>
  <si>
    <t>136O</t>
  </si>
  <si>
    <t>137O</t>
  </si>
  <si>
    <t>138O</t>
  </si>
  <si>
    <t>139O</t>
  </si>
  <si>
    <t>140O</t>
  </si>
  <si>
    <t>141O</t>
  </si>
  <si>
    <t>142O</t>
  </si>
  <si>
    <t>143O</t>
  </si>
  <si>
    <t>144O</t>
  </si>
  <si>
    <t>145O</t>
  </si>
  <si>
    <t>146O</t>
  </si>
  <si>
    <t>147O</t>
  </si>
  <si>
    <t>148O</t>
  </si>
  <si>
    <t>149O</t>
  </si>
  <si>
    <t>150O</t>
  </si>
  <si>
    <t>151O</t>
  </si>
  <si>
    <t>152O</t>
  </si>
  <si>
    <t>153O</t>
  </si>
  <si>
    <t>154O</t>
  </si>
  <si>
    <t>155O</t>
  </si>
  <si>
    <t>156O</t>
  </si>
  <si>
    <t>157O</t>
  </si>
  <si>
    <t>158O</t>
  </si>
  <si>
    <t>159O</t>
  </si>
  <si>
    <t>160O</t>
  </si>
  <si>
    <t>161O</t>
  </si>
  <si>
    <t>162O</t>
  </si>
  <si>
    <t>163O</t>
  </si>
  <si>
    <t>164O</t>
  </si>
  <si>
    <t>165O</t>
  </si>
  <si>
    <t>166O</t>
  </si>
  <si>
    <t>167O</t>
  </si>
  <si>
    <t>168O</t>
  </si>
  <si>
    <t>169O</t>
  </si>
  <si>
    <t>170O</t>
  </si>
  <si>
    <t>171O</t>
  </si>
  <si>
    <t>172O</t>
  </si>
  <si>
    <t>173O</t>
  </si>
  <si>
    <t>174O</t>
  </si>
  <si>
    <t>175O</t>
  </si>
  <si>
    <t>176O</t>
  </si>
  <si>
    <t>177O</t>
  </si>
  <si>
    <t>178O</t>
  </si>
  <si>
    <t>179O</t>
  </si>
  <si>
    <t>180O</t>
  </si>
  <si>
    <t>181O</t>
  </si>
  <si>
    <t>182O</t>
  </si>
  <si>
    <t>183O</t>
  </si>
  <si>
    <t>184O</t>
  </si>
  <si>
    <t>185O</t>
  </si>
  <si>
    <t>186O</t>
  </si>
  <si>
    <t>187O</t>
  </si>
  <si>
    <t>188O</t>
  </si>
  <si>
    <t>189O</t>
  </si>
  <si>
    <t>190O</t>
  </si>
  <si>
    <t>191O</t>
  </si>
  <si>
    <t>192O</t>
  </si>
  <si>
    <t>193O</t>
  </si>
  <si>
    <t>194O</t>
  </si>
  <si>
    <t>195O</t>
  </si>
  <si>
    <t>196O</t>
  </si>
  <si>
    <t>197O</t>
  </si>
  <si>
    <t>198O</t>
  </si>
  <si>
    <t>199O</t>
  </si>
  <si>
    <t>200O</t>
  </si>
  <si>
    <t>201O</t>
  </si>
  <si>
    <t>202O</t>
  </si>
  <si>
    <t>203O</t>
  </si>
  <si>
    <t>204O</t>
  </si>
  <si>
    <t>205O</t>
  </si>
  <si>
    <t>206O</t>
  </si>
  <si>
    <t>207O</t>
  </si>
  <si>
    <t>208O</t>
  </si>
  <si>
    <t>209O</t>
  </si>
  <si>
    <t>210O</t>
  </si>
  <si>
    <t>211O</t>
  </si>
  <si>
    <t>212O</t>
  </si>
  <si>
    <t>213O</t>
  </si>
  <si>
    <t>214O</t>
  </si>
  <si>
    <t>215O</t>
  </si>
  <si>
    <t>216O</t>
  </si>
  <si>
    <t>217O</t>
  </si>
  <si>
    <t>218O</t>
  </si>
  <si>
    <t>219O</t>
  </si>
  <si>
    <t>220O</t>
  </si>
  <si>
    <t>221O</t>
  </si>
  <si>
    <t>222O</t>
  </si>
  <si>
    <t>223O</t>
  </si>
  <si>
    <t>224O</t>
  </si>
  <si>
    <t>225O</t>
  </si>
  <si>
    <t>226O</t>
  </si>
  <si>
    <t>227O</t>
  </si>
  <si>
    <t>228O</t>
  </si>
  <si>
    <t>229O</t>
  </si>
  <si>
    <t>230O</t>
  </si>
  <si>
    <t>231O</t>
  </si>
  <si>
    <t>232O</t>
  </si>
  <si>
    <t>233O</t>
  </si>
  <si>
    <t>234O</t>
  </si>
  <si>
    <t>235O</t>
  </si>
  <si>
    <t>236O</t>
  </si>
  <si>
    <t>237O</t>
  </si>
  <si>
    <t>238O</t>
  </si>
  <si>
    <t>239O</t>
  </si>
  <si>
    <t>240O</t>
  </si>
  <si>
    <t>241O</t>
  </si>
  <si>
    <t>242O</t>
  </si>
  <si>
    <t>243O</t>
  </si>
  <si>
    <t>244O</t>
  </si>
  <si>
    <t>245O</t>
  </si>
  <si>
    <t>246O</t>
  </si>
  <si>
    <t>247O</t>
  </si>
  <si>
    <t>248O</t>
  </si>
  <si>
    <t>249O</t>
  </si>
  <si>
    <t>250O</t>
  </si>
  <si>
    <t>251O</t>
  </si>
  <si>
    <t>252O</t>
  </si>
  <si>
    <t>253O</t>
  </si>
  <si>
    <t>254O</t>
  </si>
  <si>
    <t>255O</t>
  </si>
  <si>
    <t>256O</t>
  </si>
  <si>
    <t>257O</t>
  </si>
  <si>
    <t>258O</t>
  </si>
  <si>
    <t>259O</t>
  </si>
  <si>
    <t>260O</t>
  </si>
  <si>
    <t>261O</t>
  </si>
  <si>
    <t>262O</t>
  </si>
  <si>
    <t>263O</t>
  </si>
  <si>
    <t>264O</t>
  </si>
  <si>
    <t>265O</t>
  </si>
  <si>
    <t>266O</t>
  </si>
  <si>
    <t>267O</t>
  </si>
  <si>
    <t>268O</t>
  </si>
  <si>
    <t>269O</t>
  </si>
  <si>
    <t>270O</t>
  </si>
  <si>
    <t>271O</t>
  </si>
  <si>
    <t>272O</t>
  </si>
  <si>
    <t>273O</t>
  </si>
  <si>
    <t>274O</t>
  </si>
  <si>
    <t>275O</t>
  </si>
  <si>
    <t>276O</t>
  </si>
  <si>
    <t>277O</t>
  </si>
  <si>
    <t>278O</t>
  </si>
  <si>
    <t>279O</t>
  </si>
  <si>
    <t>280O</t>
  </si>
  <si>
    <t>281O</t>
  </si>
  <si>
    <t>282O</t>
  </si>
  <si>
    <t>283O</t>
  </si>
  <si>
    <t>284O</t>
  </si>
  <si>
    <t>285O</t>
  </si>
  <si>
    <t>286O</t>
  </si>
  <si>
    <t>287O</t>
  </si>
  <si>
    <t>288O</t>
  </si>
  <si>
    <t>289O</t>
  </si>
  <si>
    <t>290O</t>
  </si>
  <si>
    <t>291O</t>
  </si>
  <si>
    <t>292O</t>
  </si>
  <si>
    <t>293O</t>
  </si>
  <si>
    <t>294O</t>
  </si>
  <si>
    <t>295O</t>
  </si>
  <si>
    <t>296O</t>
  </si>
  <si>
    <t>297O</t>
  </si>
  <si>
    <t>298O</t>
  </si>
  <si>
    <t>299O</t>
  </si>
  <si>
    <t>300O</t>
  </si>
  <si>
    <t>301O</t>
  </si>
  <si>
    <t>302O</t>
  </si>
  <si>
    <t>303O</t>
  </si>
  <si>
    <t>304O</t>
  </si>
  <si>
    <t>305O</t>
  </si>
  <si>
    <t>306O</t>
  </si>
  <si>
    <t>307O</t>
  </si>
  <si>
    <t>308O</t>
  </si>
  <si>
    <t>309O</t>
  </si>
  <si>
    <t>310O</t>
  </si>
  <si>
    <t>311O</t>
  </si>
  <si>
    <t>312O</t>
  </si>
  <si>
    <t>313O</t>
  </si>
  <si>
    <t>314O</t>
  </si>
  <si>
    <t>315O</t>
  </si>
  <si>
    <t>316O</t>
  </si>
  <si>
    <t>317O</t>
  </si>
  <si>
    <t>318O</t>
  </si>
  <si>
    <t>319O</t>
  </si>
  <si>
    <t>320O</t>
  </si>
  <si>
    <t>321O</t>
  </si>
  <si>
    <t>322O</t>
  </si>
  <si>
    <t>323O</t>
  </si>
  <si>
    <t>324O</t>
  </si>
  <si>
    <t>325O</t>
  </si>
  <si>
    <t>326O</t>
  </si>
  <si>
    <t>327O</t>
  </si>
  <si>
    <t>328O</t>
  </si>
  <si>
    <t>329O</t>
  </si>
  <si>
    <t>330O</t>
  </si>
  <si>
    <t>331O</t>
  </si>
  <si>
    <t>332O</t>
  </si>
  <si>
    <t>333O</t>
  </si>
  <si>
    <t>334O</t>
  </si>
  <si>
    <t>335O</t>
  </si>
  <si>
    <t>336O</t>
  </si>
  <si>
    <t>337O</t>
  </si>
  <si>
    <t>338O</t>
  </si>
  <si>
    <t>339O</t>
  </si>
  <si>
    <t>340O</t>
  </si>
  <si>
    <t>341O</t>
  </si>
  <si>
    <t>342O</t>
  </si>
  <si>
    <t>343O</t>
  </si>
  <si>
    <t>344O</t>
  </si>
  <si>
    <t>345O</t>
  </si>
  <si>
    <t>346O</t>
  </si>
  <si>
    <t>347O</t>
  </si>
  <si>
    <t>348O</t>
  </si>
  <si>
    <t>349O</t>
  </si>
  <si>
    <t>350O</t>
  </si>
  <si>
    <t>351O</t>
  </si>
  <si>
    <t>352O</t>
  </si>
  <si>
    <t>353O</t>
  </si>
  <si>
    <t>354O</t>
  </si>
  <si>
    <t>355O</t>
  </si>
  <si>
    <t>356O</t>
  </si>
  <si>
    <t>357O</t>
  </si>
  <si>
    <t>358O</t>
  </si>
  <si>
    <t>359O</t>
  </si>
  <si>
    <t>360O</t>
  </si>
  <si>
    <t>361O</t>
  </si>
  <si>
    <t>362O</t>
  </si>
  <si>
    <t>363O</t>
  </si>
  <si>
    <t>364O</t>
  </si>
  <si>
    <t>365O</t>
  </si>
  <si>
    <t>366O</t>
  </si>
  <si>
    <t>367O</t>
  </si>
  <si>
    <t>368O</t>
  </si>
  <si>
    <t>369O</t>
  </si>
  <si>
    <t>370O</t>
  </si>
  <si>
    <t>371O</t>
  </si>
  <si>
    <t>372O</t>
  </si>
  <si>
    <t>373O</t>
  </si>
  <si>
    <t>374O</t>
  </si>
  <si>
    <t>375O</t>
  </si>
  <si>
    <t>376O</t>
  </si>
  <si>
    <t>377O</t>
  </si>
  <si>
    <t>378O</t>
  </si>
  <si>
    <t>379O</t>
  </si>
  <si>
    <t>380O</t>
  </si>
  <si>
    <t>381O</t>
  </si>
  <si>
    <t>382O</t>
  </si>
  <si>
    <t>383O</t>
  </si>
  <si>
    <t>384O</t>
  </si>
  <si>
    <t>385O</t>
  </si>
  <si>
    <t>386O</t>
  </si>
  <si>
    <t>387O</t>
  </si>
  <si>
    <t>388O</t>
  </si>
  <si>
    <t>389O</t>
  </si>
  <si>
    <t>390O</t>
  </si>
  <si>
    <t>391O</t>
  </si>
  <si>
    <t>392O</t>
  </si>
  <si>
    <t>393O</t>
  </si>
  <si>
    <t>394O</t>
  </si>
  <si>
    <t>395O</t>
  </si>
  <si>
    <t>396O</t>
  </si>
  <si>
    <t>397O</t>
  </si>
  <si>
    <t>398O</t>
  </si>
  <si>
    <t>399O</t>
  </si>
  <si>
    <t>400O</t>
  </si>
  <si>
    <t>401O</t>
  </si>
  <si>
    <t>402O</t>
  </si>
  <si>
    <t>403O</t>
  </si>
  <si>
    <t>404O</t>
  </si>
  <si>
    <t>405O</t>
  </si>
  <si>
    <t>406O</t>
  </si>
  <si>
    <t>407O</t>
  </si>
  <si>
    <t>408O</t>
  </si>
  <si>
    <t>409O</t>
  </si>
  <si>
    <t>410O</t>
  </si>
  <si>
    <t>411O</t>
  </si>
  <si>
    <t>412O</t>
  </si>
  <si>
    <t>413O</t>
  </si>
  <si>
    <t>414O</t>
  </si>
  <si>
    <t>415O</t>
  </si>
  <si>
    <t>416O</t>
  </si>
  <si>
    <t>417O</t>
  </si>
  <si>
    <t>418O</t>
  </si>
  <si>
    <t>419O</t>
  </si>
  <si>
    <t>420O</t>
  </si>
  <si>
    <t>421O</t>
  </si>
  <si>
    <t>422O</t>
  </si>
  <si>
    <t>423O</t>
  </si>
  <si>
    <t>424O</t>
  </si>
  <si>
    <t>425O</t>
  </si>
  <si>
    <t>426O</t>
  </si>
  <si>
    <t>427O</t>
  </si>
  <si>
    <t>428O</t>
  </si>
  <si>
    <t>429O</t>
  </si>
  <si>
    <t>430O</t>
  </si>
  <si>
    <t>431O</t>
  </si>
  <si>
    <t>432O</t>
  </si>
  <si>
    <t>433O</t>
  </si>
  <si>
    <t>434O</t>
  </si>
  <si>
    <t>435O</t>
  </si>
  <si>
    <t>436O</t>
  </si>
  <si>
    <t>437O</t>
  </si>
  <si>
    <t>438O</t>
  </si>
  <si>
    <t>439O</t>
  </si>
  <si>
    <t>440O</t>
  </si>
  <si>
    <t>441O</t>
  </si>
  <si>
    <t>442O</t>
  </si>
  <si>
    <t>443O</t>
  </si>
  <si>
    <t>444O</t>
  </si>
  <si>
    <t>445O</t>
  </si>
  <si>
    <t>446O</t>
  </si>
  <si>
    <t>447O</t>
  </si>
  <si>
    <t>448O</t>
  </si>
  <si>
    <t>449O</t>
  </si>
  <si>
    <t>450O</t>
  </si>
  <si>
    <t>451O</t>
  </si>
  <si>
    <t>452O</t>
  </si>
  <si>
    <t>453O</t>
  </si>
  <si>
    <t>454O</t>
  </si>
  <si>
    <t>455O</t>
  </si>
  <si>
    <t>456O</t>
  </si>
  <si>
    <t>457O</t>
  </si>
  <si>
    <t>458O</t>
  </si>
  <si>
    <t>459O</t>
  </si>
  <si>
    <t>460O</t>
  </si>
  <si>
    <t>461O</t>
  </si>
  <si>
    <t>462O</t>
  </si>
  <si>
    <t>463O</t>
  </si>
  <si>
    <t>464O</t>
  </si>
  <si>
    <t>465O</t>
  </si>
  <si>
    <t>466O</t>
  </si>
  <si>
    <t>467O</t>
  </si>
  <si>
    <t>468O</t>
  </si>
  <si>
    <t>469O</t>
  </si>
  <si>
    <t>470O</t>
  </si>
  <si>
    <t>471O</t>
  </si>
  <si>
    <t>472O</t>
  </si>
  <si>
    <t>473O</t>
  </si>
  <si>
    <t>474O</t>
  </si>
  <si>
    <t>475O</t>
  </si>
  <si>
    <t>476O</t>
  </si>
  <si>
    <t>477O</t>
  </si>
  <si>
    <t>478O</t>
  </si>
  <si>
    <t>480O</t>
  </si>
  <si>
    <t>481O</t>
  </si>
  <si>
    <t>482O</t>
  </si>
  <si>
    <t>485O</t>
  </si>
  <si>
    <t>486O</t>
  </si>
  <si>
    <t>488O</t>
  </si>
  <si>
    <t>489O</t>
  </si>
  <si>
    <t>490O</t>
  </si>
  <si>
    <t>491O</t>
  </si>
  <si>
    <t>492O</t>
  </si>
  <si>
    <t>493O</t>
  </si>
  <si>
    <t>494O</t>
  </si>
  <si>
    <t>495O</t>
  </si>
  <si>
    <t>496O</t>
  </si>
  <si>
    <t>497O</t>
  </si>
  <si>
    <t>498O</t>
  </si>
  <si>
    <t>499O</t>
  </si>
  <si>
    <t>500O</t>
  </si>
  <si>
    <t>501O</t>
  </si>
  <si>
    <t>502O</t>
  </si>
  <si>
    <t>503O</t>
  </si>
  <si>
    <t>504O</t>
  </si>
  <si>
    <t>505O</t>
  </si>
  <si>
    <t>506O</t>
  </si>
  <si>
    <t>507O</t>
  </si>
  <si>
    <t>508O</t>
  </si>
  <si>
    <t>509O</t>
  </si>
  <si>
    <t>510O</t>
  </si>
  <si>
    <t>511O</t>
  </si>
  <si>
    <t>512O</t>
  </si>
  <si>
    <t>513O</t>
  </si>
  <si>
    <t>514O</t>
  </si>
  <si>
    <t>515O</t>
  </si>
  <si>
    <t>516O</t>
  </si>
  <si>
    <t>517O</t>
  </si>
  <si>
    <t>518O</t>
  </si>
  <si>
    <t>519O</t>
  </si>
  <si>
    <t>520O</t>
  </si>
  <si>
    <t>521O</t>
  </si>
  <si>
    <t>522O</t>
  </si>
  <si>
    <t>523O</t>
  </si>
  <si>
    <t>524O</t>
  </si>
  <si>
    <t>525O</t>
  </si>
  <si>
    <t>526O</t>
  </si>
  <si>
    <t>527O</t>
  </si>
  <si>
    <t>528O</t>
  </si>
  <si>
    <t>529O</t>
  </si>
  <si>
    <t>530O</t>
  </si>
  <si>
    <t>531O</t>
  </si>
  <si>
    <t>532O</t>
  </si>
  <si>
    <t>533O</t>
  </si>
  <si>
    <t>534O</t>
  </si>
  <si>
    <t>535O</t>
  </si>
  <si>
    <t>536O</t>
  </si>
  <si>
    <t>537O</t>
  </si>
  <si>
    <t>538O</t>
  </si>
  <si>
    <t>539O</t>
  </si>
  <si>
    <t>540O</t>
  </si>
  <si>
    <t>541O</t>
  </si>
  <si>
    <t>542O</t>
  </si>
  <si>
    <t>543O</t>
  </si>
  <si>
    <t>544O</t>
  </si>
  <si>
    <t>545O</t>
  </si>
  <si>
    <t>546O</t>
  </si>
  <si>
    <t>547O</t>
  </si>
  <si>
    <t>548O</t>
  </si>
  <si>
    <t>549O</t>
  </si>
  <si>
    <t>550O</t>
  </si>
  <si>
    <t>551O</t>
  </si>
  <si>
    <t>552O</t>
  </si>
  <si>
    <t>553O</t>
  </si>
  <si>
    <t>554O</t>
  </si>
  <si>
    <t>555O</t>
  </si>
  <si>
    <t>556O</t>
  </si>
  <si>
    <t>557O</t>
  </si>
  <si>
    <t>558O</t>
  </si>
  <si>
    <t>559O</t>
  </si>
  <si>
    <t>560O</t>
  </si>
  <si>
    <t>561O</t>
  </si>
  <si>
    <t>562O</t>
  </si>
  <si>
    <t>563O</t>
  </si>
  <si>
    <t>564O</t>
  </si>
  <si>
    <t>565O</t>
  </si>
  <si>
    <t>566O</t>
  </si>
  <si>
    <t>567O</t>
  </si>
  <si>
    <t>568O</t>
  </si>
  <si>
    <t>569O</t>
  </si>
  <si>
    <t>570O</t>
  </si>
  <si>
    <t>571O</t>
  </si>
  <si>
    <t>572O</t>
  </si>
  <si>
    <t>573O</t>
  </si>
  <si>
    <t>574O</t>
  </si>
  <si>
    <t>575O</t>
  </si>
  <si>
    <t>576O</t>
  </si>
  <si>
    <t>577O</t>
  </si>
  <si>
    <t>578O</t>
  </si>
  <si>
    <t>579O</t>
  </si>
  <si>
    <t>580O</t>
  </si>
  <si>
    <t>581O</t>
  </si>
  <si>
    <t>582O</t>
  </si>
  <si>
    <t>583O</t>
  </si>
  <si>
    <t>584O</t>
  </si>
  <si>
    <t>585O</t>
  </si>
  <si>
    <t>586O</t>
  </si>
  <si>
    <t>587O</t>
  </si>
  <si>
    <t>588O</t>
  </si>
  <si>
    <t>589O</t>
  </si>
  <si>
    <t>590O</t>
  </si>
  <si>
    <t>591O</t>
  </si>
  <si>
    <t>592O</t>
  </si>
  <si>
    <t>593O</t>
  </si>
  <si>
    <t>594O</t>
  </si>
  <si>
    <t>595O</t>
  </si>
  <si>
    <t>596O</t>
  </si>
  <si>
    <t>597O</t>
  </si>
  <si>
    <t>598O</t>
  </si>
  <si>
    <t>599O</t>
  </si>
  <si>
    <t>600O</t>
  </si>
  <si>
    <t>601O</t>
  </si>
  <si>
    <t>602O</t>
  </si>
  <si>
    <t>603O</t>
  </si>
  <si>
    <t>604O</t>
  </si>
  <si>
    <t>605O</t>
  </si>
  <si>
    <t>606O</t>
  </si>
  <si>
    <t>607O</t>
  </si>
  <si>
    <t>608O</t>
  </si>
  <si>
    <t>609O</t>
  </si>
  <si>
    <t>610O</t>
  </si>
  <si>
    <t>611O</t>
  </si>
  <si>
    <t>612O</t>
  </si>
  <si>
    <t>613O</t>
  </si>
  <si>
    <t>614O</t>
  </si>
  <si>
    <t>615O</t>
  </si>
  <si>
    <t>616O</t>
  </si>
  <si>
    <t>617O</t>
  </si>
  <si>
    <t>618O</t>
  </si>
  <si>
    <t>619O</t>
  </si>
  <si>
    <t>620O</t>
  </si>
  <si>
    <t>621O</t>
  </si>
  <si>
    <t>622O</t>
  </si>
  <si>
    <t>623O</t>
  </si>
  <si>
    <t>624O</t>
  </si>
  <si>
    <t>625O</t>
  </si>
  <si>
    <t>626O</t>
  </si>
  <si>
    <t>627O</t>
  </si>
  <si>
    <t>628O</t>
  </si>
  <si>
    <t>629O</t>
  </si>
  <si>
    <t>630O</t>
  </si>
  <si>
    <t>631O</t>
  </si>
  <si>
    <t>632O</t>
  </si>
  <si>
    <t>633O</t>
  </si>
  <si>
    <t>634O</t>
  </si>
  <si>
    <t>635O</t>
  </si>
  <si>
    <t>636O</t>
  </si>
  <si>
    <t>637O</t>
  </si>
  <si>
    <t>638O</t>
  </si>
  <si>
    <t>639O</t>
  </si>
  <si>
    <t>640O</t>
  </si>
  <si>
    <t>641O</t>
  </si>
  <si>
    <t>642O</t>
  </si>
  <si>
    <t>643O</t>
  </si>
  <si>
    <t>644O</t>
  </si>
  <si>
    <t>645O</t>
  </si>
  <si>
    <t>646O</t>
  </si>
  <si>
    <t>647O</t>
  </si>
  <si>
    <t>648O</t>
  </si>
  <si>
    <t>649O</t>
  </si>
  <si>
    <t>650O</t>
  </si>
  <si>
    <t>651O</t>
  </si>
  <si>
    <t>652O</t>
  </si>
  <si>
    <t>653O</t>
  </si>
  <si>
    <t>654O</t>
  </si>
  <si>
    <t>655O</t>
  </si>
  <si>
    <t>656O</t>
  </si>
  <si>
    <t>657O</t>
  </si>
  <si>
    <t>658O</t>
  </si>
  <si>
    <t>659O</t>
  </si>
  <si>
    <t>660O</t>
  </si>
  <si>
    <t>661O</t>
  </si>
  <si>
    <t>662O</t>
  </si>
  <si>
    <t>663O</t>
  </si>
  <si>
    <t>664O</t>
  </si>
  <si>
    <t>665O</t>
  </si>
  <si>
    <t>666O</t>
  </si>
  <si>
    <t>667O</t>
  </si>
  <si>
    <t>668O</t>
  </si>
  <si>
    <t>669O</t>
  </si>
  <si>
    <t>670O</t>
  </si>
  <si>
    <t>671O</t>
  </si>
  <si>
    <t>672O</t>
  </si>
  <si>
    <t>673O</t>
  </si>
  <si>
    <t>674O</t>
  </si>
  <si>
    <t>675O</t>
  </si>
  <si>
    <t>676O</t>
  </si>
  <si>
    <t>677O</t>
  </si>
  <si>
    <t>678O</t>
  </si>
  <si>
    <t>679O</t>
  </si>
  <si>
    <t>680O</t>
  </si>
  <si>
    <t>681O</t>
  </si>
  <si>
    <t>682O</t>
  </si>
  <si>
    <t>683O</t>
  </si>
  <si>
    <t>684O</t>
  </si>
  <si>
    <t>685O</t>
  </si>
  <si>
    <t>686O</t>
  </si>
  <si>
    <t>687O</t>
  </si>
  <si>
    <t>688O</t>
  </si>
  <si>
    <t>689O</t>
  </si>
  <si>
    <t>690O</t>
  </si>
  <si>
    <t>691O</t>
  </si>
  <si>
    <t>692O</t>
  </si>
  <si>
    <t>693O</t>
  </si>
  <si>
    <t>694O</t>
  </si>
  <si>
    <t>695O</t>
  </si>
  <si>
    <t>696O</t>
  </si>
  <si>
    <t>697O</t>
  </si>
  <si>
    <t>698O</t>
  </si>
  <si>
    <t>699O</t>
  </si>
  <si>
    <t>700O</t>
  </si>
  <si>
    <t>701O</t>
  </si>
  <si>
    <t>702O</t>
  </si>
  <si>
    <t>703O</t>
  </si>
  <si>
    <t>704O</t>
  </si>
  <si>
    <t>705O</t>
  </si>
  <si>
    <t>706O</t>
  </si>
  <si>
    <t>707O</t>
  </si>
  <si>
    <t>708O</t>
  </si>
  <si>
    <t>709O</t>
  </si>
  <si>
    <t>710O</t>
  </si>
  <si>
    <t>711O</t>
  </si>
  <si>
    <t>712O</t>
  </si>
  <si>
    <t>713O</t>
  </si>
  <si>
    <t>714O</t>
  </si>
  <si>
    <t>715O</t>
  </si>
  <si>
    <t>716O</t>
  </si>
  <si>
    <t>717O</t>
  </si>
  <si>
    <t>718O</t>
  </si>
  <si>
    <t>719O</t>
  </si>
  <si>
    <t>720O</t>
  </si>
  <si>
    <t>721O</t>
  </si>
  <si>
    <t>722O</t>
  </si>
  <si>
    <t>723O</t>
  </si>
  <si>
    <t>724O</t>
  </si>
  <si>
    <t>725O</t>
  </si>
  <si>
    <t>726O</t>
  </si>
  <si>
    <t>727O</t>
  </si>
  <si>
    <t>728O</t>
  </si>
  <si>
    <t>729O</t>
  </si>
  <si>
    <t>730O</t>
  </si>
  <si>
    <t>731O</t>
  </si>
  <si>
    <t>732O</t>
  </si>
  <si>
    <t>733O</t>
  </si>
  <si>
    <t>734O</t>
  </si>
  <si>
    <t>735O</t>
  </si>
  <si>
    <t>736O</t>
  </si>
  <si>
    <t>737O</t>
  </si>
  <si>
    <t>738O</t>
  </si>
  <si>
    <t>739O</t>
  </si>
  <si>
    <t>740O</t>
  </si>
  <si>
    <t>741O</t>
  </si>
  <si>
    <t>742O</t>
  </si>
  <si>
    <t>743O</t>
  </si>
  <si>
    <t>744O</t>
  </si>
  <si>
    <t>745O</t>
  </si>
  <si>
    <t>746O</t>
  </si>
  <si>
    <t>747O</t>
  </si>
  <si>
    <t>748O</t>
  </si>
  <si>
    <t>749O</t>
  </si>
  <si>
    <t>750O</t>
  </si>
  <si>
    <t>751O</t>
  </si>
  <si>
    <t>752O</t>
  </si>
  <si>
    <t>753O</t>
  </si>
  <si>
    <t>754O</t>
  </si>
  <si>
    <t>755O</t>
  </si>
  <si>
    <t>756O</t>
  </si>
  <si>
    <t>757O</t>
  </si>
  <si>
    <t>758O</t>
  </si>
  <si>
    <t>759O</t>
  </si>
  <si>
    <t>760O</t>
  </si>
  <si>
    <t>761O</t>
  </si>
  <si>
    <t>762O</t>
  </si>
  <si>
    <t>763O</t>
  </si>
  <si>
    <t>764O</t>
  </si>
  <si>
    <t>765O</t>
  </si>
  <si>
    <t>766O</t>
  </si>
  <si>
    <t>767O</t>
  </si>
  <si>
    <t>768O</t>
  </si>
  <si>
    <t>769O</t>
  </si>
  <si>
    <t>770O</t>
  </si>
  <si>
    <t>771O</t>
  </si>
  <si>
    <t>772O</t>
  </si>
  <si>
    <t>773O</t>
  </si>
  <si>
    <t>774O</t>
  </si>
  <si>
    <t>775O</t>
  </si>
  <si>
    <t>776O</t>
  </si>
  <si>
    <t>777O</t>
  </si>
  <si>
    <t>778O</t>
  </si>
  <si>
    <t>779O</t>
  </si>
  <si>
    <t>780O</t>
  </si>
  <si>
    <t>781O</t>
  </si>
  <si>
    <t>782O</t>
  </si>
  <si>
    <t>783O</t>
  </si>
  <si>
    <t>784O</t>
  </si>
  <si>
    <t>785O</t>
  </si>
  <si>
    <t>786O</t>
  </si>
  <si>
    <t>787O</t>
  </si>
  <si>
    <t>788O</t>
  </si>
  <si>
    <t>789O</t>
  </si>
  <si>
    <t>790O</t>
  </si>
  <si>
    <t>791O</t>
  </si>
  <si>
    <t>792O</t>
  </si>
  <si>
    <t>793O</t>
  </si>
  <si>
    <t>794O</t>
  </si>
  <si>
    <t>795O</t>
  </si>
  <si>
    <t>796O</t>
  </si>
  <si>
    <t>797O</t>
  </si>
  <si>
    <t>798O</t>
  </si>
  <si>
    <t>799O</t>
  </si>
  <si>
    <t>800O</t>
  </si>
  <si>
    <t>801O</t>
  </si>
  <si>
    <t>802O</t>
  </si>
  <si>
    <t>803O</t>
  </si>
  <si>
    <t>804O</t>
  </si>
  <si>
    <t>805O</t>
  </si>
  <si>
    <t>806O</t>
  </si>
  <si>
    <t>807O</t>
  </si>
  <si>
    <t>808O</t>
  </si>
  <si>
    <t>809O</t>
  </si>
  <si>
    <t>810O</t>
  </si>
  <si>
    <t>811O</t>
  </si>
  <si>
    <t>812O</t>
  </si>
  <si>
    <t>813O</t>
  </si>
  <si>
    <t>814O</t>
  </si>
  <si>
    <t>815O</t>
  </si>
  <si>
    <t>816O</t>
  </si>
  <si>
    <t>817O</t>
  </si>
  <si>
    <t>818O</t>
  </si>
  <si>
    <t>819O</t>
  </si>
  <si>
    <t>820O</t>
  </si>
  <si>
    <t>821O</t>
  </si>
  <si>
    <t>822O</t>
  </si>
  <si>
    <t>823O</t>
  </si>
  <si>
    <t>824O</t>
  </si>
  <si>
    <t>825O</t>
  </si>
  <si>
    <t>826O</t>
  </si>
  <si>
    <t>827O</t>
  </si>
  <si>
    <t>828O</t>
  </si>
  <si>
    <t>829O</t>
  </si>
  <si>
    <t>830O</t>
  </si>
  <si>
    <t>831O</t>
  </si>
  <si>
    <t>832O</t>
  </si>
  <si>
    <t>833O</t>
  </si>
  <si>
    <t>834O</t>
  </si>
  <si>
    <t>835O</t>
  </si>
  <si>
    <t>836O</t>
  </si>
  <si>
    <t>837O</t>
  </si>
  <si>
    <t>838O</t>
  </si>
  <si>
    <t>839O</t>
  </si>
  <si>
    <t>840O</t>
  </si>
  <si>
    <t>841O</t>
  </si>
  <si>
    <t>842O</t>
  </si>
  <si>
    <t>843O</t>
  </si>
  <si>
    <t>844O</t>
  </si>
  <si>
    <t>845O</t>
  </si>
  <si>
    <t>846O</t>
  </si>
  <si>
    <t>847O</t>
  </si>
  <si>
    <t>848O</t>
  </si>
  <si>
    <t>849O</t>
  </si>
  <si>
    <t>850O</t>
  </si>
  <si>
    <t>851O</t>
  </si>
  <si>
    <t>852O</t>
  </si>
  <si>
    <t>853O</t>
  </si>
  <si>
    <t>854O</t>
  </si>
  <si>
    <t>855O</t>
  </si>
  <si>
    <t>856O</t>
  </si>
  <si>
    <t>857O</t>
  </si>
  <si>
    <t>858O</t>
  </si>
  <si>
    <t>859O</t>
  </si>
  <si>
    <t>860O</t>
  </si>
  <si>
    <t>861O</t>
  </si>
  <si>
    <t>862O</t>
  </si>
  <si>
    <t>863O</t>
  </si>
  <si>
    <t>864O</t>
  </si>
  <si>
    <t>865O</t>
  </si>
  <si>
    <t>866O</t>
  </si>
  <si>
    <t>867O</t>
  </si>
  <si>
    <t>868O</t>
  </si>
  <si>
    <t>869O</t>
  </si>
  <si>
    <t>870O</t>
  </si>
  <si>
    <t>871O</t>
  </si>
  <si>
    <t>872O</t>
  </si>
  <si>
    <t>873O</t>
  </si>
  <si>
    <t>874O</t>
  </si>
  <si>
    <t>875O</t>
  </si>
  <si>
    <t>876O</t>
  </si>
  <si>
    <t>877O</t>
  </si>
  <si>
    <t>878O</t>
  </si>
  <si>
    <t>879O</t>
  </si>
  <si>
    <t>880O</t>
  </si>
  <si>
    <t>881O</t>
  </si>
  <si>
    <t>882O</t>
  </si>
  <si>
    <t>883O</t>
  </si>
  <si>
    <t>884O</t>
  </si>
  <si>
    <t>885O</t>
  </si>
  <si>
    <t>886O</t>
  </si>
  <si>
    <t>887O</t>
  </si>
  <si>
    <t>888O</t>
  </si>
  <si>
    <t>889O</t>
  </si>
  <si>
    <t>890O</t>
  </si>
  <si>
    <t>891O</t>
  </si>
  <si>
    <t>892O</t>
  </si>
  <si>
    <t>893O</t>
  </si>
  <si>
    <t>894O</t>
  </si>
  <si>
    <t>895O</t>
  </si>
  <si>
    <t>896O</t>
  </si>
  <si>
    <t>897O</t>
  </si>
  <si>
    <t>898O</t>
  </si>
  <si>
    <t>899O</t>
  </si>
  <si>
    <t>900O</t>
  </si>
  <si>
    <t>901O</t>
  </si>
  <si>
    <t>902O</t>
  </si>
  <si>
    <t>903O</t>
  </si>
  <si>
    <t>904O</t>
  </si>
  <si>
    <t>905O</t>
  </si>
  <si>
    <t>025P</t>
  </si>
  <si>
    <t>133P</t>
  </si>
  <si>
    <t>746S</t>
  </si>
  <si>
    <t>800D</t>
  </si>
  <si>
    <t>800W</t>
  </si>
  <si>
    <t>745N</t>
  </si>
  <si>
    <t>555S</t>
  </si>
  <si>
    <t>150X</t>
  </si>
  <si>
    <t>150Y</t>
  </si>
  <si>
    <t>006X</t>
  </si>
  <si>
    <t>006Y</t>
  </si>
  <si>
    <t>647R</t>
  </si>
  <si>
    <t>Keldeo (Resolute Forme)</t>
  </si>
  <si>
    <t xml:space="preserve">1-9HP = 1HP
10-39HP = 2HP
40-59HP = 3HP
60-79HP = 4HP
80-99HP = 5HP
100-119HP = 6HP
120-139HP = 7HP
140-160HP = 8HP
161-190HP = 9HP
&gt;190HP = 10 HP
</t>
  </si>
  <si>
    <t xml:space="preserve">1-9HP = 1HP
10-39HP = 2HP
40-59HP = 3HP
60-79HP = 4HP
80-99HP = 5HP
100-119HP = 6HP
120-139HP = 7HP
140-159HP = 8HP
160-180HP = 9HP
&gt;180HP = 10 HP
</t>
  </si>
  <si>
    <t>de 0 a 29 = 0
de 30 a 59 = 1
de 60 a 79 = 2
de 80 a 99 = 3
de 100 a 119 = 4
de 120 a 139 = 5
de 140 a 169 = 6
de 170 a 199 = 7
+200 = 8</t>
  </si>
  <si>
    <t>Mega</t>
  </si>
  <si>
    <t>00A</t>
  </si>
  <si>
    <t>00B</t>
  </si>
  <si>
    <t>00C</t>
  </si>
  <si>
    <t>01A</t>
  </si>
  <si>
    <t>01B</t>
  </si>
  <si>
    <t>01C</t>
  </si>
  <si>
    <t>01D</t>
  </si>
  <si>
    <t>01E</t>
  </si>
  <si>
    <t>01F</t>
  </si>
  <si>
    <t>02A</t>
  </si>
  <si>
    <t>02B</t>
  </si>
  <si>
    <t>02C</t>
  </si>
  <si>
    <t>02D</t>
  </si>
  <si>
    <t>03A</t>
  </si>
  <si>
    <t>03B</t>
  </si>
  <si>
    <t>03C</t>
  </si>
  <si>
    <t>03D</t>
  </si>
  <si>
    <t>03E</t>
  </si>
  <si>
    <t>03F</t>
  </si>
  <si>
    <t>04D</t>
  </si>
  <si>
    <t>04E</t>
  </si>
  <si>
    <t>04F</t>
  </si>
  <si>
    <t>05A</t>
  </si>
  <si>
    <t>05B</t>
  </si>
  <si>
    <t>05C</t>
  </si>
  <si>
    <t>05D</t>
  </si>
  <si>
    <t>05E</t>
  </si>
  <si>
    <t>05F</t>
  </si>
  <si>
    <t>06A</t>
  </si>
  <si>
    <t>06B</t>
  </si>
  <si>
    <t>06C</t>
  </si>
  <si>
    <t>06D</t>
  </si>
  <si>
    <t>06E</t>
  </si>
  <si>
    <t>06F</t>
  </si>
  <si>
    <t>07A</t>
  </si>
  <si>
    <t>07B</t>
  </si>
  <si>
    <t>07C</t>
  </si>
  <si>
    <t>07D</t>
  </si>
  <si>
    <t>07E</t>
  </si>
  <si>
    <t>07F</t>
  </si>
  <si>
    <t>08A</t>
  </si>
  <si>
    <t>08B</t>
  </si>
  <si>
    <t>08C</t>
  </si>
  <si>
    <t>08D</t>
  </si>
  <si>
    <t>08E</t>
  </si>
  <si>
    <t>08F</t>
  </si>
  <si>
    <t>0A3</t>
  </si>
  <si>
    <t>0A4</t>
  </si>
  <si>
    <t>0A9</t>
  </si>
  <si>
    <t>0AA</t>
  </si>
  <si>
    <t>0AB</t>
  </si>
  <si>
    <t>0AC</t>
  </si>
  <si>
    <t>0AD</t>
  </si>
  <si>
    <t>0AE</t>
  </si>
  <si>
    <t>0AF</t>
  </si>
  <si>
    <t>0B0</t>
  </si>
  <si>
    <t>0B1</t>
  </si>
  <si>
    <t>0B2</t>
  </si>
  <si>
    <t>0B6</t>
  </si>
  <si>
    <t>0B7</t>
  </si>
  <si>
    <t>0B8</t>
  </si>
  <si>
    <t>0B9</t>
  </si>
  <si>
    <t>0BA</t>
  </si>
  <si>
    <t>0C2</t>
  </si>
  <si>
    <t>0C3</t>
  </si>
  <si>
    <t>0C4</t>
  </si>
  <si>
    <t>0C5</t>
  </si>
  <si>
    <t>0C7</t>
  </si>
  <si>
    <t>0CA</t>
  </si>
  <si>
    <t>0CE</t>
  </si>
  <si>
    <t>0D0</t>
  </si>
  <si>
    <t>0D3</t>
  </si>
  <si>
    <t>0D4</t>
  </si>
  <si>
    <t>0D5</t>
  </si>
  <si>
    <t>0D6</t>
  </si>
  <si>
    <t>0D7</t>
  </si>
  <si>
    <t>0DC</t>
  </si>
  <si>
    <t>0DD</t>
  </si>
  <si>
    <t>0DE</t>
  </si>
  <si>
    <t>0DF</t>
  </si>
  <si>
    <t>0EC</t>
  </si>
  <si>
    <t>0ED</t>
  </si>
  <si>
    <t>0EE</t>
  </si>
  <si>
    <t>0EF</t>
  </si>
  <si>
    <t>0F0</t>
  </si>
  <si>
    <t>0F1</t>
  </si>
  <si>
    <t>0F2</t>
  </si>
  <si>
    <t>0F3</t>
  </si>
  <si>
    <t>0F4</t>
  </si>
  <si>
    <t>0F5</t>
  </si>
  <si>
    <t>0F6</t>
  </si>
  <si>
    <t>0F7</t>
  </si>
  <si>
    <t>0F8</t>
  </si>
  <si>
    <t>0F9</t>
  </si>
  <si>
    <t>0FA</t>
  </si>
  <si>
    <t>0FB</t>
  </si>
  <si>
    <t>0FC</t>
  </si>
  <si>
    <t>0FD</t>
  </si>
  <si>
    <t>0FE</t>
  </si>
  <si>
    <t>0FF</t>
  </si>
  <si>
    <t>10E</t>
  </si>
  <si>
    <t>10F</t>
  </si>
  <si>
    <t>11A</t>
  </si>
  <si>
    <t>12A</t>
  </si>
  <si>
    <t>12E</t>
  </si>
  <si>
    <t>12F</t>
  </si>
  <si>
    <t>13B</t>
  </si>
  <si>
    <t>13E</t>
  </si>
  <si>
    <t>13F</t>
  </si>
  <si>
    <t>14A</t>
  </si>
  <si>
    <t>14D</t>
  </si>
  <si>
    <t>14E</t>
  </si>
  <si>
    <t>15A</t>
  </si>
  <si>
    <t>15B</t>
  </si>
  <si>
    <t>15C</t>
  </si>
  <si>
    <t>15D</t>
  </si>
  <si>
    <t>15E</t>
  </si>
  <si>
    <t>16A</t>
  </si>
  <si>
    <t>16B</t>
  </si>
  <si>
    <t>16C</t>
  </si>
  <si>
    <t>16D</t>
  </si>
  <si>
    <t>17A</t>
  </si>
  <si>
    <t>17B</t>
  </si>
  <si>
    <t>17C</t>
  </si>
  <si>
    <t>17D</t>
  </si>
  <si>
    <t>17E</t>
  </si>
  <si>
    <t>17F</t>
  </si>
  <si>
    <t>19F</t>
  </si>
  <si>
    <t>1A0</t>
  </si>
  <si>
    <t>1A4</t>
  </si>
  <si>
    <t>1A5</t>
  </si>
  <si>
    <t>1A6</t>
  </si>
  <si>
    <t>1A7</t>
  </si>
  <si>
    <t>1A9</t>
  </si>
  <si>
    <t>1AA</t>
  </si>
  <si>
    <t>1AB</t>
  </si>
  <si>
    <t>1AC</t>
  </si>
  <si>
    <t>1B2</t>
  </si>
  <si>
    <t>1B3</t>
  </si>
  <si>
    <t>1B4</t>
  </si>
  <si>
    <t>1B5</t>
  </si>
  <si>
    <t>1B6</t>
  </si>
  <si>
    <t>1B7</t>
  </si>
  <si>
    <t>1B8</t>
  </si>
  <si>
    <t>1BA</t>
  </si>
  <si>
    <t>1BB</t>
  </si>
  <si>
    <t>1BC</t>
  </si>
  <si>
    <t>1BD</t>
  </si>
  <si>
    <t>1BE</t>
  </si>
  <si>
    <t>1BF</t>
  </si>
  <si>
    <t>1C0</t>
  </si>
  <si>
    <t>1C1</t>
  </si>
  <si>
    <t>1C2</t>
  </si>
  <si>
    <t>1C3</t>
  </si>
  <si>
    <t>1C4</t>
  </si>
  <si>
    <t>1C5</t>
  </si>
  <si>
    <t>1C6</t>
  </si>
  <si>
    <t>1CA</t>
  </si>
  <si>
    <t>1CB</t>
  </si>
  <si>
    <t>1CC</t>
  </si>
  <si>
    <t>1CD</t>
  </si>
  <si>
    <t>1CE</t>
  </si>
  <si>
    <t>1CF</t>
  </si>
  <si>
    <t>1D0</t>
  </si>
  <si>
    <t>1D1</t>
  </si>
  <si>
    <t>1D2</t>
  </si>
  <si>
    <t>1D3</t>
  </si>
  <si>
    <t>1D4</t>
  </si>
  <si>
    <t>1D6</t>
  </si>
  <si>
    <t>1D7</t>
  </si>
  <si>
    <t>1D9</t>
  </si>
  <si>
    <t>1DA</t>
  </si>
  <si>
    <t>1DB</t>
  </si>
  <si>
    <t>1DD</t>
  </si>
  <si>
    <t>1DE</t>
  </si>
  <si>
    <t>1DF</t>
  </si>
  <si>
    <t>1EE</t>
  </si>
  <si>
    <t>1FA</t>
  </si>
  <si>
    <t>1FB</t>
  </si>
  <si>
    <t>1FC</t>
  </si>
  <si>
    <t>1FD</t>
  </si>
  <si>
    <t>1FE</t>
  </si>
  <si>
    <t>20C</t>
  </si>
  <si>
    <t>20D</t>
  </si>
  <si>
    <t>20E</t>
  </si>
  <si>
    <t>20F</t>
  </si>
  <si>
    <t>21A</t>
  </si>
  <si>
    <t>21B</t>
  </si>
  <si>
    <t>21F</t>
  </si>
  <si>
    <t>22A</t>
  </si>
  <si>
    <t>22B</t>
  </si>
  <si>
    <t>22C</t>
  </si>
  <si>
    <t>22D</t>
  </si>
  <si>
    <t>22E</t>
  </si>
  <si>
    <t>22F</t>
  </si>
  <si>
    <t>23A</t>
  </si>
  <si>
    <t>23B</t>
  </si>
  <si>
    <t>23C</t>
  </si>
  <si>
    <t>23D</t>
  </si>
  <si>
    <t>23E</t>
  </si>
  <si>
    <t>23F</t>
  </si>
  <si>
    <t>24B</t>
  </si>
  <si>
    <t>24C</t>
  </si>
  <si>
    <t>24D</t>
  </si>
  <si>
    <t>24E</t>
  </si>
  <si>
    <t>24F</t>
  </si>
  <si>
    <t>25D</t>
  </si>
  <si>
    <t>25E</t>
  </si>
  <si>
    <t>25F</t>
  </si>
  <si>
    <t>26A</t>
  </si>
  <si>
    <t>26B</t>
  </si>
  <si>
    <t>26C</t>
  </si>
  <si>
    <t>26D</t>
  </si>
  <si>
    <t>26E</t>
  </si>
  <si>
    <t>26F</t>
  </si>
  <si>
    <t>27A</t>
  </si>
  <si>
    <t>27B</t>
  </si>
  <si>
    <t>27C</t>
  </si>
  <si>
    <t>27D</t>
  </si>
  <si>
    <t>27E</t>
  </si>
  <si>
    <t>27F</t>
  </si>
  <si>
    <t>2A2</t>
  </si>
  <si>
    <t>2A3</t>
  </si>
  <si>
    <t>2A5</t>
  </si>
  <si>
    <t>2A6</t>
  </si>
  <si>
    <t>2A7</t>
  </si>
  <si>
    <t>2A8</t>
  </si>
  <si>
    <t>2A9</t>
  </si>
  <si>
    <t>2AA</t>
  </si>
  <si>
    <t>2AB</t>
  </si>
  <si>
    <t>2AC</t>
  </si>
  <si>
    <t>2AD</t>
  </si>
  <si>
    <t>2AE</t>
  </si>
  <si>
    <t>2AF</t>
  </si>
  <si>
    <t>2B0</t>
  </si>
  <si>
    <t>2B1</t>
  </si>
  <si>
    <t>2B2</t>
  </si>
  <si>
    <t>2B3</t>
  </si>
  <si>
    <t>2B4</t>
  </si>
  <si>
    <t>2B5</t>
  </si>
  <si>
    <t>2B6</t>
  </si>
  <si>
    <t>2B7</t>
  </si>
  <si>
    <t>2B8</t>
  </si>
  <si>
    <t>2B9</t>
  </si>
  <si>
    <t>2BA</t>
  </si>
  <si>
    <t>2BB</t>
  </si>
  <si>
    <t>2BC</t>
  </si>
  <si>
    <t>2BD</t>
  </si>
  <si>
    <t>2BE</t>
  </si>
  <si>
    <t>2BF</t>
  </si>
  <si>
    <t>2C0</t>
  </si>
  <si>
    <t>2C1</t>
  </si>
  <si>
    <t>2C2</t>
  </si>
  <si>
    <t>2C3</t>
  </si>
  <si>
    <t>2C4</t>
  </si>
  <si>
    <t>2C5</t>
  </si>
  <si>
    <t>2C6</t>
  </si>
  <si>
    <t>2C7</t>
  </si>
  <si>
    <t>2C8</t>
  </si>
  <si>
    <t>2C9</t>
  </si>
  <si>
    <t>2CA</t>
  </si>
  <si>
    <t>2CB</t>
  </si>
  <si>
    <t>2CC</t>
  </si>
  <si>
    <t>2CD</t>
  </si>
  <si>
    <t>2CE</t>
  </si>
  <si>
    <t>2CF</t>
  </si>
  <si>
    <t>2D1</t>
  </si>
  <si>
    <t>2D2</t>
  </si>
  <si>
    <t>2D3</t>
  </si>
  <si>
    <t>2D4</t>
  </si>
  <si>
    <t>2D5</t>
  </si>
  <si>
    <t>2D6</t>
  </si>
  <si>
    <t>2D7</t>
  </si>
  <si>
    <t>2D8</t>
  </si>
  <si>
    <t>2D9</t>
  </si>
  <si>
    <t>2DA</t>
  </si>
  <si>
    <t>2EA</t>
  </si>
  <si>
    <t>2EB</t>
  </si>
  <si>
    <t>2EC</t>
  </si>
  <si>
    <t>2ED</t>
  </si>
  <si>
    <t>2EE</t>
  </si>
  <si>
    <t>2EF</t>
  </si>
  <si>
    <t>2F0</t>
  </si>
  <si>
    <t>2F1</t>
  </si>
  <si>
    <t>2F2</t>
  </si>
  <si>
    <t>2F3</t>
  </si>
  <si>
    <t>2F4</t>
  </si>
  <si>
    <t>2F5</t>
  </si>
  <si>
    <t>2F6</t>
  </si>
  <si>
    <t>2F7</t>
  </si>
  <si>
    <t>2F8</t>
  </si>
  <si>
    <t>2F9</t>
  </si>
  <si>
    <t>2FA</t>
  </si>
  <si>
    <t>2FB</t>
  </si>
  <si>
    <t>2FC</t>
  </si>
  <si>
    <t>2FD</t>
  </si>
  <si>
    <t>2FE</t>
  </si>
  <si>
    <t>2FF</t>
  </si>
  <si>
    <t>30A</t>
  </si>
  <si>
    <t>30C</t>
  </si>
  <si>
    <t>30D</t>
  </si>
  <si>
    <t>30E</t>
  </si>
  <si>
    <t>30F</t>
  </si>
  <si>
    <t>31A</t>
  </si>
  <si>
    <t>31B</t>
  </si>
  <si>
    <t>31C</t>
  </si>
  <si>
    <t>31D</t>
  </si>
  <si>
    <t>31E</t>
  </si>
  <si>
    <t>31F</t>
  </si>
  <si>
    <t>32A</t>
  </si>
  <si>
    <t>32B</t>
  </si>
  <si>
    <t>32C</t>
  </si>
  <si>
    <t>32D</t>
  </si>
  <si>
    <t>32E</t>
  </si>
  <si>
    <t>32F</t>
  </si>
  <si>
    <t>33A</t>
  </si>
  <si>
    <t>33B</t>
  </si>
  <si>
    <t>33C</t>
  </si>
  <si>
    <t>33D</t>
  </si>
  <si>
    <t>33E</t>
  </si>
  <si>
    <t>33F</t>
  </si>
  <si>
    <t>34A</t>
  </si>
  <si>
    <t>34B</t>
  </si>
  <si>
    <t>34C</t>
  </si>
  <si>
    <t>34D</t>
  </si>
  <si>
    <t>34E</t>
  </si>
  <si>
    <t>34F</t>
  </si>
  <si>
    <t>35A</t>
  </si>
  <si>
    <t>35B</t>
  </si>
  <si>
    <t>35C</t>
  </si>
  <si>
    <t>35D</t>
  </si>
  <si>
    <t>35E</t>
  </si>
  <si>
    <t>35F</t>
  </si>
  <si>
    <t>36A</t>
  </si>
  <si>
    <t>36B</t>
  </si>
  <si>
    <t>36C</t>
  </si>
  <si>
    <t>36D</t>
  </si>
  <si>
    <t>36E</t>
  </si>
  <si>
    <t>36F</t>
  </si>
  <si>
    <t>37A</t>
  </si>
  <si>
    <t>37B</t>
  </si>
  <si>
    <t>37C</t>
  </si>
  <si>
    <t>37D</t>
  </si>
  <si>
    <t>37E</t>
  </si>
  <si>
    <t>37F</t>
  </si>
  <si>
    <t>Hisui</t>
  </si>
  <si>
    <t>Gr</t>
  </si>
  <si>
    <t>Oricorio (Baile)</t>
  </si>
  <si>
    <t>Oricorio (Pom pom)</t>
  </si>
  <si>
    <t>Oricorio (Pa'u)</t>
  </si>
  <si>
    <t>Oricorio (Sensu)</t>
  </si>
  <si>
    <t>Código Cero</t>
  </si>
  <si>
    <t>001A</t>
  </si>
  <si>
    <t>002A</t>
  </si>
  <si>
    <t>003A</t>
  </si>
  <si>
    <t>004A</t>
  </si>
  <si>
    <t>005A</t>
  </si>
  <si>
    <t>006A</t>
  </si>
  <si>
    <t>007A</t>
  </si>
  <si>
    <t>008A</t>
  </si>
  <si>
    <t>009A</t>
  </si>
  <si>
    <t>010A</t>
  </si>
  <si>
    <t>011A</t>
  </si>
  <si>
    <t>012A</t>
  </si>
  <si>
    <t>013A</t>
  </si>
  <si>
    <t>014A</t>
  </si>
  <si>
    <t>015A</t>
  </si>
  <si>
    <t>016A</t>
  </si>
  <si>
    <t>017A</t>
  </si>
  <si>
    <t>018A</t>
  </si>
  <si>
    <t>021A</t>
  </si>
  <si>
    <t>022A</t>
  </si>
  <si>
    <t>023A</t>
  </si>
  <si>
    <t>024A</t>
  </si>
  <si>
    <t>025A</t>
  </si>
  <si>
    <t>029A</t>
  </si>
  <si>
    <t>030A</t>
  </si>
  <si>
    <t>031A</t>
  </si>
  <si>
    <t>032A</t>
  </si>
  <si>
    <t>033A</t>
  </si>
  <si>
    <t>034A</t>
  </si>
  <si>
    <t>035A</t>
  </si>
  <si>
    <t>036A</t>
  </si>
  <si>
    <t>039A</t>
  </si>
  <si>
    <t>040A</t>
  </si>
  <si>
    <t>041A</t>
  </si>
  <si>
    <t>042A</t>
  </si>
  <si>
    <t>043A</t>
  </si>
  <si>
    <t>044A</t>
  </si>
  <si>
    <t>045A</t>
  </si>
  <si>
    <t>046A</t>
  </si>
  <si>
    <t>047A</t>
  </si>
  <si>
    <t>048A</t>
  </si>
  <si>
    <t>049A</t>
  </si>
  <si>
    <t>054A</t>
  </si>
  <si>
    <t>055A</t>
  </si>
  <si>
    <t>056A</t>
  </si>
  <si>
    <t>057A</t>
  </si>
  <si>
    <t>058A</t>
  </si>
  <si>
    <t>059A</t>
  </si>
  <si>
    <t>060A</t>
  </si>
  <si>
    <t>061A</t>
  </si>
  <si>
    <t>062A</t>
  </si>
  <si>
    <t>063A</t>
  </si>
  <si>
    <t>064A</t>
  </si>
  <si>
    <t>065A</t>
  </si>
  <si>
    <t>066A</t>
  </si>
  <si>
    <t>067A</t>
  </si>
  <si>
    <t>068A</t>
  </si>
  <si>
    <t>069A</t>
  </si>
  <si>
    <t>070A</t>
  </si>
  <si>
    <t>071A</t>
  </si>
  <si>
    <t>072A</t>
  </si>
  <si>
    <t>073A</t>
  </si>
  <si>
    <t>077A</t>
  </si>
  <si>
    <t>078A</t>
  </si>
  <si>
    <t>079A</t>
  </si>
  <si>
    <t>080A</t>
  </si>
  <si>
    <t>081A</t>
  </si>
  <si>
    <t>082A</t>
  </si>
  <si>
    <t>083A</t>
  </si>
  <si>
    <t>084A</t>
  </si>
  <si>
    <t>085A</t>
  </si>
  <si>
    <t>086A</t>
  </si>
  <si>
    <t>087A</t>
  </si>
  <si>
    <t>090A</t>
  </si>
  <si>
    <t>091A</t>
  </si>
  <si>
    <t>092A</t>
  </si>
  <si>
    <t>093A</t>
  </si>
  <si>
    <t>094A</t>
  </si>
  <si>
    <t>095A</t>
  </si>
  <si>
    <t>096A</t>
  </si>
  <si>
    <t>097A</t>
  </si>
  <si>
    <t>098A</t>
  </si>
  <si>
    <t>099A</t>
  </si>
  <si>
    <t>100A</t>
  </si>
  <si>
    <t>101A</t>
  </si>
  <si>
    <t>102A</t>
  </si>
  <si>
    <t>104A</t>
  </si>
  <si>
    <t>106A</t>
  </si>
  <si>
    <t>107A</t>
  </si>
  <si>
    <t>108A</t>
  </si>
  <si>
    <t>109A</t>
  </si>
  <si>
    <t>110A</t>
  </si>
  <si>
    <t>111A</t>
  </si>
  <si>
    <t>112A</t>
  </si>
  <si>
    <t>113A</t>
  </si>
  <si>
    <t>114A</t>
  </si>
  <si>
    <t>115A</t>
  </si>
  <si>
    <t>116A</t>
  </si>
  <si>
    <t>117A</t>
  </si>
  <si>
    <t>118A</t>
  </si>
  <si>
    <t>119A</t>
  </si>
  <si>
    <t>120A</t>
  </si>
  <si>
    <t>121A</t>
  </si>
  <si>
    <t>122A</t>
  </si>
  <si>
    <t>123A</t>
  </si>
  <si>
    <t>124A</t>
  </si>
  <si>
    <t>125A</t>
  </si>
  <si>
    <t>126A</t>
  </si>
  <si>
    <t>127A</t>
  </si>
  <si>
    <t>128A</t>
  </si>
  <si>
    <t>129A</t>
  </si>
  <si>
    <t>130A</t>
  </si>
  <si>
    <t>131A</t>
  </si>
  <si>
    <t>132A</t>
  </si>
  <si>
    <t>133A</t>
  </si>
  <si>
    <t>134A</t>
  </si>
  <si>
    <t>135A</t>
  </si>
  <si>
    <t>136A</t>
  </si>
  <si>
    <t>137A</t>
  </si>
  <si>
    <t>138A</t>
  </si>
  <si>
    <t>139A</t>
  </si>
  <si>
    <t>140A</t>
  </si>
  <si>
    <t>141A</t>
  </si>
  <si>
    <t>142A</t>
  </si>
  <si>
    <t>143A</t>
  </si>
  <si>
    <t>144A</t>
  </si>
  <si>
    <t>145A</t>
  </si>
  <si>
    <t>146A</t>
  </si>
  <si>
    <t>147A</t>
  </si>
  <si>
    <t>148A</t>
  </si>
  <si>
    <t>149A</t>
  </si>
  <si>
    <t>150A</t>
  </si>
  <si>
    <t>151A</t>
  </si>
  <si>
    <t>172A</t>
  </si>
  <si>
    <t>173A</t>
  </si>
  <si>
    <t>174A</t>
  </si>
  <si>
    <t>236A</t>
  </si>
  <si>
    <t>238A</t>
  </si>
  <si>
    <t>239A</t>
  </si>
  <si>
    <t>240A</t>
  </si>
  <si>
    <t>439A</t>
  </si>
  <si>
    <t>440A</t>
  </si>
  <si>
    <t>446A</t>
  </si>
  <si>
    <t>025B</t>
  </si>
  <si>
    <t>133B</t>
  </si>
  <si>
    <t>SSS</t>
  </si>
  <si>
    <t>SS</t>
  </si>
  <si>
    <t>A+</t>
  </si>
  <si>
    <t>A-</t>
  </si>
  <si>
    <t>B+</t>
  </si>
  <si>
    <t>B-</t>
  </si>
  <si>
    <t>C+</t>
  </si>
  <si>
    <t>C-</t>
  </si>
  <si>
    <t>5-44At = 1d4
45-84At = 1d6
85-124 = 1d8
125-144 = 1d10
&gt;145 = 1d12</t>
  </si>
  <si>
    <t>Megastone</t>
  </si>
  <si>
    <t>Dialga (Origin Form)</t>
  </si>
  <si>
    <t>Palkia (Origin Form)</t>
  </si>
  <si>
    <t>Beast</t>
  </si>
  <si>
    <t>Modificaciones daño</t>
  </si>
  <si>
    <t>Code</t>
  </si>
  <si>
    <t xml:space="preserve">Ataque super efectivo: +2 dado de ataque
Ataque resistente: -2 dado de ataque
Incremento ataque: aumenta tamaño de dado
Reducción de ataque: reduce tamaño de dado
</t>
  </si>
  <si>
    <t>Campeón</t>
  </si>
  <si>
    <t>Envenenado</t>
  </si>
  <si>
    <t>Paralizado</t>
  </si>
  <si>
    <t>Somnoliento</t>
  </si>
  <si>
    <t>Quemado</t>
  </si>
  <si>
    <t>Helado</t>
  </si>
  <si>
    <t>Debilitado</t>
  </si>
  <si>
    <t>Un Pokémon paralizado puede no atacar en su turno en un 25% de los casos y su Velocidad se reduce en un 50%. Los Pokémon de tipo Eléctrico son inmunes a la parálisis.</t>
  </si>
  <si>
    <t>Un Pokémon somnoliento puede no atacar en su turno en un 25% de los casos y recibe más daño de los movimientos del rival.</t>
  </si>
  <si>
    <t>Un Pokémon quemado pierde un 6.25% de su PS máximo al final de cada turno, y el daño de sus ataques físicos se reduce en un 50%.</t>
  </si>
  <si>
    <t>Un Pokémon envenenado pierde un 12.5% de su PS máximo al final de cada turno. Los Pokémon de tipo Acero son inmunes al veneno.</t>
  </si>
  <si>
    <t>Un Pokémon helado pierde un 6.25% de su PS máximo al final de cada turno, y el daño de sus ataques especiales se reduce en un 50%. Los Pokémon de tipo Hielo son inmunes al helamiento.</t>
  </si>
  <si>
    <t>El Pokémon no tiene PS restantes y no puede entrar en combate.</t>
  </si>
  <si>
    <t>ENV</t>
  </si>
  <si>
    <t>SOM</t>
  </si>
  <si>
    <t>QUE</t>
  </si>
  <si>
    <t>CON</t>
  </si>
  <si>
    <t>DEB</t>
  </si>
  <si>
    <t>El Pokémon enfurece al utilizar un movimiento. Mientras dure este estado, aumenta la potencia de dicho movimiento, pero también el daño que el Pokémon recibe.</t>
  </si>
  <si>
    <t>Confuso</t>
  </si>
  <si>
    <t>Maldito</t>
  </si>
  <si>
    <t>Furioso</t>
  </si>
  <si>
    <t>Sentenciado</t>
  </si>
  <si>
    <t>Amedrentado</t>
  </si>
  <si>
    <t>Enamorado</t>
  </si>
  <si>
    <t>Atormentado</t>
  </si>
  <si>
    <t>Provocado</t>
  </si>
  <si>
    <t>Incurable</t>
  </si>
  <si>
    <t>Bloqueado</t>
  </si>
  <si>
    <t>El Pokémon no puede utilizar el objeto que tiene equipado y su entrenador no puede utilizar objetos sobre él.  Una vez que el Pokémon es cambiado o cae debilitado, el efecto desaparece.</t>
  </si>
  <si>
    <t>El Pokémon no puede recuperar HP por ningún método. Una vez que el Pokémon es cambiado o cae debilitado, el efecto desaparece.</t>
  </si>
  <si>
    <t>El Pokémon tiene un 50% de probabilidad de dañarse a sí mismo en lugar de ejecutar un movimiento seleccionado. La confusión desaparece en cuanto el usuario es capaz de asestar un golpe, es cambiado o cae debilitado.</t>
  </si>
  <si>
    <t>El Pokémon que se encuentra bajo los efectos de una maldición pierde 1/4HP al final de cada turno.</t>
  </si>
  <si>
    <t>Impide que un Pokémon ataque. Un Pokémon sólo puede acobardarse si es golpeado por el movimiento de otro Pokémon antes de usar su movimiento.</t>
  </si>
  <si>
    <t>Un Pokémon enamorado no puede utilizar movimientos el 50% de las veces. Se produce cuando se utiliza Atracción sobre un oponente del sexo opuesto. El enamoramiento terminará en cuanto el Pokémon afectado o el Pokémon del que está enamorado se retire del combate.</t>
  </si>
  <si>
    <t>Un Pokémon que ha sido provocado no puede usar ningún movimiento de estado durante 3 turnos. El efecto desaparece si el pokémon es cambiado o cae debilitado.</t>
  </si>
  <si>
    <t>Un Pokémon atormentado no puede usar el mismo movimiento dos veces seguidas. Si el Pokémon tiene un objeto de elección, se ve obligado a usar "Combate" (movimiento de tipo normal) cada dos turnos. Recibe el 50% del daño infligido.</t>
  </si>
  <si>
    <t>Al cabo de tres turnos, todos los Pokémon que hayan oído el Canto Mortal se desmayarán. Cualquier Pokémon que la haya oído puede evitar el efecto del desmayo si es cambiado antes de que termine la cuenta de tres turnos.</t>
  </si>
  <si>
    <t>Animado</t>
  </si>
  <si>
    <t>Encore obliga al Pokémon a repetir su último ataque durante 2-5 turnos (40% de probabilidad de movimiento en cada turno). Cuando el Pokémon es cambiado o cae debilitado, el efecto desaparece.</t>
  </si>
  <si>
    <t>LOV</t>
  </si>
  <si>
    <t>FCH</t>
  </si>
  <si>
    <t>HBK</t>
  </si>
  <si>
    <t>Atrapado</t>
  </si>
  <si>
    <t>FUR</t>
  </si>
  <si>
    <t>El Pokémon no puede escapar ni puede ser cambiado mientras el Pokémon que lo atrapó esté en el campo.</t>
  </si>
  <si>
    <t>Acorralado</t>
  </si>
  <si>
    <t>ACO</t>
  </si>
  <si>
    <t>El pokemon recibe daño al final de cada turno y no puede ser cambiado ni huir. Tiene un 30% de probabilidades de liberarse en cada turno.</t>
  </si>
  <si>
    <t>El Pokémon está oculto tras una cortina de humo o bruma, lo que dificulta que los movimientos de sus rivales lo alcancen.</t>
  </si>
  <si>
    <t>Infectado</t>
  </si>
  <si>
    <t>SED</t>
  </si>
  <si>
    <t>Cada turno, un Pokémon infectado pierde 1/12 de sus puntos de vida máximos. El Pokémon que lo infectó se cura en la misma cantidad. Cuando el Pokémon es cambiado o cae debilitado, el efecto desaparece.</t>
  </si>
  <si>
    <t>Efecto.</t>
  </si>
  <si>
    <t>Cegado</t>
  </si>
  <si>
    <t>BNK</t>
  </si>
  <si>
    <t>Un Pokémon envenenado pierde un 1PS al final de cada turno.
Su Velocidad se reduce en un nivel.
Los Pokémon de tipo Acero y Veneno son inmunes al envenenamiento.</t>
  </si>
  <si>
    <t>El Pokémon tiene un 50% de probabilidad de dañarse a sí mismo (con el resultado de su tirada de ataque) en lugar de ejecutar un movimiento seleccionado. La confusión desaparece en cuanto el usuario es capaz de asestar un golpe, es cambiado o cae debilitado.</t>
  </si>
  <si>
    <t>El Pokémon que se encuentra bajo los efectos de una maldición pierde 2PS al final de cada turno.</t>
  </si>
  <si>
    <t>El Pokémon no puede recuperar PS por ningún método. Una vez que el Pokémon es cambiado o cae debilitado, el efecto desaparece.</t>
  </si>
  <si>
    <t>Impide que un Pokémon ataque en ese turno. Un Pokémon sólo puede acobardarse si es golpeado por el movimiento de otro Pokémon antes de usar su movimiento.</t>
  </si>
  <si>
    <t>Obliga al Pokémon a repetir su último ataque durante 3 turnos. Cuando el Pokémon es cambiado o cae debilitado, el efecto desaparece.</t>
  </si>
  <si>
    <t>Un Pokémon paralizado puede no atacar en su turno en un 30% de los casos.
Su Velocidad se reduce en dos niveles.
Los Pokémon de tipo Eléctrico son inmunes a la parálisis.</t>
  </si>
  <si>
    <t>Arrojo</t>
  </si>
  <si>
    <t>Tropa</t>
  </si>
  <si>
    <t>Asedio</t>
  </si>
  <si>
    <t>Prematuro</t>
  </si>
  <si>
    <t>Crisálida</t>
  </si>
  <si>
    <t>En un combate Pokémon, el usuario de la habilidad podrá tomar la cara opuesta del dado como resultado de la tirada de ataque.</t>
  </si>
  <si>
    <t>Puedes llevar un miembro adicional a las batallas contra un líder de gimnasio (usuario incluído).</t>
  </si>
  <si>
    <t>Sobrecarga</t>
  </si>
  <si>
    <t>Dividir</t>
  </si>
  <si>
    <t>Puedes dividir el resultado de una tirada de movimiento entre 2 (redondear a la alza). Recarga 1 turno.</t>
  </si>
  <si>
    <t>En un encuentro Pokémon, el jugador podrá tomar la cara opuesta del dado como resultado de la tirada de captura. Recarga 2 turnos.</t>
  </si>
  <si>
    <t>Si el usuario no tiene un compañero/a de la misma especie y de sexo opuesto en el equipo, tira 1d4 al inicio de cada turno. Si sale un 4, añádelo a tu equipo.</t>
  </si>
  <si>
    <t>Siempre que el resultado de una tirada de movimiento sea 1, puedes transformarlo en un 6.</t>
  </si>
  <si>
    <t>Fortuna</t>
  </si>
  <si>
    <t>Duplica la posibilidad de activar efectos secundarios de los movimientos del usuario.</t>
  </si>
  <si>
    <t>Inevitable</t>
  </si>
  <si>
    <t>Cuando un rival utiliza un objeto en combate, el usuario de la habilidad también recibe los efectos.</t>
  </si>
  <si>
    <t>Cuando un rival utiliza un objeto en combate, el usuario de la habilidad tiene un 70% de probabilidad de robar los efectos.</t>
  </si>
  <si>
    <t>Cuándo un jugador rival juega una carta de evento, puedes activarla tu también. Recaga 2 turnos.</t>
  </si>
  <si>
    <t>Efecto espora</t>
  </si>
  <si>
    <t>Cuando el usuario entra a combatir, lanza 1d6. Si el resultado es 1/2 = envenena al rival; 3/4 = paraliza al rival; 5/6 = duerme al rival.</t>
  </si>
  <si>
    <t>Tufo</t>
  </si>
  <si>
    <t>En ruta, los jugadores rivales no podrán situarse en una casilla adyacente a la tuya, teniendo que cesar su acción de movimiento si fuese necesario.</t>
  </si>
  <si>
    <t>En ruta, los jugadores rivales no podrán acercarse a menos de dos casillas de tu posición, teniendo que cesar su acción de movimiento si fuese necesario.</t>
  </si>
  <si>
    <t>Parásito</t>
  </si>
  <si>
    <t>Puedes "parasitar" el Pokémon de un jugador rival. Mientras el usuario de esta habilidad esté en tu equipo, el rival no podrá liberar de su equipo ni utilizar las habilidades de ese Pokémon.</t>
  </si>
  <si>
    <t>Artimaña</t>
  </si>
  <si>
    <t>Toxinas</t>
  </si>
  <si>
    <t>Cada vez que el usuario entra a combatir libera unas toxinas que provocan envenenamiento al Pokémon rival.</t>
  </si>
  <si>
    <t>Una vez finalices tu acción de movimiento, puedes decidir retroceder hasta un máximo de tres casillas. Recarga 2 turnos.</t>
  </si>
  <si>
    <t>Cuándo el team rocket roba un objeto o un Pokémon a un rival, recibes el objeto o el Pokémon robado.</t>
  </si>
  <si>
    <t>Ignorante</t>
  </si>
  <si>
    <t>El usuario de la habilidad es inmune a los estados de sueño y confusión.</t>
  </si>
  <si>
    <t>El jugador podrá desplazarse por rutas acuáticas sin la necesidad de la MO Surf.</t>
  </si>
  <si>
    <t>En babia</t>
  </si>
  <si>
    <t>Comisario</t>
  </si>
  <si>
    <t>Si el usuario de esta habilidad está en tu equipo, los asaltos del Team Rocket no tienen efecto sobre ti.</t>
  </si>
  <si>
    <t>Ni el usuario ni el Pokémon rival tienen en cuenta las estadísticas de Defensa o Defensa Especial a la hora de realizar sus ataques.</t>
  </si>
  <si>
    <t>Puedes decidir el resultado de tu tirada de movimiento. Recarga 2 turnos.</t>
  </si>
  <si>
    <t>Cuándo un rival te reta a un duelo tira el dado. Si el resultado es 1, 3 o 6 evitas el duelo y, si quieres, puedes teletransportarte a la última ciudad que visitaste.</t>
  </si>
  <si>
    <t>En vez de tirar el dado de movimiento puedes teletransportarte a cualquier casilla en un rango de 10. Recarga 2 turnos.</t>
  </si>
  <si>
    <t>En cualquier momento puedes tomar una casilla de encuentro Pokémon como si fuera una casilla de duelo.</t>
  </si>
  <si>
    <t>Guardaespaldas</t>
  </si>
  <si>
    <t>En ruta terrestre, puedes tratar la casilla en la que has caído como si se tratase de una casilla de Encuentro Pokémon. 1 turno de recarga.</t>
  </si>
  <si>
    <t>Bravucón</t>
  </si>
  <si>
    <t>Si tienes a este Pokémon en el equipo y un jugador rival te reta a un duelo, utilizalo en combate para elegir con que Pokémon luchará tu rival.</t>
  </si>
  <si>
    <t>Cuándo un jugador rival pasa por la casilla en la que te encuentras, puedes activar esta habilidad. Lanza 1d6 para ver cuántos Pokémon de tu rival caen debilitados. El Pokémon usuario de la habilidad también cae debilitado y no podrás volver a usarla mientras siga en este estado.</t>
  </si>
  <si>
    <t>Si el Pokémon no ha recibido daño, y recibe un ataque que le debilitaría de un solo golpe, resiste con 1 PS.</t>
  </si>
  <si>
    <t>Ultra Impulso</t>
  </si>
  <si>
    <t>Si el usuario es intercambiado durante el combate, recupera la mitad de los PS.</t>
  </si>
  <si>
    <t>Si el usuario es intercambiado durante el combate, recupera 2 PS y cura sus problemas de estado.</t>
  </si>
  <si>
    <t>El usuario de la habilidad es inmune a los ataques de tipo tierra.</t>
  </si>
  <si>
    <t>Puedes repetir la tirada de ataque una vez por turno (prevalece el resultado de la segunda tirada).</t>
  </si>
  <si>
    <t>Si el usuario utiliza un movimiento de tipo volador, siempre golpea primero.</t>
  </si>
  <si>
    <t>Mientras el usuario de esta habilidad esté en el equipo, aumenta la capacidad de la bolsa a 10 objetos.</t>
  </si>
  <si>
    <t>Aumenta en un nivel la Ofensiva del usuario por cada Pokémon de tipo eléctico o acero que haya en el equipo.</t>
  </si>
  <si>
    <t>Si un Pokémon con esta habilidad participa en el combate, los ataques de tipo tierra quedan desactivados hasta que el combate finalice.</t>
  </si>
  <si>
    <t>Tumbos</t>
  </si>
  <si>
    <t>Consolación</t>
  </si>
  <si>
    <t>Si el usuario de la habilidad pierde un duelo, puedes tomar una carta de objeto clave como premio de consolación.</t>
  </si>
  <si>
    <t>En cualquier momento puedes repetir una tirada de movimiento o de captura. Recarga 1 turno.</t>
  </si>
  <si>
    <t>Cada vez que un jugador rival pasa por la casilla en la que te encuentras, debe descartar una carta de objeto.</t>
  </si>
  <si>
    <t>Si el usuario recibe un golpe físico en combate, el Pokémon rival pasa a estar envenenado.</t>
  </si>
  <si>
    <t>Trueque</t>
  </si>
  <si>
    <t>Si atrapas un Pokémon con esta habilidad, tira un 1d6. Si sale 1-5 consigues una perla. Si sale 6 consigues una pepita.</t>
  </si>
  <si>
    <t>En cualquier momento de tu turno puedes descartar dos objetos a cambio de una carta de objeto clave.</t>
  </si>
  <si>
    <t>Cuando el usuario de la habilidad cae debilitado, puedes sacrificar a otro de tus Pokémon para que este recupere todos sus PS.</t>
  </si>
  <si>
    <t>Fantasmagórico</t>
  </si>
  <si>
    <t>Si un Pokémon con esta habilidad está en el equipo, al caer en una casilla puedes evitar activar su efecto.</t>
  </si>
  <si>
    <t>Cabeza roca</t>
  </si>
  <si>
    <t>Anula los efectos secundarios de los movimientos del Pokémon rival.</t>
  </si>
  <si>
    <t>Cuándo un jugador rival vaya a iniciar su acción movimiento, haz que pare y dirige tu su acción de movimiento ignorando la dirección y el sentido que llevaba. Recarga 2 turnos tomando cómo referencia el turno del jugador afectado.</t>
  </si>
  <si>
    <t>Si el usuario participa del combate, todos los miembros del equipo aumentan su velocidad en un nivel.</t>
  </si>
  <si>
    <t>Cuándo el usuario entra a combatir se activa esta habilidad. Durante el resto del combate los Pokémon más lentos atacan primero.</t>
  </si>
  <si>
    <t>Si el usuario de la habilidad lleva una baya equipada, al activarse la baya lanza 1d6; si el resultado es 4 o superior, el efecto de la baya vuelve a activarse.</t>
  </si>
  <si>
    <t>El entrenador rival no puede realizar intercambios durante el combate.</t>
  </si>
  <si>
    <t>El usuario de la habilidad adquiere la habilidad de cualquier aliado caído en combate.</t>
  </si>
  <si>
    <t>Cuándo un duelo en el que no participes tenga lugar, puedes apostar por quien saldrá victorioso. En caso de acierto, toma una carta de objeto clave.</t>
  </si>
  <si>
    <t>En un duelo, si tienes al usuario de la habilidad en el equipo, puedes decidir que Pokémon usará tu contrincante.</t>
  </si>
  <si>
    <t>Si caes en una casilla de evento puedes activarla como si fuese una casilla de objetos clave y viceversa.</t>
  </si>
  <si>
    <t>Tras utilizar un objeto sobre el usuario de la habilidad, puedes devolverlo a tu mochila cómo si no se hubiese consumido.</t>
  </si>
  <si>
    <t>Si el usuario de la habilidad entra a combatir, anula las habilidades de los demás Pokémon durante todo el combate y resetea los cambios en sus estadísticas de combate.</t>
  </si>
  <si>
    <t>Nebulosa</t>
  </si>
  <si>
    <t>Si el usuario de la habilidad está en tu equipo, una vez por combate, al iniciar tu turno, puedes resucitar a un Pokémon debilitado.</t>
  </si>
  <si>
    <t>Mientras el usuario de la habilidad esté en tu equipo, al finalizar cada combate todos los miembros del equipo recuperan toda su salud y problemas de estado.</t>
  </si>
  <si>
    <t>Enredados</t>
  </si>
  <si>
    <t>Obstaculizar</t>
  </si>
  <si>
    <t>Puedes llevar contigo hasta 7 Pokémon en el equipo.</t>
  </si>
  <si>
    <t>Bomba de humo</t>
  </si>
  <si>
    <t>Puedes comprar los objetos en la tienda a mitad de precio.</t>
  </si>
  <si>
    <t>El Pokémon puede hacer que el rival repita su tirada de ataque una vez por turno.</t>
  </si>
  <si>
    <t>El usuario puede copiar y usar cualquier movimiento del Pokémon rival.</t>
  </si>
  <si>
    <t>Puedes moverte el mismo número de casillas que el jugador anterior en vez de ejecutar tu tirada de movimiento.</t>
  </si>
  <si>
    <t>Al caer en una casilla de evento, puedes mirar las dos cartas que estén en la parte superior y escoger la que más te convenga (descarta la otra).</t>
  </si>
  <si>
    <t>Si el usuario de la habilidad es más rápido que el Pokémon rival, tiene un 30% de probabilidades de realizar una tirada de ataque adicional.</t>
  </si>
  <si>
    <t>Cuerpo magma</t>
  </si>
  <si>
    <t>Cada vez que el usuario es golpeado por un ataque físico, el agresor recibe 1 PS de daño.</t>
  </si>
  <si>
    <t>Tenacidad</t>
  </si>
  <si>
    <t>En un combate contra el usuario de la habilidad, el oponente deberá lanzar dos veces el dado de ataque. Tomará cómo resultado de la tirada el resultado más bajo.</t>
  </si>
  <si>
    <t>El usuario se transforma en el primer Pokémon contra el que se enfrente en combate (no legendarios). El cambio es permanente durante todo el juego.</t>
  </si>
  <si>
    <t>Cada vez que ganas una medalla de gimnasio, tienes un turno adicional.</t>
  </si>
  <si>
    <t>Si el usuario de la habilidad está en tu equipo, puedes doblar el resultado de tu tirada de movimiento. Recarga 2 turnos.</t>
  </si>
  <si>
    <t>Evoluciona cualquier Pokémon de tu equipo a su máxima etapa evolutiva, aunque no cumplas los requisitos. Recarga 3 turnos.</t>
  </si>
  <si>
    <t>Sprint</t>
  </si>
  <si>
    <t>Simple</t>
  </si>
  <si>
    <t>Aumenta en un nivel el tamaño del dado de ataque para los movimientos del mismo tipo que el usuario de la habilidad.</t>
  </si>
  <si>
    <t>Rarity</t>
  </si>
  <si>
    <t>Rare</t>
  </si>
  <si>
    <t>Uncommon</t>
  </si>
  <si>
    <t>Non available</t>
  </si>
  <si>
    <t>Multiple</t>
  </si>
  <si>
    <t>Evolves into</t>
  </si>
  <si>
    <t>Aumenta en un nivel la Defensa del usuario si el resto de miembros del equipo están en su primera fase evolutiva.</t>
  </si>
  <si>
    <t>Aumenta en un nivel la Defensa, la Defensa Especial y el Ataque Especial del usuario si todos los miembros del equipo se encuentran en su última fase evolutiva.</t>
  </si>
  <si>
    <t>Aumenta en un nivel la Defensa, la Defensa Especial del usuario si ningún otro miembro del equipo ha llegado a su última fase evolutiva.</t>
  </si>
  <si>
    <t>Aumenta en un nivel el Ataque Especial del usuario si se enfrenta a un Pokémon contra el que presenta debilidad de tipo.</t>
  </si>
  <si>
    <t>Aumenta en un nivel el Ataque y el Ataque Especial del usuario si se enfrenta a un Pokémon contra el que presenta debilidad de tipo.</t>
  </si>
  <si>
    <t>Aumenta en un nivel el Ataque, El Ataque Especial y la Velocidad del usuario si se enfrenta a un Pokémon contra el que presenta debilidad de tipo.</t>
  </si>
  <si>
    <t>Aumenta en un nivel el Ataque Especial del usuario si hay otro Pokémon del mismo tipo en el equipo.</t>
  </si>
  <si>
    <t>Aumenta en un nivel el Ataque y el Ataque Especial de todos los Pokémon en el equipo que sean del mismo tipo que el usuario (este incluído).</t>
  </si>
  <si>
    <t>El usuario evoluciona en cuanto añades otro Pokémon a tu equipo.</t>
  </si>
  <si>
    <t>El usuario tiene un 50% de probabilidades de librarse de los problemas de estado al finalizar cada turno.</t>
  </si>
  <si>
    <t>Si el usuario logra encadenar tres veces seguidas el movimiento Fortaleza (durante un combate), el Pokémon evolucionará una vez el combate finalice.</t>
  </si>
  <si>
    <t>Aumenta en un nivel el Ataque del usuario por cada Pokémon del mismo tipo en el equipo.</t>
  </si>
  <si>
    <t>Si el usuario de la habilidad participa en un duelo, puede decidir si quiere huir al inicio de cada turno. No hay ganadores.</t>
  </si>
  <si>
    <t>Aumenta en dos niveles el Ataque Especial y la Velocidad si recibe un ataque de tipo Eléctrico.</t>
  </si>
  <si>
    <t>Si el usuario pierde a un compañero/a de la misma especie y de sexo opuesto durante el combate, aumenta su Ataque y su Ataque Especial en un nivel.</t>
  </si>
  <si>
    <t>Si el usuario tiene un compañero/a de la misma especie y de sexo opuesto en el equipo, aumenta su Ataque y su Ataque Especial en dos niveles, y su Velocidad en un nivel.</t>
  </si>
  <si>
    <t>Siempre que el resultado de una tirada de ataque sea 1 (en daño o en probabilidad), puedes transformarlo en el mayor número que permita el dado.</t>
  </si>
  <si>
    <t>Si el Pokémon rival aumenta alguna de sus características, el Ataque, la Defensa y la Velocidad del usuario aumentan un nivel.</t>
  </si>
  <si>
    <t>Si los PS del usuario bajan de la mitad, al finalizar su turno de ataque es cambiado por otro miembro del equipo sin perder el turno.</t>
  </si>
  <si>
    <t>Si el día que juegas hace un clima soleado, el usuario de la habilidad aumenta su Ataque, Ataque Especial y su Velocidad en un nivel.</t>
  </si>
  <si>
    <t>Si el día que juegas hace un clima soleado, el usuario aumenta su Ataque, Ataque Especial y su Velocidad en dos niveles, pero pierde 2 PS siempre que utilice un movimiento que cause daño al oponente.</t>
  </si>
  <si>
    <t>Al tomar una carta de evento, después de mirarla, puedes decidir pasarla a otro jugador. Recarga 3 turnos.</t>
  </si>
  <si>
    <t>Cada vez que su movimiento sea bloqueado, el usuario aumenta su Ataque y su Ataque Especial en un nivel.</t>
  </si>
  <si>
    <t>Las habilidades del Pokémon rival no tienen efecto mientras este Pokémon esté combatiendo.</t>
  </si>
  <si>
    <t>Aumenta en dos niveles el Ataque del usuario si este es el último Pokémon en pie durante un combate (no aplica a duelos).</t>
  </si>
  <si>
    <t>Si un Pokémon del mismo equipo está en combate y va a recibir daño, puedes sustituirlo en cualquier momento por el usuario de esta habilidad para que reciba el golpe en su lugar. Se tendrán en cuenta las estadísticas de Defensa y Defensa especial del usuario para recalcular el daño.</t>
  </si>
  <si>
    <t>Mientras el usuario de la habilidad esté en combate, los cambios en características de todos los combatientes se resetearan al inicio de cada turno.</t>
  </si>
  <si>
    <t>Mientras el usuario de la habilidad esté en tu equipo, puedes modificar el resultado de tu tirada de movimiento en +1 en cualquier momento. Recarga 1 turno.</t>
  </si>
  <si>
    <t>Mientras el usuario de la habilidad esté en tu equipo, puedes modificar el resultado de tu tirada de movimiento en +2 en cualquier momento. Recarga 1 turno.</t>
  </si>
  <si>
    <t>Si un Pokémon con esta habilidad está en el equipo, al finalizar un combate todos los participantes recuperan todos sus PS.</t>
  </si>
  <si>
    <t>Protege al jugador de cualquier intento de robo de objetos, cartas o manipulaciones durante el turno de movimiento por parte de jugadores rivales.</t>
  </si>
  <si>
    <t>Aumenta en un nivel el Ataque y la Velocidad del usuario cada vez que recibe un golpe.</t>
  </si>
  <si>
    <t>Si el usuario va a recibir un golpe que le dejaría fuera de combate, lanza 1d20. Si el resultado es &gt;10 esquiva el ataque.</t>
  </si>
  <si>
    <t>Cuándo el usuario entra a combatir se activa esta habilidad. Durante el resto del combate todos los Pokémon de tipo agua (incluidos los del rival) recuperan 1 PS cada turno.</t>
  </si>
  <si>
    <t>Si tienes usuario de esta habilidad en tu equipo, y alguien te reta a un duelo, siempre deberás usarlo para combatir. Antes de empezar el combate, lanza 1d6 y quita al Pokémon rival el equivalente al resultado en PS (ignorando defensas).</t>
  </si>
  <si>
    <t>Si el usuario de la habilidad cae debilitado, tira 1d6 y quita al Pokémon rival el equivalente al resultado en PS (ignorando defensas).</t>
  </si>
  <si>
    <t>Si el usuario está en combate, disminuye en 3 el resultado de cada tirada de precisión del Pokémon rival.</t>
  </si>
  <si>
    <t>Si el usuario de la habilidad recibe un ataque físico, el Pokémon agresor reduce su Velocidad en dos niveles.</t>
  </si>
  <si>
    <t>Puedes elegir no activar una carta de evento o de Team Rocket.</t>
  </si>
  <si>
    <t>Cuándo el usuario entra a combatir se activa un contador. El Pokémon rival y el usuario caerán debilitados al finalizar el tercer turno si no son intercambiados.</t>
  </si>
  <si>
    <t>Si el usuario de la habilidad gana un duelo, al finalizar el combate puedes tomar dos cartas de objeto clave.</t>
  </si>
  <si>
    <t>Si los PS del usuario bajan de la mitad, aumenta su Ataque y su Velocidad en un nivel.</t>
  </si>
  <si>
    <t>El usuario de la habilidad solo puede evolucionar saliendo victorioso en un combate Pokémon.</t>
  </si>
  <si>
    <t>Al debilitar a un Pokémon rival, el usuario aumenta su Ataque en un nivel.</t>
  </si>
  <si>
    <t>Dentro de una ruta acuática, en lugar de ejecutar tu tirada de movimiento, puedes moverte a la casilla que quieras. Recarga 2 turnos.</t>
  </si>
  <si>
    <t>El usuario de la habilidad evita los efectos secundarios de los movimientos de los rivales.</t>
  </si>
  <si>
    <t>Si sus PS llegan a la mitad, aumenta su Ataque en un nivel y su Velocidad en dos niveles.</t>
  </si>
  <si>
    <t>Al caer en una casilla de encuentro Pokémon, puedes lanzar los dados como si estuvieras en cualquier otra zona. Recarga 2 turnos.</t>
  </si>
  <si>
    <t>El Pokémon tiene el campo de visión reducido. Aumenta en +3 el número mínimo que debe sacar en la tirada de probabilidad para asestar un golpe.</t>
  </si>
  <si>
    <t>Si el usuario sufre algún problema de estado, siempre tomará como resultado de la tirada el valor más alto del dado de ataque.</t>
  </si>
  <si>
    <t>H001</t>
  </si>
  <si>
    <t>H002</t>
  </si>
  <si>
    <t>H003</t>
  </si>
  <si>
    <t>H004</t>
  </si>
  <si>
    <t>H005</t>
  </si>
  <si>
    <t>H006</t>
  </si>
  <si>
    <t>H007</t>
  </si>
  <si>
    <t>H008</t>
  </si>
  <si>
    <t>H009</t>
  </si>
  <si>
    <t>H010</t>
  </si>
  <si>
    <t>H011</t>
  </si>
  <si>
    <t>H012</t>
  </si>
  <si>
    <t>H013</t>
  </si>
  <si>
    <t>H014</t>
  </si>
  <si>
    <t>H015</t>
  </si>
  <si>
    <t>H016</t>
  </si>
  <si>
    <t>H017</t>
  </si>
  <si>
    <t>H018</t>
  </si>
  <si>
    <t>H019</t>
  </si>
  <si>
    <t>H020</t>
  </si>
  <si>
    <t>H021</t>
  </si>
  <si>
    <t>H022</t>
  </si>
  <si>
    <t>H023</t>
  </si>
  <si>
    <t>H024</t>
  </si>
  <si>
    <t>H025</t>
  </si>
  <si>
    <t>H026</t>
  </si>
  <si>
    <t>H027</t>
  </si>
  <si>
    <t>H028</t>
  </si>
  <si>
    <t>H029</t>
  </si>
  <si>
    <t>H030</t>
  </si>
  <si>
    <t>H031</t>
  </si>
  <si>
    <t>H032</t>
  </si>
  <si>
    <t>H033</t>
  </si>
  <si>
    <t>H034</t>
  </si>
  <si>
    <t>H035</t>
  </si>
  <si>
    <t>H036</t>
  </si>
  <si>
    <t>H037</t>
  </si>
  <si>
    <t>H038</t>
  </si>
  <si>
    <t>H039</t>
  </si>
  <si>
    <t>H040</t>
  </si>
  <si>
    <t>H041</t>
  </si>
  <si>
    <t>H042</t>
  </si>
  <si>
    <t>H043</t>
  </si>
  <si>
    <t>H044</t>
  </si>
  <si>
    <t>H045</t>
  </si>
  <si>
    <t>H046</t>
  </si>
  <si>
    <t>H047</t>
  </si>
  <si>
    <t>H048</t>
  </si>
  <si>
    <t>H049</t>
  </si>
  <si>
    <t>H050</t>
  </si>
  <si>
    <t>H051</t>
  </si>
  <si>
    <t>H052</t>
  </si>
  <si>
    <t>H053</t>
  </si>
  <si>
    <t>H054</t>
  </si>
  <si>
    <t>H055</t>
  </si>
  <si>
    <t>H056</t>
  </si>
  <si>
    <t>H057</t>
  </si>
  <si>
    <t>H058</t>
  </si>
  <si>
    <t>H059</t>
  </si>
  <si>
    <t>H060</t>
  </si>
  <si>
    <t>H061</t>
  </si>
  <si>
    <t>H062</t>
  </si>
  <si>
    <t>H063</t>
  </si>
  <si>
    <t>H064</t>
  </si>
  <si>
    <t>H065</t>
  </si>
  <si>
    <t>H066</t>
  </si>
  <si>
    <t>H067</t>
  </si>
  <si>
    <t>H068</t>
  </si>
  <si>
    <t>H069</t>
  </si>
  <si>
    <t>H070</t>
  </si>
  <si>
    <t>H071</t>
  </si>
  <si>
    <t>H072</t>
  </si>
  <si>
    <t>H073</t>
  </si>
  <si>
    <t>H074</t>
  </si>
  <si>
    <t>H075</t>
  </si>
  <si>
    <t>H076</t>
  </si>
  <si>
    <t>H077</t>
  </si>
  <si>
    <t>H078</t>
  </si>
  <si>
    <t>H079</t>
  </si>
  <si>
    <t>H080</t>
  </si>
  <si>
    <t>H081</t>
  </si>
  <si>
    <t>H082</t>
  </si>
  <si>
    <t>H083</t>
  </si>
  <si>
    <t>H084</t>
  </si>
  <si>
    <t>H085</t>
  </si>
  <si>
    <t>H086</t>
  </si>
  <si>
    <t>H087</t>
  </si>
  <si>
    <t>H088</t>
  </si>
  <si>
    <t>H089</t>
  </si>
  <si>
    <t>H090</t>
  </si>
  <si>
    <t>H091</t>
  </si>
  <si>
    <t>H092</t>
  </si>
  <si>
    <t>H093</t>
  </si>
  <si>
    <t>H094</t>
  </si>
  <si>
    <t>H095</t>
  </si>
  <si>
    <t>H096</t>
  </si>
  <si>
    <t>H097</t>
  </si>
  <si>
    <t>H098</t>
  </si>
  <si>
    <t>H099</t>
  </si>
  <si>
    <t>H100</t>
  </si>
  <si>
    <t>H101</t>
  </si>
  <si>
    <t>H102</t>
  </si>
  <si>
    <t>H103</t>
  </si>
  <si>
    <t>H104</t>
  </si>
  <si>
    <t>H105</t>
  </si>
  <si>
    <t>H106</t>
  </si>
  <si>
    <t>H107</t>
  </si>
  <si>
    <t>H108</t>
  </si>
  <si>
    <t>H109</t>
  </si>
  <si>
    <t>H110</t>
  </si>
  <si>
    <t>H111</t>
  </si>
  <si>
    <t>H112</t>
  </si>
  <si>
    <t>H113</t>
  </si>
  <si>
    <t>H114</t>
  </si>
  <si>
    <t>H115</t>
  </si>
  <si>
    <t>H116</t>
  </si>
  <si>
    <t>H117</t>
  </si>
  <si>
    <t>H118</t>
  </si>
  <si>
    <t>H119</t>
  </si>
  <si>
    <t>H120</t>
  </si>
  <si>
    <t>H121</t>
  </si>
  <si>
    <t>H122</t>
  </si>
  <si>
    <t>H123</t>
  </si>
  <si>
    <t>H124</t>
  </si>
  <si>
    <t>H125</t>
  </si>
  <si>
    <t>H126</t>
  </si>
  <si>
    <t>H127</t>
  </si>
  <si>
    <t>H128</t>
  </si>
  <si>
    <t>H129</t>
  </si>
  <si>
    <t>H130</t>
  </si>
  <si>
    <t>H131</t>
  </si>
  <si>
    <t>H132</t>
  </si>
  <si>
    <t>H133</t>
  </si>
  <si>
    <t>H134</t>
  </si>
  <si>
    <t>H135</t>
  </si>
  <si>
    <t>H136</t>
  </si>
  <si>
    <t>H137</t>
  </si>
  <si>
    <t>H138</t>
  </si>
  <si>
    <t>H139</t>
  </si>
  <si>
    <t>H140</t>
  </si>
  <si>
    <t>Aumenta en un 20% la probabilidad de volver a ejecutar movimientos con probabilidad de repetición.</t>
  </si>
  <si>
    <t>Puedes perder dos turnos para clonar cualquier Pokémon que tenga otro jugador y añadirlo a tu equipo.</t>
  </si>
  <si>
    <t>H141</t>
  </si>
  <si>
    <t>Genetista</t>
  </si>
  <si>
    <t>H142</t>
  </si>
  <si>
    <t>Una vez por turno, sin necesidad de usar una MT, puedes modificar uno de los ataques del usuario de la habilidad. No puede utilizarse durante un combate.</t>
  </si>
  <si>
    <t>H143</t>
  </si>
  <si>
    <t>Glaciación</t>
  </si>
  <si>
    <t>Apagón</t>
  </si>
  <si>
    <t>Los jugadores rivales ven reducido en 1 el tamaño de su dado de movimiento en su próxima tirada. Recarga 2 turnos.</t>
  </si>
  <si>
    <t>Puedes reactivar las habilidades de todo tu equipo y sanar sus PS al instante. No puede utilizarse durante un combate. Recarga 2 turnos.</t>
  </si>
  <si>
    <t>Transfiguración</t>
  </si>
  <si>
    <t>Al evolucionar a uno de tus Pokémon, puedes evolucionarlo directamente a su máxima etapa evolutiva sin consumo adicional de experiencia. Recarga 3 turnos.</t>
  </si>
  <si>
    <t>Montura</t>
  </si>
  <si>
    <t>H144</t>
  </si>
  <si>
    <t>H145</t>
  </si>
  <si>
    <t>H146</t>
  </si>
  <si>
    <t>H147</t>
  </si>
  <si>
    <t>H148</t>
  </si>
  <si>
    <t>H149</t>
  </si>
  <si>
    <t>Un rival a tu elección perderá su siguiente turno (ignora habilidades u objetos que protejan al rival). No se puede aplicar al mismo rival dos veces seguidas. Recarga 2 turnos.</t>
  </si>
  <si>
    <t>Si sacas un 6 durante una tirada de movimiento, el usuario de la habilidad evoluciona directamente.</t>
  </si>
  <si>
    <t>Aumenta en uno el tamaño de tu dado de movimiento mientras el usuario de esta habilidad esté en el equipo.</t>
  </si>
  <si>
    <t>Los jugadores rivales necesitarán 1 punto de experiencia adicional para evolucionar a cualquiera de sus Pokémon.</t>
  </si>
  <si>
    <t>Puedes liberar al usuario de la habilidad y bloquear el paso por una celda durante tres rondas (con rebote y cambio de sentido).</t>
  </si>
  <si>
    <t>H150</t>
  </si>
  <si>
    <t>Percepción</t>
  </si>
  <si>
    <t>El usuario de la habilidad, al entrar a combatir, puede aumentar en un nivel una de sus estadísticas (la que más interese al jugador).</t>
  </si>
  <si>
    <t>Espejismo</t>
  </si>
  <si>
    <t>El usuario de la habilidad es inmune a los ataques del rival en el primer turno.</t>
  </si>
  <si>
    <t>Laurel</t>
  </si>
  <si>
    <t>H151</t>
  </si>
  <si>
    <t>H152</t>
  </si>
  <si>
    <t>H153</t>
  </si>
  <si>
    <t>Ilumninación</t>
  </si>
  <si>
    <t>H154</t>
  </si>
  <si>
    <t>Calidez</t>
  </si>
  <si>
    <t>Una vez por combate, cuando causes daño con este Pokémon, puedes hacer que reciba un punto de daño para volver a atacar. Este segundo ataque se hará reduciendo en uno el tamaño del dado de ataque.</t>
  </si>
  <si>
    <t>H155</t>
  </si>
  <si>
    <t>H156</t>
  </si>
  <si>
    <t>Cuándo un jugador rival pasa por la casilla en la que te encuentras, reduce en dos el resultado de su tirada de movimiento, obligándole a cesar su acción de movimiento si fuese necesario.</t>
  </si>
  <si>
    <t>Nado rápido</t>
  </si>
  <si>
    <t>En ruta acuática, el jugador podrá desplazarse sin la necesidad de la MO Surf y además añadir +1 al resultado de su tirada de movimiento.</t>
  </si>
  <si>
    <t>H157</t>
  </si>
  <si>
    <t>Estratega</t>
  </si>
  <si>
    <t>Una vez por combate puedes intercambiar con el oponente todos los cambios en las características.</t>
  </si>
  <si>
    <t>H158</t>
  </si>
  <si>
    <t>Asustadizo</t>
  </si>
  <si>
    <t>H159</t>
  </si>
  <si>
    <t>El jugador podrá desplazarse a cualquier casilla de ciudad o pueblo que haya visitado sin necesidad de la MO vuelo. No puede utilizarse esta habilidad si estás en una casilla de caverna.</t>
  </si>
  <si>
    <t>Permite jugar al juego del casino sin necesidad de gastar dinero.</t>
  </si>
  <si>
    <t>Si obtienes un 6 o más en una tirada de movimiento, en vez de avanzar puedes mover tu peón a una casilla de pueblo o ciudad independientemente de si la has visitado o no. No puede utilizarse esta habilidad si estás en una casilla de caverna. Recarga 2 turnos.</t>
  </si>
  <si>
    <t>¡Bingo!</t>
  </si>
  <si>
    <t>En su primer turno, el usuario de la habilidad deberá tirar un dado de probabilidad, tiene un 50% de probabilidad de no atacar..</t>
  </si>
  <si>
    <t>Al iniciar un duelo lanza el dado de probabilidad. Tienes un 70% de probabilidad de ganar el duelo automáticamente.</t>
  </si>
  <si>
    <t>Ojeador</t>
  </si>
  <si>
    <t>Al caer en una casilla de encuentro Pokémon, te aparecen dos Pokémon salvajes, descarta uno e intenta capturar al otro. Solo puedes utilizar esta habilidad una vez por turno.</t>
  </si>
  <si>
    <t>H160</t>
  </si>
  <si>
    <t>H161</t>
  </si>
  <si>
    <t>Si el Pokémon rival es de sexo opuesto, aumenta el Ataque y el Ataqeu Especial del usuario de la habilidad en un nivel.</t>
  </si>
  <si>
    <t>Por cada Pokémon de tu equipo que haya sido debilitado durante el combate en curso, el usuario aumenta en uno el tamaño de su dado de Ataque.</t>
  </si>
  <si>
    <t>Puedes aumentar el Ataque en dos niveles durante un turno, en lugar de activar el efecto secundario del movimiento que vas a utilizar (decidir antes de atacar).</t>
  </si>
  <si>
    <t>Si el usuario es golpeado por un ataque físico, el agresor quedará Paralizado.</t>
  </si>
  <si>
    <t>Electroestática</t>
  </si>
  <si>
    <t>Vidas pasadas</t>
  </si>
  <si>
    <t>Una vez por turno, o una vez por combate, puedes repetir una tirada que no sea de movimiento.</t>
  </si>
  <si>
    <t>H162</t>
  </si>
  <si>
    <t>H163</t>
  </si>
  <si>
    <t>H164</t>
  </si>
  <si>
    <t>Puedes utilizar esta habilidad solo una vez por combate, reduce en dos niveles el Ataque Especial, la Defensa Especial y la Velocidad del Pokémon rival activo.</t>
  </si>
  <si>
    <t>Gélido</t>
  </si>
  <si>
    <t>H165</t>
  </si>
  <si>
    <t>H166</t>
  </si>
  <si>
    <t>H167</t>
  </si>
  <si>
    <t>H168</t>
  </si>
  <si>
    <t>H169</t>
  </si>
  <si>
    <t>Fénix</t>
  </si>
  <si>
    <t>Crea una fuerte ventisca que reduce el campo de visión. El rival deberá obtener como mínimo un resultado ≥ a 30 en la tirada de probabilidad para acertar con cualquier movimiento.</t>
  </si>
  <si>
    <t>Se envuelve en nubes de tormenta. El jugador rival, al finalizar cada turno de Ataque, deberá lanzar 1d4. Si el resultado es 1, su Pokémon activo quedará paralizado. Si el resultado es 4, el Pokémon activo pierde 1 PS.</t>
  </si>
  <si>
    <t>Una vez por combate, si el usuario de la habilidad no ha sido debilitado, en vez de realizar su tirada de ataque puede recuperar todos sus PS y eliminar cambios negativos en las características y problemas de estado.</t>
  </si>
  <si>
    <t>Tormenta arena</t>
  </si>
  <si>
    <t>H170</t>
  </si>
  <si>
    <t>H171</t>
  </si>
  <si>
    <t>H172</t>
  </si>
  <si>
    <t>H173</t>
  </si>
  <si>
    <t>Reduce en uno la velocidad de cualquier Pokémon rival que entre a combatir. Aumenta en un nivel la Defensa Especial de todos los Pokémon de tipo Roca que haya en el equipo durante todo el combate.</t>
  </si>
  <si>
    <t>Todoterreno</t>
  </si>
  <si>
    <t>Elimina la penalización de movimiento en cuevas.</t>
  </si>
  <si>
    <t>Trasto</t>
  </si>
  <si>
    <t>Puedes dar una de tus cartas de objeto a otro jugador y robarle una. Recarga 2 turnos.</t>
  </si>
  <si>
    <t>Buceador</t>
  </si>
  <si>
    <t>Mientras el usuario esté presente en combate, reduce en un nivel el Ataque y el Ataque Especial de todos los Pokémon que se enfrenten a él.</t>
  </si>
  <si>
    <t>Avaricia</t>
  </si>
  <si>
    <t>Duplica las ganancias en combate.</t>
  </si>
  <si>
    <t>Si el usuario de la habilidad está en el equipo, absorbe el daño de todos los ataques de tipo eléctirco aunque no sea el Pokémon activo. Recibe la mitad del daño y aumenta en un nivele su Velocidad durante todo el combate.</t>
  </si>
  <si>
    <t>El Pokémon enfurece al utilizar un movimiento. Mientras dure este estado, aumenta Ataque y Ataque Especial del usuario en un nivel, pero también baja su Defensa y su Defensa Especial en un nivel.</t>
  </si>
  <si>
    <t>Un Pokémon atormentado no puede usar el mismo movimiento dos veces seguidas. Si el Pokémon tiene un objeto de elección, se ve obligado a usar "Combate" (movimiento 1d4 físico de tipo normal) cada dos turnos; recibiendo 1PS de daño cada vez que lo usa.</t>
  </si>
  <si>
    <t>Un Pokémon que ha sido provocado no puede usar ningún movimiento de estado durante 2 turnos. El efecto desaparece si el pokémon es cambiado o cae debilitado.</t>
  </si>
  <si>
    <t>El pokemon tiene un 50% de probabilidad de recibir 1PS de daño al final de cada turno y un 50% de probabilidades de liberarse en cada turno (tiradas independientes).</t>
  </si>
  <si>
    <t>Un Pokémon infectado tiene un 50% de probabilidad de recibir 1PS de daño al final de cada turno.
El Pokémon que lo infectó se cura en la misma cantidad. Cuando el Pokémon es cambiado o cae debilitado, el efecto desaparece.</t>
  </si>
  <si>
    <t>Repelente</t>
  </si>
  <si>
    <t>Super Repelente</t>
  </si>
  <si>
    <t>Máx. Poción</t>
  </si>
  <si>
    <t>Revivir</t>
  </si>
  <si>
    <t>Permite evolucionar a algunas especies de Pokémon.</t>
  </si>
  <si>
    <t>El Pokémon que lleve este objeto equipado no puede ser intercambiado.</t>
  </si>
  <si>
    <t>Permite el acceso a la torre Pokémon en pueblo lavanda.</t>
  </si>
  <si>
    <t>Permite conseguir a Kabuto si lo entregas en el Laboratorio de Isla Canela.</t>
  </si>
  <si>
    <t>Permite conseguir a Omanyte si lo entregas en el Laboratorio de Isla Canela.</t>
  </si>
  <si>
    <t>Permite conseguir a Aerodactyl si lo entregas en el Laboratorio de Isla Canela.</t>
  </si>
  <si>
    <t>Permite despertar a Snorlax. Única forma de poder combatir con él para capturarlo.</t>
  </si>
  <si>
    <t>Puedes retar a un duelo a otros jugadores cuándo quieras. 2 turnos sin usarlo para recargar.</t>
  </si>
  <si>
    <t>Permite comprar bayas en la tienda.</t>
  </si>
  <si>
    <t>Te permite el acceso a los casinos.</t>
  </si>
  <si>
    <t>En una ruta de agua, omite la tirada de encuentro Pokémon y atrapa un Magikarp directamente. Se rompe tras usarla.</t>
  </si>
  <si>
    <t>En una ruta de agua, puedes repetir la tirada de encuentro Pokémon si el que aparece no te gusta. Recarga 2 turnos.</t>
  </si>
  <si>
    <t>De entre todos los objetos clave disponibles, elige el que quieras. Descarta el buscaobjetos una vez utilizado.</t>
  </si>
  <si>
    <t>Permite acceder al SS. Anne, lugar donde podemos obtener a Mew.</t>
  </si>
  <si>
    <t>Permite evolucionar directamente a los Pokémon que evolucionan por experiencia.</t>
  </si>
  <si>
    <t>Si un rival te reta a un duelo, juega esta carta para evitarlo. Sirve también para ahuyentar fantasmas.</t>
  </si>
  <si>
    <t>Intercambiable por 10 (円).</t>
  </si>
  <si>
    <t>Intercambiable por 30 (円).</t>
  </si>
  <si>
    <t>Duplica ganancias en combate.</t>
  </si>
  <si>
    <t>Si el resultado de la tirada de captura es inferior a 5, puedes repetirla (una vez por turno).</t>
  </si>
  <si>
    <t>Impide evolucionar a un Pokémon del rival.</t>
  </si>
  <si>
    <t>Si un Pokémon lleve este objeto equipado recupera +1PS cada turno</t>
  </si>
  <si>
    <t>Si Chansey lleva este objeto equipado, su Ataque Físico aumenta tres niveles.</t>
  </si>
  <si>
    <t>El Pokémon con este objeto equipado tiene un 50% de probabilidades de atacar primero cada turno.</t>
  </si>
  <si>
    <t>Si el resultado del dado de ataque es el valor más alto posible, causa 1PS de daño adicional al Pokémon rival.</t>
  </si>
  <si>
    <t>Si un Pokémon lleva este objeto equipado y recibe un golpe fulminante, resiste con 1HP</t>
  </si>
  <si>
    <t>Si un Pokémon lleva este objeto equipado solo puede utilizar un movimiento, pero aumenta el tamaño de su dado de Ataque en uno.</t>
  </si>
  <si>
    <t>Si un Pokémon lleva este objeto equipado solo puede utilizar un movimiento, pero aumenta su velocidad en 3 niveles.</t>
  </si>
  <si>
    <t>Si un Pokémon lleva este objeto equipado, aumenta el tamaño de su dado de Ataque / Ataque Especial en uno si utiliza movimientos supereficaces.</t>
  </si>
  <si>
    <t>Si Pikachu lleva este objeto equipado, aumenta el tamaño de su dado de Ataque / Ataque Especial en dos.</t>
  </si>
  <si>
    <t>Si Marowak lleva este objeto equipado, aumenta el tamaño de su dado de Ataque en dos.</t>
  </si>
  <si>
    <t>Si Farfetch'd lleva este objeto equipado, aumenta el tamaño de su dado de Ataque en dos.</t>
  </si>
  <si>
    <t>Pañuelo Elección</t>
  </si>
  <si>
    <t>Si un Pokémon lleva este objeto equipado solo puede utilizar un movimiento, pero aumenta el tamaño de su dado de Ataque Especial en uno.</t>
  </si>
  <si>
    <t>Gafas Elección</t>
  </si>
  <si>
    <t>Permite seguir el rastro hasta Mewtwo y acceder a cueva celeste.</t>
  </si>
  <si>
    <t>Una ves los jugadores han elegido y mostrado el Pokémon que utilizarán en un duelo, juega esta carta para intercambiar tu Pokémon antes de que empieze el combate.</t>
  </si>
  <si>
    <t>Permite al jugador volar / teletransportarte a ciudades que no ha visitado antes.</t>
  </si>
  <si>
    <t>Puedes dividir el resultado de tu tirada de movimiento cuándo quieras.</t>
  </si>
  <si>
    <t>Puedes transportarte a cualquier ciudad visitada previamente. No funciona si estás en una cueva.</t>
  </si>
  <si>
    <t>Puedes moverte por rutas acuáticas.</t>
  </si>
  <si>
    <t>Puedes moverte por cuevas sin penalización de movimiento.</t>
  </si>
  <si>
    <t>Es cómo una Poké Ball si se utiliza en una ruta normal. En Zona Safari puedes añadir +5 al resultado de tu tirada de captura.</t>
  </si>
  <si>
    <t>Permite cambiar la habilidad de uno de tus Pokémon</t>
  </si>
  <si>
    <t>Permite cambiar un movimiento de uno de tus Pokémon por otro de los que puede aprender.</t>
  </si>
  <si>
    <t>Vidasfera</t>
  </si>
  <si>
    <t>Si un Pokémon lleva este objeto equipado, recibe 1PS de daño cada vez que utilize un movimiento que cause daño, pero añade +2 al resultado de tu tirada de ataque (sea Físico o Especial).</t>
  </si>
  <si>
    <t>Seguro Debilidad</t>
  </si>
  <si>
    <t>Seguro Fallo</t>
  </si>
  <si>
    <t>Si un Pokémon lleva este objeto equipado y recibe un movimiento supereficaz, aumenta su Ataque, su Ataque Especial y su Velocidad en un nivel (una vez por combate).</t>
  </si>
  <si>
    <t>Si un Pokémon lleva este objeto equipado y falla su movimiento, aumenta su Ataque, su Ataque Especial y su Velocidad en un nivel (una vez por combate).</t>
  </si>
  <si>
    <t>Zapatillas</t>
  </si>
  <si>
    <t xml:space="preserve">Permite entrar en el camino de bicis. Al inicio de cada turno puedes decidir si te subes o te bajas de la bicicleta (se mantendrá hasta que digas lo contrario). Si vas subido, aumentas el rango de movimiento en +2. </t>
  </si>
  <si>
    <t>Al inicio de cada turno puedes decidir si llevas las zapatillas puestas o no (se mantendrá hasta que digas lo contrario). Si las llevas puestas, aumentas el rango de movimiento en +1.</t>
  </si>
  <si>
    <t>Al evolucionar a un Pokémon por experiencia, puedes evolucionar otro que evolucione de la misma manera sin consumir experiencia adicional. Descartar una vez utilizado.</t>
  </si>
  <si>
    <t>Si tu Pokémon cae enfermo por Pokérus, sobrevivirá. Descartar una vez utilizada.</t>
  </si>
  <si>
    <t>Si pasas por la casilla de otro jugador tira 1d6. Si el reusltado es 5 o 6, roba una carta de objeto a tu contrincante. En el siguiente turno no podrá hacer nada porque está somnoliento.</t>
  </si>
  <si>
    <t>Si el usuario recibe un golpe físico en combate, el Pokémon agresor pasa a estar somnoliento.</t>
  </si>
  <si>
    <t>El usuario de la habilidad puede utilizar cualquier ataque a pesar de estar somnoliento, con un 50% probabilidad de acertar.</t>
  </si>
  <si>
    <t>Puedes recibir un Pokémon del área en la que te encuentras en su primera fase evolutiva.</t>
  </si>
  <si>
    <t>Puedes darle uno de tus Pokémon a cambio de 2 cartas de objeto clave.</t>
  </si>
  <si>
    <t>Un Electabuzz te ataca. Tus Pokémon no podrán usar sus habilidades en el siguiente turno.</t>
  </si>
  <si>
    <t>Un Weezing salvaje libera un montón de humo. 2 de tus Pokémon caen debilitados.</t>
  </si>
  <si>
    <t>Captura cualquier Pokémon de la ruta en la que te encuentres.</t>
  </si>
  <si>
    <t>El jugador con menos objetos recibe una Poción o una Poke Ball.</t>
  </si>
  <si>
    <t>Puedes evolucionar a cualquiera de tus Pokémon sin tener en cuenta experiencia, objetos o habilidades necesarias para evolucionar.</t>
  </si>
  <si>
    <t>Cambia todo tu equipo con el del rival que jugará el próximo turno. Si el rival está utilizando un repelente, pasa al siguiente jugador.</t>
  </si>
  <si>
    <t>Avanza 5 casillas en línea recta (también al atravesar ciudades) para huír del team rocket. Mantienes sentido y dirección de movimiento.</t>
  </si>
  <si>
    <t>El team rocket te roba el último Pokémon que incorporaste a tu equipo.</t>
  </si>
  <si>
    <t>Tira 1d6. Si sacas un 6, puedes incorporar a tu equipo el Pokémon que quieras (no incluye legendarios).</t>
  </si>
  <si>
    <t>Consigues un Pikachu (Partner Pikachu), uno con movimientos muy especiales y que te permite moverte por rutas acuáticas sin necesidad de MO Surf.</t>
  </si>
  <si>
    <t>Un glitch del juego corrompe todos tus objetos. Tienes que descartarlos.</t>
  </si>
  <si>
    <t>Puedes clonar uno de los Pokémon en tu equipo.</t>
  </si>
  <si>
    <t>Clonar</t>
  </si>
  <si>
    <t>Uno de tus Pokémon contrae un virus prácticamente incurable y muy contagioso (aleatoriamente). Si al final de tres rondas no has conseguido una cura, descarta el Pokémon. Si durante esas tres rondas pasas por la casilla de otro jugador, infectas a uno de sus Pokémon. Los otros jugadores no podrán contagiar el virus.</t>
  </si>
  <si>
    <t>Un Ghost te ataca. Si tienes Poké Muñeco descártalo y lanza 1d6. Si resultado es entre 1 y 3, puedes intentar capturar a Gastly, si es entre 4 y 6, puedes intentar capturar un Cubone. Si no tienes Poké Muñeco, retrocede 3 casillas.</t>
  </si>
  <si>
    <t>Tira 1d6. El resultado del dado determina el nº de Pokémon que puedes curar.</t>
  </si>
  <si>
    <t>Vislumbras una extraña silueta en el cielo. Te espera una vida llena de sorpresas y aventuras. Tienes un turno adicional.</t>
  </si>
  <si>
    <t>Un aire gélido te envuelve. Articuno se presenta ante ti. Puedes intentar atraparlo.</t>
  </si>
  <si>
    <t>Oyes una explosión cercana. Zapdos está causando alboroto. Puedes intentar atraparlo.</t>
  </si>
  <si>
    <t>De repente hace un calor insoportable. Moltres pasa volando a tu lado. Puedes intentar atraparlo.</t>
  </si>
  <si>
    <t>Reta a un duelo a un rival. El eligirá que Pokémon has de utilizar. Si ganas, coje además del premio una carta de objeto clave.</t>
  </si>
  <si>
    <t>¡Sorpresa!</t>
  </si>
  <si>
    <t>En ruta acuática, si el resultado de la tirada de movimiento es 6, toma una carta de Objeto Clave.</t>
  </si>
  <si>
    <t>Uno de tus Pokémon (aleatoriamente) ha puesto un huevo. Puedes dedicar el turno siguiente a criarlo para que eclosione.</t>
  </si>
  <si>
    <t>Después de un día de entrenamiento intenso, consigues 3 puntos de experiencia.</t>
  </si>
  <si>
    <t>Alta intensidad</t>
  </si>
  <si>
    <t>Después de asistir a la escuela para leer libros y aprender sobre la naturaleza de los Pokémon, consigues 1 punto de experiencia.</t>
  </si>
  <si>
    <t>Puedes robar una medalla a otro jugador. Deberá volver a luchar al líder de gimnasio para conseguirla.</t>
  </si>
  <si>
    <t>Estafador</t>
  </si>
  <si>
    <t>Un grupo de matones te rodea. Pierdes 5 pokeyenes.</t>
  </si>
  <si>
    <t>Si has sido víctima de un robo de objetos por parte del Team Rocket, cobras 5 pokeyenes por objeto robado. Si te han robado algún Pokémon, como recompensa recibes 3 Ultra Balls. Puedes cobrar las dos indemnizaciones si se da el caso.</t>
  </si>
  <si>
    <t>Danza lunar</t>
  </si>
  <si>
    <t>Tras contemplar a unos Clefairy danzando bajo la luz de la luna, consigues una piedra evolutiva.</t>
  </si>
  <si>
    <t>Aldea oculta</t>
  </si>
  <si>
    <t>Encuentras la cabaña de Melanie, un santuario para Pokémon protegido por un Bulbasaur. Si consigues derrotarlo, se une a tu equipo.</t>
  </si>
  <si>
    <t>Instituto Técnico Pokémon</t>
  </si>
  <si>
    <t>El reto de A.J.</t>
  </si>
  <si>
    <t>Si ganas 5 duelos consecutivos, obtienes como premio una Master Ball.</t>
  </si>
  <si>
    <t>Encuentras un Charmander que ha sido abandonado por su entrenador. Si en los próximos 3 turnos llegas a un centro Pokémon, puedes incorporarlo a tu equipo.</t>
  </si>
  <si>
    <t>Charmander abandonado</t>
  </si>
  <si>
    <t>Escuadrón Squirtle</t>
  </si>
  <si>
    <t>El líder del Escuadrón Squirtle está herido, si tienes una Poción (u otro objeto curativo), dásela y se unirá a tu equipo.</t>
  </si>
  <si>
    <t>Revancha</t>
  </si>
  <si>
    <t>La próxima vez que luches contra un líder de gimnasio, si pierdes, puedes curar a tu equipo y volver a retarle inmediatamente sin perder el turno.</t>
  </si>
  <si>
    <r>
      <t xml:space="preserve">Págale 10 pokeyenes y obtendrás a cambio un Magickarp </t>
    </r>
    <r>
      <rPr>
        <i/>
        <sz val="11"/>
        <color theme="1"/>
        <rFont val="Calibri"/>
        <family val="2"/>
        <scheme val="minor"/>
      </rPr>
      <t>shiny</t>
    </r>
    <r>
      <rPr>
        <sz val="11"/>
        <color theme="1"/>
        <rFont val="Calibri"/>
        <family val="2"/>
        <scheme val="minor"/>
      </rPr>
      <t>.</t>
    </r>
  </si>
  <si>
    <t>Torneo de boxeo</t>
  </si>
  <si>
    <t>Si tienes un Pokémon de tipo lucha, puedes retar a otro jugador que también lo tenga. El ganador se lleva un premio de 30 pokeyenes.</t>
  </si>
  <si>
    <t>¡La gran carrera!</t>
  </si>
  <si>
    <t>Tomando cómo referencia la próxima tirada de cada jugador, el jugador que logre moverse un mayor número de casillas obtiene como premio 3 puntos de experiencia.</t>
  </si>
  <si>
    <t>Ruinamaníaco</t>
  </si>
  <si>
    <t>Puedes escoger un fósil Pokémon a tu elección.</t>
  </si>
  <si>
    <t>Nado Lapras</t>
  </si>
  <si>
    <t>Vuelo Charizard</t>
  </si>
  <si>
    <t>Carga Tauros</t>
  </si>
  <si>
    <t>Corte Scyther</t>
  </si>
  <si>
    <t>Aumenta la probabilidad de encontrar Pokémon raros.</t>
  </si>
  <si>
    <t>Piedra deseo</t>
  </si>
  <si>
    <t>Meteorito</t>
  </si>
  <si>
    <t>Meteorito que desprende un tenue brillo y es ligeramente cálido al tacto. Presenta unos peculiares grabados que parecen de otro planeta.</t>
  </si>
  <si>
    <t>Es una misteriosa piedra en forma de nota musical, dicen que sirve para atraer a un Pokémon capaz de conceder deseos.</t>
  </si>
  <si>
    <t>Traficante de Magickarp</t>
  </si>
  <si>
    <t>Buen presagio</t>
  </si>
  <si>
    <t>Sientes una voz que intenta comunicarse mentalmente contigo. Latias, curioso, aparece ante ti. Puedes intentar atraparlo.</t>
  </si>
  <si>
    <t>Un Pokémon extraño pasa volando a tu lado a una velocidad vertiginosa. ¡Es Latios!. Puedes intentar atraparlo.</t>
  </si>
  <si>
    <t>Ticket Eón</t>
  </si>
  <si>
    <t>Manual braille</t>
  </si>
  <si>
    <t>Si se lo llevas al Señor Arenque te llevará a la Isla del Sur, donde podrás encontrar a los Pokémon Latios o Latias si nadie los ha atrapado antes.</t>
  </si>
  <si>
    <t>Manual que permite descifrar el lenguaje braille.</t>
  </si>
  <si>
    <t>Esfera Azul</t>
  </si>
  <si>
    <t>Esfera Roja</t>
  </si>
  <si>
    <t>Sirve para despertar de ira a Groudon.Es de color azul brillante y está inmensa de poder.</t>
  </si>
  <si>
    <t>Sirve para despertar de ira a Kyogre.Es de color rojo brillante y está inmensa de poder.</t>
  </si>
  <si>
    <t>Tus Pokémon tienen un 80% de probabilidades de poner un huevo independientemente de si los progenitores son o no de la misma especie. Además, puedes eclosionar los huevos de tus Pokémon ahorrándote el turno dedicado a la eclosión.</t>
  </si>
  <si>
    <t>Si el usuario de esta habilidad está en tu equipo, puedes modificar la habilidad y los movimientos de cualquier Pokémon que obtengas mediante el método de crianza y solo en el momento de la eclosión.</t>
  </si>
  <si>
    <t>Una vez por turno, sin respetar el orden de ataque, puedes intercambiar el Ataque o el Ataque Especial con los del Pokémon rival. Los efectos desaparecen si el usuario es intercambiado o queda fuera de combate.</t>
  </si>
  <si>
    <t>En ruta terrestre, al caer en una casilla de Encuentro Pokémon, puedes aumentar el resultado de tu tirada de captura en +3.</t>
  </si>
  <si>
    <t>Los movimientos de prioridad no pueden utilizarse. Los ataques de tipo psíquico hacen +1 de daño mientras el usuario esté en el campo de batalla.</t>
  </si>
  <si>
    <t>Sprigatito</t>
  </si>
  <si>
    <t>Floragato</t>
  </si>
  <si>
    <t>Meowscarada</t>
  </si>
  <si>
    <t>Fuecoco</t>
  </si>
  <si>
    <t>Crocalor</t>
  </si>
  <si>
    <t>Skeledirge</t>
  </si>
  <si>
    <t>Quaxly</t>
  </si>
  <si>
    <t>Quaxwell</t>
  </si>
  <si>
    <t>Quaquaval</t>
  </si>
  <si>
    <t>Lechonk</t>
  </si>
  <si>
    <t>Tarountula</t>
  </si>
  <si>
    <t>Spidops</t>
  </si>
  <si>
    <t>Nymble</t>
  </si>
  <si>
    <t>Lokix</t>
  </si>
  <si>
    <t>Pawmi</t>
  </si>
  <si>
    <t>Pawmo</t>
  </si>
  <si>
    <t>Pawmot</t>
  </si>
  <si>
    <t>Tandemaus</t>
  </si>
  <si>
    <t>Fidough</t>
  </si>
  <si>
    <t>Dachsbun</t>
  </si>
  <si>
    <t>Smoliv</t>
  </si>
  <si>
    <t>Dolliv</t>
  </si>
  <si>
    <t>Arboliva</t>
  </si>
  <si>
    <t>Nacli</t>
  </si>
  <si>
    <t>Naclstack</t>
  </si>
  <si>
    <t>Garganacl</t>
  </si>
  <si>
    <t>Charcadet</t>
  </si>
  <si>
    <t>Armarouge</t>
  </si>
  <si>
    <t>Ceruledge</t>
  </si>
  <si>
    <t>Tadbulb</t>
  </si>
  <si>
    <t>Bellibolt</t>
  </si>
  <si>
    <t>Wattrel</t>
  </si>
  <si>
    <t>Kilowattrel</t>
  </si>
  <si>
    <t>Maschiff</t>
  </si>
  <si>
    <t>Mabosstiff</t>
  </si>
  <si>
    <t>Shroodle</t>
  </si>
  <si>
    <t>Grafaiai</t>
  </si>
  <si>
    <t>Bramblin</t>
  </si>
  <si>
    <t>Brambleghast</t>
  </si>
  <si>
    <t>Toedscool</t>
  </si>
  <si>
    <t>Toedscruel</t>
  </si>
  <si>
    <t>Klawf</t>
  </si>
  <si>
    <t>Capsakid</t>
  </si>
  <si>
    <t>Scovillain</t>
  </si>
  <si>
    <t>Rellor</t>
  </si>
  <si>
    <t>Rabsca</t>
  </si>
  <si>
    <t>Flittle</t>
  </si>
  <si>
    <t>Espathra</t>
  </si>
  <si>
    <t>Tinkatink</t>
  </si>
  <si>
    <t>Tinkatuff</t>
  </si>
  <si>
    <t>Tinkaton</t>
  </si>
  <si>
    <t>Wiglett</t>
  </si>
  <si>
    <t>Wugtrio</t>
  </si>
  <si>
    <t>Bombirdier</t>
  </si>
  <si>
    <t>Finizen</t>
  </si>
  <si>
    <t>Varoom</t>
  </si>
  <si>
    <t>Revavroom</t>
  </si>
  <si>
    <t>Cyclizar</t>
  </si>
  <si>
    <t>Orthworm</t>
  </si>
  <si>
    <t>Glimmet</t>
  </si>
  <si>
    <t>Glimmora</t>
  </si>
  <si>
    <t>Greavard</t>
  </si>
  <si>
    <t>Houndstone</t>
  </si>
  <si>
    <t>Flamigo</t>
  </si>
  <si>
    <t>Cetoddle</t>
  </si>
  <si>
    <t>Cetitan</t>
  </si>
  <si>
    <t>Veluza</t>
  </si>
  <si>
    <t>Dondozo</t>
  </si>
  <si>
    <t>Tatsugiri</t>
  </si>
  <si>
    <t>Annihilape</t>
  </si>
  <si>
    <t>Clodsire</t>
  </si>
  <si>
    <t>Farigiraf</t>
  </si>
  <si>
    <t>Kingambit</t>
  </si>
  <si>
    <t>Great Tusk</t>
  </si>
  <si>
    <t>Scream Tail</t>
  </si>
  <si>
    <t>Brute Bonnet</t>
  </si>
  <si>
    <t>Flutter Mane</t>
  </si>
  <si>
    <t>Slither Wing</t>
  </si>
  <si>
    <t>Sandy Shocks</t>
  </si>
  <si>
    <t>Iron Treads</t>
  </si>
  <si>
    <t>Iron Bundle</t>
  </si>
  <si>
    <t>Iron Hands</t>
  </si>
  <si>
    <t>Iron Jugulis</t>
  </si>
  <si>
    <t>Iron Moth</t>
  </si>
  <si>
    <t>Iron Thorns</t>
  </si>
  <si>
    <t>Frigibax</t>
  </si>
  <si>
    <t>Arctibax</t>
  </si>
  <si>
    <t>Baxcalibur</t>
  </si>
  <si>
    <t>Gholdengo</t>
  </si>
  <si>
    <t>Wo-Chien</t>
  </si>
  <si>
    <t>Chien-Pao</t>
  </si>
  <si>
    <t>Ting-Lu</t>
  </si>
  <si>
    <t>Chi-Yu</t>
  </si>
  <si>
    <t>Roaring Moon</t>
  </si>
  <si>
    <t>Iron Valiant</t>
  </si>
  <si>
    <t>Koraidon</t>
  </si>
  <si>
    <t>Miraidon</t>
  </si>
  <si>
    <t>Tauros (Combat Breed)</t>
  </si>
  <si>
    <t>Tauros (Blaze Breed)</t>
  </si>
  <si>
    <t>Tauros (Aqua Breed)</t>
  </si>
  <si>
    <t>Oinkologne (Male)</t>
  </si>
  <si>
    <t>Oinkologne (Female)</t>
  </si>
  <si>
    <t>Maushold (Family of Three)</t>
  </si>
  <si>
    <t>Maushold (Family of Four)</t>
  </si>
  <si>
    <t>Squawkabilly (Green Plumage)</t>
  </si>
  <si>
    <t>Squawkabilly (Blue Plumage)</t>
  </si>
  <si>
    <t>Squawkabilly (Yellow Plumage)</t>
  </si>
  <si>
    <t>Squawkabilly (White Plumage)</t>
  </si>
  <si>
    <t>Palafin (Zero Form)</t>
  </si>
  <si>
    <t>Palafin (Hero Form)</t>
  </si>
  <si>
    <t>Dudunsparce (Two-Segment Form)</t>
  </si>
  <si>
    <t>Dudunsparce (Three-Segment Form)</t>
  </si>
  <si>
    <t>Gimmighoul (Chest Form)</t>
  </si>
  <si>
    <t>Gimmighoul (Roaming Form)</t>
  </si>
  <si>
    <t>Paldea</t>
  </si>
  <si>
    <t>Paradox</t>
  </si>
  <si>
    <t>0001A0</t>
  </si>
  <si>
    <t>0002A0</t>
  </si>
  <si>
    <t>0003A0</t>
  </si>
  <si>
    <t>0003M0</t>
  </si>
  <si>
    <t>0004A0</t>
  </si>
  <si>
    <t>0005A0</t>
  </si>
  <si>
    <t>0006A0</t>
  </si>
  <si>
    <t>0006M0</t>
  </si>
  <si>
    <t>0006N0</t>
  </si>
  <si>
    <t>0007A0</t>
  </si>
  <si>
    <t>0008A0</t>
  </si>
  <si>
    <t>0009A0</t>
  </si>
  <si>
    <t>0009M0</t>
  </si>
  <si>
    <t>0010A0</t>
  </si>
  <si>
    <t>0011A0</t>
  </si>
  <si>
    <t>0012A0</t>
  </si>
  <si>
    <t>0013A0</t>
  </si>
  <si>
    <t>0014A0</t>
  </si>
  <si>
    <t>0015A0</t>
  </si>
  <si>
    <t>0015M0</t>
  </si>
  <si>
    <t>0016A0</t>
  </si>
  <si>
    <t>0017A0</t>
  </si>
  <si>
    <t>0018A0</t>
  </si>
  <si>
    <t>0018M0</t>
  </si>
  <si>
    <t>0019A0</t>
  </si>
  <si>
    <t>0019L0</t>
  </si>
  <si>
    <t>0020A0</t>
  </si>
  <si>
    <t>0020L0</t>
  </si>
  <si>
    <t>0021A0</t>
  </si>
  <si>
    <t>0022A0</t>
  </si>
  <si>
    <t>0023A0</t>
  </si>
  <si>
    <t>0024A0</t>
  </si>
  <si>
    <t>0025A0</t>
  </si>
  <si>
    <t>0025B0</t>
  </si>
  <si>
    <t>0026A0</t>
  </si>
  <si>
    <t>0026L0</t>
  </si>
  <si>
    <t>0027A0</t>
  </si>
  <si>
    <t>0027L0</t>
  </si>
  <si>
    <t>0028A0</t>
  </si>
  <si>
    <t>0028L0</t>
  </si>
  <si>
    <t>0029A0</t>
  </si>
  <si>
    <t>0030A0</t>
  </si>
  <si>
    <t>0031A0</t>
  </si>
  <si>
    <t>0032A0</t>
  </si>
  <si>
    <t>0033A0</t>
  </si>
  <si>
    <t>0034A0</t>
  </si>
  <si>
    <t>0035A0</t>
  </si>
  <si>
    <t>0036A0</t>
  </si>
  <si>
    <t>0037A0</t>
  </si>
  <si>
    <t>0037L0</t>
  </si>
  <si>
    <t>0038A0</t>
  </si>
  <si>
    <t>0038L0</t>
  </si>
  <si>
    <t>0039A0</t>
  </si>
  <si>
    <t>0040A0</t>
  </si>
  <si>
    <t>0041A0</t>
  </si>
  <si>
    <t>0042A0</t>
  </si>
  <si>
    <t>0043A0</t>
  </si>
  <si>
    <t>0044A0</t>
  </si>
  <si>
    <t>0045A0</t>
  </si>
  <si>
    <t>0046A0</t>
  </si>
  <si>
    <t>0047A0</t>
  </si>
  <si>
    <t>0048A0</t>
  </si>
  <si>
    <t>0049A0</t>
  </si>
  <si>
    <t>0050A0</t>
  </si>
  <si>
    <t>0050L0</t>
  </si>
  <si>
    <t>0051A0</t>
  </si>
  <si>
    <t>0051L0</t>
  </si>
  <si>
    <t>0052A0</t>
  </si>
  <si>
    <t>0052L0</t>
  </si>
  <si>
    <t>0052G0</t>
  </si>
  <si>
    <t>0053A0</t>
  </si>
  <si>
    <t>0053L0</t>
  </si>
  <si>
    <t>0054A0</t>
  </si>
  <si>
    <t>0055A0</t>
  </si>
  <si>
    <t>0056A0</t>
  </si>
  <si>
    <t>0057A0</t>
  </si>
  <si>
    <t>0058A0</t>
  </si>
  <si>
    <t>0058H0</t>
  </si>
  <si>
    <t>0059A0</t>
  </si>
  <si>
    <t>0059H0</t>
  </si>
  <si>
    <t>0060A0</t>
  </si>
  <si>
    <t>0061A0</t>
  </si>
  <si>
    <t>0062A0</t>
  </si>
  <si>
    <t>0063A0</t>
  </si>
  <si>
    <t>0064A0</t>
  </si>
  <si>
    <t>0065A0</t>
  </si>
  <si>
    <t>0065M0</t>
  </si>
  <si>
    <t>0066A0</t>
  </si>
  <si>
    <t>0067A0</t>
  </si>
  <si>
    <t>0068A0</t>
  </si>
  <si>
    <t>0069A0</t>
  </si>
  <si>
    <t>0070A0</t>
  </si>
  <si>
    <t>0071A0</t>
  </si>
  <si>
    <t>0072A0</t>
  </si>
  <si>
    <t>0073A0</t>
  </si>
  <si>
    <t>0074A0</t>
  </si>
  <si>
    <t>0074L0</t>
  </si>
  <si>
    <t>0075A0</t>
  </si>
  <si>
    <t>0075L0</t>
  </si>
  <si>
    <t>0076A0</t>
  </si>
  <si>
    <t>0076L0</t>
  </si>
  <si>
    <t>0077A0</t>
  </si>
  <si>
    <t>0077G0</t>
  </si>
  <si>
    <t>0078A0</t>
  </si>
  <si>
    <t>0078G0</t>
  </si>
  <si>
    <t>0079A0</t>
  </si>
  <si>
    <t>0079G0</t>
  </si>
  <si>
    <t>0080A0</t>
  </si>
  <si>
    <t>0080G0</t>
  </si>
  <si>
    <t>0080M0</t>
  </si>
  <si>
    <t>0081A0</t>
  </si>
  <si>
    <t>0082A0</t>
  </si>
  <si>
    <t>0083A0</t>
  </si>
  <si>
    <t>0083G0</t>
  </si>
  <si>
    <t>0084A0</t>
  </si>
  <si>
    <t>0085A0</t>
  </si>
  <si>
    <t>0086A0</t>
  </si>
  <si>
    <t>0087A0</t>
  </si>
  <si>
    <t>0088A0</t>
  </si>
  <si>
    <t>0088L0</t>
  </si>
  <si>
    <t>0089A0</t>
  </si>
  <si>
    <t>0089L0</t>
  </si>
  <si>
    <t>0090A0</t>
  </si>
  <si>
    <t>0091A0</t>
  </si>
  <si>
    <t>0092A0</t>
  </si>
  <si>
    <t>0093A0</t>
  </si>
  <si>
    <t>0094A0</t>
  </si>
  <si>
    <t>0094M0</t>
  </si>
  <si>
    <t>0095A0</t>
  </si>
  <si>
    <t>0096A0</t>
  </si>
  <si>
    <t>0097A0</t>
  </si>
  <si>
    <t>0098A0</t>
  </si>
  <si>
    <t>0099A0</t>
  </si>
  <si>
    <t>0100A0</t>
  </si>
  <si>
    <t>0100H0</t>
  </si>
  <si>
    <t>0101A0</t>
  </si>
  <si>
    <t>0101H0</t>
  </si>
  <si>
    <t>0102A0</t>
  </si>
  <si>
    <t>0103A0</t>
  </si>
  <si>
    <t>0103L0</t>
  </si>
  <si>
    <t>0104A0</t>
  </si>
  <si>
    <t>0105A0</t>
  </si>
  <si>
    <t>0105L0</t>
  </si>
  <si>
    <t>0106A0</t>
  </si>
  <si>
    <t>0107A0</t>
  </si>
  <si>
    <t>0108A0</t>
  </si>
  <si>
    <t>0109A0</t>
  </si>
  <si>
    <t>0110A0</t>
  </si>
  <si>
    <t>0110G0</t>
  </si>
  <si>
    <t>0111A0</t>
  </si>
  <si>
    <t>0112A0</t>
  </si>
  <si>
    <t>0113A0</t>
  </si>
  <si>
    <t>0114A0</t>
  </si>
  <si>
    <t>0115A0</t>
  </si>
  <si>
    <t>0115M0</t>
  </si>
  <si>
    <t>0116A0</t>
  </si>
  <si>
    <t>0117A0</t>
  </si>
  <si>
    <t>0118A0</t>
  </si>
  <si>
    <t>0119A0</t>
  </si>
  <si>
    <t>0120A0</t>
  </si>
  <si>
    <t>0121A0</t>
  </si>
  <si>
    <t>0122A0</t>
  </si>
  <si>
    <t>0122G0</t>
  </si>
  <si>
    <t>0123A0</t>
  </si>
  <si>
    <t>0124A0</t>
  </si>
  <si>
    <t>0125A0</t>
  </si>
  <si>
    <t>0126A0</t>
  </si>
  <si>
    <t>0127A0</t>
  </si>
  <si>
    <t>0127M0</t>
  </si>
  <si>
    <t>0128A0</t>
  </si>
  <si>
    <t>0128P0</t>
  </si>
  <si>
    <t>0129A0</t>
  </si>
  <si>
    <t>0130A0</t>
  </si>
  <si>
    <t>0130M0</t>
  </si>
  <si>
    <t>0131A0</t>
  </si>
  <si>
    <t>0132A0</t>
  </si>
  <si>
    <t>0133A0</t>
  </si>
  <si>
    <t>0133B0</t>
  </si>
  <si>
    <t>0134A0</t>
  </si>
  <si>
    <t>0135A0</t>
  </si>
  <si>
    <t>0136A0</t>
  </si>
  <si>
    <t>0137A0</t>
  </si>
  <si>
    <t>0138A0</t>
  </si>
  <si>
    <t>0139A0</t>
  </si>
  <si>
    <t>0140A0</t>
  </si>
  <si>
    <t>0141A0</t>
  </si>
  <si>
    <t>0142A0</t>
  </si>
  <si>
    <t>0142M0</t>
  </si>
  <si>
    <t>0143A0</t>
  </si>
  <si>
    <t>0144A0</t>
  </si>
  <si>
    <t>0144G0</t>
  </si>
  <si>
    <t>0145A0</t>
  </si>
  <si>
    <t>0145G0</t>
  </si>
  <si>
    <t>0146A0</t>
  </si>
  <si>
    <t>0146G0</t>
  </si>
  <si>
    <t>0147A0</t>
  </si>
  <si>
    <t>0148A0</t>
  </si>
  <si>
    <t>0149A0</t>
  </si>
  <si>
    <t>0150A0</t>
  </si>
  <si>
    <t>0150M0</t>
  </si>
  <si>
    <t>0150N0</t>
  </si>
  <si>
    <t>0151A0</t>
  </si>
  <si>
    <t>0152A0</t>
  </si>
  <si>
    <t>0153A0</t>
  </si>
  <si>
    <t>0154A0</t>
  </si>
  <si>
    <t>0155A0</t>
  </si>
  <si>
    <t>0156A0</t>
  </si>
  <si>
    <t>0157A0</t>
  </si>
  <si>
    <t>0157H0</t>
  </si>
  <si>
    <t>0158A0</t>
  </si>
  <si>
    <t>0159A0</t>
  </si>
  <si>
    <t>0160A0</t>
  </si>
  <si>
    <t>0161A0</t>
  </si>
  <si>
    <t>0162A0</t>
  </si>
  <si>
    <t>0163A0</t>
  </si>
  <si>
    <t>0164A0</t>
  </si>
  <si>
    <t>0165A0</t>
  </si>
  <si>
    <t>0166A0</t>
  </si>
  <si>
    <t>0167A0</t>
  </si>
  <si>
    <t>0168A0</t>
  </si>
  <si>
    <t>0169A0</t>
  </si>
  <si>
    <t>0170A0</t>
  </si>
  <si>
    <t>0171A0</t>
  </si>
  <si>
    <t>0172A0</t>
  </si>
  <si>
    <t>0173A0</t>
  </si>
  <si>
    <t>0174A0</t>
  </si>
  <si>
    <t>0175A0</t>
  </si>
  <si>
    <t>0176A0</t>
  </si>
  <si>
    <t>0177A0</t>
  </si>
  <si>
    <t>0178A0</t>
  </si>
  <si>
    <t>0179A0</t>
  </si>
  <si>
    <t>0180A0</t>
  </si>
  <si>
    <t>0181A0</t>
  </si>
  <si>
    <t>0181M0</t>
  </si>
  <si>
    <t>0182A0</t>
  </si>
  <si>
    <t>0183A0</t>
  </si>
  <si>
    <t>0184A0</t>
  </si>
  <si>
    <t>0185A0</t>
  </si>
  <si>
    <t>0186A0</t>
  </si>
  <si>
    <t>0187A0</t>
  </si>
  <si>
    <t>0188A0</t>
  </si>
  <si>
    <t>0189A0</t>
  </si>
  <si>
    <t>0190A0</t>
  </si>
  <si>
    <t>0191A0</t>
  </si>
  <si>
    <t>0192A0</t>
  </si>
  <si>
    <t>0193A0</t>
  </si>
  <si>
    <t>0194A0</t>
  </si>
  <si>
    <t>0194P0</t>
  </si>
  <si>
    <t>0195A0</t>
  </si>
  <si>
    <t>0196A0</t>
  </si>
  <si>
    <t>0197A0</t>
  </si>
  <si>
    <t>0198A0</t>
  </si>
  <si>
    <t>0199A0</t>
  </si>
  <si>
    <t>0199G0</t>
  </si>
  <si>
    <t>0200A0</t>
  </si>
  <si>
    <t>0201A0</t>
  </si>
  <si>
    <t>0202A0</t>
  </si>
  <si>
    <t>0203A0</t>
  </si>
  <si>
    <t>0204A0</t>
  </si>
  <si>
    <t>0205A0</t>
  </si>
  <si>
    <t>0206A0</t>
  </si>
  <si>
    <t>0207A0</t>
  </si>
  <si>
    <t>0208A0</t>
  </si>
  <si>
    <t>0208M0</t>
  </si>
  <si>
    <t>0209A0</t>
  </si>
  <si>
    <t>0210A0</t>
  </si>
  <si>
    <t>0211A0</t>
  </si>
  <si>
    <t>0211H0</t>
  </si>
  <si>
    <t>0212A0</t>
  </si>
  <si>
    <t>0212M0</t>
  </si>
  <si>
    <t>0213A0</t>
  </si>
  <si>
    <t>0214A0</t>
  </si>
  <si>
    <t>0214M0</t>
  </si>
  <si>
    <t>0215A0</t>
  </si>
  <si>
    <t>0215H0</t>
  </si>
  <si>
    <t>0216A0</t>
  </si>
  <si>
    <t>0217A0</t>
  </si>
  <si>
    <t>0218A0</t>
  </si>
  <si>
    <t>0219A0</t>
  </si>
  <si>
    <t>0220A0</t>
  </si>
  <si>
    <t>0221A0</t>
  </si>
  <si>
    <t>0222A0</t>
  </si>
  <si>
    <t>0222G0</t>
  </si>
  <si>
    <t>0223A0</t>
  </si>
  <si>
    <t>0224A0</t>
  </si>
  <si>
    <t>0225A0</t>
  </si>
  <si>
    <t>0226A0</t>
  </si>
  <si>
    <t>0227A0</t>
  </si>
  <si>
    <t>0228A0</t>
  </si>
  <si>
    <t>0229A0</t>
  </si>
  <si>
    <t>0229M0</t>
  </si>
  <si>
    <t>0230A0</t>
  </si>
  <si>
    <t>0231A0</t>
  </si>
  <si>
    <t>0232A0</t>
  </si>
  <si>
    <t>0233A0</t>
  </si>
  <si>
    <t>0234A0</t>
  </si>
  <si>
    <t>0235A0</t>
  </si>
  <si>
    <t>0236A0</t>
  </si>
  <si>
    <t>0237A0</t>
  </si>
  <si>
    <t>0238A0</t>
  </si>
  <si>
    <t>0239A0</t>
  </si>
  <si>
    <t>0240A0</t>
  </si>
  <si>
    <t>0241A0</t>
  </si>
  <si>
    <t>0242A0</t>
  </si>
  <si>
    <t>0243A0</t>
  </si>
  <si>
    <t>0244A0</t>
  </si>
  <si>
    <t>0245A0</t>
  </si>
  <si>
    <t>0246A0</t>
  </si>
  <si>
    <t>0247A0</t>
  </si>
  <si>
    <t>0248A0</t>
  </si>
  <si>
    <t>0248M0</t>
  </si>
  <si>
    <t>0249A0</t>
  </si>
  <si>
    <t>0250A0</t>
  </si>
  <si>
    <t>0251A0</t>
  </si>
  <si>
    <t>0252A0</t>
  </si>
  <si>
    <t>0253A0</t>
  </si>
  <si>
    <t>0254A0</t>
  </si>
  <si>
    <t>0254M0</t>
  </si>
  <si>
    <t>0255A0</t>
  </si>
  <si>
    <t>0256A0</t>
  </si>
  <si>
    <t>0257A0</t>
  </si>
  <si>
    <t>0257M0</t>
  </si>
  <si>
    <t>0258A0</t>
  </si>
  <si>
    <t>0259A0</t>
  </si>
  <si>
    <t>0260A0</t>
  </si>
  <si>
    <t>0260M0</t>
  </si>
  <si>
    <t>0261A0</t>
  </si>
  <si>
    <t>0262A0</t>
  </si>
  <si>
    <t>0263A0</t>
  </si>
  <si>
    <t>0263G0</t>
  </si>
  <si>
    <t>0264A0</t>
  </si>
  <si>
    <t>0264G0</t>
  </si>
  <si>
    <t>0265A0</t>
  </si>
  <si>
    <t>0266A0</t>
  </si>
  <si>
    <t>0267A0</t>
  </si>
  <si>
    <t>0268A0</t>
  </si>
  <si>
    <t>0269A0</t>
  </si>
  <si>
    <t>0270A0</t>
  </si>
  <si>
    <t>0271A0</t>
  </si>
  <si>
    <t>0272A0</t>
  </si>
  <si>
    <t>0273A0</t>
  </si>
  <si>
    <t>0274A0</t>
  </si>
  <si>
    <t>0275A0</t>
  </si>
  <si>
    <t>0276A0</t>
  </si>
  <si>
    <t>0277A0</t>
  </si>
  <si>
    <t>0278A0</t>
  </si>
  <si>
    <t>0279A0</t>
  </si>
  <si>
    <t>0280A0</t>
  </si>
  <si>
    <t>0281A0</t>
  </si>
  <si>
    <t>0282A0</t>
  </si>
  <si>
    <t>0282M0</t>
  </si>
  <si>
    <t>0283A0</t>
  </si>
  <si>
    <t>0284A0</t>
  </si>
  <si>
    <t>0285A0</t>
  </si>
  <si>
    <t>0286A0</t>
  </si>
  <si>
    <t>0287A0</t>
  </si>
  <si>
    <t>0288A0</t>
  </si>
  <si>
    <t>0289A0</t>
  </si>
  <si>
    <t>0290A0</t>
  </si>
  <si>
    <t>0291A0</t>
  </si>
  <si>
    <t>0292A0</t>
  </si>
  <si>
    <t>0293A0</t>
  </si>
  <si>
    <t>0294A0</t>
  </si>
  <si>
    <t>0295A0</t>
  </si>
  <si>
    <t>0296A0</t>
  </si>
  <si>
    <t>0297A0</t>
  </si>
  <si>
    <t>0298A0</t>
  </si>
  <si>
    <t>0299A0</t>
  </si>
  <si>
    <t>0300A0</t>
  </si>
  <si>
    <t>0301A0</t>
  </si>
  <si>
    <t>0302A0</t>
  </si>
  <si>
    <t>0302M0</t>
  </si>
  <si>
    <t>0303A0</t>
  </si>
  <si>
    <t>0303M0</t>
  </si>
  <si>
    <t>0304A0</t>
  </si>
  <si>
    <t>0305A0</t>
  </si>
  <si>
    <t>0306A0</t>
  </si>
  <si>
    <t>0306M0</t>
  </si>
  <si>
    <t>0307A0</t>
  </si>
  <si>
    <t>0308A0</t>
  </si>
  <si>
    <t>0308M0</t>
  </si>
  <si>
    <t>0309A0</t>
  </si>
  <si>
    <t>0310A0</t>
  </si>
  <si>
    <t>0310M0</t>
  </si>
  <si>
    <t>0311A0</t>
  </si>
  <si>
    <t>0312A0</t>
  </si>
  <si>
    <t>0313A0</t>
  </si>
  <si>
    <t>0314A0</t>
  </si>
  <si>
    <t>0315A0</t>
  </si>
  <si>
    <t>0316A0</t>
  </si>
  <si>
    <t>0317A0</t>
  </si>
  <si>
    <t>0318A0</t>
  </si>
  <si>
    <t>0319A0</t>
  </si>
  <si>
    <t>0319M0</t>
  </si>
  <si>
    <t>0320A0</t>
  </si>
  <si>
    <t>0321A0</t>
  </si>
  <si>
    <t>0322A0</t>
  </si>
  <si>
    <t>0323A0</t>
  </si>
  <si>
    <t>0323M0</t>
  </si>
  <si>
    <t>0324A0</t>
  </si>
  <si>
    <t>0325A0</t>
  </si>
  <si>
    <t>0326A0</t>
  </si>
  <si>
    <t>0327A0</t>
  </si>
  <si>
    <t>0328A0</t>
  </si>
  <si>
    <t>0329A0</t>
  </si>
  <si>
    <t>0330A0</t>
  </si>
  <si>
    <t>0331A0</t>
  </si>
  <si>
    <t>0332A0</t>
  </si>
  <si>
    <t>0333A0</t>
  </si>
  <si>
    <t>0334A0</t>
  </si>
  <si>
    <t>0334M0</t>
  </si>
  <si>
    <t>0335A0</t>
  </si>
  <si>
    <t>0336A0</t>
  </si>
  <si>
    <t>0337A0</t>
  </si>
  <si>
    <t>0338A0</t>
  </si>
  <si>
    <t>0339A0</t>
  </si>
  <si>
    <t>0340A0</t>
  </si>
  <si>
    <t>0341A0</t>
  </si>
  <si>
    <t>0342A0</t>
  </si>
  <si>
    <t>0343A0</t>
  </si>
  <si>
    <t>0344A0</t>
  </si>
  <si>
    <t>0345A0</t>
  </si>
  <si>
    <t>0346A0</t>
  </si>
  <si>
    <t>0347A0</t>
  </si>
  <si>
    <t>0348A0</t>
  </si>
  <si>
    <t>0349A0</t>
  </si>
  <si>
    <t>0350A0</t>
  </si>
  <si>
    <t>0351A0</t>
  </si>
  <si>
    <t>0352A0</t>
  </si>
  <si>
    <t>0353A0</t>
  </si>
  <si>
    <t>0354A0</t>
  </si>
  <si>
    <t>0354M0</t>
  </si>
  <si>
    <t>0355A0</t>
  </si>
  <si>
    <t>0356A0</t>
  </si>
  <si>
    <t>0357A0</t>
  </si>
  <si>
    <t>0358A0</t>
  </si>
  <si>
    <t>0359A0</t>
  </si>
  <si>
    <t>0359M0</t>
  </si>
  <si>
    <t>0360A0</t>
  </si>
  <si>
    <t>0361A0</t>
  </si>
  <si>
    <t>0362A0</t>
  </si>
  <si>
    <t>0362M0</t>
  </si>
  <si>
    <t>0363A0</t>
  </si>
  <si>
    <t>0364A0</t>
  </si>
  <si>
    <t>0365A0</t>
  </si>
  <si>
    <t>0366A0</t>
  </si>
  <si>
    <t>0367A0</t>
  </si>
  <si>
    <t>0368A0</t>
  </si>
  <si>
    <t>0369A0</t>
  </si>
  <si>
    <t>0370A0</t>
  </si>
  <si>
    <t>0371A0</t>
  </si>
  <si>
    <t>0372A0</t>
  </si>
  <si>
    <t>0373A0</t>
  </si>
  <si>
    <t>0373M0</t>
  </si>
  <si>
    <t>0374A0</t>
  </si>
  <si>
    <t>0375A0</t>
  </si>
  <si>
    <t>0376A0</t>
  </si>
  <si>
    <t>0376M0</t>
  </si>
  <si>
    <t>0377A0</t>
  </si>
  <si>
    <t>0378A0</t>
  </si>
  <si>
    <t>0379A0</t>
  </si>
  <si>
    <t>0380A0</t>
  </si>
  <si>
    <t>0380M0</t>
  </si>
  <si>
    <t>0381A0</t>
  </si>
  <si>
    <t>0381M0</t>
  </si>
  <si>
    <t>0382A0</t>
  </si>
  <si>
    <t>0382M0</t>
  </si>
  <si>
    <t>0383A0</t>
  </si>
  <si>
    <t>0383M0</t>
  </si>
  <si>
    <t>0384A0</t>
  </si>
  <si>
    <t>0384M0</t>
  </si>
  <si>
    <t>0385A0</t>
  </si>
  <si>
    <t>0386A0</t>
  </si>
  <si>
    <t>0386B0</t>
  </si>
  <si>
    <t>0386C0</t>
  </si>
  <si>
    <t>0386D0</t>
  </si>
  <si>
    <t>0387A0</t>
  </si>
  <si>
    <t>0388A0</t>
  </si>
  <si>
    <t>0389A0</t>
  </si>
  <si>
    <t>0390A0</t>
  </si>
  <si>
    <t>0391A0</t>
  </si>
  <si>
    <t>0392A0</t>
  </si>
  <si>
    <t>0393A0</t>
  </si>
  <si>
    <t>0394A0</t>
  </si>
  <si>
    <t>0395A0</t>
  </si>
  <si>
    <t>0396A0</t>
  </si>
  <si>
    <t>0397A0</t>
  </si>
  <si>
    <t>0398A0</t>
  </si>
  <si>
    <t>0399A0</t>
  </si>
  <si>
    <t>0400A0</t>
  </si>
  <si>
    <t>0401A0</t>
  </si>
  <si>
    <t>0402A0</t>
  </si>
  <si>
    <t>0403A0</t>
  </si>
  <si>
    <t>0404A0</t>
  </si>
  <si>
    <t>0405A0</t>
  </si>
  <si>
    <t>0406A0</t>
  </si>
  <si>
    <t>0407A0</t>
  </si>
  <si>
    <t>0408A0</t>
  </si>
  <si>
    <t>0409A0</t>
  </si>
  <si>
    <t>0410A0</t>
  </si>
  <si>
    <t>0411A0</t>
  </si>
  <si>
    <t>0412A0</t>
  </si>
  <si>
    <t>0413B0</t>
  </si>
  <si>
    <t>0413A0</t>
  </si>
  <si>
    <t>0413C0</t>
  </si>
  <si>
    <t>0414A0</t>
  </si>
  <si>
    <t>0415A0</t>
  </si>
  <si>
    <t>0416A0</t>
  </si>
  <si>
    <t>0417A0</t>
  </si>
  <si>
    <t>0418A0</t>
  </si>
  <si>
    <t>0419A0</t>
  </si>
  <si>
    <t>0420A0</t>
  </si>
  <si>
    <t>0421A0</t>
  </si>
  <si>
    <t>0422A0</t>
  </si>
  <si>
    <t>0423A0</t>
  </si>
  <si>
    <t>0424A0</t>
  </si>
  <si>
    <t>0425A0</t>
  </si>
  <si>
    <t>0426A0</t>
  </si>
  <si>
    <t>0427A0</t>
  </si>
  <si>
    <t>0428A0</t>
  </si>
  <si>
    <t>0428M0</t>
  </si>
  <si>
    <t>0429A0</t>
  </si>
  <si>
    <t>0430A0</t>
  </si>
  <si>
    <t>0431A0</t>
  </si>
  <si>
    <t>0432A0</t>
  </si>
  <si>
    <t>0433A0</t>
  </si>
  <si>
    <t>0434A0</t>
  </si>
  <si>
    <t>0435A0</t>
  </si>
  <si>
    <t>0436A0</t>
  </si>
  <si>
    <t>0437A0</t>
  </si>
  <si>
    <t>0438A0</t>
  </si>
  <si>
    <t>0439A0</t>
  </si>
  <si>
    <t>0440A0</t>
  </si>
  <si>
    <t>0441A0</t>
  </si>
  <si>
    <t>0442A0</t>
  </si>
  <si>
    <t>0443A0</t>
  </si>
  <si>
    <t>0444A0</t>
  </si>
  <si>
    <t>0445A0</t>
  </si>
  <si>
    <t>0445M0</t>
  </si>
  <si>
    <t>0446A0</t>
  </si>
  <si>
    <t>0447A0</t>
  </si>
  <si>
    <t>0448A0</t>
  </si>
  <si>
    <t>0448M0</t>
  </si>
  <si>
    <t>0449A0</t>
  </si>
  <si>
    <t>0450A0</t>
  </si>
  <si>
    <t>0451A0</t>
  </si>
  <si>
    <t>0452A0</t>
  </si>
  <si>
    <t>0453A0</t>
  </si>
  <si>
    <t>0454A0</t>
  </si>
  <si>
    <t>0455A0</t>
  </si>
  <si>
    <t>0456A0</t>
  </si>
  <si>
    <t>0457A0</t>
  </si>
  <si>
    <t>0458A0</t>
  </si>
  <si>
    <t>0459A0</t>
  </si>
  <si>
    <t>0460A0</t>
  </si>
  <si>
    <t>0460M0</t>
  </si>
  <si>
    <t>0461A0</t>
  </si>
  <si>
    <t>0462A0</t>
  </si>
  <si>
    <t>0463A0</t>
  </si>
  <si>
    <t>0464A0</t>
  </si>
  <si>
    <t>0465A0</t>
  </si>
  <si>
    <t>0466A0</t>
  </si>
  <si>
    <t>0467A0</t>
  </si>
  <si>
    <t>0468A0</t>
  </si>
  <si>
    <t>0469A0</t>
  </si>
  <si>
    <t>0470A0</t>
  </si>
  <si>
    <t>0471A0</t>
  </si>
  <si>
    <t>0472A0</t>
  </si>
  <si>
    <t>0473A0</t>
  </si>
  <si>
    <t>0474A0</t>
  </si>
  <si>
    <t>0475A0</t>
  </si>
  <si>
    <t>0475M0</t>
  </si>
  <si>
    <t>0476A0</t>
  </si>
  <si>
    <t>0477A0</t>
  </si>
  <si>
    <t>0478A0</t>
  </si>
  <si>
    <t>0479A0</t>
  </si>
  <si>
    <t>0479F0</t>
  </si>
  <si>
    <t>0479D0</t>
  </si>
  <si>
    <t>0479C0</t>
  </si>
  <si>
    <t>0479E0</t>
  </si>
  <si>
    <t>0479B0</t>
  </si>
  <si>
    <t>0480A0</t>
  </si>
  <si>
    <t>0481A0</t>
  </si>
  <si>
    <t>0482A0</t>
  </si>
  <si>
    <t>0483A0</t>
  </si>
  <si>
    <t>0483B0</t>
  </si>
  <si>
    <t>0484A0</t>
  </si>
  <si>
    <t>0484B0</t>
  </si>
  <si>
    <t>0485A0</t>
  </si>
  <si>
    <t>0486A0</t>
  </si>
  <si>
    <t>0487A0</t>
  </si>
  <si>
    <t>0487B0</t>
  </si>
  <si>
    <t>0488A0</t>
  </si>
  <si>
    <t>0489A0</t>
  </si>
  <si>
    <t>0490A0</t>
  </si>
  <si>
    <t>0491A0</t>
  </si>
  <si>
    <t>0492A0</t>
  </si>
  <si>
    <t>0492B0</t>
  </si>
  <si>
    <t>0493A0</t>
  </si>
  <si>
    <t>0494A0</t>
  </si>
  <si>
    <t>0495A0</t>
  </si>
  <si>
    <t>0496A0</t>
  </si>
  <si>
    <t>0497A0</t>
  </si>
  <si>
    <t>0498A0</t>
  </si>
  <si>
    <t>0499A0</t>
  </si>
  <si>
    <t>0500A0</t>
  </si>
  <si>
    <t>0501A0</t>
  </si>
  <si>
    <t>0502A0</t>
  </si>
  <si>
    <t>0503A0</t>
  </si>
  <si>
    <t>0503H0</t>
  </si>
  <si>
    <t>0504A0</t>
  </si>
  <si>
    <t>0505A0</t>
  </si>
  <si>
    <t>0506A0</t>
  </si>
  <si>
    <t>0507A0</t>
  </si>
  <si>
    <t>0508A0</t>
  </si>
  <si>
    <t>0509A0</t>
  </si>
  <si>
    <t>0510A0</t>
  </si>
  <si>
    <t>0511A0</t>
  </si>
  <si>
    <t>0512A0</t>
  </si>
  <si>
    <t>0513A0</t>
  </si>
  <si>
    <t>0514A0</t>
  </si>
  <si>
    <t>0515A0</t>
  </si>
  <si>
    <t>0516A0</t>
  </si>
  <si>
    <t>0517A0</t>
  </si>
  <si>
    <t>0518A0</t>
  </si>
  <si>
    <t>0519A0</t>
  </si>
  <si>
    <t>0520A0</t>
  </si>
  <si>
    <t>0521A0</t>
  </si>
  <si>
    <t>0522A0</t>
  </si>
  <si>
    <t>0523A0</t>
  </si>
  <si>
    <t>0524A0</t>
  </si>
  <si>
    <t>0525A0</t>
  </si>
  <si>
    <t>0526A0</t>
  </si>
  <si>
    <t>0527A0</t>
  </si>
  <si>
    <t>0528A0</t>
  </si>
  <si>
    <t>0529A0</t>
  </si>
  <si>
    <t>0530A0</t>
  </si>
  <si>
    <t>0531A0</t>
  </si>
  <si>
    <t>0531M0</t>
  </si>
  <si>
    <t>0532A0</t>
  </si>
  <si>
    <t>0533A0</t>
  </si>
  <si>
    <t>0534A0</t>
  </si>
  <si>
    <t>0535A0</t>
  </si>
  <si>
    <t>0536A0</t>
  </si>
  <si>
    <t>0537A0</t>
  </si>
  <si>
    <t>0538A0</t>
  </si>
  <si>
    <t>0539A0</t>
  </si>
  <si>
    <t>0540A0</t>
  </si>
  <si>
    <t>0541A0</t>
  </si>
  <si>
    <t>0542A0</t>
  </si>
  <si>
    <t>0543A0</t>
  </si>
  <si>
    <t>0544A0</t>
  </si>
  <si>
    <t>0545A0</t>
  </si>
  <si>
    <t>0546A0</t>
  </si>
  <si>
    <t>0547A0</t>
  </si>
  <si>
    <t>0548A0</t>
  </si>
  <si>
    <t>0549A0</t>
  </si>
  <si>
    <t>0549H0</t>
  </si>
  <si>
    <t>0550A0</t>
  </si>
  <si>
    <t>0551A0</t>
  </si>
  <si>
    <t>0552A0</t>
  </si>
  <si>
    <t>0553A0</t>
  </si>
  <si>
    <t>0554A0</t>
  </si>
  <si>
    <t>0554G0</t>
  </si>
  <si>
    <t>0555G0</t>
  </si>
  <si>
    <t>0555I0</t>
  </si>
  <si>
    <t>0555A0</t>
  </si>
  <si>
    <t>0555B0</t>
  </si>
  <si>
    <t>0556A0</t>
  </si>
  <si>
    <t>0557A0</t>
  </si>
  <si>
    <t>0558A0</t>
  </si>
  <si>
    <t>0559A0</t>
  </si>
  <si>
    <t>0560A0</t>
  </si>
  <si>
    <t>0561A0</t>
  </si>
  <si>
    <t>0562A0</t>
  </si>
  <si>
    <t>0562G0</t>
  </si>
  <si>
    <t>0563A0</t>
  </si>
  <si>
    <t>0564A0</t>
  </si>
  <si>
    <t>0565A0</t>
  </si>
  <si>
    <t>0566A0</t>
  </si>
  <si>
    <t>0567A0</t>
  </si>
  <si>
    <t>0568A0</t>
  </si>
  <si>
    <t>0569A0</t>
  </si>
  <si>
    <t>0570A0</t>
  </si>
  <si>
    <t>0570H0</t>
  </si>
  <si>
    <t>0571A0</t>
  </si>
  <si>
    <t>0571H0</t>
  </si>
  <si>
    <t>0572A0</t>
  </si>
  <si>
    <t>0573A0</t>
  </si>
  <si>
    <t>0574A0</t>
  </si>
  <si>
    <t>0575A0</t>
  </si>
  <si>
    <t>0576A0</t>
  </si>
  <si>
    <t>0577A0</t>
  </si>
  <si>
    <t>0578A0</t>
  </si>
  <si>
    <t>0579A0</t>
  </si>
  <si>
    <t>0580A0</t>
  </si>
  <si>
    <t>0581A0</t>
  </si>
  <si>
    <t>0582A0</t>
  </si>
  <si>
    <t>0583A0</t>
  </si>
  <si>
    <t>0584A0</t>
  </si>
  <si>
    <t>0585A0</t>
  </si>
  <si>
    <t>0586A0</t>
  </si>
  <si>
    <t>0587A0</t>
  </si>
  <si>
    <t>0588A0</t>
  </si>
  <si>
    <t>0589A0</t>
  </si>
  <si>
    <t>0590A0</t>
  </si>
  <si>
    <t>0591A0</t>
  </si>
  <si>
    <t>0592A0</t>
  </si>
  <si>
    <t>0593A0</t>
  </si>
  <si>
    <t>0594A0</t>
  </si>
  <si>
    <t>0595A0</t>
  </si>
  <si>
    <t>0596A0</t>
  </si>
  <si>
    <t>0597A0</t>
  </si>
  <si>
    <t>0598A0</t>
  </si>
  <si>
    <t>0599A0</t>
  </si>
  <si>
    <t>0600A0</t>
  </si>
  <si>
    <t>0601A0</t>
  </si>
  <si>
    <t>0602A0</t>
  </si>
  <si>
    <t>0603A0</t>
  </si>
  <si>
    <t>0604A0</t>
  </si>
  <si>
    <t>0605A0</t>
  </si>
  <si>
    <t>0606A0</t>
  </si>
  <si>
    <t>0607A0</t>
  </si>
  <si>
    <t>0608A0</t>
  </si>
  <si>
    <t>0609A0</t>
  </si>
  <si>
    <t>0610A0</t>
  </si>
  <si>
    <t>0611A0</t>
  </si>
  <si>
    <t>0612A0</t>
  </si>
  <si>
    <t>0613A0</t>
  </si>
  <si>
    <t>0614A0</t>
  </si>
  <si>
    <t>0615A0</t>
  </si>
  <si>
    <t>0616A0</t>
  </si>
  <si>
    <t>0617A0</t>
  </si>
  <si>
    <t>0618A0</t>
  </si>
  <si>
    <t>0618G0</t>
  </si>
  <si>
    <t>0619A0</t>
  </si>
  <si>
    <t>0620A0</t>
  </si>
  <si>
    <t>0621A0</t>
  </si>
  <si>
    <t>0622A0</t>
  </si>
  <si>
    <t>0623A0</t>
  </si>
  <si>
    <t>0624A0</t>
  </si>
  <si>
    <t>0625A0</t>
  </si>
  <si>
    <t>0626A0</t>
  </si>
  <si>
    <t>0627A0</t>
  </si>
  <si>
    <t>0628A0</t>
  </si>
  <si>
    <t>0628H0</t>
  </si>
  <si>
    <t>0629A0</t>
  </si>
  <si>
    <t>0630A0</t>
  </si>
  <si>
    <t>0631A0</t>
  </si>
  <si>
    <t>0632A0</t>
  </si>
  <si>
    <t>0633A0</t>
  </si>
  <si>
    <t>0634A0</t>
  </si>
  <si>
    <t>0635A0</t>
  </si>
  <si>
    <t>0636A0</t>
  </si>
  <si>
    <t>0637A0</t>
  </si>
  <si>
    <t>0638A0</t>
  </si>
  <si>
    <t>0639A0</t>
  </si>
  <si>
    <t>0640A0</t>
  </si>
  <si>
    <t>0641A0</t>
  </si>
  <si>
    <t>0641B0</t>
  </si>
  <si>
    <t>0642A0</t>
  </si>
  <si>
    <t>0642B0</t>
  </si>
  <si>
    <t>0643A0</t>
  </si>
  <si>
    <t>0644A0</t>
  </si>
  <si>
    <t>0645A0</t>
  </si>
  <si>
    <t>0645B0</t>
  </si>
  <si>
    <t>0646A0</t>
  </si>
  <si>
    <t>0646C0</t>
  </si>
  <si>
    <t>0646B0</t>
  </si>
  <si>
    <t>0647A0</t>
  </si>
  <si>
    <t>0647B0</t>
  </si>
  <si>
    <t>0648A0</t>
  </si>
  <si>
    <t>0648B0</t>
  </si>
  <si>
    <t>0649A0</t>
  </si>
  <si>
    <t>0650A0</t>
  </si>
  <si>
    <t>0651A0</t>
  </si>
  <si>
    <t>0652A0</t>
  </si>
  <si>
    <t>0653A0</t>
  </si>
  <si>
    <t>0654A0</t>
  </si>
  <si>
    <t>0655A0</t>
  </si>
  <si>
    <t>0656A0</t>
  </si>
  <si>
    <t>0657A0</t>
  </si>
  <si>
    <t>0658A0</t>
  </si>
  <si>
    <t>0658M0</t>
  </si>
  <si>
    <t>0659A0</t>
  </si>
  <si>
    <t>0660A0</t>
  </si>
  <si>
    <t>0661A0</t>
  </si>
  <si>
    <t>0662A0</t>
  </si>
  <si>
    <t>0663A0</t>
  </si>
  <si>
    <t>0664A0</t>
  </si>
  <si>
    <t>0665A0</t>
  </si>
  <si>
    <t>0666A0</t>
  </si>
  <si>
    <t>0667A0</t>
  </si>
  <si>
    <t>0668A0</t>
  </si>
  <si>
    <t>0669A0</t>
  </si>
  <si>
    <t>0670A0</t>
  </si>
  <si>
    <t>0671A0</t>
  </si>
  <si>
    <t>0672A0</t>
  </si>
  <si>
    <t>0673A0</t>
  </si>
  <si>
    <t>0674A0</t>
  </si>
  <si>
    <t>0675A0</t>
  </si>
  <si>
    <t>0676A0</t>
  </si>
  <si>
    <t>0677A0</t>
  </si>
  <si>
    <t>0678A0</t>
  </si>
  <si>
    <t>0679A0</t>
  </si>
  <si>
    <t>0680A0</t>
  </si>
  <si>
    <t>0681A0</t>
  </si>
  <si>
    <t>0681B0</t>
  </si>
  <si>
    <t>0682A0</t>
  </si>
  <si>
    <t>0683A0</t>
  </si>
  <si>
    <t>0684A0</t>
  </si>
  <si>
    <t>0685A0</t>
  </si>
  <si>
    <t>0686A0</t>
  </si>
  <si>
    <t>0687A0</t>
  </si>
  <si>
    <t>0688A0</t>
  </si>
  <si>
    <t>0689A0</t>
  </si>
  <si>
    <t>0690A0</t>
  </si>
  <si>
    <t>0691A0</t>
  </si>
  <si>
    <t>0692A0</t>
  </si>
  <si>
    <t>0693A0</t>
  </si>
  <si>
    <t>0694A0</t>
  </si>
  <si>
    <t>0695A0</t>
  </si>
  <si>
    <t>0696A0</t>
  </si>
  <si>
    <t>0697A0</t>
  </si>
  <si>
    <t>0698A0</t>
  </si>
  <si>
    <t>0699A0</t>
  </si>
  <si>
    <t>0700A0</t>
  </si>
  <si>
    <t>0701A0</t>
  </si>
  <si>
    <t>0702A0</t>
  </si>
  <si>
    <t>0703A0</t>
  </si>
  <si>
    <t>0704A0</t>
  </si>
  <si>
    <t>0705A0</t>
  </si>
  <si>
    <t>0705H0</t>
  </si>
  <si>
    <t>0706A0</t>
  </si>
  <si>
    <t>0706H0</t>
  </si>
  <si>
    <t>0707A0</t>
  </si>
  <si>
    <t>0708A0</t>
  </si>
  <si>
    <t>0709A0</t>
  </si>
  <si>
    <t>0710A0</t>
  </si>
  <si>
    <t>0710B0</t>
  </si>
  <si>
    <t>0710C0</t>
  </si>
  <si>
    <t>0710D0</t>
  </si>
  <si>
    <t>0711A0</t>
  </si>
  <si>
    <t>0711B0</t>
  </si>
  <si>
    <t>0711C0</t>
  </si>
  <si>
    <t>0711D0</t>
  </si>
  <si>
    <t>0712A0</t>
  </si>
  <si>
    <t>0713A0</t>
  </si>
  <si>
    <t>0713H0</t>
  </si>
  <si>
    <t>0714A0</t>
  </si>
  <si>
    <t>0715A0</t>
  </si>
  <si>
    <t>0716A0</t>
  </si>
  <si>
    <t>0717A0</t>
  </si>
  <si>
    <t>0718A0</t>
  </si>
  <si>
    <t>0718B0</t>
  </si>
  <si>
    <t>0718C0</t>
  </si>
  <si>
    <t>0719A0</t>
  </si>
  <si>
    <t>0719M0</t>
  </si>
  <si>
    <t>0720A0</t>
  </si>
  <si>
    <t>0720B0</t>
  </si>
  <si>
    <t>0721A0</t>
  </si>
  <si>
    <t>0722A0</t>
  </si>
  <si>
    <t>0723A0</t>
  </si>
  <si>
    <t>0724A0</t>
  </si>
  <si>
    <t>0724H0</t>
  </si>
  <si>
    <t>0725A0</t>
  </si>
  <si>
    <t>0726A0</t>
  </si>
  <si>
    <t>0727A0</t>
  </si>
  <si>
    <t>0728A0</t>
  </si>
  <si>
    <t>0729A0</t>
  </si>
  <si>
    <t>0730A0</t>
  </si>
  <si>
    <t>0731A0</t>
  </si>
  <si>
    <t>0732A0</t>
  </si>
  <si>
    <t>0733A0</t>
  </si>
  <si>
    <t>0734A0</t>
  </si>
  <si>
    <t>0735A0</t>
  </si>
  <si>
    <t>0736A0</t>
  </si>
  <si>
    <t>0737A0</t>
  </si>
  <si>
    <t>0738A0</t>
  </si>
  <si>
    <t>0739A0</t>
  </si>
  <si>
    <t>0740A0</t>
  </si>
  <si>
    <t>0741A0</t>
  </si>
  <si>
    <t>0741C0</t>
  </si>
  <si>
    <t>0741B0</t>
  </si>
  <si>
    <t>0741D0</t>
  </si>
  <si>
    <t>0742A0</t>
  </si>
  <si>
    <t>0743A0</t>
  </si>
  <si>
    <t>0744A0</t>
  </si>
  <si>
    <t>0745C0</t>
  </si>
  <si>
    <t>0745A0</t>
  </si>
  <si>
    <t>0745B0</t>
  </si>
  <si>
    <t>0746A0</t>
  </si>
  <si>
    <t>0746B0</t>
  </si>
  <si>
    <t>0747A0</t>
  </si>
  <si>
    <t>0748A0</t>
  </si>
  <si>
    <t>0749A0</t>
  </si>
  <si>
    <t>0750A0</t>
  </si>
  <si>
    <t>0751A0</t>
  </si>
  <si>
    <t>0752A0</t>
  </si>
  <si>
    <t>0753A0</t>
  </si>
  <si>
    <t>0754A0</t>
  </si>
  <si>
    <t>0755A0</t>
  </si>
  <si>
    <t>0756A0</t>
  </si>
  <si>
    <t>0757A0</t>
  </si>
  <si>
    <t>0758A0</t>
  </si>
  <si>
    <t>0759A0</t>
  </si>
  <si>
    <t>0760A0</t>
  </si>
  <si>
    <t>0761A0</t>
  </si>
  <si>
    <t>0762A0</t>
  </si>
  <si>
    <t>0763A0</t>
  </si>
  <si>
    <t>0764A0</t>
  </si>
  <si>
    <t>0765A0</t>
  </si>
  <si>
    <t>0766A0</t>
  </si>
  <si>
    <t>0767A0</t>
  </si>
  <si>
    <t>0768A0</t>
  </si>
  <si>
    <t>0769A0</t>
  </si>
  <si>
    <t>0770A0</t>
  </si>
  <si>
    <t>0771A0</t>
  </si>
  <si>
    <t>0772A0</t>
  </si>
  <si>
    <t>0773A0</t>
  </si>
  <si>
    <t>0774B0</t>
  </si>
  <si>
    <t>0774A0</t>
  </si>
  <si>
    <t>0775A0</t>
  </si>
  <si>
    <t>0776A0</t>
  </si>
  <si>
    <t>0777A0</t>
  </si>
  <si>
    <t>0778A0</t>
  </si>
  <si>
    <t>0779A0</t>
  </si>
  <si>
    <t>0780A0</t>
  </si>
  <si>
    <t>0781A0</t>
  </si>
  <si>
    <t>0782A0</t>
  </si>
  <si>
    <t>0783A0</t>
  </si>
  <si>
    <t>0784A0</t>
  </si>
  <si>
    <t>0785A0</t>
  </si>
  <si>
    <t>0786A0</t>
  </si>
  <si>
    <t>0787A0</t>
  </si>
  <si>
    <t>0788A0</t>
  </si>
  <si>
    <t>0789A0</t>
  </si>
  <si>
    <t>0790A0</t>
  </si>
  <si>
    <t>0791A0</t>
  </si>
  <si>
    <t>0792A0</t>
  </si>
  <si>
    <t>0793A0</t>
  </si>
  <si>
    <t>0794A0</t>
  </si>
  <si>
    <t>0795A0</t>
  </si>
  <si>
    <t>0796A0</t>
  </si>
  <si>
    <t>0797A0</t>
  </si>
  <si>
    <t>0798A0</t>
  </si>
  <si>
    <t>0799A0</t>
  </si>
  <si>
    <t>0800A0</t>
  </si>
  <si>
    <t>0800C0</t>
  </si>
  <si>
    <t>0800B0</t>
  </si>
  <si>
    <t>0800D0</t>
  </si>
  <si>
    <t>0801A0</t>
  </si>
  <si>
    <t>0802A0</t>
  </si>
  <si>
    <t>0803A0</t>
  </si>
  <si>
    <t>0804A0</t>
  </si>
  <si>
    <t>0805A0</t>
  </si>
  <si>
    <t>0806A0</t>
  </si>
  <si>
    <t>0807A0</t>
  </si>
  <si>
    <t>0808A0</t>
  </si>
  <si>
    <t>0809A0</t>
  </si>
  <si>
    <t>0810A0</t>
  </si>
  <si>
    <t>0811A0</t>
  </si>
  <si>
    <t>0812A0</t>
  </si>
  <si>
    <t>0813A0</t>
  </si>
  <si>
    <t>0814A0</t>
  </si>
  <si>
    <t>0815A0</t>
  </si>
  <si>
    <t>0816A0</t>
  </si>
  <si>
    <t>0817A0</t>
  </si>
  <si>
    <t>0818A0</t>
  </si>
  <si>
    <t>0819A0</t>
  </si>
  <si>
    <t>0820A0</t>
  </si>
  <si>
    <t>0821A0</t>
  </si>
  <si>
    <t>0822A0</t>
  </si>
  <si>
    <t>0823A0</t>
  </si>
  <si>
    <t>0824A0</t>
  </si>
  <si>
    <t>0825A0</t>
  </si>
  <si>
    <t>0826A0</t>
  </si>
  <si>
    <t>0827A0</t>
  </si>
  <si>
    <t>0828A0</t>
  </si>
  <si>
    <t>0829A0</t>
  </si>
  <si>
    <t>0830A0</t>
  </si>
  <si>
    <t>0831A0</t>
  </si>
  <si>
    <t>0832A0</t>
  </si>
  <si>
    <t>0833A0</t>
  </si>
  <si>
    <t>0834A0</t>
  </si>
  <si>
    <t>0835A0</t>
  </si>
  <si>
    <t>0836A0</t>
  </si>
  <si>
    <t>0837A0</t>
  </si>
  <si>
    <t>0838A0</t>
  </si>
  <si>
    <t>0839A0</t>
  </si>
  <si>
    <t>0840A0</t>
  </si>
  <si>
    <t>0841A0</t>
  </si>
  <si>
    <t>0842A0</t>
  </si>
  <si>
    <t>0843A0</t>
  </si>
  <si>
    <t>0844A0</t>
  </si>
  <si>
    <t>0845A0</t>
  </si>
  <si>
    <t>0846A0</t>
  </si>
  <si>
    <t>0847A0</t>
  </si>
  <si>
    <t>0848A0</t>
  </si>
  <si>
    <t>0849A0</t>
  </si>
  <si>
    <t>0849B0</t>
  </si>
  <si>
    <t>0850A0</t>
  </si>
  <si>
    <t>0851A0</t>
  </si>
  <si>
    <t>0852A0</t>
  </si>
  <si>
    <t>0853A0</t>
  </si>
  <si>
    <t>0854A0</t>
  </si>
  <si>
    <t>0855A0</t>
  </si>
  <si>
    <t>0856A0</t>
  </si>
  <si>
    <t>0857A0</t>
  </si>
  <si>
    <t>0858A0</t>
  </si>
  <si>
    <t>0859A0</t>
  </si>
  <si>
    <t>0860A0</t>
  </si>
  <si>
    <t>0861A0</t>
  </si>
  <si>
    <t>0862A0</t>
  </si>
  <si>
    <t>0863A0</t>
  </si>
  <si>
    <t>0864A0</t>
  </si>
  <si>
    <t>0865A0</t>
  </si>
  <si>
    <t>0866A0</t>
  </si>
  <si>
    <t>0867A0</t>
  </si>
  <si>
    <t>0868A0</t>
  </si>
  <si>
    <t>0869A0</t>
  </si>
  <si>
    <t>0870A0</t>
  </si>
  <si>
    <t>0871A0</t>
  </si>
  <si>
    <t>0872A0</t>
  </si>
  <si>
    <t>0873A0</t>
  </si>
  <si>
    <t>0874A0</t>
  </si>
  <si>
    <t>0875A0</t>
  </si>
  <si>
    <t>0875B0</t>
  </si>
  <si>
    <t>0876A0</t>
  </si>
  <si>
    <t>0876B0</t>
  </si>
  <si>
    <t>0877A0</t>
  </si>
  <si>
    <t>0878A0</t>
  </si>
  <si>
    <t>0879A0</t>
  </si>
  <si>
    <t>0880A0</t>
  </si>
  <si>
    <t>0881A0</t>
  </si>
  <si>
    <t>0882A0</t>
  </si>
  <si>
    <t>0883A0</t>
  </si>
  <si>
    <t>0884A0</t>
  </si>
  <si>
    <t>0885A0</t>
  </si>
  <si>
    <t>0886A0</t>
  </si>
  <si>
    <t>0887A0</t>
  </si>
  <si>
    <t>0888A0</t>
  </si>
  <si>
    <t>0888B0</t>
  </si>
  <si>
    <t>0889A0</t>
  </si>
  <si>
    <t>0889B0</t>
  </si>
  <si>
    <t>0890A0</t>
  </si>
  <si>
    <t>0890B0</t>
  </si>
  <si>
    <t>0891A0</t>
  </si>
  <si>
    <t>0892B0</t>
  </si>
  <si>
    <t>0892A0</t>
  </si>
  <si>
    <t>0893A0</t>
  </si>
  <si>
    <t>0894A0</t>
  </si>
  <si>
    <t>0895A0</t>
  </si>
  <si>
    <t>0896A0</t>
  </si>
  <si>
    <t>0897A0</t>
  </si>
  <si>
    <t>0898A0</t>
  </si>
  <si>
    <t>0898B0</t>
  </si>
  <si>
    <t>0898C0</t>
  </si>
  <si>
    <t>0899A0</t>
  </si>
  <si>
    <t>0900A0</t>
  </si>
  <si>
    <t>0901A0</t>
  </si>
  <si>
    <t>0902B0</t>
  </si>
  <si>
    <t>0902A0</t>
  </si>
  <si>
    <t>0903A0</t>
  </si>
  <si>
    <t>0904A0</t>
  </si>
  <si>
    <t>0905A0</t>
  </si>
  <si>
    <t>0905B0</t>
  </si>
  <si>
    <t>0906A0</t>
  </si>
  <si>
    <t>0907A0</t>
  </si>
  <si>
    <t>0908A0</t>
  </si>
  <si>
    <t>0909A0</t>
  </si>
  <si>
    <t>0910A0</t>
  </si>
  <si>
    <t>0911A0</t>
  </si>
  <si>
    <t>0912A0</t>
  </si>
  <si>
    <t>0913A0</t>
  </si>
  <si>
    <t>0914A0</t>
  </si>
  <si>
    <t>0915A0</t>
  </si>
  <si>
    <t>0916B0</t>
  </si>
  <si>
    <t>0916A0</t>
  </si>
  <si>
    <t>0917A0</t>
  </si>
  <si>
    <t>0918A0</t>
  </si>
  <si>
    <t>0919A0</t>
  </si>
  <si>
    <t>0920A0</t>
  </si>
  <si>
    <t>0921A0</t>
  </si>
  <si>
    <t>0922A0</t>
  </si>
  <si>
    <t>0923A0</t>
  </si>
  <si>
    <t>0924A0</t>
  </si>
  <si>
    <t>0925B0</t>
  </si>
  <si>
    <t>0925A0</t>
  </si>
  <si>
    <t>0926A0</t>
  </si>
  <si>
    <t>0927A0</t>
  </si>
  <si>
    <t>0928A0</t>
  </si>
  <si>
    <t>0929A0</t>
  </si>
  <si>
    <t>0930A0</t>
  </si>
  <si>
    <t>0931A0</t>
  </si>
  <si>
    <t>0931B0</t>
  </si>
  <si>
    <t>0931C0</t>
  </si>
  <si>
    <t>0931D0</t>
  </si>
  <si>
    <t>0932A0</t>
  </si>
  <si>
    <t>0933A0</t>
  </si>
  <si>
    <t>0934A0</t>
  </si>
  <si>
    <t>0935A0</t>
  </si>
  <si>
    <t>0936A0</t>
  </si>
  <si>
    <t>0937A0</t>
  </si>
  <si>
    <t>0938A0</t>
  </si>
  <si>
    <t>0939A0</t>
  </si>
  <si>
    <t>0940A0</t>
  </si>
  <si>
    <t>0941A0</t>
  </si>
  <si>
    <t>0942A0</t>
  </si>
  <si>
    <t>0943A0</t>
  </si>
  <si>
    <t>0944A0</t>
  </si>
  <si>
    <t>0945A0</t>
  </si>
  <si>
    <t>0946A0</t>
  </si>
  <si>
    <t>0947A0</t>
  </si>
  <si>
    <t>0948A0</t>
  </si>
  <si>
    <t>0949A0</t>
  </si>
  <si>
    <t>0950A0</t>
  </si>
  <si>
    <t>0951A0</t>
  </si>
  <si>
    <t>0952A0</t>
  </si>
  <si>
    <t>0953A0</t>
  </si>
  <si>
    <t>0954A0</t>
  </si>
  <si>
    <t>0955A0</t>
  </si>
  <si>
    <t>0956A0</t>
  </si>
  <si>
    <t>0957A0</t>
  </si>
  <si>
    <t>0958A0</t>
  </si>
  <si>
    <t>0959A0</t>
  </si>
  <si>
    <t>0960A0</t>
  </si>
  <si>
    <t>0961A0</t>
  </si>
  <si>
    <t>0962A0</t>
  </si>
  <si>
    <t>0963A0</t>
  </si>
  <si>
    <t>0964A0</t>
  </si>
  <si>
    <t>0964B0</t>
  </si>
  <si>
    <t>0965A0</t>
  </si>
  <si>
    <t>0966A0</t>
  </si>
  <si>
    <t>0967A0</t>
  </si>
  <si>
    <t>0968A0</t>
  </si>
  <si>
    <t>0969A0</t>
  </si>
  <si>
    <t>0970A0</t>
  </si>
  <si>
    <t>0971A0</t>
  </si>
  <si>
    <t>0972A0</t>
  </si>
  <si>
    <t>0973A0</t>
  </si>
  <si>
    <t>0974A0</t>
  </si>
  <si>
    <t>0975A0</t>
  </si>
  <si>
    <t>0976A0</t>
  </si>
  <si>
    <t>0977A0</t>
  </si>
  <si>
    <t>0978A0</t>
  </si>
  <si>
    <t>0979A0</t>
  </si>
  <si>
    <t>0980A0</t>
  </si>
  <si>
    <t>0981A0</t>
  </si>
  <si>
    <t>0982B0</t>
  </si>
  <si>
    <t>0982A0</t>
  </si>
  <si>
    <t>0983A0</t>
  </si>
  <si>
    <t>0984A0</t>
  </si>
  <si>
    <t>0985A0</t>
  </si>
  <si>
    <t>0986A0</t>
  </si>
  <si>
    <t>0987A0</t>
  </si>
  <si>
    <t>0988A0</t>
  </si>
  <si>
    <t>0989A0</t>
  </si>
  <si>
    <t>0990A0</t>
  </si>
  <si>
    <t>0991A0</t>
  </si>
  <si>
    <t>0992A0</t>
  </si>
  <si>
    <t>0993A0</t>
  </si>
  <si>
    <t>0994A0</t>
  </si>
  <si>
    <t>0995A0</t>
  </si>
  <si>
    <t>0996A0</t>
  </si>
  <si>
    <t>0997A0</t>
  </si>
  <si>
    <t>0998A0</t>
  </si>
  <si>
    <t>0999B0</t>
  </si>
  <si>
    <t>0999A0</t>
  </si>
  <si>
    <t>1000A0</t>
  </si>
  <si>
    <t>1001A0</t>
  </si>
  <si>
    <t>1002A0</t>
  </si>
  <si>
    <t>1003A0</t>
  </si>
  <si>
    <t>1004A0</t>
  </si>
  <si>
    <t>1005A0</t>
  </si>
  <si>
    <t>1006A0</t>
  </si>
  <si>
    <t>1007A0</t>
  </si>
  <si>
    <t>1008A0</t>
  </si>
  <si>
    <t>0128P1</t>
  </si>
  <si>
    <t>0128P2</t>
  </si>
  <si>
    <t>Wooper (Paldean Wooper)</t>
  </si>
  <si>
    <t>Red</t>
  </si>
  <si>
    <t>Blue</t>
  </si>
  <si>
    <t>Leaf</t>
  </si>
  <si>
    <t>Ethan</t>
  </si>
  <si>
    <t>Kris</t>
  </si>
  <si>
    <t>Silver</t>
  </si>
  <si>
    <t>Brendan</t>
  </si>
  <si>
    <t>Middle</t>
  </si>
  <si>
    <t>Final</t>
  </si>
  <si>
    <t>May</t>
  </si>
  <si>
    <t>Wally</t>
  </si>
  <si>
    <t>Barry</t>
  </si>
  <si>
    <t>Lucas</t>
  </si>
  <si>
    <t>Dawn</t>
  </si>
  <si>
    <t>Hilbert</t>
  </si>
  <si>
    <t>Hilda</t>
  </si>
  <si>
    <t>Rosa</t>
  </si>
  <si>
    <t>Nate</t>
  </si>
  <si>
    <t>Hugh</t>
  </si>
  <si>
    <t>Xana</t>
  </si>
  <si>
    <t>Clemont</t>
  </si>
  <si>
    <t>Hau</t>
  </si>
  <si>
    <t>Gladion</t>
  </si>
  <si>
    <t>Lillie</t>
  </si>
  <si>
    <t>Hop</t>
  </si>
  <si>
    <t>Florian</t>
  </si>
  <si>
    <t>Juliana</t>
  </si>
  <si>
    <t>Nemona</t>
  </si>
  <si>
    <t>Aegislash (Blade Form)</t>
  </si>
  <si>
    <t>Aegislash (Shield Form)</t>
  </si>
  <si>
    <t xml:space="preserve">  </t>
  </si>
  <si>
    <t>LP Cost</t>
  </si>
  <si>
    <t>Marowak (Alolan Form)</t>
  </si>
  <si>
    <t>Persian (Alolan Form)</t>
  </si>
  <si>
    <t>Slowbro (Galarian Form)</t>
  </si>
  <si>
    <t>Slowking (Galarian Form)</t>
  </si>
  <si>
    <t>Dugtrio (Alolan Form)</t>
  </si>
  <si>
    <t>Rapidash (Galarian Form)</t>
  </si>
  <si>
    <t>Rattata (Alolan Form)</t>
  </si>
  <si>
    <t>Raticate (Alolan Form)</t>
  </si>
  <si>
    <t>Sandshrew (Alolan Form)</t>
  </si>
  <si>
    <t>Sandslash (Alolan Form)</t>
  </si>
  <si>
    <t>Vulpix (Alolan Form)</t>
  </si>
  <si>
    <t>Ninetales (Alolan Form)</t>
  </si>
  <si>
    <t>Diglett (Alolan Form)</t>
  </si>
  <si>
    <t>Meowth (Alolan Form)</t>
  </si>
  <si>
    <t>Geodude (Alolan Form)</t>
  </si>
  <si>
    <t>Graveler (Alolan Form)</t>
  </si>
  <si>
    <t>Golem (Alolan Form)</t>
  </si>
  <si>
    <t>Grimer (Alolan Form)</t>
  </si>
  <si>
    <t>Muk (Alolan Form)</t>
  </si>
  <si>
    <t>Exeggutor (Alolan Form)</t>
  </si>
  <si>
    <t>Raichu (Alolan Form)</t>
  </si>
  <si>
    <t>Articuno (Galarian Form)</t>
  </si>
  <si>
    <t>Corsola (Galarian Form)</t>
  </si>
  <si>
    <t>Darmanitan (Galarian Standard Form)</t>
  </si>
  <si>
    <t>Darmanitan (Galarian Zen Form)</t>
  </si>
  <si>
    <t>Darumaka (Galarian Form)</t>
  </si>
  <si>
    <t>Farfetch'd (Galarian Form)</t>
  </si>
  <si>
    <t>Linoone (Galarian Form)</t>
  </si>
  <si>
    <t>Meowth (Galarian Form)</t>
  </si>
  <si>
    <t>Moltres (Galarian Form)</t>
  </si>
  <si>
    <t>Mr. Mime (Galarian Form)</t>
  </si>
  <si>
    <t>Ponyta (Galarian Form)</t>
  </si>
  <si>
    <t>Slowpoke (Galarian Form)</t>
  </si>
  <si>
    <t>Stunfisk (Galarian Form)</t>
  </si>
  <si>
    <t>Weezing (Galarian Form)</t>
  </si>
  <si>
    <t>Yamask (Galarian Form)</t>
  </si>
  <si>
    <t>Zapdos (Galarian Form)</t>
  </si>
  <si>
    <t>Zigzagoon (Galarian Form)</t>
  </si>
  <si>
    <t>Meowstic (Male)</t>
  </si>
  <si>
    <t>Meowstic (Female)</t>
  </si>
  <si>
    <t>0678B0</t>
  </si>
  <si>
    <t>League Points</t>
  </si>
  <si>
    <t>League Points (LP) es la moneda de cambio utilizada en un juego de mesa. Esta moneda se utiliza para comprar objetos, evolucionar a tus Pokémon o realizar acciones específicas en el juego. Los jugadores pueden ganar LP a través de diversas actividades, como completar misiones o vencer a otros jugadores. Los objetos y acciones disponibles en el juego a menudo tienen un precio en LP, y los jugadores deben usar esta moneda para adquirirlos.</t>
  </si>
  <si>
    <t>Description</t>
  </si>
  <si>
    <t>Active?</t>
  </si>
  <si>
    <t>Juega esta carta para restaurar dos puntos de salud a tu Pokémon.</t>
  </si>
  <si>
    <t>Juega esta carta para eliminar cualquier efecto de estado de tu Pokémon.</t>
  </si>
  <si>
    <t>Cura Total</t>
  </si>
  <si>
    <t>Juega esta carta para proteger a tu Pokémon de cualquier cambio negativo en sus características durante todo el combate.</t>
  </si>
  <si>
    <t>Juega esta carta para añadir +1 al resultado de tu tirada de ataque durante todo el combate.</t>
  </si>
  <si>
    <t>Juega esta carta para añadir +1 al resultado de tu tirada de defensa durante todo el combate.</t>
  </si>
  <si>
    <t>LP</t>
  </si>
  <si>
    <t>Jomi</t>
  </si>
  <si>
    <t>LP cost</t>
  </si>
  <si>
    <t>N</t>
  </si>
  <si>
    <t>Juega esta carta. Si causas daño al oponente con el siguiente ataque, tira 1d4 ignorando la defensa del oponente para causar daño adicional. Si no causas daño, descarta el objeto.</t>
  </si>
  <si>
    <t>Juega esta carta para repetir la tirada de ataque la próxima vez que tu movimiento sea totalmente bloqueado por el Pokémon rival.</t>
  </si>
  <si>
    <t>Protección X</t>
  </si>
  <si>
    <t>Crítico X</t>
  </si>
  <si>
    <t>Amount</t>
  </si>
  <si>
    <t>Suma de LP Cost</t>
  </si>
  <si>
    <t>Valores</t>
  </si>
  <si>
    <t>Suma de Overall</t>
  </si>
  <si>
    <t>(Varios elementos)</t>
  </si>
  <si>
    <t>Meowth (Team Rocket)</t>
  </si>
  <si>
    <t>Un Pokémon somnoliento puede no atacar en su turno en un 30% de los casos.
Su dado de Defensa se reduce en un nivel.</t>
  </si>
  <si>
    <t>Un Pokémon quemado pierde 1PS al final de cada turno.
El dado de Ataque reduce en uno su tamaño.
Los Pokémon de tipo Fuego son inmunes a las quemaduras.</t>
  </si>
  <si>
    <t>Un Pokémon helado pierde 1PS  al final de cada turno.
El dado de Ataque reduce en uno su tamaño.
Los Pokémon de tipo Hielo son inmunes al helamiento.</t>
  </si>
  <si>
    <t>Juega esta carta para añadir +1 a la velocidad de tu Pokémon durante todo el combate.</t>
  </si>
  <si>
    <t>Pokéball</t>
  </si>
  <si>
    <t>Juega esta carta para atrapar un Pokémon de la pila de Pokémon salvajes cuándo estés en una zona de hierba alta, cueva o mar. Probabilidad de captura 50%.</t>
  </si>
  <si>
    <t>Juega esta carta para atrapar un Pokémon de la pila de Pokémon salvajes cuándo estés en una zona de hierba alta, cueva o mar. Probabilidad de captura 60%.</t>
  </si>
  <si>
    <t>Ultraball</t>
  </si>
  <si>
    <t>Juega esta carta para atrapar un Pokémon de la pila de Pokémon salvajes cuándo estés en una zona de hierba alta, cueva o mar. Probabilidad de captura 70%.</t>
  </si>
  <si>
    <t>Juega esta carta para librarte de un combate contra otro entrenador.</t>
  </si>
  <si>
    <t>Juega esta carta para librarte de un combate contra otro entrenador o de un intercambio.</t>
  </si>
  <si>
    <t>Juega esta carta para librarte de un cualquier interferencia que pueda acontecer.</t>
  </si>
  <si>
    <t>Superpoción</t>
  </si>
  <si>
    <t>Juega esta carta para restaurar cuatro puntos de salud a tu Pokémon.</t>
  </si>
  <si>
    <t>Juega esta carta para restaurar seis puntos de salud a tu Pokémon.</t>
  </si>
  <si>
    <t>Juega esta carta para restaurar seis puntos de salud a tu Pokémon y curar sus problemas de estado.</t>
  </si>
  <si>
    <t>Adult</t>
  </si>
  <si>
    <t>Kid</t>
  </si>
  <si>
    <t>Teen</t>
  </si>
  <si>
    <t>Baby</t>
  </si>
  <si>
    <t>Desgaste</t>
  </si>
  <si>
    <t>tiempo</t>
  </si>
  <si>
    <t>stats</t>
  </si>
  <si>
    <t>objeto</t>
  </si>
  <si>
    <t>acción</t>
  </si>
  <si>
    <t>caos</t>
  </si>
  <si>
    <t>edadMinima</t>
  </si>
  <si>
    <t>minHambre</t>
  </si>
  <si>
    <t>minFelicidad</t>
  </si>
  <si>
    <t>minEnergia</t>
  </si>
  <si>
    <t>minHigiene</t>
  </si>
  <si>
    <t>minStyle</t>
  </si>
  <si>
    <t>minIQ</t>
  </si>
  <si>
    <t>minKindness</t>
  </si>
  <si>
    <t>minStrength</t>
  </si>
  <si>
    <t>itemNecesario</t>
  </si>
  <si>
    <t>percentSosten</t>
  </si>
  <si>
    <t>horasSosten</t>
  </si>
  <si>
    <t>statSosten</t>
  </si>
  <si>
    <t>piedra_trueno</t>
  </si>
  <si>
    <t>piedra_agua</t>
  </si>
  <si>
    <t>piedra_fuego</t>
  </si>
  <si>
    <t>hambre</t>
  </si>
  <si>
    <t>felicidad</t>
  </si>
  <si>
    <t>energía</t>
  </si>
  <si>
    <t>higiene</t>
  </si>
  <si>
    <t>minSosten</t>
  </si>
  <si>
    <t>piedra_hoja</t>
  </si>
  <si>
    <t>piedra_hielo</t>
  </si>
  <si>
    <t>hunger</t>
  </si>
  <si>
    <t>Acción</t>
  </si>
  <si>
    <t>Repetición</t>
  </si>
  <si>
    <t>jugar</t>
  </si>
  <si>
    <t>limpiar</t>
  </si>
  <si>
    <t>piedra_lunar</t>
  </si>
  <si>
    <t>piedra_dia</t>
  </si>
  <si>
    <t>Electrizador</t>
  </si>
  <si>
    <t>Magmatizador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</si>
</sst>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sz val="8"/>
      <color rgb="FF000000"/>
      <name val="Proxima Nova Alt Lt"/>
      <family val="3"/>
    </font>
    <font>
      <b/>
      <sz val="8"/>
      <color rgb="FFFFFFFF"/>
      <name val="Proxima Nova Alt Lt"/>
      <family val="3"/>
    </font>
    <font>
      <sz val="11"/>
      <color theme="1"/>
      <name val="Lato Light"/>
      <family val="2"/>
    </font>
    <font>
      <sz val="10"/>
      <color theme="1"/>
      <name val="Lato Light"/>
      <family val="2"/>
    </font>
    <font>
      <sz val="8"/>
      <color theme="1"/>
      <name val="Lato Light"/>
      <family val="2"/>
    </font>
    <font>
      <b/>
      <sz val="8"/>
      <color theme="1"/>
      <name val="Lato Light"/>
      <family val="2"/>
    </font>
    <font>
      <b/>
      <sz val="11"/>
      <color theme="2" tint="-0.249977111117893"/>
      <name val="Lato Light"/>
      <family val="2"/>
    </font>
    <font>
      <sz val="11"/>
      <color theme="7" tint="-0.499984740745262"/>
      <name val="Lato Light"/>
      <family val="2"/>
    </font>
    <font>
      <sz val="11"/>
      <color theme="5" tint="-0.499984740745262"/>
      <name val="Lato Light"/>
      <family val="2"/>
    </font>
    <font>
      <sz val="10"/>
      <color theme="5" tint="-0.499984740745262"/>
      <name val="Lato Light"/>
      <family val="2"/>
    </font>
    <font>
      <sz val="10"/>
      <color theme="4" tint="-0.499984740745262"/>
      <name val="Lato Light"/>
      <family val="2"/>
    </font>
    <font>
      <sz val="10"/>
      <color theme="7" tint="-0.499984740745262"/>
      <name val="Lato Light"/>
      <family val="2"/>
    </font>
    <font>
      <sz val="11"/>
      <color theme="7" tint="-0.249977111117893"/>
      <name val="Wingdings 2"/>
      <family val="1"/>
      <charset val="2"/>
    </font>
    <font>
      <b/>
      <sz val="10"/>
      <color theme="1"/>
      <name val="Lato Light"/>
      <family val="2"/>
    </font>
    <font>
      <sz val="11"/>
      <color theme="2"/>
      <name val="Lato Light"/>
      <family val="2"/>
    </font>
    <font>
      <sz val="11"/>
      <color theme="5" tint="-0.249977111117893"/>
      <name val="Lato Light"/>
      <family val="2"/>
    </font>
    <font>
      <sz val="11"/>
      <color rgb="FF000000"/>
      <name val="Calibri"/>
      <family val="2"/>
      <scheme val="minor"/>
    </font>
    <font>
      <sz val="8"/>
      <name val="Calibri"/>
      <family val="2"/>
      <scheme val="minor"/>
    </font>
    <font>
      <sz val="7"/>
      <color theme="1"/>
      <name val="Calibri"/>
      <family val="2"/>
      <scheme val="minor"/>
    </font>
    <font>
      <b/>
      <sz val="11"/>
      <color theme="6"/>
      <name val="Calibri"/>
      <family val="2"/>
      <scheme val="minor"/>
    </font>
    <font>
      <sz val="11"/>
      <color theme="6"/>
      <name val="Calibri"/>
      <family val="2"/>
      <scheme val="minor"/>
    </font>
    <font>
      <i/>
      <sz val="11"/>
      <color theme="1"/>
      <name val="Calibri"/>
      <family val="2"/>
      <scheme val="minor"/>
    </font>
    <font>
      <sz val="10"/>
      <color theme="1"/>
      <name val="Arial Unicode MS"/>
      <family val="2"/>
    </font>
  </fonts>
  <fills count="5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CCCCFF"/>
        <bgColor indexed="64"/>
      </patternFill>
    </fill>
    <fill>
      <patternFill patternType="solid">
        <fgColor rgb="FF5DC1EE"/>
        <bgColor indexed="64"/>
      </patternFill>
    </fill>
    <fill>
      <patternFill patternType="solid">
        <fgColor rgb="FFD2E9F8"/>
        <bgColor indexed="64"/>
      </patternFill>
    </fill>
    <fill>
      <patternFill patternType="solid">
        <fgColor rgb="FFEAF4FC"/>
        <bgColor indexed="64"/>
      </patternFill>
    </fill>
    <fill>
      <patternFill patternType="solid">
        <fgColor theme="5" tint="0.79998168889431442"/>
        <bgColor indexed="64"/>
      </patternFill>
    </fill>
    <fill>
      <patternFill patternType="solid">
        <fgColor theme="9"/>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rgb="FFEDF5F5"/>
        <bgColor rgb="FF000000"/>
      </patternFill>
    </fill>
  </fills>
  <borders count="7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
      <left style="thin">
        <color theme="6" tint="-0.249977111117893"/>
      </left>
      <right/>
      <top/>
      <bottom style="thin">
        <color theme="6" tint="-0.249977111117893"/>
      </bottom>
      <diagonal/>
    </border>
    <border>
      <left/>
      <right/>
      <top/>
      <bottom style="thin">
        <color theme="6" tint="-0.249977111117893"/>
      </bottom>
      <diagonal/>
    </border>
    <border>
      <left/>
      <right style="thin">
        <color theme="6" tint="-0.249977111117893"/>
      </right>
      <top/>
      <bottom style="thin">
        <color theme="6" tint="-0.249977111117893"/>
      </bottom>
      <diagonal/>
    </border>
    <border>
      <left style="thin">
        <color theme="6" tint="-0.249977111117893"/>
      </left>
      <right/>
      <top style="thin">
        <color theme="6" tint="-0.249977111117893"/>
      </top>
      <bottom style="thin">
        <color theme="6" tint="-0.249977111117893"/>
      </bottom>
      <diagonal/>
    </border>
    <border>
      <left/>
      <right/>
      <top style="thin">
        <color theme="6" tint="-0.249977111117893"/>
      </top>
      <bottom style="thin">
        <color theme="6" tint="-0.249977111117893"/>
      </bottom>
      <diagonal/>
    </border>
    <border>
      <left/>
      <right style="thin">
        <color theme="6" tint="-0.249977111117893"/>
      </right>
      <top style="thin">
        <color theme="6" tint="-0.249977111117893"/>
      </top>
      <bottom style="thin">
        <color theme="6" tint="-0.249977111117893"/>
      </bottom>
      <diagonal/>
    </border>
    <border>
      <left style="thin">
        <color theme="4" tint="-0.249977111117893"/>
      </left>
      <right/>
      <top/>
      <bottom/>
      <diagonal/>
    </border>
    <border>
      <left/>
      <right style="thin">
        <color theme="4" tint="-0.249977111117893"/>
      </right>
      <top/>
      <bottom/>
      <diagonal/>
    </border>
    <border>
      <left style="thin">
        <color theme="4" tint="-0.249977111117893"/>
      </left>
      <right/>
      <top/>
      <bottom style="thin">
        <color theme="4" tint="-0.249977111117893"/>
      </bottom>
      <diagonal/>
    </border>
    <border>
      <left/>
      <right/>
      <top/>
      <bottom style="thin">
        <color theme="4" tint="-0.249977111117893"/>
      </bottom>
      <diagonal/>
    </border>
    <border>
      <left/>
      <right style="thin">
        <color theme="4" tint="-0.249977111117893"/>
      </right>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7" tint="-0.249977111117893"/>
      </left>
      <right/>
      <top style="thin">
        <color theme="7" tint="-0.249977111117893"/>
      </top>
      <bottom/>
      <diagonal/>
    </border>
    <border>
      <left/>
      <right style="thin">
        <color theme="7" tint="-0.249977111117893"/>
      </right>
      <top style="thin">
        <color theme="7" tint="-0.249977111117893"/>
      </top>
      <bottom/>
      <diagonal/>
    </border>
    <border>
      <left style="thin">
        <color theme="7" tint="-0.249977111117893"/>
      </left>
      <right/>
      <top/>
      <bottom style="thin">
        <color theme="7" tint="-0.249977111117893"/>
      </bottom>
      <diagonal/>
    </border>
    <border>
      <left/>
      <right style="thin">
        <color theme="7" tint="-0.249977111117893"/>
      </right>
      <top/>
      <bottom style="thin">
        <color theme="7" tint="-0.249977111117893"/>
      </bottom>
      <diagonal/>
    </border>
    <border>
      <left style="thin">
        <color theme="5" tint="-0.249977111117893"/>
      </left>
      <right/>
      <top style="thin">
        <color theme="5" tint="-0.249977111117893"/>
      </top>
      <bottom/>
      <diagonal/>
    </border>
    <border>
      <left/>
      <right/>
      <top style="thin">
        <color theme="5" tint="-0.249977111117893"/>
      </top>
      <bottom/>
      <diagonal/>
    </border>
    <border>
      <left/>
      <right style="thin">
        <color theme="5" tint="-0.249977111117893"/>
      </right>
      <top style="thin">
        <color theme="5" tint="-0.249977111117893"/>
      </top>
      <bottom/>
      <diagonal/>
    </border>
    <border>
      <left style="thin">
        <color theme="5" tint="-0.249977111117893"/>
      </left>
      <right/>
      <top/>
      <bottom style="thin">
        <color theme="5" tint="-0.249977111117893"/>
      </bottom>
      <diagonal/>
    </border>
    <border>
      <left/>
      <right/>
      <top/>
      <bottom style="thin">
        <color theme="5" tint="-0.249977111117893"/>
      </bottom>
      <diagonal/>
    </border>
    <border>
      <left/>
      <right style="thin">
        <color theme="5" tint="-0.249977111117893"/>
      </right>
      <top/>
      <bottom style="thin">
        <color theme="5" tint="-0.249977111117893"/>
      </bottom>
      <diagonal/>
    </border>
    <border>
      <left style="thin">
        <color theme="9" tint="-0.249977111117893"/>
      </left>
      <right/>
      <top style="thin">
        <color theme="9" tint="-0.249977111117893"/>
      </top>
      <bottom/>
      <diagonal/>
    </border>
    <border>
      <left/>
      <right/>
      <top style="thin">
        <color theme="9" tint="-0.249977111117893"/>
      </top>
      <bottom/>
      <diagonal/>
    </border>
    <border>
      <left/>
      <right style="thin">
        <color theme="9" tint="-0.249977111117893"/>
      </right>
      <top style="thin">
        <color theme="9" tint="-0.249977111117893"/>
      </top>
      <bottom/>
      <diagonal/>
    </border>
    <border>
      <left style="thin">
        <color theme="9" tint="-0.249977111117893"/>
      </left>
      <right/>
      <top/>
      <bottom style="thin">
        <color theme="9" tint="-0.249977111117893"/>
      </bottom>
      <diagonal/>
    </border>
    <border>
      <left/>
      <right/>
      <top/>
      <bottom style="thin">
        <color theme="9" tint="-0.249977111117893"/>
      </bottom>
      <diagonal/>
    </border>
    <border>
      <left/>
      <right style="thin">
        <color theme="9" tint="-0.249977111117893"/>
      </right>
      <top/>
      <bottom style="thin">
        <color theme="9" tint="-0.249977111117893"/>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30">
    <xf numFmtId="0" fontId="0" fillId="0" borderId="0" xfId="0"/>
    <xf numFmtId="0" fontId="16" fillId="33" borderId="0" xfId="0" applyFont="1" applyFill="1"/>
    <xf numFmtId="0" fontId="16" fillId="34" borderId="0" xfId="0" applyFont="1" applyFill="1"/>
    <xf numFmtId="1" fontId="0" fillId="0" borderId="0" xfId="0" applyNumberFormat="1" applyAlignment="1">
      <alignment horizontal="right"/>
    </xf>
    <xf numFmtId="0" fontId="0" fillId="0" borderId="0" xfId="0" applyAlignment="1">
      <alignment horizontal="right"/>
    </xf>
    <xf numFmtId="0" fontId="0" fillId="0" borderId="0" xfId="0" applyAlignment="1">
      <alignment vertical="top"/>
    </xf>
    <xf numFmtId="0" fontId="0" fillId="0" borderId="0" xfId="0" applyAlignment="1">
      <alignment vertical="top" wrapText="1"/>
    </xf>
    <xf numFmtId="0" fontId="19" fillId="33" borderId="0" xfId="0" applyFont="1" applyFill="1" applyAlignment="1">
      <alignment vertical="top" wrapText="1"/>
    </xf>
    <xf numFmtId="0" fontId="18" fillId="0" borderId="0" xfId="0" applyFont="1" applyAlignment="1">
      <alignment vertical="top"/>
    </xf>
    <xf numFmtId="1" fontId="0" fillId="0" borderId="0" xfId="0" applyNumberFormat="1"/>
    <xf numFmtId="0" fontId="0" fillId="0" borderId="0" xfId="0" applyAlignment="1">
      <alignment wrapText="1"/>
    </xf>
    <xf numFmtId="0" fontId="16" fillId="33" borderId="0" xfId="0" applyFont="1" applyFill="1" applyAlignment="1">
      <alignment horizontal="center"/>
    </xf>
    <xf numFmtId="0" fontId="16" fillId="35" borderId="0" xfId="0" applyFont="1" applyFill="1"/>
    <xf numFmtId="0" fontId="0" fillId="0" borderId="0" xfId="0" applyAlignment="1">
      <alignment horizontal="center" vertical="center"/>
    </xf>
    <xf numFmtId="0" fontId="16" fillId="36" borderId="0" xfId="0" applyFont="1" applyFill="1"/>
    <xf numFmtId="0" fontId="16" fillId="35" borderId="0" xfId="0" applyFont="1" applyFill="1" applyAlignment="1">
      <alignment horizontal="center"/>
    </xf>
    <xf numFmtId="0" fontId="0" fillId="42" borderId="0" xfId="0" applyFill="1"/>
    <xf numFmtId="0" fontId="0" fillId="41" borderId="0" xfId="0" applyFill="1" applyAlignment="1">
      <alignment vertical="top"/>
    </xf>
    <xf numFmtId="0" fontId="0" fillId="41" borderId="0" xfId="0" applyFill="1" applyAlignment="1">
      <alignment vertical="top" wrapText="1"/>
    </xf>
    <xf numFmtId="0" fontId="0" fillId="42" borderId="0" xfId="0" applyFill="1" applyAlignment="1">
      <alignment vertical="top"/>
    </xf>
    <xf numFmtId="0" fontId="0" fillId="42" borderId="0" xfId="0" applyFill="1" applyAlignment="1">
      <alignment vertical="top" wrapText="1"/>
    </xf>
    <xf numFmtId="0" fontId="18" fillId="42" borderId="0" xfId="0" applyFont="1" applyFill="1" applyAlignment="1">
      <alignment vertical="top"/>
    </xf>
    <xf numFmtId="0" fontId="18" fillId="42" borderId="0" xfId="0" applyFont="1" applyFill="1" applyAlignment="1">
      <alignment vertical="top" wrapText="1"/>
    </xf>
    <xf numFmtId="0" fontId="18" fillId="40" borderId="0" xfId="0" applyFont="1" applyFill="1" applyAlignment="1">
      <alignment vertical="top" wrapText="1"/>
    </xf>
    <xf numFmtId="0" fontId="0" fillId="42" borderId="0" xfId="0" quotePrefix="1" applyFill="1" applyAlignment="1">
      <alignment vertical="top" wrapText="1"/>
    </xf>
    <xf numFmtId="0" fontId="21" fillId="37" borderId="10" xfId="0" applyFont="1" applyFill="1" applyBorder="1" applyAlignment="1">
      <alignment horizontal="left" vertical="center"/>
    </xf>
    <xf numFmtId="0" fontId="20" fillId="38" borderId="11" xfId="0" applyFont="1" applyFill="1" applyBorder="1" applyAlignment="1">
      <alignment horizontal="left"/>
    </xf>
    <xf numFmtId="16" fontId="20" fillId="38" borderId="11" xfId="0" applyNumberFormat="1" applyFont="1" applyFill="1" applyBorder="1" applyAlignment="1">
      <alignment horizontal="left" vertical="center"/>
    </xf>
    <xf numFmtId="9" fontId="0" fillId="0" borderId="0" xfId="42" applyFont="1" applyAlignment="1"/>
    <xf numFmtId="9" fontId="0" fillId="0" borderId="0" xfId="0" applyNumberFormat="1"/>
    <xf numFmtId="0" fontId="20" fillId="38" borderId="11" xfId="0" applyFont="1" applyFill="1" applyBorder="1" applyAlignment="1">
      <alignment horizontal="left" vertical="center"/>
    </xf>
    <xf numFmtId="0" fontId="20" fillId="39" borderId="12" xfId="0" applyFont="1" applyFill="1" applyBorder="1" applyAlignment="1">
      <alignment horizontal="left"/>
    </xf>
    <xf numFmtId="16" fontId="20" fillId="39" borderId="12" xfId="0" applyNumberFormat="1" applyFont="1" applyFill="1" applyBorder="1" applyAlignment="1">
      <alignment horizontal="left" vertical="center"/>
    </xf>
    <xf numFmtId="0" fontId="20" fillId="39" borderId="12" xfId="0" applyFont="1" applyFill="1" applyBorder="1" applyAlignment="1">
      <alignment horizontal="left" vertical="center"/>
    </xf>
    <xf numFmtId="0" fontId="20" fillId="38" borderId="12" xfId="0" applyFont="1" applyFill="1" applyBorder="1" applyAlignment="1">
      <alignment horizontal="left"/>
    </xf>
    <xf numFmtId="0" fontId="20" fillId="38" borderId="12" xfId="0" applyFont="1" applyFill="1" applyBorder="1" applyAlignment="1">
      <alignment horizontal="left" vertical="center"/>
    </xf>
    <xf numFmtId="16" fontId="20" fillId="38" borderId="12" xfId="0" applyNumberFormat="1" applyFont="1" applyFill="1" applyBorder="1" applyAlignment="1">
      <alignment horizontal="left" vertical="center"/>
    </xf>
    <xf numFmtId="17" fontId="20" fillId="38" borderId="12" xfId="0" applyNumberFormat="1" applyFont="1" applyFill="1" applyBorder="1" applyAlignment="1">
      <alignment horizontal="left" vertical="center"/>
    </xf>
    <xf numFmtId="0" fontId="20" fillId="39" borderId="12" xfId="0" quotePrefix="1" applyFont="1" applyFill="1" applyBorder="1" applyAlignment="1">
      <alignment horizontal="left" vertical="center"/>
    </xf>
    <xf numFmtId="0" fontId="18" fillId="40" borderId="0" xfId="0" quotePrefix="1" applyFont="1" applyFill="1" applyAlignment="1">
      <alignment horizontal="right" vertical="top" wrapText="1"/>
    </xf>
    <xf numFmtId="0" fontId="0" fillId="42" borderId="0" xfId="0" applyFill="1" applyAlignment="1">
      <alignment horizontal="right" vertical="top" wrapText="1"/>
    </xf>
    <xf numFmtId="0" fontId="0" fillId="42" borderId="0" xfId="0" quotePrefix="1" applyFill="1" applyAlignment="1">
      <alignment horizontal="right" vertical="top" wrapText="1"/>
    </xf>
    <xf numFmtId="0" fontId="0" fillId="0" borderId="0" xfId="0" applyAlignment="1">
      <alignment horizontal="right" vertical="top" wrapText="1"/>
    </xf>
    <xf numFmtId="0" fontId="20" fillId="0" borderId="13" xfId="0" quotePrefix="1" applyFont="1" applyBorder="1" applyAlignment="1">
      <alignment horizontal="left"/>
    </xf>
    <xf numFmtId="0" fontId="21" fillId="44" borderId="10" xfId="0" applyFont="1" applyFill="1" applyBorder="1" applyAlignment="1">
      <alignment horizontal="left" vertical="center"/>
    </xf>
    <xf numFmtId="0" fontId="20" fillId="45" borderId="11" xfId="0" applyFont="1" applyFill="1" applyBorder="1" applyAlignment="1">
      <alignment horizontal="left"/>
    </xf>
    <xf numFmtId="16" fontId="20" fillId="45" borderId="11" xfId="0" applyNumberFormat="1" applyFont="1" applyFill="1" applyBorder="1" applyAlignment="1">
      <alignment horizontal="left" vertical="center"/>
    </xf>
    <xf numFmtId="0" fontId="20" fillId="45" borderId="12" xfId="0" applyFont="1" applyFill="1" applyBorder="1" applyAlignment="1">
      <alignment horizontal="left"/>
    </xf>
    <xf numFmtId="16" fontId="20" fillId="45" borderId="12" xfId="0" applyNumberFormat="1" applyFont="1" applyFill="1" applyBorder="1" applyAlignment="1">
      <alignment horizontal="left" vertical="center"/>
    </xf>
    <xf numFmtId="0" fontId="20" fillId="45" borderId="12" xfId="0" applyFont="1" applyFill="1" applyBorder="1" applyAlignment="1">
      <alignment horizontal="left" vertical="center"/>
    </xf>
    <xf numFmtId="0" fontId="20" fillId="40" borderId="12" xfId="0" applyFont="1" applyFill="1" applyBorder="1" applyAlignment="1">
      <alignment horizontal="left"/>
    </xf>
    <xf numFmtId="16" fontId="20" fillId="40" borderId="12" xfId="0" applyNumberFormat="1" applyFont="1" applyFill="1" applyBorder="1" applyAlignment="1">
      <alignment horizontal="left" vertical="center"/>
    </xf>
    <xf numFmtId="0" fontId="20" fillId="40" borderId="12" xfId="0" quotePrefix="1" applyFont="1" applyFill="1" applyBorder="1" applyAlignment="1">
      <alignment horizontal="left" vertical="center"/>
    </xf>
    <xf numFmtId="0" fontId="22" fillId="0" borderId="0" xfId="0" applyFont="1"/>
    <xf numFmtId="0" fontId="24" fillId="0" borderId="0" xfId="0" applyFont="1"/>
    <xf numFmtId="0" fontId="23" fillId="0" borderId="0" xfId="0" applyFont="1" applyAlignment="1">
      <alignment horizontal="left" vertical="top"/>
    </xf>
    <xf numFmtId="0" fontId="22" fillId="0" borderId="0" xfId="0" applyFont="1" applyAlignment="1">
      <alignment horizontal="left" vertical="top"/>
    </xf>
    <xf numFmtId="0" fontId="22" fillId="0" borderId="0" xfId="0" applyFont="1" applyAlignment="1">
      <alignment vertical="top"/>
    </xf>
    <xf numFmtId="0" fontId="24" fillId="0" borderId="0" xfId="0" applyFont="1" applyAlignment="1">
      <alignment vertical="top"/>
    </xf>
    <xf numFmtId="0" fontId="26" fillId="0" borderId="0" xfId="0" applyFont="1" applyAlignment="1">
      <alignment vertical="top"/>
    </xf>
    <xf numFmtId="0" fontId="24" fillId="0" borderId="0" xfId="0" applyFont="1" applyAlignment="1">
      <alignment vertical="center"/>
    </xf>
    <xf numFmtId="0" fontId="22" fillId="0" borderId="0" xfId="0" applyFont="1" applyAlignment="1">
      <alignment vertical="center"/>
    </xf>
    <xf numFmtId="1" fontId="24" fillId="0" borderId="0" xfId="0" applyNumberFormat="1" applyFont="1" applyAlignment="1">
      <alignment horizontal="left"/>
    </xf>
    <xf numFmtId="0" fontId="22" fillId="0" borderId="0" xfId="0" applyFont="1" applyAlignment="1">
      <alignment horizontal="center" vertical="top"/>
    </xf>
    <xf numFmtId="1" fontId="29" fillId="0" borderId="0" xfId="0" applyNumberFormat="1" applyFont="1" applyAlignment="1">
      <alignment horizontal="left" vertical="center"/>
    </xf>
    <xf numFmtId="1" fontId="31" fillId="0" borderId="0" xfId="0" applyNumberFormat="1" applyFont="1" applyAlignment="1">
      <alignment horizontal="left" vertical="center"/>
    </xf>
    <xf numFmtId="1" fontId="30" fillId="0" borderId="0" xfId="0" applyNumberFormat="1" applyFont="1" applyAlignment="1">
      <alignment horizontal="left" vertical="center"/>
    </xf>
    <xf numFmtId="0" fontId="25" fillId="33" borderId="26" xfId="0" applyFont="1" applyFill="1" applyBorder="1" applyAlignment="1">
      <alignment vertical="center"/>
    </xf>
    <xf numFmtId="0" fontId="25" fillId="33" borderId="27" xfId="0" applyFont="1" applyFill="1" applyBorder="1" applyAlignment="1">
      <alignment vertical="center"/>
    </xf>
    <xf numFmtId="0" fontId="32" fillId="33" borderId="25" xfId="0" applyFont="1" applyFill="1" applyBorder="1" applyAlignment="1">
      <alignment horizontal="center" vertical="center"/>
    </xf>
    <xf numFmtId="0" fontId="24" fillId="47" borderId="0" xfId="0" applyFont="1" applyFill="1" applyAlignment="1">
      <alignment horizontal="center" vertical="center" wrapText="1"/>
    </xf>
    <xf numFmtId="0" fontId="0" fillId="0" borderId="61" xfId="0" applyBorder="1"/>
    <xf numFmtId="1" fontId="0" fillId="0" borderId="61" xfId="0" applyNumberFormat="1" applyBorder="1" applyAlignment="1">
      <alignment horizontal="right"/>
    </xf>
    <xf numFmtId="0" fontId="0" fillId="0" borderId="61" xfId="0" applyBorder="1" applyAlignment="1">
      <alignment horizontal="right"/>
    </xf>
    <xf numFmtId="1" fontId="0" fillId="0" borderId="61" xfId="0" applyNumberFormat="1" applyBorder="1"/>
    <xf numFmtId="0" fontId="0" fillId="0" borderId="62" xfId="0" applyBorder="1"/>
    <xf numFmtId="1" fontId="0" fillId="0" borderId="62" xfId="0" applyNumberFormat="1" applyBorder="1" applyAlignment="1">
      <alignment horizontal="right"/>
    </xf>
    <xf numFmtId="0" fontId="0" fillId="0" borderId="62" xfId="0" applyBorder="1" applyAlignment="1">
      <alignment horizontal="right"/>
    </xf>
    <xf numFmtId="1" fontId="0" fillId="0" borderId="62" xfId="0" applyNumberFormat="1" applyBorder="1"/>
    <xf numFmtId="0" fontId="18" fillId="0" borderId="0" xfId="0" applyFont="1" applyAlignment="1">
      <alignment vertical="top" wrapText="1"/>
    </xf>
    <xf numFmtId="0" fontId="0" fillId="42" borderId="63" xfId="0" applyFill="1" applyBorder="1" applyAlignment="1">
      <alignment vertical="top"/>
    </xf>
    <xf numFmtId="0" fontId="0" fillId="42" borderId="64" xfId="0" applyFill="1" applyBorder="1" applyAlignment="1">
      <alignment vertical="top"/>
    </xf>
    <xf numFmtId="0" fontId="0" fillId="43" borderId="64" xfId="0" applyFill="1" applyBorder="1" applyAlignment="1">
      <alignment vertical="top"/>
    </xf>
    <xf numFmtId="0" fontId="0" fillId="46" borderId="64" xfId="0" applyFill="1" applyBorder="1" applyAlignment="1">
      <alignment vertical="top"/>
    </xf>
    <xf numFmtId="0" fontId="0" fillId="0" borderId="66" xfId="0" applyBorder="1"/>
    <xf numFmtId="9" fontId="0" fillId="0" borderId="0" xfId="42" applyFont="1" applyBorder="1" applyAlignment="1"/>
    <xf numFmtId="9" fontId="0" fillId="0" borderId="67" xfId="42" applyFont="1" applyBorder="1" applyAlignment="1"/>
    <xf numFmtId="0" fontId="0" fillId="0" borderId="67" xfId="0" applyBorder="1"/>
    <xf numFmtId="0" fontId="0" fillId="40" borderId="63" xfId="0" applyFill="1" applyBorder="1" applyAlignment="1">
      <alignment vertical="top"/>
    </xf>
    <xf numFmtId="0" fontId="0" fillId="40" borderId="64" xfId="0" applyFill="1" applyBorder="1" applyAlignment="1">
      <alignment vertical="top"/>
    </xf>
    <xf numFmtId="0" fontId="0" fillId="41" borderId="63" xfId="0" applyFill="1" applyBorder="1" applyAlignment="1">
      <alignment vertical="top"/>
    </xf>
    <xf numFmtId="0" fontId="0" fillId="41" borderId="64" xfId="0" applyFill="1" applyBorder="1" applyAlignment="1">
      <alignment vertical="top"/>
    </xf>
    <xf numFmtId="0" fontId="0" fillId="41" borderId="65" xfId="0" applyFill="1" applyBorder="1" applyAlignment="1">
      <alignment vertical="top"/>
    </xf>
    <xf numFmtId="0" fontId="0" fillId="0" borderId="67" xfId="0" quotePrefix="1" applyBorder="1"/>
    <xf numFmtId="0" fontId="0" fillId="33" borderId="64" xfId="0" applyFill="1" applyBorder="1" applyAlignment="1">
      <alignment vertical="top"/>
    </xf>
    <xf numFmtId="0" fontId="0" fillId="33" borderId="65" xfId="0" applyFill="1" applyBorder="1" applyAlignment="1">
      <alignment vertical="top"/>
    </xf>
    <xf numFmtId="0" fontId="0" fillId="42" borderId="65" xfId="0" applyFill="1" applyBorder="1" applyAlignment="1">
      <alignment vertical="top"/>
    </xf>
    <xf numFmtId="0" fontId="0" fillId="34" borderId="63" xfId="0" applyFill="1" applyBorder="1" applyAlignment="1">
      <alignment vertical="top"/>
    </xf>
    <xf numFmtId="0" fontId="14" fillId="0" borderId="67" xfId="0" applyFont="1" applyBorder="1"/>
    <xf numFmtId="0" fontId="14" fillId="0" borderId="67" xfId="0" quotePrefix="1" applyFont="1" applyBorder="1"/>
    <xf numFmtId="9" fontId="0" fillId="46" borderId="64" xfId="42" applyFont="1" applyFill="1" applyBorder="1" applyAlignment="1">
      <alignment vertical="top"/>
    </xf>
    <xf numFmtId="9" fontId="0" fillId="46" borderId="65" xfId="42" applyFont="1" applyFill="1" applyBorder="1" applyAlignment="1">
      <alignment vertical="top"/>
    </xf>
    <xf numFmtId="0" fontId="0" fillId="40" borderId="64" xfId="0" applyFill="1" applyBorder="1" applyAlignment="1">
      <alignment horizontal="right" vertical="top"/>
    </xf>
    <xf numFmtId="9" fontId="0" fillId="0" borderId="0" xfId="42" applyFont="1" applyBorder="1" applyAlignment="1">
      <alignment horizontal="right"/>
    </xf>
    <xf numFmtId="0" fontId="14" fillId="0" borderId="67" xfId="0" applyFont="1" applyBorder="1" applyAlignment="1">
      <alignment vertical="top" wrapText="1"/>
    </xf>
    <xf numFmtId="0" fontId="0" fillId="42" borderId="0" xfId="0" applyFill="1" applyAlignment="1">
      <alignment wrapText="1"/>
    </xf>
    <xf numFmtId="0" fontId="0" fillId="0" borderId="0" xfId="0" applyAlignment="1">
      <alignment horizontal="center" vertical="top"/>
    </xf>
    <xf numFmtId="0" fontId="16" fillId="0" borderId="0" xfId="0" applyFont="1"/>
    <xf numFmtId="0" fontId="16" fillId="43" borderId="68" xfId="0" applyFont="1" applyFill="1" applyBorder="1" applyAlignment="1">
      <alignment horizontal="center" vertical="top"/>
    </xf>
    <xf numFmtId="0" fontId="16" fillId="33" borderId="68" xfId="0" applyFont="1" applyFill="1" applyBorder="1" applyAlignment="1">
      <alignment vertical="top"/>
    </xf>
    <xf numFmtId="0" fontId="16" fillId="34" borderId="68" xfId="0" applyFont="1" applyFill="1" applyBorder="1" applyAlignment="1">
      <alignment vertical="top"/>
    </xf>
    <xf numFmtId="0" fontId="16" fillId="48" borderId="68" xfId="0" applyFont="1" applyFill="1" applyBorder="1" applyAlignment="1">
      <alignment horizontal="center" vertical="top"/>
    </xf>
    <xf numFmtId="0" fontId="16" fillId="40" borderId="68" xfId="0" applyFont="1" applyFill="1" applyBorder="1" applyAlignment="1">
      <alignment horizontal="center" vertical="top"/>
    </xf>
    <xf numFmtId="0" fontId="0" fillId="0" borderId="68" xfId="0" applyBorder="1" applyAlignment="1">
      <alignment vertical="top"/>
    </xf>
    <xf numFmtId="0" fontId="36" fillId="0" borderId="68" xfId="0" applyFont="1" applyBorder="1" applyAlignment="1">
      <alignment vertical="top"/>
    </xf>
    <xf numFmtId="0" fontId="0" fillId="0" borderId="68" xfId="0" quotePrefix="1" applyBorder="1" applyAlignment="1">
      <alignment vertical="top"/>
    </xf>
    <xf numFmtId="1" fontId="0" fillId="0" borderId="68" xfId="0" applyNumberFormat="1" applyBorder="1" applyAlignment="1">
      <alignment horizontal="right" vertical="top"/>
    </xf>
    <xf numFmtId="1" fontId="0" fillId="0" borderId="68" xfId="0" applyNumberFormat="1" applyBorder="1" applyAlignment="1">
      <alignment vertical="top"/>
    </xf>
    <xf numFmtId="0" fontId="0" fillId="0" borderId="68" xfId="0" applyBorder="1" applyAlignment="1">
      <alignment horizontal="center" vertical="top"/>
    </xf>
    <xf numFmtId="0" fontId="18" fillId="0" borderId="0" xfId="0" applyFont="1"/>
    <xf numFmtId="0" fontId="18" fillId="0" borderId="68" xfId="0" applyFont="1" applyBorder="1" applyAlignment="1">
      <alignment vertical="top"/>
    </xf>
    <xf numFmtId="0" fontId="16" fillId="42" borderId="68" xfId="0" applyFont="1" applyFill="1" applyBorder="1" applyAlignment="1">
      <alignment vertical="top"/>
    </xf>
    <xf numFmtId="0" fontId="19" fillId="33" borderId="68" xfId="0" applyFont="1" applyFill="1" applyBorder="1" applyAlignment="1">
      <alignment vertical="top"/>
    </xf>
    <xf numFmtId="0" fontId="0" fillId="0" borderId="0" xfId="0" quotePrefix="1" applyAlignment="1">
      <alignment horizontal="right"/>
    </xf>
    <xf numFmtId="9" fontId="0" fillId="0" borderId="68" xfId="42" applyFont="1" applyBorder="1" applyAlignment="1">
      <alignment horizontal="right" vertical="top"/>
    </xf>
    <xf numFmtId="0" fontId="0" fillId="0" borderId="0" xfId="0" quotePrefix="1"/>
    <xf numFmtId="0" fontId="16" fillId="0" borderId="68" xfId="0" applyFont="1" applyBorder="1"/>
    <xf numFmtId="0" fontId="0" fillId="0" borderId="68" xfId="0" quotePrefix="1" applyBorder="1"/>
    <xf numFmtId="0" fontId="0" fillId="0" borderId="68" xfId="0" applyBorder="1"/>
    <xf numFmtId="2" fontId="0" fillId="0" borderId="0" xfId="0" applyNumberFormat="1" applyAlignment="1">
      <alignment vertical="top"/>
    </xf>
    <xf numFmtId="0" fontId="16" fillId="33" borderId="68" xfId="0" applyFont="1" applyFill="1" applyBorder="1" applyAlignment="1">
      <alignment horizontal="center" vertical="top"/>
    </xf>
    <xf numFmtId="49" fontId="0" fillId="0" borderId="0" xfId="0" applyNumberFormat="1" applyAlignment="1">
      <alignment horizontal="right"/>
    </xf>
    <xf numFmtId="9" fontId="0" fillId="0" borderId="68" xfId="42" quotePrefix="1" applyFont="1" applyBorder="1" applyAlignment="1">
      <alignment horizontal="right" vertical="top"/>
    </xf>
    <xf numFmtId="2" fontId="18" fillId="0" borderId="0" xfId="0" applyNumberFormat="1" applyFont="1" applyAlignment="1">
      <alignment vertical="top"/>
    </xf>
    <xf numFmtId="0" fontId="38" fillId="0" borderId="0" xfId="0" applyFont="1" applyAlignment="1">
      <alignment horizontal="center" vertical="center" wrapText="1"/>
    </xf>
    <xf numFmtId="11" fontId="0" fillId="0" borderId="0" xfId="0" applyNumberFormat="1"/>
    <xf numFmtId="0" fontId="39" fillId="33" borderId="68" xfId="0" applyFont="1" applyFill="1" applyBorder="1" applyAlignment="1">
      <alignment vertical="top"/>
    </xf>
    <xf numFmtId="0" fontId="36" fillId="0" borderId="68" xfId="0" applyFont="1" applyBorder="1" applyAlignment="1">
      <alignment horizontal="center" vertical="top"/>
    </xf>
    <xf numFmtId="0" fontId="18" fillId="0" borderId="68" xfId="0" applyFont="1" applyBorder="1" applyAlignment="1">
      <alignment horizontal="center" vertical="top"/>
    </xf>
    <xf numFmtId="0" fontId="0" fillId="50" borderId="0" xfId="0" applyFill="1" applyAlignment="1">
      <alignment vertical="top"/>
    </xf>
    <xf numFmtId="0" fontId="0" fillId="51" borderId="0" xfId="0" applyFill="1" applyAlignment="1">
      <alignment vertical="top"/>
    </xf>
    <xf numFmtId="0" fontId="0" fillId="48" borderId="0" xfId="0" applyFill="1" applyAlignment="1">
      <alignment vertical="top"/>
    </xf>
    <xf numFmtId="0" fontId="0" fillId="52" borderId="0" xfId="0" applyFill="1" applyAlignment="1">
      <alignment vertical="top"/>
    </xf>
    <xf numFmtId="0" fontId="0" fillId="53" borderId="0" xfId="0" applyFill="1" applyAlignment="1">
      <alignment vertical="top"/>
    </xf>
    <xf numFmtId="0" fontId="0" fillId="49" borderId="0" xfId="0" applyFill="1" applyAlignment="1">
      <alignment vertical="top"/>
    </xf>
    <xf numFmtId="0" fontId="0" fillId="54" borderId="0" xfId="0" applyFill="1" applyAlignment="1">
      <alignment vertical="top"/>
    </xf>
    <xf numFmtId="0" fontId="40" fillId="0" borderId="0" xfId="0" applyFont="1" applyAlignment="1">
      <alignment vertical="top"/>
    </xf>
    <xf numFmtId="0" fontId="16" fillId="40" borderId="68" xfId="0" applyFont="1" applyFill="1" applyBorder="1" applyAlignment="1">
      <alignment vertical="top"/>
    </xf>
    <xf numFmtId="0" fontId="39" fillId="42" borderId="68" xfId="0" applyFont="1" applyFill="1" applyBorder="1" applyAlignment="1">
      <alignment vertical="top"/>
    </xf>
    <xf numFmtId="0" fontId="0" fillId="42" borderId="0" xfId="0" quotePrefix="1" applyFill="1" applyAlignment="1">
      <alignment vertical="top"/>
    </xf>
    <xf numFmtId="0" fontId="18" fillId="40" borderId="0" xfId="0" quotePrefix="1" applyFont="1" applyFill="1" applyAlignment="1">
      <alignment vertical="top" wrapText="1"/>
    </xf>
    <xf numFmtId="0" fontId="0" fillId="0" borderId="0" xfId="0" pivotButton="1"/>
    <xf numFmtId="0" fontId="16" fillId="33" borderId="70" xfId="0" applyFont="1" applyFill="1" applyBorder="1" applyAlignment="1">
      <alignment horizontal="center" vertical="top"/>
    </xf>
    <xf numFmtId="0" fontId="42" fillId="0" borderId="0" xfId="0" applyFont="1"/>
    <xf numFmtId="0" fontId="39" fillId="55" borderId="68" xfId="0" applyFont="1" applyFill="1" applyBorder="1" applyAlignment="1">
      <alignment vertical="top"/>
    </xf>
    <xf numFmtId="0" fontId="39" fillId="51" borderId="68" xfId="0" applyFont="1" applyFill="1" applyBorder="1" applyAlignment="1">
      <alignment vertical="top"/>
    </xf>
    <xf numFmtId="0" fontId="39" fillId="50" borderId="68" xfId="0" applyFont="1" applyFill="1" applyBorder="1" applyAlignment="1">
      <alignment vertical="top"/>
    </xf>
    <xf numFmtId="0" fontId="39" fillId="35" borderId="68" xfId="0" applyFont="1" applyFill="1" applyBorder="1" applyAlignment="1">
      <alignment vertical="top"/>
    </xf>
    <xf numFmtId="0" fontId="0" fillId="46" borderId="68" xfId="0" quotePrefix="1" applyFill="1" applyBorder="1" applyAlignment="1">
      <alignment vertical="top"/>
    </xf>
    <xf numFmtId="0" fontId="36" fillId="46" borderId="68" xfId="0" applyFont="1" applyFill="1" applyBorder="1" applyAlignment="1">
      <alignment vertical="top"/>
    </xf>
    <xf numFmtId="0" fontId="36" fillId="46" borderId="71" xfId="0" applyFont="1" applyFill="1" applyBorder="1" applyAlignment="1">
      <alignment vertical="top"/>
    </xf>
    <xf numFmtId="0" fontId="0" fillId="46" borderId="0" xfId="0" applyFill="1"/>
    <xf numFmtId="0" fontId="0" fillId="43" borderId="68" xfId="0" quotePrefix="1" applyFill="1" applyBorder="1" applyAlignment="1">
      <alignment vertical="top"/>
    </xf>
    <xf numFmtId="0" fontId="0" fillId="43" borderId="0" xfId="0" applyFill="1"/>
    <xf numFmtId="0" fontId="0" fillId="34" borderId="68" xfId="0" quotePrefix="1" applyFill="1" applyBorder="1" applyAlignment="1">
      <alignment vertical="top"/>
    </xf>
    <xf numFmtId="0" fontId="0" fillId="34" borderId="0" xfId="0" applyFill="1"/>
    <xf numFmtId="0" fontId="0" fillId="33" borderId="68" xfId="0" quotePrefix="1" applyFill="1" applyBorder="1" applyAlignment="1">
      <alignment vertical="top"/>
    </xf>
    <xf numFmtId="0" fontId="0" fillId="33" borderId="0" xfId="0" applyFill="1"/>
    <xf numFmtId="0" fontId="36" fillId="56" borderId="68" xfId="0" applyFont="1" applyFill="1" applyBorder="1" applyAlignment="1">
      <alignment vertical="top"/>
    </xf>
    <xf numFmtId="0" fontId="36" fillId="56" borderId="71" xfId="0" applyFont="1" applyFill="1" applyBorder="1" applyAlignment="1">
      <alignment vertical="top"/>
    </xf>
    <xf numFmtId="0" fontId="16" fillId="33" borderId="68" xfId="0" applyFont="1" applyFill="1" applyBorder="1" applyAlignment="1">
      <alignment horizontal="center" vertical="top"/>
    </xf>
    <xf numFmtId="0" fontId="16" fillId="33" borderId="69" xfId="0" applyFont="1" applyFill="1" applyBorder="1" applyAlignment="1">
      <alignment horizontal="center" vertical="top"/>
    </xf>
    <xf numFmtId="0" fontId="16" fillId="33" borderId="70" xfId="0" applyFont="1" applyFill="1" applyBorder="1" applyAlignment="1">
      <alignment horizontal="center" vertical="top"/>
    </xf>
    <xf numFmtId="0" fontId="16" fillId="40" borderId="68" xfId="0" applyFont="1" applyFill="1" applyBorder="1" applyAlignment="1">
      <alignment horizontal="center" vertical="top"/>
    </xf>
    <xf numFmtId="0" fontId="16" fillId="43" borderId="68" xfId="0" applyFont="1" applyFill="1" applyBorder="1" applyAlignment="1">
      <alignment horizontal="center" vertical="top"/>
    </xf>
    <xf numFmtId="0" fontId="16" fillId="34" borderId="68" xfId="0" applyFont="1" applyFill="1" applyBorder="1" applyAlignment="1">
      <alignment horizontal="center" vertical="top"/>
    </xf>
    <xf numFmtId="1" fontId="0" fillId="0" borderId="62" xfId="0" applyNumberFormat="1" applyBorder="1" applyAlignment="1">
      <alignment horizontal="center" vertical="center"/>
    </xf>
    <xf numFmtId="0" fontId="0" fillId="0" borderId="61" xfId="0" applyBorder="1" applyAlignment="1">
      <alignment horizontal="center" vertical="center"/>
    </xf>
    <xf numFmtId="1" fontId="0" fillId="0" borderId="0" xfId="0" applyNumberFormat="1" applyAlignment="1">
      <alignment horizontal="center" vertical="center"/>
    </xf>
    <xf numFmtId="1" fontId="0" fillId="0" borderId="61" xfId="0" applyNumberFormat="1" applyBorder="1" applyAlignment="1">
      <alignment horizontal="center" vertical="center"/>
    </xf>
    <xf numFmtId="0" fontId="24" fillId="0" borderId="22" xfId="0" applyFont="1" applyBorder="1" applyAlignment="1">
      <alignment horizontal="left" vertical="center" wrapText="1"/>
    </xf>
    <xf numFmtId="0" fontId="24" fillId="0" borderId="23" xfId="0" applyFont="1" applyBorder="1" applyAlignment="1">
      <alignment horizontal="left" vertical="center" wrapText="1"/>
    </xf>
    <xf numFmtId="0" fontId="24" fillId="0" borderId="24" xfId="0" applyFont="1" applyBorder="1" applyAlignment="1">
      <alignment horizontal="left" vertical="center" wrapText="1"/>
    </xf>
    <xf numFmtId="0" fontId="28" fillId="40" borderId="32" xfId="0" applyFont="1" applyFill="1" applyBorder="1" applyAlignment="1">
      <alignment horizontal="left" vertical="center" indent="1"/>
    </xf>
    <xf numFmtId="0" fontId="28" fillId="40" borderId="33" xfId="0" applyFont="1" applyFill="1" applyBorder="1" applyAlignment="1">
      <alignment horizontal="left" vertical="center" indent="1"/>
    </xf>
    <xf numFmtId="0" fontId="28" fillId="40" borderId="34" xfId="0" applyFont="1" applyFill="1" applyBorder="1" applyAlignment="1">
      <alignment horizontal="left" vertical="center" indent="1"/>
    </xf>
    <xf numFmtId="0" fontId="28" fillId="40" borderId="35" xfId="0" applyFont="1" applyFill="1" applyBorder="1" applyAlignment="1">
      <alignment horizontal="left" vertical="center" indent="1"/>
    </xf>
    <xf numFmtId="0" fontId="28" fillId="40" borderId="36" xfId="0" applyFont="1" applyFill="1" applyBorder="1" applyAlignment="1">
      <alignment horizontal="left" vertical="center" indent="1"/>
    </xf>
    <xf numFmtId="0" fontId="28" fillId="40" borderId="37" xfId="0" applyFont="1" applyFill="1" applyBorder="1" applyAlignment="1">
      <alignment horizontal="left" vertical="center" indent="1"/>
    </xf>
    <xf numFmtId="0" fontId="27" fillId="34" borderId="28" xfId="0" applyFont="1" applyFill="1" applyBorder="1" applyAlignment="1">
      <alignment horizontal="right" vertical="center" indent="1"/>
    </xf>
    <xf numFmtId="0" fontId="27" fillId="34" borderId="29" xfId="0" applyFont="1" applyFill="1" applyBorder="1" applyAlignment="1">
      <alignment horizontal="right" vertical="center" indent="1"/>
    </xf>
    <xf numFmtId="0" fontId="27" fillId="34" borderId="30" xfId="0" applyFont="1" applyFill="1" applyBorder="1" applyAlignment="1">
      <alignment horizontal="right" vertical="center" indent="1"/>
    </xf>
    <xf numFmtId="0" fontId="27" fillId="34" borderId="31" xfId="0" applyFont="1" applyFill="1" applyBorder="1" applyAlignment="1">
      <alignment horizontal="right" vertical="center" indent="1"/>
    </xf>
    <xf numFmtId="0" fontId="25" fillId="42" borderId="17" xfId="0" applyFont="1" applyFill="1" applyBorder="1" applyAlignment="1">
      <alignment horizontal="center" vertical="center"/>
    </xf>
    <xf numFmtId="0" fontId="25" fillId="42" borderId="18" xfId="0" applyFont="1" applyFill="1" applyBorder="1" applyAlignment="1">
      <alignment horizontal="center" vertical="center"/>
    </xf>
    <xf numFmtId="0" fontId="25" fillId="42" borderId="19" xfId="0" applyFont="1" applyFill="1" applyBorder="1" applyAlignment="1">
      <alignment horizontal="center" vertical="center"/>
    </xf>
    <xf numFmtId="0" fontId="24" fillId="0" borderId="14"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20" xfId="0" applyFont="1" applyBorder="1" applyAlignment="1">
      <alignment horizontal="left" vertical="center" wrapText="1"/>
    </xf>
    <xf numFmtId="0" fontId="24" fillId="0" borderId="0" xfId="0" applyFont="1" applyAlignment="1">
      <alignment horizontal="left" vertical="center" wrapText="1"/>
    </xf>
    <xf numFmtId="0" fontId="24" fillId="0" borderId="21" xfId="0" applyFont="1" applyBorder="1" applyAlignment="1">
      <alignment horizontal="left" vertical="center" wrapText="1"/>
    </xf>
    <xf numFmtId="0" fontId="16" fillId="33" borderId="0" xfId="0" applyFont="1" applyFill="1" applyAlignment="1">
      <alignment horizontal="center"/>
    </xf>
    <xf numFmtId="0" fontId="16" fillId="34" borderId="0" xfId="0" applyFont="1" applyFill="1" applyAlignment="1">
      <alignment horizontal="center"/>
    </xf>
    <xf numFmtId="0" fontId="16" fillId="35" borderId="0" xfId="0" applyFont="1" applyFill="1" applyAlignment="1">
      <alignment horizontal="center"/>
    </xf>
    <xf numFmtId="0" fontId="16" fillId="36" borderId="0" xfId="0" applyFont="1" applyFill="1" applyAlignment="1">
      <alignment horizontal="center"/>
    </xf>
    <xf numFmtId="0" fontId="33" fillId="33" borderId="44" xfId="0" applyFont="1" applyFill="1" applyBorder="1" applyAlignment="1">
      <alignment horizontal="center" vertical="center"/>
    </xf>
    <xf numFmtId="0" fontId="33" fillId="33" borderId="45" xfId="0" applyFont="1" applyFill="1" applyBorder="1" applyAlignment="1">
      <alignment horizontal="center" vertical="center"/>
    </xf>
    <xf numFmtId="0" fontId="33" fillId="33" borderId="46" xfId="0" applyFont="1" applyFill="1" applyBorder="1" applyAlignment="1">
      <alignment horizontal="center" vertical="center"/>
    </xf>
    <xf numFmtId="0" fontId="34" fillId="46" borderId="38" xfId="0" applyFont="1" applyFill="1" applyBorder="1" applyAlignment="1">
      <alignment horizontal="center" vertical="center"/>
    </xf>
    <xf numFmtId="0" fontId="34" fillId="46" borderId="39" xfId="0" applyFont="1" applyFill="1" applyBorder="1" applyAlignment="1">
      <alignment horizontal="center" vertical="center"/>
    </xf>
    <xf numFmtId="0" fontId="34" fillId="46" borderId="40" xfId="0" applyFont="1" applyFill="1" applyBorder="1" applyAlignment="1">
      <alignment horizontal="center" vertical="center"/>
    </xf>
    <xf numFmtId="0" fontId="34" fillId="46" borderId="41" xfId="0" applyFont="1" applyFill="1" applyBorder="1" applyAlignment="1">
      <alignment horizontal="center" vertical="center"/>
    </xf>
    <xf numFmtId="0" fontId="34" fillId="46" borderId="42" xfId="0" applyFont="1" applyFill="1" applyBorder="1" applyAlignment="1">
      <alignment horizontal="center" vertical="center"/>
    </xf>
    <xf numFmtId="0" fontId="34" fillId="46" borderId="43" xfId="0" applyFont="1" applyFill="1" applyBorder="1" applyAlignment="1">
      <alignment horizontal="center" vertical="center"/>
    </xf>
    <xf numFmtId="0" fontId="24" fillId="47" borderId="47" xfId="0" applyFont="1" applyFill="1" applyBorder="1" applyAlignment="1">
      <alignment horizontal="center" vertical="center" wrapText="1"/>
    </xf>
    <xf numFmtId="0" fontId="24" fillId="47" borderId="48" xfId="0" applyFont="1" applyFill="1" applyBorder="1" applyAlignment="1">
      <alignment horizontal="center" vertical="center" wrapText="1"/>
    </xf>
    <xf numFmtId="0" fontId="24" fillId="47" borderId="49" xfId="0" applyFont="1" applyFill="1" applyBorder="1" applyAlignment="1">
      <alignment horizontal="center" vertical="center" wrapText="1"/>
    </xf>
    <xf numFmtId="0" fontId="24" fillId="47" borderId="50" xfId="0" applyFont="1" applyFill="1" applyBorder="1" applyAlignment="1">
      <alignment horizontal="center" vertical="center" wrapText="1"/>
    </xf>
    <xf numFmtId="0" fontId="24" fillId="47" borderId="0" xfId="0" applyFont="1" applyFill="1" applyAlignment="1">
      <alignment horizontal="center" vertical="center" wrapText="1"/>
    </xf>
    <xf numFmtId="0" fontId="24" fillId="47" borderId="51" xfId="0" applyFont="1" applyFill="1" applyBorder="1" applyAlignment="1">
      <alignment horizontal="center" vertical="center" wrapText="1"/>
    </xf>
    <xf numFmtId="0" fontId="24" fillId="47" borderId="52" xfId="0" applyFont="1" applyFill="1" applyBorder="1" applyAlignment="1">
      <alignment horizontal="center" vertical="center" wrapText="1"/>
    </xf>
    <xf numFmtId="0" fontId="24" fillId="47" borderId="53" xfId="0" applyFont="1" applyFill="1" applyBorder="1" applyAlignment="1">
      <alignment horizontal="center" vertical="center" wrapText="1"/>
    </xf>
    <xf numFmtId="0" fontId="24" fillId="47" borderId="54" xfId="0" applyFont="1" applyFill="1" applyBorder="1" applyAlignment="1">
      <alignment horizontal="center" vertical="center" wrapText="1"/>
    </xf>
    <xf numFmtId="0" fontId="35" fillId="40" borderId="55" xfId="0" applyFont="1" applyFill="1" applyBorder="1" applyAlignment="1">
      <alignment horizontal="center" vertical="center"/>
    </xf>
    <xf numFmtId="0" fontId="35" fillId="40" borderId="56" xfId="0" applyFont="1" applyFill="1" applyBorder="1" applyAlignment="1">
      <alignment horizontal="center" vertical="center"/>
    </xf>
    <xf numFmtId="0" fontId="35" fillId="40" borderId="57" xfId="0" applyFont="1" applyFill="1" applyBorder="1" applyAlignment="1">
      <alignment horizontal="center" vertical="center"/>
    </xf>
    <xf numFmtId="0" fontId="35" fillId="40" borderId="58" xfId="0" applyFont="1" applyFill="1" applyBorder="1" applyAlignment="1">
      <alignment horizontal="center" vertical="center"/>
    </xf>
    <xf numFmtId="0" fontId="35" fillId="40" borderId="59" xfId="0" applyFont="1" applyFill="1" applyBorder="1" applyAlignment="1">
      <alignment horizontal="center" vertical="center"/>
    </xf>
    <xf numFmtId="0" fontId="35" fillId="40" borderId="60" xfId="0" applyFont="1" applyFill="1" applyBorder="1" applyAlignment="1">
      <alignment horizontal="center" vertic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Porcentaje" xfId="42"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2">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color theme="1"/>
      </font>
      <fill>
        <patternFill>
          <fgColor auto="1"/>
          <bgColor theme="3" tint="-9.9948118533890809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66"/>
      <color rgb="FF00CC99"/>
      <color rgb="FF666699"/>
      <color rgb="FF0099CC"/>
      <color rgb="FFFF7C80"/>
      <color rgb="FF660066"/>
      <color rgb="FFA50021"/>
      <color rgb="FF000066"/>
      <color rgb="FFCCFFCC"/>
      <color rgb="FF1DFF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11</xdr:col>
      <xdr:colOff>311150</xdr:colOff>
      <xdr:row>5</xdr:row>
      <xdr:rowOff>184150</xdr:rowOff>
    </xdr:from>
    <xdr:to>
      <xdr:col>20</xdr:col>
      <xdr:colOff>304800</xdr:colOff>
      <xdr:row>10</xdr:row>
      <xdr:rowOff>25400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657850" y="1003300"/>
          <a:ext cx="5480050" cy="7493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 Miquel Pujol" refreshedDate="44978.670997800924" createdVersion="8" refreshedVersion="8" minRefreshableVersion="3" recordCount="502" xr:uid="{84E259E3-A730-42BC-9AE6-F566B1779744}">
  <cacheSource type="worksheet">
    <worksheetSource ref="A3:AF504" sheet="Teams"/>
  </cacheSource>
  <cacheFields count="32">
    <cacheField name="#" numFmtId="0">
      <sharedItems containsSemiMixedTypes="0" containsString="0" containsNumber="1" containsInteger="1" minValue="0" maxValue="100" count="36">
        <n v="1"/>
        <n v="2"/>
        <n v="3"/>
        <n v="4"/>
        <n v="5"/>
        <n v="6"/>
        <n v="7"/>
        <n v="8"/>
        <n v="9"/>
        <n v="10"/>
        <n v="11"/>
        <n v="12"/>
        <n v="13"/>
        <n v="14"/>
        <n v="15"/>
        <n v="16"/>
        <n v="17"/>
        <n v="18"/>
        <n v="19"/>
        <n v="20"/>
        <n v="21"/>
        <n v="22"/>
        <n v="23"/>
        <n v="24"/>
        <n v="25"/>
        <n v="26"/>
        <n v="27"/>
        <n v="28"/>
        <n v="29"/>
        <n v="30"/>
        <n v="31"/>
        <n v="32"/>
        <n v="33"/>
        <n v="34"/>
        <n v="100"/>
        <n v="0" u="1"/>
      </sharedItems>
    </cacheField>
    <cacheField name="Trainer" numFmtId="0">
      <sharedItems count="35">
        <s v="Red"/>
        <s v="Blue"/>
        <s v="Leaf"/>
        <s v="Ethan"/>
        <s v="Kris"/>
        <s v="Lyra"/>
        <s v="Silver"/>
        <s v="Brendan"/>
        <s v="May"/>
        <s v="Wally"/>
        <s v="Barry"/>
        <s v="Lucas"/>
        <s v="Dawn"/>
        <s v="Hilbert"/>
        <s v="Hilda"/>
        <s v="Rosa"/>
        <s v="Nate"/>
        <s v="Hugh"/>
        <s v="N"/>
        <s v="Calem"/>
        <s v="Serena"/>
        <s v="Xana"/>
        <s v="Clemont"/>
        <s v="Hau"/>
        <s v="Elio"/>
        <s v="Selene"/>
        <s v="Gladion"/>
        <s v="Lillie"/>
        <s v="Victor"/>
        <s v="Gloria"/>
        <s v="Hop"/>
        <s v="Florian"/>
        <s v="Juliana"/>
        <s v="Nemona"/>
        <s v="Jomi"/>
      </sharedItems>
    </cacheField>
    <cacheField name="Pokemon" numFmtId="0">
      <sharedItems/>
    </cacheField>
    <cacheField name="Card Pokemon Name" numFmtId="0">
      <sharedItems/>
    </cacheField>
    <cacheField name="Cod" numFmtId="0">
      <sharedItems/>
    </cacheField>
    <cacheField name="Trainer Gen" numFmtId="0">
      <sharedItems/>
    </cacheField>
    <cacheField name="Pkmn Gen" numFmtId="0">
      <sharedItems/>
    </cacheField>
    <cacheField name="Type 1" numFmtId="0">
      <sharedItems/>
    </cacheField>
    <cacheField name="Type 2" numFmtId="0">
      <sharedItems/>
    </cacheField>
    <cacheField name="TAG" numFmtId="0">
      <sharedItems/>
    </cacheField>
    <cacheField name="Family" numFmtId="0">
      <sharedItems/>
    </cacheField>
    <cacheField name="Preevolution" numFmtId="0">
      <sharedItems/>
    </cacheField>
    <cacheField name="Stage" numFmtId="0">
      <sharedItems count="5">
        <s v="Basic"/>
        <s v="Middle"/>
        <s v="Final"/>
        <s v="Mega"/>
        <s v="Special"/>
      </sharedItems>
    </cacheField>
    <cacheField name="Method" numFmtId="0">
      <sharedItems/>
    </cacheField>
    <cacheField name="Exp" numFmtId="0">
      <sharedItems containsMixedTypes="1" containsNumber="1" containsInteger="1" minValue="2" maxValue="6"/>
    </cacheField>
    <cacheField name="LP Cost" numFmtId="0">
      <sharedItems containsMixedTypes="1" containsNumber="1" containsInteger="1" minValue="2" maxValue="5" count="5">
        <n v="3"/>
        <n v="4"/>
        <s v="-"/>
        <n v="5"/>
        <n v="2"/>
      </sharedItems>
    </cacheField>
    <cacheField name="Total" numFmtId="0">
      <sharedItems containsSemiMixedTypes="0" containsString="0" containsNumber="1" containsInteger="1" minValue="195" maxValue="635"/>
    </cacheField>
    <cacheField name="HP" numFmtId="0">
      <sharedItems containsSemiMixedTypes="0" containsString="0" containsNumber="1" containsInteger="1" minValue="20" maxValue="170"/>
    </cacheField>
    <cacheField name="Attack" numFmtId="0">
      <sharedItems containsSemiMixedTypes="0" containsString="0" containsNumber="1" containsInteger="1" minValue="10" maxValue="185"/>
    </cacheField>
    <cacheField name="Defense" numFmtId="0">
      <sharedItems containsSemiMixedTypes="0" containsString="0" containsNumber="1" containsInteger="1" minValue="15" maxValue="230"/>
    </cacheField>
    <cacheField name="Sp. Atk" numFmtId="0">
      <sharedItems containsSemiMixedTypes="0" containsString="0" containsNumber="1" containsInteger="1" minValue="10" maxValue="165"/>
    </cacheField>
    <cacheField name="Sp. Def" numFmtId="0">
      <sharedItems containsSemiMixedTypes="0" containsString="0" containsNumber="1" containsInteger="1" minValue="20" maxValue="154"/>
    </cacheField>
    <cacheField name="Speed" numFmtId="0">
      <sharedItems containsSemiMixedTypes="0" containsString="0" containsNumber="1" containsInteger="1" minValue="5" maxValue="142"/>
    </cacheField>
    <cacheField name="PS" numFmtId="1">
      <sharedItems containsSemiMixedTypes="0" containsString="0" containsNumber="1" containsInteger="1" minValue="2" maxValue="10"/>
    </cacheField>
    <cacheField name="Attack2" numFmtId="1">
      <sharedItems containsSemiMixedTypes="0" containsString="0" containsNumber="1" containsInteger="1" minValue="4" maxValue="12"/>
    </cacheField>
    <cacheField name="Defense2" numFmtId="1">
      <sharedItems containsSemiMixedTypes="0" containsString="0" containsNumber="1" containsInteger="1" minValue="4" maxValue="12"/>
    </cacheField>
    <cacheField name="Speed2" numFmtId="1">
      <sharedItems containsSemiMixedTypes="0" containsString="0" containsNumber="1" containsInteger="1" minValue="1" maxValue="8"/>
    </cacheField>
    <cacheField name="Overall" numFmtId="1">
      <sharedItems containsSemiMixedTypes="0" containsString="0" containsNumber="1" containsInteger="1" minValue="12" maxValue="31"/>
    </cacheField>
    <cacheField name="Tier" numFmtId="1">
      <sharedItems/>
    </cacheField>
    <cacheField name="Hability" numFmtId="0">
      <sharedItems containsBlank="1"/>
    </cacheField>
    <cacheField name="Move 1" numFmtId="0">
      <sharedItems containsBlank="1"/>
    </cacheField>
    <cacheField name="Move 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x v="0"/>
    <x v="0"/>
    <s v="Bulbasaur"/>
    <s v="Bulbasaur"/>
    <s v="0001A0"/>
    <s v="Kanto"/>
    <s v="Kanto"/>
    <s v="Grass"/>
    <s v="Poison"/>
    <s v="Starter"/>
    <s v="0001A0"/>
    <s v="-"/>
    <x v="0"/>
    <s v="-"/>
    <s v="-"/>
    <x v="0"/>
    <n v="318"/>
    <n v="45"/>
    <n v="49"/>
    <n v="49"/>
    <n v="65"/>
    <n v="65"/>
    <n v="45"/>
    <n v="3"/>
    <n v="6"/>
    <n v="4"/>
    <n v="3"/>
    <n v="16"/>
    <s v="C-"/>
    <m/>
    <s v="Látigo Cepa"/>
    <s v="Residuos"/>
  </r>
  <r>
    <x v="0"/>
    <x v="0"/>
    <s v="Ivysaur"/>
    <s v="Ivysaur"/>
    <s v="0002A0"/>
    <s v="Kanto"/>
    <s v="Kanto"/>
    <s v="Grass"/>
    <s v="Poison"/>
    <s v="Starter"/>
    <s v="0001A0"/>
    <s v="0001A0"/>
    <x v="1"/>
    <s v="Experience"/>
    <n v="3"/>
    <x v="0"/>
    <n v="405"/>
    <n v="60"/>
    <n v="62"/>
    <n v="63"/>
    <n v="80"/>
    <n v="80"/>
    <n v="60"/>
    <n v="4"/>
    <n v="6"/>
    <n v="6"/>
    <n v="4"/>
    <n v="20"/>
    <s v="C+"/>
    <m/>
    <s v="Hoja Afilada"/>
    <s v="Carga Tóxica"/>
  </r>
  <r>
    <x v="0"/>
    <x v="0"/>
    <s v="Venusaur"/>
    <s v="Venusaur"/>
    <s v="0003A0"/>
    <s v="Kanto"/>
    <s v="Kanto"/>
    <s v="Grass"/>
    <s v="Poison"/>
    <s v="Starter"/>
    <s v="0001A0"/>
    <s v="0002A0"/>
    <x v="2"/>
    <s v="Experience"/>
    <n v="4"/>
    <x v="1"/>
    <n v="525"/>
    <n v="80"/>
    <n v="82"/>
    <n v="83"/>
    <n v="100"/>
    <n v="100"/>
    <n v="80"/>
    <n v="5"/>
    <n v="8"/>
    <n v="8"/>
    <n v="5"/>
    <n v="26"/>
    <s v="B+"/>
    <m/>
    <s v="Gigadrenado"/>
    <s v="Onda Tóxica"/>
  </r>
  <r>
    <x v="0"/>
    <x v="0"/>
    <s v="Venusaur (Mega Venusaur)"/>
    <s v="Mega-Venusaur"/>
    <s v="0003M0"/>
    <s v="Kanto"/>
    <s v="Kanto"/>
    <s v="Grass"/>
    <s v="Poison"/>
    <s v="Mega"/>
    <s v="0001A0"/>
    <s v="0003A0"/>
    <x v="3"/>
    <s v="Megastone"/>
    <s v="-"/>
    <x v="2"/>
    <n v="625"/>
    <n v="80"/>
    <n v="100"/>
    <n v="123"/>
    <n v="122"/>
    <n v="120"/>
    <n v="80"/>
    <n v="5"/>
    <n v="10"/>
    <n v="10"/>
    <n v="5"/>
    <n v="30"/>
    <s v="A"/>
    <m/>
    <s v="Gigadrenado"/>
    <s v="Onda Tóxica"/>
  </r>
  <r>
    <x v="0"/>
    <x v="0"/>
    <s v="Pikachu"/>
    <s v="Pikachu"/>
    <s v="0025A0"/>
    <s v="Kanto"/>
    <s v="Kanto"/>
    <s v="Electric"/>
    <s v="-"/>
    <s v="Basic"/>
    <s v="0172A0"/>
    <s v="0172A0"/>
    <x v="1"/>
    <s v="Experience"/>
    <n v="3"/>
    <x v="0"/>
    <n v="320"/>
    <n v="35"/>
    <n v="55"/>
    <n v="40"/>
    <n v="50"/>
    <n v="50"/>
    <n v="90"/>
    <n v="2"/>
    <n v="6"/>
    <n v="4"/>
    <n v="5"/>
    <n v="17"/>
    <s v="C-"/>
    <m/>
    <s v="Rayo"/>
    <s v="Ataque Rápido"/>
  </r>
  <r>
    <x v="0"/>
    <x v="0"/>
    <s v="Pikachu (Partner Pikachu)"/>
    <s v="Pikachu"/>
    <s v="0025B0"/>
    <s v="Kanto"/>
    <s v="Kanto"/>
    <s v="Electric"/>
    <s v="-"/>
    <s v="Special"/>
    <s v="0172A0"/>
    <s v="0025A0"/>
    <x v="4"/>
    <s v="Gift"/>
    <s v="-"/>
    <x v="1"/>
    <n v="430"/>
    <n v="45"/>
    <n v="80"/>
    <n v="50"/>
    <n v="75"/>
    <n v="60"/>
    <n v="120"/>
    <n v="3"/>
    <n v="8"/>
    <n v="4"/>
    <n v="7"/>
    <n v="22"/>
    <s v="B-"/>
    <m/>
    <s v="Placaje Eléc"/>
    <s v="Cola Férrea"/>
  </r>
  <r>
    <x v="0"/>
    <x v="0"/>
    <s v="Munchlax"/>
    <s v="Munchlax"/>
    <s v="0446A0"/>
    <s v="Kanto"/>
    <s v="Sinnoh"/>
    <s v="Normal"/>
    <s v="-"/>
    <s v="Basic"/>
    <s v="0446A0"/>
    <s v="-"/>
    <x v="0"/>
    <s v="-"/>
    <s v="-"/>
    <x v="0"/>
    <n v="390"/>
    <n v="135"/>
    <n v="85"/>
    <n v="40"/>
    <n v="40"/>
    <n v="85"/>
    <n v="5"/>
    <n v="9"/>
    <n v="6"/>
    <n v="6"/>
    <n v="1"/>
    <n v="22"/>
    <s v="B-"/>
    <m/>
    <s v="Placaje"/>
    <s v="Lengüetazo"/>
  </r>
  <r>
    <x v="0"/>
    <x v="0"/>
    <s v="Snorlax"/>
    <s v="Snorlax"/>
    <s v="0143A0"/>
    <s v="Kanto"/>
    <s v="Kanto"/>
    <s v="Normal"/>
    <s v="-"/>
    <s v="Basic"/>
    <s v="0446A0"/>
    <s v="0446A0"/>
    <x v="2"/>
    <s v="Experience"/>
    <n v="4"/>
    <x v="3"/>
    <n v="540"/>
    <n v="160"/>
    <n v="110"/>
    <n v="65"/>
    <n v="65"/>
    <n v="110"/>
    <n v="30"/>
    <n v="10"/>
    <n v="8"/>
    <n v="8"/>
    <n v="2"/>
    <n v="28"/>
    <s v="A-"/>
    <m/>
    <s v="Golpe Cuerpo"/>
    <s v="Triturar"/>
  </r>
  <r>
    <x v="0"/>
    <x v="0"/>
    <s v="Lapras"/>
    <s v="Lapras"/>
    <s v="0131A0"/>
    <s v="Kanto"/>
    <s v="Kanto"/>
    <s v="Water"/>
    <s v="Ice"/>
    <s v="Basic"/>
    <s v="0131A0"/>
    <s v="-"/>
    <x v="2"/>
    <s v="-"/>
    <s v="-"/>
    <x v="1"/>
    <n v="535"/>
    <n v="130"/>
    <n v="85"/>
    <n v="80"/>
    <n v="85"/>
    <n v="95"/>
    <n v="60"/>
    <n v="9"/>
    <n v="8"/>
    <n v="6"/>
    <n v="4"/>
    <n v="27"/>
    <s v="B+"/>
    <m/>
    <s v="Surf"/>
    <s v="Liofilización"/>
  </r>
  <r>
    <x v="0"/>
    <x v="0"/>
    <s v="Growlithe"/>
    <s v="Growlithe"/>
    <s v="0058A0"/>
    <s v="Kanto"/>
    <s v="Kanto"/>
    <s v="Fire"/>
    <s v="-"/>
    <s v="Basic"/>
    <s v="0058A0"/>
    <s v="-"/>
    <x v="0"/>
    <s v="-"/>
    <s v="-"/>
    <x v="0"/>
    <n v="350"/>
    <n v="55"/>
    <n v="70"/>
    <n v="45"/>
    <n v="70"/>
    <n v="50"/>
    <n v="60"/>
    <n v="3"/>
    <n v="6"/>
    <n v="4"/>
    <n v="4"/>
    <n v="17"/>
    <s v="C-"/>
    <m/>
    <s v="Rueda Fuego"/>
    <s v="Mordisco"/>
  </r>
  <r>
    <x v="0"/>
    <x v="0"/>
    <s v="Arcanine"/>
    <s v="Arcanine"/>
    <s v="0059A0"/>
    <s v="Kanto"/>
    <s v="Kanto"/>
    <s v="Fire"/>
    <s v="-"/>
    <s v="Basic"/>
    <s v="0058A0"/>
    <s v="0058A0"/>
    <x v="2"/>
    <s v="Stone"/>
    <s v="-"/>
    <x v="3"/>
    <n v="555"/>
    <n v="90"/>
    <n v="110"/>
    <n v="80"/>
    <n v="100"/>
    <n v="80"/>
    <n v="95"/>
    <n v="6"/>
    <n v="10"/>
    <n v="6"/>
    <n v="5"/>
    <n v="27"/>
    <s v="B+"/>
    <m/>
    <s v="Envite Ígneo"/>
    <s v="Veloc. Extrema"/>
  </r>
  <r>
    <x v="0"/>
    <x v="0"/>
    <s v="Machop"/>
    <s v="Machop"/>
    <s v="0066A0"/>
    <s v="Kanto"/>
    <s v="Kanto"/>
    <s v="Fighting"/>
    <s v="-"/>
    <s v="Basic"/>
    <s v="0066A0"/>
    <s v="-"/>
    <x v="0"/>
    <s v="-"/>
    <s v="-"/>
    <x v="0"/>
    <n v="305"/>
    <n v="70"/>
    <n v="80"/>
    <n v="50"/>
    <n v="35"/>
    <n v="35"/>
    <n v="35"/>
    <n v="4"/>
    <n v="6"/>
    <n v="4"/>
    <n v="2"/>
    <n v="16"/>
    <s v="C-"/>
    <m/>
    <s v="Golpe Kárate"/>
    <s v="Tumba Rocas"/>
  </r>
  <r>
    <x v="0"/>
    <x v="0"/>
    <s v="Machoke"/>
    <s v="Machoke"/>
    <s v="0067A0"/>
    <s v="Kanto"/>
    <s v="Kanto"/>
    <s v="Fighting"/>
    <s v="-"/>
    <s v="Basic"/>
    <s v="0066A0"/>
    <s v="0066A0"/>
    <x v="1"/>
    <s v="Experience"/>
    <n v="3"/>
    <x v="0"/>
    <n v="405"/>
    <n v="80"/>
    <n v="100"/>
    <n v="70"/>
    <n v="50"/>
    <n v="60"/>
    <n v="45"/>
    <n v="5"/>
    <n v="8"/>
    <n v="4"/>
    <n v="3"/>
    <n v="20"/>
    <s v="C+"/>
    <m/>
    <s v="Demolición"/>
    <s v="Puño Hielo"/>
  </r>
  <r>
    <x v="0"/>
    <x v="0"/>
    <s v="Machamp"/>
    <s v="Machamp"/>
    <s v="0068A0"/>
    <s v="Kanto"/>
    <s v="Kanto"/>
    <s v="Fighting"/>
    <s v="-"/>
    <s v="Basic"/>
    <s v="0066A0"/>
    <s v="0067A0"/>
    <x v="2"/>
    <s v="Experience"/>
    <n v="5"/>
    <x v="1"/>
    <n v="505"/>
    <n v="90"/>
    <n v="130"/>
    <n v="80"/>
    <n v="65"/>
    <n v="85"/>
    <n v="55"/>
    <n v="6"/>
    <n v="10"/>
    <n v="6"/>
    <n v="3"/>
    <n v="25"/>
    <s v="B"/>
    <m/>
    <s v="Tajo Cruzado"/>
    <s v="Puño Bala"/>
  </r>
  <r>
    <x v="1"/>
    <x v="1"/>
    <s v="Charmander"/>
    <s v="Charmander"/>
    <s v="0004A0"/>
    <s v="Kanto"/>
    <s v="Kanto"/>
    <s v="Fire"/>
    <s v="-"/>
    <s v="Starter"/>
    <s v="0004A0"/>
    <s v="-"/>
    <x v="0"/>
    <s v="-"/>
    <s v="-"/>
    <x v="0"/>
    <n v="309"/>
    <n v="39"/>
    <n v="52"/>
    <n v="43"/>
    <n v="60"/>
    <n v="50"/>
    <n v="65"/>
    <n v="3"/>
    <n v="6"/>
    <n v="4"/>
    <n v="4"/>
    <n v="17"/>
    <s v="C-"/>
    <m/>
    <s v="Ascuas"/>
    <s v="Arañazo"/>
  </r>
  <r>
    <x v="1"/>
    <x v="1"/>
    <s v="Charmeleon"/>
    <s v="Charmeleon"/>
    <s v="0005A0"/>
    <s v="Kanto"/>
    <s v="Kanto"/>
    <s v="Fire"/>
    <s v="-"/>
    <s v="Starter"/>
    <s v="0004A0"/>
    <s v="0004A0"/>
    <x v="1"/>
    <s v="Experience"/>
    <n v="3"/>
    <x v="0"/>
    <n v="405"/>
    <n v="58"/>
    <n v="64"/>
    <n v="58"/>
    <n v="80"/>
    <n v="65"/>
    <n v="80"/>
    <n v="4"/>
    <n v="6"/>
    <n v="4"/>
    <n v="5"/>
    <n v="19"/>
    <s v="C"/>
    <m/>
    <s v="Colmillo Ígneo"/>
    <s v="Garra Metal"/>
  </r>
  <r>
    <x v="1"/>
    <x v="1"/>
    <s v="Charizard"/>
    <s v="Charizard"/>
    <s v="0006A0"/>
    <s v="Kanto"/>
    <s v="Kanto"/>
    <s v="Fire"/>
    <s v="Flying"/>
    <s v="Starter"/>
    <s v="0004A0"/>
    <s v="0005A0"/>
    <x v="2"/>
    <s v="Experience"/>
    <n v="4"/>
    <x v="1"/>
    <n v="534"/>
    <n v="78"/>
    <n v="84"/>
    <n v="78"/>
    <n v="109"/>
    <n v="85"/>
    <n v="100"/>
    <n v="5"/>
    <n v="8"/>
    <n v="6"/>
    <n v="6"/>
    <n v="25"/>
    <s v="B"/>
    <m/>
    <s v="Lanzallamas"/>
    <s v="Tajo Aéreo"/>
  </r>
  <r>
    <x v="1"/>
    <x v="1"/>
    <s v="Pidgey"/>
    <s v="Pidgey"/>
    <s v="0016A0"/>
    <s v="Kanto"/>
    <s v="Kanto"/>
    <s v="Flying"/>
    <s v="Normal"/>
    <s v="Basic"/>
    <s v="0016A0"/>
    <s v="-"/>
    <x v="0"/>
    <s v="-"/>
    <s v="-"/>
    <x v="4"/>
    <n v="251"/>
    <n v="40"/>
    <n v="45"/>
    <n v="40"/>
    <n v="35"/>
    <n v="35"/>
    <n v="56"/>
    <n v="3"/>
    <n v="4"/>
    <n v="4"/>
    <n v="3"/>
    <n v="14"/>
    <s v="E"/>
    <m/>
    <s v="Placaje"/>
    <s v="Tornado"/>
  </r>
  <r>
    <x v="1"/>
    <x v="1"/>
    <s v="Pidgeotto"/>
    <s v="Pidgeotto"/>
    <s v="0017A0"/>
    <s v="Kanto"/>
    <s v="Kanto"/>
    <s v="Flying"/>
    <s v="Normal"/>
    <s v="Basic"/>
    <s v="0016A0"/>
    <s v="0016A0"/>
    <x v="1"/>
    <s v="Experience"/>
    <n v="3"/>
    <x v="0"/>
    <n v="349"/>
    <n v="63"/>
    <n v="60"/>
    <n v="55"/>
    <n v="50"/>
    <n v="50"/>
    <n v="71"/>
    <n v="4"/>
    <n v="6"/>
    <n v="4"/>
    <n v="4"/>
    <n v="18"/>
    <s v="C"/>
    <m/>
    <s v="Ataque Rápido"/>
    <s v="Ataque Ala"/>
  </r>
  <r>
    <x v="1"/>
    <x v="1"/>
    <s v="Pidgeot"/>
    <s v="Pidgeot"/>
    <s v="0018A0"/>
    <s v="Kanto"/>
    <s v="Kanto"/>
    <s v="Flying"/>
    <s v="Normal"/>
    <s v="Basic"/>
    <s v="0016A0"/>
    <s v="0017A0"/>
    <x v="2"/>
    <s v="Experience"/>
    <n v="4"/>
    <x v="1"/>
    <n v="479"/>
    <n v="83"/>
    <n v="80"/>
    <n v="75"/>
    <n v="70"/>
    <n v="70"/>
    <n v="101"/>
    <n v="5"/>
    <n v="8"/>
    <n v="6"/>
    <n v="6"/>
    <n v="25"/>
    <s v="B"/>
    <m/>
    <s v="Vendaval"/>
    <s v="Ala de Acero"/>
  </r>
  <r>
    <x v="1"/>
    <x v="1"/>
    <s v="Pidgeot (Mega Pidgeot)"/>
    <s v="Mega-Pidgeot"/>
    <s v="0018M0"/>
    <s v="Kanto"/>
    <s v="Kanto"/>
    <s v="Flying"/>
    <s v="Normal"/>
    <s v="Mega"/>
    <s v="0016A0"/>
    <s v="0018A0"/>
    <x v="3"/>
    <s v="Megastone"/>
    <s v="-"/>
    <x v="2"/>
    <n v="579"/>
    <n v="83"/>
    <n v="80"/>
    <n v="80"/>
    <n v="135"/>
    <n v="80"/>
    <n v="121"/>
    <n v="5"/>
    <n v="10"/>
    <n v="6"/>
    <n v="7"/>
    <n v="28"/>
    <s v="A-"/>
    <m/>
    <s v="Vendaval"/>
    <s v="Ala de Acero"/>
  </r>
  <r>
    <x v="1"/>
    <x v="1"/>
    <s v="Abra"/>
    <s v="Abra"/>
    <s v="0063A0"/>
    <s v="Kanto"/>
    <s v="Kanto"/>
    <s v="Psychic"/>
    <s v="-"/>
    <s v="Basic"/>
    <s v="0063A0"/>
    <s v="-"/>
    <x v="0"/>
    <s v="-"/>
    <s v="-"/>
    <x v="0"/>
    <n v="310"/>
    <n v="25"/>
    <n v="20"/>
    <n v="15"/>
    <n v="105"/>
    <n v="55"/>
    <n v="90"/>
    <n v="2"/>
    <n v="8"/>
    <n v="4"/>
    <n v="5"/>
    <n v="19"/>
    <s v="C"/>
    <m/>
    <s v="Confusión"/>
    <s v="Rayo Carga"/>
  </r>
  <r>
    <x v="1"/>
    <x v="1"/>
    <s v="Kadabra"/>
    <s v="Kadabra"/>
    <s v="0064A0"/>
    <s v="Kanto"/>
    <s v="Kanto"/>
    <s v="Psychic"/>
    <s v="-"/>
    <s v="Basic"/>
    <s v="0063A0"/>
    <s v="0063A0"/>
    <x v="1"/>
    <s v="Experience"/>
    <n v="3"/>
    <x v="0"/>
    <n v="400"/>
    <n v="40"/>
    <n v="35"/>
    <n v="30"/>
    <n v="120"/>
    <n v="70"/>
    <n v="105"/>
    <n v="3"/>
    <n v="8"/>
    <n v="4"/>
    <n v="6"/>
    <n v="21"/>
    <s v="C+"/>
    <m/>
    <s v="Psicorrayo"/>
    <s v="Energibola"/>
  </r>
  <r>
    <x v="1"/>
    <x v="1"/>
    <s v="Alakazam"/>
    <s v="Alakazam"/>
    <s v="0065A0"/>
    <s v="Kanto"/>
    <s v="Kanto"/>
    <s v="Psychic"/>
    <s v="-"/>
    <s v="Basic"/>
    <s v="0063A0"/>
    <s v="0064A0"/>
    <x v="2"/>
    <s v="Experience"/>
    <n v="5"/>
    <x v="1"/>
    <n v="500"/>
    <n v="55"/>
    <n v="50"/>
    <n v="45"/>
    <n v="135"/>
    <n v="95"/>
    <n v="120"/>
    <n v="3"/>
    <n v="10"/>
    <n v="6"/>
    <n v="7"/>
    <n v="26"/>
    <s v="B+"/>
    <m/>
    <s v="Psíquico"/>
    <s v="Onda Certera"/>
  </r>
  <r>
    <x v="1"/>
    <x v="1"/>
    <s v="Rhyhorn"/>
    <s v="Rhyhorn"/>
    <s v="0111A0"/>
    <s v="Kanto"/>
    <s v="Kanto"/>
    <s v="Ground"/>
    <s v="Rock"/>
    <s v="Basic"/>
    <s v="0111A0"/>
    <s v="-"/>
    <x v="0"/>
    <s v="-"/>
    <s v="-"/>
    <x v="0"/>
    <n v="345"/>
    <n v="80"/>
    <n v="85"/>
    <n v="95"/>
    <n v="30"/>
    <n v="30"/>
    <n v="25"/>
    <n v="5"/>
    <n v="6"/>
    <n v="6"/>
    <n v="2"/>
    <n v="19"/>
    <s v="C"/>
    <m/>
    <s v="Lanzarrocas"/>
    <s v="Cornada"/>
  </r>
  <r>
    <x v="1"/>
    <x v="1"/>
    <s v="Rhydon"/>
    <s v="Rhydon"/>
    <s v="0112A0"/>
    <s v="Kanto"/>
    <s v="Kanto"/>
    <s v="Ground"/>
    <s v="Rock"/>
    <s v="Basic"/>
    <s v="0111A0"/>
    <s v="0111A0"/>
    <x v="1"/>
    <s v="Experience"/>
    <n v="4"/>
    <x v="1"/>
    <n v="485"/>
    <n v="105"/>
    <n v="130"/>
    <n v="120"/>
    <n v="45"/>
    <n v="45"/>
    <n v="40"/>
    <n v="7"/>
    <n v="8"/>
    <n v="8"/>
    <n v="3"/>
    <n v="26"/>
    <s v="B+"/>
    <m/>
    <s v="Avalancha"/>
    <s v="Terratemblor"/>
  </r>
  <r>
    <x v="1"/>
    <x v="1"/>
    <s v="Rhyperior"/>
    <s v="Rhyperior"/>
    <s v="0464A0"/>
    <s v="Kanto"/>
    <s v="Sinnoh"/>
    <s v="Ground"/>
    <s v="Rock"/>
    <s v="Basic"/>
    <s v="0111A0"/>
    <s v="0112A0"/>
    <x v="2"/>
    <s v="Gift"/>
    <s v="-"/>
    <x v="1"/>
    <n v="535"/>
    <n v="115"/>
    <n v="140"/>
    <n v="130"/>
    <n v="55"/>
    <n v="55"/>
    <n v="40"/>
    <n v="7"/>
    <n v="10"/>
    <n v="8"/>
    <n v="3"/>
    <n v="28"/>
    <s v="A-"/>
    <m/>
    <s v="Roca Afilada"/>
    <s v="Terremoto"/>
  </r>
  <r>
    <x v="1"/>
    <x v="1"/>
    <s v="Magikarp"/>
    <s v="Magikarp"/>
    <s v="0129A0"/>
    <s v="Kanto"/>
    <s v="Kanto"/>
    <s v="Water"/>
    <s v="-"/>
    <s v="Basic"/>
    <s v="0129A0"/>
    <s v="-"/>
    <x v="0"/>
    <s v="-"/>
    <s v="-"/>
    <x v="4"/>
    <n v="200"/>
    <n v="20"/>
    <n v="10"/>
    <n v="55"/>
    <n v="15"/>
    <n v="20"/>
    <n v="80"/>
    <n v="2"/>
    <n v="4"/>
    <n v="4"/>
    <n v="5"/>
    <n v="15"/>
    <s v="D"/>
    <m/>
    <s v="Placaje"/>
    <s v="Salpicadura"/>
  </r>
  <r>
    <x v="1"/>
    <x v="1"/>
    <s v="Gyarados"/>
    <s v="Gyarados"/>
    <s v="0130A0"/>
    <s v="Kanto"/>
    <s v="Kanto"/>
    <s v="Water"/>
    <s v="Flying"/>
    <s v="Basic"/>
    <s v="0129A0"/>
    <s v="0129A0"/>
    <x v="2"/>
    <s v="Experience"/>
    <n v="3"/>
    <x v="3"/>
    <n v="540"/>
    <n v="95"/>
    <n v="125"/>
    <n v="79"/>
    <n v="60"/>
    <n v="100"/>
    <n v="81"/>
    <n v="6"/>
    <n v="10"/>
    <n v="8"/>
    <n v="5"/>
    <n v="29"/>
    <s v="A-"/>
    <m/>
    <s v="Cascada"/>
    <s v="Triturar"/>
  </r>
  <r>
    <x v="1"/>
    <x v="1"/>
    <s v="Exeggcute"/>
    <s v="Exeggcute"/>
    <s v="0102A0"/>
    <s v="Kanto"/>
    <s v="Kanto"/>
    <s v="Grass"/>
    <s v="Psychic"/>
    <s v="Basic"/>
    <s v="0102A0"/>
    <s v="-"/>
    <x v="0"/>
    <s v="-"/>
    <s v="-"/>
    <x v="0"/>
    <n v="325"/>
    <n v="60"/>
    <n v="40"/>
    <n v="80"/>
    <n v="60"/>
    <n v="45"/>
    <n v="40"/>
    <n v="4"/>
    <n v="6"/>
    <n v="6"/>
    <n v="3"/>
    <n v="19"/>
    <s v="C"/>
    <m/>
    <s v="Confusión"/>
    <s v="Alboroto"/>
  </r>
  <r>
    <x v="1"/>
    <x v="1"/>
    <s v="Exeggutor"/>
    <s v="Exeggutor"/>
    <s v="0103A0"/>
    <s v="Kanto"/>
    <s v="Kanto"/>
    <s v="Grass"/>
    <s v="Psychic"/>
    <s v="Basic"/>
    <s v="0102A0"/>
    <s v="0102A0"/>
    <x v="2"/>
    <s v="Stone"/>
    <s v="-"/>
    <x v="1"/>
    <n v="530"/>
    <n v="95"/>
    <n v="95"/>
    <n v="85"/>
    <n v="125"/>
    <n v="75"/>
    <n v="55"/>
    <n v="6"/>
    <n v="10"/>
    <n v="6"/>
    <n v="3"/>
    <n v="25"/>
    <s v="B"/>
    <m/>
    <s v="Lluevehojas"/>
    <s v="Psicocarga"/>
  </r>
  <r>
    <x v="2"/>
    <x v="2"/>
    <s v="Squirtle"/>
    <s v="Squirtle"/>
    <s v="0007A0"/>
    <s v="Kanto"/>
    <s v="Kanto"/>
    <s v="Water"/>
    <s v="-"/>
    <s v="Starter"/>
    <s v="0007A0"/>
    <s v="-"/>
    <x v="0"/>
    <s v="-"/>
    <s v="-"/>
    <x v="0"/>
    <n v="314"/>
    <n v="44"/>
    <n v="48"/>
    <n v="65"/>
    <n v="50"/>
    <n v="64"/>
    <n v="43"/>
    <n v="3"/>
    <n v="6"/>
    <n v="4"/>
    <n v="3"/>
    <n v="16"/>
    <s v="C-"/>
    <m/>
    <s v="Placaje"/>
    <s v="Pistola Agua"/>
  </r>
  <r>
    <x v="2"/>
    <x v="2"/>
    <s v="Wartortle"/>
    <s v="Wartortle"/>
    <s v="0008A0"/>
    <s v="Kanto"/>
    <s v="Kanto"/>
    <s v="Water"/>
    <s v="-"/>
    <s v="Starter"/>
    <s v="0007A0"/>
    <s v="0007A0"/>
    <x v="1"/>
    <s v="Experience"/>
    <n v="3"/>
    <x v="0"/>
    <n v="405"/>
    <n v="59"/>
    <n v="63"/>
    <n v="80"/>
    <n v="65"/>
    <n v="80"/>
    <n v="58"/>
    <n v="4"/>
    <n v="6"/>
    <n v="6"/>
    <n v="4"/>
    <n v="20"/>
    <s v="C+"/>
    <m/>
    <s v="Golpe Cabeza"/>
    <s v="Hidropulso"/>
  </r>
  <r>
    <x v="2"/>
    <x v="2"/>
    <s v="Blastoise"/>
    <s v="Blastoise"/>
    <s v="0009A0"/>
    <s v="Kanto"/>
    <s v="Kanto"/>
    <s v="Water"/>
    <s v="-"/>
    <s v="Starter"/>
    <s v="0007A0"/>
    <s v="0008A0"/>
    <x v="2"/>
    <s v="Experience"/>
    <n v="4"/>
    <x v="1"/>
    <n v="530"/>
    <n v="79"/>
    <n v="83"/>
    <n v="100"/>
    <n v="85"/>
    <n v="105"/>
    <n v="78"/>
    <n v="5"/>
    <n v="8"/>
    <n v="8"/>
    <n v="5"/>
    <n v="26"/>
    <s v="B+"/>
    <m/>
    <s v="Hidrobomba"/>
    <s v="Ventisca"/>
  </r>
  <r>
    <x v="2"/>
    <x v="2"/>
    <s v="Gastly"/>
    <s v="Gastly"/>
    <s v="0092A0"/>
    <s v="Kanto"/>
    <s v="Kanto"/>
    <s v="Ghost"/>
    <s v="Poison"/>
    <s v="Basic"/>
    <s v="0092A0"/>
    <s v="-"/>
    <x v="0"/>
    <s v="-"/>
    <s v="-"/>
    <x v="0"/>
    <n v="310"/>
    <n v="30"/>
    <n v="35"/>
    <n v="30"/>
    <n v="100"/>
    <n v="35"/>
    <n v="80"/>
    <n v="2"/>
    <n v="8"/>
    <n v="4"/>
    <n v="5"/>
    <n v="19"/>
    <s v="C"/>
    <m/>
    <s v="Lengüetazo"/>
    <s v="Niebla Clara"/>
  </r>
  <r>
    <x v="2"/>
    <x v="2"/>
    <s v="Haunter"/>
    <s v="Haunter"/>
    <s v="0093A0"/>
    <s v="Kanto"/>
    <s v="Kanto"/>
    <s v="Ghost"/>
    <s v="Poison"/>
    <s v="Basic"/>
    <s v="0092A0"/>
    <s v="0092A0"/>
    <x v="1"/>
    <s v="Experience"/>
    <n v="3"/>
    <x v="0"/>
    <n v="405"/>
    <n v="45"/>
    <n v="50"/>
    <n v="45"/>
    <n v="115"/>
    <n v="55"/>
    <n v="95"/>
    <n v="3"/>
    <n v="8"/>
    <n v="4"/>
    <n v="5"/>
    <n v="20"/>
    <s v="C+"/>
    <m/>
    <s v="Puño Sombra"/>
    <s v="Bomba ácida"/>
  </r>
  <r>
    <x v="2"/>
    <x v="2"/>
    <s v="Gengar"/>
    <s v="Gengar"/>
    <s v="0094A0"/>
    <s v="Kanto"/>
    <s v="Kanto"/>
    <s v="Ghost"/>
    <s v="Poison"/>
    <s v="Basic"/>
    <s v="0092A0"/>
    <s v="0093A0"/>
    <x v="2"/>
    <s v="Experience"/>
    <n v="5"/>
    <x v="1"/>
    <n v="500"/>
    <n v="60"/>
    <n v="65"/>
    <n v="60"/>
    <n v="130"/>
    <n v="75"/>
    <n v="110"/>
    <n v="4"/>
    <n v="10"/>
    <n v="6"/>
    <n v="6"/>
    <n v="26"/>
    <s v="B+"/>
    <m/>
    <s v="Infortunio"/>
    <s v="Bomba Lodo"/>
  </r>
  <r>
    <x v="2"/>
    <x v="2"/>
    <s v="Clefairy"/>
    <s v="Clefairy"/>
    <s v="0035A0"/>
    <s v="Kanto"/>
    <s v="Kanto"/>
    <s v="Fairy"/>
    <s v="-"/>
    <s v="Basic"/>
    <s v="0173A0"/>
    <s v="0173A0"/>
    <x v="1"/>
    <s v="Experience"/>
    <n v="3"/>
    <x v="0"/>
    <n v="323"/>
    <n v="70"/>
    <n v="45"/>
    <n v="48"/>
    <n v="60"/>
    <n v="65"/>
    <n v="35"/>
    <n v="4"/>
    <n v="6"/>
    <n v="4"/>
    <n v="2"/>
    <n v="16"/>
    <s v="C-"/>
    <m/>
    <s v="Beso drenaje"/>
    <s v="Rodar"/>
  </r>
  <r>
    <x v="2"/>
    <x v="2"/>
    <s v="Clefable"/>
    <s v="Clefable"/>
    <s v="0036A0"/>
    <s v="Kanto"/>
    <s v="Kanto"/>
    <s v="Fairy"/>
    <s v="-"/>
    <s v="Basic"/>
    <s v="0173A0"/>
    <s v="0035A0"/>
    <x v="2"/>
    <s v="Stone"/>
    <s v="-"/>
    <x v="1"/>
    <n v="483"/>
    <n v="95"/>
    <n v="70"/>
    <n v="73"/>
    <n v="95"/>
    <n v="90"/>
    <n v="60"/>
    <n v="6"/>
    <n v="8"/>
    <n v="6"/>
    <n v="4"/>
    <n v="24"/>
    <s v="B"/>
    <m/>
    <s v="Fuerza Lunar"/>
    <s v="Puño Meteoro"/>
  </r>
  <r>
    <x v="2"/>
    <x v="2"/>
    <s v="Kangaskhan"/>
    <s v="Kangaskhan"/>
    <s v="0115A0"/>
    <s v="Kanto"/>
    <s v="Kanto"/>
    <s v="Normal"/>
    <s v="-"/>
    <s v="Basic"/>
    <s v="0115A0"/>
    <s v="-"/>
    <x v="2"/>
    <s v="-"/>
    <s v="-"/>
    <x v="1"/>
    <n v="490"/>
    <n v="105"/>
    <n v="95"/>
    <n v="80"/>
    <n v="40"/>
    <n v="80"/>
    <n v="90"/>
    <n v="7"/>
    <n v="8"/>
    <n v="6"/>
    <n v="5"/>
    <n v="26"/>
    <s v="B+"/>
    <m/>
    <s v="Puño Mareo"/>
    <s v="Machada"/>
  </r>
  <r>
    <x v="2"/>
    <x v="2"/>
    <s v="Kangaskhan (Mega Kangaskhan)"/>
    <s v="Mega-Kangaskhan"/>
    <s v="0115M0"/>
    <s v="Kanto"/>
    <s v="Kanto"/>
    <s v="Normal"/>
    <s v="-"/>
    <s v="Mega"/>
    <s v="0115A0"/>
    <s v="0115A0"/>
    <x v="3"/>
    <s v="Megastone"/>
    <s v="-"/>
    <x v="2"/>
    <n v="590"/>
    <n v="105"/>
    <n v="125"/>
    <n v="100"/>
    <n v="60"/>
    <n v="100"/>
    <n v="100"/>
    <n v="7"/>
    <n v="10"/>
    <n v="8"/>
    <n v="6"/>
    <n v="31"/>
    <s v="A"/>
    <m/>
    <s v="Puño Mareo"/>
    <s v="Machada"/>
  </r>
  <r>
    <x v="2"/>
    <x v="2"/>
    <s v="Bellsprout"/>
    <s v="Bellsprout"/>
    <s v="0069A0"/>
    <s v="Kanto"/>
    <s v="Kanto"/>
    <s v="Grass"/>
    <s v="Poison"/>
    <s v="Basic"/>
    <s v="0069A0"/>
    <s v="-"/>
    <x v="0"/>
    <s v="-"/>
    <s v="-"/>
    <x v="0"/>
    <n v="300"/>
    <n v="50"/>
    <n v="75"/>
    <n v="35"/>
    <n v="70"/>
    <n v="30"/>
    <n v="40"/>
    <n v="3"/>
    <n v="6"/>
    <n v="4"/>
    <n v="3"/>
    <n v="16"/>
    <s v="C-"/>
    <m/>
    <s v="Látigo Cepa"/>
    <s v="Constricción"/>
  </r>
  <r>
    <x v="2"/>
    <x v="2"/>
    <s v="Weepinbell"/>
    <s v="Weepinbell"/>
    <s v="0070A0"/>
    <s v="Kanto"/>
    <s v="Kanto"/>
    <s v="Grass"/>
    <s v="Poison"/>
    <s v="Basic"/>
    <s v="0069A0"/>
    <s v="0069A0"/>
    <x v="1"/>
    <s v="Experience"/>
    <n v="3"/>
    <x v="0"/>
    <n v="390"/>
    <n v="65"/>
    <n v="90"/>
    <n v="50"/>
    <n v="85"/>
    <n v="45"/>
    <n v="55"/>
    <n v="4"/>
    <n v="8"/>
    <n v="4"/>
    <n v="3"/>
    <n v="19"/>
    <s v="C"/>
    <m/>
    <s v="Hoja Afilada"/>
    <s v="Ácido"/>
  </r>
  <r>
    <x v="2"/>
    <x v="2"/>
    <s v="Victreebel"/>
    <s v="Victreebel"/>
    <s v="0071A0"/>
    <s v="Kanto"/>
    <s v="Kanto"/>
    <s v="Grass"/>
    <s v="Poison"/>
    <s v="Basic"/>
    <s v="0069A0"/>
    <s v="0070A0"/>
    <x v="2"/>
    <s v="Stone"/>
    <s v="-"/>
    <x v="1"/>
    <n v="490"/>
    <n v="80"/>
    <n v="105"/>
    <n v="65"/>
    <n v="100"/>
    <n v="70"/>
    <n v="70"/>
    <n v="5"/>
    <n v="10"/>
    <n v="6"/>
    <n v="4"/>
    <n v="25"/>
    <s v="B"/>
    <m/>
    <s v="Latigazo"/>
    <s v="Puya Nociva"/>
  </r>
  <r>
    <x v="2"/>
    <x v="2"/>
    <s v="Vulpix"/>
    <s v="Vulpix"/>
    <s v="0037A0"/>
    <s v="Kanto"/>
    <s v="Kanto"/>
    <s v="Fire"/>
    <s v="-"/>
    <s v="Basic"/>
    <s v="0037A0"/>
    <s v="-"/>
    <x v="0"/>
    <s v="-"/>
    <s v="-"/>
    <x v="0"/>
    <n v="299"/>
    <n v="38"/>
    <n v="41"/>
    <n v="40"/>
    <n v="50"/>
    <n v="65"/>
    <n v="65"/>
    <n v="3"/>
    <n v="4"/>
    <n v="4"/>
    <n v="4"/>
    <n v="15"/>
    <s v="D"/>
    <m/>
    <s v="Giro Fuego"/>
    <s v="Infortunio"/>
  </r>
  <r>
    <x v="2"/>
    <x v="2"/>
    <s v="Ninetales"/>
    <s v="Ninetales"/>
    <s v="0038A0"/>
    <s v="Kanto"/>
    <s v="Kanto"/>
    <s v="Fire"/>
    <s v="-"/>
    <s v="Basic"/>
    <s v="0037A0"/>
    <s v="0037A0"/>
    <x v="2"/>
    <s v="Stone"/>
    <s v="-"/>
    <x v="1"/>
    <n v="505"/>
    <n v="73"/>
    <n v="76"/>
    <n v="75"/>
    <n v="81"/>
    <n v="100"/>
    <n v="100"/>
    <n v="4"/>
    <n v="8"/>
    <n v="8"/>
    <n v="6"/>
    <n v="26"/>
    <s v="B+"/>
    <m/>
    <s v="Llama embrujada"/>
    <s v="Paranormal"/>
  </r>
  <r>
    <x v="3"/>
    <x v="3"/>
    <s v="Cyndaquil"/>
    <s v="Cyndaquil"/>
    <s v="0155A0"/>
    <s v="Johto"/>
    <s v="Johto"/>
    <s v="Fire"/>
    <s v="-"/>
    <s v="Starter"/>
    <s v="0155A0"/>
    <s v="-"/>
    <x v="0"/>
    <s v="-"/>
    <s v="-"/>
    <x v="0"/>
    <n v="309"/>
    <n v="39"/>
    <n v="52"/>
    <n v="43"/>
    <n v="60"/>
    <n v="50"/>
    <n v="65"/>
    <n v="3"/>
    <n v="6"/>
    <n v="4"/>
    <n v="4"/>
    <n v="17"/>
    <s v="C-"/>
    <m/>
    <s v="Ascuas"/>
    <s v="Placaje"/>
  </r>
  <r>
    <x v="3"/>
    <x v="3"/>
    <s v="Quilava"/>
    <s v="Quilava"/>
    <s v="0156A0"/>
    <s v="Johto"/>
    <s v="Johto"/>
    <s v="Fire"/>
    <s v="-"/>
    <s v="Starter"/>
    <s v="0155A0"/>
    <s v="0155A0"/>
    <x v="1"/>
    <s v="Experience"/>
    <n v="3"/>
    <x v="0"/>
    <n v="405"/>
    <n v="58"/>
    <n v="64"/>
    <n v="58"/>
    <n v="80"/>
    <n v="65"/>
    <n v="80"/>
    <n v="4"/>
    <n v="6"/>
    <n v="4"/>
    <n v="5"/>
    <n v="19"/>
    <s v="C"/>
    <m/>
    <s v="Rueda Fuego"/>
    <s v="Ataque Rápido"/>
  </r>
  <r>
    <x v="3"/>
    <x v="3"/>
    <s v="Typhlosion"/>
    <s v="Typhlosion"/>
    <s v="0157A0"/>
    <s v="Johto"/>
    <s v="Johto"/>
    <s v="Fire"/>
    <s v="-"/>
    <s v="Starter"/>
    <s v="0155A0"/>
    <s v="0156A0"/>
    <x v="2"/>
    <s v="Experience"/>
    <n v="4"/>
    <x v="1"/>
    <n v="534"/>
    <n v="78"/>
    <n v="84"/>
    <n v="78"/>
    <n v="109"/>
    <n v="85"/>
    <n v="100"/>
    <n v="5"/>
    <n v="8"/>
    <n v="6"/>
    <n v="6"/>
    <n v="25"/>
    <s v="B"/>
    <m/>
    <s v="Estallido"/>
    <s v="Paranormal"/>
  </r>
  <r>
    <x v="3"/>
    <x v="3"/>
    <s v="Mareep"/>
    <s v="Mareep"/>
    <s v="0179A0"/>
    <s v="Johto"/>
    <s v="Johto"/>
    <s v="Electric"/>
    <s v="-"/>
    <s v="Basic"/>
    <s v="0179A0"/>
    <s v="-"/>
    <x v="0"/>
    <s v="-"/>
    <s v="-"/>
    <x v="4"/>
    <n v="280"/>
    <n v="55"/>
    <n v="40"/>
    <n v="40"/>
    <n v="65"/>
    <n v="45"/>
    <n v="35"/>
    <n v="3"/>
    <n v="6"/>
    <n v="4"/>
    <n v="2"/>
    <n v="15"/>
    <s v="D"/>
    <m/>
    <s v="Impactrueno"/>
    <s v="Placaje"/>
  </r>
  <r>
    <x v="3"/>
    <x v="3"/>
    <s v="Flaaffy"/>
    <s v="Flaaffy"/>
    <s v="0180A0"/>
    <s v="Johto"/>
    <s v="Johto"/>
    <s v="Electric"/>
    <s v="-"/>
    <s v="Basic"/>
    <s v="0179A0"/>
    <s v="0179A0"/>
    <x v="1"/>
    <s v="Experience"/>
    <n v="3"/>
    <x v="0"/>
    <n v="365"/>
    <n v="70"/>
    <n v="55"/>
    <n v="55"/>
    <n v="80"/>
    <n v="60"/>
    <n v="45"/>
    <n v="4"/>
    <n v="6"/>
    <n v="4"/>
    <n v="3"/>
    <n v="17"/>
    <s v="C-"/>
    <m/>
    <s v="Chispazo"/>
    <s v="Joya de Luz"/>
  </r>
  <r>
    <x v="3"/>
    <x v="3"/>
    <s v="Ampharos"/>
    <s v="Ampharos"/>
    <s v="0181A0"/>
    <s v="Johto"/>
    <s v="Johto"/>
    <s v="Electric"/>
    <s v="-"/>
    <s v="Basic"/>
    <s v="0179A0"/>
    <s v="0180A0"/>
    <x v="2"/>
    <s v="Experience"/>
    <n v="4"/>
    <x v="1"/>
    <n v="510"/>
    <n v="90"/>
    <n v="75"/>
    <n v="85"/>
    <n v="115"/>
    <n v="90"/>
    <n v="55"/>
    <n v="6"/>
    <n v="8"/>
    <n v="6"/>
    <n v="3"/>
    <n v="23"/>
    <s v="B-"/>
    <m/>
    <s v="Trueno"/>
    <s v="Pulso Dragón"/>
  </r>
  <r>
    <x v="3"/>
    <x v="3"/>
    <s v="Ampharos (Mega Ampharos)"/>
    <s v="Mega-Ampharos"/>
    <s v="0181M0"/>
    <s v="Johto"/>
    <s v="Johto"/>
    <s v="Electric"/>
    <s v="Dragon"/>
    <s v="Mega"/>
    <s v="0179A0"/>
    <s v="0181A0"/>
    <x v="3"/>
    <s v="Megastone"/>
    <s v="-"/>
    <x v="2"/>
    <n v="610"/>
    <n v="90"/>
    <n v="95"/>
    <n v="105"/>
    <n v="165"/>
    <n v="110"/>
    <n v="45"/>
    <n v="6"/>
    <n v="12"/>
    <n v="8"/>
    <n v="3"/>
    <n v="29"/>
    <s v="A-"/>
    <m/>
    <s v="Trueno"/>
    <s v="Pulso Dragón"/>
  </r>
  <r>
    <x v="3"/>
    <x v="3"/>
    <s v="Poliwag"/>
    <s v="Poliwag"/>
    <s v="0060A0"/>
    <s v="Johto"/>
    <s v="Kanto"/>
    <s v="Water"/>
    <s v="-"/>
    <s v="Basic"/>
    <s v="0060A0"/>
    <s v="-"/>
    <x v="0"/>
    <s v="-"/>
    <s v="-"/>
    <x v="0"/>
    <n v="300"/>
    <n v="40"/>
    <n v="50"/>
    <n v="40"/>
    <n v="40"/>
    <n v="40"/>
    <n v="90"/>
    <n v="3"/>
    <n v="4"/>
    <n v="4"/>
    <n v="5"/>
    <n v="16"/>
    <s v="C-"/>
    <m/>
    <s v="Burbuja"/>
    <s v="Doble Bofetón"/>
  </r>
  <r>
    <x v="3"/>
    <x v="3"/>
    <s v="Poliwhirl"/>
    <s v="Poliwhirl"/>
    <s v="0061A0"/>
    <s v="Johto"/>
    <s v="Kanto"/>
    <s v="Water"/>
    <s v="-"/>
    <s v="Basic"/>
    <s v="0060A0"/>
    <s v="0060A0"/>
    <x v="1"/>
    <s v="Experience"/>
    <n v="3"/>
    <x v="0"/>
    <n v="385"/>
    <n v="65"/>
    <n v="65"/>
    <n v="65"/>
    <n v="50"/>
    <n v="50"/>
    <n v="90"/>
    <n v="4"/>
    <n v="6"/>
    <n v="4"/>
    <n v="5"/>
    <n v="19"/>
    <s v="C"/>
    <m/>
    <s v="Pistola Agua"/>
    <s v="Golpe Cabeza"/>
  </r>
  <r>
    <x v="3"/>
    <x v="3"/>
    <s v="Politoed"/>
    <s v="Politoed"/>
    <s v="0186A0"/>
    <s v="Johto"/>
    <s v="Johto"/>
    <s v="Water"/>
    <s v="-"/>
    <s v="Basic"/>
    <s v="0060A0"/>
    <s v="0061A0"/>
    <x v="2"/>
    <s v="Gift"/>
    <s v="-"/>
    <x v="1"/>
    <n v="500"/>
    <n v="90"/>
    <n v="75"/>
    <n v="75"/>
    <n v="90"/>
    <n v="100"/>
    <n v="70"/>
    <n v="6"/>
    <n v="8"/>
    <n v="8"/>
    <n v="4"/>
    <n v="26"/>
    <s v="B+"/>
    <m/>
    <s v="Escaldar"/>
    <s v="Bote"/>
  </r>
  <r>
    <x v="3"/>
    <x v="3"/>
    <s v="Eevee"/>
    <s v="Eevee"/>
    <s v="0133A0"/>
    <s v="Johto"/>
    <s v="Kanto"/>
    <s v="Normal"/>
    <s v="-"/>
    <s v="Basic"/>
    <s v="0133A0"/>
    <s v="-"/>
    <x v="0"/>
    <s v="-"/>
    <s v="-"/>
    <x v="0"/>
    <n v="325"/>
    <n v="55"/>
    <n v="55"/>
    <n v="50"/>
    <n v="45"/>
    <n v="65"/>
    <n v="55"/>
    <n v="3"/>
    <n v="4"/>
    <n v="4"/>
    <n v="3"/>
    <n v="14"/>
    <s v="E"/>
    <m/>
    <s v="Placaje"/>
    <s v="Mordisco"/>
  </r>
  <r>
    <x v="3"/>
    <x v="3"/>
    <s v="Umbreon"/>
    <s v="Umbreon"/>
    <s v="0197A0"/>
    <s v="Johto"/>
    <s v="Johto"/>
    <s v="Dark"/>
    <s v="-"/>
    <s v="Basic"/>
    <s v="0133A0"/>
    <s v="0133A0"/>
    <x v="2"/>
    <s v="Stone"/>
    <s v="-"/>
    <x v="1"/>
    <n v="525"/>
    <n v="95"/>
    <n v="65"/>
    <n v="110"/>
    <n v="60"/>
    <n v="130"/>
    <n v="65"/>
    <n v="6"/>
    <n v="6"/>
    <n v="10"/>
    <n v="4"/>
    <n v="26"/>
    <s v="B+"/>
    <m/>
    <s v="Pulso Umbrío"/>
    <s v="Cola Férrea"/>
  </r>
  <r>
    <x v="3"/>
    <x v="3"/>
    <s v="Phanpy"/>
    <s v="Phanpy"/>
    <s v="0231A0"/>
    <s v="Johto"/>
    <s v="Johto"/>
    <s v="Ground"/>
    <s v="-"/>
    <s v="Basic"/>
    <s v="0231A0"/>
    <s v="-"/>
    <x v="0"/>
    <s v="-"/>
    <s v="-"/>
    <x v="0"/>
    <n v="330"/>
    <n v="90"/>
    <n v="60"/>
    <n v="60"/>
    <n v="40"/>
    <n v="40"/>
    <n v="40"/>
    <n v="6"/>
    <n v="6"/>
    <n v="4"/>
    <n v="3"/>
    <n v="19"/>
    <s v="C"/>
    <m/>
    <s v="Placaje"/>
    <s v="Terratemblor"/>
  </r>
  <r>
    <x v="3"/>
    <x v="3"/>
    <s v="Donphan"/>
    <s v="Donphan"/>
    <s v="0232A0"/>
    <s v="Johto"/>
    <s v="Johto"/>
    <s v="Ground"/>
    <s v="-"/>
    <s v="Basic"/>
    <s v="0231A0"/>
    <s v="0231A0"/>
    <x v="2"/>
    <s v="Experience"/>
    <n v="3"/>
    <x v="1"/>
    <n v="500"/>
    <n v="90"/>
    <n v="120"/>
    <n v="120"/>
    <n v="60"/>
    <n v="60"/>
    <n v="50"/>
    <n v="6"/>
    <n v="8"/>
    <n v="8"/>
    <n v="3"/>
    <n v="25"/>
    <s v="B"/>
    <m/>
    <s v="Pataleta"/>
    <s v="Canto Helado"/>
  </r>
  <r>
    <x v="3"/>
    <x v="3"/>
    <s v="Aipom"/>
    <s v="Aipom"/>
    <s v="0190A0"/>
    <s v="Johto"/>
    <s v="Johto"/>
    <s v="Normal"/>
    <s v="-"/>
    <s v="Basic"/>
    <s v="0190A0"/>
    <s v="-"/>
    <x v="0"/>
    <s v="-"/>
    <s v="-"/>
    <x v="0"/>
    <n v="360"/>
    <n v="55"/>
    <n v="70"/>
    <n v="55"/>
    <n v="40"/>
    <n v="55"/>
    <n v="85"/>
    <n v="3"/>
    <n v="6"/>
    <n v="4"/>
    <n v="5"/>
    <n v="18"/>
    <s v="C"/>
    <m/>
    <s v="Rapidez"/>
    <s v="Patada Baja"/>
  </r>
  <r>
    <x v="3"/>
    <x v="3"/>
    <s v="Ambipom"/>
    <s v="Ambipom"/>
    <s v="0424A0"/>
    <s v="Johto"/>
    <s v="Sinnoh"/>
    <s v="Normal"/>
    <s v="-"/>
    <s v="Basic"/>
    <s v="0190A0"/>
    <s v="0190A0"/>
    <x v="2"/>
    <s v="Experience"/>
    <n v="4"/>
    <x v="1"/>
    <n v="482"/>
    <n v="75"/>
    <n v="100"/>
    <n v="66"/>
    <n v="60"/>
    <n v="66"/>
    <n v="115"/>
    <n v="4"/>
    <n v="8"/>
    <n v="4"/>
    <n v="6"/>
    <n v="22"/>
    <s v="B-"/>
    <m/>
    <s v="Doble Golpe"/>
    <s v="Garra Umbría"/>
  </r>
  <r>
    <x v="4"/>
    <x v="4"/>
    <s v="Jigglypuff"/>
    <s v="Jigglypuff"/>
    <s v="0039A0"/>
    <s v="Johto"/>
    <s v="Kanto"/>
    <s v="Fairy"/>
    <s v="Normal"/>
    <s v="Basic"/>
    <s v="0174A0"/>
    <s v="0174A0"/>
    <x v="1"/>
    <s v="Experience"/>
    <n v="3"/>
    <x v="0"/>
    <n v="270"/>
    <n v="115"/>
    <n v="45"/>
    <n v="20"/>
    <n v="45"/>
    <n v="25"/>
    <n v="20"/>
    <n v="6"/>
    <n v="4"/>
    <n v="4"/>
    <n v="2"/>
    <n v="16"/>
    <s v="C-"/>
    <m/>
    <s v="Canon"/>
    <s v="Carantoña"/>
  </r>
  <r>
    <x v="4"/>
    <x v="4"/>
    <s v="Wigglytuff"/>
    <s v="Wigglytuff"/>
    <s v="0040A0"/>
    <s v="Johto"/>
    <s v="Kanto"/>
    <s v="Fairy"/>
    <s v="Normal"/>
    <s v="Basic"/>
    <s v="0174A0"/>
    <s v="0039A0"/>
    <x v="2"/>
    <s v="Stone"/>
    <s v="-"/>
    <x v="0"/>
    <n v="435"/>
    <n v="140"/>
    <n v="70"/>
    <n v="45"/>
    <n v="85"/>
    <n v="50"/>
    <n v="45"/>
    <n v="8"/>
    <n v="8"/>
    <n v="4"/>
    <n v="3"/>
    <n v="23"/>
    <s v="B-"/>
    <m/>
    <s v="Vozarrón"/>
    <s v="Onda Certera"/>
  </r>
  <r>
    <x v="4"/>
    <x v="4"/>
    <s v="Eevee"/>
    <s v="Eevee"/>
    <s v="0133A0"/>
    <s v="Johto"/>
    <s v="Kanto"/>
    <s v="Normal"/>
    <s v="-"/>
    <s v="Basic"/>
    <s v="0133A0"/>
    <s v="-"/>
    <x v="0"/>
    <s v="-"/>
    <s v="-"/>
    <x v="0"/>
    <n v="325"/>
    <n v="55"/>
    <n v="55"/>
    <n v="50"/>
    <n v="45"/>
    <n v="65"/>
    <n v="55"/>
    <n v="3"/>
    <n v="4"/>
    <n v="4"/>
    <n v="3"/>
    <n v="14"/>
    <s v="E"/>
    <m/>
    <s v="Ataque Rápido"/>
    <s v="Bofetón Lodo"/>
  </r>
  <r>
    <x v="4"/>
    <x v="4"/>
    <s v="Flareon"/>
    <s v="Flareon"/>
    <s v="0136A0"/>
    <s v="Johto"/>
    <s v="Kanto"/>
    <s v="Fire"/>
    <s v="-"/>
    <s v="Basic"/>
    <s v="0133A0"/>
    <s v="0133A0"/>
    <x v="2"/>
    <s v="Stone"/>
    <s v="-"/>
    <x v="1"/>
    <n v="525"/>
    <n v="65"/>
    <n v="130"/>
    <n v="60"/>
    <n v="95"/>
    <n v="110"/>
    <n v="65"/>
    <n v="4"/>
    <n v="10"/>
    <n v="8"/>
    <n v="4"/>
    <n v="26"/>
    <s v="B+"/>
    <m/>
    <s v="Colmillo Ígneo"/>
    <s v="Excavar"/>
  </r>
  <r>
    <x v="4"/>
    <x v="4"/>
    <s v="Totodile"/>
    <s v="Totodile"/>
    <s v="0158A0"/>
    <s v="Johto"/>
    <s v="Johto"/>
    <s v="Water"/>
    <s v="-"/>
    <s v="Starter"/>
    <s v="0158A0"/>
    <s v="-"/>
    <x v="0"/>
    <s v="-"/>
    <s v="-"/>
    <x v="0"/>
    <n v="314"/>
    <n v="50"/>
    <n v="65"/>
    <n v="64"/>
    <n v="44"/>
    <n v="48"/>
    <n v="43"/>
    <n v="3"/>
    <n v="6"/>
    <n v="4"/>
    <n v="3"/>
    <n v="16"/>
    <s v="C-"/>
    <m/>
    <s v="Arañazo"/>
    <s v="Pistola Agua"/>
  </r>
  <r>
    <x v="4"/>
    <x v="4"/>
    <s v="Croconaw"/>
    <s v="Croconaw"/>
    <s v="0159A0"/>
    <s v="Johto"/>
    <s v="Johto"/>
    <s v="Water"/>
    <s v="-"/>
    <s v="Starter"/>
    <s v="0158A0"/>
    <s v="0158A0"/>
    <x v="1"/>
    <s v="Experience"/>
    <n v="3"/>
    <x v="0"/>
    <n v="405"/>
    <n v="65"/>
    <n v="80"/>
    <n v="80"/>
    <n v="59"/>
    <n v="63"/>
    <n v="58"/>
    <n v="4"/>
    <n v="6"/>
    <n v="6"/>
    <n v="4"/>
    <n v="20"/>
    <s v="C+"/>
    <m/>
    <s v="Mordisco"/>
    <s v="Hidropulso"/>
  </r>
  <r>
    <x v="4"/>
    <x v="4"/>
    <s v="Feraligatr"/>
    <s v="Feraligatr"/>
    <s v="0160A0"/>
    <s v="Johto"/>
    <s v="Johto"/>
    <s v="Water"/>
    <s v="-"/>
    <s v="Starter"/>
    <s v="0158A0"/>
    <s v="0159A0"/>
    <x v="2"/>
    <s v="Experience"/>
    <n v="4"/>
    <x v="1"/>
    <n v="530"/>
    <n v="85"/>
    <n v="105"/>
    <n v="100"/>
    <n v="79"/>
    <n v="83"/>
    <n v="78"/>
    <n v="5"/>
    <n v="8"/>
    <n v="8"/>
    <n v="5"/>
    <n v="26"/>
    <s v="B+"/>
    <m/>
    <s v="Cascada"/>
    <s v="Colmillo Hielo"/>
  </r>
  <r>
    <x v="4"/>
    <x v="4"/>
    <s v="Misdreavus"/>
    <s v="Misdreavus"/>
    <s v="0200A0"/>
    <s v="Johto"/>
    <s v="Johto"/>
    <s v="Ghost"/>
    <s v="-"/>
    <s v="Basic"/>
    <s v="0200A0"/>
    <s v="-"/>
    <x v="0"/>
    <s v="-"/>
    <s v="-"/>
    <x v="0"/>
    <n v="435"/>
    <n v="60"/>
    <n v="60"/>
    <n v="60"/>
    <n v="85"/>
    <n v="85"/>
    <n v="85"/>
    <n v="4"/>
    <n v="6"/>
    <n v="6"/>
    <n v="5"/>
    <n v="21"/>
    <s v="C+"/>
    <m/>
    <s v="Impresionar"/>
    <s v="Psicorrayo"/>
  </r>
  <r>
    <x v="4"/>
    <x v="4"/>
    <s v="Mismagius"/>
    <s v="Mismagius"/>
    <s v="0429A0"/>
    <s v="Johto"/>
    <s v="Sinnoh"/>
    <s v="Ghost"/>
    <s v="-"/>
    <s v="Basic"/>
    <s v="0200A0"/>
    <s v="0200A0"/>
    <x v="2"/>
    <s v="Stone"/>
    <s v="-"/>
    <x v="1"/>
    <n v="495"/>
    <n v="60"/>
    <n v="60"/>
    <n v="60"/>
    <n v="105"/>
    <n v="105"/>
    <n v="105"/>
    <n v="4"/>
    <n v="8"/>
    <n v="8"/>
    <n v="6"/>
    <n v="26"/>
    <s v="B+"/>
    <m/>
    <s v="Bola Sombra"/>
    <s v="Rayo"/>
  </r>
  <r>
    <x v="4"/>
    <x v="4"/>
    <s v="Tangela"/>
    <s v="Tangela"/>
    <s v="0114A0"/>
    <s v="Johto"/>
    <s v="Kanto"/>
    <s v="Grass"/>
    <s v="-"/>
    <s v="Basic"/>
    <s v="0114A0"/>
    <s v="-"/>
    <x v="0"/>
    <s v="-"/>
    <s v="-"/>
    <x v="0"/>
    <n v="435"/>
    <n v="65"/>
    <n v="55"/>
    <n v="115"/>
    <n v="100"/>
    <n v="40"/>
    <n v="60"/>
    <n v="4"/>
    <n v="8"/>
    <n v="6"/>
    <n v="4"/>
    <n v="22"/>
    <s v="B-"/>
    <m/>
    <s v="Látigo Cepa"/>
    <s v="Bomba Ácida"/>
  </r>
  <r>
    <x v="4"/>
    <x v="4"/>
    <s v="Tangrowth"/>
    <s v="Tangrowth"/>
    <s v="0465A0"/>
    <s v="Johto"/>
    <s v="Sinnoh"/>
    <s v="Grass"/>
    <s v="-"/>
    <s v="Basic"/>
    <s v="0114A0"/>
    <s v="0114A0"/>
    <x v="2"/>
    <s v="Experience"/>
    <n v="4"/>
    <x v="1"/>
    <n v="535"/>
    <n v="100"/>
    <n v="100"/>
    <n v="125"/>
    <n v="110"/>
    <n v="50"/>
    <n v="50"/>
    <n v="6"/>
    <n v="10"/>
    <n v="8"/>
    <n v="3"/>
    <n v="27"/>
    <s v="B+"/>
    <m/>
    <s v="Latigazo"/>
    <s v="Poder Pasado"/>
  </r>
  <r>
    <x v="4"/>
    <x v="4"/>
    <s v="Togepi"/>
    <s v="Togepi"/>
    <s v="0175A0"/>
    <s v="Johto"/>
    <s v="Johto"/>
    <s v="Fairy"/>
    <s v="-"/>
    <s v="Basic"/>
    <s v="0175A0"/>
    <s v="-"/>
    <x v="0"/>
    <s v="-"/>
    <s v="-"/>
    <x v="4"/>
    <n v="245"/>
    <n v="35"/>
    <n v="20"/>
    <n v="65"/>
    <n v="40"/>
    <n v="65"/>
    <n v="20"/>
    <n v="2"/>
    <n v="4"/>
    <n v="4"/>
    <n v="2"/>
    <n v="12"/>
    <s v="F"/>
    <m/>
    <s v="Beso drenaje"/>
    <s v="Rodar"/>
  </r>
  <r>
    <x v="4"/>
    <x v="4"/>
    <s v="Togetic"/>
    <s v="Togetic"/>
    <s v="0176A0"/>
    <s v="Johto"/>
    <s v="Johto"/>
    <s v="Fairy"/>
    <s v="Flying"/>
    <s v="Basic"/>
    <s v="0175A0"/>
    <s v="0175A0"/>
    <x v="1"/>
    <s v="Experience"/>
    <n v="3"/>
    <x v="0"/>
    <n v="405"/>
    <n v="55"/>
    <n v="40"/>
    <n v="85"/>
    <n v="80"/>
    <n v="105"/>
    <n v="40"/>
    <n v="3"/>
    <n v="6"/>
    <n v="8"/>
    <n v="3"/>
    <n v="20"/>
    <s v="C+"/>
    <m/>
    <s v="Viento Feérico"/>
    <s v="Paranormal"/>
  </r>
  <r>
    <x v="4"/>
    <x v="4"/>
    <s v="Togekiss"/>
    <s v="Togekiss"/>
    <s v="0468A0"/>
    <s v="Johto"/>
    <s v="Sinnoh"/>
    <s v="Fairy"/>
    <s v="Flying"/>
    <s v="Basic"/>
    <s v="0175A0"/>
    <s v="0176A0"/>
    <x v="2"/>
    <s v="Stone"/>
    <s v="-"/>
    <x v="1"/>
    <n v="545"/>
    <n v="85"/>
    <n v="50"/>
    <n v="95"/>
    <n v="120"/>
    <n v="115"/>
    <n v="80"/>
    <n v="5"/>
    <n v="8"/>
    <n v="8"/>
    <n v="5"/>
    <n v="26"/>
    <s v="B+"/>
    <m/>
    <s v="Fuerza Lunar"/>
    <s v="Tajo Aéreo"/>
  </r>
  <r>
    <x v="5"/>
    <x v="5"/>
    <s v="Chikorita"/>
    <s v="Chikorita"/>
    <s v="0152A0"/>
    <s v="Johto"/>
    <s v="Johto"/>
    <s v="Grass"/>
    <s v="-"/>
    <s v="Starter"/>
    <s v="0152A0"/>
    <s v="-"/>
    <x v="0"/>
    <s v="-"/>
    <s v="-"/>
    <x v="0"/>
    <n v="318"/>
    <n v="45"/>
    <n v="49"/>
    <n v="65"/>
    <n v="49"/>
    <n v="65"/>
    <n v="45"/>
    <n v="3"/>
    <n v="4"/>
    <n v="4"/>
    <n v="3"/>
    <n v="14"/>
    <s v="E"/>
    <m/>
    <s v="Placaje"/>
    <s v="Látigo Cepa"/>
  </r>
  <r>
    <x v="5"/>
    <x v="5"/>
    <s v="Bayleef"/>
    <s v="Bayleef"/>
    <s v="0153A0"/>
    <s v="Johto"/>
    <s v="Johto"/>
    <s v="Grass"/>
    <s v="-"/>
    <s v="Starter"/>
    <s v="0152A0"/>
    <s v="0152A0"/>
    <x v="1"/>
    <s v="Experience"/>
    <n v="3"/>
    <x v="0"/>
    <n v="405"/>
    <n v="60"/>
    <n v="62"/>
    <n v="80"/>
    <n v="63"/>
    <n v="80"/>
    <n v="60"/>
    <n v="4"/>
    <n v="6"/>
    <n v="6"/>
    <n v="4"/>
    <n v="20"/>
    <s v="C+"/>
    <m/>
    <s v="Golpe Cabeza"/>
    <s v="Hoja Afilada"/>
  </r>
  <r>
    <x v="5"/>
    <x v="5"/>
    <s v="Meganium"/>
    <s v="Meganium"/>
    <s v="0154A0"/>
    <s v="Johto"/>
    <s v="Johto"/>
    <s v="Grass"/>
    <s v="-"/>
    <s v="Starter"/>
    <s v="0152A0"/>
    <s v="0153A0"/>
    <x v="2"/>
    <s v="Experience"/>
    <n v="4"/>
    <x v="1"/>
    <n v="525"/>
    <n v="80"/>
    <n v="82"/>
    <n v="100"/>
    <n v="83"/>
    <n v="100"/>
    <n v="80"/>
    <n v="5"/>
    <n v="8"/>
    <n v="8"/>
    <n v="5"/>
    <n v="26"/>
    <s v="B+"/>
    <m/>
    <s v="Cola Dragón"/>
    <s v="Danza Pétalo"/>
  </r>
  <r>
    <x v="5"/>
    <x v="5"/>
    <s v="Chinchou"/>
    <s v="Chinchou"/>
    <s v="0170A0"/>
    <s v="Johto"/>
    <s v="Johto"/>
    <s v="Water"/>
    <s v="Electric"/>
    <s v="Basic"/>
    <s v="0170A0"/>
    <s v="-"/>
    <x v="0"/>
    <s v="-"/>
    <s v="-"/>
    <x v="0"/>
    <n v="330"/>
    <n v="75"/>
    <n v="38"/>
    <n v="38"/>
    <n v="56"/>
    <n v="56"/>
    <n v="67"/>
    <n v="4"/>
    <n v="4"/>
    <n v="4"/>
    <n v="4"/>
    <n v="16"/>
    <s v="C-"/>
    <m/>
    <s v="Pistola Agua"/>
    <s v="Chispa"/>
  </r>
  <r>
    <x v="5"/>
    <x v="5"/>
    <s v="Lanturn"/>
    <s v="Lanturn"/>
    <s v="0171A0"/>
    <s v="Johto"/>
    <s v="Johto"/>
    <s v="Water"/>
    <s v="Electric"/>
    <s v="Basic"/>
    <s v="0170A0"/>
    <s v="0170A0"/>
    <x v="2"/>
    <s v="Experience"/>
    <n v="3"/>
    <x v="1"/>
    <n v="460"/>
    <n v="125"/>
    <n v="58"/>
    <n v="58"/>
    <n v="76"/>
    <n v="76"/>
    <n v="67"/>
    <n v="9"/>
    <n v="6"/>
    <n v="6"/>
    <n v="4"/>
    <n v="25"/>
    <s v="B"/>
    <m/>
    <s v="Escaldar"/>
    <s v="Chispazo"/>
  </r>
  <r>
    <x v="5"/>
    <x v="5"/>
    <s v="Eevee"/>
    <s v="Eevee"/>
    <s v="0133A0"/>
    <s v="Johto"/>
    <s v="Kanto"/>
    <s v="Normal"/>
    <s v="-"/>
    <s v="Basic"/>
    <s v="0133A0"/>
    <s v="-"/>
    <x v="0"/>
    <s v="-"/>
    <s v="-"/>
    <x v="0"/>
    <n v="325"/>
    <n v="55"/>
    <n v="55"/>
    <n v="50"/>
    <n v="45"/>
    <n v="65"/>
    <n v="55"/>
    <n v="3"/>
    <n v="4"/>
    <n v="4"/>
    <n v="3"/>
    <n v="14"/>
    <s v="E"/>
    <m/>
    <s v="Rapidez"/>
    <s v="Mordisco"/>
  </r>
  <r>
    <x v="5"/>
    <x v="5"/>
    <s v="Espeon"/>
    <s v="Espeon"/>
    <s v="0196A0"/>
    <s v="Johto"/>
    <s v="Johto"/>
    <s v="Psychic"/>
    <s v="-"/>
    <s v="Basic"/>
    <s v="0133A0"/>
    <s v="0133A0"/>
    <x v="2"/>
    <s v="Stone"/>
    <s v="-"/>
    <x v="1"/>
    <n v="525"/>
    <n v="65"/>
    <n v="65"/>
    <n v="60"/>
    <n v="130"/>
    <n v="95"/>
    <n v="110"/>
    <n v="4"/>
    <n v="10"/>
    <n v="6"/>
    <n v="6"/>
    <n v="26"/>
    <s v="B+"/>
    <m/>
    <s v="Psíquico"/>
    <s v="Doble Rayo"/>
  </r>
  <r>
    <x v="5"/>
    <x v="5"/>
    <s v="Slugma"/>
    <s v="Slugma"/>
    <s v="0218A0"/>
    <s v="Johto"/>
    <s v="Johto"/>
    <s v="Fire"/>
    <s v="-"/>
    <s v="Basic"/>
    <s v="0218A0"/>
    <s v="-"/>
    <x v="0"/>
    <s v="-"/>
    <s v="-"/>
    <x v="4"/>
    <n v="250"/>
    <n v="40"/>
    <n v="40"/>
    <n v="40"/>
    <n v="70"/>
    <n v="40"/>
    <n v="20"/>
    <n v="3"/>
    <n v="6"/>
    <n v="4"/>
    <n v="2"/>
    <n v="15"/>
    <s v="D"/>
    <m/>
    <s v="Ascuas"/>
    <s v="Polución"/>
  </r>
  <r>
    <x v="5"/>
    <x v="5"/>
    <s v="Magcargo"/>
    <s v="Magcargo"/>
    <s v="0219A0"/>
    <s v="Johto"/>
    <s v="Johto"/>
    <s v="Fire"/>
    <s v="Rock"/>
    <s v="Basic"/>
    <s v="0218A0"/>
    <s v="0218A0"/>
    <x v="2"/>
    <s v="Experience"/>
    <n v="4"/>
    <x v="0"/>
    <n v="430"/>
    <n v="60"/>
    <n v="50"/>
    <n v="120"/>
    <n v="90"/>
    <n v="80"/>
    <n v="30"/>
    <n v="4"/>
    <n v="8"/>
    <n v="8"/>
    <n v="2"/>
    <n v="22"/>
    <s v="B-"/>
    <m/>
    <s v="Humareda"/>
    <s v="Avalancha"/>
  </r>
  <r>
    <x v="5"/>
    <x v="5"/>
    <s v="Tyrogue"/>
    <s v="Tyrogue"/>
    <s v="0236A0"/>
    <s v="Johto"/>
    <s v="Johto"/>
    <s v="Fighting"/>
    <s v="-"/>
    <s v="Basic"/>
    <s v="0236A0"/>
    <s v="-"/>
    <x v="0"/>
    <s v="-"/>
    <s v="-"/>
    <x v="4"/>
    <n v="210"/>
    <n v="35"/>
    <n v="35"/>
    <n v="35"/>
    <n v="35"/>
    <n v="35"/>
    <n v="35"/>
    <n v="2"/>
    <n v="4"/>
    <n v="4"/>
    <n v="2"/>
    <n v="12"/>
    <s v="F"/>
    <m/>
    <s v="Placaje"/>
    <s v="Puntapié"/>
  </r>
  <r>
    <x v="5"/>
    <x v="5"/>
    <s v="Hitmontop"/>
    <s v="Hitmontop"/>
    <s v="0237A0"/>
    <s v="Johto"/>
    <s v="Johto"/>
    <s v="Fighting"/>
    <s v="-"/>
    <s v="Basic"/>
    <s v="0236A0"/>
    <s v="0236A0"/>
    <x v="2"/>
    <s v="Experience"/>
    <n v="3"/>
    <x v="1"/>
    <n v="455"/>
    <n v="50"/>
    <n v="95"/>
    <n v="95"/>
    <n v="35"/>
    <n v="110"/>
    <n v="70"/>
    <n v="3"/>
    <n v="8"/>
    <n v="8"/>
    <n v="4"/>
    <n v="23"/>
    <s v="B-"/>
    <m/>
    <s v="Triple Patada"/>
    <s v="Giro Bola"/>
  </r>
  <r>
    <x v="5"/>
    <x v="5"/>
    <s v="Girafarig"/>
    <s v="Girafarig"/>
    <s v="0203A0"/>
    <s v="Johto"/>
    <s v="Johto"/>
    <s v="Normal"/>
    <s v="Psychic"/>
    <s v="Basic"/>
    <s v="0203A0"/>
    <s v="-"/>
    <x v="0"/>
    <s v="-"/>
    <s v="-"/>
    <x v="1"/>
    <n v="455"/>
    <n v="70"/>
    <n v="80"/>
    <n v="65"/>
    <n v="90"/>
    <n v="65"/>
    <n v="85"/>
    <n v="4"/>
    <n v="8"/>
    <n v="4"/>
    <n v="5"/>
    <n v="21"/>
    <s v="C+"/>
    <m/>
    <s v="Pisotón"/>
    <s v="Psicorrayo"/>
  </r>
  <r>
    <x v="5"/>
    <x v="5"/>
    <s v="Farigiraf"/>
    <s v="Farigiraf"/>
    <s v="0981A0"/>
    <s v="Johto"/>
    <s v="Paldea"/>
    <s v="Normal"/>
    <s v="Psychic"/>
    <s v="Basic"/>
    <s v="0203A0"/>
    <s v="0203A0"/>
    <x v="2"/>
    <s v="Experience"/>
    <n v="4"/>
    <x v="1"/>
    <n v="520"/>
    <n v="120"/>
    <n v="90"/>
    <n v="70"/>
    <n v="110"/>
    <n v="70"/>
    <n v="60"/>
    <n v="8"/>
    <n v="10"/>
    <n v="6"/>
    <n v="4"/>
    <n v="28"/>
    <s v="A-"/>
    <m/>
    <s v="Láser Doble"/>
    <s v="Triturar"/>
  </r>
  <r>
    <x v="6"/>
    <x v="6"/>
    <s v="Sneasel"/>
    <s v="Sneasel"/>
    <s v="0215A0"/>
    <s v="Johto"/>
    <s v="Johto"/>
    <s v="Dark"/>
    <s v="Ice"/>
    <s v="Basic"/>
    <s v="0215A0"/>
    <s v="-"/>
    <x v="0"/>
    <s v="-"/>
    <s v="-"/>
    <x v="0"/>
    <n v="430"/>
    <n v="55"/>
    <n v="95"/>
    <n v="55"/>
    <n v="35"/>
    <n v="75"/>
    <n v="115"/>
    <n v="3"/>
    <n v="8"/>
    <n v="6"/>
    <n v="6"/>
    <n v="23"/>
    <s v="B-"/>
    <m/>
    <s v="Viento Hielo"/>
    <s v="Paliza"/>
  </r>
  <r>
    <x v="6"/>
    <x v="6"/>
    <s v="Weavile"/>
    <s v="Weavile"/>
    <s v="0461A0"/>
    <s v="Johto"/>
    <s v="Sinnoh"/>
    <s v="Dark"/>
    <s v="Ice"/>
    <s v="Basic"/>
    <s v="0215A0"/>
    <s v="0215A0"/>
    <x v="2"/>
    <s v="Gift"/>
    <s v="-"/>
    <x v="1"/>
    <n v="510"/>
    <n v="70"/>
    <n v="120"/>
    <n v="65"/>
    <n v="45"/>
    <n v="85"/>
    <n v="125"/>
    <n v="4"/>
    <n v="10"/>
    <n v="6"/>
    <n v="7"/>
    <n v="27"/>
    <s v="B+"/>
    <m/>
    <s v="Puño Hielo"/>
    <s v="Tajo umbrío"/>
  </r>
  <r>
    <x v="6"/>
    <x v="6"/>
    <s v="Horsea"/>
    <s v="Horsea"/>
    <s v="0116A0"/>
    <s v="Johto"/>
    <s v="Kanto"/>
    <s v="Water"/>
    <s v="-"/>
    <s v="Basic"/>
    <s v="0116A0"/>
    <s v="-"/>
    <x v="0"/>
    <s v="-"/>
    <s v="-"/>
    <x v="0"/>
    <n v="295"/>
    <n v="30"/>
    <n v="40"/>
    <n v="70"/>
    <n v="70"/>
    <n v="25"/>
    <n v="60"/>
    <n v="2"/>
    <n v="6"/>
    <n v="4"/>
    <n v="4"/>
    <n v="16"/>
    <s v="C-"/>
    <m/>
    <s v="Burbuja"/>
    <s v="Ciclón"/>
  </r>
  <r>
    <x v="6"/>
    <x v="6"/>
    <s v="Seadra"/>
    <s v="Seadra"/>
    <s v="0117A0"/>
    <s v="Johto"/>
    <s v="Kanto"/>
    <s v="Water"/>
    <s v="-"/>
    <s v="Basic"/>
    <s v="0116A0"/>
    <s v="0116A0"/>
    <x v="1"/>
    <s v="Experience"/>
    <n v="4"/>
    <x v="0"/>
    <n v="440"/>
    <n v="55"/>
    <n v="65"/>
    <n v="95"/>
    <n v="95"/>
    <n v="45"/>
    <n v="85"/>
    <n v="3"/>
    <n v="8"/>
    <n v="6"/>
    <n v="5"/>
    <n v="22"/>
    <s v="B-"/>
    <m/>
    <s v="Rayo Burbuja"/>
    <s v="Dragoaliento"/>
  </r>
  <r>
    <x v="6"/>
    <x v="6"/>
    <s v="Kingdra"/>
    <s v="Kingdra"/>
    <s v="0230A0"/>
    <s v="Johto"/>
    <s v="Johto"/>
    <s v="Water"/>
    <s v="Dragon"/>
    <s v="Basic"/>
    <s v="0116A0"/>
    <s v="0117A0"/>
    <x v="2"/>
    <s v="Gift"/>
    <s v="-"/>
    <x v="1"/>
    <n v="540"/>
    <n v="75"/>
    <n v="95"/>
    <n v="95"/>
    <n v="95"/>
    <n v="95"/>
    <n v="85"/>
    <n v="4"/>
    <n v="10"/>
    <n v="6"/>
    <n v="5"/>
    <n v="25"/>
    <s v="B"/>
    <m/>
    <s v="Hidrobomba"/>
    <s v="Pulso Dragón"/>
  </r>
  <r>
    <x v="6"/>
    <x v="6"/>
    <s v="Zubat"/>
    <s v="Zubat"/>
    <s v="0041A0"/>
    <s v="Johto"/>
    <s v="Kanto"/>
    <s v="Poison"/>
    <s v="Flying"/>
    <s v="Basic"/>
    <s v="0041A0"/>
    <s v="-"/>
    <x v="0"/>
    <s v="-"/>
    <s v="-"/>
    <x v="4"/>
    <n v="245"/>
    <n v="40"/>
    <n v="45"/>
    <n v="35"/>
    <n v="30"/>
    <n v="40"/>
    <n v="55"/>
    <n v="3"/>
    <n v="4"/>
    <n v="4"/>
    <n v="3"/>
    <n v="14"/>
    <s v="E"/>
    <m/>
    <s v="Mordisco"/>
    <s v="Absorber"/>
  </r>
  <r>
    <x v="6"/>
    <x v="6"/>
    <s v="Golbat"/>
    <s v="Golbat"/>
    <s v="0042A0"/>
    <s v="Johto"/>
    <s v="Kanto"/>
    <s v="Poison"/>
    <s v="Flying"/>
    <s v="Basic"/>
    <s v="0041A0"/>
    <s v="0041A0"/>
    <x v="1"/>
    <s v="Experience"/>
    <n v="3"/>
    <x v="0"/>
    <n v="455"/>
    <n v="75"/>
    <n v="80"/>
    <n v="70"/>
    <n v="65"/>
    <n v="75"/>
    <n v="90"/>
    <n v="4"/>
    <n v="6"/>
    <n v="6"/>
    <n v="5"/>
    <n v="21"/>
    <s v="C+"/>
    <m/>
    <s v="Colmillo Veneno"/>
    <s v="Aire afilado"/>
  </r>
  <r>
    <x v="6"/>
    <x v="6"/>
    <s v="Crobat"/>
    <s v="Crobat"/>
    <s v="0169A0"/>
    <s v="Johto"/>
    <s v="Johto"/>
    <s v="Poison"/>
    <s v="Flying"/>
    <s v="Basic"/>
    <s v="0041A0"/>
    <s v="0042A0"/>
    <x v="2"/>
    <s v="Experience"/>
    <n v="4"/>
    <x v="1"/>
    <n v="535"/>
    <n v="85"/>
    <n v="90"/>
    <n v="80"/>
    <n v="70"/>
    <n v="80"/>
    <n v="130"/>
    <n v="5"/>
    <n v="8"/>
    <n v="6"/>
    <n v="7"/>
    <n v="26"/>
    <s v="B+"/>
    <m/>
    <s v="Veneno X"/>
    <s v="Chupavidas"/>
  </r>
  <r>
    <x v="6"/>
    <x v="6"/>
    <s v="Nidoran♂"/>
    <s v="Nidoran♂"/>
    <s v="0032A0"/>
    <s v="Johto"/>
    <s v="Kanto"/>
    <s v="Poison"/>
    <s v="-"/>
    <s v="Basic"/>
    <s v="0032A0"/>
    <s v="-"/>
    <x v="0"/>
    <s v="-"/>
    <s v="-"/>
    <x v="4"/>
    <n v="273"/>
    <n v="46"/>
    <n v="57"/>
    <n v="40"/>
    <n v="40"/>
    <n v="40"/>
    <n v="50"/>
    <n v="3"/>
    <n v="6"/>
    <n v="4"/>
    <n v="3"/>
    <n v="16"/>
    <s v="C-"/>
    <m/>
    <s v="Picotazo Venenoso"/>
    <s v="Doble Patada"/>
  </r>
  <r>
    <x v="6"/>
    <x v="6"/>
    <s v="Nidorino"/>
    <s v="Nidorino"/>
    <s v="0033A0"/>
    <s v="Johto"/>
    <s v="Kanto"/>
    <s v="Poison"/>
    <s v="-"/>
    <s v="Basic"/>
    <s v="0032A0"/>
    <s v="0032A0"/>
    <x v="1"/>
    <s v="Experience"/>
    <n v="3"/>
    <x v="0"/>
    <n v="365"/>
    <n v="61"/>
    <n v="72"/>
    <n v="57"/>
    <n v="55"/>
    <n v="55"/>
    <n v="65"/>
    <n v="4"/>
    <n v="6"/>
    <n v="4"/>
    <n v="4"/>
    <n v="18"/>
    <s v="C"/>
    <m/>
    <s v="Puya Nociva"/>
    <s v="Excavar"/>
  </r>
  <r>
    <x v="6"/>
    <x v="6"/>
    <s v="Nidoking"/>
    <s v="Nidoking"/>
    <s v="0034A0"/>
    <s v="Johto"/>
    <s v="Kanto"/>
    <s v="Poison"/>
    <s v="Ground"/>
    <s v="Basic"/>
    <s v="0032A0"/>
    <s v="0033A0"/>
    <x v="2"/>
    <s v="Stone"/>
    <s v="-"/>
    <x v="1"/>
    <n v="505"/>
    <n v="81"/>
    <n v="102"/>
    <n v="77"/>
    <n v="85"/>
    <n v="75"/>
    <n v="85"/>
    <n v="5"/>
    <n v="8"/>
    <n v="6"/>
    <n v="5"/>
    <n v="24"/>
    <s v="B"/>
    <m/>
    <s v="Terremoto"/>
    <s v="Lanzallamas"/>
  </r>
  <r>
    <x v="6"/>
    <x v="6"/>
    <s v="Teddiursa"/>
    <s v="Teddiursa"/>
    <s v="0216A0"/>
    <s v="Johto"/>
    <s v="Johto"/>
    <s v="Normal"/>
    <s v="-"/>
    <s v="Basic"/>
    <s v="0216A0"/>
    <s v="-"/>
    <x v="0"/>
    <s v="-"/>
    <s v="-"/>
    <x v="0"/>
    <n v="330"/>
    <n v="60"/>
    <n v="80"/>
    <n v="50"/>
    <n v="50"/>
    <n v="50"/>
    <n v="40"/>
    <n v="4"/>
    <n v="6"/>
    <n v="4"/>
    <n v="3"/>
    <n v="17"/>
    <s v="C-"/>
    <m/>
    <s v="Golpes Furia"/>
    <s v="Golpe Roca"/>
  </r>
  <r>
    <x v="6"/>
    <x v="6"/>
    <s v="Ursaring"/>
    <s v="Ursaring"/>
    <s v="0217A0"/>
    <s v="Johto"/>
    <s v="Johto"/>
    <s v="Normal"/>
    <s v="-"/>
    <s v="Basic"/>
    <s v="0216A0"/>
    <s v="0216A0"/>
    <x v="2"/>
    <s v="Experience"/>
    <n v="4"/>
    <x v="1"/>
    <n v="500"/>
    <n v="90"/>
    <n v="130"/>
    <n v="75"/>
    <n v="75"/>
    <n v="75"/>
    <n v="55"/>
    <n v="6"/>
    <n v="10"/>
    <n v="6"/>
    <n v="3"/>
    <n v="25"/>
    <s v="B"/>
    <m/>
    <s v="Cuchillada"/>
    <s v="Machada"/>
  </r>
  <r>
    <x v="6"/>
    <x v="6"/>
    <s v="Onix"/>
    <s v="Onix"/>
    <s v="0095A0"/>
    <s v="Johto"/>
    <s v="Kanto"/>
    <s v="Rock"/>
    <s v="Ground"/>
    <s v="Basic"/>
    <s v="0095A0"/>
    <s v="-"/>
    <x v="0"/>
    <s v="-"/>
    <s v="-"/>
    <x v="0"/>
    <n v="385"/>
    <n v="35"/>
    <n v="45"/>
    <n v="160"/>
    <n v="30"/>
    <n v="45"/>
    <n v="70"/>
    <n v="2"/>
    <n v="6"/>
    <n v="10"/>
    <n v="4"/>
    <n v="22"/>
    <s v="B-"/>
    <m/>
    <s v="Cola Férrea"/>
    <s v="Lanzarrocas"/>
  </r>
  <r>
    <x v="6"/>
    <x v="6"/>
    <s v="Steelix"/>
    <s v="Steelix"/>
    <s v="0208A0"/>
    <s v="Johto"/>
    <s v="Johto"/>
    <s v="Steel"/>
    <s v="Ground"/>
    <s v="Basic"/>
    <s v="0095A0"/>
    <s v="0095A0"/>
    <x v="2"/>
    <s v="Gift"/>
    <s v="-"/>
    <x v="1"/>
    <n v="510"/>
    <n v="75"/>
    <n v="85"/>
    <n v="200"/>
    <n v="55"/>
    <n v="65"/>
    <n v="30"/>
    <n v="4"/>
    <n v="6"/>
    <n v="12"/>
    <n v="2"/>
    <n v="24"/>
    <s v="B"/>
    <m/>
    <s v="Cabeza de Hierro"/>
    <s v="Avalancha"/>
  </r>
  <r>
    <x v="6"/>
    <x v="6"/>
    <s v="Steelix (Mega Steelix)"/>
    <s v="Mega-Steelix"/>
    <s v="0208M0"/>
    <s v="Johto"/>
    <s v="Johto"/>
    <s v="Steel"/>
    <s v="Ground"/>
    <s v="Mega"/>
    <s v="0095A0"/>
    <s v="0208A0"/>
    <x v="3"/>
    <s v="Megastone"/>
    <s v="-"/>
    <x v="2"/>
    <n v="610"/>
    <n v="75"/>
    <n v="125"/>
    <n v="230"/>
    <n v="55"/>
    <n v="95"/>
    <n v="30"/>
    <n v="4"/>
    <n v="8"/>
    <n v="12"/>
    <n v="2"/>
    <n v="26"/>
    <s v="B+"/>
    <m/>
    <s v="Cabeza de Hierro"/>
    <s v="Avalancha"/>
  </r>
  <r>
    <x v="7"/>
    <x v="7"/>
    <s v="Mudkip"/>
    <s v="Mudkip"/>
    <s v="0258A0"/>
    <s v="Hoenn"/>
    <s v="Hoenn"/>
    <s v="Water"/>
    <s v="-"/>
    <s v="Starter"/>
    <s v="0258A0"/>
    <s v="-"/>
    <x v="0"/>
    <s v="-"/>
    <s v="-"/>
    <x v="0"/>
    <n v="310"/>
    <n v="50"/>
    <n v="70"/>
    <n v="50"/>
    <n v="50"/>
    <n v="50"/>
    <n v="40"/>
    <n v="3"/>
    <n v="6"/>
    <n v="4"/>
    <n v="3"/>
    <n v="16"/>
    <s v="C-"/>
    <m/>
    <s v="Pistola Agua"/>
    <s v="Placaje"/>
  </r>
  <r>
    <x v="7"/>
    <x v="7"/>
    <s v="Marshtomp"/>
    <s v="Marshtomp"/>
    <s v="0259A0"/>
    <s v="Hoenn"/>
    <s v="Hoenn"/>
    <s v="Water"/>
    <s v="Ground"/>
    <s v="Starter"/>
    <s v="0258A0"/>
    <s v="0258A0"/>
    <x v="1"/>
    <s v="Experience"/>
    <n v="3"/>
    <x v="0"/>
    <n v="405"/>
    <n v="70"/>
    <n v="85"/>
    <n v="70"/>
    <n v="60"/>
    <n v="70"/>
    <n v="50"/>
    <n v="4"/>
    <n v="6"/>
    <n v="6"/>
    <n v="3"/>
    <n v="19"/>
    <s v="C"/>
    <m/>
    <s v="Hidropulso"/>
    <s v="Disparo Lodo"/>
  </r>
  <r>
    <x v="7"/>
    <x v="7"/>
    <s v="Swampert"/>
    <s v="Swampert"/>
    <s v="0260A0"/>
    <s v="Hoenn"/>
    <s v="Hoenn"/>
    <s v="Water"/>
    <s v="Ground"/>
    <s v="Starter"/>
    <s v="0258A0"/>
    <s v="0259A0"/>
    <x v="2"/>
    <s v="Experience"/>
    <n v="4"/>
    <x v="1"/>
    <n v="535"/>
    <n v="100"/>
    <n v="110"/>
    <n v="90"/>
    <n v="85"/>
    <n v="90"/>
    <n v="60"/>
    <n v="6"/>
    <n v="8"/>
    <n v="6"/>
    <n v="4"/>
    <n v="24"/>
    <s v="B"/>
    <m/>
    <s v="Agua Lodosa"/>
    <s v="Tierra Viva"/>
  </r>
  <r>
    <x v="7"/>
    <x v="7"/>
    <s v="Swampert (Mega Swampert)"/>
    <s v="Mega-Swampert"/>
    <s v="0260M0"/>
    <s v="Hoenn"/>
    <s v="Hoenn"/>
    <s v="Water"/>
    <s v="Ground"/>
    <s v="Mega"/>
    <s v="0258A0"/>
    <s v="0260A0"/>
    <x v="3"/>
    <s v="Megastone"/>
    <s v="-"/>
    <x v="2"/>
    <n v="635"/>
    <n v="100"/>
    <n v="150"/>
    <n v="110"/>
    <n v="95"/>
    <n v="110"/>
    <n v="70"/>
    <n v="6"/>
    <n v="12"/>
    <n v="8"/>
    <n v="4"/>
    <n v="30"/>
    <s v="A"/>
    <m/>
    <s v="Agua Lodosa"/>
    <s v="Tierra Viva"/>
  </r>
  <r>
    <x v="7"/>
    <x v="7"/>
    <s v="Seedot"/>
    <s v="Seedot"/>
    <s v="0273A0"/>
    <s v="Hoenn"/>
    <s v="Hoenn"/>
    <s v="Grass"/>
    <s v="-"/>
    <s v="Basic"/>
    <s v="0273A0"/>
    <s v="-"/>
    <x v="0"/>
    <s v="-"/>
    <s v="-"/>
    <x v="4"/>
    <n v="220"/>
    <n v="40"/>
    <n v="40"/>
    <n v="50"/>
    <n v="30"/>
    <n v="30"/>
    <n v="30"/>
    <n v="3"/>
    <n v="4"/>
    <n v="4"/>
    <n v="2"/>
    <n v="13"/>
    <s v="F"/>
    <m/>
    <s v="Absorber"/>
    <s v="Impresionar"/>
  </r>
  <r>
    <x v="7"/>
    <x v="7"/>
    <s v="Nuzleaf"/>
    <s v="Nuzleaf"/>
    <s v="0274A0"/>
    <s v="Hoenn"/>
    <s v="Hoenn"/>
    <s v="Grass"/>
    <s v="Dark"/>
    <s v="Basic"/>
    <s v="0273A0"/>
    <s v="0273A0"/>
    <x v="1"/>
    <s v="Experience"/>
    <n v="3"/>
    <x v="0"/>
    <n v="340"/>
    <n v="70"/>
    <n v="70"/>
    <n v="40"/>
    <n v="60"/>
    <n v="40"/>
    <n v="60"/>
    <n v="4"/>
    <n v="6"/>
    <n v="4"/>
    <n v="4"/>
    <n v="18"/>
    <s v="C"/>
    <m/>
    <s v="Megaagotar"/>
    <s v="Sorpresa"/>
  </r>
  <r>
    <x v="7"/>
    <x v="7"/>
    <s v="Shiftry"/>
    <s v="Shiftry"/>
    <s v="0275A0"/>
    <s v="Hoenn"/>
    <s v="Hoenn"/>
    <s v="Grass"/>
    <s v="Dark"/>
    <s v="Basic"/>
    <s v="0273A0"/>
    <s v="0274A0"/>
    <x v="2"/>
    <s v="Stone"/>
    <s v="-"/>
    <x v="1"/>
    <n v="480"/>
    <n v="90"/>
    <n v="100"/>
    <n v="60"/>
    <n v="90"/>
    <n v="60"/>
    <n v="80"/>
    <n v="6"/>
    <n v="8"/>
    <n v="4"/>
    <n v="5"/>
    <n v="23"/>
    <s v="B-"/>
    <m/>
    <s v="Hoja Aguda"/>
    <s v="Golpe Bajo"/>
  </r>
  <r>
    <x v="7"/>
    <x v="7"/>
    <s v="Aron"/>
    <s v="Aron"/>
    <s v="0304A0"/>
    <s v="Hoenn"/>
    <s v="Hoenn"/>
    <s v="Steel"/>
    <s v="Rock"/>
    <s v="Basic"/>
    <s v="0304A0"/>
    <s v="-"/>
    <x v="0"/>
    <s v="-"/>
    <s v="-"/>
    <x v="0"/>
    <n v="330"/>
    <n v="50"/>
    <n v="70"/>
    <n v="100"/>
    <n v="40"/>
    <n v="40"/>
    <n v="30"/>
    <n v="3"/>
    <n v="6"/>
    <n v="6"/>
    <n v="2"/>
    <n v="17"/>
    <s v="C-"/>
    <m/>
    <s v="Garra Metal"/>
    <s v="Tumba Rocas"/>
  </r>
  <r>
    <x v="7"/>
    <x v="7"/>
    <s v="Lairon"/>
    <s v="Lairon"/>
    <s v="0305A0"/>
    <s v="Hoenn"/>
    <s v="Hoenn"/>
    <s v="Steel"/>
    <s v="Rock"/>
    <s v="Basic"/>
    <s v="0304A0"/>
    <s v="0304A0"/>
    <x v="1"/>
    <s v="Experience"/>
    <n v="4"/>
    <x v="0"/>
    <n v="430"/>
    <n v="60"/>
    <n v="90"/>
    <n v="140"/>
    <n v="50"/>
    <n v="50"/>
    <n v="40"/>
    <n v="4"/>
    <n v="8"/>
    <n v="8"/>
    <n v="3"/>
    <n v="23"/>
    <s v="B-"/>
    <m/>
    <s v="Cabeza de Hierro"/>
    <s v="Avalancha"/>
  </r>
  <r>
    <x v="7"/>
    <x v="7"/>
    <s v="Aggron"/>
    <s v="Aggron"/>
    <s v="0306A0"/>
    <s v="Hoenn"/>
    <s v="Hoenn"/>
    <s v="Steel"/>
    <s v="Rock"/>
    <s v="Basic"/>
    <s v="0304A0"/>
    <s v="0305A0"/>
    <x v="2"/>
    <s v="Experience"/>
    <n v="5"/>
    <x v="1"/>
    <n v="530"/>
    <n v="70"/>
    <n v="110"/>
    <n v="180"/>
    <n v="60"/>
    <n v="60"/>
    <n v="50"/>
    <n v="4"/>
    <n v="8"/>
    <n v="12"/>
    <n v="3"/>
    <n v="27"/>
    <s v="B+"/>
    <m/>
    <s v="Cuerpo Pesado"/>
    <s v="Roca Afilada"/>
  </r>
  <r>
    <x v="7"/>
    <x v="7"/>
    <s v="Wurmple"/>
    <s v="Wurmple"/>
    <s v="0265A0"/>
    <s v="Hoenn"/>
    <s v="Hoenn"/>
    <s v="Bug"/>
    <s v="-"/>
    <s v="Basic"/>
    <s v="0265A0"/>
    <s v="-"/>
    <x v="0"/>
    <s v="-"/>
    <s v="-"/>
    <x v="4"/>
    <n v="195"/>
    <n v="45"/>
    <n v="45"/>
    <n v="35"/>
    <n v="20"/>
    <n v="30"/>
    <n v="20"/>
    <n v="3"/>
    <n v="4"/>
    <n v="4"/>
    <n v="2"/>
    <n v="13"/>
    <s v="F"/>
    <m/>
    <s v="Picadura"/>
    <s v="Electrotela"/>
  </r>
  <r>
    <x v="7"/>
    <x v="7"/>
    <s v="Cascoon"/>
    <s v="Cascoon"/>
    <s v="0268A0"/>
    <s v="Hoenn"/>
    <s v="Hoenn"/>
    <s v="Bug"/>
    <s v="-"/>
    <s v="Basic"/>
    <s v="0265A0"/>
    <s v="0265A0"/>
    <x v="1"/>
    <s v="Experience"/>
    <n v="2"/>
    <x v="4"/>
    <n v="205"/>
    <n v="50"/>
    <n v="35"/>
    <n v="55"/>
    <n v="25"/>
    <n v="25"/>
    <n v="15"/>
    <n v="3"/>
    <n v="4"/>
    <n v="4"/>
    <n v="2"/>
    <n v="13"/>
    <s v="F"/>
    <m/>
    <s v="Picadura"/>
    <s v="Placaje"/>
  </r>
  <r>
    <x v="7"/>
    <x v="7"/>
    <s v="Dustox"/>
    <s v="Dustox"/>
    <s v="0269A0"/>
    <s v="Hoenn"/>
    <s v="Hoenn"/>
    <s v="Bug"/>
    <s v="Poison"/>
    <s v="Basic"/>
    <s v="0265A0"/>
    <s v="0268A0"/>
    <x v="2"/>
    <s v="Experience"/>
    <n v="2"/>
    <x v="4"/>
    <n v="385"/>
    <n v="60"/>
    <n v="50"/>
    <n v="70"/>
    <n v="50"/>
    <n v="90"/>
    <n v="65"/>
    <n v="4"/>
    <n v="6"/>
    <n v="6"/>
    <n v="4"/>
    <n v="20"/>
    <s v="C+"/>
    <m/>
    <s v="Viento Plata"/>
    <s v="Carga Tóxica"/>
  </r>
  <r>
    <x v="7"/>
    <x v="7"/>
    <s v="Electrike"/>
    <s v="Electrike"/>
    <s v="0309A0"/>
    <s v="Hoenn"/>
    <s v="Hoenn"/>
    <s v="Electric"/>
    <s v="-"/>
    <s v="Basic"/>
    <s v="0309A0"/>
    <s v="-"/>
    <x v="0"/>
    <s v="-"/>
    <s v="-"/>
    <x v="0"/>
    <n v="295"/>
    <n v="40"/>
    <n v="45"/>
    <n v="40"/>
    <n v="65"/>
    <n v="40"/>
    <n v="65"/>
    <n v="3"/>
    <n v="6"/>
    <n v="4"/>
    <n v="4"/>
    <n v="17"/>
    <s v="C-"/>
    <m/>
    <s v="Chispa"/>
    <s v="Mordisco"/>
  </r>
  <r>
    <x v="7"/>
    <x v="7"/>
    <s v="Manectric"/>
    <s v="Manectric"/>
    <s v="0310A0"/>
    <s v="Hoenn"/>
    <s v="Hoenn"/>
    <s v="Electric"/>
    <s v="-"/>
    <s v="Basic"/>
    <s v="0309A0"/>
    <s v="0309A0"/>
    <x v="2"/>
    <s v="Experience"/>
    <n v="3"/>
    <x v="1"/>
    <n v="475"/>
    <n v="70"/>
    <n v="75"/>
    <n v="60"/>
    <n v="105"/>
    <n v="60"/>
    <n v="105"/>
    <n v="4"/>
    <n v="8"/>
    <n v="4"/>
    <n v="6"/>
    <n v="22"/>
    <s v="B-"/>
    <m/>
    <s v="Onda Voltio"/>
    <s v="Sofoco"/>
  </r>
  <r>
    <x v="7"/>
    <x v="7"/>
    <s v="Trapinch"/>
    <s v="Trapinch"/>
    <s v="0328A0"/>
    <s v="Hoenn"/>
    <s v="Hoenn"/>
    <s v="Ground"/>
    <s v="-"/>
    <s v="Basic"/>
    <s v="0328A0"/>
    <s v="-"/>
    <x v="0"/>
    <s v="-"/>
    <s v="-"/>
    <x v="0"/>
    <n v="290"/>
    <n v="45"/>
    <n v="100"/>
    <n v="45"/>
    <n v="45"/>
    <n v="45"/>
    <n v="10"/>
    <n v="3"/>
    <n v="8"/>
    <n v="4"/>
    <n v="2"/>
    <n v="17"/>
    <s v="C-"/>
    <m/>
    <s v="Excavar"/>
    <s v="Mordisco"/>
  </r>
  <r>
    <x v="7"/>
    <x v="7"/>
    <s v="Vibrava"/>
    <s v="Vibrava"/>
    <s v="0329A0"/>
    <s v="Hoenn"/>
    <s v="Hoenn"/>
    <s v="Ground"/>
    <s v="Dragon"/>
    <s v="Basic"/>
    <s v="0328A0"/>
    <s v="0328A0"/>
    <x v="1"/>
    <s v="Experience"/>
    <n v="4"/>
    <x v="0"/>
    <n v="340"/>
    <n v="50"/>
    <n v="70"/>
    <n v="50"/>
    <n v="50"/>
    <n v="50"/>
    <n v="70"/>
    <n v="3"/>
    <n v="6"/>
    <n v="4"/>
    <n v="4"/>
    <n v="17"/>
    <s v="C-"/>
    <m/>
    <s v="Terratemblor"/>
    <s v="Dragoaliento"/>
  </r>
  <r>
    <x v="7"/>
    <x v="7"/>
    <s v="Flygon"/>
    <s v="Flygon"/>
    <s v="0330A0"/>
    <s v="Hoenn"/>
    <s v="Hoenn"/>
    <s v="Ground"/>
    <s v="Dragon"/>
    <s v="Basic"/>
    <s v="0328A0"/>
    <s v="0329A0"/>
    <x v="2"/>
    <s v="Experience"/>
    <n v="5"/>
    <x v="1"/>
    <n v="520"/>
    <n v="80"/>
    <n v="100"/>
    <n v="80"/>
    <n v="80"/>
    <n v="80"/>
    <n v="100"/>
    <n v="5"/>
    <n v="8"/>
    <n v="6"/>
    <n v="6"/>
    <n v="25"/>
    <s v="B"/>
    <m/>
    <s v="Garra Dragón"/>
    <s v="Terremoto"/>
  </r>
  <r>
    <x v="8"/>
    <x v="8"/>
    <s v="Torchic"/>
    <s v="Torchic"/>
    <s v="0255A0"/>
    <s v="Hoenn"/>
    <s v="Hoenn"/>
    <s v="Fire"/>
    <s v="-"/>
    <s v="Starter"/>
    <s v="0255A0"/>
    <s v="-"/>
    <x v="0"/>
    <s v="-"/>
    <s v="-"/>
    <x v="0"/>
    <n v="310"/>
    <n v="45"/>
    <n v="60"/>
    <n v="40"/>
    <n v="70"/>
    <n v="50"/>
    <n v="45"/>
    <n v="3"/>
    <n v="6"/>
    <n v="4"/>
    <n v="3"/>
    <n v="16"/>
    <s v="C-"/>
    <m/>
    <s v="Ascuas"/>
    <s v="Picotazo"/>
  </r>
  <r>
    <x v="8"/>
    <x v="8"/>
    <s v="Combusken"/>
    <s v="Combusken"/>
    <s v="0256A0"/>
    <s v="Hoenn"/>
    <s v="Hoenn"/>
    <s v="Fire"/>
    <s v="Fighting"/>
    <s v="Starter"/>
    <s v="0255A0"/>
    <s v="0255A0"/>
    <x v="1"/>
    <s v="Experience"/>
    <n v="3"/>
    <x v="0"/>
    <n v="405"/>
    <n v="60"/>
    <n v="85"/>
    <n v="60"/>
    <n v="85"/>
    <n v="60"/>
    <n v="55"/>
    <n v="4"/>
    <n v="8"/>
    <n v="4"/>
    <n v="3"/>
    <n v="19"/>
    <s v="C"/>
    <m/>
    <s v="Nitrocarga"/>
    <s v="Doble Patada"/>
  </r>
  <r>
    <x v="8"/>
    <x v="8"/>
    <s v="Blaziken"/>
    <s v="Blaziken"/>
    <s v="0257A0"/>
    <s v="Hoenn"/>
    <s v="Hoenn"/>
    <s v="Fire"/>
    <s v="Fighting"/>
    <s v="Starter"/>
    <s v="0255A0"/>
    <s v="0256A0"/>
    <x v="2"/>
    <s v="Experience"/>
    <n v="4"/>
    <x v="1"/>
    <n v="530"/>
    <n v="80"/>
    <n v="120"/>
    <n v="70"/>
    <n v="110"/>
    <n v="70"/>
    <n v="80"/>
    <n v="5"/>
    <n v="10"/>
    <n v="6"/>
    <n v="5"/>
    <n v="26"/>
    <s v="B+"/>
    <m/>
    <s v="Patada ígnea"/>
    <s v="Gancho Alto"/>
  </r>
  <r>
    <x v="8"/>
    <x v="8"/>
    <s v="Blaziken (Mega Blaziken)"/>
    <s v="Mega-Blaziken"/>
    <s v="0257M0"/>
    <s v="Hoenn"/>
    <s v="Hoenn"/>
    <s v="Fire"/>
    <s v="Fighting"/>
    <s v="Mega"/>
    <s v="0255A0"/>
    <s v="0257A0"/>
    <x v="3"/>
    <s v="Megastone"/>
    <s v="-"/>
    <x v="2"/>
    <n v="630"/>
    <n v="80"/>
    <n v="160"/>
    <n v="80"/>
    <n v="130"/>
    <n v="80"/>
    <n v="100"/>
    <n v="5"/>
    <n v="12"/>
    <n v="6"/>
    <n v="6"/>
    <n v="29"/>
    <s v="A-"/>
    <m/>
    <s v="Patada ígnea"/>
    <s v="Gancho Alto"/>
  </r>
  <r>
    <x v="8"/>
    <x v="8"/>
    <s v="Wurmple"/>
    <s v="Wurmple"/>
    <s v="0265A0"/>
    <s v="Hoenn"/>
    <s v="Hoenn"/>
    <s v="Bug"/>
    <s v="-"/>
    <s v="Basic"/>
    <s v="0265A0"/>
    <s v="-"/>
    <x v="0"/>
    <s v="-"/>
    <s v="-"/>
    <x v="4"/>
    <n v="195"/>
    <n v="45"/>
    <n v="45"/>
    <n v="35"/>
    <n v="20"/>
    <n v="30"/>
    <n v="20"/>
    <n v="3"/>
    <n v="4"/>
    <n v="4"/>
    <n v="2"/>
    <n v="13"/>
    <s v="F"/>
    <m/>
    <s v="Picadura"/>
    <s v="Electrotela"/>
  </r>
  <r>
    <x v="8"/>
    <x v="8"/>
    <s v="Silcoon"/>
    <s v="Silcoon"/>
    <s v="0266A0"/>
    <s v="Hoenn"/>
    <s v="Hoenn"/>
    <s v="Bug"/>
    <s v="-"/>
    <s v="Basic"/>
    <s v="0265A0"/>
    <s v="0265A0"/>
    <x v="1"/>
    <s v="Experience"/>
    <n v="2"/>
    <x v="4"/>
    <n v="205"/>
    <n v="50"/>
    <n v="35"/>
    <n v="55"/>
    <n v="25"/>
    <n v="25"/>
    <n v="15"/>
    <n v="3"/>
    <n v="4"/>
    <n v="4"/>
    <n v="2"/>
    <n v="13"/>
    <s v="F"/>
    <m/>
    <s v="Picadura"/>
    <s v="Placaje"/>
  </r>
  <r>
    <x v="8"/>
    <x v="8"/>
    <s v="Beautifly"/>
    <s v="Beautifly"/>
    <s v="0267A0"/>
    <s v="Hoenn"/>
    <s v="Hoenn"/>
    <s v="Bug"/>
    <s v="Flying"/>
    <s v="Basic"/>
    <s v="0265A0"/>
    <s v="0266A0"/>
    <x v="2"/>
    <s v="Experience"/>
    <n v="2"/>
    <x v="4"/>
    <n v="395"/>
    <n v="60"/>
    <n v="70"/>
    <n v="50"/>
    <n v="100"/>
    <n v="50"/>
    <n v="65"/>
    <n v="4"/>
    <n v="8"/>
    <n v="4"/>
    <n v="4"/>
    <n v="20"/>
    <s v="C+"/>
    <m/>
    <s v="Zumbido"/>
    <s v="Aire afilado"/>
  </r>
  <r>
    <x v="8"/>
    <x v="8"/>
    <s v="Taillow"/>
    <s v="Taillow"/>
    <s v="0276A0"/>
    <s v="Hoenn"/>
    <s v="Hoenn"/>
    <s v="Normal"/>
    <s v="Flying"/>
    <s v="Basic"/>
    <s v="0276A0"/>
    <s v="-"/>
    <x v="0"/>
    <s v="-"/>
    <s v="-"/>
    <x v="4"/>
    <n v="270"/>
    <n v="40"/>
    <n v="55"/>
    <n v="30"/>
    <n v="30"/>
    <n v="30"/>
    <n v="85"/>
    <n v="3"/>
    <n v="4"/>
    <n v="4"/>
    <n v="5"/>
    <n v="16"/>
    <s v="C-"/>
    <m/>
    <s v="Picotazo"/>
    <s v="Ataque Rápido"/>
  </r>
  <r>
    <x v="8"/>
    <x v="8"/>
    <s v="Swellow"/>
    <s v="Swellow"/>
    <s v="0277A0"/>
    <s v="Hoenn"/>
    <s v="Hoenn"/>
    <s v="Normal"/>
    <s v="Flying"/>
    <s v="Basic"/>
    <s v="0276A0"/>
    <s v="0276A0"/>
    <x v="2"/>
    <s v="Experience"/>
    <n v="3"/>
    <x v="1"/>
    <n v="455"/>
    <n v="60"/>
    <n v="85"/>
    <n v="60"/>
    <n v="75"/>
    <n v="50"/>
    <n v="125"/>
    <n v="4"/>
    <n v="8"/>
    <n v="4"/>
    <n v="7"/>
    <n v="23"/>
    <s v="B-"/>
    <m/>
    <s v="Pájaro Osado"/>
    <s v="Imagen"/>
  </r>
  <r>
    <x v="8"/>
    <x v="8"/>
    <s v="Shroomish"/>
    <s v="Shroomish"/>
    <s v="0285A0"/>
    <s v="Hoenn"/>
    <s v="Hoenn"/>
    <s v="Grass"/>
    <s v="-"/>
    <s v="Basic"/>
    <s v="0285A0"/>
    <s v="-"/>
    <x v="0"/>
    <s v="-"/>
    <s v="-"/>
    <x v="0"/>
    <n v="295"/>
    <n v="60"/>
    <n v="40"/>
    <n v="60"/>
    <n v="40"/>
    <n v="60"/>
    <n v="35"/>
    <n v="4"/>
    <n v="4"/>
    <n v="4"/>
    <n v="2"/>
    <n v="14"/>
    <s v="E"/>
    <m/>
    <s v="Placaje"/>
    <s v="Megaagotar"/>
  </r>
  <r>
    <x v="8"/>
    <x v="8"/>
    <s v="Breloom"/>
    <s v="Breloom"/>
    <s v="0286A0"/>
    <s v="Hoenn"/>
    <s v="Hoenn"/>
    <s v="Grass"/>
    <s v="Fighting"/>
    <s v="Basic"/>
    <s v="0285A0"/>
    <s v="0285A0"/>
    <x v="2"/>
    <s v="Experience"/>
    <n v="3"/>
    <x v="1"/>
    <n v="460"/>
    <n v="60"/>
    <n v="130"/>
    <n v="80"/>
    <n v="60"/>
    <n v="60"/>
    <n v="70"/>
    <n v="4"/>
    <n v="10"/>
    <n v="6"/>
    <n v="4"/>
    <n v="24"/>
    <s v="B"/>
    <m/>
    <s v="Bomba Germen"/>
    <s v="Ultrapuño"/>
  </r>
  <r>
    <x v="8"/>
    <x v="8"/>
    <s v="Skitty"/>
    <s v="Skitty"/>
    <s v="0300A0"/>
    <s v="Hoenn"/>
    <s v="Hoenn"/>
    <s v="Normal"/>
    <s v="-"/>
    <s v="Basic"/>
    <s v="0300A0"/>
    <s v="-"/>
    <x v="0"/>
    <s v="-"/>
    <s v="-"/>
    <x v="4"/>
    <n v="260"/>
    <n v="50"/>
    <n v="45"/>
    <n v="45"/>
    <n v="35"/>
    <n v="35"/>
    <n v="50"/>
    <n v="3"/>
    <n v="4"/>
    <n v="4"/>
    <n v="3"/>
    <n v="14"/>
    <s v="E"/>
    <m/>
    <s v="Doble Bofetón"/>
    <s v="Cola Férrea"/>
  </r>
  <r>
    <x v="8"/>
    <x v="8"/>
    <s v="Delcatty"/>
    <s v="Delcatty"/>
    <s v="0301A0"/>
    <s v="Hoenn"/>
    <s v="Hoenn"/>
    <s v="Normal"/>
    <s v="-"/>
    <s v="Basic"/>
    <s v="0300A0"/>
    <s v="0300A0"/>
    <x v="2"/>
    <s v="Stone"/>
    <s v="-"/>
    <x v="0"/>
    <n v="400"/>
    <n v="70"/>
    <n v="65"/>
    <n v="65"/>
    <n v="55"/>
    <n v="55"/>
    <n v="90"/>
    <n v="4"/>
    <n v="6"/>
    <n v="4"/>
    <n v="5"/>
    <n v="19"/>
    <s v="C"/>
    <m/>
    <s v="Rayo"/>
    <s v="Bola Sombra"/>
  </r>
  <r>
    <x v="8"/>
    <x v="8"/>
    <s v="Feebas"/>
    <s v="Feebas"/>
    <s v="0349A0"/>
    <s v="Hoenn"/>
    <s v="Hoenn"/>
    <s v="Water"/>
    <s v="-"/>
    <s v="Basic"/>
    <s v="0349A0"/>
    <s v="-"/>
    <x v="0"/>
    <s v="-"/>
    <s v="-"/>
    <x v="4"/>
    <n v="200"/>
    <n v="20"/>
    <n v="15"/>
    <n v="20"/>
    <n v="10"/>
    <n v="55"/>
    <n v="80"/>
    <n v="2"/>
    <n v="4"/>
    <n v="4"/>
    <n v="5"/>
    <n v="15"/>
    <s v="D"/>
    <m/>
    <s v="Salpicadura"/>
    <s v="Azote"/>
  </r>
  <r>
    <x v="8"/>
    <x v="8"/>
    <s v="Milotic"/>
    <s v="Milotic"/>
    <s v="0350A0"/>
    <s v="Hoenn"/>
    <s v="Hoenn"/>
    <s v="Water"/>
    <s v="-"/>
    <s v="Basic"/>
    <s v="0349A0"/>
    <s v="0349A0"/>
    <x v="2"/>
    <s v="Gift"/>
    <s v="-"/>
    <x v="3"/>
    <n v="540"/>
    <n v="95"/>
    <n v="60"/>
    <n v="79"/>
    <n v="100"/>
    <n v="125"/>
    <n v="81"/>
    <n v="6"/>
    <n v="8"/>
    <n v="10"/>
    <n v="5"/>
    <n v="29"/>
    <s v="A-"/>
    <m/>
    <s v="Acua Cola"/>
    <s v="Rayo Hielo"/>
  </r>
  <r>
    <x v="9"/>
    <x v="9"/>
    <s v="Marill"/>
    <s v="Marill"/>
    <s v="0183A0"/>
    <s v="Hoenn"/>
    <s v="Johto"/>
    <s v="Water"/>
    <s v="Fairy"/>
    <s v="Basic"/>
    <s v="0298A0"/>
    <s v="0298A0"/>
    <x v="1"/>
    <s v="Experience"/>
    <n v="3"/>
    <x v="4"/>
    <n v="250"/>
    <n v="70"/>
    <n v="20"/>
    <n v="50"/>
    <n v="20"/>
    <n v="50"/>
    <n v="40"/>
    <n v="4"/>
    <n v="4"/>
    <n v="4"/>
    <n v="3"/>
    <n v="15"/>
    <s v="D"/>
    <m/>
    <s v="Placaje"/>
    <s v="Rayo Burbuja"/>
  </r>
  <r>
    <x v="9"/>
    <x v="9"/>
    <s v="Azumarill"/>
    <s v="Azumarill"/>
    <s v="0184A0"/>
    <s v="Hoenn"/>
    <s v="Johto"/>
    <s v="Water"/>
    <s v="Fairy"/>
    <s v="Basic"/>
    <s v="0298A0"/>
    <s v="0183A0"/>
    <x v="2"/>
    <s v="Experience"/>
    <n v="4"/>
    <x v="0"/>
    <n v="420"/>
    <n v="100"/>
    <n v="50"/>
    <n v="80"/>
    <n v="60"/>
    <n v="80"/>
    <n v="50"/>
    <n v="6"/>
    <n v="6"/>
    <n v="6"/>
    <n v="3"/>
    <n v="21"/>
    <s v="C+"/>
    <m/>
    <s v="Carantoña"/>
    <s v="Acua Cola"/>
  </r>
  <r>
    <x v="9"/>
    <x v="9"/>
    <s v="Treecko"/>
    <s v="Treecko"/>
    <s v="0252A0"/>
    <s v="Hoenn"/>
    <s v="Hoenn"/>
    <s v="Grass"/>
    <s v="-"/>
    <s v="Starter"/>
    <s v="0252A0"/>
    <s v="-"/>
    <x v="0"/>
    <s v="-"/>
    <s v="-"/>
    <x v="0"/>
    <n v="310"/>
    <n v="40"/>
    <n v="45"/>
    <n v="35"/>
    <n v="65"/>
    <n v="55"/>
    <n v="70"/>
    <n v="3"/>
    <n v="6"/>
    <n v="4"/>
    <n v="4"/>
    <n v="17"/>
    <s v="C-"/>
    <m/>
    <s v="Destructor"/>
    <s v="Follaje"/>
  </r>
  <r>
    <x v="9"/>
    <x v="9"/>
    <s v="Grovyle"/>
    <s v="Grovyle"/>
    <s v="0253A0"/>
    <s v="Hoenn"/>
    <s v="Hoenn"/>
    <s v="Grass"/>
    <s v="-"/>
    <s v="Starter"/>
    <s v="0252A0"/>
    <s v="0252A0"/>
    <x v="1"/>
    <s v="Experience"/>
    <n v="3"/>
    <x v="0"/>
    <n v="405"/>
    <n v="50"/>
    <n v="65"/>
    <n v="45"/>
    <n v="85"/>
    <n v="65"/>
    <n v="95"/>
    <n v="3"/>
    <n v="8"/>
    <n v="4"/>
    <n v="5"/>
    <n v="20"/>
    <s v="C+"/>
    <m/>
    <s v="Megaagotar"/>
    <s v="Corte Furia"/>
  </r>
  <r>
    <x v="9"/>
    <x v="9"/>
    <s v="Sceptile"/>
    <s v="Sceptile"/>
    <s v="0254A0"/>
    <s v="Hoenn"/>
    <s v="Hoenn"/>
    <s v="Grass"/>
    <s v="-"/>
    <s v="Starter"/>
    <s v="0252A0"/>
    <s v="0253A0"/>
    <x v="2"/>
    <s v="Experience"/>
    <n v="4"/>
    <x v="1"/>
    <n v="530"/>
    <n v="70"/>
    <n v="85"/>
    <n v="65"/>
    <n v="105"/>
    <n v="85"/>
    <n v="120"/>
    <n v="4"/>
    <n v="8"/>
    <n v="6"/>
    <n v="7"/>
    <n v="25"/>
    <s v="B"/>
    <m/>
    <s v="Hoja Aguda"/>
    <s v="Acróbata"/>
  </r>
  <r>
    <x v="9"/>
    <x v="9"/>
    <s v="Swablu"/>
    <s v="Swablu"/>
    <s v="0333A0"/>
    <s v="Hoenn"/>
    <s v="Hoenn"/>
    <s v="Normal"/>
    <s v="Flying"/>
    <s v="Basic"/>
    <s v="0333A0"/>
    <s v="-"/>
    <x v="0"/>
    <s v="-"/>
    <s v="-"/>
    <x v="0"/>
    <n v="310"/>
    <n v="45"/>
    <n v="40"/>
    <n v="60"/>
    <n v="40"/>
    <n v="75"/>
    <n v="50"/>
    <n v="3"/>
    <n v="4"/>
    <n v="6"/>
    <n v="3"/>
    <n v="16"/>
    <s v="C-"/>
    <m/>
    <s v="Picotazo"/>
    <s v="Voz Cautivadora"/>
  </r>
  <r>
    <x v="9"/>
    <x v="9"/>
    <s v="Altaria"/>
    <s v="Altaria"/>
    <s v="0334A0"/>
    <s v="Hoenn"/>
    <s v="Hoenn"/>
    <s v="Dragon"/>
    <s v="Flying"/>
    <s v="Basic"/>
    <s v="0333A0"/>
    <s v="0333A0"/>
    <x v="2"/>
    <s v="Experience"/>
    <n v="4"/>
    <x v="1"/>
    <n v="490"/>
    <n v="75"/>
    <n v="70"/>
    <n v="90"/>
    <n v="70"/>
    <n v="105"/>
    <n v="80"/>
    <n v="4"/>
    <n v="6"/>
    <n v="8"/>
    <n v="5"/>
    <n v="23"/>
    <s v="B-"/>
    <m/>
    <s v="Pulso Dragón"/>
    <s v="Golpe Aéreo"/>
  </r>
  <r>
    <x v="9"/>
    <x v="9"/>
    <s v="Kecleon"/>
    <s v="Kecleon"/>
    <s v="0352A0"/>
    <s v="Hoenn"/>
    <s v="Hoenn"/>
    <s v="Normal"/>
    <s v="-"/>
    <s v="Basic"/>
    <s v="0352A0"/>
    <s v="-"/>
    <x v="2"/>
    <s v="-"/>
    <s v="-"/>
    <x v="0"/>
    <n v="440"/>
    <n v="60"/>
    <n v="90"/>
    <n v="70"/>
    <n v="60"/>
    <n v="120"/>
    <n v="40"/>
    <n v="4"/>
    <n v="8"/>
    <n v="8"/>
    <n v="3"/>
    <n v="23"/>
    <s v="B-"/>
    <m/>
    <s v="Cuchillada"/>
    <s v="Lengüetazo"/>
  </r>
  <r>
    <x v="9"/>
    <x v="9"/>
    <s v="Magnemite"/>
    <s v="Magnemite"/>
    <s v="0081A0"/>
    <s v="Hoenn"/>
    <s v="Kanto"/>
    <s v="Electric"/>
    <s v="Steel"/>
    <s v="Basic"/>
    <s v="0081A0"/>
    <s v="-"/>
    <x v="0"/>
    <s v="-"/>
    <s v="-"/>
    <x v="0"/>
    <n v="325"/>
    <n v="25"/>
    <n v="35"/>
    <n v="70"/>
    <n v="95"/>
    <n v="55"/>
    <n v="45"/>
    <n v="2"/>
    <n v="6"/>
    <n v="4"/>
    <n v="3"/>
    <n v="15"/>
    <s v="D"/>
    <m/>
    <s v="Impactrueno"/>
    <s v="Placaje"/>
  </r>
  <r>
    <x v="9"/>
    <x v="9"/>
    <s v="Magneton"/>
    <s v="Magneton"/>
    <s v="0082A0"/>
    <s v="Hoenn"/>
    <s v="Kanto"/>
    <s v="Electric"/>
    <s v="Steel"/>
    <s v="Basic"/>
    <s v="0081A0"/>
    <s v="0081A0"/>
    <x v="1"/>
    <s v="Experience"/>
    <n v="4"/>
    <x v="0"/>
    <n v="465"/>
    <n v="50"/>
    <n v="60"/>
    <n v="95"/>
    <n v="120"/>
    <n v="70"/>
    <n v="70"/>
    <n v="3"/>
    <n v="8"/>
    <n v="6"/>
    <n v="4"/>
    <n v="21"/>
    <s v="C+"/>
    <m/>
    <s v="Onda Voltio"/>
    <s v="Giro Bola"/>
  </r>
  <r>
    <x v="9"/>
    <x v="9"/>
    <s v="Magnezone"/>
    <s v="Magnezone"/>
    <s v="0462A0"/>
    <s v="Hoenn"/>
    <s v="Sinnoh"/>
    <s v="Electric"/>
    <s v="Steel"/>
    <s v="Basic"/>
    <s v="0081A0"/>
    <s v="0461A0"/>
    <x v="2"/>
    <s v="Stone"/>
    <s v="-"/>
    <x v="1"/>
    <n v="535"/>
    <n v="70"/>
    <n v="70"/>
    <n v="115"/>
    <n v="130"/>
    <n v="90"/>
    <n v="60"/>
    <n v="4"/>
    <n v="10"/>
    <n v="8"/>
    <n v="4"/>
    <n v="26"/>
    <s v="B+"/>
    <m/>
    <s v="Chispazo"/>
    <s v="Foco Resplandor"/>
  </r>
  <r>
    <x v="9"/>
    <x v="9"/>
    <s v="Ralts"/>
    <s v="Ralts"/>
    <s v="0280A0"/>
    <s v="Hoenn"/>
    <s v="Hoenn"/>
    <s v="Psychic"/>
    <s v="Fairy"/>
    <s v="Basic"/>
    <s v="0280A0"/>
    <s v="-"/>
    <x v="0"/>
    <s v="-"/>
    <s v="-"/>
    <x v="4"/>
    <n v="198"/>
    <n v="28"/>
    <n v="25"/>
    <n v="25"/>
    <n v="45"/>
    <n v="35"/>
    <n v="40"/>
    <n v="2"/>
    <n v="4"/>
    <n v="4"/>
    <n v="3"/>
    <n v="13"/>
    <s v="F"/>
    <m/>
    <s v="Confusión"/>
    <s v="Voz Cautivadora"/>
  </r>
  <r>
    <x v="9"/>
    <x v="9"/>
    <s v="Kirlia"/>
    <s v="Kirlia"/>
    <s v="0281A0"/>
    <s v="Hoenn"/>
    <s v="Hoenn"/>
    <s v="Psychic"/>
    <s v="Fairy"/>
    <s v="Basic"/>
    <s v="0280A0"/>
    <s v="0280A0"/>
    <x v="1"/>
    <s v="Experience"/>
    <n v="3"/>
    <x v="0"/>
    <n v="278"/>
    <n v="38"/>
    <n v="35"/>
    <n v="35"/>
    <n v="65"/>
    <n v="55"/>
    <n v="50"/>
    <n v="3"/>
    <n v="6"/>
    <n v="4"/>
    <n v="3"/>
    <n v="16"/>
    <s v="C-"/>
    <m/>
    <s v="Psicorrayo"/>
    <s v="Hoja Mágica"/>
  </r>
  <r>
    <x v="9"/>
    <x v="9"/>
    <s v="Gallade"/>
    <s v="Gallade"/>
    <s v="0475A0"/>
    <s v="Hoenn"/>
    <s v="Sinnoh"/>
    <s v="Psychic"/>
    <s v="Fighting"/>
    <s v="Basic"/>
    <s v="0280A0"/>
    <s v="0281A0"/>
    <x v="2"/>
    <s v="Experience"/>
    <n v="4"/>
    <x v="1"/>
    <n v="518"/>
    <n v="68"/>
    <n v="125"/>
    <n v="65"/>
    <n v="65"/>
    <n v="115"/>
    <n v="80"/>
    <n v="4"/>
    <n v="10"/>
    <n v="8"/>
    <n v="5"/>
    <n v="27"/>
    <s v="B+"/>
    <m/>
    <s v="Cabezazo Zen"/>
    <s v="Espada Santa"/>
  </r>
  <r>
    <x v="9"/>
    <x v="9"/>
    <s v="Gallade (Mega Gallade)"/>
    <s v="Mega-Gallade"/>
    <s v="0475M0"/>
    <s v="Hoenn"/>
    <s v="Sinnoh"/>
    <s v="Psychic"/>
    <s v="Fighting"/>
    <s v="Mega"/>
    <s v="0280A0"/>
    <s v="0475A0"/>
    <x v="3"/>
    <s v="Megastone"/>
    <s v="-"/>
    <x v="2"/>
    <n v="618"/>
    <n v="68"/>
    <n v="165"/>
    <n v="95"/>
    <n v="65"/>
    <n v="115"/>
    <n v="110"/>
    <n v="4"/>
    <n v="12"/>
    <n v="8"/>
    <n v="6"/>
    <n v="30"/>
    <s v="A"/>
    <m/>
    <s v="Cabezazo Zen"/>
    <s v="Espada Santa"/>
  </r>
  <r>
    <x v="10"/>
    <x v="10"/>
    <s v="Heracross"/>
    <s v="Heracross"/>
    <s v="0214A0"/>
    <s v="Sinnoh"/>
    <s v="Johto"/>
    <s v="Bug"/>
    <s v="Fighting"/>
    <s v="Basic"/>
    <s v="0214A0"/>
    <s v="-"/>
    <x v="2"/>
    <s v="-"/>
    <s v="-"/>
    <x v="1"/>
    <n v="500"/>
    <n v="80"/>
    <n v="125"/>
    <n v="75"/>
    <n v="40"/>
    <n v="95"/>
    <n v="85"/>
    <n v="5"/>
    <n v="10"/>
    <n v="6"/>
    <n v="5"/>
    <n v="26"/>
    <s v="B+"/>
    <m/>
    <s v="Megacuerno"/>
    <s v="Roca Afilada"/>
  </r>
  <r>
    <x v="10"/>
    <x v="10"/>
    <s v="Heracross (Mega Heracross)"/>
    <s v="Mega-Heracross"/>
    <s v="0214M0"/>
    <s v="Sinnoh"/>
    <s v="Johto"/>
    <s v="Bug"/>
    <s v="Fighting"/>
    <s v="Mega"/>
    <s v="0214A0"/>
    <s v="0214A0"/>
    <x v="3"/>
    <s v="Megastone"/>
    <s v="-"/>
    <x v="2"/>
    <n v="600"/>
    <n v="80"/>
    <n v="185"/>
    <n v="115"/>
    <n v="40"/>
    <n v="105"/>
    <n v="75"/>
    <n v="5"/>
    <n v="12"/>
    <n v="8"/>
    <n v="4"/>
    <n v="29"/>
    <s v="A-"/>
    <m/>
    <s v="Megacuerno"/>
    <s v="Roca Afilada"/>
  </r>
  <r>
    <x v="10"/>
    <x v="10"/>
    <s v="Chimchar"/>
    <s v="Chimchar"/>
    <s v="0390A0"/>
    <s v="Sinnoh"/>
    <s v="Sinnoh"/>
    <s v="Fire"/>
    <s v="-"/>
    <s v="Starter"/>
    <s v="0390A0"/>
    <s v="-"/>
    <x v="0"/>
    <s v="-"/>
    <s v="-"/>
    <x v="0"/>
    <n v="309"/>
    <n v="44"/>
    <n v="58"/>
    <n v="44"/>
    <n v="58"/>
    <n v="44"/>
    <n v="61"/>
    <n v="3"/>
    <n v="6"/>
    <n v="4"/>
    <n v="4"/>
    <n v="17"/>
    <s v="C-"/>
    <m/>
    <s v="Ascuas"/>
    <s v="Arañazo"/>
  </r>
  <r>
    <x v="10"/>
    <x v="10"/>
    <s v="Monferno"/>
    <s v="Monferno"/>
    <s v="0391A0"/>
    <s v="Sinnoh"/>
    <s v="Sinnoh"/>
    <s v="Fire"/>
    <s v="Fighting"/>
    <s v="Starter"/>
    <s v="0390A0"/>
    <s v="0390A0"/>
    <x v="1"/>
    <s v="Experience"/>
    <n v="3"/>
    <x v="0"/>
    <n v="405"/>
    <n v="64"/>
    <n v="78"/>
    <n v="52"/>
    <n v="78"/>
    <n v="52"/>
    <n v="81"/>
    <n v="4"/>
    <n v="8"/>
    <n v="4"/>
    <n v="5"/>
    <n v="21"/>
    <s v="C+"/>
    <m/>
    <s v="Rueda Fuego"/>
    <s v="Ultrapuño"/>
  </r>
  <r>
    <x v="10"/>
    <x v="10"/>
    <s v="Infernape"/>
    <s v="Infernape"/>
    <s v="0392A0"/>
    <s v="Sinnoh"/>
    <s v="Sinnoh"/>
    <s v="Fire"/>
    <s v="Fighting"/>
    <s v="Starter"/>
    <s v="0390A0"/>
    <s v="0391A0"/>
    <x v="2"/>
    <s v="Experience"/>
    <n v="4"/>
    <x v="1"/>
    <n v="534"/>
    <n v="76"/>
    <n v="104"/>
    <n v="71"/>
    <n v="104"/>
    <n v="71"/>
    <n v="108"/>
    <n v="4"/>
    <n v="10"/>
    <n v="6"/>
    <n v="6"/>
    <n v="26"/>
    <s v="B+"/>
    <m/>
    <s v="Envite Ígneo"/>
    <s v="A Bocajarro"/>
  </r>
  <r>
    <x v="10"/>
    <x v="10"/>
    <s v="Starly"/>
    <s v="Starly"/>
    <s v="0396A0"/>
    <s v="Sinnoh"/>
    <s v="Sinnoh"/>
    <s v="Normal"/>
    <s v="Flying"/>
    <s v="Basic"/>
    <s v="0396A0"/>
    <s v="-"/>
    <x v="0"/>
    <s v="-"/>
    <s v="-"/>
    <x v="4"/>
    <n v="245"/>
    <n v="40"/>
    <n v="55"/>
    <n v="30"/>
    <n v="30"/>
    <n v="30"/>
    <n v="60"/>
    <n v="3"/>
    <n v="4"/>
    <n v="4"/>
    <n v="4"/>
    <n v="15"/>
    <s v="D"/>
    <m/>
    <s v="Picotazo"/>
    <s v="Placaje"/>
  </r>
  <r>
    <x v="10"/>
    <x v="10"/>
    <s v="Staravia"/>
    <s v="Staravia"/>
    <s v="0397A0"/>
    <s v="Sinnoh"/>
    <s v="Sinnoh"/>
    <s v="Normal"/>
    <s v="Flying"/>
    <s v="Basic"/>
    <s v="0396A0"/>
    <s v="0396A0"/>
    <x v="1"/>
    <s v="Experience"/>
    <n v="3"/>
    <x v="0"/>
    <n v="340"/>
    <n v="55"/>
    <n v="75"/>
    <n v="50"/>
    <n v="40"/>
    <n v="40"/>
    <n v="80"/>
    <n v="3"/>
    <n v="6"/>
    <n v="4"/>
    <n v="5"/>
    <n v="18"/>
    <s v="C"/>
    <m/>
    <s v="Golpe Aéreo"/>
    <s v="Derribo"/>
  </r>
  <r>
    <x v="10"/>
    <x v="10"/>
    <s v="Staraptor"/>
    <s v="Staraptor"/>
    <s v="0398A0"/>
    <s v="Sinnoh"/>
    <s v="Sinnoh"/>
    <s v="Normal"/>
    <s v="Flying"/>
    <s v="Basic"/>
    <s v="0396A0"/>
    <s v="0397A0"/>
    <x v="2"/>
    <s v="Experience"/>
    <n v="4"/>
    <x v="1"/>
    <n v="485"/>
    <n v="85"/>
    <n v="120"/>
    <n v="70"/>
    <n v="50"/>
    <n v="60"/>
    <n v="100"/>
    <n v="5"/>
    <n v="8"/>
    <n v="4"/>
    <n v="6"/>
    <n v="23"/>
    <s v="B-"/>
    <m/>
    <s v="Pájaro Osado"/>
    <s v="Doble Filo"/>
  </r>
  <r>
    <x v="10"/>
    <x v="10"/>
    <s v="Shinx"/>
    <s v="Shinx"/>
    <s v="0403A0"/>
    <s v="Sinnoh"/>
    <s v="Sinnoh"/>
    <s v="Electric"/>
    <s v="-"/>
    <s v="Basic"/>
    <s v="0403A0"/>
    <s v="-"/>
    <x v="0"/>
    <s v="-"/>
    <s v="-"/>
    <x v="4"/>
    <n v="263"/>
    <n v="45"/>
    <n v="65"/>
    <n v="34"/>
    <n v="40"/>
    <n v="34"/>
    <n v="45"/>
    <n v="3"/>
    <n v="6"/>
    <n v="4"/>
    <n v="3"/>
    <n v="16"/>
    <s v="C-"/>
    <m/>
    <s v="Chispa"/>
    <s v="Mordisco"/>
  </r>
  <r>
    <x v="10"/>
    <x v="10"/>
    <s v="Luxio"/>
    <s v="Luxio"/>
    <s v="0404A0"/>
    <s v="Sinnoh"/>
    <s v="Sinnoh"/>
    <s v="Electric"/>
    <s v="-"/>
    <s v="Basic"/>
    <s v="0403A0"/>
    <s v="0403A0"/>
    <x v="1"/>
    <s v="Experience"/>
    <n v="3"/>
    <x v="0"/>
    <n v="363"/>
    <n v="60"/>
    <n v="85"/>
    <n v="49"/>
    <n v="60"/>
    <n v="49"/>
    <n v="60"/>
    <n v="4"/>
    <n v="6"/>
    <n v="4"/>
    <n v="4"/>
    <n v="18"/>
    <s v="C"/>
    <m/>
    <s v="Chispazo"/>
    <s v="Alarido"/>
  </r>
  <r>
    <x v="10"/>
    <x v="10"/>
    <s v="Luxray"/>
    <s v="Luxray"/>
    <s v="0405A0"/>
    <s v="Sinnoh"/>
    <s v="Sinnoh"/>
    <s v="Electric"/>
    <s v="-"/>
    <s v="Basic"/>
    <s v="0403A0"/>
    <s v="0404A0"/>
    <x v="2"/>
    <s v="Experience"/>
    <n v="4"/>
    <x v="1"/>
    <n v="523"/>
    <n v="80"/>
    <n v="120"/>
    <n v="79"/>
    <n v="95"/>
    <n v="79"/>
    <n v="70"/>
    <n v="5"/>
    <n v="10"/>
    <n v="6"/>
    <n v="4"/>
    <n v="25"/>
    <s v="B"/>
    <m/>
    <s v="Voltio Cruel"/>
    <s v="Triturar"/>
  </r>
  <r>
    <x v="10"/>
    <x v="10"/>
    <s v="Budew"/>
    <s v="Budew"/>
    <s v="0406A0"/>
    <s v="Sinnoh"/>
    <s v="Sinnoh"/>
    <s v="Grass"/>
    <s v="Poison"/>
    <s v="Basic"/>
    <s v="0406A0"/>
    <s v="-"/>
    <x v="0"/>
    <s v="-"/>
    <s v="-"/>
    <x v="4"/>
    <n v="280"/>
    <n v="40"/>
    <n v="30"/>
    <n v="35"/>
    <n v="50"/>
    <n v="70"/>
    <n v="55"/>
    <n v="3"/>
    <n v="4"/>
    <n v="4"/>
    <n v="3"/>
    <n v="14"/>
    <s v="E"/>
    <m/>
    <s v="Absorber"/>
    <s v="Picotazo Venenoso"/>
  </r>
  <r>
    <x v="10"/>
    <x v="10"/>
    <s v="Roselia"/>
    <s v="Roselia"/>
    <s v="0315A0"/>
    <s v="Sinnoh"/>
    <s v="Hoenn"/>
    <s v="Grass"/>
    <s v="Poison"/>
    <s v="Basic"/>
    <s v="0406A0"/>
    <s v="0406A0"/>
    <x v="1"/>
    <s v="Experience"/>
    <n v="3"/>
    <x v="0"/>
    <n v="400"/>
    <n v="50"/>
    <n v="60"/>
    <n v="45"/>
    <n v="100"/>
    <n v="80"/>
    <n v="65"/>
    <n v="3"/>
    <n v="8"/>
    <n v="6"/>
    <n v="4"/>
    <n v="21"/>
    <s v="C+"/>
    <m/>
    <s v="Megaagotar"/>
    <s v="Carga Tóxica"/>
  </r>
  <r>
    <x v="10"/>
    <x v="10"/>
    <s v="Roserade"/>
    <s v="Roserade"/>
    <s v="0407A0"/>
    <s v="Sinnoh"/>
    <s v="Sinnoh"/>
    <s v="Grass"/>
    <s v="Poison"/>
    <s v="Basic"/>
    <s v="0406A0"/>
    <s v="0315A0"/>
    <x v="2"/>
    <s v="Stone"/>
    <s v="-"/>
    <x v="1"/>
    <n v="515"/>
    <n v="60"/>
    <n v="70"/>
    <n v="65"/>
    <n v="125"/>
    <n v="105"/>
    <n v="90"/>
    <n v="4"/>
    <n v="10"/>
    <n v="8"/>
    <n v="5"/>
    <n v="27"/>
    <s v="B+"/>
    <m/>
    <s v="Energibola"/>
    <s v="Onda Tóxica"/>
  </r>
  <r>
    <x v="10"/>
    <x v="10"/>
    <s v="Buizel"/>
    <s v="Buizel"/>
    <s v="0418A0"/>
    <s v="Sinnoh"/>
    <s v="Sinnoh"/>
    <s v="Water"/>
    <s v="-"/>
    <s v="Basic"/>
    <s v="0418A0"/>
    <s v="-"/>
    <x v="0"/>
    <s v="-"/>
    <s v="-"/>
    <x v="0"/>
    <n v="330"/>
    <n v="55"/>
    <n v="65"/>
    <n v="35"/>
    <n v="60"/>
    <n v="30"/>
    <n v="85"/>
    <n v="3"/>
    <n v="6"/>
    <n v="4"/>
    <n v="5"/>
    <n v="18"/>
    <s v="C"/>
    <m/>
    <s v="Pistola Agua"/>
    <s v="Colmillo Hielo"/>
  </r>
  <r>
    <x v="10"/>
    <x v="10"/>
    <s v="Floatzel"/>
    <s v="Floatzel"/>
    <s v="0419A0"/>
    <s v="Sinnoh"/>
    <s v="Sinnoh"/>
    <s v="Water"/>
    <s v="-"/>
    <s v="Basic"/>
    <s v="0418A0"/>
    <s v="0418A0"/>
    <x v="2"/>
    <s v="Experience"/>
    <n v="3"/>
    <x v="1"/>
    <n v="495"/>
    <n v="85"/>
    <n v="105"/>
    <n v="55"/>
    <n v="85"/>
    <n v="50"/>
    <n v="115"/>
    <n v="5"/>
    <n v="8"/>
    <n v="4"/>
    <n v="6"/>
    <n v="23"/>
    <s v="B-"/>
    <m/>
    <s v="Acua Jet"/>
    <s v="Rayo Hielo"/>
  </r>
  <r>
    <x v="11"/>
    <x v="11"/>
    <s v="Turtwig"/>
    <s v="Turtwig"/>
    <s v="0387A0"/>
    <s v="Sinnoh"/>
    <s v="Sinnoh"/>
    <s v="Grass"/>
    <s v="-"/>
    <s v="Starter"/>
    <s v="0387A0"/>
    <s v="-"/>
    <x v="0"/>
    <s v="-"/>
    <s v="-"/>
    <x v="0"/>
    <n v="318"/>
    <n v="55"/>
    <n v="68"/>
    <n v="64"/>
    <n v="45"/>
    <n v="55"/>
    <n v="31"/>
    <n v="3"/>
    <n v="6"/>
    <n v="4"/>
    <n v="2"/>
    <n v="15"/>
    <s v="D"/>
    <m/>
    <s v="Follaje"/>
    <s v="Bofetón Lodo"/>
  </r>
  <r>
    <x v="11"/>
    <x v="11"/>
    <s v="Grotle"/>
    <s v="Grotle"/>
    <s v="0388A0"/>
    <s v="Sinnoh"/>
    <s v="Sinnoh"/>
    <s v="Grass"/>
    <s v="-"/>
    <s v="Starter"/>
    <s v="0387A0"/>
    <s v="0387A0"/>
    <x v="1"/>
    <s v="Experience"/>
    <n v="3"/>
    <x v="0"/>
    <n v="405"/>
    <n v="75"/>
    <n v="89"/>
    <n v="85"/>
    <n v="55"/>
    <n v="65"/>
    <n v="36"/>
    <n v="4"/>
    <n v="6"/>
    <n v="6"/>
    <n v="2"/>
    <n v="18"/>
    <s v="C"/>
    <m/>
    <s v="Hierba Lazo"/>
    <s v="Terratemblor"/>
  </r>
  <r>
    <x v="11"/>
    <x v="11"/>
    <s v="Torterra"/>
    <s v="Torterra"/>
    <s v="0389A0"/>
    <s v="Sinnoh"/>
    <s v="Sinnoh"/>
    <s v="Grass"/>
    <s v="Ground"/>
    <s v="Starter"/>
    <s v="0387A0"/>
    <s v="0388A0"/>
    <x v="2"/>
    <s v="Experience"/>
    <n v="4"/>
    <x v="1"/>
    <n v="525"/>
    <n v="95"/>
    <n v="109"/>
    <n v="105"/>
    <n v="75"/>
    <n v="85"/>
    <n v="56"/>
    <n v="6"/>
    <n v="8"/>
    <n v="8"/>
    <n v="3"/>
    <n v="25"/>
    <s v="B"/>
    <m/>
    <s v="Mazazo"/>
    <s v="Terremoto"/>
  </r>
  <r>
    <x v="11"/>
    <x v="11"/>
    <s v="Shieldon"/>
    <s v="Shieldon"/>
    <s v="0410A0"/>
    <s v="Sinnoh"/>
    <s v="Sinnoh"/>
    <s v="Rock"/>
    <s v="Steel"/>
    <s v="Basic"/>
    <s v="0410A0"/>
    <s v="-"/>
    <x v="0"/>
    <s v="-"/>
    <s v="-"/>
    <x v="0"/>
    <n v="350"/>
    <n v="30"/>
    <n v="42"/>
    <n v="118"/>
    <n v="42"/>
    <n v="88"/>
    <n v="30"/>
    <n v="2"/>
    <n v="4"/>
    <n v="8"/>
    <n v="2"/>
    <n v="16"/>
    <s v="C-"/>
    <m/>
    <s v="Placaje"/>
    <s v="Tumba Rocas"/>
  </r>
  <r>
    <x v="11"/>
    <x v="11"/>
    <s v="Bastiodon"/>
    <s v="Bastiodon"/>
    <s v="0411A0"/>
    <s v="Sinnoh"/>
    <s v="Sinnoh"/>
    <s v="Rock"/>
    <s v="Steel"/>
    <s v="Basic"/>
    <s v="0410A0"/>
    <s v="0410A0"/>
    <x v="2"/>
    <s v="Experience"/>
    <n v="4"/>
    <x v="1"/>
    <n v="495"/>
    <n v="60"/>
    <n v="52"/>
    <n v="168"/>
    <n v="47"/>
    <n v="138"/>
    <n v="30"/>
    <n v="4"/>
    <n v="6"/>
    <n v="12"/>
    <n v="2"/>
    <n v="24"/>
    <s v="B"/>
    <m/>
    <s v="Cabeza de Hierro"/>
    <s v="Avalancha"/>
  </r>
  <r>
    <x v="11"/>
    <x v="11"/>
    <s v="Lickitung"/>
    <s v="Lickitung"/>
    <s v="0108A0"/>
    <s v="Sinnoh"/>
    <s v="Kanto"/>
    <s v="Normal"/>
    <s v="-"/>
    <s v="Basic"/>
    <s v="0108A0"/>
    <s v="-"/>
    <x v="0"/>
    <s v="-"/>
    <s v="-"/>
    <x v="0"/>
    <n v="385"/>
    <n v="90"/>
    <n v="55"/>
    <n v="75"/>
    <n v="60"/>
    <n v="75"/>
    <n v="30"/>
    <n v="6"/>
    <n v="6"/>
    <n v="6"/>
    <n v="2"/>
    <n v="20"/>
    <s v="C+"/>
    <m/>
    <s v="Placaje"/>
    <s v="Golpe Roca"/>
  </r>
  <r>
    <x v="11"/>
    <x v="11"/>
    <s v="Lickilicky"/>
    <s v="Lickilicky"/>
    <s v="0463A0"/>
    <s v="Sinnoh"/>
    <s v="Sinnoh"/>
    <s v="Normal"/>
    <s v="-"/>
    <s v="Basic"/>
    <s v="0108A0"/>
    <s v="0108A0"/>
    <x v="2"/>
    <s v="Experience"/>
    <n v="4"/>
    <x v="1"/>
    <n v="515"/>
    <n v="110"/>
    <n v="85"/>
    <n v="95"/>
    <n v="80"/>
    <n v="95"/>
    <n v="50"/>
    <n v="7"/>
    <n v="8"/>
    <n v="6"/>
    <n v="3"/>
    <n v="24"/>
    <s v="B"/>
    <m/>
    <s v="Retribución"/>
    <s v="Acua Cola"/>
  </r>
  <r>
    <x v="11"/>
    <x v="11"/>
    <s v="Magby"/>
    <s v="Magby"/>
    <s v="0240A0"/>
    <s v="Sinnoh"/>
    <s v="Johto"/>
    <s v="Fire"/>
    <s v="-"/>
    <s v="Basic"/>
    <s v="0240A0"/>
    <s v="-"/>
    <x v="0"/>
    <s v="-"/>
    <s v="-"/>
    <x v="0"/>
    <n v="365"/>
    <n v="45"/>
    <n v="75"/>
    <n v="37"/>
    <n v="70"/>
    <n v="55"/>
    <n v="83"/>
    <n v="3"/>
    <n v="6"/>
    <n v="4"/>
    <n v="5"/>
    <n v="18"/>
    <s v="C"/>
    <m/>
    <s v="Ascuas"/>
    <s v="Polución"/>
  </r>
  <r>
    <x v="11"/>
    <x v="11"/>
    <s v="Magmar"/>
    <s v="Magmar"/>
    <s v="0126A0"/>
    <s v="Sinnoh"/>
    <s v="Kanto"/>
    <s v="Fire"/>
    <s v="-"/>
    <s v="Basic"/>
    <s v="0240A0"/>
    <s v="0240A0"/>
    <x v="1"/>
    <s v="Experience"/>
    <n v="4"/>
    <x v="1"/>
    <n v="495"/>
    <n v="65"/>
    <n v="95"/>
    <n v="57"/>
    <n v="100"/>
    <n v="85"/>
    <n v="93"/>
    <n v="4"/>
    <n v="8"/>
    <n v="6"/>
    <n v="5"/>
    <n v="23"/>
    <s v="B-"/>
    <m/>
    <s v="Puño Fuego"/>
    <s v="Demolición"/>
  </r>
  <r>
    <x v="11"/>
    <x v="11"/>
    <s v="Magmortar"/>
    <s v="Magmortar"/>
    <s v="0467A0"/>
    <s v="Sinnoh"/>
    <s v="Sinnoh"/>
    <s v="Fire"/>
    <s v="-"/>
    <s v="Basic"/>
    <s v="0240A0"/>
    <s v="0126A0"/>
    <x v="2"/>
    <s v="Gift"/>
    <s v="-"/>
    <x v="1"/>
    <n v="540"/>
    <n v="75"/>
    <n v="95"/>
    <n v="67"/>
    <n v="125"/>
    <n v="95"/>
    <n v="83"/>
    <n v="4"/>
    <n v="10"/>
    <n v="6"/>
    <n v="5"/>
    <n v="25"/>
    <s v="B"/>
    <m/>
    <s v="Llamarada"/>
    <s v="Onda Certera"/>
  </r>
  <r>
    <x v="11"/>
    <x v="11"/>
    <s v="Eevee"/>
    <s v="Eevee"/>
    <s v="0133A0"/>
    <s v="Sinnoh"/>
    <s v="Kanto"/>
    <s v="Normal"/>
    <s v="-"/>
    <s v="Basic"/>
    <s v="0133A0"/>
    <s v="-"/>
    <x v="0"/>
    <s v="-"/>
    <s v="-"/>
    <x v="0"/>
    <n v="325"/>
    <n v="55"/>
    <n v="55"/>
    <n v="50"/>
    <n v="45"/>
    <n v="65"/>
    <n v="55"/>
    <n v="3"/>
    <n v="4"/>
    <n v="4"/>
    <n v="3"/>
    <n v="14"/>
    <s v="E"/>
    <m/>
    <s v="Rapidez"/>
    <s v="Doble Patada"/>
  </r>
  <r>
    <x v="11"/>
    <x v="11"/>
    <s v="Glaceon"/>
    <s v="Glaceon"/>
    <s v="0471A0"/>
    <s v="Sinnoh"/>
    <s v="Sinnoh"/>
    <s v="Ice"/>
    <s v="-"/>
    <s v="Basic"/>
    <s v="0133A0"/>
    <s v="0133A0"/>
    <x v="2"/>
    <s v="Stone"/>
    <s v="-"/>
    <x v="1"/>
    <n v="525"/>
    <n v="65"/>
    <n v="60"/>
    <n v="110"/>
    <n v="130"/>
    <n v="95"/>
    <n v="65"/>
    <n v="4"/>
    <n v="10"/>
    <n v="8"/>
    <n v="4"/>
    <n v="26"/>
    <s v="B+"/>
    <m/>
    <s v="Ventisca"/>
    <s v="Cola Férrea"/>
  </r>
  <r>
    <x v="11"/>
    <x v="11"/>
    <s v="Rotom"/>
    <s v="Rotom"/>
    <s v="0479A0"/>
    <s v="Sinnoh"/>
    <s v="Sinnoh"/>
    <s v="Electric"/>
    <s v="Ghost"/>
    <s v="Basic"/>
    <s v="0479A0"/>
    <s v="-"/>
    <x v="2"/>
    <s v="-"/>
    <s v="-"/>
    <x v="0"/>
    <n v="440"/>
    <n v="50"/>
    <n v="50"/>
    <n v="77"/>
    <n v="95"/>
    <n v="77"/>
    <n v="91"/>
    <n v="3"/>
    <n v="8"/>
    <n v="6"/>
    <n v="5"/>
    <n v="22"/>
    <s v="B-"/>
    <m/>
    <s v="Rayo"/>
    <s v="Bola Sombra"/>
  </r>
  <r>
    <x v="12"/>
    <x v="12"/>
    <s v="Piplup"/>
    <s v="Piplup"/>
    <s v="0393A0"/>
    <s v="Sinnoh"/>
    <s v="Sinnoh"/>
    <s v="Water"/>
    <s v="-"/>
    <s v="Starter"/>
    <s v="0393A0"/>
    <s v="-"/>
    <x v="0"/>
    <s v="-"/>
    <s v="-"/>
    <x v="0"/>
    <n v="314"/>
    <n v="53"/>
    <n v="51"/>
    <n v="53"/>
    <n v="61"/>
    <n v="56"/>
    <n v="40"/>
    <n v="3"/>
    <n v="6"/>
    <n v="4"/>
    <n v="3"/>
    <n v="16"/>
    <s v="C-"/>
    <m/>
    <s v="Burbuja"/>
    <s v="Picotazo"/>
  </r>
  <r>
    <x v="12"/>
    <x v="12"/>
    <s v="Prinplup"/>
    <s v="Prinplup"/>
    <s v="0394A0"/>
    <s v="Sinnoh"/>
    <s v="Sinnoh"/>
    <s v="Water"/>
    <s v="-"/>
    <s v="Starter"/>
    <s v="0393A0"/>
    <s v="0393A0"/>
    <x v="1"/>
    <s v="Experience"/>
    <n v="3"/>
    <x v="0"/>
    <n v="405"/>
    <n v="64"/>
    <n v="66"/>
    <n v="68"/>
    <n v="81"/>
    <n v="76"/>
    <n v="50"/>
    <n v="4"/>
    <n v="6"/>
    <n v="6"/>
    <n v="3"/>
    <n v="19"/>
    <s v="C"/>
    <m/>
    <s v="Acua Jet"/>
    <s v="Golpe Aéreo"/>
  </r>
  <r>
    <x v="12"/>
    <x v="12"/>
    <s v="Empoleon"/>
    <s v="Empoleon"/>
    <s v="0395A0"/>
    <s v="Sinnoh"/>
    <s v="Sinnoh"/>
    <s v="Water"/>
    <s v="Steel"/>
    <s v="Starter"/>
    <s v="0393A0"/>
    <s v="0394A0"/>
    <x v="2"/>
    <s v="Experience"/>
    <n v="4"/>
    <x v="1"/>
    <n v="530"/>
    <n v="84"/>
    <n v="86"/>
    <n v="88"/>
    <n v="111"/>
    <n v="101"/>
    <n v="60"/>
    <n v="5"/>
    <n v="8"/>
    <n v="8"/>
    <n v="4"/>
    <n v="25"/>
    <s v="B"/>
    <m/>
    <s v="Hidrobomba"/>
    <s v="Pico Taladro"/>
  </r>
  <r>
    <x v="12"/>
    <x v="12"/>
    <s v="Pachirisu"/>
    <s v="Pachirisu"/>
    <s v="0417A0"/>
    <s v="Sinnoh"/>
    <s v="Sinnoh"/>
    <s v="Electric"/>
    <s v="-"/>
    <s v="Basic"/>
    <s v="0417A0"/>
    <s v="-"/>
    <x v="2"/>
    <s v="-"/>
    <s v="-"/>
    <x v="0"/>
    <n v="405"/>
    <n v="60"/>
    <n v="45"/>
    <n v="70"/>
    <n v="45"/>
    <n v="90"/>
    <n v="95"/>
    <n v="4"/>
    <n v="4"/>
    <n v="6"/>
    <n v="5"/>
    <n v="19"/>
    <s v="C"/>
    <m/>
    <s v="Chispazo"/>
    <s v="Superdiente"/>
  </r>
  <r>
    <x v="12"/>
    <x v="12"/>
    <s v="Buneary"/>
    <s v="Buneary"/>
    <s v="0427A0"/>
    <s v="Sinnoh"/>
    <s v="Sinnoh"/>
    <s v="Normal"/>
    <s v="-"/>
    <s v="Basic"/>
    <s v="0427A0"/>
    <s v="-"/>
    <x v="0"/>
    <s v="-"/>
    <s v="-"/>
    <x v="0"/>
    <n v="350"/>
    <n v="55"/>
    <n v="66"/>
    <n v="44"/>
    <n v="44"/>
    <n v="56"/>
    <n v="85"/>
    <n v="3"/>
    <n v="6"/>
    <n v="4"/>
    <n v="5"/>
    <n v="18"/>
    <s v="C"/>
    <m/>
    <s v="Rapidez"/>
    <s v="Puntapié"/>
  </r>
  <r>
    <x v="12"/>
    <x v="12"/>
    <s v="Lopunny"/>
    <s v="Lopunny"/>
    <s v="0428A0"/>
    <s v="Sinnoh"/>
    <s v="Sinnoh"/>
    <s v="Normal"/>
    <s v="-"/>
    <s v="Basic"/>
    <s v="0427A0"/>
    <s v="0427A0"/>
    <x v="2"/>
    <s v="Experience"/>
    <n v="3"/>
    <x v="1"/>
    <n v="480"/>
    <n v="65"/>
    <n v="76"/>
    <n v="84"/>
    <n v="54"/>
    <n v="96"/>
    <n v="105"/>
    <n v="4"/>
    <n v="6"/>
    <n v="6"/>
    <n v="6"/>
    <n v="22"/>
    <s v="B-"/>
    <m/>
    <s v="Retribución"/>
    <s v="Pat. Salto Alta"/>
  </r>
  <r>
    <x v="12"/>
    <x v="12"/>
    <s v="Lopunny (Mega Lopunny)"/>
    <s v="Mega-Lopunny"/>
    <s v="0428M0"/>
    <s v="Sinnoh"/>
    <s v="Sinnoh"/>
    <s v="Normal"/>
    <s v="Fighting"/>
    <s v="Mega"/>
    <s v="0427A0"/>
    <s v="0428A0"/>
    <x v="3"/>
    <s v="Megastone"/>
    <s v="-"/>
    <x v="2"/>
    <n v="580"/>
    <n v="65"/>
    <n v="136"/>
    <n v="94"/>
    <n v="54"/>
    <n v="96"/>
    <n v="135"/>
    <n v="4"/>
    <n v="10"/>
    <n v="6"/>
    <n v="7"/>
    <n v="27"/>
    <s v="B+"/>
    <m/>
    <s v="Retribución"/>
    <s v="Pat. Salto Alta"/>
  </r>
  <r>
    <x v="12"/>
    <x v="12"/>
    <s v="Riolu"/>
    <s v="Riolu"/>
    <s v="0447A0"/>
    <s v="Sinnoh"/>
    <s v="Sinnoh"/>
    <s v="Fighting"/>
    <s v="-"/>
    <s v="Basic"/>
    <s v="0447A0"/>
    <s v="-"/>
    <x v="0"/>
    <s v="-"/>
    <s v="-"/>
    <x v="0"/>
    <n v="285"/>
    <n v="40"/>
    <n v="70"/>
    <n v="40"/>
    <n v="35"/>
    <n v="40"/>
    <n v="60"/>
    <n v="3"/>
    <n v="6"/>
    <n v="4"/>
    <n v="4"/>
    <n v="17"/>
    <s v="C-"/>
    <m/>
    <s v="Palmeo"/>
    <s v="Garra Metal"/>
  </r>
  <r>
    <x v="12"/>
    <x v="12"/>
    <s v="Lucario"/>
    <s v="Lucario"/>
    <s v="0448A0"/>
    <s v="Sinnoh"/>
    <s v="Sinnoh"/>
    <s v="Fighting"/>
    <s v="Steel"/>
    <s v="Basic"/>
    <s v="0447A0"/>
    <s v="0447A0"/>
    <x v="2"/>
    <s v="Experience"/>
    <n v="4"/>
    <x v="1"/>
    <n v="525"/>
    <n v="70"/>
    <n v="110"/>
    <n v="70"/>
    <n v="115"/>
    <n v="70"/>
    <n v="90"/>
    <n v="4"/>
    <n v="10"/>
    <n v="6"/>
    <n v="5"/>
    <n v="25"/>
    <s v="B"/>
    <m/>
    <s v="Esfera Aural"/>
    <s v="Foco Resplandor"/>
  </r>
  <r>
    <x v="12"/>
    <x v="12"/>
    <s v="Eevee"/>
    <s v="Eevee"/>
    <s v="0133A0"/>
    <s v="Sinnoh"/>
    <s v="Kanto"/>
    <s v="Normal"/>
    <s v="-"/>
    <s v="Basic"/>
    <s v="0133A0"/>
    <s v="-"/>
    <x v="0"/>
    <s v="-"/>
    <s v="-"/>
    <x v="0"/>
    <n v="325"/>
    <n v="55"/>
    <n v="55"/>
    <n v="50"/>
    <n v="45"/>
    <n v="65"/>
    <n v="55"/>
    <n v="3"/>
    <n v="4"/>
    <n v="4"/>
    <n v="3"/>
    <n v="14"/>
    <s v="E"/>
    <m/>
    <s v="Ataque Rápido"/>
    <s v="Abrecaminos"/>
  </r>
  <r>
    <x v="12"/>
    <x v="12"/>
    <s v="Leafeon"/>
    <s v="Leafeon"/>
    <s v="0470A0"/>
    <s v="Sinnoh"/>
    <s v="Sinnoh"/>
    <s v="Grass"/>
    <s v="-"/>
    <s v="Basic"/>
    <s v="0133A0"/>
    <s v="0133A0"/>
    <x v="2"/>
    <s v="Stone"/>
    <s v="-"/>
    <x v="1"/>
    <n v="525"/>
    <n v="65"/>
    <n v="110"/>
    <n v="130"/>
    <n v="60"/>
    <n v="65"/>
    <n v="95"/>
    <n v="4"/>
    <n v="8"/>
    <n v="8"/>
    <n v="5"/>
    <n v="25"/>
    <s v="B"/>
    <m/>
    <s v="Hoja Aguda"/>
    <s v="Tijera X"/>
  </r>
  <r>
    <x v="12"/>
    <x v="12"/>
    <s v="Swinub"/>
    <s v="Swinub"/>
    <s v="0220A0"/>
    <s v="Sinnoh"/>
    <s v="Johto"/>
    <s v="Ice"/>
    <s v="Ground"/>
    <s v="Basic"/>
    <s v="0220A0"/>
    <s v="-"/>
    <x v="0"/>
    <s v="-"/>
    <s v="-"/>
    <x v="4"/>
    <n v="250"/>
    <n v="50"/>
    <n v="50"/>
    <n v="40"/>
    <n v="30"/>
    <n v="30"/>
    <n v="50"/>
    <n v="3"/>
    <n v="4"/>
    <n v="4"/>
    <n v="3"/>
    <n v="14"/>
    <s v="E"/>
    <m/>
    <s v="Carámbano"/>
    <s v="Disparo Lodo"/>
  </r>
  <r>
    <x v="12"/>
    <x v="12"/>
    <s v="Piloswine"/>
    <s v="Piloswine"/>
    <s v="0221A0"/>
    <s v="Sinnoh"/>
    <s v="Johto"/>
    <s v="Ice"/>
    <s v="Ground"/>
    <s v="Basic"/>
    <s v="0220A0"/>
    <s v="0220A0"/>
    <x v="1"/>
    <s v="Experience"/>
    <n v="4"/>
    <x v="1"/>
    <n v="450"/>
    <n v="100"/>
    <n v="100"/>
    <n v="80"/>
    <n v="60"/>
    <n v="60"/>
    <n v="50"/>
    <n v="6"/>
    <n v="8"/>
    <n v="6"/>
    <n v="3"/>
    <n v="23"/>
    <s v="B-"/>
    <m/>
    <s v="Alud"/>
    <s v="Terratemblor"/>
  </r>
  <r>
    <x v="12"/>
    <x v="12"/>
    <s v="Mamoswine"/>
    <s v="Mamoswine"/>
    <s v="0473A0"/>
    <s v="Sinnoh"/>
    <s v="Sinnoh"/>
    <s v="Ice"/>
    <s v="Ground"/>
    <s v="Basic"/>
    <s v="0220A0"/>
    <s v="0221A0"/>
    <x v="2"/>
    <s v="Experience"/>
    <n v="4"/>
    <x v="1"/>
    <n v="530"/>
    <n v="110"/>
    <n v="130"/>
    <n v="80"/>
    <n v="70"/>
    <n v="60"/>
    <n v="80"/>
    <n v="7"/>
    <n v="10"/>
    <n v="6"/>
    <n v="5"/>
    <n v="28"/>
    <s v="A-"/>
    <m/>
    <s v="Chuzos"/>
    <s v="Fuerza Equina"/>
  </r>
  <r>
    <x v="13"/>
    <x v="13"/>
    <s v="Oshawott"/>
    <s v="Oshawott"/>
    <s v="0501A0"/>
    <s v="Teselia"/>
    <s v="Teselia"/>
    <s v="Water"/>
    <s v="-"/>
    <s v="Starter"/>
    <s v="0501A0"/>
    <s v="-"/>
    <x v="0"/>
    <s v="-"/>
    <s v="-"/>
    <x v="0"/>
    <n v="308"/>
    <n v="55"/>
    <n v="55"/>
    <n v="45"/>
    <n v="63"/>
    <n v="45"/>
    <n v="45"/>
    <n v="3"/>
    <n v="6"/>
    <n v="4"/>
    <n v="3"/>
    <n v="16"/>
    <s v="C-"/>
    <m/>
    <s v="Pistola Agua"/>
    <s v="Placaje"/>
  </r>
  <r>
    <x v="13"/>
    <x v="13"/>
    <s v="Dewott"/>
    <s v="Dewott"/>
    <s v="0502A0"/>
    <s v="Teselia"/>
    <s v="Teselia"/>
    <s v="Water"/>
    <s v="-"/>
    <s v="Starter"/>
    <s v="0501A0"/>
    <s v="0501A0"/>
    <x v="1"/>
    <s v="Experience"/>
    <n v="3"/>
    <x v="0"/>
    <n v="413"/>
    <n v="75"/>
    <n v="75"/>
    <n v="60"/>
    <n v="83"/>
    <n v="60"/>
    <n v="60"/>
    <n v="4"/>
    <n v="8"/>
    <n v="4"/>
    <n v="4"/>
    <n v="20"/>
    <s v="C+"/>
    <m/>
    <s v="Concha Filo"/>
    <s v="Golpe Aéreo"/>
  </r>
  <r>
    <x v="13"/>
    <x v="13"/>
    <s v="Samurott"/>
    <s v="Samurott"/>
    <s v="0503A0"/>
    <s v="Teselia"/>
    <s v="Teselia"/>
    <s v="Water"/>
    <s v="-"/>
    <s v="Starter"/>
    <s v="0501A0"/>
    <s v="0502A0"/>
    <x v="2"/>
    <s v="Experience"/>
    <n v="4"/>
    <x v="1"/>
    <n v="528"/>
    <n v="95"/>
    <n v="100"/>
    <n v="85"/>
    <n v="108"/>
    <n v="70"/>
    <n v="70"/>
    <n v="6"/>
    <n v="10"/>
    <n v="6"/>
    <n v="4"/>
    <n v="26"/>
    <s v="B+"/>
    <m/>
    <s v="Hidroariete"/>
    <s v="Tajo Aéreo"/>
  </r>
  <r>
    <x v="13"/>
    <x v="13"/>
    <s v="Roggenrola"/>
    <s v="Roggenrola"/>
    <s v="0524A0"/>
    <s v="Teselia"/>
    <s v="Teselia"/>
    <s v="Rock"/>
    <s v="-"/>
    <s v="Basic"/>
    <s v="0524A0"/>
    <s v="-"/>
    <x v="0"/>
    <s v="-"/>
    <s v="-"/>
    <x v="4"/>
    <n v="280"/>
    <n v="55"/>
    <n v="75"/>
    <n v="85"/>
    <n v="25"/>
    <n v="25"/>
    <n v="15"/>
    <n v="3"/>
    <n v="6"/>
    <n v="6"/>
    <n v="2"/>
    <n v="17"/>
    <s v="C-"/>
    <m/>
    <s v="Antiaéreo"/>
    <s v="Bofetón Lodo"/>
  </r>
  <r>
    <x v="13"/>
    <x v="13"/>
    <s v="Boldore"/>
    <s v="Boldore"/>
    <s v="0525A0"/>
    <s v="Teselia"/>
    <s v="Teselia"/>
    <s v="Rock"/>
    <s v="-"/>
    <s v="Basic"/>
    <s v="0524A0"/>
    <s v="0524A0"/>
    <x v="1"/>
    <s v="Experience"/>
    <n v="3"/>
    <x v="0"/>
    <n v="390"/>
    <n v="70"/>
    <n v="105"/>
    <n v="105"/>
    <n v="50"/>
    <n v="40"/>
    <n v="20"/>
    <n v="4"/>
    <n v="8"/>
    <n v="6"/>
    <n v="2"/>
    <n v="20"/>
    <s v="C+"/>
    <m/>
    <s v="Avalancha"/>
    <s v="Bucle Arena"/>
  </r>
  <r>
    <x v="13"/>
    <x v="13"/>
    <s v="Gigalith"/>
    <s v="Gigalith"/>
    <s v="0526A0"/>
    <s v="Teselia"/>
    <s v="Teselia"/>
    <s v="Rock"/>
    <s v="-"/>
    <s v="Basic"/>
    <s v="0524A0"/>
    <s v="0525A0"/>
    <x v="2"/>
    <s v="Experience"/>
    <n v="4"/>
    <x v="1"/>
    <n v="515"/>
    <n v="85"/>
    <n v="135"/>
    <n v="130"/>
    <n v="60"/>
    <n v="80"/>
    <n v="25"/>
    <n v="5"/>
    <n v="10"/>
    <n v="10"/>
    <n v="2"/>
    <n v="27"/>
    <s v="B+"/>
    <m/>
    <s v="Roca Afilada"/>
    <s v="Terremoto"/>
  </r>
  <r>
    <x v="13"/>
    <x v="13"/>
    <s v="Petilil"/>
    <s v="Petilil"/>
    <s v="0548A0"/>
    <s v="Teselia"/>
    <s v="Teselia"/>
    <s v="Grass"/>
    <s v="-"/>
    <s v="Basic"/>
    <s v="0548A0"/>
    <s v="-"/>
    <x v="0"/>
    <s v="-"/>
    <s v="-"/>
    <x v="4"/>
    <n v="280"/>
    <n v="45"/>
    <n v="35"/>
    <n v="50"/>
    <n v="70"/>
    <n v="50"/>
    <n v="30"/>
    <n v="3"/>
    <n v="6"/>
    <n v="4"/>
    <n v="2"/>
    <n v="15"/>
    <s v="D"/>
    <m/>
    <s v="Absorber"/>
    <s v="Canon"/>
  </r>
  <r>
    <x v="13"/>
    <x v="13"/>
    <s v="Lilligant"/>
    <s v="Lilligant"/>
    <s v="0549A0"/>
    <s v="Teselia"/>
    <s v="Teselia"/>
    <s v="Grass"/>
    <s v="-"/>
    <s v="Basic"/>
    <s v="0548A0"/>
    <s v="0548A0"/>
    <x v="2"/>
    <s v="Stone"/>
    <s v="-"/>
    <x v="1"/>
    <n v="480"/>
    <n v="70"/>
    <n v="60"/>
    <n v="75"/>
    <n v="110"/>
    <n v="75"/>
    <n v="90"/>
    <n v="5"/>
    <n v="8"/>
    <n v="6"/>
    <n v="5"/>
    <n v="24"/>
    <s v="B"/>
    <m/>
    <s v="Danza Pétalo"/>
    <s v="Bola de Polen"/>
  </r>
  <r>
    <x v="13"/>
    <x v="13"/>
    <s v="Scraggy"/>
    <s v="Scraggy"/>
    <s v="0559A0"/>
    <s v="Teselia"/>
    <s v="Teselia"/>
    <s v="Dark"/>
    <s v="Fighting"/>
    <s v="Basic"/>
    <s v="0559A0"/>
    <s v="-"/>
    <x v="0"/>
    <s v="-"/>
    <s v="-"/>
    <x v="0"/>
    <n v="348"/>
    <n v="50"/>
    <n v="75"/>
    <n v="70"/>
    <n v="35"/>
    <n v="70"/>
    <n v="48"/>
    <n v="3"/>
    <n v="6"/>
    <n v="6"/>
    <n v="3"/>
    <n v="18"/>
    <s v="C"/>
    <m/>
    <s v="Patada Baja"/>
    <s v="Paliza"/>
  </r>
  <r>
    <x v="13"/>
    <x v="13"/>
    <s v="Scrafty"/>
    <s v="Scrafty"/>
    <s v="0560A0"/>
    <s v="Teselia"/>
    <s v="Teselia"/>
    <s v="Dark"/>
    <s v="Fighting"/>
    <s v="Basic"/>
    <s v="0559A0"/>
    <s v="0559A0"/>
    <x v="2"/>
    <s v="Experience"/>
    <n v="4"/>
    <x v="1"/>
    <n v="488"/>
    <n v="65"/>
    <n v="90"/>
    <n v="115"/>
    <n v="45"/>
    <n v="115"/>
    <n v="58"/>
    <n v="4"/>
    <n v="8"/>
    <n v="8"/>
    <n v="4"/>
    <n v="24"/>
    <s v="B"/>
    <m/>
    <s v="Pat. Salto Alta"/>
    <s v="Puño Hielo"/>
  </r>
  <r>
    <x v="13"/>
    <x v="13"/>
    <s v="Solosis"/>
    <s v="Solosis"/>
    <s v="0577A0"/>
    <s v="Teselia"/>
    <s v="Teselia"/>
    <s v="Psychic"/>
    <s v="-"/>
    <s v="Basic"/>
    <s v="0577A0"/>
    <s v="-"/>
    <x v="0"/>
    <s v="-"/>
    <s v="-"/>
    <x v="0"/>
    <n v="290"/>
    <n v="45"/>
    <n v="30"/>
    <n v="40"/>
    <n v="105"/>
    <n v="50"/>
    <n v="20"/>
    <n v="3"/>
    <n v="8"/>
    <n v="4"/>
    <n v="2"/>
    <n v="17"/>
    <s v="C-"/>
    <m/>
    <s v="Confusión"/>
    <s v="Onda Voltio"/>
  </r>
  <r>
    <x v="13"/>
    <x v="13"/>
    <s v="Duosion"/>
    <s v="Duosion"/>
    <s v="0578A0"/>
    <s v="Teselia"/>
    <s v="Teselia"/>
    <s v="Psychic"/>
    <s v="-"/>
    <s v="Basic"/>
    <s v="0577A0"/>
    <s v="0577A0"/>
    <x v="1"/>
    <s v="Experience"/>
    <n v="4"/>
    <x v="0"/>
    <n v="370"/>
    <n v="65"/>
    <n v="40"/>
    <n v="50"/>
    <n v="125"/>
    <n v="60"/>
    <n v="30"/>
    <n v="4"/>
    <n v="8"/>
    <n v="4"/>
    <n v="2"/>
    <n v="18"/>
    <s v="C"/>
    <m/>
    <s v="Psicorrayo"/>
    <s v="Energibola"/>
  </r>
  <r>
    <x v="13"/>
    <x v="13"/>
    <s v="Reuniclus"/>
    <s v="Reuniclus"/>
    <s v="0579A0"/>
    <s v="Teselia"/>
    <s v="Teselia"/>
    <s v="Psychic"/>
    <s v="-"/>
    <s v="Basic"/>
    <s v="0577A0"/>
    <s v="0578A0"/>
    <x v="2"/>
    <s v="Experience"/>
    <n v="5"/>
    <x v="1"/>
    <n v="490"/>
    <n v="110"/>
    <n v="65"/>
    <n v="75"/>
    <n v="125"/>
    <n v="85"/>
    <n v="30"/>
    <n v="6"/>
    <n v="10"/>
    <n v="6"/>
    <n v="2"/>
    <n v="24"/>
    <s v="B"/>
    <m/>
    <s v="Psicocarga"/>
    <s v="Trueno"/>
  </r>
  <r>
    <x v="13"/>
    <x v="13"/>
    <s v="Larvesta"/>
    <s v="Larvesta"/>
    <s v="0636A0"/>
    <s v="Teselia"/>
    <s v="Teselia"/>
    <s v="Bug"/>
    <s v="Fire"/>
    <s v="Basic"/>
    <s v="0636A0"/>
    <s v="-"/>
    <x v="0"/>
    <s v="-"/>
    <s v="-"/>
    <x v="0"/>
    <n v="360"/>
    <n v="55"/>
    <n v="85"/>
    <n v="55"/>
    <n v="50"/>
    <n v="55"/>
    <n v="60"/>
    <n v="3"/>
    <n v="6"/>
    <n v="4"/>
    <n v="4"/>
    <n v="17"/>
    <s v="C-"/>
    <m/>
    <s v="Rueda Fuego"/>
    <s v="Picadura"/>
  </r>
  <r>
    <x v="13"/>
    <x v="13"/>
    <s v="Volcarona"/>
    <s v="Volcarona"/>
    <s v="0637A0"/>
    <s v="Teselia"/>
    <s v="Teselia"/>
    <s v="Bug"/>
    <s v="Fire"/>
    <s v="Basic"/>
    <s v="0636A0"/>
    <s v="0636A0"/>
    <x v="2"/>
    <s v="Experience"/>
    <n v="6"/>
    <x v="3"/>
    <n v="550"/>
    <n v="85"/>
    <n v="60"/>
    <n v="65"/>
    <n v="135"/>
    <n v="105"/>
    <n v="100"/>
    <n v="5"/>
    <n v="10"/>
    <n v="8"/>
    <n v="6"/>
    <n v="29"/>
    <s v="A-"/>
    <m/>
    <s v="Zumbido"/>
    <s v="Llamarada"/>
  </r>
  <r>
    <x v="14"/>
    <x v="14"/>
    <s v="Tepig"/>
    <s v="Tepig"/>
    <s v="0498A0"/>
    <s v="Teselia"/>
    <s v="Teselia"/>
    <s v="Fire"/>
    <s v="-"/>
    <s v="Starter"/>
    <s v="0498A0"/>
    <s v="-"/>
    <x v="0"/>
    <s v="-"/>
    <s v="-"/>
    <x v="0"/>
    <n v="308"/>
    <n v="65"/>
    <n v="63"/>
    <n v="45"/>
    <n v="45"/>
    <n v="45"/>
    <n v="45"/>
    <n v="4"/>
    <n v="6"/>
    <n v="4"/>
    <n v="3"/>
    <n v="17"/>
    <s v="C-"/>
    <m/>
    <s v="Ascuas"/>
    <s v="Placaje"/>
  </r>
  <r>
    <x v="14"/>
    <x v="14"/>
    <s v="Pignite"/>
    <s v="Pignite"/>
    <s v="0499A0"/>
    <s v="Teselia"/>
    <s v="Teselia"/>
    <s v="Fire"/>
    <s v="Fighting"/>
    <s v="Starter"/>
    <s v="0498A0"/>
    <s v="0498A0"/>
    <x v="1"/>
    <s v="Experience"/>
    <n v="3"/>
    <x v="0"/>
    <n v="418"/>
    <n v="90"/>
    <n v="93"/>
    <n v="55"/>
    <n v="70"/>
    <n v="55"/>
    <n v="55"/>
    <n v="6"/>
    <n v="8"/>
    <n v="4"/>
    <n v="3"/>
    <n v="21"/>
    <s v="C+"/>
    <m/>
    <s v="Nitrocarga"/>
    <s v="Empujón"/>
  </r>
  <r>
    <x v="14"/>
    <x v="14"/>
    <s v="Emboar"/>
    <s v="Emboar"/>
    <s v="0500A0"/>
    <s v="Teselia"/>
    <s v="Teselia"/>
    <s v="Fire"/>
    <s v="Fighting"/>
    <s v="Starter"/>
    <s v="0498A0"/>
    <s v="0499A0"/>
    <x v="2"/>
    <s v="Experience"/>
    <n v="4"/>
    <x v="1"/>
    <n v="528"/>
    <n v="110"/>
    <n v="123"/>
    <n v="65"/>
    <n v="100"/>
    <n v="65"/>
    <n v="65"/>
    <n v="7"/>
    <n v="10"/>
    <n v="4"/>
    <n v="4"/>
    <n v="25"/>
    <s v="B"/>
    <m/>
    <s v="Golpe Calor"/>
    <s v="Fuerza Bruta"/>
  </r>
  <r>
    <x v="14"/>
    <x v="14"/>
    <s v="Timburr"/>
    <s v="Timburr"/>
    <s v="0532A0"/>
    <s v="Teselia"/>
    <s v="Teselia"/>
    <s v="Fighting"/>
    <s v="-"/>
    <s v="Basic"/>
    <s v="0532A0"/>
    <s v="-"/>
    <x v="0"/>
    <s v="-"/>
    <s v="-"/>
    <x v="0"/>
    <n v="305"/>
    <n v="75"/>
    <n v="80"/>
    <n v="55"/>
    <n v="25"/>
    <n v="35"/>
    <n v="35"/>
    <n v="4"/>
    <n v="6"/>
    <n v="4"/>
    <n v="2"/>
    <n v="16"/>
    <s v="C-"/>
    <m/>
    <s v="Patada Baja"/>
    <s v="Destructor"/>
  </r>
  <r>
    <x v="14"/>
    <x v="14"/>
    <s v="Gurdurr"/>
    <s v="Gurdurr"/>
    <s v="0533A0"/>
    <s v="Teselia"/>
    <s v="Teselia"/>
    <s v="Fighting"/>
    <s v="-"/>
    <s v="Basic"/>
    <s v="0532A0"/>
    <s v="0532A0"/>
    <x v="1"/>
    <s v="Experience"/>
    <n v="3"/>
    <x v="0"/>
    <n v="405"/>
    <n v="85"/>
    <n v="105"/>
    <n v="85"/>
    <n v="40"/>
    <n v="50"/>
    <n v="40"/>
    <n v="5"/>
    <n v="8"/>
    <n v="6"/>
    <n v="3"/>
    <n v="22"/>
    <s v="B-"/>
    <m/>
    <s v="Desquite"/>
    <s v="Lanzarrocas"/>
  </r>
  <r>
    <x v="14"/>
    <x v="14"/>
    <s v="Conkeldurr"/>
    <s v="Conkeldurr"/>
    <s v="0534A0"/>
    <s v="Teselia"/>
    <s v="Teselia"/>
    <s v="Fighting"/>
    <s v="-"/>
    <s v="Basic"/>
    <s v="0532A0"/>
    <s v="0533A0"/>
    <x v="2"/>
    <s v="Experience"/>
    <n v="4"/>
    <x v="1"/>
    <n v="505"/>
    <n v="105"/>
    <n v="140"/>
    <n v="95"/>
    <n v="55"/>
    <n v="65"/>
    <n v="45"/>
    <n v="7"/>
    <n v="10"/>
    <n v="6"/>
    <n v="3"/>
    <n v="26"/>
    <s v="B+"/>
    <m/>
    <s v="Puño Drenaje"/>
    <s v="Puño Hielo"/>
  </r>
  <r>
    <x v="14"/>
    <x v="14"/>
    <s v="Cottonee"/>
    <s v="Cottonee"/>
    <s v="0546A0"/>
    <s v="Teselia"/>
    <s v="Teselia"/>
    <s v="Grass"/>
    <s v="Fairy"/>
    <s v="Basic"/>
    <s v="0546A0"/>
    <s v="-"/>
    <x v="0"/>
    <s v="-"/>
    <s v="-"/>
    <x v="4"/>
    <n v="280"/>
    <n v="40"/>
    <n v="27"/>
    <n v="60"/>
    <n v="37"/>
    <n v="50"/>
    <n v="66"/>
    <n v="3"/>
    <n v="4"/>
    <n v="4"/>
    <n v="4"/>
    <n v="15"/>
    <s v="D"/>
    <m/>
    <s v="Absorber"/>
    <s v="Viento Feérico"/>
  </r>
  <r>
    <x v="14"/>
    <x v="14"/>
    <s v="Whimsicott"/>
    <s v="Whimsicott"/>
    <s v="0547A0"/>
    <s v="Teselia"/>
    <s v="Teselia"/>
    <s v="Grass"/>
    <s v="Fairy"/>
    <s v="Basic"/>
    <s v="0546A0"/>
    <s v="0546A0"/>
    <x v="2"/>
    <s v="Stone"/>
    <s v="-"/>
    <x v="1"/>
    <n v="480"/>
    <n v="60"/>
    <n v="67"/>
    <n v="85"/>
    <n v="77"/>
    <n v="75"/>
    <n v="116"/>
    <n v="4"/>
    <n v="8"/>
    <n v="6"/>
    <n v="6"/>
    <n v="24"/>
    <s v="B"/>
    <m/>
    <s v="Gigadrenado"/>
    <s v="Fuerza Lunar"/>
  </r>
  <r>
    <x v="14"/>
    <x v="14"/>
    <s v="Gothita"/>
    <s v="Gothita"/>
    <s v="0574A0"/>
    <s v="Teselia"/>
    <s v="Teselia"/>
    <s v="Psychic"/>
    <s v="-"/>
    <s v="Basic"/>
    <s v="0574A0"/>
    <s v="-"/>
    <x v="0"/>
    <s v="-"/>
    <s v="-"/>
    <x v="0"/>
    <n v="290"/>
    <n v="45"/>
    <n v="30"/>
    <n v="50"/>
    <n v="55"/>
    <n v="65"/>
    <n v="45"/>
    <n v="3"/>
    <n v="4"/>
    <n v="4"/>
    <n v="3"/>
    <n v="14"/>
    <s v="E"/>
    <m/>
    <s v="Confusión"/>
    <s v="Doble Rayo"/>
  </r>
  <r>
    <x v="14"/>
    <x v="14"/>
    <s v="Gothorita"/>
    <s v="Gothorita"/>
    <s v="0575A0"/>
    <s v="Teselia"/>
    <s v="Teselia"/>
    <s v="Psychic"/>
    <s v="-"/>
    <s v="Basic"/>
    <s v="0574A0"/>
    <s v="0574A0"/>
    <x v="1"/>
    <s v="Experience"/>
    <n v="4"/>
    <x v="0"/>
    <n v="390"/>
    <n v="60"/>
    <n v="45"/>
    <n v="70"/>
    <n v="75"/>
    <n v="85"/>
    <n v="55"/>
    <n v="4"/>
    <n v="6"/>
    <n v="6"/>
    <n v="3"/>
    <n v="19"/>
    <s v="C"/>
    <m/>
    <s v="Psicorrayo"/>
    <s v="Onda Voltio"/>
  </r>
  <r>
    <x v="14"/>
    <x v="14"/>
    <s v="Gothitelle"/>
    <s v="Gothitelle"/>
    <s v="0576A0"/>
    <s v="Teselia"/>
    <s v="Teselia"/>
    <s v="Psychic"/>
    <s v="-"/>
    <s v="Basic"/>
    <s v="0574A0"/>
    <s v="0575A0"/>
    <x v="2"/>
    <s v="Experience"/>
    <n v="5"/>
    <x v="1"/>
    <n v="490"/>
    <n v="70"/>
    <n v="55"/>
    <n v="95"/>
    <n v="95"/>
    <n v="110"/>
    <n v="65"/>
    <n v="4"/>
    <n v="8"/>
    <n v="8"/>
    <n v="4"/>
    <n v="24"/>
    <s v="B"/>
    <m/>
    <s v="Psíquico"/>
    <s v="Rayo"/>
  </r>
  <r>
    <x v="14"/>
    <x v="14"/>
    <s v="Golett"/>
    <s v="Golett"/>
    <s v="0622A0"/>
    <s v="Teselia"/>
    <s v="Teselia"/>
    <s v="Ground"/>
    <s v="Ghost"/>
    <s v="Basic"/>
    <s v="0622A0"/>
    <s v="-"/>
    <x v="0"/>
    <s v="-"/>
    <s v="-"/>
    <x v="0"/>
    <n v="303"/>
    <n v="59"/>
    <n v="74"/>
    <n v="50"/>
    <n v="35"/>
    <n v="50"/>
    <n v="35"/>
    <n v="4"/>
    <n v="6"/>
    <n v="4"/>
    <n v="2"/>
    <n v="16"/>
    <s v="C-"/>
    <m/>
    <s v="Impresionar"/>
    <s v="Bofetón Lodo"/>
  </r>
  <r>
    <x v="14"/>
    <x v="14"/>
    <s v="Golurk"/>
    <s v="Golurk"/>
    <s v="0623A0"/>
    <s v="Teselia"/>
    <s v="Teselia"/>
    <s v="Ground"/>
    <s v="Ghost"/>
    <s v="Basic"/>
    <s v="0622A0"/>
    <s v="0622A0"/>
    <x v="2"/>
    <s v="Experience"/>
    <n v="5"/>
    <x v="1"/>
    <n v="483"/>
    <n v="89"/>
    <n v="124"/>
    <n v="80"/>
    <n v="55"/>
    <n v="80"/>
    <n v="55"/>
    <n v="5"/>
    <n v="8"/>
    <n v="6"/>
    <n v="3"/>
    <n v="22"/>
    <s v="B-"/>
    <m/>
    <s v="Puño Sombra"/>
    <s v="Terremoto"/>
  </r>
  <r>
    <x v="14"/>
    <x v="14"/>
    <s v="Vullaby"/>
    <s v="Vullaby"/>
    <s v="0629A0"/>
    <s v="Teselia"/>
    <s v="Teselia"/>
    <s v="Dark"/>
    <s v="Flying"/>
    <s v="Basic"/>
    <s v="0629A0"/>
    <s v="-"/>
    <x v="0"/>
    <s v="-"/>
    <s v="-"/>
    <x v="0"/>
    <n v="370"/>
    <n v="70"/>
    <n v="55"/>
    <n v="75"/>
    <n v="45"/>
    <n v="65"/>
    <n v="60"/>
    <n v="4"/>
    <n v="4"/>
    <n v="6"/>
    <n v="4"/>
    <n v="18"/>
    <s v="C"/>
    <m/>
    <s v="Juego Sucio"/>
    <s v="Tornado"/>
  </r>
  <r>
    <x v="14"/>
    <x v="14"/>
    <s v="Mandibuzz"/>
    <s v="Mandibuzz"/>
    <s v="0630A0"/>
    <s v="Teselia"/>
    <s v="Teselia"/>
    <s v="Dark"/>
    <s v="Flying"/>
    <s v="Basic"/>
    <s v="0629A0"/>
    <s v="0629A0"/>
    <x v="2"/>
    <s v="Experience"/>
    <n v="6"/>
    <x v="1"/>
    <n v="510"/>
    <n v="110"/>
    <n v="65"/>
    <n v="105"/>
    <n v="55"/>
    <n v="95"/>
    <n v="80"/>
    <n v="7"/>
    <n v="6"/>
    <n v="8"/>
    <n v="5"/>
    <n v="26"/>
    <s v="B+"/>
    <m/>
    <s v="Desarme"/>
    <s v="Golpe Aéreo"/>
  </r>
  <r>
    <x v="15"/>
    <x v="15"/>
    <s v="Snivy"/>
    <s v="Snivy"/>
    <s v="0495A0"/>
    <s v="Teselia"/>
    <s v="Teselia"/>
    <s v="Grass"/>
    <s v="-"/>
    <s v="Starter"/>
    <s v="0495A0"/>
    <s v="-"/>
    <x v="0"/>
    <s v="-"/>
    <s v="-"/>
    <x v="0"/>
    <n v="308"/>
    <n v="45"/>
    <n v="45"/>
    <n v="55"/>
    <n v="45"/>
    <n v="55"/>
    <n v="63"/>
    <n v="3"/>
    <n v="4"/>
    <n v="4"/>
    <n v="4"/>
    <n v="15"/>
    <s v="D"/>
    <m/>
    <s v="Ciclón de Hojas"/>
    <s v="Constricción"/>
  </r>
  <r>
    <x v="15"/>
    <x v="15"/>
    <s v="Servine"/>
    <s v="Servine"/>
    <s v="0496A0"/>
    <s v="Teselia"/>
    <s v="Teselia"/>
    <s v="Grass"/>
    <s v="-"/>
    <s v="Starter"/>
    <s v="0495A0"/>
    <s v="0495A0"/>
    <x v="1"/>
    <s v="Experience"/>
    <n v="3"/>
    <x v="0"/>
    <n v="413"/>
    <n v="60"/>
    <n v="60"/>
    <n v="75"/>
    <n v="60"/>
    <n v="75"/>
    <n v="83"/>
    <n v="4"/>
    <n v="6"/>
    <n v="6"/>
    <n v="5"/>
    <n v="21"/>
    <s v="C+"/>
    <m/>
    <s v="Hierba Lazo"/>
    <s v="Ciclón"/>
  </r>
  <r>
    <x v="15"/>
    <x v="15"/>
    <s v="Serperior"/>
    <s v="Serperior"/>
    <s v="0497A0"/>
    <s v="Teselia"/>
    <s v="Teselia"/>
    <s v="Grass"/>
    <s v="-"/>
    <s v="Starter"/>
    <s v="0495A0"/>
    <s v="0496A0"/>
    <x v="2"/>
    <s v="Experience"/>
    <n v="4"/>
    <x v="1"/>
    <n v="528"/>
    <n v="75"/>
    <n v="75"/>
    <n v="95"/>
    <n v="75"/>
    <n v="95"/>
    <n v="113"/>
    <n v="4"/>
    <n v="8"/>
    <n v="6"/>
    <n v="6"/>
    <n v="24"/>
    <s v="B"/>
    <m/>
    <s v="Lluevehojas"/>
    <s v="Cola Dragón"/>
  </r>
  <r>
    <x v="15"/>
    <x v="15"/>
    <s v="Munna"/>
    <s v="Munna"/>
    <s v="0517A0"/>
    <s v="Teselia"/>
    <s v="Teselia"/>
    <s v="Psychic"/>
    <s v="-"/>
    <s v="Basic"/>
    <s v="0517A0"/>
    <s v="-"/>
    <x v="0"/>
    <s v="-"/>
    <s v="-"/>
    <x v="0"/>
    <n v="292"/>
    <n v="76"/>
    <n v="25"/>
    <n v="45"/>
    <n v="67"/>
    <n v="55"/>
    <n v="24"/>
    <n v="4"/>
    <n v="6"/>
    <n v="4"/>
    <n v="2"/>
    <n v="16"/>
    <s v="C-"/>
    <m/>
    <s v="Psicorrayo"/>
    <s v="Rayo Carga"/>
  </r>
  <r>
    <x v="15"/>
    <x v="15"/>
    <s v="Musharna"/>
    <s v="Musharna"/>
    <s v="0518A0"/>
    <s v="Teselia"/>
    <s v="Teselia"/>
    <s v="Psychic"/>
    <s v="-"/>
    <s v="Basic"/>
    <s v="0517A0"/>
    <s v="0517A0"/>
    <x v="2"/>
    <s v="Stone"/>
    <s v="-"/>
    <x v="1"/>
    <n v="487"/>
    <n v="116"/>
    <n v="55"/>
    <n v="85"/>
    <n v="107"/>
    <n v="95"/>
    <n v="29"/>
    <n v="8"/>
    <n v="8"/>
    <n v="6"/>
    <n v="2"/>
    <n v="24"/>
    <s v="B"/>
    <m/>
    <s v="Psíquico"/>
    <s v="Brillo Mágico"/>
  </r>
  <r>
    <x v="15"/>
    <x v="15"/>
    <s v="Drilbur"/>
    <s v="Drilbur"/>
    <s v="0529A0"/>
    <s v="Teselia"/>
    <s v="Teselia"/>
    <s v="Ground"/>
    <s v="-"/>
    <s v="Basic"/>
    <s v="0529A0"/>
    <s v="-"/>
    <x v="0"/>
    <s v="-"/>
    <s v="-"/>
    <x v="0"/>
    <n v="328"/>
    <n v="60"/>
    <n v="85"/>
    <n v="40"/>
    <n v="30"/>
    <n v="45"/>
    <n v="68"/>
    <n v="4"/>
    <n v="6"/>
    <n v="4"/>
    <n v="4"/>
    <n v="18"/>
    <s v="C"/>
    <m/>
    <s v="Garra Metal"/>
    <s v="Excavar"/>
  </r>
  <r>
    <x v="15"/>
    <x v="15"/>
    <s v="Excadrill"/>
    <s v="Excadrill"/>
    <s v="0530A0"/>
    <s v="Teselia"/>
    <s v="Teselia"/>
    <s v="Ground"/>
    <s v="Steel"/>
    <s v="Basic"/>
    <s v="0529A0"/>
    <s v="0529A0"/>
    <x v="2"/>
    <s v="Experience"/>
    <n v="4"/>
    <x v="1"/>
    <n v="508"/>
    <n v="110"/>
    <n v="135"/>
    <n v="60"/>
    <n v="50"/>
    <n v="65"/>
    <n v="88"/>
    <n v="6"/>
    <n v="10"/>
    <n v="4"/>
    <n v="5"/>
    <n v="25"/>
    <s v="B"/>
    <m/>
    <s v="Cabeza de Hierro"/>
    <s v="Terremoto"/>
  </r>
  <r>
    <x v="15"/>
    <x v="15"/>
    <s v="Ducklett"/>
    <s v="Ducklett"/>
    <s v="0580A0"/>
    <s v="Teselia"/>
    <s v="Teselia"/>
    <s v="Water"/>
    <s v="Flying"/>
    <s v="Basic"/>
    <s v="0580A0"/>
    <s v="-"/>
    <x v="0"/>
    <s v="-"/>
    <s v="-"/>
    <x v="0"/>
    <n v="305"/>
    <n v="62"/>
    <n v="44"/>
    <n v="50"/>
    <n v="44"/>
    <n v="50"/>
    <n v="55"/>
    <n v="4"/>
    <n v="4"/>
    <n v="4"/>
    <n v="3"/>
    <n v="15"/>
    <s v="D"/>
    <m/>
    <s v="Rayo Burbuja"/>
    <s v="Ataque Ala"/>
  </r>
  <r>
    <x v="15"/>
    <x v="15"/>
    <s v="Swanna"/>
    <s v="Swanna"/>
    <s v="0581A0"/>
    <s v="Teselia"/>
    <s v="Teselia"/>
    <s v="Water"/>
    <s v="Flying"/>
    <s v="Basic"/>
    <s v="0580A0"/>
    <s v="0580A0"/>
    <x v="2"/>
    <s v="Experience"/>
    <n v="4"/>
    <x v="1"/>
    <n v="473"/>
    <n v="75"/>
    <n v="87"/>
    <n v="63"/>
    <n v="87"/>
    <n v="63"/>
    <n v="98"/>
    <n v="4"/>
    <n v="8"/>
    <n v="4"/>
    <n v="6"/>
    <n v="22"/>
    <s v="B-"/>
    <m/>
    <s v="Escaldar"/>
    <s v="Vendaval"/>
  </r>
  <r>
    <x v="15"/>
    <x v="15"/>
    <s v="Mienfoo"/>
    <s v="Mienfoo"/>
    <s v="0619A0"/>
    <s v="Teselia"/>
    <s v="Teselia"/>
    <s v="Fighting"/>
    <s v="-"/>
    <s v="Basic"/>
    <s v="0619A0"/>
    <s v="-"/>
    <x v="0"/>
    <s v="-"/>
    <s v="-"/>
    <x v="0"/>
    <n v="350"/>
    <n v="45"/>
    <n v="85"/>
    <n v="50"/>
    <n v="55"/>
    <n v="50"/>
    <n v="65"/>
    <n v="3"/>
    <n v="6"/>
    <n v="4"/>
    <n v="4"/>
    <n v="17"/>
    <s v="C-"/>
    <m/>
    <s v="Palmeo"/>
    <s v="Destructor"/>
  </r>
  <r>
    <x v="15"/>
    <x v="15"/>
    <s v="Mienshao"/>
    <s v="Mienshao"/>
    <s v="0620A0"/>
    <s v="Teselia"/>
    <s v="Teselia"/>
    <s v="Fighting"/>
    <s v="-"/>
    <s v="Basic"/>
    <s v="0619A0"/>
    <s v="0619A0"/>
    <x v="2"/>
    <s v="Experience"/>
    <n v="6"/>
    <x v="1"/>
    <n v="510"/>
    <n v="65"/>
    <n v="125"/>
    <n v="60"/>
    <n v="95"/>
    <n v="60"/>
    <n v="105"/>
    <n v="4"/>
    <n v="10"/>
    <n v="4"/>
    <n v="6"/>
    <n v="24"/>
    <s v="B"/>
    <m/>
    <s v="Pat. Salto Alta"/>
    <s v="Desarme"/>
  </r>
  <r>
    <x v="15"/>
    <x v="15"/>
    <s v="Deino"/>
    <s v="Deino"/>
    <s v="0633A0"/>
    <s v="Teselia"/>
    <s v="Teselia"/>
    <s v="Dark"/>
    <s v="Dragon"/>
    <s v="Basic"/>
    <s v="0633A0"/>
    <s v="-"/>
    <x v="0"/>
    <s v="-"/>
    <s v="-"/>
    <x v="0"/>
    <n v="300"/>
    <n v="52"/>
    <n v="65"/>
    <n v="50"/>
    <n v="45"/>
    <n v="50"/>
    <n v="38"/>
    <n v="3"/>
    <n v="6"/>
    <n v="4"/>
    <n v="3"/>
    <n v="16"/>
    <s v="C-"/>
    <m/>
    <s v="Dragoaliento"/>
    <s v="Mordisco"/>
  </r>
  <r>
    <x v="15"/>
    <x v="15"/>
    <s v="Zweilous"/>
    <s v="Zweilous"/>
    <s v="0634A0"/>
    <s v="Teselia"/>
    <s v="Teselia"/>
    <s v="Dark"/>
    <s v="Dragon"/>
    <s v="Basic"/>
    <s v="0633A0"/>
    <s v="0633A0"/>
    <x v="1"/>
    <s v="Experience"/>
    <n v="4"/>
    <x v="0"/>
    <n v="420"/>
    <n v="72"/>
    <n v="85"/>
    <n v="70"/>
    <n v="65"/>
    <n v="70"/>
    <n v="58"/>
    <n v="4"/>
    <n v="8"/>
    <n v="6"/>
    <n v="4"/>
    <n v="22"/>
    <s v="B-"/>
    <m/>
    <s v="Carga Dragón"/>
    <s v="Triturar"/>
  </r>
  <r>
    <x v="15"/>
    <x v="15"/>
    <s v="Hydreigon"/>
    <s v="Hydreigon"/>
    <s v="0635A0"/>
    <s v="Teselia"/>
    <s v="Teselia"/>
    <s v="Dark"/>
    <s v="Dragon"/>
    <s v="Basic"/>
    <s v="0633A0"/>
    <s v="0634A0"/>
    <x v="2"/>
    <s v="Experience"/>
    <n v="6"/>
    <x v="3"/>
    <n v="600"/>
    <n v="92"/>
    <n v="105"/>
    <n v="90"/>
    <n v="125"/>
    <n v="90"/>
    <n v="98"/>
    <n v="6"/>
    <n v="10"/>
    <n v="6"/>
    <n v="6"/>
    <n v="28"/>
    <s v="A-"/>
    <m/>
    <s v="Cometa Draco"/>
    <s v="Llamarada"/>
  </r>
  <r>
    <x v="16"/>
    <x v="16"/>
    <s v="Tympole"/>
    <s v="Tympole"/>
    <s v="0535A0"/>
    <s v="Teselia"/>
    <s v="Teselia"/>
    <s v="Water"/>
    <s v="-"/>
    <s v="Basic"/>
    <s v="0535A0"/>
    <s v="-"/>
    <x v="0"/>
    <s v="-"/>
    <s v="-"/>
    <x v="0"/>
    <n v="294"/>
    <n v="50"/>
    <n v="50"/>
    <n v="40"/>
    <n v="50"/>
    <n v="40"/>
    <n v="64"/>
    <n v="3"/>
    <n v="4"/>
    <n v="4"/>
    <n v="4"/>
    <n v="15"/>
    <s v="D"/>
    <m/>
    <s v="Canon"/>
    <s v="Ácido"/>
  </r>
  <r>
    <x v="16"/>
    <x v="16"/>
    <s v="Palpitoad"/>
    <s v="Palpitoad"/>
    <s v="0536A0"/>
    <s v="Teselia"/>
    <s v="Teselia"/>
    <s v="Water"/>
    <s v="Ground"/>
    <s v="Basic"/>
    <s v="0535A0"/>
    <s v="0535A0"/>
    <x v="1"/>
    <s v="Experience"/>
    <n v="3"/>
    <x v="0"/>
    <n v="384"/>
    <n v="75"/>
    <n v="65"/>
    <n v="55"/>
    <n v="65"/>
    <n v="55"/>
    <n v="69"/>
    <n v="4"/>
    <n v="6"/>
    <n v="4"/>
    <n v="4"/>
    <n v="18"/>
    <s v="C"/>
    <m/>
    <s v="Rayo Burbuja"/>
    <s v="Disparo Lodo"/>
  </r>
  <r>
    <x v="16"/>
    <x v="16"/>
    <s v="Seismitoad"/>
    <s v="Seismitoad"/>
    <s v="0537A0"/>
    <s v="Teselia"/>
    <s v="Teselia"/>
    <s v="Water"/>
    <s v="Ground"/>
    <s v="Basic"/>
    <s v="0535A0"/>
    <s v="0536A0"/>
    <x v="2"/>
    <s v="Experience"/>
    <n v="4"/>
    <x v="1"/>
    <n v="509"/>
    <n v="105"/>
    <n v="95"/>
    <n v="75"/>
    <n v="85"/>
    <n v="75"/>
    <n v="74"/>
    <n v="7"/>
    <n v="8"/>
    <n v="6"/>
    <n v="4"/>
    <n v="25"/>
    <s v="B"/>
    <m/>
    <s v="Agua Lodosa"/>
    <s v="Tierra Viva"/>
  </r>
  <r>
    <x v="16"/>
    <x v="16"/>
    <s v="Karrablast"/>
    <s v="Karrablast"/>
    <s v="0588A0"/>
    <s v="Teselia"/>
    <s v="Teselia"/>
    <s v="Bug"/>
    <s v="-"/>
    <s v="Basic"/>
    <s v="0588A0"/>
    <s v="-"/>
    <x v="0"/>
    <s v="-"/>
    <s v="-"/>
    <x v="0"/>
    <n v="315"/>
    <n v="50"/>
    <n v="75"/>
    <n v="45"/>
    <n v="40"/>
    <n v="45"/>
    <n v="60"/>
    <n v="3"/>
    <n v="6"/>
    <n v="4"/>
    <n v="4"/>
    <n v="17"/>
    <s v="C-"/>
    <m/>
    <s v="Corte Furia"/>
    <s v="Picotazo"/>
  </r>
  <r>
    <x v="16"/>
    <x v="16"/>
    <s v="Escavalier"/>
    <s v="Escavalier"/>
    <s v="0589A0"/>
    <s v="Teselia"/>
    <s v="Teselia"/>
    <s v="Bug"/>
    <s v="Steel"/>
    <s v="Basic"/>
    <s v="0588A0"/>
    <s v="0588A0"/>
    <x v="2"/>
    <s v="Experience"/>
    <n v="3"/>
    <x v="1"/>
    <n v="495"/>
    <n v="70"/>
    <n v="135"/>
    <n v="105"/>
    <n v="60"/>
    <n v="105"/>
    <n v="20"/>
    <n v="4"/>
    <n v="10"/>
    <n v="8"/>
    <n v="2"/>
    <n v="24"/>
    <s v="B"/>
    <m/>
    <s v="Megacuerno"/>
    <s v="Cabeza de Hierro"/>
  </r>
  <r>
    <x v="16"/>
    <x v="16"/>
    <s v="Ferroseed"/>
    <s v="Ferroseed"/>
    <s v="0597A0"/>
    <s v="Teselia"/>
    <s v="Teselia"/>
    <s v="Grass"/>
    <s v="Steel"/>
    <s v="Basic"/>
    <s v="0597A0"/>
    <s v="-"/>
    <x v="0"/>
    <s v="-"/>
    <s v="-"/>
    <x v="0"/>
    <n v="305"/>
    <n v="44"/>
    <n v="50"/>
    <n v="91"/>
    <n v="24"/>
    <n v="86"/>
    <n v="10"/>
    <n v="3"/>
    <n v="4"/>
    <n v="6"/>
    <n v="2"/>
    <n v="15"/>
    <s v="D"/>
    <m/>
    <s v="Pin Misil"/>
    <s v="Garra Metal"/>
  </r>
  <r>
    <x v="16"/>
    <x v="16"/>
    <s v="Ferrothorn"/>
    <s v="Ferrothorn"/>
    <s v="0598A0"/>
    <s v="Teselia"/>
    <s v="Teselia"/>
    <s v="Grass"/>
    <s v="Steel"/>
    <s v="Basic"/>
    <s v="0597A0"/>
    <s v="0597A0"/>
    <x v="2"/>
    <s v="Experience"/>
    <n v="5"/>
    <x v="1"/>
    <n v="489"/>
    <n v="74"/>
    <n v="94"/>
    <n v="131"/>
    <n v="54"/>
    <n v="116"/>
    <n v="20"/>
    <n v="4"/>
    <n v="8"/>
    <n v="10"/>
    <n v="2"/>
    <n v="24"/>
    <s v="B"/>
    <m/>
    <s v="Bomba Germen"/>
    <s v="Desarme"/>
  </r>
  <r>
    <x v="16"/>
    <x v="16"/>
    <s v="Litwick"/>
    <s v="Litwick"/>
    <s v="0607A0"/>
    <s v="Teselia"/>
    <s v="Teselia"/>
    <s v="Ghost"/>
    <s v="Fire"/>
    <s v="Basic"/>
    <s v="0607A0"/>
    <s v="-"/>
    <x v="0"/>
    <s v="-"/>
    <s v="-"/>
    <x v="4"/>
    <n v="275"/>
    <n v="50"/>
    <n v="30"/>
    <n v="55"/>
    <n v="65"/>
    <n v="55"/>
    <n v="20"/>
    <n v="3"/>
    <n v="6"/>
    <n v="4"/>
    <n v="2"/>
    <n v="15"/>
    <s v="D"/>
    <m/>
    <s v="Impresionar"/>
    <s v="Ascuas"/>
  </r>
  <r>
    <x v="16"/>
    <x v="16"/>
    <s v="Lampent"/>
    <s v="Lampent"/>
    <s v="0608A0"/>
    <s v="Teselia"/>
    <s v="Teselia"/>
    <s v="Ghost"/>
    <s v="Fire"/>
    <s v="Basic"/>
    <s v="0607A0"/>
    <s v="0607A0"/>
    <x v="1"/>
    <s v="Experience"/>
    <n v="5"/>
    <x v="0"/>
    <n v="370"/>
    <n v="60"/>
    <n v="40"/>
    <n v="60"/>
    <n v="95"/>
    <n v="60"/>
    <n v="55"/>
    <n v="4"/>
    <n v="6"/>
    <n v="4"/>
    <n v="3"/>
    <n v="17"/>
    <s v="C-"/>
    <m/>
    <s v="Infortunio"/>
    <s v="Giro Fuego"/>
  </r>
  <r>
    <x v="16"/>
    <x v="16"/>
    <s v="Chandelure"/>
    <s v="Chandelure"/>
    <s v="0609A0"/>
    <s v="Teselia"/>
    <s v="Teselia"/>
    <s v="Ghost"/>
    <s v="Fire"/>
    <s v="Basic"/>
    <s v="0607A0"/>
    <s v="0608A0"/>
    <x v="2"/>
    <s v="Stone"/>
    <s v="-"/>
    <x v="1"/>
    <n v="520"/>
    <n v="60"/>
    <n v="55"/>
    <n v="90"/>
    <n v="145"/>
    <n v="90"/>
    <n v="80"/>
    <n v="4"/>
    <n v="10"/>
    <n v="6"/>
    <n v="5"/>
    <n v="25"/>
    <s v="B"/>
    <m/>
    <s v="Infortunio"/>
    <s v="Llamarada"/>
  </r>
  <r>
    <x v="16"/>
    <x v="16"/>
    <s v="Axew"/>
    <s v="Axew"/>
    <s v="0610A0"/>
    <s v="Teselia"/>
    <s v="Teselia"/>
    <s v="Dragon"/>
    <s v="-"/>
    <s v="Basic"/>
    <s v="0610A0"/>
    <s v="-"/>
    <x v="0"/>
    <s v="-"/>
    <s v="-"/>
    <x v="0"/>
    <n v="320"/>
    <n v="46"/>
    <n v="87"/>
    <n v="60"/>
    <n v="30"/>
    <n v="40"/>
    <n v="57"/>
    <n v="3"/>
    <n v="6"/>
    <n v="4"/>
    <n v="4"/>
    <n v="17"/>
    <s v="C-"/>
    <m/>
    <s v="Vasto Impacto"/>
    <s v="Mordisco"/>
  </r>
  <r>
    <x v="16"/>
    <x v="16"/>
    <s v="Fraxure"/>
    <s v="Fraxure"/>
    <s v="0611A0"/>
    <s v="Teselia"/>
    <s v="Teselia"/>
    <s v="Dragon"/>
    <s v="-"/>
    <s v="Basic"/>
    <s v="0610A0"/>
    <s v="0610A0"/>
    <x v="1"/>
    <s v="Experience"/>
    <n v="4"/>
    <x v="0"/>
    <n v="410"/>
    <n v="66"/>
    <n v="117"/>
    <n v="70"/>
    <n v="40"/>
    <n v="50"/>
    <n v="67"/>
    <n v="4"/>
    <n v="8"/>
    <n v="4"/>
    <n v="4"/>
    <n v="20"/>
    <s v="C+"/>
    <m/>
    <s v="Garra Dragón"/>
    <s v="Cola Férrea"/>
  </r>
  <r>
    <x v="16"/>
    <x v="16"/>
    <s v="Haxorus"/>
    <s v="Haxorus"/>
    <s v="0612A0"/>
    <s v="Teselia"/>
    <s v="Teselia"/>
    <s v="Dragon"/>
    <s v="-"/>
    <s v="Basic"/>
    <s v="0610A0"/>
    <s v="0611A0"/>
    <x v="2"/>
    <s v="Experience"/>
    <n v="5"/>
    <x v="3"/>
    <n v="540"/>
    <n v="76"/>
    <n v="147"/>
    <n v="90"/>
    <n v="60"/>
    <n v="70"/>
    <n v="97"/>
    <n v="4"/>
    <n v="10"/>
    <n v="6"/>
    <n v="6"/>
    <n v="26"/>
    <s v="B+"/>
    <m/>
    <s v="Enfado"/>
    <s v="Puya Nociva"/>
  </r>
  <r>
    <x v="16"/>
    <x v="16"/>
    <s v="Rufflet"/>
    <s v="Rufflet"/>
    <s v="0627A0"/>
    <s v="Teselia"/>
    <s v="Teselia"/>
    <s v="Normal"/>
    <s v="Flying"/>
    <s v="Basic"/>
    <s v="0627A0"/>
    <s v="-"/>
    <x v="0"/>
    <s v="-"/>
    <s v="-"/>
    <x v="0"/>
    <n v="350"/>
    <n v="70"/>
    <n v="83"/>
    <n v="50"/>
    <n v="37"/>
    <n v="50"/>
    <n v="60"/>
    <n v="4"/>
    <n v="6"/>
    <n v="4"/>
    <n v="4"/>
    <n v="18"/>
    <s v="C"/>
    <m/>
    <s v="Picotazo"/>
    <s v="Garra Brutal"/>
  </r>
  <r>
    <x v="16"/>
    <x v="16"/>
    <s v="Braviary"/>
    <s v="Braviary"/>
    <s v="0628A0"/>
    <s v="Teselia"/>
    <s v="Teselia"/>
    <s v="Normal"/>
    <s v="Flying"/>
    <s v="Basic"/>
    <s v="0627A0"/>
    <s v="0627A0"/>
    <x v="2"/>
    <s v="Experience"/>
    <n v="6"/>
    <x v="1"/>
    <n v="510"/>
    <n v="100"/>
    <n v="123"/>
    <n v="75"/>
    <n v="57"/>
    <n v="75"/>
    <n v="80"/>
    <n v="6"/>
    <n v="10"/>
    <n v="6"/>
    <n v="5"/>
    <n v="27"/>
    <s v="B+"/>
    <m/>
    <s v="Pájaro Osado"/>
    <s v="Fuerza Bruta"/>
  </r>
  <r>
    <x v="17"/>
    <x v="17"/>
    <s v="Pidove"/>
    <s v="Pidove"/>
    <s v="0519A0"/>
    <s v="Teselia"/>
    <s v="Teselia"/>
    <s v="Normal"/>
    <s v="Flying"/>
    <s v="Basic"/>
    <s v="0519A0"/>
    <s v="-"/>
    <x v="0"/>
    <s v="-"/>
    <s v="-"/>
    <x v="4"/>
    <n v="264"/>
    <n v="50"/>
    <n v="55"/>
    <n v="50"/>
    <n v="36"/>
    <n v="30"/>
    <n v="43"/>
    <n v="3"/>
    <n v="4"/>
    <n v="4"/>
    <n v="3"/>
    <n v="14"/>
    <s v="E"/>
    <m/>
    <s v="Ataque Rápido"/>
    <s v="Tornado"/>
  </r>
  <r>
    <x v="17"/>
    <x v="17"/>
    <s v="Tranquill"/>
    <s v="Tranquill"/>
    <s v="0520A0"/>
    <s v="Teselia"/>
    <s v="Teselia"/>
    <s v="Normal"/>
    <s v="Flying"/>
    <s v="Basic"/>
    <s v="0519A0"/>
    <s v="0519A0"/>
    <x v="1"/>
    <s v="Experience"/>
    <n v="3"/>
    <x v="0"/>
    <n v="358"/>
    <n v="62"/>
    <n v="77"/>
    <n v="62"/>
    <n v="50"/>
    <n v="42"/>
    <n v="65"/>
    <n v="4"/>
    <n v="6"/>
    <n v="4"/>
    <n v="4"/>
    <n v="18"/>
    <s v="C"/>
    <m/>
    <s v="Alboroto"/>
    <s v="Aire afilado"/>
  </r>
  <r>
    <x v="17"/>
    <x v="17"/>
    <s v="Unfezant"/>
    <s v="Unfezant"/>
    <s v="0521A0"/>
    <s v="Teselia"/>
    <s v="Teselia"/>
    <s v="Normal"/>
    <s v="Flying"/>
    <s v="Basic"/>
    <s v="0519A0"/>
    <s v="0520A0"/>
    <x v="2"/>
    <s v="Experience"/>
    <n v="4"/>
    <x v="1"/>
    <n v="488"/>
    <n v="80"/>
    <n v="115"/>
    <n v="80"/>
    <n v="65"/>
    <n v="55"/>
    <n v="93"/>
    <n v="5"/>
    <n v="8"/>
    <n v="6"/>
    <n v="5"/>
    <n v="24"/>
    <s v="B"/>
    <m/>
    <s v="Imagen"/>
    <s v="Tajo Aéreo"/>
  </r>
  <r>
    <x v="17"/>
    <x v="17"/>
    <s v="Venipede"/>
    <s v="Venipede"/>
    <s v="0543A0"/>
    <s v="Teselia"/>
    <s v="Teselia"/>
    <s v="Bug"/>
    <s v="Poison"/>
    <s v="Basic"/>
    <s v="0543A0"/>
    <s v="-"/>
    <x v="0"/>
    <s v="-"/>
    <s v="-"/>
    <x v="4"/>
    <n v="260"/>
    <n v="30"/>
    <n v="45"/>
    <n v="59"/>
    <n v="30"/>
    <n v="39"/>
    <n v="57"/>
    <n v="2"/>
    <n v="4"/>
    <n v="4"/>
    <n v="4"/>
    <n v="14"/>
    <s v="E"/>
    <m/>
    <s v="Picadura"/>
    <s v="Picotazo Venenoso"/>
  </r>
  <r>
    <x v="17"/>
    <x v="17"/>
    <s v="Whirlipede"/>
    <s v="Whirlipede"/>
    <s v="0544A0"/>
    <s v="Teselia"/>
    <s v="Teselia"/>
    <s v="Bug"/>
    <s v="Poison"/>
    <s v="Basic"/>
    <s v="0543A0"/>
    <s v="0543A0"/>
    <x v="1"/>
    <s v="Experience"/>
    <n v="3"/>
    <x v="0"/>
    <n v="360"/>
    <n v="40"/>
    <n v="55"/>
    <n v="99"/>
    <n v="40"/>
    <n v="79"/>
    <n v="47"/>
    <n v="3"/>
    <n v="4"/>
    <n v="8"/>
    <n v="3"/>
    <n v="18"/>
    <s v="C"/>
    <m/>
    <s v="Carga Tóxica"/>
    <s v="Rodar"/>
  </r>
  <r>
    <x v="17"/>
    <x v="17"/>
    <s v="Scolipede"/>
    <s v="Scolipede"/>
    <s v="0545A0"/>
    <s v="Teselia"/>
    <s v="Teselia"/>
    <s v="Bug"/>
    <s v="Poison"/>
    <s v="Basic"/>
    <s v="0543A0"/>
    <s v="0544A0"/>
    <x v="2"/>
    <s v="Experience"/>
    <n v="4"/>
    <x v="1"/>
    <n v="485"/>
    <n v="60"/>
    <n v="100"/>
    <n v="89"/>
    <n v="55"/>
    <n v="69"/>
    <n v="112"/>
    <n v="4"/>
    <n v="8"/>
    <n v="6"/>
    <n v="6"/>
    <n v="24"/>
    <s v="B"/>
    <m/>
    <s v="Megacuerno"/>
    <s v="Puya Nociva"/>
  </r>
  <r>
    <x v="17"/>
    <x v="17"/>
    <s v="Sandile"/>
    <s v="Sandile"/>
    <s v="0551A0"/>
    <s v="Teselia"/>
    <s v="Teselia"/>
    <s v="Ground"/>
    <s v="Dark"/>
    <s v="Basic"/>
    <s v="0551A0"/>
    <s v="-"/>
    <x v="0"/>
    <s v="-"/>
    <s v="-"/>
    <x v="0"/>
    <n v="292"/>
    <n v="50"/>
    <n v="72"/>
    <n v="35"/>
    <n v="35"/>
    <n v="35"/>
    <n v="65"/>
    <n v="3"/>
    <n v="6"/>
    <n v="4"/>
    <n v="4"/>
    <n v="17"/>
    <s v="C-"/>
    <m/>
    <s v="Bucle Arena"/>
    <s v="Chulería"/>
  </r>
  <r>
    <x v="17"/>
    <x v="17"/>
    <s v="Krokorok"/>
    <s v="Krokorok"/>
    <s v="0552A0"/>
    <s v="Teselia"/>
    <s v="Teselia"/>
    <s v="Ground"/>
    <s v="Dark"/>
    <s v="Basic"/>
    <s v="0551A0"/>
    <s v="0551A0"/>
    <x v="1"/>
    <s v="Experience"/>
    <n v="3"/>
    <x v="0"/>
    <n v="351"/>
    <n v="60"/>
    <n v="82"/>
    <n v="45"/>
    <n v="45"/>
    <n v="45"/>
    <n v="74"/>
    <n v="4"/>
    <n v="8"/>
    <n v="4"/>
    <n v="4"/>
    <n v="20"/>
    <s v="C+"/>
    <m/>
    <s v="Excavar"/>
    <s v="Mordisco"/>
  </r>
  <r>
    <x v="17"/>
    <x v="17"/>
    <s v="Krookodile"/>
    <s v="Krookodile"/>
    <s v="0553A0"/>
    <s v="Teselia"/>
    <s v="Teselia"/>
    <s v="Ground"/>
    <s v="Dark"/>
    <s v="Basic"/>
    <s v="0551A0"/>
    <s v="0552A0"/>
    <x v="2"/>
    <s v="Experience"/>
    <n v="5"/>
    <x v="1"/>
    <n v="519"/>
    <n v="95"/>
    <n v="117"/>
    <n v="80"/>
    <n v="65"/>
    <n v="70"/>
    <n v="92"/>
    <n v="6"/>
    <n v="10"/>
    <n v="6"/>
    <n v="5"/>
    <n v="27"/>
    <s v="B+"/>
    <m/>
    <s v="Terremoto"/>
    <s v="Triturar"/>
  </r>
  <r>
    <x v="17"/>
    <x v="17"/>
    <s v="Tirtouga"/>
    <s v="Tirtouga"/>
    <s v="0564A0"/>
    <s v="Teselia"/>
    <s v="Teselia"/>
    <s v="Water"/>
    <s v="Rock"/>
    <s v="Basic"/>
    <s v="0564A0"/>
    <s v="-"/>
    <x v="0"/>
    <s v="-"/>
    <s v="-"/>
    <x v="0"/>
    <n v="355"/>
    <n v="54"/>
    <n v="78"/>
    <n v="103"/>
    <n v="53"/>
    <n v="45"/>
    <n v="22"/>
    <n v="3"/>
    <n v="6"/>
    <n v="6"/>
    <n v="2"/>
    <n v="17"/>
    <s v="C-"/>
    <m/>
    <s v="Poder Pasado"/>
    <s v="Acua Jet"/>
  </r>
  <r>
    <x v="17"/>
    <x v="17"/>
    <s v="Carracosta"/>
    <s v="Carracosta"/>
    <s v="0565A0"/>
    <s v="Teselia"/>
    <s v="Teselia"/>
    <s v="Water"/>
    <s v="Rock"/>
    <s v="Basic"/>
    <s v="0564A0"/>
    <s v="0564A0"/>
    <x v="2"/>
    <s v="Experience"/>
    <n v="4"/>
    <x v="1"/>
    <n v="495"/>
    <n v="74"/>
    <n v="108"/>
    <n v="133"/>
    <n v="83"/>
    <n v="65"/>
    <n v="32"/>
    <n v="4"/>
    <n v="8"/>
    <n v="8"/>
    <n v="2"/>
    <n v="22"/>
    <s v="B-"/>
    <m/>
    <s v="Roca Afilada"/>
    <s v="Acua Cola"/>
  </r>
  <r>
    <x v="17"/>
    <x v="17"/>
    <s v="Tynamo"/>
    <s v="Tynamo"/>
    <s v="0602A0"/>
    <s v="Teselia"/>
    <s v="Teselia"/>
    <s v="Electric"/>
    <s v="-"/>
    <s v="Basic"/>
    <s v="0602A0"/>
    <s v="-"/>
    <x v="0"/>
    <s v="-"/>
    <s v="-"/>
    <x v="4"/>
    <n v="275"/>
    <n v="35"/>
    <n v="55"/>
    <n v="40"/>
    <n v="45"/>
    <n v="40"/>
    <n v="60"/>
    <n v="2"/>
    <n v="4"/>
    <n v="4"/>
    <n v="4"/>
    <n v="14"/>
    <s v="E"/>
    <m/>
    <s v="Placaje"/>
    <s v="Chispa"/>
  </r>
  <r>
    <x v="17"/>
    <x v="17"/>
    <s v="Eelektrik"/>
    <s v="Eelektrik"/>
    <s v="0603A0"/>
    <s v="Teselia"/>
    <s v="Teselia"/>
    <s v="Electric"/>
    <s v="-"/>
    <s v="Basic"/>
    <s v="0602A0"/>
    <s v="0602A0"/>
    <x v="1"/>
    <s v="Experience"/>
    <n v="4"/>
    <x v="0"/>
    <n v="405"/>
    <n v="65"/>
    <n v="85"/>
    <n v="70"/>
    <n v="75"/>
    <n v="70"/>
    <n v="40"/>
    <n v="4"/>
    <n v="8"/>
    <n v="6"/>
    <n v="3"/>
    <n v="21"/>
    <s v="C+"/>
    <m/>
    <s v="Chispazo"/>
    <s v="Bomba Ácida"/>
  </r>
  <r>
    <x v="17"/>
    <x v="17"/>
    <s v="Eelektross"/>
    <s v="Eelektross"/>
    <s v="0604A0"/>
    <s v="Teselia"/>
    <s v="Teselia"/>
    <s v="Electric"/>
    <s v="-"/>
    <s v="Basic"/>
    <s v="0602A0"/>
    <s v="0603A0"/>
    <x v="2"/>
    <s v="Stone"/>
    <s v="-"/>
    <x v="1"/>
    <n v="515"/>
    <n v="85"/>
    <n v="115"/>
    <n v="80"/>
    <n v="105"/>
    <n v="80"/>
    <n v="50"/>
    <n v="5"/>
    <n v="10"/>
    <n v="6"/>
    <n v="3"/>
    <n v="24"/>
    <s v="B"/>
    <m/>
    <s v="Rayo"/>
    <s v="Lanzallamas"/>
  </r>
  <r>
    <x v="17"/>
    <x v="17"/>
    <s v="Bouffalant"/>
    <s v="Bouffalant"/>
    <s v="0626A0"/>
    <s v="Teselia"/>
    <s v="Teselia"/>
    <s v="Normal"/>
    <s v="-"/>
    <s v="Basic"/>
    <s v="0626A0"/>
    <s v="-"/>
    <x v="2"/>
    <s v="-"/>
    <s v="-"/>
    <x v="1"/>
    <n v="490"/>
    <n v="95"/>
    <n v="110"/>
    <n v="95"/>
    <n v="40"/>
    <n v="95"/>
    <n v="55"/>
    <n v="6"/>
    <n v="8"/>
    <n v="6"/>
    <n v="3"/>
    <n v="23"/>
    <s v="B-"/>
    <m/>
    <s v="Ariete"/>
    <s v="A Bocajarro"/>
  </r>
  <r>
    <x v="18"/>
    <x v="18"/>
    <s v="Purrloin"/>
    <s v="Purrloin"/>
    <s v="0509A0"/>
    <s v="Teselia"/>
    <s v="Teselia"/>
    <s v="Dark"/>
    <s v="-"/>
    <s v="Basic"/>
    <s v="0509A0"/>
    <s v="-"/>
    <x v="0"/>
    <s v="-"/>
    <s v="-"/>
    <x v="4"/>
    <n v="281"/>
    <n v="41"/>
    <n v="50"/>
    <n v="37"/>
    <n v="50"/>
    <n v="37"/>
    <n v="66"/>
    <n v="3"/>
    <n v="4"/>
    <n v="4"/>
    <n v="4"/>
    <n v="15"/>
    <s v="D"/>
    <m/>
    <s v="Arañazo"/>
    <s v="Finta"/>
  </r>
  <r>
    <x v="18"/>
    <x v="18"/>
    <s v="Liepard"/>
    <s v="Liepard"/>
    <s v="0510A0"/>
    <s v="Teselia"/>
    <s v="Teselia"/>
    <s v="Dark"/>
    <s v="-"/>
    <s v="Basic"/>
    <s v="0509A0"/>
    <s v="0509A0"/>
    <x v="2"/>
    <s v="Experience"/>
    <n v="3"/>
    <x v="0"/>
    <n v="446"/>
    <n v="64"/>
    <n v="88"/>
    <n v="50"/>
    <n v="88"/>
    <n v="50"/>
    <n v="106"/>
    <n v="4"/>
    <n v="8"/>
    <n v="4"/>
    <n v="6"/>
    <n v="22"/>
    <s v="B-"/>
    <m/>
    <s v="Desarme"/>
    <s v="Carantoña"/>
  </r>
  <r>
    <x v="18"/>
    <x v="18"/>
    <s v="Woobat"/>
    <s v="Woobat"/>
    <s v="0527A0"/>
    <s v="Teselia"/>
    <s v="Teselia"/>
    <s v="Psychic"/>
    <s v="Flying"/>
    <s v="Basic"/>
    <s v="0527A0"/>
    <s v="-"/>
    <x v="0"/>
    <s v="-"/>
    <s v="-"/>
    <x v="0"/>
    <n v="323"/>
    <n v="65"/>
    <n v="45"/>
    <n v="43"/>
    <n v="55"/>
    <n v="43"/>
    <n v="72"/>
    <n v="4"/>
    <n v="4"/>
    <n v="4"/>
    <n v="4"/>
    <n v="16"/>
    <s v="C-"/>
    <m/>
    <s v="Confusión"/>
    <s v="Tornado"/>
  </r>
  <r>
    <x v="18"/>
    <x v="18"/>
    <s v="Swoobat"/>
    <s v="Swoobat"/>
    <s v="0528A0"/>
    <s v="Teselia"/>
    <s v="Teselia"/>
    <s v="Psychic"/>
    <s v="Flying"/>
    <s v="Basic"/>
    <s v="0527A0"/>
    <s v="0527A0"/>
    <x v="2"/>
    <s v="Experience"/>
    <n v="3"/>
    <x v="0"/>
    <n v="425"/>
    <n v="67"/>
    <n v="57"/>
    <n v="55"/>
    <n v="77"/>
    <n v="55"/>
    <n v="114"/>
    <n v="4"/>
    <n v="6"/>
    <n v="4"/>
    <n v="6"/>
    <n v="20"/>
    <s v="C+"/>
    <m/>
    <s v="Poder Reserva"/>
    <s v="Tajo Aéreo"/>
  </r>
  <r>
    <x v="18"/>
    <x v="18"/>
    <s v="Darumaka"/>
    <s v="Darumaka"/>
    <s v="0554A0"/>
    <s v="Teselia"/>
    <s v="Teselia"/>
    <s v="Fire"/>
    <s v="-"/>
    <s v="Basic"/>
    <s v="0554A0"/>
    <s v="-"/>
    <x v="0"/>
    <s v="-"/>
    <s v="-"/>
    <x v="0"/>
    <n v="315"/>
    <n v="70"/>
    <n v="90"/>
    <n v="45"/>
    <n v="15"/>
    <n v="45"/>
    <n v="50"/>
    <n v="4"/>
    <n v="6"/>
    <n v="4"/>
    <n v="3"/>
    <n v="17"/>
    <s v="C-"/>
    <m/>
    <s v="Ascuas"/>
    <s v="Mordisco"/>
  </r>
  <r>
    <x v="18"/>
    <x v="18"/>
    <s v="Darmanitan (Standard Mode)"/>
    <s v="Darmanitan"/>
    <s v="0555A0"/>
    <s v="Teselia"/>
    <s v="Teselia"/>
    <s v="Fire"/>
    <s v="-"/>
    <s v="Basic"/>
    <s v="0554A0"/>
    <s v="0554A0"/>
    <x v="2"/>
    <s v="Experience"/>
    <n v="4"/>
    <x v="1"/>
    <n v="480"/>
    <n v="105"/>
    <n v="140"/>
    <n v="55"/>
    <n v="30"/>
    <n v="55"/>
    <n v="95"/>
    <n v="7"/>
    <n v="10"/>
    <n v="4"/>
    <n v="5"/>
    <n v="26"/>
    <s v="B+"/>
    <m/>
    <s v="Envite Ígneo"/>
    <s v="Terremoto"/>
  </r>
  <r>
    <x v="18"/>
    <x v="18"/>
    <s v="Darmanitan (Zen Mode)"/>
    <s v="Darmanitan"/>
    <s v="0555B0"/>
    <s v="Teselia"/>
    <s v="Teselia"/>
    <s v="Fire"/>
    <s v="-"/>
    <s v="Basic"/>
    <s v="0554A0"/>
    <s v="0554A0"/>
    <x v="2"/>
    <s v="-"/>
    <s v="-"/>
    <x v="2"/>
    <n v="540"/>
    <n v="105"/>
    <n v="30"/>
    <n v="105"/>
    <n v="140"/>
    <n v="105"/>
    <n v="55"/>
    <n v="7"/>
    <n v="10"/>
    <n v="8"/>
    <n v="3"/>
    <n v="28"/>
    <s v="A-"/>
    <m/>
    <s v="Envite Ígneo"/>
    <s v="Terremoto"/>
  </r>
  <r>
    <x v="18"/>
    <x v="18"/>
    <s v="Archen"/>
    <s v="Archen"/>
    <s v="0566A0"/>
    <s v="Teselia"/>
    <s v="Teselia"/>
    <s v="Rock"/>
    <s v="Flying"/>
    <s v="Basic"/>
    <s v="0566A0"/>
    <s v="-"/>
    <x v="0"/>
    <s v="-"/>
    <s v="-"/>
    <x v="0"/>
    <n v="401"/>
    <n v="55"/>
    <n v="112"/>
    <n v="45"/>
    <n v="74"/>
    <n v="45"/>
    <n v="70"/>
    <n v="3"/>
    <n v="8"/>
    <n v="4"/>
    <n v="4"/>
    <n v="19"/>
    <s v="C"/>
    <m/>
    <s v="Lanzarrocas"/>
    <s v="Ataque Ala"/>
  </r>
  <r>
    <x v="18"/>
    <x v="18"/>
    <s v="Archeops"/>
    <s v="Archeops"/>
    <s v="0567A0"/>
    <s v="Teselia"/>
    <s v="Teselia"/>
    <s v="Rock"/>
    <s v="Flying"/>
    <s v="Basic"/>
    <s v="0566A0"/>
    <s v="0566A0"/>
    <x v="2"/>
    <s v="Experience"/>
    <n v="4"/>
    <x v="3"/>
    <n v="567"/>
    <n v="75"/>
    <n v="140"/>
    <n v="65"/>
    <n v="112"/>
    <n v="65"/>
    <n v="110"/>
    <n v="4"/>
    <n v="12"/>
    <n v="4"/>
    <n v="6"/>
    <n v="26"/>
    <s v="B+"/>
    <m/>
    <s v="Testarazo"/>
    <s v="Garra Dragón"/>
  </r>
  <r>
    <x v="18"/>
    <x v="18"/>
    <s v="Zorua"/>
    <s v="Zorua"/>
    <s v="0570A0"/>
    <s v="Teselia"/>
    <s v="Teselia"/>
    <s v="Dark"/>
    <s v="-"/>
    <s v="Basic"/>
    <s v="0570A0"/>
    <s v="-"/>
    <x v="0"/>
    <s v="-"/>
    <s v="-"/>
    <x v="0"/>
    <n v="330"/>
    <n v="40"/>
    <n v="65"/>
    <n v="40"/>
    <n v="80"/>
    <n v="40"/>
    <n v="65"/>
    <n v="3"/>
    <n v="6"/>
    <n v="4"/>
    <n v="4"/>
    <n v="17"/>
    <s v="C-"/>
    <m/>
    <s v="Arañazo"/>
    <s v="Juego Sucio"/>
  </r>
  <r>
    <x v="18"/>
    <x v="18"/>
    <s v="Zoroark"/>
    <s v="Zoroark"/>
    <s v="0571A0"/>
    <s v="Teselia"/>
    <s v="Teselia"/>
    <s v="Dark"/>
    <s v="-"/>
    <s v="Basic"/>
    <s v="0570A0"/>
    <s v="0570A0"/>
    <x v="2"/>
    <s v="Experience"/>
    <n v="4"/>
    <x v="1"/>
    <n v="510"/>
    <n v="60"/>
    <n v="105"/>
    <n v="60"/>
    <n v="120"/>
    <n v="60"/>
    <n v="105"/>
    <n v="4"/>
    <n v="10"/>
    <n v="4"/>
    <n v="6"/>
    <n v="24"/>
    <s v="B"/>
    <m/>
    <s v="Pulso Noche"/>
    <s v="Bomba Lodo"/>
  </r>
  <r>
    <x v="18"/>
    <x v="18"/>
    <s v="Vanillite"/>
    <s v="Vanillite"/>
    <s v="0582A0"/>
    <s v="Teselia"/>
    <s v="Teselia"/>
    <s v="Ice"/>
    <s v="-"/>
    <s v="Basic"/>
    <s v="0582A0"/>
    <s v="-"/>
    <x v="0"/>
    <s v="-"/>
    <s v="-"/>
    <x v="0"/>
    <n v="305"/>
    <n v="36"/>
    <n v="50"/>
    <n v="50"/>
    <n v="65"/>
    <n v="60"/>
    <n v="44"/>
    <n v="2"/>
    <n v="6"/>
    <n v="4"/>
    <n v="3"/>
    <n v="15"/>
    <s v="D"/>
    <m/>
    <s v="Carámbano"/>
    <s v="Impresionar"/>
  </r>
  <r>
    <x v="18"/>
    <x v="18"/>
    <s v="Vanillish"/>
    <s v="Vanillish"/>
    <s v="0583A0"/>
    <s v="Teselia"/>
    <s v="Teselia"/>
    <s v="Ice"/>
    <s v="-"/>
    <s v="Basic"/>
    <s v="0582A0"/>
    <s v="0582A0"/>
    <x v="1"/>
    <s v="Experience"/>
    <n v="4"/>
    <x v="0"/>
    <n v="395"/>
    <n v="51"/>
    <n v="65"/>
    <n v="65"/>
    <n v="80"/>
    <n v="75"/>
    <n v="59"/>
    <n v="3"/>
    <n v="6"/>
    <n v="6"/>
    <n v="4"/>
    <n v="19"/>
    <s v="C"/>
    <m/>
    <s v="Nieve Polvo"/>
    <s v="Doble Rayo"/>
  </r>
  <r>
    <x v="18"/>
    <x v="18"/>
    <s v="Vanilluxe"/>
    <s v="Vanilluxe"/>
    <s v="0584A0"/>
    <s v="Teselia"/>
    <s v="Teselia"/>
    <s v="Ice"/>
    <s v="-"/>
    <s v="Basic"/>
    <s v="0582A0"/>
    <s v="0583A0"/>
    <x v="2"/>
    <s v="Experience"/>
    <n v="5"/>
    <x v="1"/>
    <n v="535"/>
    <n v="71"/>
    <n v="95"/>
    <n v="85"/>
    <n v="110"/>
    <n v="95"/>
    <n v="79"/>
    <n v="4"/>
    <n v="10"/>
    <n v="6"/>
    <n v="5"/>
    <n v="25"/>
    <s v="B"/>
    <m/>
    <s v="Liofilización"/>
    <s v="Foco Resplandor"/>
  </r>
  <r>
    <x v="19"/>
    <x v="19"/>
    <s v="Pinsir"/>
    <s v="Pinsir"/>
    <s v="0127A0"/>
    <s v="Kalos"/>
    <s v="Kanto"/>
    <s v="Bug"/>
    <s v="-"/>
    <s v="Basic"/>
    <s v="0127A0"/>
    <s v="-"/>
    <x v="2"/>
    <s v="-"/>
    <s v="-"/>
    <x v="1"/>
    <n v="500"/>
    <n v="65"/>
    <n v="125"/>
    <n v="100"/>
    <n v="55"/>
    <n v="70"/>
    <n v="85"/>
    <n v="4"/>
    <n v="8"/>
    <n v="8"/>
    <n v="5"/>
    <n v="25"/>
    <s v="B"/>
    <m/>
    <s v="Tijera X"/>
    <s v="Retribución"/>
  </r>
  <r>
    <x v="19"/>
    <x v="19"/>
    <s v="Pinsir (Mega Pinsir)"/>
    <s v="Mega-Pinsir"/>
    <s v="0127M0"/>
    <s v="Kalos"/>
    <s v="Kanto"/>
    <s v="Bug"/>
    <s v="Flying"/>
    <s v="Mega"/>
    <s v="0127A0"/>
    <s v="0127A0"/>
    <x v="3"/>
    <s v="Megastone"/>
    <s v="-"/>
    <x v="2"/>
    <n v="600"/>
    <n v="65"/>
    <n v="155"/>
    <n v="120"/>
    <n v="65"/>
    <n v="90"/>
    <n v="105"/>
    <n v="4"/>
    <n v="10"/>
    <n v="10"/>
    <n v="6"/>
    <n v="30"/>
    <s v="A"/>
    <s v="Piel Celeste"/>
    <s v="Tijera X"/>
    <s v="Retribución"/>
  </r>
  <r>
    <x v="19"/>
    <x v="19"/>
    <s v="Froakie"/>
    <s v="Froakie"/>
    <s v="0656A0"/>
    <s v="Kalos"/>
    <s v="Kalos"/>
    <s v="Water"/>
    <s v="-"/>
    <s v="Starter"/>
    <s v="0656A0"/>
    <s v="-"/>
    <x v="0"/>
    <s v="-"/>
    <s v="-"/>
    <x v="0"/>
    <n v="314"/>
    <n v="41"/>
    <n v="56"/>
    <n v="40"/>
    <n v="62"/>
    <n v="44"/>
    <n v="71"/>
    <n v="3"/>
    <n v="6"/>
    <n v="4"/>
    <n v="4"/>
    <n v="17"/>
    <s v="C-"/>
    <m/>
    <s v="Pistola Agua"/>
    <s v="Lengüetazo"/>
  </r>
  <r>
    <x v="19"/>
    <x v="19"/>
    <s v="Frogadier"/>
    <s v="Frogadier"/>
    <s v="0657A0"/>
    <s v="Kalos"/>
    <s v="Kalos"/>
    <s v="Water"/>
    <s v="-"/>
    <s v="Starter"/>
    <s v="0656A0"/>
    <s v="0656A0"/>
    <x v="1"/>
    <s v="Experience"/>
    <n v="3"/>
    <x v="0"/>
    <n v="405"/>
    <n v="54"/>
    <n v="63"/>
    <n v="52"/>
    <n v="83"/>
    <n v="56"/>
    <n v="97"/>
    <n v="3"/>
    <n v="6"/>
    <n v="4"/>
    <n v="6"/>
    <n v="19"/>
    <s v="C"/>
    <m/>
    <s v="Hidropulso"/>
    <s v="Ladrón"/>
  </r>
  <r>
    <x v="19"/>
    <x v="19"/>
    <s v="Greninja"/>
    <s v="Greninja"/>
    <s v="0658A0"/>
    <s v="Kalos"/>
    <s v="Kalos"/>
    <s v="Water"/>
    <s v="Dark"/>
    <s v="Starter"/>
    <s v="0656A0"/>
    <s v="0657A0"/>
    <x v="2"/>
    <s v="Experience"/>
    <n v="4"/>
    <x v="1"/>
    <n v="530"/>
    <n v="72"/>
    <n v="95"/>
    <n v="67"/>
    <n v="103"/>
    <n v="71"/>
    <n v="122"/>
    <n v="4"/>
    <n v="10"/>
    <n v="6"/>
    <n v="7"/>
    <n v="27"/>
    <s v="B+"/>
    <m/>
    <s v="Shuriken de Agua"/>
    <s v="Pulso Umbrío"/>
  </r>
  <r>
    <x v="19"/>
    <x v="19"/>
    <s v="Fletchling"/>
    <s v="Fletchling"/>
    <s v="0661A0"/>
    <s v="Kalos"/>
    <s v="Kalos"/>
    <s v="Normal"/>
    <s v="Flying"/>
    <s v="Basic"/>
    <s v="0661A0"/>
    <s v="-"/>
    <x v="0"/>
    <s v="-"/>
    <s v="-"/>
    <x v="4"/>
    <n v="278"/>
    <n v="45"/>
    <n v="50"/>
    <n v="43"/>
    <n v="40"/>
    <n v="38"/>
    <n v="62"/>
    <n v="3"/>
    <n v="4"/>
    <n v="4"/>
    <n v="4"/>
    <n v="15"/>
    <s v="D"/>
    <m/>
    <s v="Picotazo"/>
    <s v="Ascuas"/>
  </r>
  <r>
    <x v="19"/>
    <x v="19"/>
    <s v="Fletchinder"/>
    <s v="Fletchinder"/>
    <s v="0662A0"/>
    <s v="Kalos"/>
    <s v="Kalos"/>
    <s v="Fire"/>
    <s v="Flying"/>
    <s v="Basic"/>
    <s v="0661A0"/>
    <s v="0661A0"/>
    <x v="1"/>
    <s v="Experience"/>
    <n v="3"/>
    <x v="0"/>
    <n v="382"/>
    <n v="62"/>
    <n v="73"/>
    <n v="55"/>
    <n v="56"/>
    <n v="52"/>
    <n v="84"/>
    <n v="4"/>
    <n v="6"/>
    <n v="4"/>
    <n v="5"/>
    <n v="19"/>
    <s v="C"/>
    <m/>
    <s v="Golpe Aéreo"/>
    <s v="Nitrocarga"/>
  </r>
  <r>
    <x v="19"/>
    <x v="19"/>
    <s v="Talonflame"/>
    <s v="Talonflame"/>
    <s v="0663A0"/>
    <s v="Kalos"/>
    <s v="Kalos"/>
    <s v="Fire"/>
    <s v="Flying"/>
    <s v="Basic"/>
    <s v="0661A0"/>
    <s v="0662A0"/>
    <x v="2"/>
    <s v="Experience"/>
    <n v="4"/>
    <x v="1"/>
    <n v="499"/>
    <n v="78"/>
    <n v="81"/>
    <n v="71"/>
    <n v="74"/>
    <n v="69"/>
    <n v="126"/>
    <n v="5"/>
    <n v="8"/>
    <n v="6"/>
    <n v="7"/>
    <n v="26"/>
    <s v="B+"/>
    <m/>
    <s v="Pájaro Osado"/>
    <s v="Envite Ígneo"/>
  </r>
  <r>
    <x v="19"/>
    <x v="19"/>
    <s v="Espurr"/>
    <s v="Espurr"/>
    <s v="0677A0"/>
    <s v="Kalos"/>
    <s v="Kalos"/>
    <s v="Psychic"/>
    <s v="-"/>
    <s v="Basic"/>
    <s v="0677A0"/>
    <s v="-"/>
    <x v="0"/>
    <s v="-"/>
    <s v="-"/>
    <x v="0"/>
    <n v="355"/>
    <n v="62"/>
    <n v="48"/>
    <n v="54"/>
    <n v="63"/>
    <n v="60"/>
    <n v="68"/>
    <n v="4"/>
    <n v="6"/>
    <n v="4"/>
    <n v="4"/>
    <n v="18"/>
    <s v="C"/>
    <m/>
    <s v="Confusión"/>
    <s v="Rayo Carga"/>
  </r>
  <r>
    <x v="19"/>
    <x v="19"/>
    <s v="Meowstic (Male)"/>
    <s v="Meowstic"/>
    <s v="0678A0"/>
    <s v="Kalos"/>
    <s v="Kalos"/>
    <s v="Psychic"/>
    <s v="-"/>
    <s v="Basic"/>
    <s v="0677A0"/>
    <s v="0677A0"/>
    <x v="2"/>
    <s v="Experience"/>
    <n v="4"/>
    <x v="1"/>
    <n v="466"/>
    <n v="74"/>
    <n v="48"/>
    <n v="76"/>
    <n v="83"/>
    <n v="81"/>
    <n v="104"/>
    <n v="4"/>
    <n v="6"/>
    <n v="6"/>
    <n v="6"/>
    <n v="22"/>
    <s v="B-"/>
    <m/>
    <s v="Psíquico"/>
    <s v="Rayo"/>
  </r>
  <r>
    <x v="19"/>
    <x v="19"/>
    <s v="Honedge"/>
    <s v="Honedge"/>
    <s v="0679A0"/>
    <s v="Kalos"/>
    <s v="Kalos"/>
    <s v="Steel"/>
    <s v="Ghost"/>
    <s v="Basic"/>
    <s v="0679A0"/>
    <s v="-"/>
    <x v="0"/>
    <s v="-"/>
    <s v="-"/>
    <x v="0"/>
    <n v="325"/>
    <n v="45"/>
    <n v="80"/>
    <n v="100"/>
    <n v="35"/>
    <n v="37"/>
    <n v="28"/>
    <n v="3"/>
    <n v="6"/>
    <n v="6"/>
    <n v="2"/>
    <n v="17"/>
    <s v="C-"/>
    <s v="Cambio Táctico"/>
    <s v="Sombra Vil"/>
    <s v="Corte Furia"/>
  </r>
  <r>
    <x v="19"/>
    <x v="19"/>
    <s v="Doublade"/>
    <s v="Doublade"/>
    <s v="0680A0"/>
    <s v="Kalos"/>
    <s v="Kalos"/>
    <s v="Steel"/>
    <s v="Ghost"/>
    <s v="Basic"/>
    <s v="0679A0"/>
    <s v="0679A0"/>
    <x v="1"/>
    <s v="Experience"/>
    <n v="3"/>
    <x v="0"/>
    <n v="448"/>
    <n v="59"/>
    <n v="110"/>
    <n v="150"/>
    <n v="45"/>
    <n v="49"/>
    <n v="35"/>
    <n v="4"/>
    <n v="8"/>
    <n v="8"/>
    <n v="2"/>
    <n v="22"/>
    <s v="B-"/>
    <s v="Cambio Táctico"/>
    <s v="Garra Umbría"/>
    <s v="Giro Bola"/>
  </r>
  <r>
    <x v="19"/>
    <x v="19"/>
    <s v="Aegislash (Blade Form)"/>
    <s v="Aegislash"/>
    <s v="0681A0"/>
    <s v="Kalos"/>
    <s v="Kalos"/>
    <s v="Steel"/>
    <s v="Ghost"/>
    <s v="Basic"/>
    <s v="0679A0"/>
    <s v="0680A0"/>
    <x v="2"/>
    <s v="Experience"/>
    <n v="4"/>
    <x v="1"/>
    <n v="500"/>
    <n v="60"/>
    <n v="140"/>
    <n v="50"/>
    <n v="140"/>
    <n v="50"/>
    <n v="60"/>
    <n v="4"/>
    <n v="12"/>
    <n v="4"/>
    <n v="4"/>
    <n v="24"/>
    <s v="B"/>
    <s v="Cambio Táctico"/>
    <s v="Bola Sombra"/>
    <s v="Metaláser"/>
  </r>
  <r>
    <x v="19"/>
    <x v="19"/>
    <s v="Aegislash (Shield Form)"/>
    <s v="Aegislash"/>
    <s v="0681B0"/>
    <s v="Kalos"/>
    <s v="Kalos"/>
    <s v="Steel"/>
    <s v="Ghost"/>
    <s v="Basic"/>
    <s v="0679A0"/>
    <s v="0680A0"/>
    <x v="2"/>
    <s v="-"/>
    <s v="-"/>
    <x v="2"/>
    <n v="500"/>
    <n v="60"/>
    <n v="50"/>
    <n v="140"/>
    <n v="50"/>
    <n v="140"/>
    <n v="60"/>
    <n v="4"/>
    <n v="4"/>
    <n v="12"/>
    <n v="4"/>
    <n v="24"/>
    <s v="B"/>
    <s v="Cambio Táctico"/>
    <s v="Bola Sombra"/>
    <s v="Metaláser"/>
  </r>
  <r>
    <x v="19"/>
    <x v="19"/>
    <s v="Tyrunt"/>
    <s v="Tyrunt"/>
    <s v="0696A0"/>
    <s v="Kalos"/>
    <s v="Kalos"/>
    <s v="Rock"/>
    <s v="Dragon"/>
    <s v="Basic"/>
    <s v="0696A0"/>
    <s v="-"/>
    <x v="0"/>
    <s v="-"/>
    <s v="-"/>
    <x v="0"/>
    <n v="362"/>
    <n v="58"/>
    <n v="89"/>
    <n v="77"/>
    <n v="45"/>
    <n v="45"/>
    <n v="48"/>
    <n v="4"/>
    <n v="6"/>
    <n v="4"/>
    <n v="3"/>
    <n v="17"/>
    <s v="C-"/>
    <m/>
    <s v="Poder Pasado"/>
    <s v="Garra Dragón"/>
  </r>
  <r>
    <x v="19"/>
    <x v="19"/>
    <s v="Tyrantrum"/>
    <s v="Tyrantrum"/>
    <s v="0697A0"/>
    <s v="Kalos"/>
    <s v="Kalos"/>
    <s v="Rock"/>
    <s v="Dragon"/>
    <s v="Basic"/>
    <s v="0696A0"/>
    <s v="0696A0"/>
    <x v="2"/>
    <s v="Experience"/>
    <n v="5"/>
    <x v="1"/>
    <n v="521"/>
    <n v="82"/>
    <n v="121"/>
    <n v="119"/>
    <n v="69"/>
    <n v="59"/>
    <n v="71"/>
    <n v="5"/>
    <n v="10"/>
    <n v="8"/>
    <n v="4"/>
    <n v="27"/>
    <s v="B+"/>
    <m/>
    <s v="Testarazo"/>
    <s v="Enfado"/>
  </r>
  <r>
    <x v="20"/>
    <x v="20"/>
    <s v="Absol"/>
    <s v="Absol"/>
    <s v="0359A0"/>
    <s v="Kalos"/>
    <s v="Hoenn"/>
    <s v="Dark"/>
    <s v="-"/>
    <s v="Basic"/>
    <s v="0359A0"/>
    <s v="-"/>
    <x v="2"/>
    <s v="-"/>
    <s v="-"/>
    <x v="1"/>
    <n v="465"/>
    <n v="65"/>
    <n v="130"/>
    <n v="60"/>
    <n v="75"/>
    <n v="60"/>
    <n v="75"/>
    <n v="4"/>
    <n v="10"/>
    <n v="4"/>
    <n v="4"/>
    <n v="22"/>
    <s v="B-"/>
    <m/>
    <s v="Golpe Bajo"/>
    <s v="Cola Férrea"/>
  </r>
  <r>
    <x v="20"/>
    <x v="20"/>
    <s v="Absol (Mega Absol)"/>
    <s v="Mega-Absol"/>
    <s v="0359M0"/>
    <s v="Kalos"/>
    <s v="Hoenn"/>
    <s v="Dark"/>
    <s v="-"/>
    <s v="Mega"/>
    <s v="0359A0"/>
    <s v="0359A0"/>
    <x v="3"/>
    <s v="Megastone"/>
    <s v="-"/>
    <x v="2"/>
    <n v="565"/>
    <n v="65"/>
    <n v="150"/>
    <n v="60"/>
    <n v="115"/>
    <n v="60"/>
    <n v="115"/>
    <n v="4"/>
    <n v="12"/>
    <n v="4"/>
    <n v="6"/>
    <n v="26"/>
    <s v="B+"/>
    <m/>
    <s v="Golpe Bajo"/>
    <s v="Carantoña"/>
  </r>
  <r>
    <x v="20"/>
    <x v="20"/>
    <s v="Fennekin"/>
    <s v="Fennekin"/>
    <s v="0653A0"/>
    <s v="Kalos"/>
    <s v="Kalos"/>
    <s v="Fire"/>
    <s v="-"/>
    <s v="Starter"/>
    <s v="0653A0"/>
    <s v="-"/>
    <x v="0"/>
    <s v="-"/>
    <s v="-"/>
    <x v="0"/>
    <n v="307"/>
    <n v="40"/>
    <n v="45"/>
    <n v="40"/>
    <n v="62"/>
    <n v="60"/>
    <n v="60"/>
    <n v="3"/>
    <n v="6"/>
    <n v="4"/>
    <n v="4"/>
    <n v="17"/>
    <s v="C-"/>
    <m/>
    <s v="Ascuas"/>
    <s v="Psicorrayo"/>
  </r>
  <r>
    <x v="20"/>
    <x v="20"/>
    <s v="Braixen"/>
    <s v="Braixen"/>
    <s v="0654A0"/>
    <s v="Kalos"/>
    <s v="Kalos"/>
    <s v="Fire"/>
    <s v="-"/>
    <s v="Starter"/>
    <s v="0653A0"/>
    <s v="0653A0"/>
    <x v="1"/>
    <s v="Experience"/>
    <n v="3"/>
    <x v="0"/>
    <n v="409"/>
    <n v="59"/>
    <n v="59"/>
    <n v="58"/>
    <n v="90"/>
    <n v="70"/>
    <n v="73"/>
    <n v="4"/>
    <n v="8"/>
    <n v="4"/>
    <n v="4"/>
    <n v="20"/>
    <s v="C+"/>
    <m/>
    <s v="Giro Fuego"/>
    <s v="Poder Reserva"/>
  </r>
  <r>
    <x v="20"/>
    <x v="20"/>
    <s v="Delphox"/>
    <s v="Delphox"/>
    <s v="0655A0"/>
    <s v="Kalos"/>
    <s v="Kalos"/>
    <s v="Fire"/>
    <s v="Psychic"/>
    <s v="Starter"/>
    <s v="0653A0"/>
    <s v="0654A0"/>
    <x v="2"/>
    <s v="Experience"/>
    <n v="4"/>
    <x v="1"/>
    <n v="534"/>
    <n v="75"/>
    <n v="69"/>
    <n v="72"/>
    <n v="114"/>
    <n v="100"/>
    <n v="104"/>
    <n v="4"/>
    <n v="8"/>
    <n v="8"/>
    <n v="6"/>
    <n v="26"/>
    <s v="B+"/>
    <m/>
    <s v="Llama embrujada"/>
    <s v="Psicocarga"/>
  </r>
  <r>
    <x v="20"/>
    <x v="20"/>
    <s v="Pancham"/>
    <s v="Pancham"/>
    <s v="0674A0"/>
    <s v="Kalos"/>
    <s v="Kalos"/>
    <s v="Fighting"/>
    <s v="-"/>
    <s v="Basic"/>
    <s v="0674A0"/>
    <s v="-"/>
    <x v="0"/>
    <s v="-"/>
    <s v="-"/>
    <x v="0"/>
    <n v="348"/>
    <n v="67"/>
    <n v="82"/>
    <n v="62"/>
    <n v="46"/>
    <n v="48"/>
    <n v="43"/>
    <n v="4"/>
    <n v="6"/>
    <n v="4"/>
    <n v="3"/>
    <n v="17"/>
    <s v="C-"/>
    <m/>
    <s v="Empujón"/>
    <s v="Juego Sucio"/>
  </r>
  <r>
    <x v="20"/>
    <x v="20"/>
    <s v="Pangoro"/>
    <s v="Pangoro"/>
    <s v="0675A0"/>
    <s v="Kalos"/>
    <s v="Kalos"/>
    <s v="Fighting"/>
    <s v="Dark"/>
    <s v="Basic"/>
    <s v="0674A0"/>
    <s v="0674A0"/>
    <x v="2"/>
    <s v="Experience"/>
    <n v="4"/>
    <x v="1"/>
    <n v="495"/>
    <n v="95"/>
    <n v="124"/>
    <n v="78"/>
    <n v="69"/>
    <n v="71"/>
    <n v="58"/>
    <n v="6"/>
    <n v="10"/>
    <n v="6"/>
    <n v="4"/>
    <n v="26"/>
    <s v="B+"/>
    <m/>
    <s v="Machada"/>
    <s v="Vendetta"/>
  </r>
  <r>
    <x v="20"/>
    <x v="20"/>
    <s v="Amaura"/>
    <s v="Amaura"/>
    <s v="0698A0"/>
    <s v="Kalos"/>
    <s v="Kalos"/>
    <s v="Rock"/>
    <s v="Ice"/>
    <s v="Basic"/>
    <s v="0698A0"/>
    <s v="-"/>
    <x v="0"/>
    <s v="-"/>
    <s v="-"/>
    <x v="0"/>
    <n v="362"/>
    <n v="77"/>
    <n v="59"/>
    <n v="50"/>
    <n v="67"/>
    <n v="63"/>
    <n v="46"/>
    <n v="5"/>
    <n v="6"/>
    <n v="4"/>
    <n v="3"/>
    <n v="18"/>
    <s v="C"/>
    <m/>
    <s v="Viento Hielo"/>
    <s v="Poder Pasado"/>
  </r>
  <r>
    <x v="20"/>
    <x v="20"/>
    <s v="Aurorus"/>
    <s v="Aurorus"/>
    <s v="0699A0"/>
    <s v="Kalos"/>
    <s v="Kalos"/>
    <s v="Rock"/>
    <s v="Ice"/>
    <s v="Basic"/>
    <s v="0698A0"/>
    <s v="0698A0"/>
    <x v="2"/>
    <s v="Experience"/>
    <n v="5"/>
    <x v="1"/>
    <n v="521"/>
    <n v="123"/>
    <n v="77"/>
    <n v="72"/>
    <n v="99"/>
    <n v="92"/>
    <n v="58"/>
    <n v="9"/>
    <n v="8"/>
    <n v="6"/>
    <n v="4"/>
    <n v="27"/>
    <s v="B+"/>
    <m/>
    <s v="Liofilización"/>
    <s v="Tierra Viva"/>
  </r>
  <r>
    <x v="20"/>
    <x v="20"/>
    <s v="Eevee"/>
    <s v="Eevee"/>
    <s v="0133A0"/>
    <s v="Kalos"/>
    <s v="Kanto"/>
    <s v="Normal"/>
    <s v="-"/>
    <s v="Basic"/>
    <s v="0133A0"/>
    <s v="-"/>
    <x v="0"/>
    <s v="-"/>
    <s v="-"/>
    <x v="0"/>
    <n v="325"/>
    <n v="55"/>
    <n v="55"/>
    <n v="50"/>
    <n v="45"/>
    <n v="65"/>
    <n v="55"/>
    <n v="3"/>
    <n v="4"/>
    <n v="4"/>
    <n v="3"/>
    <n v="14"/>
    <s v="E"/>
    <m/>
    <s v="Placaje"/>
    <s v="Poder Reserva"/>
  </r>
  <r>
    <x v="20"/>
    <x v="20"/>
    <s v="Sylveon"/>
    <s v="Sylveon"/>
    <s v="0700A0"/>
    <s v="Kalos"/>
    <s v="Kalos"/>
    <s v="Fairy"/>
    <s v="-"/>
    <s v="Basic"/>
    <s v="0133A0"/>
    <s v="0133A0"/>
    <x v="2"/>
    <s v="Gift"/>
    <s v="-"/>
    <x v="1"/>
    <n v="525"/>
    <n v="95"/>
    <n v="65"/>
    <n v="65"/>
    <n v="110"/>
    <n v="130"/>
    <n v="60"/>
    <n v="6"/>
    <n v="8"/>
    <n v="8"/>
    <n v="4"/>
    <n v="26"/>
    <s v="B+"/>
    <m/>
    <s v="Fuerza Lunar"/>
    <s v="Hoja Mágica"/>
  </r>
  <r>
    <x v="20"/>
    <x v="20"/>
    <s v="Goomy"/>
    <s v="Goomy"/>
    <s v="0704A0"/>
    <s v="Kalos"/>
    <s v="Kalos"/>
    <s v="Dragon"/>
    <s v="-"/>
    <s v="Basic"/>
    <s v="0704A0"/>
    <s v="-"/>
    <x v="0"/>
    <s v="-"/>
    <s v="-"/>
    <x v="4"/>
    <n v="300"/>
    <n v="45"/>
    <n v="50"/>
    <n v="35"/>
    <n v="55"/>
    <n v="75"/>
    <n v="40"/>
    <n v="3"/>
    <n v="4"/>
    <n v="4"/>
    <n v="3"/>
    <n v="14"/>
    <s v="E"/>
    <m/>
    <s v="Dragoaliento"/>
    <s v="Absorber"/>
  </r>
  <r>
    <x v="20"/>
    <x v="20"/>
    <s v="Sliggoo"/>
    <s v="Sliggoo"/>
    <s v="0705A0"/>
    <s v="Kalos"/>
    <s v="Kalos"/>
    <s v="Dragon"/>
    <s v="-"/>
    <s v="Basic"/>
    <s v="0704A0"/>
    <s v="0704A0"/>
    <x v="1"/>
    <s v="Experience"/>
    <n v="4"/>
    <x v="1"/>
    <n v="452"/>
    <n v="68"/>
    <n v="75"/>
    <n v="53"/>
    <n v="83"/>
    <n v="113"/>
    <n v="60"/>
    <n v="4"/>
    <n v="8"/>
    <n v="6"/>
    <n v="4"/>
    <n v="22"/>
    <s v="B-"/>
    <m/>
    <s v="Pulso Dragón"/>
    <s v="Hidropulso"/>
  </r>
  <r>
    <x v="20"/>
    <x v="20"/>
    <s v="Goodra"/>
    <s v="Goodra"/>
    <s v="0706A0"/>
    <s v="Kalos"/>
    <s v="Kalos"/>
    <s v="Dragon"/>
    <s v="-"/>
    <s v="Basic"/>
    <s v="0704A0"/>
    <s v="0705A0"/>
    <x v="2"/>
    <s v="Experience"/>
    <n v="6"/>
    <x v="3"/>
    <n v="600"/>
    <n v="90"/>
    <n v="100"/>
    <n v="70"/>
    <n v="110"/>
    <n v="150"/>
    <n v="80"/>
    <n v="6"/>
    <n v="8"/>
    <n v="10"/>
    <n v="5"/>
    <n v="29"/>
    <s v="A-"/>
    <m/>
    <s v="Cometa Draco"/>
    <s v="Trueno"/>
  </r>
  <r>
    <x v="21"/>
    <x v="21"/>
    <s v="Houndour"/>
    <s v="Houndour"/>
    <s v="0228A0"/>
    <s v="Kalos"/>
    <s v="Johto"/>
    <s v="Dark"/>
    <s v="Fire"/>
    <s v="Basic"/>
    <s v="0228A0"/>
    <s v="-"/>
    <x v="0"/>
    <s v="-"/>
    <s v="-"/>
    <x v="0"/>
    <n v="330"/>
    <n v="45"/>
    <n v="60"/>
    <n v="30"/>
    <n v="80"/>
    <n v="50"/>
    <n v="65"/>
    <n v="3"/>
    <n v="6"/>
    <n v="4"/>
    <n v="4"/>
    <n v="17"/>
    <s v="C-"/>
    <m/>
    <s v="Ascuas"/>
    <s v="Polución"/>
  </r>
  <r>
    <x v="21"/>
    <x v="21"/>
    <s v="Houndoom"/>
    <s v="Houndoom"/>
    <s v="0229A0"/>
    <s v="Kalos"/>
    <s v="Johto"/>
    <s v="Dark"/>
    <s v="Fire"/>
    <s v="Basic"/>
    <s v="0228A0"/>
    <s v="0228A0"/>
    <x v="2"/>
    <s v="Experience"/>
    <n v="3"/>
    <x v="1"/>
    <n v="500"/>
    <n v="75"/>
    <n v="90"/>
    <n v="50"/>
    <n v="110"/>
    <n v="80"/>
    <n v="95"/>
    <n v="4"/>
    <n v="10"/>
    <n v="6"/>
    <n v="5"/>
    <n v="25"/>
    <s v="B"/>
    <m/>
    <s v="Llamarada"/>
    <s v="Triturar"/>
  </r>
  <r>
    <x v="21"/>
    <x v="21"/>
    <s v="Houndoom (Mega Houndoom)"/>
    <s v="Mega-Houndoom"/>
    <s v="0229M0"/>
    <s v="Kalos"/>
    <s v="Johto"/>
    <s v="Dark"/>
    <s v="Fire"/>
    <s v="Mega"/>
    <s v="0228A0"/>
    <s v="0229A0"/>
    <x v="3"/>
    <s v="Megastone"/>
    <s v="-"/>
    <x v="2"/>
    <n v="600"/>
    <n v="75"/>
    <n v="90"/>
    <n v="90"/>
    <n v="140"/>
    <n v="90"/>
    <n v="115"/>
    <n v="4"/>
    <n v="12"/>
    <n v="6"/>
    <n v="6"/>
    <n v="28"/>
    <s v="A-"/>
    <m/>
    <s v="Llamarada"/>
    <s v="Pulso Umbrío"/>
  </r>
  <r>
    <x v="21"/>
    <x v="21"/>
    <s v="Chespin"/>
    <s v="Chespin"/>
    <s v="0650A0"/>
    <s v="Kalos"/>
    <s v="Kalos"/>
    <s v="Grass"/>
    <s v="-"/>
    <s v="Starter"/>
    <s v="0650A0"/>
    <s v="-"/>
    <x v="0"/>
    <s v="-"/>
    <s v="-"/>
    <x v="0"/>
    <n v="313"/>
    <n v="56"/>
    <n v="61"/>
    <n v="65"/>
    <n v="48"/>
    <n v="45"/>
    <n v="38"/>
    <n v="3"/>
    <n v="6"/>
    <n v="4"/>
    <n v="3"/>
    <n v="16"/>
    <s v="C-"/>
    <m/>
    <m/>
    <m/>
  </r>
  <r>
    <x v="21"/>
    <x v="21"/>
    <s v="Quilladin"/>
    <s v="Quilladin"/>
    <s v="0651A0"/>
    <s v="Kalos"/>
    <s v="Kalos"/>
    <s v="Grass"/>
    <s v="-"/>
    <s v="Starter"/>
    <s v="0650A0"/>
    <s v="0650A0"/>
    <x v="1"/>
    <s v="Experience"/>
    <n v="3"/>
    <x v="0"/>
    <n v="405"/>
    <n v="61"/>
    <n v="78"/>
    <n v="95"/>
    <n v="56"/>
    <n v="58"/>
    <n v="57"/>
    <n v="4"/>
    <n v="6"/>
    <n v="6"/>
    <n v="4"/>
    <n v="20"/>
    <s v="C+"/>
    <m/>
    <m/>
    <m/>
  </r>
  <r>
    <x v="21"/>
    <x v="21"/>
    <s v="Chesnaught"/>
    <s v="Chesnaught"/>
    <s v="0652A0"/>
    <s v="Kalos"/>
    <s v="Kalos"/>
    <s v="Grass"/>
    <s v="Fighting"/>
    <s v="Starter"/>
    <s v="0650A0"/>
    <s v="0651A0"/>
    <x v="2"/>
    <s v="Experience"/>
    <n v="4"/>
    <x v="1"/>
    <n v="530"/>
    <n v="88"/>
    <n v="107"/>
    <n v="122"/>
    <n v="74"/>
    <n v="75"/>
    <n v="64"/>
    <n v="5"/>
    <n v="8"/>
    <n v="8"/>
    <n v="4"/>
    <n v="25"/>
    <s v="B"/>
    <m/>
    <s v="Mazazo"/>
    <s v="Puño Drenaje"/>
  </r>
  <r>
    <x v="21"/>
    <x v="21"/>
    <s v="Flabébé"/>
    <s v="Flabébé"/>
    <s v="0669A0"/>
    <s v="Kalos"/>
    <s v="Kalos"/>
    <s v="Fairy"/>
    <s v="-"/>
    <s v="Basic"/>
    <s v="0669A0"/>
    <s v="-"/>
    <x v="0"/>
    <s v="-"/>
    <s v="-"/>
    <x v="0"/>
    <n v="303"/>
    <n v="44"/>
    <n v="38"/>
    <n v="39"/>
    <n v="61"/>
    <n v="79"/>
    <n v="42"/>
    <n v="3"/>
    <n v="6"/>
    <n v="4"/>
    <n v="3"/>
    <n v="16"/>
    <s v="C-"/>
    <m/>
    <m/>
    <m/>
  </r>
  <r>
    <x v="21"/>
    <x v="21"/>
    <s v="Floette"/>
    <s v="Floette"/>
    <s v="0670A0"/>
    <s v="Kalos"/>
    <s v="Kalos"/>
    <s v="Fairy"/>
    <s v="-"/>
    <s v="Basic"/>
    <s v="0669A0"/>
    <s v="0669A0"/>
    <x v="1"/>
    <s v="Experience"/>
    <n v="3"/>
    <x v="0"/>
    <n v="371"/>
    <n v="54"/>
    <n v="45"/>
    <n v="47"/>
    <n v="75"/>
    <n v="98"/>
    <n v="52"/>
    <n v="3"/>
    <n v="6"/>
    <n v="6"/>
    <n v="3"/>
    <n v="18"/>
    <s v="C"/>
    <m/>
    <m/>
    <m/>
  </r>
  <r>
    <x v="21"/>
    <x v="21"/>
    <s v="Florges"/>
    <s v="Florges"/>
    <s v="0671A0"/>
    <s v="Kalos"/>
    <s v="Kalos"/>
    <s v="Fairy"/>
    <s v="-"/>
    <s v="Basic"/>
    <s v="0669A0"/>
    <s v="0670A0"/>
    <x v="2"/>
    <s v="Experience"/>
    <n v="5"/>
    <x v="3"/>
    <n v="552"/>
    <n v="78"/>
    <n v="65"/>
    <n v="68"/>
    <n v="112"/>
    <n v="154"/>
    <n v="75"/>
    <n v="5"/>
    <n v="8"/>
    <n v="10"/>
    <n v="4"/>
    <n v="27"/>
    <s v="B+"/>
    <m/>
    <s v="Fuerza Lunar"/>
    <s v="Psíquico"/>
  </r>
  <r>
    <x v="21"/>
    <x v="21"/>
    <s v="Furfrou"/>
    <s v="Furfrou"/>
    <s v="0676A0"/>
    <s v="Kalos"/>
    <s v="Kalos"/>
    <s v="Normal"/>
    <s v="-"/>
    <s v="Basic"/>
    <s v="0676A0"/>
    <s v="-"/>
    <x v="2"/>
    <s v="-"/>
    <s v="-"/>
    <x v="1"/>
    <n v="472"/>
    <n v="75"/>
    <n v="80"/>
    <n v="60"/>
    <n v="65"/>
    <n v="90"/>
    <n v="102"/>
    <n v="4"/>
    <n v="6"/>
    <n v="6"/>
    <n v="6"/>
    <n v="22"/>
    <s v="B-"/>
    <m/>
    <s v="Retribución"/>
    <s v="Golpe Bajo"/>
  </r>
  <r>
    <x v="21"/>
    <x v="21"/>
    <s v="Bergmite"/>
    <s v="Bergmite"/>
    <s v="0712A0"/>
    <s v="Kalos"/>
    <s v="Kalos"/>
    <s v="Ice"/>
    <s v="-"/>
    <s v="Basic"/>
    <s v="0712A0"/>
    <s v="-"/>
    <x v="0"/>
    <s v="-"/>
    <s v="-"/>
    <x v="0"/>
    <n v="304"/>
    <n v="55"/>
    <n v="69"/>
    <n v="85"/>
    <n v="32"/>
    <n v="35"/>
    <n v="28"/>
    <n v="3"/>
    <n v="6"/>
    <n v="6"/>
    <n v="2"/>
    <n v="17"/>
    <s v="C-"/>
    <m/>
    <m/>
    <m/>
  </r>
  <r>
    <x v="21"/>
    <x v="21"/>
    <s v="Avalugg"/>
    <s v="Avalugg"/>
    <s v="0713A0"/>
    <s v="Kalos"/>
    <s v="Kalos"/>
    <s v="Ice"/>
    <s v="-"/>
    <s v="Basic"/>
    <s v="0712A0"/>
    <s v="0712A0"/>
    <x v="2"/>
    <s v="Experience"/>
    <n v="5"/>
    <x v="1"/>
    <n v="514"/>
    <n v="95"/>
    <n v="117"/>
    <n v="184"/>
    <n v="44"/>
    <n v="46"/>
    <n v="28"/>
    <n v="6"/>
    <n v="8"/>
    <n v="12"/>
    <n v="2"/>
    <n v="28"/>
    <s v="A-"/>
    <m/>
    <s v="Alud"/>
    <s v="Terremoto"/>
  </r>
  <r>
    <x v="21"/>
    <x v="21"/>
    <s v="Noibat"/>
    <s v="Noibat"/>
    <s v="0714A0"/>
    <s v="Kalos"/>
    <s v="Kalos"/>
    <s v="Flying"/>
    <s v="Dragon"/>
    <s v="Basic"/>
    <s v="0714A0"/>
    <s v="-"/>
    <x v="0"/>
    <s v="-"/>
    <s v="-"/>
    <x v="4"/>
    <n v="245"/>
    <n v="40"/>
    <n v="30"/>
    <n v="35"/>
    <n v="45"/>
    <n v="40"/>
    <n v="55"/>
    <n v="3"/>
    <n v="4"/>
    <n v="4"/>
    <n v="3"/>
    <n v="14"/>
    <s v="E"/>
    <m/>
    <m/>
    <m/>
  </r>
  <r>
    <x v="21"/>
    <x v="21"/>
    <s v="Noivern"/>
    <s v="Noivern"/>
    <s v="0715A0"/>
    <s v="Kalos"/>
    <s v="Kalos"/>
    <s v="Flying"/>
    <s v="Dragon"/>
    <s v="Basic"/>
    <s v="0714A0"/>
    <s v="0714A0"/>
    <x v="2"/>
    <s v="Experience"/>
    <n v="5"/>
    <x v="1"/>
    <n v="535"/>
    <n v="85"/>
    <n v="70"/>
    <n v="80"/>
    <n v="97"/>
    <n v="80"/>
    <n v="123"/>
    <n v="5"/>
    <n v="8"/>
    <n v="6"/>
    <n v="7"/>
    <n v="26"/>
    <s v="B+"/>
    <m/>
    <s v="Pulso Dragón"/>
    <s v="Vendaval"/>
  </r>
  <r>
    <x v="22"/>
    <x v="22"/>
    <s v="Mawile"/>
    <s v="Mawile"/>
    <s v="0303A0"/>
    <s v="Kalos"/>
    <s v="Hoenn"/>
    <s v="Steel"/>
    <s v="Fairy"/>
    <s v="Basic"/>
    <s v="0303A0"/>
    <s v="-"/>
    <x v="2"/>
    <s v="-"/>
    <s v="-"/>
    <x v="0"/>
    <n v="380"/>
    <n v="50"/>
    <n v="85"/>
    <n v="85"/>
    <n v="55"/>
    <n v="55"/>
    <n v="50"/>
    <n v="3"/>
    <n v="6"/>
    <n v="6"/>
    <n v="3"/>
    <n v="18"/>
    <s v="C"/>
    <m/>
    <s v="Carantoña"/>
    <s v="Golpe Bajo"/>
  </r>
  <r>
    <x v="22"/>
    <x v="22"/>
    <s v="Mawile (Mega Mawile)"/>
    <s v="Mega-Mawile"/>
    <s v="0303M0"/>
    <s v="Kalos"/>
    <s v="Hoenn"/>
    <s v="Steel"/>
    <s v="Fairy"/>
    <s v="Mega"/>
    <s v="0303A0"/>
    <s v="0303A0"/>
    <x v="3"/>
    <s v="Megastone"/>
    <s v="-"/>
    <x v="2"/>
    <n v="480"/>
    <n v="50"/>
    <n v="105"/>
    <n v="125"/>
    <n v="55"/>
    <n v="95"/>
    <n v="50"/>
    <n v="3"/>
    <n v="8"/>
    <n v="10"/>
    <n v="3"/>
    <n v="24"/>
    <s v="B"/>
    <m/>
    <s v="Carantoña"/>
    <s v="Golpe Bajo"/>
  </r>
  <r>
    <x v="22"/>
    <x v="22"/>
    <s v="Bunnelby"/>
    <s v="Bunnelby"/>
    <s v="0659A0"/>
    <s v="Kalos"/>
    <s v="Kalos"/>
    <s v="Normal"/>
    <s v="-"/>
    <s v="Basic"/>
    <s v="0659A0"/>
    <s v="-"/>
    <x v="0"/>
    <s v="-"/>
    <s v="-"/>
    <x v="4"/>
    <n v="237"/>
    <n v="38"/>
    <n v="36"/>
    <n v="38"/>
    <n v="32"/>
    <n v="36"/>
    <n v="57"/>
    <n v="3"/>
    <n v="4"/>
    <n v="4"/>
    <n v="4"/>
    <n v="15"/>
    <s v="D"/>
    <m/>
    <s v="Placaje"/>
    <s v="Bofetón Lodo"/>
  </r>
  <r>
    <x v="22"/>
    <x v="22"/>
    <s v="Diggersby"/>
    <s v="Diggersby"/>
    <s v="0660A0"/>
    <s v="Kalos"/>
    <s v="Kalos"/>
    <s v="Normal"/>
    <s v="Ground"/>
    <s v="Basic"/>
    <s v="0659A0"/>
    <s v="0659A0"/>
    <x v="2"/>
    <s v="Experience"/>
    <n v="3"/>
    <x v="0"/>
    <n v="423"/>
    <n v="85"/>
    <n v="56"/>
    <n v="77"/>
    <n v="50"/>
    <n v="77"/>
    <n v="78"/>
    <n v="5"/>
    <n v="6"/>
    <n v="6"/>
    <n v="5"/>
    <n v="22"/>
    <s v="B-"/>
    <m/>
    <s v="Retribución"/>
    <s v="Terremoto"/>
  </r>
  <r>
    <x v="22"/>
    <x v="22"/>
    <s v="Skiddo"/>
    <s v="Skiddo"/>
    <s v="0672A0"/>
    <s v="Kalos"/>
    <s v="Kalos"/>
    <s v="Grass"/>
    <s v="-"/>
    <s v="Basic"/>
    <s v="0672A0"/>
    <s v="-"/>
    <x v="0"/>
    <s v="-"/>
    <s v="-"/>
    <x v="0"/>
    <n v="350"/>
    <n v="66"/>
    <n v="65"/>
    <n v="48"/>
    <n v="62"/>
    <n v="57"/>
    <n v="52"/>
    <n v="4"/>
    <n v="6"/>
    <n v="4"/>
    <n v="3"/>
    <n v="17"/>
    <s v="C-"/>
    <m/>
    <s v="Látigo Cepa"/>
    <s v="Placaje"/>
  </r>
  <r>
    <x v="22"/>
    <x v="22"/>
    <s v="Gogoat"/>
    <s v="Gogoat"/>
    <s v="0673A0"/>
    <s v="Kalos"/>
    <s v="Kalos"/>
    <s v="Grass"/>
    <s v="-"/>
    <s v="Basic"/>
    <s v="0672A0"/>
    <s v="0672A0"/>
    <x v="2"/>
    <s v="Experience"/>
    <n v="4"/>
    <x v="1"/>
    <n v="531"/>
    <n v="123"/>
    <n v="100"/>
    <n v="62"/>
    <n v="97"/>
    <n v="81"/>
    <n v="68"/>
    <n v="8"/>
    <n v="8"/>
    <n v="6"/>
    <n v="4"/>
    <n v="26"/>
    <s v="B+"/>
    <m/>
    <s v="Asta Drenaje"/>
    <s v="Avalancha"/>
  </r>
  <r>
    <x v="22"/>
    <x v="22"/>
    <s v="Inkay"/>
    <s v="Inkay"/>
    <s v="0686A0"/>
    <s v="Kalos"/>
    <s v="Kalos"/>
    <s v="Dark"/>
    <s v="Psychic"/>
    <s v="Basic"/>
    <s v="0686A0"/>
    <s v="-"/>
    <x v="0"/>
    <s v="-"/>
    <s v="-"/>
    <x v="0"/>
    <n v="288"/>
    <n v="53"/>
    <n v="54"/>
    <n v="53"/>
    <n v="37"/>
    <n v="46"/>
    <n v="45"/>
    <n v="3"/>
    <n v="4"/>
    <n v="4"/>
    <n v="3"/>
    <n v="14"/>
    <s v="E"/>
    <m/>
    <s v="Psicorrayo"/>
    <s v="Ladrón"/>
  </r>
  <r>
    <x v="22"/>
    <x v="22"/>
    <s v="Malamar"/>
    <s v="Malamar"/>
    <s v="0687A0"/>
    <s v="Kalos"/>
    <s v="Kalos"/>
    <s v="Dark"/>
    <s v="Psychic"/>
    <s v="Basic"/>
    <s v="0686A0"/>
    <s v="0686A0"/>
    <x v="2"/>
    <s v="Experience"/>
    <n v="4"/>
    <x v="1"/>
    <n v="482"/>
    <n v="86"/>
    <n v="92"/>
    <n v="88"/>
    <n v="68"/>
    <n v="75"/>
    <n v="73"/>
    <n v="5"/>
    <n v="8"/>
    <n v="6"/>
    <n v="4"/>
    <n v="23"/>
    <s v="B-"/>
    <m/>
    <s v="Psicocorte"/>
    <s v="Fuerza Bruta"/>
  </r>
  <r>
    <x v="22"/>
    <x v="22"/>
    <s v="Skrelp"/>
    <s v="Skrelp"/>
    <s v="0690A0"/>
    <s v="Kalos"/>
    <s v="Kalos"/>
    <s v="Poison"/>
    <s v="Water"/>
    <s v="Basic"/>
    <s v="0690A0"/>
    <s v="-"/>
    <x v="0"/>
    <s v="-"/>
    <s v="-"/>
    <x v="0"/>
    <n v="320"/>
    <n v="50"/>
    <n v="60"/>
    <n v="60"/>
    <n v="60"/>
    <n v="60"/>
    <n v="30"/>
    <n v="3"/>
    <n v="6"/>
    <n v="4"/>
    <n v="2"/>
    <n v="15"/>
    <s v="D"/>
    <m/>
    <s v="Pistola Agua"/>
    <s v="Ácido"/>
  </r>
  <r>
    <x v="22"/>
    <x v="22"/>
    <s v="Dragalge"/>
    <s v="Dragalge"/>
    <s v="0691A0"/>
    <s v="Kalos"/>
    <s v="Kalos"/>
    <s v="Poison"/>
    <s v="Dragon"/>
    <s v="Basic"/>
    <s v="0690A0"/>
    <s v="0690A0"/>
    <x v="2"/>
    <s v="Experience"/>
    <n v="5"/>
    <x v="1"/>
    <n v="494"/>
    <n v="65"/>
    <n v="75"/>
    <n v="90"/>
    <n v="97"/>
    <n v="123"/>
    <n v="44"/>
    <n v="4"/>
    <n v="8"/>
    <n v="10"/>
    <n v="3"/>
    <n v="25"/>
    <s v="B"/>
    <m/>
    <s v="Pulso Dragón"/>
    <s v="Onda Tóxica"/>
  </r>
  <r>
    <x v="22"/>
    <x v="22"/>
    <s v="Helioptile"/>
    <s v="Helioptile"/>
    <s v="0694A0"/>
    <s v="Kalos"/>
    <s v="Kalos"/>
    <s v="Electric"/>
    <s v="Normal"/>
    <s v="Basic"/>
    <s v="0694A0"/>
    <s v="-"/>
    <x v="0"/>
    <s v="-"/>
    <s v="-"/>
    <x v="0"/>
    <n v="289"/>
    <n v="44"/>
    <n v="38"/>
    <n v="33"/>
    <n v="61"/>
    <n v="43"/>
    <n v="70"/>
    <n v="3"/>
    <n v="6"/>
    <n v="4"/>
    <n v="4"/>
    <n v="17"/>
    <s v="C-"/>
    <m/>
    <s v="Destructor"/>
    <s v="Impactrueno"/>
  </r>
  <r>
    <x v="22"/>
    <x v="22"/>
    <s v="Heliolisk"/>
    <s v="Heliolisk"/>
    <s v="0695A0"/>
    <s v="Kalos"/>
    <s v="Kalos"/>
    <s v="Electric"/>
    <s v="Normal"/>
    <s v="Basic"/>
    <s v="0694A0"/>
    <s v="0694A0"/>
    <x v="2"/>
    <s v="Experience"/>
    <n v="4"/>
    <x v="1"/>
    <n v="481"/>
    <n v="62"/>
    <n v="55"/>
    <n v="52"/>
    <n v="109"/>
    <n v="94"/>
    <n v="109"/>
    <n v="4"/>
    <n v="8"/>
    <n v="6"/>
    <n v="6"/>
    <n v="24"/>
    <s v="B"/>
    <m/>
    <s v="Rayo"/>
    <s v="Surf"/>
  </r>
  <r>
    <x v="23"/>
    <x v="23"/>
    <s v="Pichu"/>
    <s v="Pichu"/>
    <s v="0172A0"/>
    <s v="Alola"/>
    <s v="Johto"/>
    <s v="Electric"/>
    <s v="-"/>
    <s v="Basic"/>
    <s v="0172A0"/>
    <s v="-"/>
    <x v="0"/>
    <s v="-"/>
    <s v="-"/>
    <x v="4"/>
    <n v="205"/>
    <n v="20"/>
    <n v="40"/>
    <n v="15"/>
    <n v="35"/>
    <n v="35"/>
    <n v="60"/>
    <n v="2"/>
    <n v="4"/>
    <n v="4"/>
    <n v="4"/>
    <n v="14"/>
    <s v="E"/>
    <m/>
    <m/>
    <m/>
  </r>
  <r>
    <x v="23"/>
    <x v="23"/>
    <s v="Pikachu"/>
    <s v="Pikachu"/>
    <s v="0025A0"/>
    <s v="Alola"/>
    <s v="Kanto"/>
    <s v="Electric"/>
    <s v="-"/>
    <s v="Basic"/>
    <s v="0172A0"/>
    <s v="0172A0"/>
    <x v="1"/>
    <s v="Experience"/>
    <n v="3"/>
    <x v="0"/>
    <n v="320"/>
    <n v="35"/>
    <n v="55"/>
    <n v="40"/>
    <n v="50"/>
    <n v="50"/>
    <n v="90"/>
    <n v="2"/>
    <n v="6"/>
    <n v="4"/>
    <n v="5"/>
    <n v="17"/>
    <s v="C-"/>
    <m/>
    <m/>
    <m/>
  </r>
  <r>
    <x v="23"/>
    <x v="23"/>
    <s v="Raichu (Alolan Form)"/>
    <s v="Raichu"/>
    <s v="0026L0"/>
    <s v="Alola"/>
    <s v="Alola"/>
    <s v="Electric"/>
    <s v="Psychic"/>
    <s v="Basic"/>
    <s v="0172A0"/>
    <s v="0025A0"/>
    <x v="2"/>
    <s v="Stone"/>
    <s v="-"/>
    <x v="1"/>
    <n v="485"/>
    <n v="60"/>
    <n v="85"/>
    <n v="50"/>
    <n v="95"/>
    <n v="85"/>
    <n v="110"/>
    <n v="4"/>
    <n v="8"/>
    <n v="6"/>
    <n v="6"/>
    <n v="24"/>
    <s v="B"/>
    <m/>
    <s v="Rayo"/>
    <s v="Psíquico"/>
  </r>
  <r>
    <x v="23"/>
    <x v="23"/>
    <s v="Eevee"/>
    <s v="Eevee"/>
    <s v="0133A0"/>
    <s v="Alola"/>
    <s v="Kanto"/>
    <s v="Normal"/>
    <s v="-"/>
    <s v="Basic"/>
    <s v="0133A0"/>
    <s v="-"/>
    <x v="0"/>
    <s v="-"/>
    <s v="-"/>
    <x v="0"/>
    <n v="325"/>
    <n v="55"/>
    <n v="55"/>
    <n v="50"/>
    <n v="45"/>
    <n v="65"/>
    <n v="55"/>
    <n v="3"/>
    <n v="4"/>
    <n v="4"/>
    <n v="3"/>
    <n v="14"/>
    <s v="E"/>
    <m/>
    <s v="Rapidez"/>
    <s v="Mordisco"/>
  </r>
  <r>
    <x v="23"/>
    <x v="23"/>
    <s v="Vaporeon"/>
    <s v="Vaporeon"/>
    <s v="0134A0"/>
    <s v="Alola"/>
    <s v="Kanto"/>
    <s v="Water"/>
    <s v="-"/>
    <s v="Basic"/>
    <s v="0133A0"/>
    <s v="0133A0"/>
    <x v="2"/>
    <s v="Stone"/>
    <s v="-"/>
    <x v="1"/>
    <n v="525"/>
    <n v="130"/>
    <n v="65"/>
    <n v="60"/>
    <n v="110"/>
    <n v="95"/>
    <n v="65"/>
    <n v="9"/>
    <n v="8"/>
    <n v="6"/>
    <n v="4"/>
    <n v="27"/>
    <s v="B+"/>
    <m/>
    <s v="Rayo Burbuja"/>
    <s v="Viento Hielo"/>
  </r>
  <r>
    <x v="23"/>
    <x v="23"/>
    <s v="Rowlet"/>
    <s v="Rowlet"/>
    <s v="0722A0"/>
    <s v="Alola"/>
    <s v="Alola"/>
    <s v="Grass"/>
    <s v="Flying"/>
    <s v="Starter"/>
    <s v="0722A0"/>
    <s v="-"/>
    <x v="0"/>
    <s v="-"/>
    <s v="-"/>
    <x v="0"/>
    <n v="320"/>
    <n v="68"/>
    <n v="55"/>
    <n v="55"/>
    <n v="50"/>
    <n v="50"/>
    <n v="42"/>
    <n v="4"/>
    <n v="4"/>
    <n v="4"/>
    <n v="3"/>
    <n v="15"/>
    <s v="D"/>
    <m/>
    <m/>
    <m/>
  </r>
  <r>
    <x v="23"/>
    <x v="23"/>
    <s v="Dartrix"/>
    <s v="Dartrix"/>
    <s v="0723A0"/>
    <s v="Alola"/>
    <s v="Alola"/>
    <s v="Grass"/>
    <s v="Flying"/>
    <s v="Starter"/>
    <s v="0722A0"/>
    <s v="0722A0"/>
    <x v="1"/>
    <s v="Experience"/>
    <n v="3"/>
    <x v="0"/>
    <n v="420"/>
    <n v="78"/>
    <n v="75"/>
    <n v="75"/>
    <n v="70"/>
    <n v="70"/>
    <n v="52"/>
    <n v="5"/>
    <n v="6"/>
    <n v="6"/>
    <n v="3"/>
    <n v="20"/>
    <s v="C+"/>
    <m/>
    <m/>
    <m/>
  </r>
  <r>
    <x v="23"/>
    <x v="23"/>
    <s v="Decidueye"/>
    <s v="Decidueye"/>
    <s v="0724A0"/>
    <s v="Alola"/>
    <s v="Alola"/>
    <s v="Grass"/>
    <s v="Ghost"/>
    <s v="Starter"/>
    <s v="0722A0"/>
    <s v="0723A0"/>
    <x v="2"/>
    <s v="Experience"/>
    <n v="4"/>
    <x v="1"/>
    <n v="530"/>
    <n v="78"/>
    <n v="107"/>
    <n v="75"/>
    <n v="100"/>
    <n v="100"/>
    <n v="70"/>
    <n v="5"/>
    <n v="10"/>
    <n v="8"/>
    <n v="4"/>
    <n v="27"/>
    <s v="B+"/>
    <m/>
    <s v="Puntada Sombría"/>
    <s v="Hoja Aguda"/>
  </r>
  <r>
    <x v="23"/>
    <x v="23"/>
    <s v="Crabrawler"/>
    <s v="Crabrawler"/>
    <s v="0739A0"/>
    <s v="Alola"/>
    <s v="Alola"/>
    <s v="Fighting"/>
    <s v="-"/>
    <s v="Basic"/>
    <s v="0739A0"/>
    <s v="-"/>
    <x v="0"/>
    <s v="-"/>
    <s v="-"/>
    <x v="0"/>
    <n v="338"/>
    <n v="47"/>
    <n v="82"/>
    <n v="57"/>
    <n v="42"/>
    <n v="47"/>
    <n v="63"/>
    <n v="3"/>
    <n v="6"/>
    <n v="4"/>
    <n v="4"/>
    <n v="17"/>
    <s v="C-"/>
    <m/>
    <m/>
    <m/>
  </r>
  <r>
    <x v="23"/>
    <x v="23"/>
    <s v="Crabominable"/>
    <s v="Crabominable"/>
    <s v="0740A0"/>
    <s v="Alola"/>
    <s v="Alola"/>
    <s v="Fighting"/>
    <s v="Ice"/>
    <s v="Basic"/>
    <s v="0739A0"/>
    <s v="0739A0"/>
    <x v="2"/>
    <s v="Experience"/>
    <n v="4"/>
    <x v="1"/>
    <n v="478"/>
    <n v="97"/>
    <n v="132"/>
    <n v="77"/>
    <n v="62"/>
    <n v="67"/>
    <n v="43"/>
    <n v="6"/>
    <n v="10"/>
    <n v="6"/>
    <n v="3"/>
    <n v="25"/>
    <s v="B"/>
    <m/>
    <s v="Martillo Hielo"/>
    <s v="Puño Drenaje"/>
  </r>
  <r>
    <x v="23"/>
    <x v="23"/>
    <s v="Salandit"/>
    <s v="Salandit"/>
    <s v="0757A0"/>
    <s v="Alola"/>
    <s v="Alola"/>
    <s v="Poison"/>
    <s v="Fire"/>
    <s v="Basic"/>
    <s v="0757A0"/>
    <s v="-"/>
    <x v="0"/>
    <s v="-"/>
    <s v="-"/>
    <x v="0"/>
    <n v="320"/>
    <n v="48"/>
    <n v="44"/>
    <n v="40"/>
    <n v="71"/>
    <n v="40"/>
    <n v="77"/>
    <n v="3"/>
    <n v="6"/>
    <n v="4"/>
    <n v="5"/>
    <n v="18"/>
    <s v="C"/>
    <m/>
    <m/>
    <m/>
  </r>
  <r>
    <x v="23"/>
    <x v="23"/>
    <s v="Salazzle"/>
    <s v="Salazzle"/>
    <s v="0758A0"/>
    <s v="Alola"/>
    <s v="Alola"/>
    <s v="Poison"/>
    <s v="Fire"/>
    <s v="Basic"/>
    <s v="0757A0"/>
    <s v="0757A0"/>
    <x v="2"/>
    <s v="Experience"/>
    <n v="4"/>
    <x v="1"/>
    <n v="480"/>
    <n v="68"/>
    <n v="64"/>
    <n v="60"/>
    <n v="111"/>
    <n v="60"/>
    <n v="117"/>
    <n v="4"/>
    <n v="8"/>
    <n v="4"/>
    <n v="7"/>
    <n v="23"/>
    <s v="B-"/>
    <m/>
    <s v="Látigo Ígneo"/>
    <s v="Colmillo Veneno"/>
  </r>
  <r>
    <x v="23"/>
    <x v="23"/>
    <s v="Komala"/>
    <s v="Komala"/>
    <s v="0775A0"/>
    <s v="Alola"/>
    <s v="Alola"/>
    <s v="Normal"/>
    <s v="-"/>
    <s v="Basic"/>
    <s v="0775A0"/>
    <s v="-"/>
    <x v="2"/>
    <s v="-"/>
    <s v="-"/>
    <x v="1"/>
    <n v="480"/>
    <n v="65"/>
    <n v="115"/>
    <n v="65"/>
    <n v="75"/>
    <n v="95"/>
    <n v="65"/>
    <n v="4"/>
    <n v="8"/>
    <n v="6"/>
    <n v="4"/>
    <n v="22"/>
    <s v="B-"/>
    <m/>
    <s v="Retribución"/>
    <s v="Golpe Bajo"/>
  </r>
  <r>
    <x v="24"/>
    <x v="24"/>
    <s v="Sandshrew (Alolan Form)"/>
    <s v="Sandshrew"/>
    <s v="0027L0"/>
    <s v="Alola"/>
    <s v="Alola"/>
    <s v="Ice"/>
    <s v="Steel"/>
    <s v="Basic"/>
    <s v="0027A0"/>
    <s v="-"/>
    <x v="0"/>
    <s v="-"/>
    <s v="-"/>
    <x v="0"/>
    <n v="300"/>
    <n v="50"/>
    <n v="75"/>
    <n v="90"/>
    <n v="10"/>
    <n v="35"/>
    <n v="40"/>
    <n v="3"/>
    <n v="6"/>
    <n v="6"/>
    <n v="3"/>
    <n v="18"/>
    <s v="C"/>
    <m/>
    <m/>
    <m/>
  </r>
  <r>
    <x v="24"/>
    <x v="24"/>
    <s v="Sandslash (Alolan Form)"/>
    <s v="Sandslash"/>
    <s v="0028L0"/>
    <s v="Alola"/>
    <s v="Alola"/>
    <s v="Ice"/>
    <s v="Steel"/>
    <s v="Basic"/>
    <s v="0027A0"/>
    <s v="0027L0"/>
    <x v="2"/>
    <s v="Experience"/>
    <n v="3"/>
    <x v="1"/>
    <n v="450"/>
    <n v="75"/>
    <n v="100"/>
    <n v="120"/>
    <n v="25"/>
    <n v="65"/>
    <n v="65"/>
    <n v="4"/>
    <n v="8"/>
    <n v="8"/>
    <n v="4"/>
    <n v="24"/>
    <s v="B"/>
    <m/>
    <s v="Chuzos"/>
    <s v="Cabeza de Hierro"/>
  </r>
  <r>
    <x v="24"/>
    <x v="24"/>
    <s v="Popplio"/>
    <s v="Popplio"/>
    <s v="0728A0"/>
    <s v="Alola"/>
    <s v="Alola"/>
    <s v="Water"/>
    <s v="-"/>
    <s v="Starter"/>
    <s v="0728A0"/>
    <s v="-"/>
    <x v="0"/>
    <s v="-"/>
    <s v="-"/>
    <x v="0"/>
    <n v="320"/>
    <n v="50"/>
    <n v="54"/>
    <n v="54"/>
    <n v="66"/>
    <n v="56"/>
    <n v="40"/>
    <n v="3"/>
    <n v="6"/>
    <n v="4"/>
    <n v="3"/>
    <n v="16"/>
    <s v="C-"/>
    <m/>
    <m/>
    <m/>
  </r>
  <r>
    <x v="24"/>
    <x v="24"/>
    <s v="Brionne"/>
    <s v="Brionne"/>
    <s v="0729A0"/>
    <s v="Alola"/>
    <s v="Alola"/>
    <s v="Water"/>
    <s v="-"/>
    <s v="Starter"/>
    <s v="0728A0"/>
    <s v="0728A0"/>
    <x v="1"/>
    <s v="Experience"/>
    <n v="3"/>
    <x v="0"/>
    <n v="420"/>
    <n v="60"/>
    <n v="69"/>
    <n v="69"/>
    <n v="91"/>
    <n v="81"/>
    <n v="50"/>
    <n v="4"/>
    <n v="8"/>
    <n v="6"/>
    <n v="3"/>
    <n v="21"/>
    <s v="C+"/>
    <m/>
    <m/>
    <m/>
  </r>
  <r>
    <x v="24"/>
    <x v="24"/>
    <s v="Primarina"/>
    <s v="Primarina"/>
    <s v="0730A0"/>
    <s v="Alola"/>
    <s v="Alola"/>
    <s v="Water"/>
    <s v="Fairy"/>
    <s v="Starter"/>
    <s v="0728A0"/>
    <s v="0729A0"/>
    <x v="2"/>
    <s v="Experience"/>
    <n v="4"/>
    <x v="1"/>
    <n v="530"/>
    <n v="80"/>
    <n v="74"/>
    <n v="74"/>
    <n v="126"/>
    <n v="116"/>
    <n v="60"/>
    <n v="5"/>
    <n v="10"/>
    <n v="8"/>
    <n v="4"/>
    <n v="27"/>
    <s v="B+"/>
    <m/>
    <s v="Aria Burbuja"/>
    <s v="Fuerza Lunar"/>
  </r>
  <r>
    <x v="24"/>
    <x v="24"/>
    <s v="Pikipek"/>
    <s v="Pikipek"/>
    <s v="0731A0"/>
    <s v="Alola"/>
    <s v="Alola"/>
    <s v="Normal"/>
    <s v="Flying"/>
    <s v="Basic"/>
    <s v="0731A0"/>
    <s v="-"/>
    <x v="0"/>
    <s v="-"/>
    <s v="-"/>
    <x v="4"/>
    <n v="265"/>
    <n v="35"/>
    <n v="75"/>
    <n v="30"/>
    <n v="30"/>
    <n v="30"/>
    <n v="65"/>
    <n v="2"/>
    <n v="6"/>
    <n v="4"/>
    <n v="4"/>
    <n v="16"/>
    <s v="C-"/>
    <m/>
    <m/>
    <m/>
  </r>
  <r>
    <x v="24"/>
    <x v="24"/>
    <s v="Trumbeak"/>
    <s v="Trumbeak"/>
    <s v="0732A0"/>
    <s v="Alola"/>
    <s v="Alola"/>
    <s v="Normal"/>
    <s v="Flying"/>
    <s v="Basic"/>
    <s v="0731A0"/>
    <s v="0731A0"/>
    <x v="1"/>
    <s v="Experience"/>
    <n v="3"/>
    <x v="0"/>
    <n v="355"/>
    <n v="55"/>
    <n v="85"/>
    <n v="50"/>
    <n v="40"/>
    <n v="50"/>
    <n v="75"/>
    <n v="3"/>
    <n v="6"/>
    <n v="4"/>
    <n v="4"/>
    <n v="17"/>
    <s v="C-"/>
    <m/>
    <m/>
    <m/>
  </r>
  <r>
    <x v="24"/>
    <x v="24"/>
    <s v="Toucannon"/>
    <s v="Toucannon"/>
    <s v="0733A0"/>
    <s v="Alola"/>
    <s v="Alola"/>
    <s v="Normal"/>
    <s v="Flying"/>
    <s v="Basic"/>
    <s v="0731A0"/>
    <s v="0732A0"/>
    <x v="2"/>
    <s v="Experience"/>
    <n v="4"/>
    <x v="1"/>
    <n v="485"/>
    <n v="80"/>
    <n v="120"/>
    <n v="75"/>
    <n v="75"/>
    <n v="75"/>
    <n v="60"/>
    <n v="5"/>
    <n v="10"/>
    <n v="6"/>
    <n v="4"/>
    <n v="25"/>
    <s v="B"/>
    <m/>
    <s v="Pico Cañón"/>
    <s v="Recurrente"/>
  </r>
  <r>
    <x v="24"/>
    <x v="24"/>
    <s v="Grubbin"/>
    <s v="Grubbin"/>
    <s v="0736A0"/>
    <s v="Alola"/>
    <s v="Alola"/>
    <s v="Bug"/>
    <s v="-"/>
    <s v="Basic"/>
    <s v="0736A0"/>
    <s v="-"/>
    <x v="0"/>
    <s v="-"/>
    <s v="-"/>
    <x v="4"/>
    <n v="300"/>
    <n v="47"/>
    <n v="62"/>
    <n v="45"/>
    <n v="55"/>
    <n v="45"/>
    <n v="46"/>
    <n v="3"/>
    <n v="6"/>
    <n v="4"/>
    <n v="3"/>
    <n v="16"/>
    <s v="C-"/>
    <m/>
    <m/>
    <m/>
  </r>
  <r>
    <x v="24"/>
    <x v="24"/>
    <s v="Charjabug"/>
    <s v="Charjabug"/>
    <s v="0737A0"/>
    <s v="Alola"/>
    <s v="Alola"/>
    <s v="Bug"/>
    <s v="Electric"/>
    <s v="Basic"/>
    <s v="0736A0"/>
    <s v="0736A0"/>
    <x v="1"/>
    <s v="Experience"/>
    <n v="3"/>
    <x v="0"/>
    <n v="400"/>
    <n v="57"/>
    <n v="82"/>
    <n v="95"/>
    <n v="55"/>
    <n v="75"/>
    <n v="36"/>
    <n v="4"/>
    <n v="6"/>
    <n v="6"/>
    <n v="2"/>
    <n v="18"/>
    <s v="C"/>
    <m/>
    <m/>
    <m/>
  </r>
  <r>
    <x v="24"/>
    <x v="24"/>
    <s v="Vikavolt"/>
    <s v="Vikavolt"/>
    <s v="0738A0"/>
    <s v="Alola"/>
    <s v="Alola"/>
    <s v="Bug"/>
    <s v="Electric"/>
    <s v="Basic"/>
    <s v="0736A0"/>
    <s v="0737A0"/>
    <x v="2"/>
    <s v="Experience"/>
    <n v="4"/>
    <x v="1"/>
    <n v="500"/>
    <n v="77"/>
    <n v="70"/>
    <n v="90"/>
    <n v="145"/>
    <n v="75"/>
    <n v="43"/>
    <n v="5"/>
    <n v="10"/>
    <n v="6"/>
    <n v="3"/>
    <n v="24"/>
    <s v="B"/>
    <m/>
    <s v="Zumbido"/>
    <s v="Chispazo"/>
  </r>
  <r>
    <x v="24"/>
    <x v="24"/>
    <s v="Rockruff"/>
    <s v="Rockruff"/>
    <s v="0744A0"/>
    <s v="Alola"/>
    <s v="Alola"/>
    <s v="Rock"/>
    <s v="-"/>
    <s v="Basic"/>
    <s v="0744A0"/>
    <s v="-"/>
    <x v="0"/>
    <s v="-"/>
    <s v="-"/>
    <x v="0"/>
    <n v="280"/>
    <n v="45"/>
    <n v="65"/>
    <n v="40"/>
    <n v="30"/>
    <n v="40"/>
    <n v="60"/>
    <n v="3"/>
    <n v="6"/>
    <n v="4"/>
    <n v="4"/>
    <n v="17"/>
    <s v="C-"/>
    <m/>
    <m/>
    <m/>
  </r>
  <r>
    <x v="24"/>
    <x v="24"/>
    <s v="Lycanroc (Midday Form)"/>
    <s v="Lycanroc"/>
    <s v="0745A0"/>
    <s v="Alola"/>
    <s v="Alola"/>
    <s v="Rock"/>
    <s v="-"/>
    <s v="Basic"/>
    <s v="0744A0"/>
    <s v="0744A0"/>
    <x v="2"/>
    <s v="Experience"/>
    <n v="4"/>
    <x v="1"/>
    <n v="487"/>
    <n v="75"/>
    <n v="115"/>
    <n v="65"/>
    <n v="55"/>
    <n v="65"/>
    <n v="112"/>
    <n v="4"/>
    <n v="8"/>
    <n v="4"/>
    <n v="6"/>
    <n v="22"/>
    <s v="B-"/>
    <m/>
    <s v="Avalancha"/>
    <s v="Colmillo Ígneo"/>
  </r>
  <r>
    <x v="24"/>
    <x v="24"/>
    <s v="Mimikyu"/>
    <s v="Mimikyu"/>
    <s v="0778A0"/>
    <s v="Alola"/>
    <s v="Alola"/>
    <s v="Ghost"/>
    <s v="Fairy"/>
    <s v="Basic"/>
    <s v="0778A0"/>
    <s v="-"/>
    <x v="2"/>
    <s v="-"/>
    <s v="-"/>
    <x v="1"/>
    <n v="476"/>
    <n v="55"/>
    <n v="90"/>
    <n v="80"/>
    <n v="50"/>
    <n v="105"/>
    <n v="96"/>
    <n v="3"/>
    <n v="8"/>
    <n v="8"/>
    <n v="5"/>
    <n v="24"/>
    <s v="B"/>
    <m/>
    <s v="Sombra Vil"/>
    <s v="Carantoña"/>
  </r>
  <r>
    <x v="25"/>
    <x v="25"/>
    <s v="Vulpix (Alolan Form)"/>
    <s v="Vulpix"/>
    <s v="0037L0"/>
    <s v="Alola"/>
    <s v="Alola"/>
    <s v="Ice"/>
    <s v="-"/>
    <s v="Basic"/>
    <s v="0037A0"/>
    <s v="-"/>
    <x v="0"/>
    <s v="-"/>
    <s v="-"/>
    <x v="0"/>
    <n v="299"/>
    <n v="38"/>
    <n v="41"/>
    <n v="40"/>
    <n v="50"/>
    <n v="65"/>
    <n v="65"/>
    <n v="3"/>
    <n v="4"/>
    <n v="4"/>
    <n v="4"/>
    <n v="15"/>
    <s v="D"/>
    <m/>
    <m/>
    <m/>
  </r>
  <r>
    <x v="25"/>
    <x v="25"/>
    <s v="Ninetales (Alolan Form)"/>
    <s v="Ninetales"/>
    <s v="0038L0"/>
    <s v="Alola"/>
    <s v="Alola"/>
    <s v="Ice"/>
    <s v="Fairy"/>
    <s v="Basic"/>
    <s v="0037A0"/>
    <s v="0037L0"/>
    <x v="2"/>
    <s v="Stone"/>
    <s v="-"/>
    <x v="1"/>
    <n v="505"/>
    <n v="73"/>
    <n v="67"/>
    <n v="75"/>
    <n v="81"/>
    <n v="100"/>
    <n v="109"/>
    <n v="4"/>
    <n v="8"/>
    <n v="8"/>
    <n v="6"/>
    <n v="26"/>
    <s v="B+"/>
    <m/>
    <s v="Liofilización"/>
    <s v="Brillo Mágico"/>
  </r>
  <r>
    <x v="25"/>
    <x v="25"/>
    <s v="Litten"/>
    <s v="Litten"/>
    <s v="0725A0"/>
    <s v="Alola"/>
    <s v="Alola"/>
    <s v="Fire"/>
    <s v="-"/>
    <s v="Starter"/>
    <s v="0725A0"/>
    <s v="-"/>
    <x v="0"/>
    <s v="-"/>
    <s v="-"/>
    <x v="0"/>
    <n v="320"/>
    <n v="45"/>
    <n v="65"/>
    <n v="40"/>
    <n v="60"/>
    <n v="40"/>
    <n v="70"/>
    <n v="3"/>
    <n v="6"/>
    <n v="4"/>
    <n v="4"/>
    <n v="17"/>
    <s v="C-"/>
    <m/>
    <m/>
    <m/>
  </r>
  <r>
    <x v="25"/>
    <x v="25"/>
    <s v="Torracat"/>
    <s v="Torracat"/>
    <s v="0726A0"/>
    <s v="Alola"/>
    <s v="Alola"/>
    <s v="Fire"/>
    <s v="-"/>
    <s v="Starter"/>
    <s v="0725A0"/>
    <s v="0725A0"/>
    <x v="1"/>
    <s v="Experience"/>
    <n v="3"/>
    <x v="0"/>
    <n v="420"/>
    <n v="65"/>
    <n v="85"/>
    <n v="50"/>
    <n v="80"/>
    <n v="50"/>
    <n v="90"/>
    <n v="4"/>
    <n v="8"/>
    <n v="4"/>
    <n v="5"/>
    <n v="21"/>
    <s v="C+"/>
    <m/>
    <m/>
    <m/>
  </r>
  <r>
    <x v="25"/>
    <x v="25"/>
    <s v="Incineroar"/>
    <s v="Incineroar"/>
    <s v="0727A0"/>
    <s v="Alola"/>
    <s v="Alola"/>
    <s v="Fire"/>
    <s v="Dark"/>
    <s v="Starter"/>
    <s v="0725A0"/>
    <s v="0726A0"/>
    <x v="2"/>
    <s v="Experience"/>
    <n v="4"/>
    <x v="1"/>
    <n v="530"/>
    <n v="95"/>
    <n v="115"/>
    <n v="90"/>
    <n v="80"/>
    <n v="90"/>
    <n v="60"/>
    <n v="6"/>
    <n v="8"/>
    <n v="6"/>
    <n v="4"/>
    <n v="24"/>
    <s v="B"/>
    <m/>
    <s v="Lariat Oscuro"/>
    <s v="Patada Ígnea"/>
  </r>
  <r>
    <x v="25"/>
    <x v="25"/>
    <s v="Rockruff"/>
    <s v="Rockruff"/>
    <s v="0744A0"/>
    <s v="Alola"/>
    <s v="Alola"/>
    <s v="Rock"/>
    <s v="-"/>
    <s v="Basic"/>
    <s v="0744A0"/>
    <s v="-"/>
    <x v="0"/>
    <s v="-"/>
    <s v="-"/>
    <x v="0"/>
    <n v="280"/>
    <n v="45"/>
    <n v="65"/>
    <n v="40"/>
    <n v="30"/>
    <n v="40"/>
    <n v="60"/>
    <n v="3"/>
    <n v="6"/>
    <n v="4"/>
    <n v="4"/>
    <n v="17"/>
    <s v="C-"/>
    <m/>
    <m/>
    <m/>
  </r>
  <r>
    <x v="25"/>
    <x v="25"/>
    <s v="Lycanroc (Dusk Form)"/>
    <s v="Lycanroc"/>
    <s v="0745C0"/>
    <s v="Alola"/>
    <s v="Alola"/>
    <s v="Rock"/>
    <s v="-"/>
    <s v="Basic"/>
    <s v="0744A0"/>
    <s v="0744A0"/>
    <x v="2"/>
    <s v="Experience"/>
    <n v="4"/>
    <x v="1"/>
    <n v="487"/>
    <n v="75"/>
    <n v="117"/>
    <n v="65"/>
    <n v="55"/>
    <n v="65"/>
    <n v="110"/>
    <n v="4"/>
    <n v="8"/>
    <n v="4"/>
    <n v="6"/>
    <n v="22"/>
    <s v="B-"/>
    <m/>
    <s v="Roca Veloz"/>
    <s v="Colmillo Rayo"/>
  </r>
  <r>
    <x v="25"/>
    <x v="25"/>
    <s v="Mareanie"/>
    <s v="Mareanie"/>
    <s v="0747A0"/>
    <s v="Alola"/>
    <s v="Alola"/>
    <s v="Poison"/>
    <s v="Water"/>
    <s v="Basic"/>
    <s v="0747A0"/>
    <s v="-"/>
    <x v="0"/>
    <s v="-"/>
    <s v="-"/>
    <x v="0"/>
    <n v="305"/>
    <n v="50"/>
    <n v="53"/>
    <n v="62"/>
    <n v="43"/>
    <n v="52"/>
    <n v="45"/>
    <n v="3"/>
    <n v="4"/>
    <n v="4"/>
    <n v="3"/>
    <n v="14"/>
    <s v="E"/>
    <m/>
    <m/>
    <m/>
  </r>
  <r>
    <x v="25"/>
    <x v="25"/>
    <s v="Toxapex"/>
    <s v="Toxapex"/>
    <s v="0748A0"/>
    <s v="Alola"/>
    <s v="Alola"/>
    <s v="Poison"/>
    <s v="Water"/>
    <s v="Basic"/>
    <s v="0747A0"/>
    <s v="0747A0"/>
    <x v="2"/>
    <s v="Experience"/>
    <n v="4"/>
    <x v="1"/>
    <n v="495"/>
    <n v="50"/>
    <n v="63"/>
    <n v="152"/>
    <n v="53"/>
    <n v="142"/>
    <n v="35"/>
    <n v="3"/>
    <n v="6"/>
    <n v="12"/>
    <n v="2"/>
    <n v="23"/>
    <s v="B-"/>
    <m/>
    <s v="Escaldar"/>
    <s v="Picotazo Venenoso"/>
  </r>
  <r>
    <x v="25"/>
    <x v="25"/>
    <s v="Passimian"/>
    <s v="Passimian"/>
    <s v="0766A0"/>
    <s v="Alola"/>
    <s v="Alola"/>
    <s v="Fighting"/>
    <s v="-"/>
    <s v="Basic"/>
    <s v="0766A0"/>
    <s v="-"/>
    <x v="2"/>
    <s v="-"/>
    <s v="-"/>
    <x v="1"/>
    <n v="490"/>
    <n v="100"/>
    <n v="120"/>
    <n v="90"/>
    <n v="40"/>
    <n v="60"/>
    <n v="80"/>
    <n v="6"/>
    <n v="8"/>
    <n v="6"/>
    <n v="5"/>
    <n v="25"/>
    <s v="B"/>
    <m/>
    <s v="Puntapié"/>
    <s v="Bomba Germen"/>
  </r>
  <r>
    <x v="25"/>
    <x v="25"/>
    <s v="Drampa"/>
    <s v="Drampa"/>
    <s v="0780A0"/>
    <s v="Alola"/>
    <s v="Alola"/>
    <s v="Normal"/>
    <s v="Dragon"/>
    <s v="Basic"/>
    <s v="0780A0"/>
    <s v="-"/>
    <x v="2"/>
    <s v="-"/>
    <s v="-"/>
    <x v="1"/>
    <n v="485"/>
    <n v="78"/>
    <n v="60"/>
    <n v="85"/>
    <n v="135"/>
    <n v="91"/>
    <n v="36"/>
    <n v="5"/>
    <n v="10"/>
    <n v="6"/>
    <n v="2"/>
    <n v="23"/>
    <s v="B-"/>
    <m/>
    <s v="Cometa Draco"/>
    <s v="Vozarrón"/>
  </r>
  <r>
    <x v="26"/>
    <x v="26"/>
    <s v="Cubone"/>
    <s v="Cubone"/>
    <s v="0104A0"/>
    <s v="Alola"/>
    <s v="Kanto"/>
    <s v="Ground"/>
    <s v="-"/>
    <s v="Basic"/>
    <s v="0104A0"/>
    <s v="-"/>
    <x v="0"/>
    <s v="-"/>
    <s v="-"/>
    <x v="0"/>
    <n v="320"/>
    <n v="50"/>
    <n v="50"/>
    <n v="95"/>
    <n v="40"/>
    <n v="50"/>
    <n v="35"/>
    <n v="3"/>
    <n v="4"/>
    <n v="6"/>
    <n v="2"/>
    <n v="15"/>
    <s v="D"/>
    <m/>
    <m/>
    <m/>
  </r>
  <r>
    <x v="26"/>
    <x v="26"/>
    <s v="Marowak (Alolan Form)"/>
    <s v="Marowak"/>
    <s v="0105L0"/>
    <s v="Alola"/>
    <s v="Alola"/>
    <s v="Fire"/>
    <s v="Ghost"/>
    <s v="Basic"/>
    <s v="0104A0"/>
    <s v="0104A0"/>
    <x v="2"/>
    <s v="Experience"/>
    <n v="3"/>
    <x v="0"/>
    <n v="425"/>
    <n v="60"/>
    <n v="80"/>
    <n v="110"/>
    <n v="50"/>
    <n v="80"/>
    <n v="45"/>
    <n v="4"/>
    <n v="6"/>
    <n v="8"/>
    <n v="3"/>
    <n v="21"/>
    <s v="C+"/>
    <m/>
    <s v="Hueso Sombrío"/>
    <s v="Puño Fuego"/>
  </r>
  <r>
    <x v="26"/>
    <x v="26"/>
    <s v="Porygon"/>
    <s v="Porygon"/>
    <s v="0137A0"/>
    <s v="Alola"/>
    <s v="Kanto"/>
    <s v="Normal"/>
    <s v="-"/>
    <s v="Basic"/>
    <s v="0137A0"/>
    <s v="-"/>
    <x v="0"/>
    <s v="-"/>
    <s v="-"/>
    <x v="0"/>
    <n v="395"/>
    <n v="65"/>
    <n v="60"/>
    <n v="70"/>
    <n v="85"/>
    <n v="75"/>
    <n v="40"/>
    <n v="4"/>
    <n v="6"/>
    <n v="6"/>
    <n v="3"/>
    <n v="19"/>
    <s v="C"/>
    <m/>
    <m/>
    <m/>
  </r>
  <r>
    <x v="26"/>
    <x v="26"/>
    <s v="Porygon2"/>
    <s v="Porygon2"/>
    <s v="0233A0"/>
    <s v="Alola"/>
    <s v="Johto"/>
    <s v="Normal"/>
    <s v="-"/>
    <s v="Basic"/>
    <s v="0137A0"/>
    <s v="0137A0"/>
    <x v="1"/>
    <s v="Gift"/>
    <s v="-"/>
    <x v="1"/>
    <n v="515"/>
    <n v="85"/>
    <n v="80"/>
    <n v="90"/>
    <n v="105"/>
    <n v="95"/>
    <n v="60"/>
    <n v="5"/>
    <n v="8"/>
    <n v="6"/>
    <n v="4"/>
    <n v="23"/>
    <s v="B-"/>
    <m/>
    <m/>
    <m/>
  </r>
  <r>
    <x v="26"/>
    <x v="26"/>
    <s v="Porygon-Z"/>
    <s v="Porygon-Z"/>
    <s v="0474A0"/>
    <s v="Alola"/>
    <s v="Sinnoh"/>
    <s v="Normal"/>
    <s v="-"/>
    <s v="Basic"/>
    <s v="0137A0"/>
    <s v="0233A0"/>
    <x v="2"/>
    <s v="Gift"/>
    <s v="-"/>
    <x v="1"/>
    <n v="535"/>
    <n v="85"/>
    <n v="80"/>
    <n v="70"/>
    <n v="135"/>
    <n v="75"/>
    <n v="90"/>
    <n v="5"/>
    <n v="10"/>
    <n v="6"/>
    <n v="5"/>
    <n v="26"/>
    <s v="B+"/>
    <m/>
    <s v="Triataque"/>
    <s v="Rayo"/>
  </r>
  <r>
    <x v="26"/>
    <x v="26"/>
    <s v="Rockruff"/>
    <s v="Rockruff"/>
    <s v="0744A0"/>
    <s v="Alola"/>
    <s v="Alola"/>
    <s v="Rock"/>
    <s v="-"/>
    <s v="Basic"/>
    <s v="0744A0"/>
    <s v="-"/>
    <x v="0"/>
    <s v="-"/>
    <s v="-"/>
    <x v="0"/>
    <n v="280"/>
    <n v="45"/>
    <n v="65"/>
    <n v="40"/>
    <n v="30"/>
    <n v="40"/>
    <n v="60"/>
    <n v="3"/>
    <n v="6"/>
    <n v="4"/>
    <n v="4"/>
    <n v="17"/>
    <s v="C-"/>
    <m/>
    <m/>
    <m/>
  </r>
  <r>
    <x v="26"/>
    <x v="26"/>
    <s v="Lycanroc (Midnight Form)"/>
    <s v="Lycanroc"/>
    <s v="0745B0"/>
    <s v="Alola"/>
    <s v="Alola"/>
    <s v="Rock"/>
    <s v="-"/>
    <s v="Basic"/>
    <s v="0744A0"/>
    <s v="0744A0"/>
    <x v="2"/>
    <s v="Experience"/>
    <n v="4"/>
    <x v="1"/>
    <n v="487"/>
    <n v="85"/>
    <n v="115"/>
    <n v="75"/>
    <n v="55"/>
    <n v="75"/>
    <n v="82"/>
    <n v="5"/>
    <n v="8"/>
    <n v="6"/>
    <n v="5"/>
    <n v="24"/>
    <s v="B"/>
    <m/>
    <s v="Tumba Rocas"/>
    <s v="A Bocajarro"/>
  </r>
  <r>
    <x v="26"/>
    <x v="26"/>
    <s v="Wimpod"/>
    <s v="Wimpod"/>
    <s v="0767A0"/>
    <s v="Alola"/>
    <s v="Alola"/>
    <s v="Bug"/>
    <s v="Water"/>
    <s v="Basic"/>
    <s v="0767A0"/>
    <s v="-"/>
    <x v="0"/>
    <s v="-"/>
    <s v="-"/>
    <x v="4"/>
    <n v="230"/>
    <n v="25"/>
    <n v="35"/>
    <n v="40"/>
    <n v="20"/>
    <n v="30"/>
    <n v="80"/>
    <n v="2"/>
    <n v="4"/>
    <n v="4"/>
    <n v="5"/>
    <n v="15"/>
    <s v="D"/>
    <m/>
    <m/>
    <m/>
  </r>
  <r>
    <x v="26"/>
    <x v="26"/>
    <s v="Golisopod"/>
    <s v="Golisopod"/>
    <s v="0768A0"/>
    <s v="Alola"/>
    <s v="Alola"/>
    <s v="Bug"/>
    <s v="Water"/>
    <s v="Basic"/>
    <s v="0767A0"/>
    <s v="0767A0"/>
    <x v="2"/>
    <s v="Experience"/>
    <n v="4"/>
    <x v="1"/>
    <n v="530"/>
    <n v="75"/>
    <n v="125"/>
    <n v="140"/>
    <n v="60"/>
    <n v="90"/>
    <n v="40"/>
    <n v="4"/>
    <n v="10"/>
    <n v="10"/>
    <n v="3"/>
    <n v="27"/>
    <s v="B+"/>
    <m/>
    <s v="Chupavidas"/>
    <s v="Hidroariete"/>
  </r>
  <r>
    <x v="26"/>
    <x v="26"/>
    <s v="Código Cero"/>
    <s v="Código Cero"/>
    <s v="0772A0"/>
    <s v="Alola"/>
    <s v="Alola"/>
    <s v="Normal"/>
    <s v="-"/>
    <s v="Basic"/>
    <s v="0772A0"/>
    <s v="-"/>
    <x v="0"/>
    <s v="-"/>
    <s v="-"/>
    <x v="1"/>
    <n v="534"/>
    <n v="95"/>
    <n v="95"/>
    <n v="95"/>
    <n v="95"/>
    <n v="95"/>
    <n v="59"/>
    <n v="6"/>
    <n v="8"/>
    <n v="6"/>
    <n v="4"/>
    <n v="24"/>
    <s v="B"/>
    <m/>
    <m/>
    <m/>
  </r>
  <r>
    <x v="26"/>
    <x v="26"/>
    <s v="Silvally"/>
    <s v="Silvally"/>
    <s v="0773A0"/>
    <s v="Alola"/>
    <s v="Alola"/>
    <s v="Normal"/>
    <s v="-"/>
    <s v="Basic"/>
    <s v="0772A0"/>
    <s v="0772A0"/>
    <x v="2"/>
    <s v="Experience"/>
    <n v="5"/>
    <x v="3"/>
    <n v="570"/>
    <n v="95"/>
    <n v="95"/>
    <n v="95"/>
    <n v="95"/>
    <n v="95"/>
    <n v="95"/>
    <n v="6"/>
    <n v="10"/>
    <n v="6"/>
    <n v="5"/>
    <n v="27"/>
    <s v="B+"/>
    <s v="Sistema Alfa"/>
    <s v="Multiataque"/>
    <s v="Golpe Aéreo"/>
  </r>
  <r>
    <x v="26"/>
    <x v="26"/>
    <s v="Dhelmise"/>
    <s v="Dhelmise"/>
    <s v="0781A0"/>
    <s v="Alola"/>
    <s v="Alola"/>
    <s v="Ghost"/>
    <s v="Grass"/>
    <s v="Basic"/>
    <s v="0781A0"/>
    <s v="-"/>
    <x v="2"/>
    <s v="-"/>
    <s v="-"/>
    <x v="1"/>
    <n v="517"/>
    <n v="70"/>
    <n v="131"/>
    <n v="100"/>
    <n v="86"/>
    <n v="90"/>
    <n v="40"/>
    <n v="4"/>
    <n v="10"/>
    <n v="8"/>
    <n v="3"/>
    <n v="25"/>
    <s v="B"/>
    <m/>
    <s v="Latigazo"/>
    <s v="Anclaje"/>
  </r>
  <r>
    <x v="27"/>
    <x v="27"/>
    <s v="Mantyke"/>
    <s v="Mantyke"/>
    <s v="0458A0"/>
    <s v="Alola"/>
    <s v="Sinnoh"/>
    <s v="Water"/>
    <s v="Flying"/>
    <s v="Basic"/>
    <s v="0458A0"/>
    <s v="-"/>
    <x v="0"/>
    <s v="-"/>
    <s v="-"/>
    <x v="0"/>
    <n v="345"/>
    <n v="45"/>
    <n v="20"/>
    <n v="50"/>
    <n v="60"/>
    <n v="120"/>
    <n v="50"/>
    <n v="3"/>
    <n v="6"/>
    <n v="8"/>
    <n v="3"/>
    <n v="20"/>
    <s v="C+"/>
    <m/>
    <m/>
    <m/>
  </r>
  <r>
    <x v="27"/>
    <x v="27"/>
    <s v="Mantine"/>
    <s v="Mantine"/>
    <s v="0226A0"/>
    <s v="Alola"/>
    <s v="Johto"/>
    <s v="Water"/>
    <s v="Flying"/>
    <s v="Basic"/>
    <s v="0458A0"/>
    <s v="0458A0"/>
    <x v="2"/>
    <s v="Experience"/>
    <n v="3"/>
    <x v="1"/>
    <n v="485"/>
    <n v="85"/>
    <n v="40"/>
    <n v="70"/>
    <n v="80"/>
    <n v="140"/>
    <n v="70"/>
    <n v="5"/>
    <n v="6"/>
    <n v="10"/>
    <n v="4"/>
    <n v="25"/>
    <s v="B"/>
    <m/>
    <s v="Surf"/>
    <s v="Tajo Aéreo"/>
  </r>
  <r>
    <x v="27"/>
    <x v="27"/>
    <s v="Cutiefly"/>
    <s v="Cutiefly"/>
    <s v="0742A0"/>
    <s v="Alola"/>
    <s v="Alola"/>
    <s v="Bug"/>
    <s v="Fairy"/>
    <s v="Basic"/>
    <s v="0742A0"/>
    <s v="-"/>
    <x v="0"/>
    <s v="-"/>
    <s v="-"/>
    <x v="0"/>
    <n v="304"/>
    <n v="40"/>
    <n v="45"/>
    <n v="40"/>
    <n v="55"/>
    <n v="40"/>
    <n v="84"/>
    <n v="3"/>
    <n v="4"/>
    <n v="4"/>
    <n v="5"/>
    <n v="16"/>
    <s v="C-"/>
    <m/>
    <m/>
    <m/>
  </r>
  <r>
    <x v="27"/>
    <x v="27"/>
    <s v="Ribombee"/>
    <s v="Ribombee"/>
    <s v="0743A0"/>
    <s v="Alola"/>
    <s v="Alola"/>
    <s v="Bug"/>
    <s v="Fairy"/>
    <s v="Basic"/>
    <s v="0742A0"/>
    <s v="0742A0"/>
    <x v="2"/>
    <s v="Experience"/>
    <n v="4"/>
    <x v="1"/>
    <n v="464"/>
    <n v="60"/>
    <n v="55"/>
    <n v="60"/>
    <n v="95"/>
    <n v="70"/>
    <n v="124"/>
    <n v="4"/>
    <n v="8"/>
    <n v="4"/>
    <n v="7"/>
    <n v="23"/>
    <s v="B-"/>
    <m/>
    <s v="Brillo Mágico"/>
    <s v="Bola de Polen"/>
  </r>
  <r>
    <x v="27"/>
    <x v="27"/>
    <s v="Stufful"/>
    <s v="Stufful"/>
    <s v="0759A0"/>
    <s v="Alola"/>
    <s v="Alola"/>
    <s v="Normal"/>
    <s v="Fighting"/>
    <s v="Basic"/>
    <s v="0759A0"/>
    <s v="-"/>
    <x v="0"/>
    <s v="-"/>
    <s v="-"/>
    <x v="0"/>
    <n v="340"/>
    <n v="70"/>
    <n v="75"/>
    <n v="50"/>
    <n v="45"/>
    <n v="50"/>
    <n v="50"/>
    <n v="4"/>
    <n v="6"/>
    <n v="4"/>
    <n v="3"/>
    <n v="17"/>
    <s v="C-"/>
    <m/>
    <m/>
    <m/>
  </r>
  <r>
    <x v="27"/>
    <x v="27"/>
    <s v="Bewear"/>
    <s v="Bewear"/>
    <s v="0760A0"/>
    <s v="Alola"/>
    <s v="Alola"/>
    <s v="Normal"/>
    <s v="Fighting"/>
    <s v="Basic"/>
    <s v="0759A0"/>
    <s v="0759A0"/>
    <x v="2"/>
    <s v="Experience"/>
    <n v="4"/>
    <x v="1"/>
    <n v="500"/>
    <n v="120"/>
    <n v="125"/>
    <n v="80"/>
    <n v="55"/>
    <n v="60"/>
    <n v="60"/>
    <n v="8"/>
    <n v="8"/>
    <n v="6"/>
    <n v="4"/>
    <n v="26"/>
    <s v="B+"/>
    <m/>
    <s v="Doble Filo"/>
    <s v="Fuerza Bruta"/>
  </r>
  <r>
    <x v="27"/>
    <x v="27"/>
    <s v="Bounsweet"/>
    <s v="Bounsweet"/>
    <s v="0761A0"/>
    <s v="Alola"/>
    <s v="Alola"/>
    <s v="Grass"/>
    <s v="-"/>
    <s v="Basic"/>
    <s v="0761A0"/>
    <s v="-"/>
    <x v="0"/>
    <s v="-"/>
    <s v="-"/>
    <x v="4"/>
    <n v="210"/>
    <n v="42"/>
    <n v="30"/>
    <n v="38"/>
    <n v="30"/>
    <n v="38"/>
    <n v="32"/>
    <n v="3"/>
    <n v="4"/>
    <n v="4"/>
    <n v="2"/>
    <n v="13"/>
    <s v="F"/>
    <m/>
    <m/>
    <m/>
  </r>
  <r>
    <x v="27"/>
    <x v="27"/>
    <s v="Steenee"/>
    <s v="Steenee"/>
    <s v="0762A0"/>
    <s v="Alola"/>
    <s v="Alola"/>
    <s v="Grass"/>
    <s v="-"/>
    <s v="Basic"/>
    <s v="0761A0"/>
    <s v="0761A0"/>
    <x v="1"/>
    <s v="Experience"/>
    <n v="3"/>
    <x v="0"/>
    <n v="290"/>
    <n v="52"/>
    <n v="40"/>
    <n v="48"/>
    <n v="40"/>
    <n v="48"/>
    <n v="62"/>
    <n v="3"/>
    <n v="4"/>
    <n v="4"/>
    <n v="4"/>
    <n v="15"/>
    <s v="D"/>
    <m/>
    <m/>
    <m/>
  </r>
  <r>
    <x v="27"/>
    <x v="27"/>
    <s v="Tsareena"/>
    <s v="Tsareena"/>
    <s v="0763A0"/>
    <s v="Alola"/>
    <s v="Alola"/>
    <s v="Grass"/>
    <s v="-"/>
    <s v="Basic"/>
    <s v="0761A0"/>
    <s v="0762A0"/>
    <x v="2"/>
    <s v="Experience"/>
    <n v="4"/>
    <x v="1"/>
    <n v="510"/>
    <n v="72"/>
    <n v="120"/>
    <n v="98"/>
    <n v="50"/>
    <n v="98"/>
    <n v="72"/>
    <n v="4"/>
    <n v="10"/>
    <n v="8"/>
    <n v="4"/>
    <n v="26"/>
    <s v="B+"/>
    <m/>
    <s v="Patada Tropical"/>
    <s v="Acróbata"/>
  </r>
  <r>
    <x v="27"/>
    <x v="27"/>
    <s v="Turtonator"/>
    <s v="Turtonator"/>
    <s v="0776A0"/>
    <s v="Alola"/>
    <s v="Alola"/>
    <s v="Fire"/>
    <s v="Dragon"/>
    <s v="Basic"/>
    <s v="0776A0"/>
    <s v="-"/>
    <x v="2"/>
    <s v="-"/>
    <s v="-"/>
    <x v="1"/>
    <n v="485"/>
    <n v="60"/>
    <n v="78"/>
    <n v="135"/>
    <n v="91"/>
    <n v="85"/>
    <n v="36"/>
    <n v="4"/>
    <n v="8"/>
    <n v="10"/>
    <n v="2"/>
    <n v="24"/>
    <s v="B"/>
    <m/>
    <s v="Llamarada"/>
    <s v="Pulso Dragón"/>
  </r>
  <r>
    <x v="27"/>
    <x v="27"/>
    <s v="Sinistea"/>
    <s v="Sinistea"/>
    <s v="0854A0"/>
    <s v="Alola"/>
    <s v="Galar"/>
    <s v="Ghost"/>
    <s v="-"/>
    <s v="Basic"/>
    <s v="0854A0"/>
    <s v="-"/>
    <x v="0"/>
    <s v="-"/>
    <s v="-"/>
    <x v="0"/>
    <n v="308"/>
    <n v="40"/>
    <n v="45"/>
    <n v="45"/>
    <n v="74"/>
    <n v="54"/>
    <n v="50"/>
    <n v="3"/>
    <n v="6"/>
    <n v="4"/>
    <n v="3"/>
    <n v="16"/>
    <s v="C-"/>
    <m/>
    <m/>
    <m/>
  </r>
  <r>
    <x v="27"/>
    <x v="27"/>
    <s v="Polteageist"/>
    <s v="Polteageist"/>
    <s v="0855A0"/>
    <s v="Alola"/>
    <s v="Galar"/>
    <s v="Ghost"/>
    <s v="-"/>
    <s v="Basic"/>
    <s v="0854A0"/>
    <s v="0854A0"/>
    <x v="2"/>
    <s v="Experience"/>
    <n v="4"/>
    <x v="1"/>
    <n v="508"/>
    <n v="60"/>
    <n v="65"/>
    <n v="65"/>
    <n v="134"/>
    <n v="114"/>
    <n v="70"/>
    <n v="4"/>
    <n v="10"/>
    <n v="8"/>
    <n v="4"/>
    <n v="26"/>
    <s v="B+"/>
    <m/>
    <s v="Bola Sombra"/>
    <s v="Psicocarga"/>
  </r>
  <r>
    <x v="28"/>
    <x v="28"/>
    <s v="Scorbunny"/>
    <s v="Scorbunny"/>
    <s v="0813A0"/>
    <s v="Galar"/>
    <s v="Galar"/>
    <s v="Fire"/>
    <s v="-"/>
    <s v="Starter"/>
    <s v="0813A0"/>
    <s v="-"/>
    <x v="0"/>
    <s v="-"/>
    <s v="-"/>
    <x v="0"/>
    <n v="310"/>
    <n v="50"/>
    <n v="71"/>
    <n v="40"/>
    <n v="40"/>
    <n v="40"/>
    <n v="69"/>
    <n v="3"/>
    <n v="6"/>
    <n v="4"/>
    <n v="4"/>
    <n v="17"/>
    <s v="C-"/>
    <m/>
    <m/>
    <m/>
  </r>
  <r>
    <x v="28"/>
    <x v="28"/>
    <s v="Raboot"/>
    <s v="Raboot"/>
    <s v="0814A0"/>
    <s v="Galar"/>
    <s v="Galar"/>
    <s v="Fire"/>
    <s v="-"/>
    <s v="Starter"/>
    <s v="0813A0"/>
    <s v="0813A0"/>
    <x v="1"/>
    <s v="Experience"/>
    <n v="3"/>
    <x v="0"/>
    <n v="420"/>
    <n v="65"/>
    <n v="86"/>
    <n v="60"/>
    <n v="55"/>
    <n v="60"/>
    <n v="94"/>
    <n v="4"/>
    <n v="6"/>
    <n v="4"/>
    <n v="5"/>
    <n v="19"/>
    <s v="C"/>
    <m/>
    <m/>
    <m/>
  </r>
  <r>
    <x v="28"/>
    <x v="28"/>
    <s v="Cinderace"/>
    <s v="Cinderace"/>
    <s v="0815A0"/>
    <s v="Galar"/>
    <s v="Galar"/>
    <s v="Fire"/>
    <s v="-"/>
    <s v="Starter"/>
    <s v="0813A0"/>
    <s v="0814A0"/>
    <x v="2"/>
    <s v="Experience"/>
    <n v="4"/>
    <x v="1"/>
    <n v="530"/>
    <n v="80"/>
    <n v="116"/>
    <n v="75"/>
    <n v="65"/>
    <n v="75"/>
    <n v="119"/>
    <n v="5"/>
    <n v="8"/>
    <n v="6"/>
    <n v="7"/>
    <n v="26"/>
    <s v="B+"/>
    <m/>
    <s v="Balón Ígneo"/>
    <s v="Cabezazo Zen"/>
  </r>
  <r>
    <x v="28"/>
    <x v="28"/>
    <s v="Chewtle"/>
    <s v="Chewtle"/>
    <s v="0833A0"/>
    <s v="Galar"/>
    <s v="Galar"/>
    <s v="Water"/>
    <s v="-"/>
    <s v="Basic"/>
    <s v="0833A0"/>
    <s v="-"/>
    <x v="0"/>
    <s v="-"/>
    <s v="-"/>
    <x v="0"/>
    <n v="284"/>
    <n v="50"/>
    <n v="64"/>
    <n v="50"/>
    <n v="38"/>
    <n v="38"/>
    <n v="44"/>
    <n v="3"/>
    <n v="6"/>
    <n v="4"/>
    <n v="3"/>
    <n v="16"/>
    <s v="C-"/>
    <m/>
    <m/>
    <m/>
  </r>
  <r>
    <x v="28"/>
    <x v="28"/>
    <s v="Drednaw"/>
    <s v="Drednaw"/>
    <s v="0834A0"/>
    <s v="Galar"/>
    <s v="Galar"/>
    <s v="Water"/>
    <s v="Rock"/>
    <s v="Basic"/>
    <s v="0833A0"/>
    <s v="0833A0"/>
    <x v="2"/>
    <s v="Experience"/>
    <n v="4"/>
    <x v="1"/>
    <n v="485"/>
    <n v="90"/>
    <n v="115"/>
    <n v="90"/>
    <n v="48"/>
    <n v="68"/>
    <n v="74"/>
    <n v="6"/>
    <n v="8"/>
    <n v="6"/>
    <n v="4"/>
    <n v="24"/>
    <s v="B"/>
    <m/>
    <s v="Hidroariete"/>
    <s v="Avalancha"/>
  </r>
  <r>
    <x v="28"/>
    <x v="28"/>
    <s v="Applin"/>
    <s v="Applin"/>
    <s v="0840A0"/>
    <s v="Galar"/>
    <s v="Galar"/>
    <s v="Grass"/>
    <s v="Dragon"/>
    <s v="Basic"/>
    <s v="0840A0"/>
    <s v="-"/>
    <x v="0"/>
    <s v="-"/>
    <s v="-"/>
    <x v="4"/>
    <n v="260"/>
    <n v="40"/>
    <n v="40"/>
    <n v="80"/>
    <n v="40"/>
    <n v="40"/>
    <n v="20"/>
    <n v="3"/>
    <n v="4"/>
    <n v="4"/>
    <n v="2"/>
    <n v="13"/>
    <s v="F"/>
    <m/>
    <m/>
    <m/>
  </r>
  <r>
    <x v="28"/>
    <x v="28"/>
    <s v="Appletun"/>
    <s v="Appletun"/>
    <s v="0842A0"/>
    <s v="Galar"/>
    <s v="Galar"/>
    <s v="Grass"/>
    <s v="Dragon"/>
    <s v="Basic"/>
    <s v="0840A0"/>
    <s v="0840A0"/>
    <x v="2"/>
    <s v="Gift"/>
    <s v="-"/>
    <x v="1"/>
    <n v="485"/>
    <n v="110"/>
    <n v="85"/>
    <n v="80"/>
    <n v="100"/>
    <n v="80"/>
    <n v="30"/>
    <n v="7"/>
    <n v="8"/>
    <n v="6"/>
    <n v="2"/>
    <n v="23"/>
    <s v="B-"/>
    <m/>
    <s v="Fuerza G"/>
    <s v="Carga Dragón"/>
  </r>
  <r>
    <x v="28"/>
    <x v="28"/>
    <s v="Toxel"/>
    <s v="Toxel"/>
    <s v="0848A0"/>
    <s v="Galar"/>
    <s v="Galar"/>
    <s v="Electric"/>
    <s v="Poison"/>
    <s v="Basic"/>
    <s v="0848A0"/>
    <s v="-"/>
    <x v="0"/>
    <s v="-"/>
    <s v="-"/>
    <x v="4"/>
    <n v="242"/>
    <n v="40"/>
    <n v="38"/>
    <n v="35"/>
    <n v="54"/>
    <n v="35"/>
    <n v="40"/>
    <n v="3"/>
    <n v="4"/>
    <n v="4"/>
    <n v="3"/>
    <n v="14"/>
    <s v="E"/>
    <m/>
    <m/>
    <m/>
  </r>
  <r>
    <x v="28"/>
    <x v="28"/>
    <s v="Toxtricity (Amped Form)"/>
    <s v="Toxtricity"/>
    <s v="0849A0"/>
    <s v="Galar"/>
    <s v="Galar"/>
    <s v="Electric"/>
    <s v="Poison"/>
    <s v="Basic"/>
    <s v="0848A0"/>
    <s v="0848A0"/>
    <x v="2"/>
    <s v="Experience"/>
    <n v="4"/>
    <x v="1"/>
    <n v="502"/>
    <n v="75"/>
    <n v="98"/>
    <n v="70"/>
    <n v="114"/>
    <n v="70"/>
    <n v="75"/>
    <n v="4"/>
    <n v="10"/>
    <n v="6"/>
    <n v="4"/>
    <n v="24"/>
    <s v="B"/>
    <m/>
    <s v="Amplificador"/>
    <s v="Lanza Mugre"/>
  </r>
  <r>
    <x v="28"/>
    <x v="28"/>
    <s v="Impidimp"/>
    <s v="Impidimp"/>
    <s v="0859A0"/>
    <s v="Galar"/>
    <s v="Galar"/>
    <s v="Dark"/>
    <s v="Fairy"/>
    <s v="Basic"/>
    <s v="0859A0"/>
    <s v="-"/>
    <x v="0"/>
    <s v="-"/>
    <s v="-"/>
    <x v="4"/>
    <n v="265"/>
    <n v="45"/>
    <n v="45"/>
    <n v="30"/>
    <n v="55"/>
    <n v="40"/>
    <n v="50"/>
    <n v="3"/>
    <n v="4"/>
    <n v="4"/>
    <n v="3"/>
    <n v="14"/>
    <s v="E"/>
    <m/>
    <m/>
    <m/>
  </r>
  <r>
    <x v="28"/>
    <x v="28"/>
    <s v="Morgrem"/>
    <s v="Morgrem"/>
    <s v="0860A0"/>
    <s v="Galar"/>
    <s v="Galar"/>
    <s v="Dark"/>
    <s v="Fairy"/>
    <s v="Basic"/>
    <s v="0859A0"/>
    <s v="0859A0"/>
    <x v="1"/>
    <s v="Experience"/>
    <n v="3"/>
    <x v="0"/>
    <n v="370"/>
    <n v="65"/>
    <n v="60"/>
    <n v="45"/>
    <n v="75"/>
    <n v="55"/>
    <n v="70"/>
    <n v="4"/>
    <n v="6"/>
    <n v="4"/>
    <n v="4"/>
    <n v="18"/>
    <s v="C"/>
    <m/>
    <m/>
    <m/>
  </r>
  <r>
    <x v="28"/>
    <x v="28"/>
    <s v="Grimmsnarl"/>
    <s v="Grimmsnarl"/>
    <s v="0861A0"/>
    <s v="Galar"/>
    <s v="Galar"/>
    <s v="Dark"/>
    <s v="Fairy"/>
    <s v="Basic"/>
    <s v="0859A0"/>
    <s v="0860A0"/>
    <x v="2"/>
    <s v="Experience"/>
    <n v="4"/>
    <x v="1"/>
    <n v="510"/>
    <n v="95"/>
    <n v="120"/>
    <n v="65"/>
    <n v="95"/>
    <n v="75"/>
    <n v="60"/>
    <n v="6"/>
    <n v="10"/>
    <n v="6"/>
    <n v="4"/>
    <n v="26"/>
    <s v="B+"/>
    <m/>
    <s v="Choque Anímico"/>
    <s v="Golpe Bajo"/>
  </r>
  <r>
    <x v="28"/>
    <x v="28"/>
    <s v="Farfetch'd (Galarian Form)"/>
    <s v="Farfetch'd"/>
    <s v="0083G0"/>
    <s v="Galar"/>
    <s v="Galar"/>
    <s v="Fighting"/>
    <s v="-"/>
    <s v="Basic"/>
    <s v="0083A0"/>
    <s v="-"/>
    <x v="0"/>
    <s v="-"/>
    <s v="-"/>
    <x v="0"/>
    <n v="377"/>
    <n v="52"/>
    <n v="95"/>
    <n v="55"/>
    <n v="58"/>
    <n v="62"/>
    <n v="55"/>
    <n v="3"/>
    <n v="8"/>
    <n v="4"/>
    <n v="4"/>
    <n v="19"/>
    <s v="C"/>
    <m/>
    <m/>
    <m/>
  </r>
  <r>
    <x v="28"/>
    <x v="28"/>
    <s v="Sirfetch'd"/>
    <s v="Sirfetch'd"/>
    <s v="0865A0"/>
    <s v="Galar"/>
    <s v="Galar"/>
    <s v="Fighting"/>
    <s v="-"/>
    <s v="Basic"/>
    <s v="0083A0"/>
    <s v="0083G0"/>
    <x v="2"/>
    <s v="Experience"/>
    <n v="4"/>
    <x v="1"/>
    <n v="507"/>
    <n v="62"/>
    <n v="135"/>
    <n v="95"/>
    <n v="68"/>
    <n v="82"/>
    <n v="65"/>
    <n v="4"/>
    <n v="10"/>
    <n v="6"/>
    <n v="4"/>
    <n v="24"/>
    <s v="B"/>
    <m/>
    <s v="Asalto Estelar"/>
    <s v="Pájaro Osado"/>
  </r>
  <r>
    <x v="29"/>
    <x v="29"/>
    <s v="Sobble"/>
    <s v="Sobble"/>
    <s v="0816A0"/>
    <s v="Galar"/>
    <s v="Galar"/>
    <s v="Water"/>
    <s v="-"/>
    <s v="Starter"/>
    <s v="0816A0"/>
    <s v="-"/>
    <x v="0"/>
    <s v="-"/>
    <s v="-"/>
    <x v="0"/>
    <n v="310"/>
    <n v="50"/>
    <n v="40"/>
    <n v="40"/>
    <n v="70"/>
    <n v="40"/>
    <n v="70"/>
    <n v="3"/>
    <n v="6"/>
    <n v="4"/>
    <n v="4"/>
    <n v="17"/>
    <s v="C-"/>
    <m/>
    <m/>
    <m/>
  </r>
  <r>
    <x v="29"/>
    <x v="29"/>
    <s v="Drizzile"/>
    <s v="Drizzile"/>
    <s v="0817A0"/>
    <s v="Galar"/>
    <s v="Galar"/>
    <s v="Water"/>
    <s v="-"/>
    <s v="Starter"/>
    <s v="0816A0"/>
    <s v="0816A0"/>
    <x v="1"/>
    <s v="Experience"/>
    <n v="3"/>
    <x v="0"/>
    <n v="420"/>
    <n v="65"/>
    <n v="60"/>
    <n v="55"/>
    <n v="95"/>
    <n v="55"/>
    <n v="90"/>
    <n v="4"/>
    <n v="8"/>
    <n v="4"/>
    <n v="5"/>
    <n v="21"/>
    <s v="C+"/>
    <m/>
    <m/>
    <m/>
  </r>
  <r>
    <x v="29"/>
    <x v="29"/>
    <s v="Inteleon"/>
    <s v="Inteleon"/>
    <s v="0818A0"/>
    <s v="Galar"/>
    <s v="Galar"/>
    <s v="Water"/>
    <s v="-"/>
    <s v="Starter"/>
    <s v="0816A0"/>
    <s v="0817A0"/>
    <x v="2"/>
    <s v="Experience"/>
    <n v="4"/>
    <x v="1"/>
    <n v="530"/>
    <n v="70"/>
    <n v="85"/>
    <n v="65"/>
    <n v="125"/>
    <n v="65"/>
    <n v="120"/>
    <n v="4"/>
    <n v="10"/>
    <n v="4"/>
    <n v="7"/>
    <n v="25"/>
    <s v="B"/>
    <m/>
    <s v="Disparo Certero"/>
    <s v="Rayo Hielo"/>
  </r>
  <r>
    <x v="29"/>
    <x v="29"/>
    <s v="Yamper"/>
    <s v="Yamper"/>
    <s v="0835A0"/>
    <s v="Galar"/>
    <s v="Galar"/>
    <s v="Electric"/>
    <s v="-"/>
    <s v="Basic"/>
    <s v="0835A0"/>
    <s v="-"/>
    <x v="0"/>
    <s v="-"/>
    <s v="-"/>
    <x v="4"/>
    <n v="270"/>
    <n v="59"/>
    <n v="45"/>
    <n v="50"/>
    <n v="40"/>
    <n v="50"/>
    <n v="26"/>
    <n v="4"/>
    <n v="4"/>
    <n v="4"/>
    <n v="2"/>
    <n v="14"/>
    <s v="E"/>
    <m/>
    <m/>
    <m/>
  </r>
  <r>
    <x v="29"/>
    <x v="29"/>
    <s v="Boltund"/>
    <s v="Boltund"/>
    <s v="0836A0"/>
    <s v="Galar"/>
    <s v="Galar"/>
    <s v="Electric"/>
    <s v="-"/>
    <s v="Basic"/>
    <s v="0835A0"/>
    <s v="0835A0"/>
    <x v="2"/>
    <s v="Experience"/>
    <n v="4"/>
    <x v="1"/>
    <n v="490"/>
    <n v="69"/>
    <n v="90"/>
    <n v="60"/>
    <n v="90"/>
    <n v="60"/>
    <n v="121"/>
    <n v="4"/>
    <n v="8"/>
    <n v="4"/>
    <n v="7"/>
    <n v="23"/>
    <s v="B-"/>
    <m/>
    <s v="Colmillo Rayo"/>
    <s v="Triturar"/>
  </r>
  <r>
    <x v="29"/>
    <x v="29"/>
    <s v="Sizzlipede"/>
    <s v="Sizzlipede"/>
    <s v="0850A0"/>
    <s v="Galar"/>
    <s v="Galar"/>
    <s v="Fire"/>
    <s v="Bug"/>
    <s v="Basic"/>
    <s v="0850A0"/>
    <s v="-"/>
    <x v="0"/>
    <s v="-"/>
    <s v="-"/>
    <x v="0"/>
    <n v="305"/>
    <n v="50"/>
    <n v="65"/>
    <n v="45"/>
    <n v="50"/>
    <n v="50"/>
    <n v="45"/>
    <n v="3"/>
    <n v="6"/>
    <n v="4"/>
    <n v="3"/>
    <n v="16"/>
    <s v="C-"/>
    <m/>
    <m/>
    <m/>
  </r>
  <r>
    <x v="29"/>
    <x v="29"/>
    <s v="Centiskorch"/>
    <s v="Centiskorch"/>
    <s v="0851A0"/>
    <s v="Galar"/>
    <s v="Galar"/>
    <s v="Fire"/>
    <s v="Bug"/>
    <s v="Basic"/>
    <s v="0850A0"/>
    <s v="0850A0"/>
    <x v="2"/>
    <s v="Experience"/>
    <n v="4"/>
    <x v="1"/>
    <n v="525"/>
    <n v="100"/>
    <n v="115"/>
    <n v="65"/>
    <n v="90"/>
    <n v="90"/>
    <n v="65"/>
    <n v="6"/>
    <n v="10"/>
    <n v="6"/>
    <n v="4"/>
    <n v="26"/>
    <s v="B+"/>
    <m/>
    <s v="Látigo Ígneo"/>
    <s v="Chupavidas"/>
  </r>
  <r>
    <x v="29"/>
    <x v="29"/>
    <s v="Hatenna"/>
    <s v="Hatenna"/>
    <s v="0856A0"/>
    <s v="Galar"/>
    <s v="Galar"/>
    <s v="Psychic"/>
    <s v="-"/>
    <s v="Basic"/>
    <s v="0856A0"/>
    <s v="-"/>
    <x v="0"/>
    <s v="-"/>
    <s v="-"/>
    <x v="4"/>
    <n v="265"/>
    <n v="42"/>
    <n v="30"/>
    <n v="45"/>
    <n v="56"/>
    <n v="53"/>
    <n v="39"/>
    <n v="3"/>
    <n v="4"/>
    <n v="4"/>
    <n v="3"/>
    <n v="14"/>
    <s v="E"/>
    <m/>
    <m/>
    <m/>
  </r>
  <r>
    <x v="29"/>
    <x v="29"/>
    <s v="Hattrem"/>
    <s v="Hattrem"/>
    <s v="0857A0"/>
    <s v="Galar"/>
    <s v="Galar"/>
    <s v="Psychic"/>
    <s v="-"/>
    <s v="Basic"/>
    <s v="0856A0"/>
    <s v="0856A0"/>
    <x v="1"/>
    <s v="Experience"/>
    <n v="3"/>
    <x v="0"/>
    <n v="370"/>
    <n v="57"/>
    <n v="40"/>
    <n v="65"/>
    <n v="86"/>
    <n v="73"/>
    <n v="49"/>
    <n v="4"/>
    <n v="6"/>
    <n v="6"/>
    <n v="3"/>
    <n v="19"/>
    <s v="C"/>
    <m/>
    <m/>
    <m/>
  </r>
  <r>
    <x v="29"/>
    <x v="29"/>
    <s v="Hatterene"/>
    <s v="Hatterene"/>
    <s v="0858A0"/>
    <s v="Galar"/>
    <s v="Galar"/>
    <s v="Psychic"/>
    <s v="Fairy"/>
    <s v="Basic"/>
    <s v="0856A0"/>
    <s v="0857A0"/>
    <x v="2"/>
    <s v="Experience"/>
    <n v="5"/>
    <x v="1"/>
    <n v="510"/>
    <n v="57"/>
    <n v="90"/>
    <n v="95"/>
    <n v="136"/>
    <n v="103"/>
    <n v="29"/>
    <n v="4"/>
    <n v="10"/>
    <n v="8"/>
    <n v="2"/>
    <n v="24"/>
    <s v="B"/>
    <m/>
    <s v="Psicocarga"/>
    <s v="Beso Drenaje"/>
  </r>
  <r>
    <x v="29"/>
    <x v="29"/>
    <s v="Meowth (Galarian Form)"/>
    <s v="Meowth"/>
    <s v="0052G0"/>
    <s v="Galar"/>
    <s v="Galar"/>
    <s v="Steel"/>
    <s v="-"/>
    <s v="Basic"/>
    <s v="0052A0"/>
    <s v="-"/>
    <x v="0"/>
    <s v="-"/>
    <s v="-"/>
    <x v="0"/>
    <n v="290"/>
    <n v="50"/>
    <n v="65"/>
    <n v="55"/>
    <n v="40"/>
    <n v="40"/>
    <n v="40"/>
    <n v="3"/>
    <n v="6"/>
    <n v="4"/>
    <n v="3"/>
    <n v="16"/>
    <s v="C-"/>
    <m/>
    <m/>
    <m/>
  </r>
  <r>
    <x v="29"/>
    <x v="29"/>
    <s v="Perrserker"/>
    <s v="Perrserker"/>
    <s v="0863A0"/>
    <s v="Galar"/>
    <s v="Galar"/>
    <s v="Steel"/>
    <s v="-"/>
    <s v="Basic"/>
    <s v="0052A0"/>
    <s v="0052G0"/>
    <x v="2"/>
    <s v="Experience"/>
    <n v="3"/>
    <x v="0"/>
    <n v="440"/>
    <n v="70"/>
    <n v="110"/>
    <n v="100"/>
    <n v="50"/>
    <n v="60"/>
    <n v="50"/>
    <n v="4"/>
    <n v="8"/>
    <n v="6"/>
    <n v="3"/>
    <n v="21"/>
    <s v="C+"/>
    <m/>
    <s v="Cabeza de Hierro"/>
    <s v="Bomba Germen"/>
  </r>
  <r>
    <x v="29"/>
    <x v="29"/>
    <s v="Dreepy"/>
    <s v="Dreepy"/>
    <s v="0885A0"/>
    <s v="Galar"/>
    <s v="Galar"/>
    <s v="Dragon"/>
    <s v="Ghost"/>
    <s v="Basic"/>
    <s v="0885A0"/>
    <s v="-"/>
    <x v="0"/>
    <s v="-"/>
    <s v="-"/>
    <x v="0"/>
    <n v="270"/>
    <n v="28"/>
    <n v="60"/>
    <n v="30"/>
    <n v="40"/>
    <n v="30"/>
    <n v="82"/>
    <n v="2"/>
    <n v="6"/>
    <n v="4"/>
    <n v="5"/>
    <n v="17"/>
    <s v="C-"/>
    <m/>
    <m/>
    <m/>
  </r>
  <r>
    <x v="29"/>
    <x v="29"/>
    <s v="Drakloak"/>
    <s v="Drakloak"/>
    <s v="0886A0"/>
    <s v="Galar"/>
    <s v="Galar"/>
    <s v="Dragon"/>
    <s v="Ghost"/>
    <s v="Basic"/>
    <s v="0885A0"/>
    <s v="0885A0"/>
    <x v="1"/>
    <s v="Experience"/>
    <n v="4"/>
    <x v="0"/>
    <n v="410"/>
    <n v="68"/>
    <n v="80"/>
    <n v="50"/>
    <n v="60"/>
    <n v="50"/>
    <n v="102"/>
    <n v="4"/>
    <n v="6"/>
    <n v="4"/>
    <n v="6"/>
    <n v="20"/>
    <s v="C+"/>
    <m/>
    <m/>
    <m/>
  </r>
  <r>
    <x v="29"/>
    <x v="29"/>
    <s v="Dragapult"/>
    <s v="Dragapult"/>
    <s v="0887A0"/>
    <s v="Galar"/>
    <s v="Galar"/>
    <s v="Dragon"/>
    <s v="Ghost"/>
    <s v="Basic"/>
    <s v="0885A0"/>
    <s v="0886A0"/>
    <x v="2"/>
    <s v="Experience"/>
    <n v="6"/>
    <x v="3"/>
    <n v="600"/>
    <n v="88"/>
    <n v="120"/>
    <n v="75"/>
    <n v="100"/>
    <n v="75"/>
    <n v="142"/>
    <n v="5"/>
    <n v="10"/>
    <n v="6"/>
    <n v="8"/>
    <n v="29"/>
    <s v="A-"/>
    <m/>
    <s v="Dracoflechas"/>
    <s v="Golpe Fantasma"/>
  </r>
  <r>
    <x v="30"/>
    <x v="30"/>
    <s v="Darumaka (Galarian Form)"/>
    <s v="Darumaka"/>
    <s v="0554G0"/>
    <s v="Galar"/>
    <s v="Galar"/>
    <s v="Ice"/>
    <s v="-"/>
    <s v="Basic"/>
    <s v="0554A0"/>
    <s v="-"/>
    <x v="0"/>
    <s v="-"/>
    <s v="-"/>
    <x v="0"/>
    <n v="315"/>
    <n v="70"/>
    <n v="90"/>
    <n v="45"/>
    <n v="15"/>
    <n v="45"/>
    <n v="50"/>
    <n v="4"/>
    <n v="6"/>
    <n v="4"/>
    <n v="3"/>
    <n v="17"/>
    <s v="C-"/>
    <m/>
    <m/>
    <m/>
  </r>
  <r>
    <x v="30"/>
    <x v="30"/>
    <s v="Darmanitan (Galarian Standard Form)"/>
    <s v="Darmanitan"/>
    <s v="0555G0"/>
    <s v="Galar"/>
    <s v="Galar"/>
    <s v="Ice"/>
    <s v="-"/>
    <s v="Basic"/>
    <s v="0554A0"/>
    <s v="0554G0"/>
    <x v="2"/>
    <s v="Experience"/>
    <n v="4"/>
    <x v="1"/>
    <n v="480"/>
    <n v="105"/>
    <n v="140"/>
    <n v="55"/>
    <n v="30"/>
    <n v="55"/>
    <n v="95"/>
    <n v="7"/>
    <n v="10"/>
    <n v="4"/>
    <n v="5"/>
    <n v="26"/>
    <s v="B+"/>
    <m/>
    <s v="Chuzos"/>
    <s v="Envite Ígneo"/>
  </r>
  <r>
    <x v="30"/>
    <x v="30"/>
    <s v="Darmanitan (Galarian Zen Form)"/>
    <s v="Darmanitan"/>
    <s v="0555I0"/>
    <s v="Galar"/>
    <s v="Galar"/>
    <s v="Ice"/>
    <s v="Fire"/>
    <s v="Basic"/>
    <s v="0554A0"/>
    <s v="0554G0"/>
    <x v="2"/>
    <s v="-"/>
    <s v="-"/>
    <x v="2"/>
    <n v="540"/>
    <n v="105"/>
    <n v="160"/>
    <n v="55"/>
    <n v="30"/>
    <n v="55"/>
    <n v="135"/>
    <n v="7"/>
    <n v="10"/>
    <n v="4"/>
    <n v="7"/>
    <n v="28"/>
    <s v="A-"/>
    <m/>
    <s v="Chuzos"/>
    <s v="Envite Ígneo"/>
  </r>
  <r>
    <x v="30"/>
    <x v="30"/>
    <s v="Grookey"/>
    <s v="Grookey"/>
    <s v="0810A0"/>
    <s v="Galar"/>
    <s v="Galar"/>
    <s v="Grass"/>
    <s v="-"/>
    <s v="Starter"/>
    <s v="0810A0"/>
    <s v="-"/>
    <x v="0"/>
    <s v="-"/>
    <s v="-"/>
    <x v="0"/>
    <n v="310"/>
    <n v="50"/>
    <n v="65"/>
    <n v="50"/>
    <n v="40"/>
    <n v="40"/>
    <n v="65"/>
    <n v="3"/>
    <n v="6"/>
    <n v="4"/>
    <n v="4"/>
    <n v="17"/>
    <s v="C-"/>
    <m/>
    <m/>
    <m/>
  </r>
  <r>
    <x v="30"/>
    <x v="30"/>
    <s v="Thwackey"/>
    <s v="Thwackey"/>
    <s v="0811A0"/>
    <s v="Galar"/>
    <s v="Galar"/>
    <s v="Grass"/>
    <s v="-"/>
    <s v="Starter"/>
    <s v="0810A0"/>
    <s v="0810A0"/>
    <x v="1"/>
    <s v="Experience"/>
    <n v="3"/>
    <x v="0"/>
    <n v="420"/>
    <n v="70"/>
    <n v="85"/>
    <n v="70"/>
    <n v="55"/>
    <n v="60"/>
    <n v="80"/>
    <n v="4"/>
    <n v="6"/>
    <n v="4"/>
    <n v="5"/>
    <n v="19"/>
    <s v="C"/>
    <m/>
    <m/>
    <m/>
  </r>
  <r>
    <x v="30"/>
    <x v="30"/>
    <s v="Rillaboom"/>
    <s v="Rillaboom"/>
    <s v="0812A0"/>
    <s v="Galar"/>
    <s v="Galar"/>
    <s v="Grass"/>
    <s v="-"/>
    <s v="Starter"/>
    <s v="0810A0"/>
    <s v="0811A0"/>
    <x v="2"/>
    <s v="Experience"/>
    <n v="4"/>
    <x v="1"/>
    <n v="530"/>
    <n v="100"/>
    <n v="125"/>
    <n v="90"/>
    <n v="60"/>
    <n v="70"/>
    <n v="85"/>
    <n v="6"/>
    <n v="10"/>
    <n v="6"/>
    <n v="5"/>
    <n v="27"/>
    <s v="B+"/>
    <m/>
    <s v="Fitoimpulso"/>
    <s v="Fuerza Bruta"/>
  </r>
  <r>
    <x v="30"/>
    <x v="30"/>
    <s v="Rookidee"/>
    <s v="Rookidee"/>
    <s v="0821A0"/>
    <s v="Galar"/>
    <s v="Galar"/>
    <s v="Flying"/>
    <s v="-"/>
    <s v="Basic"/>
    <s v="0821A0"/>
    <s v="-"/>
    <x v="0"/>
    <s v="-"/>
    <s v="-"/>
    <x v="4"/>
    <n v="245"/>
    <n v="38"/>
    <n v="47"/>
    <n v="35"/>
    <n v="33"/>
    <n v="35"/>
    <n v="57"/>
    <n v="3"/>
    <n v="4"/>
    <n v="4"/>
    <n v="4"/>
    <n v="15"/>
    <s v="D"/>
    <m/>
    <m/>
    <m/>
  </r>
  <r>
    <x v="30"/>
    <x v="30"/>
    <s v="Corvisquire"/>
    <s v="Corvisquire"/>
    <s v="0822A0"/>
    <s v="Galar"/>
    <s v="Galar"/>
    <s v="Flying"/>
    <s v="-"/>
    <s v="Basic"/>
    <s v="0821A0"/>
    <s v="0821A0"/>
    <x v="1"/>
    <s v="Experience"/>
    <n v="3"/>
    <x v="0"/>
    <n v="365"/>
    <n v="68"/>
    <n v="67"/>
    <n v="55"/>
    <n v="43"/>
    <n v="55"/>
    <n v="77"/>
    <n v="4"/>
    <n v="6"/>
    <n v="4"/>
    <n v="5"/>
    <n v="19"/>
    <s v="C"/>
    <m/>
    <m/>
    <m/>
  </r>
  <r>
    <x v="30"/>
    <x v="30"/>
    <s v="Corviknight"/>
    <s v="Corviknight"/>
    <s v="0823A0"/>
    <s v="Galar"/>
    <s v="Galar"/>
    <s v="Flying"/>
    <s v="Steel"/>
    <s v="Basic"/>
    <s v="0821A0"/>
    <s v="0822A0"/>
    <x v="2"/>
    <s v="Experience"/>
    <n v="4"/>
    <x v="1"/>
    <n v="495"/>
    <n v="98"/>
    <n v="87"/>
    <n v="105"/>
    <n v="53"/>
    <n v="85"/>
    <n v="67"/>
    <n v="6"/>
    <n v="8"/>
    <n v="8"/>
    <n v="4"/>
    <n v="26"/>
    <s v="B+"/>
    <m/>
    <s v="Pájaro Osado"/>
    <s v="Cuerpo Pesado"/>
  </r>
  <r>
    <x v="30"/>
    <x v="30"/>
    <s v="Wooloo"/>
    <s v="Wooloo"/>
    <s v="0831A0"/>
    <s v="Galar"/>
    <s v="Galar"/>
    <s v="Normal"/>
    <s v="-"/>
    <s v="Basic"/>
    <s v="0831A0"/>
    <s v="-"/>
    <x v="0"/>
    <s v="-"/>
    <s v="-"/>
    <x v="4"/>
    <n v="270"/>
    <n v="42"/>
    <n v="40"/>
    <n v="55"/>
    <n v="40"/>
    <n v="45"/>
    <n v="48"/>
    <n v="3"/>
    <n v="4"/>
    <n v="4"/>
    <n v="3"/>
    <n v="14"/>
    <s v="E"/>
    <m/>
    <m/>
    <m/>
  </r>
  <r>
    <x v="30"/>
    <x v="30"/>
    <s v="Dubwool"/>
    <s v="Dubwool"/>
    <s v="0832A0"/>
    <s v="Galar"/>
    <s v="Galar"/>
    <s v="Normal"/>
    <s v="-"/>
    <s v="Basic"/>
    <s v="0831A0"/>
    <s v="0831A0"/>
    <x v="2"/>
    <s v="Experience"/>
    <n v="4"/>
    <x v="1"/>
    <n v="490"/>
    <n v="72"/>
    <n v="80"/>
    <n v="100"/>
    <n v="60"/>
    <n v="90"/>
    <n v="88"/>
    <n v="4"/>
    <n v="6"/>
    <n v="8"/>
    <n v="5"/>
    <n v="23"/>
    <s v="B-"/>
    <m/>
    <s v="Golpe Cuerpo"/>
    <s v="Cabezazo Zen"/>
  </r>
  <r>
    <x v="30"/>
    <x v="30"/>
    <s v="Cramorant"/>
    <s v="Cramorant"/>
    <s v="0845A0"/>
    <s v="Galar"/>
    <s v="Galar"/>
    <s v="Flying"/>
    <s v="Water"/>
    <s v="Basic"/>
    <s v="0845A0"/>
    <s v="-"/>
    <x v="2"/>
    <s v="-"/>
    <s v="-"/>
    <x v="1"/>
    <n v="475"/>
    <n v="70"/>
    <n v="85"/>
    <n v="55"/>
    <n v="85"/>
    <n v="95"/>
    <n v="85"/>
    <n v="4"/>
    <n v="8"/>
    <n v="6"/>
    <n v="5"/>
    <n v="23"/>
    <s v="B-"/>
    <m/>
    <s v="Surf"/>
    <s v="Vendaval"/>
  </r>
  <r>
    <x v="30"/>
    <x v="30"/>
    <s v="Dracozolt"/>
    <s v="Dracozolt"/>
    <s v="0880A0"/>
    <s v="Galar"/>
    <s v="Galar"/>
    <s v="Electric"/>
    <s v="Dragon"/>
    <s v="Basic"/>
    <s v="0880A0"/>
    <s v="-"/>
    <x v="2"/>
    <s v="-"/>
    <s v="-"/>
    <x v="1"/>
    <n v="505"/>
    <n v="90"/>
    <n v="100"/>
    <n v="90"/>
    <n v="80"/>
    <n v="70"/>
    <n v="75"/>
    <n v="6"/>
    <n v="8"/>
    <n v="6"/>
    <n v="4"/>
    <n v="24"/>
    <s v="B"/>
    <m/>
    <s v="Electropico"/>
    <s v="Enfado"/>
  </r>
  <r>
    <x v="31"/>
    <x v="31"/>
    <s v="Quaxly"/>
    <s v="Quaxly"/>
    <s v="0912A0"/>
    <s v="Paldea"/>
    <s v="Paldea"/>
    <s v="Water"/>
    <s v="-"/>
    <s v="Starter"/>
    <s v="0912A0"/>
    <s v="-"/>
    <x v="0"/>
    <s v="-"/>
    <s v="-"/>
    <x v="0"/>
    <n v="310"/>
    <n v="55"/>
    <n v="65"/>
    <n v="45"/>
    <n v="50"/>
    <n v="45"/>
    <n v="50"/>
    <n v="3"/>
    <n v="6"/>
    <n v="4"/>
    <n v="3"/>
    <n v="16"/>
    <s v="C-"/>
    <m/>
    <m/>
    <m/>
  </r>
  <r>
    <x v="31"/>
    <x v="31"/>
    <s v="Quaxwell"/>
    <s v="Quaxwell"/>
    <s v="0913A0"/>
    <s v="Paldea"/>
    <s v="Paldea"/>
    <s v="Water"/>
    <s v="-"/>
    <s v="Starter"/>
    <s v="0912A0"/>
    <s v="0912A0"/>
    <x v="1"/>
    <s v="Experience"/>
    <n v="3"/>
    <x v="0"/>
    <n v="410"/>
    <n v="70"/>
    <n v="85"/>
    <n v="65"/>
    <n v="65"/>
    <n v="60"/>
    <n v="65"/>
    <n v="4"/>
    <n v="8"/>
    <n v="4"/>
    <n v="4"/>
    <n v="20"/>
    <s v="C+"/>
    <m/>
    <m/>
    <m/>
  </r>
  <r>
    <x v="31"/>
    <x v="31"/>
    <s v="Quaquaval"/>
    <s v="Quaquaval"/>
    <s v="0914A0"/>
    <s v="Paldea"/>
    <s v="Paldea"/>
    <s v="Water"/>
    <s v="Fighting"/>
    <s v="Starter"/>
    <s v="0912A0"/>
    <s v="0913A0"/>
    <x v="2"/>
    <s v="Experience"/>
    <n v="4"/>
    <x v="1"/>
    <n v="530"/>
    <n v="85"/>
    <n v="120"/>
    <n v="80"/>
    <n v="85"/>
    <n v="75"/>
    <n v="85"/>
    <n v="5"/>
    <n v="10"/>
    <n v="6"/>
    <n v="5"/>
    <n v="26"/>
    <s v="B+"/>
    <m/>
    <s v="Danza Acuática"/>
    <s v="Patada Baja"/>
  </r>
  <r>
    <x v="31"/>
    <x v="31"/>
    <s v="Fidough"/>
    <s v="Fidough"/>
    <s v="0926A0"/>
    <s v="Paldea"/>
    <s v="Paldea"/>
    <s v="Fairy"/>
    <s v="-"/>
    <s v="Basic"/>
    <s v="0926A0"/>
    <s v="-"/>
    <x v="0"/>
    <s v="-"/>
    <s v="-"/>
    <x v="0"/>
    <n v="312"/>
    <n v="37"/>
    <n v="55"/>
    <n v="70"/>
    <n v="30"/>
    <n v="55"/>
    <n v="65"/>
    <n v="3"/>
    <n v="4"/>
    <n v="4"/>
    <n v="4"/>
    <n v="15"/>
    <s v="D"/>
    <m/>
    <m/>
    <m/>
  </r>
  <r>
    <x v="31"/>
    <x v="31"/>
    <s v="Dachsbun"/>
    <s v="Dachsbun"/>
    <s v="0927A0"/>
    <s v="Paldea"/>
    <s v="Paldea"/>
    <s v="Fairy"/>
    <s v="-"/>
    <s v="Basic"/>
    <s v="0926A0"/>
    <s v="0926A0"/>
    <x v="2"/>
    <s v="Experience"/>
    <n v="4"/>
    <x v="1"/>
    <n v="477"/>
    <n v="57"/>
    <n v="80"/>
    <n v="115"/>
    <n v="50"/>
    <n v="80"/>
    <n v="95"/>
    <n v="4"/>
    <n v="6"/>
    <n v="8"/>
    <n v="5"/>
    <n v="23"/>
    <s v="B-"/>
    <m/>
    <s v="Carantoña"/>
    <s v="Colmillo Hielo"/>
  </r>
  <r>
    <x v="31"/>
    <x v="31"/>
    <s v="Smoliv"/>
    <s v="Smoliv"/>
    <s v="0928A0"/>
    <s v="Paldea"/>
    <s v="Paldea"/>
    <s v="Grass"/>
    <s v="Normal"/>
    <s v="Basic"/>
    <s v="0928A0"/>
    <s v="-"/>
    <x v="0"/>
    <s v="-"/>
    <s v="-"/>
    <x v="4"/>
    <n v="260"/>
    <n v="41"/>
    <n v="35"/>
    <n v="45"/>
    <n v="58"/>
    <n v="51"/>
    <n v="30"/>
    <n v="3"/>
    <n v="6"/>
    <n v="4"/>
    <n v="2"/>
    <n v="15"/>
    <s v="D"/>
    <m/>
    <m/>
    <m/>
  </r>
  <r>
    <x v="31"/>
    <x v="31"/>
    <s v="Dolliv"/>
    <s v="Dolliv"/>
    <s v="0929A0"/>
    <s v="Paldea"/>
    <s v="Paldea"/>
    <s v="Grass"/>
    <s v="Normal"/>
    <s v="Basic"/>
    <s v="0928A0"/>
    <s v="0928A0"/>
    <x v="1"/>
    <s v="Experience"/>
    <n v="3"/>
    <x v="0"/>
    <n v="354"/>
    <n v="52"/>
    <n v="53"/>
    <n v="60"/>
    <n v="78"/>
    <n v="78"/>
    <n v="33"/>
    <n v="3"/>
    <n v="6"/>
    <n v="6"/>
    <n v="2"/>
    <n v="17"/>
    <s v="C-"/>
    <m/>
    <m/>
    <m/>
  </r>
  <r>
    <x v="31"/>
    <x v="31"/>
    <s v="Arboliva"/>
    <s v="Arboliva"/>
    <s v="0930A0"/>
    <s v="Paldea"/>
    <s v="Paldea"/>
    <s v="Grass"/>
    <s v="Normal"/>
    <s v="Basic"/>
    <s v="0928A0"/>
    <s v="0929A0"/>
    <x v="2"/>
    <s v="Experience"/>
    <n v="4"/>
    <x v="1"/>
    <n v="510"/>
    <n v="78"/>
    <n v="69"/>
    <n v="90"/>
    <n v="125"/>
    <n v="109"/>
    <n v="39"/>
    <n v="5"/>
    <n v="10"/>
    <n v="8"/>
    <n v="3"/>
    <n v="26"/>
    <s v="B+"/>
    <m/>
    <s v="Energibola"/>
    <s v="Meteorobola"/>
  </r>
  <r>
    <x v="31"/>
    <x v="31"/>
    <s v="Nacli"/>
    <s v="Nacli"/>
    <s v="0932A0"/>
    <s v="Paldea"/>
    <s v="Paldea"/>
    <s v="Rock"/>
    <s v="-"/>
    <s v="Basic"/>
    <s v="0932A0"/>
    <s v="-"/>
    <x v="0"/>
    <s v="-"/>
    <s v="-"/>
    <x v="4"/>
    <n v="280"/>
    <n v="55"/>
    <n v="55"/>
    <n v="75"/>
    <n v="35"/>
    <n v="35"/>
    <n v="25"/>
    <n v="3"/>
    <n v="4"/>
    <n v="4"/>
    <n v="2"/>
    <n v="13"/>
    <s v="F"/>
    <m/>
    <m/>
    <m/>
  </r>
  <r>
    <x v="31"/>
    <x v="31"/>
    <s v="Naclstack"/>
    <s v="Naclstack"/>
    <s v="0933A0"/>
    <s v="Paldea"/>
    <s v="Paldea"/>
    <s v="Rock"/>
    <s v="-"/>
    <s v="Basic"/>
    <s v="0932A0"/>
    <s v="0932A0"/>
    <x v="1"/>
    <s v="Experience"/>
    <n v="3"/>
    <x v="0"/>
    <n v="355"/>
    <n v="60"/>
    <n v="60"/>
    <n v="100"/>
    <n v="35"/>
    <n v="65"/>
    <n v="35"/>
    <n v="4"/>
    <n v="6"/>
    <n v="6"/>
    <n v="2"/>
    <n v="18"/>
    <s v="C"/>
    <m/>
    <m/>
    <m/>
  </r>
  <r>
    <x v="31"/>
    <x v="31"/>
    <s v="Garganacl"/>
    <s v="Garganacl"/>
    <s v="0934A0"/>
    <s v="Paldea"/>
    <s v="Paldea"/>
    <s v="Rock"/>
    <s v="-"/>
    <s v="Basic"/>
    <s v="0932A0"/>
    <s v="0933A0"/>
    <x v="2"/>
    <s v="Experience"/>
    <n v="4"/>
    <x v="1"/>
    <n v="500"/>
    <n v="100"/>
    <n v="100"/>
    <n v="130"/>
    <n v="45"/>
    <n v="90"/>
    <n v="35"/>
    <n v="6"/>
    <n v="8"/>
    <n v="10"/>
    <n v="2"/>
    <n v="26"/>
    <s v="B+"/>
    <m/>
    <s v="Salazón"/>
    <s v="Cabezazo Zen"/>
  </r>
  <r>
    <x v="31"/>
    <x v="31"/>
    <s v="Charcadet"/>
    <s v="Charcadet"/>
    <s v="0935A0"/>
    <s v="Paldea"/>
    <s v="Paldea"/>
    <s v="Fire"/>
    <s v="-"/>
    <s v="Basic"/>
    <s v="0935A0"/>
    <s v="-"/>
    <x v="0"/>
    <s v="-"/>
    <s v="-"/>
    <x v="4"/>
    <n v="255"/>
    <n v="40"/>
    <n v="50"/>
    <n v="40"/>
    <n v="50"/>
    <n v="40"/>
    <n v="35"/>
    <n v="3"/>
    <n v="4"/>
    <n v="4"/>
    <n v="2"/>
    <n v="13"/>
    <s v="F"/>
    <m/>
    <m/>
    <m/>
  </r>
  <r>
    <x v="31"/>
    <x v="31"/>
    <s v="Ceruledge"/>
    <s v="Ceruledge"/>
    <s v="0937A0"/>
    <s v="Paldea"/>
    <s v="Paldea"/>
    <s v="Fire"/>
    <s v="Ghost"/>
    <s v="Basic"/>
    <s v="0935A0"/>
    <s v="0935A0"/>
    <x v="2"/>
    <s v="Gift"/>
    <s v="-"/>
    <x v="1"/>
    <n v="525"/>
    <n v="75"/>
    <n v="125"/>
    <n v="80"/>
    <n v="60"/>
    <n v="100"/>
    <n v="85"/>
    <n v="4"/>
    <n v="10"/>
    <n v="8"/>
    <n v="5"/>
    <n v="27"/>
    <s v="B+"/>
    <m/>
    <s v="Espada Lamento"/>
    <s v="Garra Umbría"/>
  </r>
  <r>
    <x v="31"/>
    <x v="31"/>
    <s v="Wattrel"/>
    <s v="Wattrel"/>
    <s v="0940A0"/>
    <s v="Paldea"/>
    <s v="Paldea"/>
    <s v="Electric"/>
    <s v="Flying"/>
    <s v="Basic"/>
    <s v="0940A0"/>
    <s v="-"/>
    <x v="0"/>
    <s v="-"/>
    <s v="-"/>
    <x v="4"/>
    <n v="280"/>
    <n v="40"/>
    <n v="40"/>
    <n v="35"/>
    <n v="55"/>
    <n v="40"/>
    <n v="70"/>
    <n v="3"/>
    <n v="4"/>
    <n v="4"/>
    <n v="4"/>
    <n v="15"/>
    <s v="D"/>
    <m/>
    <m/>
    <m/>
  </r>
  <r>
    <x v="31"/>
    <x v="31"/>
    <s v="Kilowattrel"/>
    <s v="Kilowattrel"/>
    <s v="0941A0"/>
    <s v="Paldea"/>
    <s v="Paldea"/>
    <s v="Electric"/>
    <s v="Flying"/>
    <s v="Basic"/>
    <s v="0940A0"/>
    <s v="0940A0"/>
    <x v="2"/>
    <s v="Experience"/>
    <n v="4"/>
    <x v="1"/>
    <n v="490"/>
    <n v="70"/>
    <n v="70"/>
    <n v="60"/>
    <n v="105"/>
    <n v="60"/>
    <n v="125"/>
    <n v="4"/>
    <n v="8"/>
    <n v="4"/>
    <n v="7"/>
    <n v="23"/>
    <s v="B-"/>
    <m/>
    <s v="Trueno"/>
    <s v="Vendaval"/>
  </r>
  <r>
    <x v="32"/>
    <x v="32"/>
    <s v="Fuecoco"/>
    <s v="Fuecoco"/>
    <s v="0909A0"/>
    <s v="Paldea"/>
    <s v="Paldea"/>
    <s v="Fire"/>
    <s v="-"/>
    <s v="Starter"/>
    <s v="0909A0"/>
    <s v="-"/>
    <x v="0"/>
    <s v="-"/>
    <s v="-"/>
    <x v="0"/>
    <n v="310"/>
    <n v="67"/>
    <n v="45"/>
    <n v="59"/>
    <n v="63"/>
    <n v="40"/>
    <n v="36"/>
    <n v="4"/>
    <n v="6"/>
    <n v="4"/>
    <n v="2"/>
    <n v="16"/>
    <s v="C-"/>
    <m/>
    <m/>
    <m/>
  </r>
  <r>
    <x v="32"/>
    <x v="32"/>
    <s v="Crocalor"/>
    <s v="Crocalor"/>
    <s v="0910A0"/>
    <s v="Paldea"/>
    <s v="Paldea"/>
    <s v="Fire"/>
    <s v="-"/>
    <s v="Starter"/>
    <s v="0909A0"/>
    <s v="0909A0"/>
    <x v="1"/>
    <s v="Experience"/>
    <n v="3"/>
    <x v="0"/>
    <n v="411"/>
    <n v="81"/>
    <n v="55"/>
    <n v="78"/>
    <n v="90"/>
    <n v="58"/>
    <n v="49"/>
    <n v="5"/>
    <n v="8"/>
    <n v="6"/>
    <n v="3"/>
    <n v="22"/>
    <s v="B-"/>
    <m/>
    <m/>
    <m/>
  </r>
  <r>
    <x v="32"/>
    <x v="32"/>
    <s v="Skeledirge"/>
    <s v="Skeledirge"/>
    <s v="0911A0"/>
    <s v="Paldea"/>
    <s v="Paldea"/>
    <s v="Fire"/>
    <s v="Ghost"/>
    <s v="Starter"/>
    <s v="0909A0"/>
    <s v="0910A0"/>
    <x v="2"/>
    <s v="Experience"/>
    <n v="4"/>
    <x v="1"/>
    <n v="530"/>
    <n v="104"/>
    <n v="75"/>
    <n v="100"/>
    <n v="110"/>
    <n v="75"/>
    <n v="66"/>
    <n v="7"/>
    <n v="8"/>
    <n v="8"/>
    <n v="4"/>
    <n v="27"/>
    <s v="B+"/>
    <m/>
    <s v="Canto Ardiente"/>
    <s v="Bola Sombra"/>
  </r>
  <r>
    <x v="32"/>
    <x v="32"/>
    <s v="Pawmi"/>
    <s v="Pawmi"/>
    <s v="0921A0"/>
    <s v="Paldea"/>
    <s v="Paldea"/>
    <s v="Electric"/>
    <s v="-"/>
    <s v="Basic"/>
    <s v="0921A0"/>
    <s v="-"/>
    <x v="0"/>
    <s v="-"/>
    <s v="-"/>
    <x v="4"/>
    <n v="240"/>
    <n v="45"/>
    <n v="50"/>
    <n v="20"/>
    <n v="40"/>
    <n v="25"/>
    <n v="60"/>
    <n v="3"/>
    <n v="4"/>
    <n v="4"/>
    <n v="4"/>
    <n v="15"/>
    <s v="D"/>
    <m/>
    <m/>
    <m/>
  </r>
  <r>
    <x v="32"/>
    <x v="32"/>
    <s v="Pawmo"/>
    <s v="Pawmo"/>
    <s v="0922A0"/>
    <s v="Paldea"/>
    <s v="Paldea"/>
    <s v="Electric"/>
    <s v="Fighting"/>
    <s v="Basic"/>
    <s v="0921A0"/>
    <s v="0921A0"/>
    <x v="1"/>
    <s v="Experience"/>
    <n v="3"/>
    <x v="0"/>
    <n v="350"/>
    <n v="60"/>
    <n v="75"/>
    <n v="40"/>
    <n v="50"/>
    <n v="40"/>
    <n v="85"/>
    <n v="4"/>
    <n v="6"/>
    <n v="4"/>
    <n v="5"/>
    <n v="19"/>
    <s v="C"/>
    <m/>
    <m/>
    <m/>
  </r>
  <r>
    <x v="32"/>
    <x v="32"/>
    <s v="Pawmot"/>
    <s v="Pawmot"/>
    <s v="0923A0"/>
    <s v="Paldea"/>
    <s v="Paldea"/>
    <s v="Electric"/>
    <s v="Fighting"/>
    <s v="Basic"/>
    <s v="0921A0"/>
    <s v="0922A0"/>
    <x v="2"/>
    <s v="Experience"/>
    <n v="4"/>
    <x v="1"/>
    <n v="490"/>
    <n v="70"/>
    <n v="115"/>
    <n v="70"/>
    <n v="70"/>
    <n v="60"/>
    <n v="105"/>
    <n v="4"/>
    <n v="8"/>
    <n v="4"/>
    <n v="6"/>
    <n v="22"/>
    <s v="B-"/>
    <m/>
    <s v="Electropalmas"/>
    <s v="A Bocajarro"/>
  </r>
  <r>
    <x v="32"/>
    <x v="32"/>
    <s v="Tinkatink"/>
    <s v="Tinkatink"/>
    <s v="0957A0"/>
    <s v="Paldea"/>
    <s v="Paldea"/>
    <s v="Fairy"/>
    <s v="Steel"/>
    <s v="Basic"/>
    <s v="0957A0"/>
    <s v="-"/>
    <x v="0"/>
    <s v="-"/>
    <s v="-"/>
    <x v="0"/>
    <n v="297"/>
    <n v="50"/>
    <n v="45"/>
    <n v="45"/>
    <n v="35"/>
    <n v="64"/>
    <n v="58"/>
    <n v="3"/>
    <n v="4"/>
    <n v="4"/>
    <n v="4"/>
    <n v="15"/>
    <s v="D"/>
    <m/>
    <m/>
    <m/>
  </r>
  <r>
    <x v="32"/>
    <x v="32"/>
    <s v="Tinkatuff"/>
    <s v="Tinkatuff"/>
    <s v="0958A0"/>
    <s v="Paldea"/>
    <s v="Paldea"/>
    <s v="Fairy"/>
    <s v="Steel"/>
    <s v="Basic"/>
    <s v="0957A0"/>
    <s v="0957A0"/>
    <x v="1"/>
    <s v="Experience"/>
    <n v="3"/>
    <x v="0"/>
    <n v="380"/>
    <n v="65"/>
    <n v="55"/>
    <n v="55"/>
    <n v="45"/>
    <n v="82"/>
    <n v="78"/>
    <n v="4"/>
    <n v="4"/>
    <n v="6"/>
    <n v="5"/>
    <n v="19"/>
    <s v="C"/>
    <m/>
    <m/>
    <m/>
  </r>
  <r>
    <x v="32"/>
    <x v="32"/>
    <s v="Tinkaton"/>
    <s v="Tinkaton"/>
    <s v="0959A0"/>
    <s v="Paldea"/>
    <s v="Paldea"/>
    <s v="Fairy"/>
    <s v="Steel"/>
    <s v="Basic"/>
    <s v="0957A0"/>
    <s v="0958A0"/>
    <x v="2"/>
    <s v="Experience"/>
    <n v="4"/>
    <x v="1"/>
    <n v="506"/>
    <n v="85"/>
    <n v="75"/>
    <n v="77"/>
    <n v="70"/>
    <n v="105"/>
    <n v="94"/>
    <n v="5"/>
    <n v="6"/>
    <n v="6"/>
    <n v="5"/>
    <n v="22"/>
    <s v="B-"/>
    <m/>
    <s v="Martillo Colosal"/>
    <s v="Carantoña"/>
  </r>
  <r>
    <x v="32"/>
    <x v="32"/>
    <s v="Cyclizar"/>
    <s v="Cyclizar"/>
    <s v="0967A0"/>
    <s v="Paldea"/>
    <s v="Paldea"/>
    <s v="Dragon"/>
    <s v="Normal"/>
    <s v="Basic"/>
    <s v="0967A0"/>
    <s v="-"/>
    <x v="2"/>
    <s v="-"/>
    <s v="-"/>
    <x v="1"/>
    <n v="501"/>
    <n v="70"/>
    <n v="95"/>
    <n v="65"/>
    <n v="85"/>
    <n v="65"/>
    <n v="121"/>
    <n v="4"/>
    <n v="8"/>
    <n v="4"/>
    <n v="7"/>
    <n v="23"/>
    <s v="B-"/>
    <m/>
    <s v="Carga Dragón"/>
    <s v="Desarme"/>
  </r>
  <r>
    <x v="32"/>
    <x v="32"/>
    <s v="Cetoddle"/>
    <s v="Cetoddle"/>
    <s v="0974A0"/>
    <s v="Paldea"/>
    <s v="Paldea"/>
    <s v="Ice"/>
    <s v="-"/>
    <s v="Basic"/>
    <s v="0974A0"/>
    <s v="-"/>
    <x v="0"/>
    <s v="-"/>
    <s v="-"/>
    <x v="0"/>
    <n v="334"/>
    <n v="108"/>
    <n v="68"/>
    <n v="45"/>
    <n v="30"/>
    <n v="40"/>
    <n v="43"/>
    <n v="7"/>
    <n v="6"/>
    <n v="4"/>
    <n v="3"/>
    <n v="20"/>
    <s v="C+"/>
    <m/>
    <m/>
    <m/>
  </r>
  <r>
    <x v="32"/>
    <x v="32"/>
    <s v="Cetitan"/>
    <s v="Cetitan"/>
    <s v="0975A0"/>
    <s v="Paldea"/>
    <s v="Paldea"/>
    <s v="Ice"/>
    <s v="-"/>
    <s v="Basic"/>
    <s v="0974A0"/>
    <s v="0974A0"/>
    <x v="2"/>
    <s v="Stone"/>
    <s v="-"/>
    <x v="1"/>
    <n v="521"/>
    <n v="170"/>
    <n v="113"/>
    <n v="65"/>
    <n v="45"/>
    <n v="55"/>
    <n v="73"/>
    <n v="10"/>
    <n v="8"/>
    <n v="4"/>
    <n v="4"/>
    <n v="26"/>
    <s v="B+"/>
    <m/>
    <s v="Pirueta Helada"/>
    <s v="Hidroariete"/>
  </r>
  <r>
    <x v="32"/>
    <x v="32"/>
    <s v="Wooper (Paldean Wooper)"/>
    <s v="Wooper"/>
    <s v="0194P0"/>
    <s v="Paldea"/>
    <s v="Paldea"/>
    <s v="Poison"/>
    <s v="-"/>
    <s v="Basic"/>
    <s v="0194A0"/>
    <s v="-"/>
    <x v="0"/>
    <s v="-"/>
    <s v="-"/>
    <x v="4"/>
    <n v="210"/>
    <n v="55"/>
    <n v="45"/>
    <n v="45"/>
    <n v="25"/>
    <n v="25"/>
    <n v="15"/>
    <n v="3"/>
    <n v="4"/>
    <n v="4"/>
    <n v="2"/>
    <n v="13"/>
    <s v="F"/>
    <m/>
    <m/>
    <m/>
  </r>
  <r>
    <x v="32"/>
    <x v="32"/>
    <s v="Clodsire"/>
    <s v="Clodsire"/>
    <s v="0980A0"/>
    <s v="Paldea"/>
    <s v="Paldea"/>
    <s v="Poison"/>
    <s v="Ground"/>
    <s v="Basic"/>
    <s v="0194A0"/>
    <s v="0194P0"/>
    <x v="2"/>
    <s v="Experience"/>
    <n v="3"/>
    <x v="0"/>
    <n v="430"/>
    <n v="130"/>
    <n v="75"/>
    <n v="60"/>
    <n v="45"/>
    <n v="100"/>
    <n v="20"/>
    <n v="9"/>
    <n v="6"/>
    <n v="6"/>
    <n v="2"/>
    <n v="23"/>
    <s v="B-"/>
    <m/>
    <s v="Terratemblor"/>
    <s v="Cola Veneno"/>
  </r>
  <r>
    <x v="33"/>
    <x v="33"/>
    <s v="Eevee"/>
    <s v="Eevee"/>
    <s v="0133A0"/>
    <s v="Paldea"/>
    <s v="Kanto"/>
    <s v="Normal"/>
    <s v="-"/>
    <s v="Basic"/>
    <s v="0133A0"/>
    <s v="-"/>
    <x v="0"/>
    <s v="-"/>
    <s v="-"/>
    <x v="0"/>
    <n v="325"/>
    <n v="55"/>
    <n v="55"/>
    <n v="50"/>
    <n v="45"/>
    <n v="65"/>
    <n v="55"/>
    <n v="3"/>
    <n v="4"/>
    <n v="4"/>
    <n v="3"/>
    <n v="14"/>
    <s v="E"/>
    <m/>
    <s v="Ataque Rápido"/>
    <s v="Doble Patada"/>
  </r>
  <r>
    <x v="33"/>
    <x v="33"/>
    <s v="Jolteon"/>
    <s v="Jolteon"/>
    <s v="0135A0"/>
    <s v="Paldea"/>
    <s v="Kanto"/>
    <s v="Electric"/>
    <s v="-"/>
    <s v="Basic"/>
    <s v="0133A0"/>
    <s v="0133A0"/>
    <x v="2"/>
    <s v="Stone"/>
    <s v="-"/>
    <x v="1"/>
    <n v="525"/>
    <n v="65"/>
    <n v="65"/>
    <n v="60"/>
    <n v="110"/>
    <n v="95"/>
    <n v="130"/>
    <n v="4"/>
    <n v="8"/>
    <n v="6"/>
    <n v="7"/>
    <n v="25"/>
    <s v="B"/>
    <m/>
    <s v="Rayo"/>
    <s v="Pin Misil"/>
  </r>
  <r>
    <x v="33"/>
    <x v="33"/>
    <s v="Sprigatito"/>
    <s v="Sprigatito"/>
    <s v="0906A0"/>
    <s v="Paldea"/>
    <s v="Paldea"/>
    <s v="Grass"/>
    <s v="-"/>
    <s v="Starter"/>
    <s v="0906A0"/>
    <s v="-"/>
    <x v="0"/>
    <s v="-"/>
    <s v="-"/>
    <x v="0"/>
    <n v="310"/>
    <n v="40"/>
    <n v="61"/>
    <n v="54"/>
    <n v="45"/>
    <n v="45"/>
    <n v="65"/>
    <n v="3"/>
    <n v="6"/>
    <n v="4"/>
    <n v="4"/>
    <n v="17"/>
    <s v="C-"/>
    <m/>
    <m/>
    <m/>
  </r>
  <r>
    <x v="33"/>
    <x v="33"/>
    <s v="Floragato"/>
    <s v="Floragato"/>
    <s v="0907A0"/>
    <s v="Paldea"/>
    <s v="Paldea"/>
    <s v="Grass"/>
    <s v="-"/>
    <s v="Starter"/>
    <s v="0906A0"/>
    <s v="0906A0"/>
    <x v="1"/>
    <s v="Experience"/>
    <n v="3"/>
    <x v="0"/>
    <n v="410"/>
    <n v="61"/>
    <n v="80"/>
    <n v="63"/>
    <n v="60"/>
    <n v="63"/>
    <n v="83"/>
    <n v="4"/>
    <n v="6"/>
    <n v="4"/>
    <n v="5"/>
    <n v="19"/>
    <s v="C"/>
    <m/>
    <m/>
    <m/>
  </r>
  <r>
    <x v="33"/>
    <x v="33"/>
    <s v="Meowscarada"/>
    <s v="Meowscarada"/>
    <s v="0908A0"/>
    <s v="Paldea"/>
    <s v="Paldea"/>
    <s v="Grass"/>
    <s v="Dark"/>
    <s v="Starter"/>
    <s v="0906A0"/>
    <s v="0907A0"/>
    <x v="2"/>
    <s v="Experience"/>
    <n v="4"/>
    <x v="1"/>
    <n v="530"/>
    <n v="76"/>
    <n v="110"/>
    <n v="70"/>
    <n v="81"/>
    <n v="70"/>
    <n v="123"/>
    <n v="4"/>
    <n v="8"/>
    <n v="6"/>
    <n v="7"/>
    <n v="25"/>
    <s v="B"/>
    <m/>
    <s v="Truco Floral"/>
    <s v="Desarme"/>
  </r>
  <r>
    <x v="33"/>
    <x v="33"/>
    <s v="Charcadet"/>
    <s v="Charcadet"/>
    <s v="0935A0"/>
    <s v="Paldea"/>
    <s v="Paldea"/>
    <s v="Fire"/>
    <s v="-"/>
    <s v="Basic"/>
    <s v="0935A0"/>
    <s v="-"/>
    <x v="0"/>
    <s v="-"/>
    <s v="-"/>
    <x v="4"/>
    <n v="255"/>
    <n v="40"/>
    <n v="50"/>
    <n v="40"/>
    <n v="50"/>
    <n v="40"/>
    <n v="35"/>
    <n v="3"/>
    <n v="4"/>
    <n v="4"/>
    <n v="2"/>
    <n v="13"/>
    <s v="F"/>
    <m/>
    <m/>
    <m/>
  </r>
  <r>
    <x v="33"/>
    <x v="33"/>
    <s v="Armarouge"/>
    <s v="Armarouge"/>
    <s v="0936A0"/>
    <s v="Paldea"/>
    <s v="Paldea"/>
    <s v="Fire"/>
    <s v="Psychic"/>
    <s v="Basic"/>
    <s v="0935A0"/>
    <s v="0935A0"/>
    <x v="2"/>
    <s v="Gift"/>
    <s v="-"/>
    <x v="1"/>
    <n v="525"/>
    <n v="85"/>
    <n v="60"/>
    <n v="100"/>
    <n v="125"/>
    <n v="80"/>
    <n v="75"/>
    <n v="5"/>
    <n v="10"/>
    <n v="8"/>
    <n v="4"/>
    <n v="27"/>
    <s v="B+"/>
    <m/>
    <s v="Cañón Armadura"/>
    <s v="Psicocarga"/>
  </r>
  <r>
    <x v="33"/>
    <x v="33"/>
    <s v="Orthworm"/>
    <s v="Orthworm"/>
    <s v="0968A0"/>
    <s v="Paldea"/>
    <s v="Paldea"/>
    <s v="Steel"/>
    <s v="-"/>
    <s v="Basic"/>
    <s v="0968A0"/>
    <s v="-"/>
    <x v="2"/>
    <s v="-"/>
    <s v="-"/>
    <x v="1"/>
    <n v="480"/>
    <n v="70"/>
    <n v="85"/>
    <n v="145"/>
    <n v="60"/>
    <n v="55"/>
    <n v="65"/>
    <n v="4"/>
    <n v="6"/>
    <n v="10"/>
    <n v="4"/>
    <n v="24"/>
    <s v="B"/>
    <m/>
    <s v="Cuerpo Pesado"/>
    <s v="Plancha Corporal"/>
  </r>
  <r>
    <x v="33"/>
    <x v="33"/>
    <s v="Greavard"/>
    <s v="Greavard"/>
    <s v="0971A0"/>
    <s v="Paldea"/>
    <s v="Paldea"/>
    <s v="Ghost"/>
    <s v="-"/>
    <s v="Basic"/>
    <s v="0971A0"/>
    <s v="-"/>
    <x v="0"/>
    <s v="-"/>
    <s v="-"/>
    <x v="0"/>
    <n v="290"/>
    <n v="50"/>
    <n v="61"/>
    <n v="60"/>
    <n v="30"/>
    <n v="55"/>
    <n v="34"/>
    <n v="3"/>
    <n v="6"/>
    <n v="4"/>
    <n v="2"/>
    <n v="15"/>
    <s v="D"/>
    <m/>
    <m/>
    <m/>
  </r>
  <r>
    <x v="33"/>
    <x v="33"/>
    <s v="Houndstone"/>
    <s v="Houndstone"/>
    <s v="0972A0"/>
    <s v="Paldea"/>
    <s v="Paldea"/>
    <s v="Ghost"/>
    <s v="-"/>
    <s v="Basic"/>
    <s v="0971A0"/>
    <s v="0971A0"/>
    <x v="2"/>
    <s v="Experience"/>
    <n v="4"/>
    <x v="1"/>
    <n v="488"/>
    <n v="72"/>
    <n v="101"/>
    <n v="100"/>
    <n v="50"/>
    <n v="97"/>
    <n v="68"/>
    <n v="4"/>
    <n v="8"/>
    <n v="8"/>
    <n v="4"/>
    <n v="24"/>
    <s v="B"/>
    <m/>
    <s v="Homenaje Póstumo"/>
    <s v="Excavar"/>
  </r>
  <r>
    <x v="33"/>
    <x v="33"/>
    <s v="Frigibax"/>
    <s v="Frigibax"/>
    <s v="0996A0"/>
    <s v="Paldea"/>
    <s v="Paldea"/>
    <s v="Dragon"/>
    <s v="Ice"/>
    <s v="Basic"/>
    <s v="0996A0"/>
    <s v="-"/>
    <x v="0"/>
    <s v="-"/>
    <s v="-"/>
    <x v="0"/>
    <n v="320"/>
    <n v="65"/>
    <n v="75"/>
    <n v="45"/>
    <n v="35"/>
    <n v="45"/>
    <n v="55"/>
    <n v="4"/>
    <n v="6"/>
    <n v="4"/>
    <n v="3"/>
    <n v="17"/>
    <s v="C-"/>
    <m/>
    <s v="Dragoaliento"/>
    <s v="Viento Hielo"/>
  </r>
  <r>
    <x v="33"/>
    <x v="33"/>
    <s v="Arctibax"/>
    <s v="Arctibax"/>
    <s v="0997A0"/>
    <s v="Paldea"/>
    <s v="Paldea"/>
    <s v="Dragon"/>
    <s v="Ice"/>
    <s v="Basic"/>
    <s v="0996A0"/>
    <s v="0996A0"/>
    <x v="1"/>
    <s v="Experience"/>
    <n v="4"/>
    <x v="0"/>
    <n v="423"/>
    <n v="90"/>
    <n v="95"/>
    <n v="66"/>
    <n v="45"/>
    <n v="65"/>
    <n v="62"/>
    <n v="6"/>
    <n v="6"/>
    <n v="4"/>
    <n v="4"/>
    <n v="20"/>
    <s v="C+"/>
    <m/>
    <s v="Garra Dragón"/>
    <s v="Colmillo Hielo"/>
  </r>
  <r>
    <x v="33"/>
    <x v="33"/>
    <s v="Baxcalibur"/>
    <s v="Baxcalibur"/>
    <s v="0998A0"/>
    <s v="Paldea"/>
    <s v="Paldea"/>
    <s v="Dragon"/>
    <s v="Ice"/>
    <s v="Basic"/>
    <s v="0996A0"/>
    <s v="0997A0"/>
    <x v="2"/>
    <s v="Experience"/>
    <n v="6"/>
    <x v="3"/>
    <n v="600"/>
    <n v="115"/>
    <n v="145"/>
    <n v="92"/>
    <n v="75"/>
    <n v="86"/>
    <n v="87"/>
    <n v="8"/>
    <n v="10"/>
    <n v="6"/>
    <n v="5"/>
    <n v="29"/>
    <s v="A-"/>
    <m/>
    <s v="Asalto Espadón"/>
    <s v="Chuzos"/>
  </r>
  <r>
    <x v="34"/>
    <x v="34"/>
    <s v="Litwick"/>
    <s v="Litwick"/>
    <s v="0607A0"/>
    <s v="Kanto"/>
    <s v="Teselia"/>
    <s v="Ghost"/>
    <s v="Fire"/>
    <s v="Basic"/>
    <s v="0607A0"/>
    <s v="-"/>
    <x v="0"/>
    <s v="-"/>
    <s v="-"/>
    <x v="4"/>
    <n v="275"/>
    <n v="50"/>
    <n v="30"/>
    <n v="55"/>
    <n v="65"/>
    <n v="55"/>
    <n v="20"/>
    <n v="3"/>
    <n v="6"/>
    <n v="4"/>
    <n v="2"/>
    <n v="15"/>
    <s v="D"/>
    <m/>
    <s v="Impresionar"/>
    <s v="Ascuas"/>
  </r>
  <r>
    <x v="34"/>
    <x v="34"/>
    <s v="Lampent"/>
    <s v="Lampent"/>
    <s v="0608A0"/>
    <s v="Kanto"/>
    <s v="Teselia"/>
    <s v="Ghost"/>
    <s v="Fire"/>
    <s v="Basic"/>
    <s v="0607A0"/>
    <s v="0607A0"/>
    <x v="1"/>
    <s v="Experience"/>
    <n v="5"/>
    <x v="0"/>
    <n v="370"/>
    <n v="60"/>
    <n v="40"/>
    <n v="60"/>
    <n v="95"/>
    <n v="60"/>
    <n v="55"/>
    <n v="4"/>
    <n v="6"/>
    <n v="4"/>
    <n v="3"/>
    <n v="17"/>
    <s v="C-"/>
    <m/>
    <s v="Infortunio"/>
    <s v="Giro Fuego"/>
  </r>
  <r>
    <x v="34"/>
    <x v="34"/>
    <s v="Chandelure"/>
    <s v="Chandelure"/>
    <s v="0609A0"/>
    <s v="Kanto"/>
    <s v="Teselia"/>
    <s v="Ghost"/>
    <s v="Fire"/>
    <s v="Basic"/>
    <s v="0607A0"/>
    <s v="0608A0"/>
    <x v="2"/>
    <s v="Stone"/>
    <s v="-"/>
    <x v="1"/>
    <n v="520"/>
    <n v="60"/>
    <n v="55"/>
    <n v="90"/>
    <n v="145"/>
    <n v="90"/>
    <n v="80"/>
    <n v="4"/>
    <n v="10"/>
    <n v="6"/>
    <n v="5"/>
    <n v="25"/>
    <s v="B"/>
    <m/>
    <s v="Bola Sombra"/>
    <s v="Llamarada"/>
  </r>
  <r>
    <x v="34"/>
    <x v="34"/>
    <s v="Gible"/>
    <s v="Gible"/>
    <s v="0443A0"/>
    <s v="Kanto"/>
    <s v="Sinnoh"/>
    <s v="Dragon"/>
    <s v="Ground"/>
    <s v="Basic"/>
    <s v="0443A0"/>
    <s v="-"/>
    <x v="0"/>
    <s v="-"/>
    <s v="-"/>
    <x v="0"/>
    <n v="300"/>
    <n v="58"/>
    <n v="70"/>
    <n v="45"/>
    <n v="40"/>
    <n v="45"/>
    <n v="42"/>
    <n v="4"/>
    <n v="6"/>
    <n v="4"/>
    <n v="3"/>
    <n v="17"/>
    <s v="C-"/>
    <m/>
    <s v="Mordisco"/>
    <s v="Terratemblor"/>
  </r>
  <r>
    <x v="34"/>
    <x v="34"/>
    <s v="Gabite"/>
    <s v="Gabite"/>
    <s v="0444A0"/>
    <s v="Kanto"/>
    <s v="Sinnoh"/>
    <s v="Dragon"/>
    <s v="Ground"/>
    <s v="Basic"/>
    <s v="0443A0"/>
    <s v="0443A0"/>
    <x v="1"/>
    <s v="Experience"/>
    <n v="3"/>
    <x v="0"/>
    <n v="410"/>
    <n v="68"/>
    <n v="90"/>
    <n v="65"/>
    <n v="50"/>
    <n v="55"/>
    <n v="82"/>
    <n v="4"/>
    <n v="6"/>
    <n v="4"/>
    <n v="5"/>
    <n v="19"/>
    <s v="C"/>
    <m/>
    <s v="Garra Dragón"/>
    <s v="Excavar"/>
  </r>
  <r>
    <x v="34"/>
    <x v="34"/>
    <s v="Garchomp"/>
    <s v="Garchomp"/>
    <s v="0445A0"/>
    <s v="Kanto"/>
    <s v="Sinnoh"/>
    <s v="Dragon"/>
    <s v="Ground"/>
    <s v="Basic"/>
    <s v="0443A0"/>
    <s v="0444A0"/>
    <x v="2"/>
    <s v="Experience"/>
    <n v="5"/>
    <x v="3"/>
    <n v="600"/>
    <n v="108"/>
    <n v="130"/>
    <n v="95"/>
    <n v="80"/>
    <n v="85"/>
    <n v="102"/>
    <n v="7"/>
    <n v="10"/>
    <n v="6"/>
    <n v="6"/>
    <n v="29"/>
    <s v="A-"/>
    <m/>
    <s v="Carga Dragón"/>
    <s v="Terremoto"/>
  </r>
  <r>
    <x v="34"/>
    <x v="34"/>
    <s v="Sneasel"/>
    <s v="Sneasel"/>
    <s v="0215A0"/>
    <s v="Kanto"/>
    <s v="Johto"/>
    <s v="Dark"/>
    <s v="Ice"/>
    <s v="Basic"/>
    <s v="0215A0"/>
    <s v="-"/>
    <x v="0"/>
    <s v="-"/>
    <s v="-"/>
    <x v="0"/>
    <n v="430"/>
    <n v="55"/>
    <n v="95"/>
    <n v="55"/>
    <n v="35"/>
    <n v="75"/>
    <n v="115"/>
    <n v="3"/>
    <n v="8"/>
    <n v="6"/>
    <n v="6"/>
    <n v="23"/>
    <s v="B-"/>
    <m/>
    <s v="Viento Hielo"/>
    <s v="Paliza"/>
  </r>
  <r>
    <x v="34"/>
    <x v="34"/>
    <s v="Weavile"/>
    <s v="Weavile"/>
    <s v="0461A0"/>
    <s v="Kanto"/>
    <s v="Sinnoh"/>
    <s v="Dark"/>
    <s v="Ice"/>
    <s v="Basic"/>
    <s v="0215A0"/>
    <s v="0215A0"/>
    <x v="2"/>
    <s v="Gift"/>
    <s v="-"/>
    <x v="1"/>
    <n v="510"/>
    <n v="70"/>
    <n v="120"/>
    <n v="65"/>
    <n v="45"/>
    <n v="85"/>
    <n v="125"/>
    <n v="4"/>
    <n v="10"/>
    <n v="6"/>
    <n v="7"/>
    <n v="27"/>
    <s v="B+"/>
    <m/>
    <s v="Chuzos"/>
    <s v="Desarme"/>
  </r>
  <r>
    <x v="34"/>
    <x v="34"/>
    <s v="Torchic"/>
    <s v="Torchic"/>
    <s v="0255A0"/>
    <s v="Kanto"/>
    <s v="Hoenn"/>
    <s v="Fire"/>
    <s v="-"/>
    <s v="Starter"/>
    <s v="0255A0"/>
    <s v="-"/>
    <x v="0"/>
    <s v="-"/>
    <s v="-"/>
    <x v="0"/>
    <n v="310"/>
    <n v="45"/>
    <n v="60"/>
    <n v="40"/>
    <n v="70"/>
    <n v="50"/>
    <n v="45"/>
    <n v="3"/>
    <n v="6"/>
    <n v="4"/>
    <n v="3"/>
    <n v="16"/>
    <s v="C-"/>
    <m/>
    <s v="Ascuas"/>
    <s v="Picotazo"/>
  </r>
  <r>
    <x v="34"/>
    <x v="34"/>
    <s v="Combusken"/>
    <s v="Combusken"/>
    <s v="0256A0"/>
    <s v="Kanto"/>
    <s v="Hoenn"/>
    <s v="Fire"/>
    <s v="Fighting"/>
    <s v="Starter"/>
    <s v="0255A0"/>
    <s v="0255A0"/>
    <x v="1"/>
    <s v="Experience"/>
    <n v="3"/>
    <x v="0"/>
    <n v="405"/>
    <n v="60"/>
    <n v="85"/>
    <n v="60"/>
    <n v="85"/>
    <n v="60"/>
    <n v="55"/>
    <n v="4"/>
    <n v="8"/>
    <n v="4"/>
    <n v="3"/>
    <n v="19"/>
    <s v="C"/>
    <m/>
    <s v="Nitrocarga"/>
    <s v="Doble Patada"/>
  </r>
  <r>
    <x v="34"/>
    <x v="34"/>
    <s v="Blaziken"/>
    <s v="Blaziken"/>
    <s v="0257A0"/>
    <s v="Kanto"/>
    <s v="Hoenn"/>
    <s v="Fire"/>
    <s v="Fighting"/>
    <s v="Starter"/>
    <s v="0255A0"/>
    <s v="0256A0"/>
    <x v="2"/>
    <s v="Experience"/>
    <n v="4"/>
    <x v="1"/>
    <n v="530"/>
    <n v="80"/>
    <n v="120"/>
    <n v="70"/>
    <n v="110"/>
    <n v="70"/>
    <n v="80"/>
    <n v="5"/>
    <n v="10"/>
    <n v="6"/>
    <n v="5"/>
    <n v="26"/>
    <s v="B+"/>
    <m/>
    <s v="Patada Ígnea"/>
    <s v="Puño Trueno"/>
  </r>
  <r>
    <x v="34"/>
    <x v="34"/>
    <s v="Blaziken (Mega Blaziken)"/>
    <s v="Mega-Blaziken"/>
    <s v="0257M0"/>
    <s v="Kanto"/>
    <s v="Hoenn"/>
    <s v="Fire"/>
    <s v="Fighting"/>
    <s v="Mega"/>
    <s v="0255A0"/>
    <s v="0257A0"/>
    <x v="3"/>
    <s v="Megastone"/>
    <s v="-"/>
    <x v="2"/>
    <n v="630"/>
    <n v="80"/>
    <n v="160"/>
    <n v="80"/>
    <n v="130"/>
    <n v="80"/>
    <n v="100"/>
    <n v="5"/>
    <n v="12"/>
    <n v="6"/>
    <n v="6"/>
    <n v="29"/>
    <s v="A-"/>
    <m/>
    <s v="Patada Ígnea"/>
    <s v="Puño Trueno"/>
  </r>
  <r>
    <x v="34"/>
    <x v="34"/>
    <s v="Heracross"/>
    <s v="Heracross"/>
    <s v="0214A0"/>
    <s v="Kanto"/>
    <s v="Johto"/>
    <s v="Bug"/>
    <s v="Fighting"/>
    <s v="Basic"/>
    <s v="0214A0"/>
    <s v="-"/>
    <x v="2"/>
    <s v="-"/>
    <s v="-"/>
    <x v="1"/>
    <n v="500"/>
    <n v="80"/>
    <n v="125"/>
    <n v="75"/>
    <n v="40"/>
    <n v="95"/>
    <n v="85"/>
    <n v="5"/>
    <n v="10"/>
    <n v="6"/>
    <n v="5"/>
    <n v="26"/>
    <s v="B+"/>
    <m/>
    <s v="Megacuerno"/>
    <s v="A Bocajarro"/>
  </r>
  <r>
    <x v="34"/>
    <x v="34"/>
    <s v="Nidoran♀"/>
    <s v="Nidoran♀"/>
    <s v="0029A0"/>
    <s v="Kanto"/>
    <s v="Kanto"/>
    <s v="Poison"/>
    <s v="-"/>
    <s v="Basic"/>
    <s v="0029A0"/>
    <s v="-"/>
    <x v="0"/>
    <s v="-"/>
    <s v="-"/>
    <x v="4"/>
    <n v="275"/>
    <n v="55"/>
    <n v="47"/>
    <n v="52"/>
    <n v="40"/>
    <n v="40"/>
    <n v="41"/>
    <n v="3"/>
    <n v="4"/>
    <n v="4"/>
    <n v="3"/>
    <n v="14"/>
    <s v="E"/>
    <m/>
    <s v="Picotazo Venenoso"/>
    <s v="Mordisco"/>
  </r>
  <r>
    <x v="34"/>
    <x v="34"/>
    <s v="Nidorina"/>
    <s v="Nidorina"/>
    <s v="0030A0"/>
    <s v="Kanto"/>
    <s v="Kanto"/>
    <s v="Poison"/>
    <s v="-"/>
    <s v="Basic"/>
    <s v="0029A0"/>
    <s v="0029A0"/>
    <x v="1"/>
    <s v="Experience"/>
    <n v="3"/>
    <x v="0"/>
    <n v="365"/>
    <n v="70"/>
    <n v="62"/>
    <n v="67"/>
    <n v="55"/>
    <n v="55"/>
    <n v="56"/>
    <n v="4"/>
    <n v="6"/>
    <n v="4"/>
    <n v="3"/>
    <n v="17"/>
    <s v="C-"/>
    <m/>
    <s v="Colmillo Veneno"/>
    <s v="Rayo Burbuja"/>
  </r>
  <r>
    <x v="34"/>
    <x v="34"/>
    <s v="Nidoqueen"/>
    <s v="Nidoqueen"/>
    <s v="0031A0"/>
    <s v="Kanto"/>
    <s v="Kanto"/>
    <s v="Poison"/>
    <s v="Ground"/>
    <s v="Basic"/>
    <s v="0029A0"/>
    <s v="0030A0"/>
    <x v="2"/>
    <s v="Stone"/>
    <s v="-"/>
    <x v="1"/>
    <n v="505"/>
    <n v="90"/>
    <n v="92"/>
    <n v="87"/>
    <n v="75"/>
    <n v="85"/>
    <n v="76"/>
    <n v="6"/>
    <n v="8"/>
    <n v="6"/>
    <n v="4"/>
    <n v="24"/>
    <s v="B"/>
    <m/>
    <s v="Onda Tóxica"/>
    <s v="Tierra Vi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4FE19E-EA1C-46B2-A3C2-017CD48D41B4}" name="TablaDinámica1" cacheId="1"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gridDropZones="1" multipleFieldFilters="0">
  <location ref="A4:D40" firstHeaderRow="1" firstDataRow="2" firstDataCol="2" rowPageCount="2" colPageCount="1"/>
  <pivotFields count="32">
    <pivotField axis="axisRow" compact="0" outline="0" showAll="0" defaultSubtotal="0">
      <items count="36">
        <item m="1" x="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Row" compact="0" outline="0" showAll="0">
      <items count="36">
        <item x="8"/>
        <item x="10"/>
        <item x="1"/>
        <item x="7"/>
        <item x="19"/>
        <item x="22"/>
        <item x="12"/>
        <item x="24"/>
        <item x="3"/>
        <item x="31"/>
        <item x="26"/>
        <item x="29"/>
        <item x="23"/>
        <item x="13"/>
        <item x="14"/>
        <item x="30"/>
        <item x="17"/>
        <item x="34"/>
        <item x="32"/>
        <item x="4"/>
        <item x="2"/>
        <item x="27"/>
        <item x="11"/>
        <item x="5"/>
        <item x="18"/>
        <item x="16"/>
        <item x="33"/>
        <item x="0"/>
        <item x="15"/>
        <item x="25"/>
        <item x="20"/>
        <item x="6"/>
        <item x="28"/>
        <item x="9"/>
        <item x="2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6">
        <item h="1" x="0"/>
        <item x="2"/>
        <item h="1" x="3"/>
        <item h="1" x="1"/>
        <item x="4"/>
        <item t="default"/>
      </items>
    </pivotField>
    <pivotField compact="0" outline="0" showAll="0"/>
    <pivotField compact="0" outline="0" showAll="0"/>
    <pivotField axis="axisPage" dataField="1" compact="0" outline="0" multipleItemSelectionAllowed="1" showAll="0">
      <items count="6">
        <item x="4"/>
        <item x="0"/>
        <item x="1"/>
        <item x="3"/>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outline="0" showAll="0"/>
    <pivotField compact="0" outline="0" showAll="0"/>
    <pivotField compact="0" outline="0" showAll="0"/>
    <pivotField compact="0" outline="0" showAll="0"/>
  </pivotFields>
  <rowFields count="2">
    <field x="0"/>
    <field x="1"/>
  </rowFields>
  <rowItems count="35">
    <i>
      <x v="1"/>
      <x v="27"/>
    </i>
    <i>
      <x v="2"/>
      <x v="2"/>
    </i>
    <i>
      <x v="3"/>
      <x v="20"/>
    </i>
    <i>
      <x v="4"/>
      <x v="8"/>
    </i>
    <i>
      <x v="5"/>
      <x v="19"/>
    </i>
    <i>
      <x v="6"/>
      <x v="23"/>
    </i>
    <i>
      <x v="7"/>
      <x v="31"/>
    </i>
    <i>
      <x v="8"/>
      <x v="3"/>
    </i>
    <i>
      <x v="9"/>
      <x/>
    </i>
    <i>
      <x v="10"/>
      <x v="33"/>
    </i>
    <i>
      <x v="11"/>
      <x v="1"/>
    </i>
    <i>
      <x v="12"/>
      <x v="22"/>
    </i>
    <i>
      <x v="13"/>
      <x v="6"/>
    </i>
    <i>
      <x v="14"/>
      <x v="13"/>
    </i>
    <i>
      <x v="15"/>
      <x v="14"/>
    </i>
    <i>
      <x v="16"/>
      <x v="28"/>
    </i>
    <i>
      <x v="17"/>
      <x v="25"/>
    </i>
    <i>
      <x v="18"/>
      <x v="16"/>
    </i>
    <i>
      <x v="19"/>
      <x v="24"/>
    </i>
    <i>
      <x v="20"/>
      <x v="4"/>
    </i>
    <i>
      <x v="21"/>
      <x v="30"/>
    </i>
    <i>
      <x v="22"/>
      <x v="34"/>
    </i>
    <i>
      <x v="23"/>
      <x v="5"/>
    </i>
    <i>
      <x v="24"/>
      <x v="12"/>
    </i>
    <i>
      <x v="25"/>
      <x v="7"/>
    </i>
    <i>
      <x v="26"/>
      <x v="29"/>
    </i>
    <i>
      <x v="27"/>
      <x v="10"/>
    </i>
    <i>
      <x v="28"/>
      <x v="21"/>
    </i>
    <i>
      <x v="29"/>
      <x v="32"/>
    </i>
    <i>
      <x v="30"/>
      <x v="11"/>
    </i>
    <i>
      <x v="31"/>
      <x v="15"/>
    </i>
    <i>
      <x v="32"/>
      <x v="9"/>
    </i>
    <i>
      <x v="33"/>
      <x v="18"/>
    </i>
    <i>
      <x v="34"/>
      <x v="26"/>
    </i>
    <i>
      <x v="35"/>
      <x v="17"/>
    </i>
  </rowItems>
  <colFields count="1">
    <field x="-2"/>
  </colFields>
  <colItems count="2">
    <i>
      <x/>
    </i>
    <i i="1">
      <x v="1"/>
    </i>
  </colItems>
  <pageFields count="2">
    <pageField fld="15" hier="-1"/>
    <pageField fld="12" hier="-1"/>
  </pageFields>
  <dataFields count="2">
    <dataField name="Suma de LP Cost" fld="15" baseField="0" baseItem="0"/>
    <dataField name="Suma de Overall"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_KantoColors">
  <a:themeElements>
    <a:clrScheme name="Custom 8">
      <a:dk1>
        <a:sysClr val="windowText" lastClr="000000"/>
      </a:dk1>
      <a:lt1>
        <a:sysClr val="window" lastClr="FFFFFF"/>
      </a:lt1>
      <a:dk2>
        <a:srgbClr val="F1F1F3"/>
      </a:dk2>
      <a:lt2>
        <a:srgbClr val="2C8C9A"/>
      </a:lt2>
      <a:accent1>
        <a:srgbClr val="F0EB62"/>
      </a:accent1>
      <a:accent2>
        <a:srgbClr val="EC6C57"/>
      </a:accent2>
      <a:accent3>
        <a:srgbClr val="51B568"/>
      </a:accent3>
      <a:accent4>
        <a:srgbClr val="5DC1EE"/>
      </a:accent4>
      <a:accent5>
        <a:srgbClr val="AD89AC"/>
      </a:accent5>
      <a:accent6>
        <a:srgbClr val="A3D2D0"/>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ema_KantoColors" id="{045F7CBF-B6BB-4207-AA92-4FAE251BDED3}" vid="{CE88A232-01F4-4723-B385-AFFF2D11748C}"/>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8" Type="http://schemas.openxmlformats.org/officeDocument/2006/relationships/hyperlink" Target="https://pokemondb.net/type/poison" TargetMode="External"/><Relationship Id="rId13" Type="http://schemas.openxmlformats.org/officeDocument/2006/relationships/hyperlink" Target="https://pokemondb.net/type/rock" TargetMode="External"/><Relationship Id="rId18" Type="http://schemas.openxmlformats.org/officeDocument/2006/relationships/hyperlink" Target="https://pokemondb.net/type/fairy" TargetMode="External"/><Relationship Id="rId3" Type="http://schemas.openxmlformats.org/officeDocument/2006/relationships/hyperlink" Target="https://pokemondb.net/type/water" TargetMode="External"/><Relationship Id="rId7" Type="http://schemas.openxmlformats.org/officeDocument/2006/relationships/hyperlink" Target="https://pokemondb.net/type/fighting" TargetMode="External"/><Relationship Id="rId12" Type="http://schemas.openxmlformats.org/officeDocument/2006/relationships/hyperlink" Target="https://pokemondb.net/type/bug" TargetMode="External"/><Relationship Id="rId17" Type="http://schemas.openxmlformats.org/officeDocument/2006/relationships/hyperlink" Target="https://pokemondb.net/type/steel" TargetMode="External"/><Relationship Id="rId2" Type="http://schemas.openxmlformats.org/officeDocument/2006/relationships/hyperlink" Target="https://pokemondb.net/type/fire" TargetMode="External"/><Relationship Id="rId16" Type="http://schemas.openxmlformats.org/officeDocument/2006/relationships/hyperlink" Target="https://pokemondb.net/type/dark" TargetMode="External"/><Relationship Id="rId1" Type="http://schemas.openxmlformats.org/officeDocument/2006/relationships/hyperlink" Target="https://pokemondb.net/type/normal" TargetMode="External"/><Relationship Id="rId6" Type="http://schemas.openxmlformats.org/officeDocument/2006/relationships/hyperlink" Target="https://pokemondb.net/type/ice" TargetMode="External"/><Relationship Id="rId11" Type="http://schemas.openxmlformats.org/officeDocument/2006/relationships/hyperlink" Target="https://pokemondb.net/type/psychic" TargetMode="External"/><Relationship Id="rId5" Type="http://schemas.openxmlformats.org/officeDocument/2006/relationships/hyperlink" Target="https://pokemondb.net/type/grass" TargetMode="External"/><Relationship Id="rId15" Type="http://schemas.openxmlformats.org/officeDocument/2006/relationships/hyperlink" Target="https://pokemondb.net/type/dragon" TargetMode="External"/><Relationship Id="rId10" Type="http://schemas.openxmlformats.org/officeDocument/2006/relationships/hyperlink" Target="https://pokemondb.net/type/flying" TargetMode="External"/><Relationship Id="rId4" Type="http://schemas.openxmlformats.org/officeDocument/2006/relationships/hyperlink" Target="https://pokemondb.net/type/electric" TargetMode="External"/><Relationship Id="rId9" Type="http://schemas.openxmlformats.org/officeDocument/2006/relationships/hyperlink" Target="https://pokemondb.net/type/ground" TargetMode="External"/><Relationship Id="rId14" Type="http://schemas.openxmlformats.org/officeDocument/2006/relationships/hyperlink" Target="https://pokemondb.net/type/ghost"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pokemondb.net/type/poison" TargetMode="External"/><Relationship Id="rId13" Type="http://schemas.openxmlformats.org/officeDocument/2006/relationships/hyperlink" Target="https://pokemondb.net/type/rock" TargetMode="External"/><Relationship Id="rId18" Type="http://schemas.openxmlformats.org/officeDocument/2006/relationships/hyperlink" Target="https://pokemondb.net/type/fairy" TargetMode="External"/><Relationship Id="rId3" Type="http://schemas.openxmlformats.org/officeDocument/2006/relationships/hyperlink" Target="https://pokemondb.net/type/water" TargetMode="External"/><Relationship Id="rId7" Type="http://schemas.openxmlformats.org/officeDocument/2006/relationships/hyperlink" Target="https://pokemondb.net/type/fighting" TargetMode="External"/><Relationship Id="rId12" Type="http://schemas.openxmlformats.org/officeDocument/2006/relationships/hyperlink" Target="https://pokemondb.net/type/bug" TargetMode="External"/><Relationship Id="rId17" Type="http://schemas.openxmlformats.org/officeDocument/2006/relationships/hyperlink" Target="https://pokemondb.net/type/steel" TargetMode="External"/><Relationship Id="rId2" Type="http://schemas.openxmlformats.org/officeDocument/2006/relationships/hyperlink" Target="https://pokemondb.net/type/fire" TargetMode="External"/><Relationship Id="rId16" Type="http://schemas.openxmlformats.org/officeDocument/2006/relationships/hyperlink" Target="https://pokemondb.net/type/dark" TargetMode="External"/><Relationship Id="rId1" Type="http://schemas.openxmlformats.org/officeDocument/2006/relationships/hyperlink" Target="https://pokemondb.net/type/normal" TargetMode="External"/><Relationship Id="rId6" Type="http://schemas.openxmlformats.org/officeDocument/2006/relationships/hyperlink" Target="https://pokemondb.net/type/ice" TargetMode="External"/><Relationship Id="rId11" Type="http://schemas.openxmlformats.org/officeDocument/2006/relationships/hyperlink" Target="https://pokemondb.net/type/psychic" TargetMode="External"/><Relationship Id="rId5" Type="http://schemas.openxmlformats.org/officeDocument/2006/relationships/hyperlink" Target="https://pokemondb.net/type/grass" TargetMode="External"/><Relationship Id="rId15" Type="http://schemas.openxmlformats.org/officeDocument/2006/relationships/hyperlink" Target="https://pokemondb.net/type/dragon" TargetMode="External"/><Relationship Id="rId10" Type="http://schemas.openxmlformats.org/officeDocument/2006/relationships/hyperlink" Target="https://pokemondb.net/type/flying" TargetMode="External"/><Relationship Id="rId4" Type="http://schemas.openxmlformats.org/officeDocument/2006/relationships/hyperlink" Target="https://pokemondb.net/type/electric" TargetMode="External"/><Relationship Id="rId9" Type="http://schemas.openxmlformats.org/officeDocument/2006/relationships/hyperlink" Target="https://pokemondb.net/type/ground" TargetMode="External"/><Relationship Id="rId14" Type="http://schemas.openxmlformats.org/officeDocument/2006/relationships/hyperlink" Target="https://pokemondb.net/type/ghost"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416"/>
  <sheetViews>
    <sheetView topLeftCell="A732" workbookViewId="0">
      <selection activeCell="B753" sqref="B753:D1416"/>
    </sheetView>
  </sheetViews>
  <sheetFormatPr baseColWidth="10" defaultColWidth="8.83203125" defaultRowHeight="15"/>
  <cols>
    <col min="1" max="1" width="4.1640625" bestFit="1" customWidth="1"/>
    <col min="2" max="2" width="27.1640625" bestFit="1" customWidth="1"/>
    <col min="3" max="4" width="7.33203125" bestFit="1" customWidth="1"/>
    <col min="5" max="5" width="5" bestFit="1" customWidth="1"/>
    <col min="6" max="6" width="3.83203125" bestFit="1" customWidth="1"/>
    <col min="7" max="7" width="6" bestFit="1" customWidth="1"/>
    <col min="8" max="8" width="7.6640625" bestFit="1" customWidth="1"/>
    <col min="9" max="9" width="6.5" bestFit="1" customWidth="1"/>
    <col min="10" max="10" width="6.6640625" bestFit="1" customWidth="1"/>
    <col min="11" max="11" width="5.83203125" bestFit="1" customWidth="1"/>
    <col min="12" max="12" width="10.1640625" bestFit="1" customWidth="1"/>
    <col min="13" max="13" width="11.33203125" bestFit="1" customWidth="1"/>
  </cols>
  <sheetData>
    <row r="1" spans="1:13">
      <c r="A1" t="s">
        <v>0</v>
      </c>
      <c r="B1" t="s">
        <v>1</v>
      </c>
      <c r="C1" t="s">
        <v>2</v>
      </c>
      <c r="D1" t="s">
        <v>3</v>
      </c>
      <c r="E1" t="s">
        <v>4</v>
      </c>
      <c r="F1" t="s">
        <v>5</v>
      </c>
      <c r="G1" t="s">
        <v>6</v>
      </c>
      <c r="H1" t="s">
        <v>7</v>
      </c>
      <c r="I1" t="s">
        <v>8</v>
      </c>
      <c r="J1" t="s">
        <v>9</v>
      </c>
      <c r="K1" t="s">
        <v>10</v>
      </c>
      <c r="L1" t="s">
        <v>11</v>
      </c>
      <c r="M1" t="s">
        <v>12</v>
      </c>
    </row>
    <row r="2" spans="1:13" hidden="1">
      <c r="A2">
        <v>1</v>
      </c>
      <c r="B2" t="s">
        <v>13</v>
      </c>
      <c r="C2" t="s">
        <v>14</v>
      </c>
      <c r="D2" t="s">
        <v>15</v>
      </c>
      <c r="E2">
        <v>318</v>
      </c>
      <c r="F2">
        <v>45</v>
      </c>
      <c r="G2">
        <v>49</v>
      </c>
      <c r="H2">
        <v>49</v>
      </c>
      <c r="I2">
        <v>65</v>
      </c>
      <c r="J2">
        <v>65</v>
      </c>
      <c r="K2">
        <v>45</v>
      </c>
      <c r="L2">
        <v>1</v>
      </c>
      <c r="M2" t="b">
        <v>0</v>
      </c>
    </row>
    <row r="3" spans="1:13" hidden="1">
      <c r="A3">
        <v>2</v>
      </c>
      <c r="B3" t="s">
        <v>16</v>
      </c>
      <c r="C3" t="s">
        <v>14</v>
      </c>
      <c r="D3" t="s">
        <v>15</v>
      </c>
      <c r="E3">
        <v>405</v>
      </c>
      <c r="F3">
        <v>60</v>
      </c>
      <c r="G3">
        <v>62</v>
      </c>
      <c r="H3">
        <v>63</v>
      </c>
      <c r="I3">
        <v>80</v>
      </c>
      <c r="J3">
        <v>80</v>
      </c>
      <c r="K3">
        <v>60</v>
      </c>
      <c r="L3">
        <v>1</v>
      </c>
      <c r="M3" t="b">
        <v>0</v>
      </c>
    </row>
    <row r="4" spans="1:13" hidden="1">
      <c r="A4">
        <v>3</v>
      </c>
      <c r="B4" t="s">
        <v>17</v>
      </c>
      <c r="C4" t="s">
        <v>14</v>
      </c>
      <c r="D4" t="s">
        <v>15</v>
      </c>
      <c r="E4">
        <v>525</v>
      </c>
      <c r="F4">
        <v>80</v>
      </c>
      <c r="G4">
        <v>82</v>
      </c>
      <c r="H4">
        <v>83</v>
      </c>
      <c r="I4">
        <v>100</v>
      </c>
      <c r="J4">
        <v>100</v>
      </c>
      <c r="K4">
        <v>80</v>
      </c>
      <c r="L4">
        <v>1</v>
      </c>
      <c r="M4" t="b">
        <v>0</v>
      </c>
    </row>
    <row r="5" spans="1:13" hidden="1">
      <c r="A5">
        <v>4</v>
      </c>
      <c r="B5" t="s">
        <v>18</v>
      </c>
      <c r="C5" t="s">
        <v>19</v>
      </c>
      <c r="E5">
        <v>309</v>
      </c>
      <c r="F5">
        <v>39</v>
      </c>
      <c r="G5">
        <v>52</v>
      </c>
      <c r="H5">
        <v>43</v>
      </c>
      <c r="I5">
        <v>60</v>
      </c>
      <c r="J5">
        <v>50</v>
      </c>
      <c r="K5">
        <v>65</v>
      </c>
      <c r="L5">
        <v>1</v>
      </c>
      <c r="M5" t="b">
        <v>0</v>
      </c>
    </row>
    <row r="6" spans="1:13" hidden="1">
      <c r="A6">
        <v>5</v>
      </c>
      <c r="B6" t="s">
        <v>20</v>
      </c>
      <c r="C6" t="s">
        <v>19</v>
      </c>
      <c r="E6">
        <v>405</v>
      </c>
      <c r="F6">
        <v>58</v>
      </c>
      <c r="G6">
        <v>64</v>
      </c>
      <c r="H6">
        <v>58</v>
      </c>
      <c r="I6">
        <v>80</v>
      </c>
      <c r="J6">
        <v>65</v>
      </c>
      <c r="K6">
        <v>80</v>
      </c>
      <c r="L6">
        <v>1</v>
      </c>
      <c r="M6" t="b">
        <v>0</v>
      </c>
    </row>
    <row r="7" spans="1:13" hidden="1">
      <c r="A7">
        <v>6</v>
      </c>
      <c r="B7" t="s">
        <v>21</v>
      </c>
      <c r="C7" t="s">
        <v>19</v>
      </c>
      <c r="D7" t="s">
        <v>22</v>
      </c>
      <c r="E7">
        <v>534</v>
      </c>
      <c r="F7">
        <v>78</v>
      </c>
      <c r="G7">
        <v>84</v>
      </c>
      <c r="H7">
        <v>78</v>
      </c>
      <c r="I7">
        <v>109</v>
      </c>
      <c r="J7">
        <v>85</v>
      </c>
      <c r="K7">
        <v>100</v>
      </c>
      <c r="L7">
        <v>1</v>
      </c>
      <c r="M7" t="b">
        <v>0</v>
      </c>
    </row>
    <row r="8" spans="1:13" hidden="1">
      <c r="A8">
        <v>7</v>
      </c>
      <c r="B8" t="s">
        <v>24</v>
      </c>
      <c r="C8" t="s">
        <v>25</v>
      </c>
      <c r="E8">
        <v>314</v>
      </c>
      <c r="F8">
        <v>44</v>
      </c>
      <c r="G8">
        <v>48</v>
      </c>
      <c r="H8">
        <v>65</v>
      </c>
      <c r="I8">
        <v>50</v>
      </c>
      <c r="J8">
        <v>64</v>
      </c>
      <c r="K8">
        <v>43</v>
      </c>
      <c r="L8">
        <v>1</v>
      </c>
      <c r="M8" t="b">
        <v>0</v>
      </c>
    </row>
    <row r="9" spans="1:13" hidden="1">
      <c r="A9">
        <v>8</v>
      </c>
      <c r="B9" t="s">
        <v>26</v>
      </c>
      <c r="C9" t="s">
        <v>25</v>
      </c>
      <c r="E9">
        <v>405</v>
      </c>
      <c r="F9">
        <v>59</v>
      </c>
      <c r="G9">
        <v>63</v>
      </c>
      <c r="H9">
        <v>80</v>
      </c>
      <c r="I9">
        <v>65</v>
      </c>
      <c r="J9">
        <v>80</v>
      </c>
      <c r="K9">
        <v>58</v>
      </c>
      <c r="L9">
        <v>1</v>
      </c>
      <c r="M9" t="b">
        <v>0</v>
      </c>
    </row>
    <row r="10" spans="1:13" hidden="1">
      <c r="A10">
        <v>9</v>
      </c>
      <c r="B10" t="s">
        <v>27</v>
      </c>
      <c r="C10" t="s">
        <v>25</v>
      </c>
      <c r="E10">
        <v>530</v>
      </c>
      <c r="F10">
        <v>79</v>
      </c>
      <c r="G10">
        <v>83</v>
      </c>
      <c r="H10">
        <v>100</v>
      </c>
      <c r="I10">
        <v>85</v>
      </c>
      <c r="J10">
        <v>105</v>
      </c>
      <c r="K10">
        <v>78</v>
      </c>
      <c r="L10">
        <v>1</v>
      </c>
      <c r="M10" t="b">
        <v>0</v>
      </c>
    </row>
    <row r="11" spans="1:13" hidden="1">
      <c r="A11">
        <v>10</v>
      </c>
      <c r="B11" t="s">
        <v>28</v>
      </c>
      <c r="C11" t="s">
        <v>29</v>
      </c>
      <c r="E11">
        <v>195</v>
      </c>
      <c r="F11">
        <v>45</v>
      </c>
      <c r="G11">
        <v>30</v>
      </c>
      <c r="H11">
        <v>35</v>
      </c>
      <c r="I11">
        <v>20</v>
      </c>
      <c r="J11">
        <v>20</v>
      </c>
      <c r="K11">
        <v>45</v>
      </c>
      <c r="L11">
        <v>1</v>
      </c>
      <c r="M11" t="b">
        <v>0</v>
      </c>
    </row>
    <row r="12" spans="1:13" hidden="1">
      <c r="A12">
        <v>11</v>
      </c>
      <c r="B12" t="s">
        <v>30</v>
      </c>
      <c r="C12" t="s">
        <v>29</v>
      </c>
      <c r="E12">
        <v>205</v>
      </c>
      <c r="F12">
        <v>50</v>
      </c>
      <c r="G12">
        <v>20</v>
      </c>
      <c r="H12">
        <v>55</v>
      </c>
      <c r="I12">
        <v>25</v>
      </c>
      <c r="J12">
        <v>25</v>
      </c>
      <c r="K12">
        <v>30</v>
      </c>
      <c r="L12">
        <v>1</v>
      </c>
      <c r="M12" t="b">
        <v>0</v>
      </c>
    </row>
    <row r="13" spans="1:13" hidden="1">
      <c r="A13">
        <v>12</v>
      </c>
      <c r="B13" t="s">
        <v>31</v>
      </c>
      <c r="C13" t="s">
        <v>29</v>
      </c>
      <c r="D13" t="s">
        <v>22</v>
      </c>
      <c r="E13">
        <v>395</v>
      </c>
      <c r="F13">
        <v>60</v>
      </c>
      <c r="G13">
        <v>45</v>
      </c>
      <c r="H13">
        <v>50</v>
      </c>
      <c r="I13">
        <v>90</v>
      </c>
      <c r="J13">
        <v>80</v>
      </c>
      <c r="K13">
        <v>70</v>
      </c>
      <c r="L13">
        <v>1</v>
      </c>
      <c r="M13" t="b">
        <v>0</v>
      </c>
    </row>
    <row r="14" spans="1:13" hidden="1">
      <c r="A14">
        <v>13</v>
      </c>
      <c r="B14" t="s">
        <v>32</v>
      </c>
      <c r="C14" t="s">
        <v>29</v>
      </c>
      <c r="D14" t="s">
        <v>15</v>
      </c>
      <c r="E14">
        <v>195</v>
      </c>
      <c r="F14">
        <v>40</v>
      </c>
      <c r="G14">
        <v>35</v>
      </c>
      <c r="H14">
        <v>30</v>
      </c>
      <c r="I14">
        <v>20</v>
      </c>
      <c r="J14">
        <v>20</v>
      </c>
      <c r="K14">
        <v>50</v>
      </c>
      <c r="L14">
        <v>1</v>
      </c>
      <c r="M14" t="b">
        <v>0</v>
      </c>
    </row>
    <row r="15" spans="1:13" hidden="1">
      <c r="A15">
        <v>14</v>
      </c>
      <c r="B15" t="s">
        <v>33</v>
      </c>
      <c r="C15" t="s">
        <v>29</v>
      </c>
      <c r="D15" t="s">
        <v>15</v>
      </c>
      <c r="E15">
        <v>205</v>
      </c>
      <c r="F15">
        <v>45</v>
      </c>
      <c r="G15">
        <v>25</v>
      </c>
      <c r="H15">
        <v>50</v>
      </c>
      <c r="I15">
        <v>25</v>
      </c>
      <c r="J15">
        <v>25</v>
      </c>
      <c r="K15">
        <v>35</v>
      </c>
      <c r="L15">
        <v>1</v>
      </c>
      <c r="M15" t="b">
        <v>0</v>
      </c>
    </row>
    <row r="16" spans="1:13" hidden="1">
      <c r="A16">
        <v>15</v>
      </c>
      <c r="B16" t="s">
        <v>34</v>
      </c>
      <c r="C16" t="s">
        <v>29</v>
      </c>
      <c r="D16" t="s">
        <v>15</v>
      </c>
      <c r="E16">
        <v>395</v>
      </c>
      <c r="F16">
        <v>65</v>
      </c>
      <c r="G16">
        <v>90</v>
      </c>
      <c r="H16">
        <v>40</v>
      </c>
      <c r="I16">
        <v>45</v>
      </c>
      <c r="J16">
        <v>80</v>
      </c>
      <c r="K16">
        <v>75</v>
      </c>
      <c r="L16">
        <v>1</v>
      </c>
      <c r="M16" t="b">
        <v>0</v>
      </c>
    </row>
    <row r="17" spans="1:13" hidden="1">
      <c r="A17">
        <v>16</v>
      </c>
      <c r="B17" t="s">
        <v>35</v>
      </c>
      <c r="C17" t="s">
        <v>36</v>
      </c>
      <c r="D17" t="s">
        <v>22</v>
      </c>
      <c r="E17">
        <v>251</v>
      </c>
      <c r="F17">
        <v>40</v>
      </c>
      <c r="G17">
        <v>45</v>
      </c>
      <c r="H17">
        <v>40</v>
      </c>
      <c r="I17">
        <v>35</v>
      </c>
      <c r="J17">
        <v>35</v>
      </c>
      <c r="K17">
        <v>56</v>
      </c>
      <c r="L17">
        <v>1</v>
      </c>
      <c r="M17" t="b">
        <v>0</v>
      </c>
    </row>
    <row r="18" spans="1:13" hidden="1">
      <c r="A18">
        <v>17</v>
      </c>
      <c r="B18" t="s">
        <v>37</v>
      </c>
      <c r="C18" t="s">
        <v>36</v>
      </c>
      <c r="D18" t="s">
        <v>22</v>
      </c>
      <c r="E18">
        <v>349</v>
      </c>
      <c r="F18">
        <v>63</v>
      </c>
      <c r="G18">
        <v>60</v>
      </c>
      <c r="H18">
        <v>55</v>
      </c>
      <c r="I18">
        <v>50</v>
      </c>
      <c r="J18">
        <v>50</v>
      </c>
      <c r="K18">
        <v>71</v>
      </c>
      <c r="L18">
        <v>1</v>
      </c>
      <c r="M18" t="b">
        <v>0</v>
      </c>
    </row>
    <row r="19" spans="1:13" hidden="1">
      <c r="A19">
        <v>18</v>
      </c>
      <c r="B19" t="s">
        <v>38</v>
      </c>
      <c r="C19" t="s">
        <v>36</v>
      </c>
      <c r="D19" t="s">
        <v>22</v>
      </c>
      <c r="E19">
        <v>479</v>
      </c>
      <c r="F19">
        <v>83</v>
      </c>
      <c r="G19">
        <v>80</v>
      </c>
      <c r="H19">
        <v>75</v>
      </c>
      <c r="I19">
        <v>70</v>
      </c>
      <c r="J19">
        <v>70</v>
      </c>
      <c r="K19">
        <v>101</v>
      </c>
      <c r="L19">
        <v>1</v>
      </c>
      <c r="M19" t="b">
        <v>0</v>
      </c>
    </row>
    <row r="20" spans="1:13" hidden="1">
      <c r="A20">
        <v>19</v>
      </c>
      <c r="B20" t="s">
        <v>39</v>
      </c>
      <c r="C20" t="s">
        <v>36</v>
      </c>
      <c r="E20">
        <v>253</v>
      </c>
      <c r="F20">
        <v>30</v>
      </c>
      <c r="G20">
        <v>56</v>
      </c>
      <c r="H20">
        <v>35</v>
      </c>
      <c r="I20">
        <v>25</v>
      </c>
      <c r="J20">
        <v>35</v>
      </c>
      <c r="K20">
        <v>72</v>
      </c>
      <c r="L20">
        <v>1</v>
      </c>
      <c r="M20" t="b">
        <v>0</v>
      </c>
    </row>
    <row r="21" spans="1:13" hidden="1">
      <c r="A21">
        <v>20</v>
      </c>
      <c r="B21" t="s">
        <v>40</v>
      </c>
      <c r="C21" t="s">
        <v>36</v>
      </c>
      <c r="E21">
        <v>413</v>
      </c>
      <c r="F21">
        <v>55</v>
      </c>
      <c r="G21">
        <v>81</v>
      </c>
      <c r="H21">
        <v>60</v>
      </c>
      <c r="I21">
        <v>50</v>
      </c>
      <c r="J21">
        <v>70</v>
      </c>
      <c r="K21">
        <v>97</v>
      </c>
      <c r="L21">
        <v>1</v>
      </c>
      <c r="M21" t="b">
        <v>0</v>
      </c>
    </row>
    <row r="22" spans="1:13" hidden="1">
      <c r="A22">
        <v>21</v>
      </c>
      <c r="B22" t="s">
        <v>41</v>
      </c>
      <c r="C22" t="s">
        <v>36</v>
      </c>
      <c r="D22" t="s">
        <v>22</v>
      </c>
      <c r="E22">
        <v>262</v>
      </c>
      <c r="F22">
        <v>40</v>
      </c>
      <c r="G22">
        <v>60</v>
      </c>
      <c r="H22">
        <v>30</v>
      </c>
      <c r="I22">
        <v>31</v>
      </c>
      <c r="J22">
        <v>31</v>
      </c>
      <c r="K22">
        <v>70</v>
      </c>
      <c r="L22">
        <v>1</v>
      </c>
      <c r="M22" t="b">
        <v>0</v>
      </c>
    </row>
    <row r="23" spans="1:13" hidden="1">
      <c r="A23">
        <v>22</v>
      </c>
      <c r="B23" t="s">
        <v>42</v>
      </c>
      <c r="C23" t="s">
        <v>36</v>
      </c>
      <c r="D23" t="s">
        <v>22</v>
      </c>
      <c r="E23">
        <v>442</v>
      </c>
      <c r="F23">
        <v>65</v>
      </c>
      <c r="G23">
        <v>90</v>
      </c>
      <c r="H23">
        <v>65</v>
      </c>
      <c r="I23">
        <v>61</v>
      </c>
      <c r="J23">
        <v>61</v>
      </c>
      <c r="K23">
        <v>100</v>
      </c>
      <c r="L23">
        <v>1</v>
      </c>
      <c r="M23" t="b">
        <v>0</v>
      </c>
    </row>
    <row r="24" spans="1:13" hidden="1">
      <c r="A24">
        <v>23</v>
      </c>
      <c r="B24" t="s">
        <v>43</v>
      </c>
      <c r="C24" t="s">
        <v>15</v>
      </c>
      <c r="E24">
        <v>288</v>
      </c>
      <c r="F24">
        <v>35</v>
      </c>
      <c r="G24">
        <v>60</v>
      </c>
      <c r="H24">
        <v>44</v>
      </c>
      <c r="I24">
        <v>40</v>
      </c>
      <c r="J24">
        <v>54</v>
      </c>
      <c r="K24">
        <v>55</v>
      </c>
      <c r="L24">
        <v>1</v>
      </c>
      <c r="M24" t="b">
        <v>0</v>
      </c>
    </row>
    <row r="25" spans="1:13" hidden="1">
      <c r="A25">
        <v>24</v>
      </c>
      <c r="B25" t="s">
        <v>44</v>
      </c>
      <c r="C25" t="s">
        <v>15</v>
      </c>
      <c r="E25">
        <v>438</v>
      </c>
      <c r="F25">
        <v>60</v>
      </c>
      <c r="G25">
        <v>85</v>
      </c>
      <c r="H25">
        <v>69</v>
      </c>
      <c r="I25">
        <v>65</v>
      </c>
      <c r="J25">
        <v>79</v>
      </c>
      <c r="K25">
        <v>80</v>
      </c>
      <c r="L25">
        <v>1</v>
      </c>
      <c r="M25" t="b">
        <v>0</v>
      </c>
    </row>
    <row r="26" spans="1:13" hidden="1">
      <c r="A26">
        <v>25</v>
      </c>
      <c r="B26" t="s">
        <v>45</v>
      </c>
      <c r="C26" t="s">
        <v>46</v>
      </c>
      <c r="E26">
        <v>320</v>
      </c>
      <c r="F26">
        <v>35</v>
      </c>
      <c r="G26">
        <v>55</v>
      </c>
      <c r="H26">
        <v>40</v>
      </c>
      <c r="I26">
        <v>50</v>
      </c>
      <c r="J26">
        <v>50</v>
      </c>
      <c r="K26">
        <v>90</v>
      </c>
      <c r="L26">
        <v>1</v>
      </c>
      <c r="M26" t="b">
        <v>0</v>
      </c>
    </row>
    <row r="27" spans="1:13" hidden="1">
      <c r="A27">
        <v>26</v>
      </c>
      <c r="B27" t="s">
        <v>47</v>
      </c>
      <c r="C27" t="s">
        <v>46</v>
      </c>
      <c r="E27">
        <v>485</v>
      </c>
      <c r="F27">
        <v>60</v>
      </c>
      <c r="G27">
        <v>90</v>
      </c>
      <c r="H27">
        <v>55</v>
      </c>
      <c r="I27">
        <v>90</v>
      </c>
      <c r="J27">
        <v>80</v>
      </c>
      <c r="K27">
        <v>110</v>
      </c>
      <c r="L27">
        <v>1</v>
      </c>
      <c r="M27" t="b">
        <v>0</v>
      </c>
    </row>
    <row r="28" spans="1:13" hidden="1">
      <c r="A28">
        <v>27</v>
      </c>
      <c r="B28" t="s">
        <v>48</v>
      </c>
      <c r="C28" t="s">
        <v>49</v>
      </c>
      <c r="E28">
        <v>300</v>
      </c>
      <c r="F28">
        <v>50</v>
      </c>
      <c r="G28">
        <v>75</v>
      </c>
      <c r="H28">
        <v>85</v>
      </c>
      <c r="I28">
        <v>20</v>
      </c>
      <c r="J28">
        <v>30</v>
      </c>
      <c r="K28">
        <v>40</v>
      </c>
      <c r="L28">
        <v>1</v>
      </c>
      <c r="M28" t="b">
        <v>0</v>
      </c>
    </row>
    <row r="29" spans="1:13" hidden="1">
      <c r="A29">
        <v>28</v>
      </c>
      <c r="B29" t="s">
        <v>50</v>
      </c>
      <c r="C29" t="s">
        <v>49</v>
      </c>
      <c r="E29">
        <v>450</v>
      </c>
      <c r="F29">
        <v>75</v>
      </c>
      <c r="G29">
        <v>100</v>
      </c>
      <c r="H29">
        <v>110</v>
      </c>
      <c r="I29">
        <v>45</v>
      </c>
      <c r="J29">
        <v>55</v>
      </c>
      <c r="K29">
        <v>65</v>
      </c>
      <c r="L29">
        <v>1</v>
      </c>
      <c r="M29" t="b">
        <v>0</v>
      </c>
    </row>
    <row r="30" spans="1:13" hidden="1">
      <c r="A30">
        <v>29</v>
      </c>
      <c r="B30" t="s">
        <v>768</v>
      </c>
      <c r="C30" t="s">
        <v>15</v>
      </c>
      <c r="E30">
        <v>275</v>
      </c>
      <c r="F30">
        <v>55</v>
      </c>
      <c r="G30">
        <v>47</v>
      </c>
      <c r="H30">
        <v>52</v>
      </c>
      <c r="I30">
        <v>40</v>
      </c>
      <c r="J30">
        <v>40</v>
      </c>
      <c r="K30">
        <v>41</v>
      </c>
      <c r="L30">
        <v>1</v>
      </c>
      <c r="M30" t="b">
        <v>0</v>
      </c>
    </row>
    <row r="31" spans="1:13" hidden="1">
      <c r="A31">
        <v>30</v>
      </c>
      <c r="B31" t="s">
        <v>51</v>
      </c>
      <c r="C31" t="s">
        <v>15</v>
      </c>
      <c r="E31">
        <v>365</v>
      </c>
      <c r="F31">
        <v>70</v>
      </c>
      <c r="G31">
        <v>62</v>
      </c>
      <c r="H31">
        <v>67</v>
      </c>
      <c r="I31">
        <v>55</v>
      </c>
      <c r="J31">
        <v>55</v>
      </c>
      <c r="K31">
        <v>56</v>
      </c>
      <c r="L31">
        <v>1</v>
      </c>
      <c r="M31" t="b">
        <v>0</v>
      </c>
    </row>
    <row r="32" spans="1:13" hidden="1">
      <c r="A32">
        <v>31</v>
      </c>
      <c r="B32" t="s">
        <v>52</v>
      </c>
      <c r="C32" t="s">
        <v>15</v>
      </c>
      <c r="D32" t="s">
        <v>49</v>
      </c>
      <c r="E32">
        <v>505</v>
      </c>
      <c r="F32">
        <v>90</v>
      </c>
      <c r="G32">
        <v>92</v>
      </c>
      <c r="H32">
        <v>87</v>
      </c>
      <c r="I32">
        <v>75</v>
      </c>
      <c r="J32">
        <v>85</v>
      </c>
      <c r="K32">
        <v>76</v>
      </c>
      <c r="L32">
        <v>1</v>
      </c>
      <c r="M32" t="b">
        <v>0</v>
      </c>
    </row>
    <row r="33" spans="1:13" hidden="1">
      <c r="A33">
        <v>32</v>
      </c>
      <c r="B33" t="s">
        <v>769</v>
      </c>
      <c r="C33" t="s">
        <v>15</v>
      </c>
      <c r="E33">
        <v>273</v>
      </c>
      <c r="F33">
        <v>46</v>
      </c>
      <c r="G33">
        <v>57</v>
      </c>
      <c r="H33">
        <v>40</v>
      </c>
      <c r="I33">
        <v>40</v>
      </c>
      <c r="J33">
        <v>40</v>
      </c>
      <c r="K33">
        <v>50</v>
      </c>
      <c r="L33">
        <v>1</v>
      </c>
      <c r="M33" t="b">
        <v>0</v>
      </c>
    </row>
    <row r="34" spans="1:13" hidden="1">
      <c r="A34">
        <v>33</v>
      </c>
      <c r="B34" t="s">
        <v>53</v>
      </c>
      <c r="C34" t="s">
        <v>15</v>
      </c>
      <c r="E34">
        <v>365</v>
      </c>
      <c r="F34">
        <v>61</v>
      </c>
      <c r="G34">
        <v>72</v>
      </c>
      <c r="H34">
        <v>57</v>
      </c>
      <c r="I34">
        <v>55</v>
      </c>
      <c r="J34">
        <v>55</v>
      </c>
      <c r="K34">
        <v>65</v>
      </c>
      <c r="L34">
        <v>1</v>
      </c>
      <c r="M34" t="b">
        <v>0</v>
      </c>
    </row>
    <row r="35" spans="1:13" hidden="1">
      <c r="A35">
        <v>34</v>
      </c>
      <c r="B35" t="s">
        <v>54</v>
      </c>
      <c r="C35" t="s">
        <v>15</v>
      </c>
      <c r="D35" t="s">
        <v>49</v>
      </c>
      <c r="E35">
        <v>505</v>
      </c>
      <c r="F35">
        <v>81</v>
      </c>
      <c r="G35">
        <v>102</v>
      </c>
      <c r="H35">
        <v>77</v>
      </c>
      <c r="I35">
        <v>85</v>
      </c>
      <c r="J35">
        <v>75</v>
      </c>
      <c r="K35">
        <v>85</v>
      </c>
      <c r="L35">
        <v>1</v>
      </c>
      <c r="M35" t="b">
        <v>0</v>
      </c>
    </row>
    <row r="36" spans="1:13" hidden="1">
      <c r="A36">
        <v>35</v>
      </c>
      <c r="B36" t="s">
        <v>55</v>
      </c>
      <c r="C36" t="s">
        <v>56</v>
      </c>
      <c r="E36">
        <v>323</v>
      </c>
      <c r="F36">
        <v>70</v>
      </c>
      <c r="G36">
        <v>45</v>
      </c>
      <c r="H36">
        <v>48</v>
      </c>
      <c r="I36">
        <v>60</v>
      </c>
      <c r="J36">
        <v>65</v>
      </c>
      <c r="K36">
        <v>35</v>
      </c>
      <c r="L36">
        <v>1</v>
      </c>
      <c r="M36" t="b">
        <v>0</v>
      </c>
    </row>
    <row r="37" spans="1:13" hidden="1">
      <c r="A37">
        <v>36</v>
      </c>
      <c r="B37" t="s">
        <v>57</v>
      </c>
      <c r="C37" t="s">
        <v>56</v>
      </c>
      <c r="E37">
        <v>483</v>
      </c>
      <c r="F37">
        <v>95</v>
      </c>
      <c r="G37">
        <v>70</v>
      </c>
      <c r="H37">
        <v>73</v>
      </c>
      <c r="I37">
        <v>95</v>
      </c>
      <c r="J37">
        <v>90</v>
      </c>
      <c r="K37">
        <v>60</v>
      </c>
      <c r="L37">
        <v>1</v>
      </c>
      <c r="M37" t="b">
        <v>0</v>
      </c>
    </row>
    <row r="38" spans="1:13" hidden="1">
      <c r="A38">
        <v>37</v>
      </c>
      <c r="B38" t="s">
        <v>58</v>
      </c>
      <c r="C38" t="s">
        <v>19</v>
      </c>
      <c r="E38">
        <v>299</v>
      </c>
      <c r="F38">
        <v>38</v>
      </c>
      <c r="G38">
        <v>41</v>
      </c>
      <c r="H38">
        <v>40</v>
      </c>
      <c r="I38">
        <v>50</v>
      </c>
      <c r="J38">
        <v>65</v>
      </c>
      <c r="K38">
        <v>65</v>
      </c>
      <c r="L38">
        <v>1</v>
      </c>
      <c r="M38" t="b">
        <v>0</v>
      </c>
    </row>
    <row r="39" spans="1:13" hidden="1">
      <c r="A39">
        <v>38</v>
      </c>
      <c r="B39" t="s">
        <v>59</v>
      </c>
      <c r="C39" t="s">
        <v>19</v>
      </c>
      <c r="E39">
        <v>505</v>
      </c>
      <c r="F39">
        <v>73</v>
      </c>
      <c r="G39">
        <v>76</v>
      </c>
      <c r="H39">
        <v>75</v>
      </c>
      <c r="I39">
        <v>81</v>
      </c>
      <c r="J39">
        <v>100</v>
      </c>
      <c r="K39">
        <v>100</v>
      </c>
      <c r="L39">
        <v>1</v>
      </c>
      <c r="M39" t="b">
        <v>0</v>
      </c>
    </row>
    <row r="40" spans="1:13" hidden="1">
      <c r="A40">
        <v>39</v>
      </c>
      <c r="B40" t="s">
        <v>60</v>
      </c>
      <c r="C40" t="s">
        <v>36</v>
      </c>
      <c r="D40" t="s">
        <v>56</v>
      </c>
      <c r="E40">
        <v>270</v>
      </c>
      <c r="F40">
        <v>115</v>
      </c>
      <c r="G40">
        <v>45</v>
      </c>
      <c r="H40">
        <v>20</v>
      </c>
      <c r="I40">
        <v>45</v>
      </c>
      <c r="J40">
        <v>25</v>
      </c>
      <c r="K40">
        <v>20</v>
      </c>
      <c r="L40">
        <v>1</v>
      </c>
      <c r="M40" t="b">
        <v>0</v>
      </c>
    </row>
    <row r="41" spans="1:13" hidden="1">
      <c r="A41">
        <v>40</v>
      </c>
      <c r="B41" t="s">
        <v>61</v>
      </c>
      <c r="C41" t="s">
        <v>36</v>
      </c>
      <c r="D41" t="s">
        <v>56</v>
      </c>
      <c r="E41">
        <v>435</v>
      </c>
      <c r="F41">
        <v>140</v>
      </c>
      <c r="G41">
        <v>70</v>
      </c>
      <c r="H41">
        <v>45</v>
      </c>
      <c r="I41">
        <v>85</v>
      </c>
      <c r="J41">
        <v>50</v>
      </c>
      <c r="K41">
        <v>45</v>
      </c>
      <c r="L41">
        <v>1</v>
      </c>
      <c r="M41" t="b">
        <v>0</v>
      </c>
    </row>
    <row r="42" spans="1:13" hidden="1">
      <c r="A42">
        <v>41</v>
      </c>
      <c r="B42" t="s">
        <v>62</v>
      </c>
      <c r="C42" t="s">
        <v>15</v>
      </c>
      <c r="D42" t="s">
        <v>22</v>
      </c>
      <c r="E42">
        <v>245</v>
      </c>
      <c r="F42">
        <v>40</v>
      </c>
      <c r="G42">
        <v>45</v>
      </c>
      <c r="H42">
        <v>35</v>
      </c>
      <c r="I42">
        <v>30</v>
      </c>
      <c r="J42">
        <v>40</v>
      </c>
      <c r="K42">
        <v>55</v>
      </c>
      <c r="L42">
        <v>1</v>
      </c>
      <c r="M42" t="b">
        <v>0</v>
      </c>
    </row>
    <row r="43" spans="1:13" hidden="1">
      <c r="A43">
        <v>42</v>
      </c>
      <c r="B43" t="s">
        <v>63</v>
      </c>
      <c r="C43" t="s">
        <v>15</v>
      </c>
      <c r="D43" t="s">
        <v>22</v>
      </c>
      <c r="E43">
        <v>455</v>
      </c>
      <c r="F43">
        <v>75</v>
      </c>
      <c r="G43">
        <v>80</v>
      </c>
      <c r="H43">
        <v>70</v>
      </c>
      <c r="I43">
        <v>65</v>
      </c>
      <c r="J43">
        <v>75</v>
      </c>
      <c r="K43">
        <v>90</v>
      </c>
      <c r="L43">
        <v>1</v>
      </c>
      <c r="M43" t="b">
        <v>0</v>
      </c>
    </row>
    <row r="44" spans="1:13" hidden="1">
      <c r="A44">
        <v>43</v>
      </c>
      <c r="B44" t="s">
        <v>64</v>
      </c>
      <c r="C44" t="s">
        <v>14</v>
      </c>
      <c r="D44" t="s">
        <v>15</v>
      </c>
      <c r="E44">
        <v>320</v>
      </c>
      <c r="F44">
        <v>45</v>
      </c>
      <c r="G44">
        <v>50</v>
      </c>
      <c r="H44">
        <v>55</v>
      </c>
      <c r="I44">
        <v>75</v>
      </c>
      <c r="J44">
        <v>65</v>
      </c>
      <c r="K44">
        <v>30</v>
      </c>
      <c r="L44">
        <v>1</v>
      </c>
      <c r="M44" t="b">
        <v>0</v>
      </c>
    </row>
    <row r="45" spans="1:13" hidden="1">
      <c r="A45">
        <v>44</v>
      </c>
      <c r="B45" t="s">
        <v>65</v>
      </c>
      <c r="C45" t="s">
        <v>14</v>
      </c>
      <c r="D45" t="s">
        <v>15</v>
      </c>
      <c r="E45">
        <v>395</v>
      </c>
      <c r="F45">
        <v>60</v>
      </c>
      <c r="G45">
        <v>65</v>
      </c>
      <c r="H45">
        <v>70</v>
      </c>
      <c r="I45">
        <v>85</v>
      </c>
      <c r="J45">
        <v>75</v>
      </c>
      <c r="K45">
        <v>40</v>
      </c>
      <c r="L45">
        <v>1</v>
      </c>
      <c r="M45" t="b">
        <v>0</v>
      </c>
    </row>
    <row r="46" spans="1:13" hidden="1">
      <c r="A46">
        <v>45</v>
      </c>
      <c r="B46" t="s">
        <v>66</v>
      </c>
      <c r="C46" t="s">
        <v>14</v>
      </c>
      <c r="D46" t="s">
        <v>15</v>
      </c>
      <c r="E46">
        <v>490</v>
      </c>
      <c r="F46">
        <v>75</v>
      </c>
      <c r="G46">
        <v>80</v>
      </c>
      <c r="H46">
        <v>85</v>
      </c>
      <c r="I46">
        <v>110</v>
      </c>
      <c r="J46">
        <v>90</v>
      </c>
      <c r="K46">
        <v>50</v>
      </c>
      <c r="L46">
        <v>1</v>
      </c>
      <c r="M46" t="b">
        <v>0</v>
      </c>
    </row>
    <row r="47" spans="1:13" hidden="1">
      <c r="A47">
        <v>46</v>
      </c>
      <c r="B47" t="s">
        <v>67</v>
      </c>
      <c r="C47" t="s">
        <v>29</v>
      </c>
      <c r="D47" t="s">
        <v>14</v>
      </c>
      <c r="E47">
        <v>285</v>
      </c>
      <c r="F47">
        <v>35</v>
      </c>
      <c r="G47">
        <v>70</v>
      </c>
      <c r="H47">
        <v>55</v>
      </c>
      <c r="I47">
        <v>45</v>
      </c>
      <c r="J47">
        <v>55</v>
      </c>
      <c r="K47">
        <v>25</v>
      </c>
      <c r="L47">
        <v>1</v>
      </c>
      <c r="M47" t="b">
        <v>0</v>
      </c>
    </row>
    <row r="48" spans="1:13" hidden="1">
      <c r="A48">
        <v>47</v>
      </c>
      <c r="B48" t="s">
        <v>68</v>
      </c>
      <c r="C48" t="s">
        <v>29</v>
      </c>
      <c r="D48" t="s">
        <v>14</v>
      </c>
      <c r="E48">
        <v>405</v>
      </c>
      <c r="F48">
        <v>60</v>
      </c>
      <c r="G48">
        <v>95</v>
      </c>
      <c r="H48">
        <v>80</v>
      </c>
      <c r="I48">
        <v>60</v>
      </c>
      <c r="J48">
        <v>80</v>
      </c>
      <c r="K48">
        <v>30</v>
      </c>
      <c r="L48">
        <v>1</v>
      </c>
      <c r="M48" t="b">
        <v>0</v>
      </c>
    </row>
    <row r="49" spans="1:13" hidden="1">
      <c r="A49">
        <v>48</v>
      </c>
      <c r="B49" t="s">
        <v>69</v>
      </c>
      <c r="C49" t="s">
        <v>29</v>
      </c>
      <c r="D49" t="s">
        <v>15</v>
      </c>
      <c r="E49">
        <v>305</v>
      </c>
      <c r="F49">
        <v>60</v>
      </c>
      <c r="G49">
        <v>55</v>
      </c>
      <c r="H49">
        <v>50</v>
      </c>
      <c r="I49">
        <v>40</v>
      </c>
      <c r="J49">
        <v>55</v>
      </c>
      <c r="K49">
        <v>45</v>
      </c>
      <c r="L49">
        <v>1</v>
      </c>
      <c r="M49" t="b">
        <v>0</v>
      </c>
    </row>
    <row r="50" spans="1:13" hidden="1">
      <c r="A50">
        <v>49</v>
      </c>
      <c r="B50" t="s">
        <v>70</v>
      </c>
      <c r="C50" t="s">
        <v>29</v>
      </c>
      <c r="D50" t="s">
        <v>15</v>
      </c>
      <c r="E50">
        <v>450</v>
      </c>
      <c r="F50">
        <v>70</v>
      </c>
      <c r="G50">
        <v>65</v>
      </c>
      <c r="H50">
        <v>60</v>
      </c>
      <c r="I50">
        <v>90</v>
      </c>
      <c r="J50">
        <v>75</v>
      </c>
      <c r="K50">
        <v>90</v>
      </c>
      <c r="L50">
        <v>1</v>
      </c>
      <c r="M50" t="b">
        <v>0</v>
      </c>
    </row>
    <row r="51" spans="1:13" hidden="1">
      <c r="A51">
        <v>50</v>
      </c>
      <c r="B51" t="s">
        <v>71</v>
      </c>
      <c r="C51" t="s">
        <v>49</v>
      </c>
      <c r="E51">
        <v>265</v>
      </c>
      <c r="F51">
        <v>10</v>
      </c>
      <c r="G51">
        <v>55</v>
      </c>
      <c r="H51">
        <v>25</v>
      </c>
      <c r="I51">
        <v>35</v>
      </c>
      <c r="J51">
        <v>45</v>
      </c>
      <c r="K51">
        <v>95</v>
      </c>
      <c r="L51">
        <v>1</v>
      </c>
      <c r="M51" t="b">
        <v>0</v>
      </c>
    </row>
    <row r="52" spans="1:13" hidden="1">
      <c r="A52">
        <v>51</v>
      </c>
      <c r="B52" t="s">
        <v>72</v>
      </c>
      <c r="C52" t="s">
        <v>49</v>
      </c>
      <c r="E52">
        <v>405</v>
      </c>
      <c r="F52">
        <v>35</v>
      </c>
      <c r="G52">
        <v>80</v>
      </c>
      <c r="H52">
        <v>50</v>
      </c>
      <c r="I52">
        <v>50</v>
      </c>
      <c r="J52">
        <v>70</v>
      </c>
      <c r="K52">
        <v>120</v>
      </c>
      <c r="L52">
        <v>1</v>
      </c>
      <c r="M52" t="b">
        <v>0</v>
      </c>
    </row>
    <row r="53" spans="1:13" hidden="1">
      <c r="A53">
        <v>52</v>
      </c>
      <c r="B53" t="s">
        <v>73</v>
      </c>
      <c r="C53" t="s">
        <v>36</v>
      </c>
      <c r="E53">
        <v>290</v>
      </c>
      <c r="F53">
        <v>40</v>
      </c>
      <c r="G53">
        <v>45</v>
      </c>
      <c r="H53">
        <v>35</v>
      </c>
      <c r="I53">
        <v>40</v>
      </c>
      <c r="J53">
        <v>40</v>
      </c>
      <c r="K53">
        <v>90</v>
      </c>
      <c r="L53">
        <v>1</v>
      </c>
      <c r="M53" t="b">
        <v>0</v>
      </c>
    </row>
    <row r="54" spans="1:13" hidden="1">
      <c r="A54">
        <v>53</v>
      </c>
      <c r="B54" t="s">
        <v>74</v>
      </c>
      <c r="C54" t="s">
        <v>36</v>
      </c>
      <c r="E54">
        <v>440</v>
      </c>
      <c r="F54">
        <v>65</v>
      </c>
      <c r="G54">
        <v>70</v>
      </c>
      <c r="H54">
        <v>60</v>
      </c>
      <c r="I54">
        <v>65</v>
      </c>
      <c r="J54">
        <v>65</v>
      </c>
      <c r="K54">
        <v>115</v>
      </c>
      <c r="L54">
        <v>1</v>
      </c>
      <c r="M54" t="b">
        <v>0</v>
      </c>
    </row>
    <row r="55" spans="1:13" hidden="1">
      <c r="A55">
        <v>54</v>
      </c>
      <c r="B55" t="s">
        <v>75</v>
      </c>
      <c r="C55" t="s">
        <v>25</v>
      </c>
      <c r="E55">
        <v>320</v>
      </c>
      <c r="F55">
        <v>50</v>
      </c>
      <c r="G55">
        <v>52</v>
      </c>
      <c r="H55">
        <v>48</v>
      </c>
      <c r="I55">
        <v>65</v>
      </c>
      <c r="J55">
        <v>50</v>
      </c>
      <c r="K55">
        <v>55</v>
      </c>
      <c r="L55">
        <v>1</v>
      </c>
      <c r="M55" t="b">
        <v>0</v>
      </c>
    </row>
    <row r="56" spans="1:13" hidden="1">
      <c r="A56">
        <v>55</v>
      </c>
      <c r="B56" t="s">
        <v>76</v>
      </c>
      <c r="C56" t="s">
        <v>25</v>
      </c>
      <c r="E56">
        <v>500</v>
      </c>
      <c r="F56">
        <v>80</v>
      </c>
      <c r="G56">
        <v>82</v>
      </c>
      <c r="H56">
        <v>78</v>
      </c>
      <c r="I56">
        <v>95</v>
      </c>
      <c r="J56">
        <v>80</v>
      </c>
      <c r="K56">
        <v>85</v>
      </c>
      <c r="L56">
        <v>1</v>
      </c>
      <c r="M56" t="b">
        <v>0</v>
      </c>
    </row>
    <row r="57" spans="1:13" hidden="1">
      <c r="A57">
        <v>56</v>
      </c>
      <c r="B57" t="s">
        <v>77</v>
      </c>
      <c r="C57" t="s">
        <v>78</v>
      </c>
      <c r="E57">
        <v>305</v>
      </c>
      <c r="F57">
        <v>40</v>
      </c>
      <c r="G57">
        <v>80</v>
      </c>
      <c r="H57">
        <v>35</v>
      </c>
      <c r="I57">
        <v>35</v>
      </c>
      <c r="J57">
        <v>45</v>
      </c>
      <c r="K57">
        <v>70</v>
      </c>
      <c r="L57">
        <v>1</v>
      </c>
      <c r="M57" t="b">
        <v>0</v>
      </c>
    </row>
    <row r="58" spans="1:13" hidden="1">
      <c r="A58">
        <v>57</v>
      </c>
      <c r="B58" t="s">
        <v>79</v>
      </c>
      <c r="C58" t="s">
        <v>78</v>
      </c>
      <c r="E58">
        <v>455</v>
      </c>
      <c r="F58">
        <v>65</v>
      </c>
      <c r="G58">
        <v>105</v>
      </c>
      <c r="H58">
        <v>60</v>
      </c>
      <c r="I58">
        <v>60</v>
      </c>
      <c r="J58">
        <v>70</v>
      </c>
      <c r="K58">
        <v>95</v>
      </c>
      <c r="L58">
        <v>1</v>
      </c>
      <c r="M58" t="b">
        <v>0</v>
      </c>
    </row>
    <row r="59" spans="1:13" hidden="1">
      <c r="A59">
        <v>58</v>
      </c>
      <c r="B59" t="s">
        <v>80</v>
      </c>
      <c r="C59" t="s">
        <v>19</v>
      </c>
      <c r="E59">
        <v>350</v>
      </c>
      <c r="F59">
        <v>55</v>
      </c>
      <c r="G59">
        <v>70</v>
      </c>
      <c r="H59">
        <v>45</v>
      </c>
      <c r="I59">
        <v>70</v>
      </c>
      <c r="J59">
        <v>50</v>
      </c>
      <c r="K59">
        <v>60</v>
      </c>
      <c r="L59">
        <v>1</v>
      </c>
      <c r="M59" t="b">
        <v>0</v>
      </c>
    </row>
    <row r="60" spans="1:13" hidden="1">
      <c r="A60">
        <v>59</v>
      </c>
      <c r="B60" t="s">
        <v>81</v>
      </c>
      <c r="C60" t="s">
        <v>19</v>
      </c>
      <c r="E60">
        <v>555</v>
      </c>
      <c r="F60">
        <v>90</v>
      </c>
      <c r="G60">
        <v>110</v>
      </c>
      <c r="H60">
        <v>80</v>
      </c>
      <c r="I60">
        <v>100</v>
      </c>
      <c r="J60">
        <v>80</v>
      </c>
      <c r="K60">
        <v>95</v>
      </c>
      <c r="L60">
        <v>1</v>
      </c>
      <c r="M60" t="b">
        <v>0</v>
      </c>
    </row>
    <row r="61" spans="1:13" hidden="1">
      <c r="A61">
        <v>60</v>
      </c>
      <c r="B61" t="s">
        <v>82</v>
      </c>
      <c r="C61" t="s">
        <v>25</v>
      </c>
      <c r="E61">
        <v>300</v>
      </c>
      <c r="F61">
        <v>40</v>
      </c>
      <c r="G61">
        <v>50</v>
      </c>
      <c r="H61">
        <v>40</v>
      </c>
      <c r="I61">
        <v>40</v>
      </c>
      <c r="J61">
        <v>40</v>
      </c>
      <c r="K61">
        <v>90</v>
      </c>
      <c r="L61">
        <v>1</v>
      </c>
      <c r="M61" t="b">
        <v>0</v>
      </c>
    </row>
    <row r="62" spans="1:13" hidden="1">
      <c r="A62">
        <v>61</v>
      </c>
      <c r="B62" t="s">
        <v>83</v>
      </c>
      <c r="C62" t="s">
        <v>25</v>
      </c>
      <c r="E62">
        <v>385</v>
      </c>
      <c r="F62">
        <v>65</v>
      </c>
      <c r="G62">
        <v>65</v>
      </c>
      <c r="H62">
        <v>65</v>
      </c>
      <c r="I62">
        <v>50</v>
      </c>
      <c r="J62">
        <v>50</v>
      </c>
      <c r="K62">
        <v>90</v>
      </c>
      <c r="L62">
        <v>1</v>
      </c>
      <c r="M62" t="b">
        <v>0</v>
      </c>
    </row>
    <row r="63" spans="1:13" hidden="1">
      <c r="A63">
        <v>62</v>
      </c>
      <c r="B63" t="s">
        <v>84</v>
      </c>
      <c r="C63" t="s">
        <v>25</v>
      </c>
      <c r="D63" t="s">
        <v>78</v>
      </c>
      <c r="E63">
        <v>510</v>
      </c>
      <c r="F63">
        <v>90</v>
      </c>
      <c r="G63">
        <v>95</v>
      </c>
      <c r="H63">
        <v>95</v>
      </c>
      <c r="I63">
        <v>70</v>
      </c>
      <c r="J63">
        <v>90</v>
      </c>
      <c r="K63">
        <v>70</v>
      </c>
      <c r="L63">
        <v>1</v>
      </c>
      <c r="M63" t="b">
        <v>0</v>
      </c>
    </row>
    <row r="64" spans="1:13" hidden="1">
      <c r="A64">
        <v>63</v>
      </c>
      <c r="B64" t="s">
        <v>85</v>
      </c>
      <c r="C64" t="s">
        <v>86</v>
      </c>
      <c r="E64">
        <v>310</v>
      </c>
      <c r="F64">
        <v>25</v>
      </c>
      <c r="G64">
        <v>20</v>
      </c>
      <c r="H64">
        <v>15</v>
      </c>
      <c r="I64">
        <v>105</v>
      </c>
      <c r="J64">
        <v>55</v>
      </c>
      <c r="K64">
        <v>90</v>
      </c>
      <c r="L64">
        <v>1</v>
      </c>
      <c r="M64" t="b">
        <v>0</v>
      </c>
    </row>
    <row r="65" spans="1:13" hidden="1">
      <c r="A65">
        <v>64</v>
      </c>
      <c r="B65" t="s">
        <v>87</v>
      </c>
      <c r="C65" t="s">
        <v>86</v>
      </c>
      <c r="E65">
        <v>400</v>
      </c>
      <c r="F65">
        <v>40</v>
      </c>
      <c r="G65">
        <v>35</v>
      </c>
      <c r="H65">
        <v>30</v>
      </c>
      <c r="I65">
        <v>120</v>
      </c>
      <c r="J65">
        <v>70</v>
      </c>
      <c r="K65">
        <v>105</v>
      </c>
      <c r="L65">
        <v>1</v>
      </c>
      <c r="M65" t="b">
        <v>0</v>
      </c>
    </row>
    <row r="66" spans="1:13" hidden="1">
      <c r="A66">
        <v>65</v>
      </c>
      <c r="B66" t="s">
        <v>88</v>
      </c>
      <c r="C66" t="s">
        <v>86</v>
      </c>
      <c r="E66">
        <v>500</v>
      </c>
      <c r="F66">
        <v>55</v>
      </c>
      <c r="G66">
        <v>50</v>
      </c>
      <c r="H66">
        <v>45</v>
      </c>
      <c r="I66">
        <v>135</v>
      </c>
      <c r="J66">
        <v>95</v>
      </c>
      <c r="K66">
        <v>120</v>
      </c>
      <c r="L66">
        <v>1</v>
      </c>
      <c r="M66" t="b">
        <v>0</v>
      </c>
    </row>
    <row r="67" spans="1:13" hidden="1">
      <c r="A67">
        <v>66</v>
      </c>
      <c r="B67" t="s">
        <v>89</v>
      </c>
      <c r="C67" t="s">
        <v>78</v>
      </c>
      <c r="E67">
        <v>305</v>
      </c>
      <c r="F67">
        <v>70</v>
      </c>
      <c r="G67">
        <v>80</v>
      </c>
      <c r="H67">
        <v>50</v>
      </c>
      <c r="I67">
        <v>35</v>
      </c>
      <c r="J67">
        <v>35</v>
      </c>
      <c r="K67">
        <v>35</v>
      </c>
      <c r="L67">
        <v>1</v>
      </c>
      <c r="M67" t="b">
        <v>0</v>
      </c>
    </row>
    <row r="68" spans="1:13" hidden="1">
      <c r="A68">
        <v>67</v>
      </c>
      <c r="B68" t="s">
        <v>90</v>
      </c>
      <c r="C68" t="s">
        <v>78</v>
      </c>
      <c r="E68">
        <v>405</v>
      </c>
      <c r="F68">
        <v>80</v>
      </c>
      <c r="G68">
        <v>100</v>
      </c>
      <c r="H68">
        <v>70</v>
      </c>
      <c r="I68">
        <v>50</v>
      </c>
      <c r="J68">
        <v>60</v>
      </c>
      <c r="K68">
        <v>45</v>
      </c>
      <c r="L68">
        <v>1</v>
      </c>
      <c r="M68" t="b">
        <v>0</v>
      </c>
    </row>
    <row r="69" spans="1:13" hidden="1">
      <c r="A69">
        <v>68</v>
      </c>
      <c r="B69" t="s">
        <v>91</v>
      </c>
      <c r="C69" t="s">
        <v>78</v>
      </c>
      <c r="E69">
        <v>505</v>
      </c>
      <c r="F69">
        <v>90</v>
      </c>
      <c r="G69">
        <v>130</v>
      </c>
      <c r="H69">
        <v>80</v>
      </c>
      <c r="I69">
        <v>65</v>
      </c>
      <c r="J69">
        <v>85</v>
      </c>
      <c r="K69">
        <v>55</v>
      </c>
      <c r="L69">
        <v>1</v>
      </c>
      <c r="M69" t="b">
        <v>0</v>
      </c>
    </row>
    <row r="70" spans="1:13" hidden="1">
      <c r="A70">
        <v>69</v>
      </c>
      <c r="B70" t="s">
        <v>92</v>
      </c>
      <c r="C70" t="s">
        <v>14</v>
      </c>
      <c r="D70" t="s">
        <v>15</v>
      </c>
      <c r="E70">
        <v>300</v>
      </c>
      <c r="F70">
        <v>50</v>
      </c>
      <c r="G70">
        <v>75</v>
      </c>
      <c r="H70">
        <v>35</v>
      </c>
      <c r="I70">
        <v>70</v>
      </c>
      <c r="J70">
        <v>30</v>
      </c>
      <c r="K70">
        <v>40</v>
      </c>
      <c r="L70">
        <v>1</v>
      </c>
      <c r="M70" t="b">
        <v>0</v>
      </c>
    </row>
    <row r="71" spans="1:13" hidden="1">
      <c r="A71">
        <v>70</v>
      </c>
      <c r="B71" t="s">
        <v>93</v>
      </c>
      <c r="C71" t="s">
        <v>14</v>
      </c>
      <c r="D71" t="s">
        <v>15</v>
      </c>
      <c r="E71">
        <v>390</v>
      </c>
      <c r="F71">
        <v>65</v>
      </c>
      <c r="G71">
        <v>90</v>
      </c>
      <c r="H71">
        <v>50</v>
      </c>
      <c r="I71">
        <v>85</v>
      </c>
      <c r="J71">
        <v>45</v>
      </c>
      <c r="K71">
        <v>55</v>
      </c>
      <c r="L71">
        <v>1</v>
      </c>
      <c r="M71" t="b">
        <v>0</v>
      </c>
    </row>
    <row r="72" spans="1:13" hidden="1">
      <c r="A72">
        <v>71</v>
      </c>
      <c r="B72" t="s">
        <v>94</v>
      </c>
      <c r="C72" t="s">
        <v>14</v>
      </c>
      <c r="D72" t="s">
        <v>15</v>
      </c>
      <c r="E72">
        <v>490</v>
      </c>
      <c r="F72">
        <v>80</v>
      </c>
      <c r="G72">
        <v>105</v>
      </c>
      <c r="H72">
        <v>65</v>
      </c>
      <c r="I72">
        <v>100</v>
      </c>
      <c r="J72">
        <v>70</v>
      </c>
      <c r="K72">
        <v>70</v>
      </c>
      <c r="L72">
        <v>1</v>
      </c>
      <c r="M72" t="b">
        <v>0</v>
      </c>
    </row>
    <row r="73" spans="1:13" hidden="1">
      <c r="A73">
        <v>72</v>
      </c>
      <c r="B73" t="s">
        <v>95</v>
      </c>
      <c r="C73" t="s">
        <v>25</v>
      </c>
      <c r="D73" t="s">
        <v>15</v>
      </c>
      <c r="E73">
        <v>335</v>
      </c>
      <c r="F73">
        <v>40</v>
      </c>
      <c r="G73">
        <v>40</v>
      </c>
      <c r="H73">
        <v>35</v>
      </c>
      <c r="I73">
        <v>50</v>
      </c>
      <c r="J73">
        <v>100</v>
      </c>
      <c r="K73">
        <v>70</v>
      </c>
      <c r="L73">
        <v>1</v>
      </c>
      <c r="M73" t="b">
        <v>0</v>
      </c>
    </row>
    <row r="74" spans="1:13" hidden="1">
      <c r="A74">
        <v>73</v>
      </c>
      <c r="B74" t="s">
        <v>96</v>
      </c>
      <c r="C74" t="s">
        <v>25</v>
      </c>
      <c r="D74" t="s">
        <v>15</v>
      </c>
      <c r="E74">
        <v>515</v>
      </c>
      <c r="F74">
        <v>80</v>
      </c>
      <c r="G74">
        <v>70</v>
      </c>
      <c r="H74">
        <v>65</v>
      </c>
      <c r="I74">
        <v>80</v>
      </c>
      <c r="J74">
        <v>120</v>
      </c>
      <c r="K74">
        <v>100</v>
      </c>
      <c r="L74">
        <v>1</v>
      </c>
      <c r="M74" t="b">
        <v>0</v>
      </c>
    </row>
    <row r="75" spans="1:13" hidden="1">
      <c r="A75">
        <v>74</v>
      </c>
      <c r="B75" t="s">
        <v>97</v>
      </c>
      <c r="C75" t="s">
        <v>98</v>
      </c>
      <c r="D75" t="s">
        <v>49</v>
      </c>
      <c r="E75">
        <v>300</v>
      </c>
      <c r="F75">
        <v>40</v>
      </c>
      <c r="G75">
        <v>80</v>
      </c>
      <c r="H75">
        <v>100</v>
      </c>
      <c r="I75">
        <v>30</v>
      </c>
      <c r="J75">
        <v>30</v>
      </c>
      <c r="K75">
        <v>20</v>
      </c>
      <c r="L75">
        <v>1</v>
      </c>
      <c r="M75" t="b">
        <v>0</v>
      </c>
    </row>
    <row r="76" spans="1:13" hidden="1">
      <c r="A76">
        <v>75</v>
      </c>
      <c r="B76" t="s">
        <v>99</v>
      </c>
      <c r="C76" t="s">
        <v>98</v>
      </c>
      <c r="D76" t="s">
        <v>49</v>
      </c>
      <c r="E76">
        <v>390</v>
      </c>
      <c r="F76">
        <v>55</v>
      </c>
      <c r="G76">
        <v>95</v>
      </c>
      <c r="H76">
        <v>115</v>
      </c>
      <c r="I76">
        <v>45</v>
      </c>
      <c r="J76">
        <v>45</v>
      </c>
      <c r="K76">
        <v>35</v>
      </c>
      <c r="L76">
        <v>1</v>
      </c>
      <c r="M76" t="b">
        <v>0</v>
      </c>
    </row>
    <row r="77" spans="1:13" hidden="1">
      <c r="A77">
        <v>76</v>
      </c>
      <c r="B77" t="s">
        <v>100</v>
      </c>
      <c r="C77" t="s">
        <v>98</v>
      </c>
      <c r="D77" t="s">
        <v>49</v>
      </c>
      <c r="E77">
        <v>495</v>
      </c>
      <c r="F77">
        <v>80</v>
      </c>
      <c r="G77">
        <v>120</v>
      </c>
      <c r="H77">
        <v>130</v>
      </c>
      <c r="I77">
        <v>55</v>
      </c>
      <c r="J77">
        <v>65</v>
      </c>
      <c r="K77">
        <v>45</v>
      </c>
      <c r="L77">
        <v>1</v>
      </c>
      <c r="M77" t="b">
        <v>0</v>
      </c>
    </row>
    <row r="78" spans="1:13" hidden="1">
      <c r="A78">
        <v>77</v>
      </c>
      <c r="B78" t="s">
        <v>101</v>
      </c>
      <c r="C78" t="s">
        <v>19</v>
      </c>
      <c r="E78">
        <v>410</v>
      </c>
      <c r="F78">
        <v>50</v>
      </c>
      <c r="G78">
        <v>85</v>
      </c>
      <c r="H78">
        <v>55</v>
      </c>
      <c r="I78">
        <v>65</v>
      </c>
      <c r="J78">
        <v>65</v>
      </c>
      <c r="K78">
        <v>90</v>
      </c>
      <c r="L78">
        <v>1</v>
      </c>
      <c r="M78" t="b">
        <v>0</v>
      </c>
    </row>
    <row r="79" spans="1:13" hidden="1">
      <c r="A79">
        <v>78</v>
      </c>
      <c r="B79" t="s">
        <v>102</v>
      </c>
      <c r="C79" t="s">
        <v>19</v>
      </c>
      <c r="E79">
        <v>500</v>
      </c>
      <c r="F79">
        <v>65</v>
      </c>
      <c r="G79">
        <v>100</v>
      </c>
      <c r="H79">
        <v>70</v>
      </c>
      <c r="I79">
        <v>80</v>
      </c>
      <c r="J79">
        <v>80</v>
      </c>
      <c r="K79">
        <v>105</v>
      </c>
      <c r="L79">
        <v>1</v>
      </c>
      <c r="M79" t="b">
        <v>0</v>
      </c>
    </row>
    <row r="80" spans="1:13" hidden="1">
      <c r="A80">
        <v>79</v>
      </c>
      <c r="B80" t="s">
        <v>103</v>
      </c>
      <c r="C80" t="s">
        <v>25</v>
      </c>
      <c r="D80" t="s">
        <v>86</v>
      </c>
      <c r="E80">
        <v>315</v>
      </c>
      <c r="F80">
        <v>90</v>
      </c>
      <c r="G80">
        <v>65</v>
      </c>
      <c r="H80">
        <v>65</v>
      </c>
      <c r="I80">
        <v>40</v>
      </c>
      <c r="J80">
        <v>40</v>
      </c>
      <c r="K80">
        <v>15</v>
      </c>
      <c r="L80">
        <v>1</v>
      </c>
      <c r="M80" t="b">
        <v>0</v>
      </c>
    </row>
    <row r="81" spans="1:13" hidden="1">
      <c r="A81">
        <v>80</v>
      </c>
      <c r="B81" t="s">
        <v>104</v>
      </c>
      <c r="C81" t="s">
        <v>25</v>
      </c>
      <c r="D81" t="s">
        <v>86</v>
      </c>
      <c r="E81">
        <v>490</v>
      </c>
      <c r="F81">
        <v>95</v>
      </c>
      <c r="G81">
        <v>75</v>
      </c>
      <c r="H81">
        <v>110</v>
      </c>
      <c r="I81">
        <v>100</v>
      </c>
      <c r="J81">
        <v>80</v>
      </c>
      <c r="K81">
        <v>30</v>
      </c>
      <c r="L81">
        <v>1</v>
      </c>
      <c r="M81" t="b">
        <v>0</v>
      </c>
    </row>
    <row r="82" spans="1:13" hidden="1">
      <c r="A82">
        <v>81</v>
      </c>
      <c r="B82" t="s">
        <v>105</v>
      </c>
      <c r="C82" t="s">
        <v>46</v>
      </c>
      <c r="D82" t="s">
        <v>106</v>
      </c>
      <c r="E82">
        <v>325</v>
      </c>
      <c r="F82">
        <v>25</v>
      </c>
      <c r="G82">
        <v>35</v>
      </c>
      <c r="H82">
        <v>70</v>
      </c>
      <c r="I82">
        <v>95</v>
      </c>
      <c r="J82">
        <v>55</v>
      </c>
      <c r="K82">
        <v>45</v>
      </c>
      <c r="L82">
        <v>1</v>
      </c>
      <c r="M82" t="b">
        <v>0</v>
      </c>
    </row>
    <row r="83" spans="1:13" hidden="1">
      <c r="A83">
        <v>82</v>
      </c>
      <c r="B83" t="s">
        <v>107</v>
      </c>
      <c r="C83" t="s">
        <v>46</v>
      </c>
      <c r="D83" t="s">
        <v>106</v>
      </c>
      <c r="E83">
        <v>465</v>
      </c>
      <c r="F83">
        <v>50</v>
      </c>
      <c r="G83">
        <v>60</v>
      </c>
      <c r="H83">
        <v>95</v>
      </c>
      <c r="I83">
        <v>120</v>
      </c>
      <c r="J83">
        <v>70</v>
      </c>
      <c r="K83">
        <v>70</v>
      </c>
      <c r="L83">
        <v>1</v>
      </c>
      <c r="M83" t="b">
        <v>0</v>
      </c>
    </row>
    <row r="84" spans="1:13" hidden="1">
      <c r="A84">
        <v>83</v>
      </c>
      <c r="B84" t="s">
        <v>108</v>
      </c>
      <c r="C84" t="s">
        <v>36</v>
      </c>
      <c r="D84" t="s">
        <v>22</v>
      </c>
      <c r="E84">
        <v>352</v>
      </c>
      <c r="F84">
        <v>52</v>
      </c>
      <c r="G84">
        <v>65</v>
      </c>
      <c r="H84">
        <v>55</v>
      </c>
      <c r="I84">
        <v>58</v>
      </c>
      <c r="J84">
        <v>62</v>
      </c>
      <c r="K84">
        <v>60</v>
      </c>
      <c r="L84">
        <v>1</v>
      </c>
      <c r="M84" t="b">
        <v>0</v>
      </c>
    </row>
    <row r="85" spans="1:13" hidden="1">
      <c r="A85">
        <v>84</v>
      </c>
      <c r="B85" t="s">
        <v>109</v>
      </c>
      <c r="C85" t="s">
        <v>36</v>
      </c>
      <c r="D85" t="s">
        <v>22</v>
      </c>
      <c r="E85">
        <v>310</v>
      </c>
      <c r="F85">
        <v>35</v>
      </c>
      <c r="G85">
        <v>85</v>
      </c>
      <c r="H85">
        <v>45</v>
      </c>
      <c r="I85">
        <v>35</v>
      </c>
      <c r="J85">
        <v>35</v>
      </c>
      <c r="K85">
        <v>75</v>
      </c>
      <c r="L85">
        <v>1</v>
      </c>
      <c r="M85" t="b">
        <v>0</v>
      </c>
    </row>
    <row r="86" spans="1:13" hidden="1">
      <c r="A86">
        <v>85</v>
      </c>
      <c r="B86" t="s">
        <v>110</v>
      </c>
      <c r="C86" t="s">
        <v>36</v>
      </c>
      <c r="D86" t="s">
        <v>22</v>
      </c>
      <c r="E86">
        <v>460</v>
      </c>
      <c r="F86">
        <v>60</v>
      </c>
      <c r="G86">
        <v>110</v>
      </c>
      <c r="H86">
        <v>70</v>
      </c>
      <c r="I86">
        <v>60</v>
      </c>
      <c r="J86">
        <v>60</v>
      </c>
      <c r="K86">
        <v>100</v>
      </c>
      <c r="L86">
        <v>1</v>
      </c>
      <c r="M86" t="b">
        <v>0</v>
      </c>
    </row>
    <row r="87" spans="1:13" hidden="1">
      <c r="A87">
        <v>86</v>
      </c>
      <c r="B87" t="s">
        <v>111</v>
      </c>
      <c r="C87" t="s">
        <v>25</v>
      </c>
      <c r="E87">
        <v>325</v>
      </c>
      <c r="F87">
        <v>65</v>
      </c>
      <c r="G87">
        <v>45</v>
      </c>
      <c r="H87">
        <v>55</v>
      </c>
      <c r="I87">
        <v>45</v>
      </c>
      <c r="J87">
        <v>70</v>
      </c>
      <c r="K87">
        <v>45</v>
      </c>
      <c r="L87">
        <v>1</v>
      </c>
      <c r="M87" t="b">
        <v>0</v>
      </c>
    </row>
    <row r="88" spans="1:13" hidden="1">
      <c r="A88">
        <v>87</v>
      </c>
      <c r="B88" t="s">
        <v>112</v>
      </c>
      <c r="C88" t="s">
        <v>25</v>
      </c>
      <c r="D88" t="s">
        <v>113</v>
      </c>
      <c r="E88">
        <v>475</v>
      </c>
      <c r="F88">
        <v>90</v>
      </c>
      <c r="G88">
        <v>70</v>
      </c>
      <c r="H88">
        <v>80</v>
      </c>
      <c r="I88">
        <v>70</v>
      </c>
      <c r="J88">
        <v>95</v>
      </c>
      <c r="K88">
        <v>70</v>
      </c>
      <c r="L88">
        <v>1</v>
      </c>
      <c r="M88" t="b">
        <v>0</v>
      </c>
    </row>
    <row r="89" spans="1:13" hidden="1">
      <c r="A89">
        <v>88</v>
      </c>
      <c r="B89" t="s">
        <v>114</v>
      </c>
      <c r="C89" t="s">
        <v>15</v>
      </c>
      <c r="E89">
        <v>325</v>
      </c>
      <c r="F89">
        <v>80</v>
      </c>
      <c r="G89">
        <v>80</v>
      </c>
      <c r="H89">
        <v>50</v>
      </c>
      <c r="I89">
        <v>40</v>
      </c>
      <c r="J89">
        <v>50</v>
      </c>
      <c r="K89">
        <v>25</v>
      </c>
      <c r="L89">
        <v>1</v>
      </c>
      <c r="M89" t="b">
        <v>0</v>
      </c>
    </row>
    <row r="90" spans="1:13" hidden="1">
      <c r="A90">
        <v>89</v>
      </c>
      <c r="B90" t="s">
        <v>115</v>
      </c>
      <c r="C90" t="s">
        <v>15</v>
      </c>
      <c r="E90">
        <v>500</v>
      </c>
      <c r="F90">
        <v>105</v>
      </c>
      <c r="G90">
        <v>105</v>
      </c>
      <c r="H90">
        <v>75</v>
      </c>
      <c r="I90">
        <v>65</v>
      </c>
      <c r="J90">
        <v>100</v>
      </c>
      <c r="K90">
        <v>50</v>
      </c>
      <c r="L90">
        <v>1</v>
      </c>
      <c r="M90" t="b">
        <v>0</v>
      </c>
    </row>
    <row r="91" spans="1:13" hidden="1">
      <c r="A91">
        <v>90</v>
      </c>
      <c r="B91" t="s">
        <v>116</v>
      </c>
      <c r="C91" t="s">
        <v>25</v>
      </c>
      <c r="E91">
        <v>305</v>
      </c>
      <c r="F91">
        <v>30</v>
      </c>
      <c r="G91">
        <v>65</v>
      </c>
      <c r="H91">
        <v>100</v>
      </c>
      <c r="I91">
        <v>45</v>
      </c>
      <c r="J91">
        <v>25</v>
      </c>
      <c r="K91">
        <v>40</v>
      </c>
      <c r="L91">
        <v>1</v>
      </c>
      <c r="M91" t="b">
        <v>0</v>
      </c>
    </row>
    <row r="92" spans="1:13" hidden="1">
      <c r="A92">
        <v>91</v>
      </c>
      <c r="B92" t="s">
        <v>117</v>
      </c>
      <c r="C92" t="s">
        <v>25</v>
      </c>
      <c r="D92" t="s">
        <v>113</v>
      </c>
      <c r="E92">
        <v>525</v>
      </c>
      <c r="F92">
        <v>50</v>
      </c>
      <c r="G92">
        <v>95</v>
      </c>
      <c r="H92">
        <v>180</v>
      </c>
      <c r="I92">
        <v>85</v>
      </c>
      <c r="J92">
        <v>45</v>
      </c>
      <c r="K92">
        <v>70</v>
      </c>
      <c r="L92">
        <v>1</v>
      </c>
      <c r="M92" t="b">
        <v>0</v>
      </c>
    </row>
    <row r="93" spans="1:13" hidden="1">
      <c r="A93">
        <v>92</v>
      </c>
      <c r="B93" t="s">
        <v>118</v>
      </c>
      <c r="C93" t="s">
        <v>119</v>
      </c>
      <c r="D93" t="s">
        <v>15</v>
      </c>
      <c r="E93">
        <v>310</v>
      </c>
      <c r="F93">
        <v>30</v>
      </c>
      <c r="G93">
        <v>35</v>
      </c>
      <c r="H93">
        <v>30</v>
      </c>
      <c r="I93">
        <v>100</v>
      </c>
      <c r="J93">
        <v>35</v>
      </c>
      <c r="K93">
        <v>80</v>
      </c>
      <c r="L93">
        <v>1</v>
      </c>
      <c r="M93" t="b">
        <v>0</v>
      </c>
    </row>
    <row r="94" spans="1:13" hidden="1">
      <c r="A94">
        <v>93</v>
      </c>
      <c r="B94" t="s">
        <v>120</v>
      </c>
      <c r="C94" t="s">
        <v>119</v>
      </c>
      <c r="D94" t="s">
        <v>15</v>
      </c>
      <c r="E94">
        <v>405</v>
      </c>
      <c r="F94">
        <v>45</v>
      </c>
      <c r="G94">
        <v>50</v>
      </c>
      <c r="H94">
        <v>45</v>
      </c>
      <c r="I94">
        <v>115</v>
      </c>
      <c r="J94">
        <v>55</v>
      </c>
      <c r="K94">
        <v>95</v>
      </c>
      <c r="L94">
        <v>1</v>
      </c>
      <c r="M94" t="b">
        <v>0</v>
      </c>
    </row>
    <row r="95" spans="1:13" hidden="1">
      <c r="A95">
        <v>94</v>
      </c>
      <c r="B95" t="s">
        <v>121</v>
      </c>
      <c r="C95" t="s">
        <v>119</v>
      </c>
      <c r="D95" t="s">
        <v>15</v>
      </c>
      <c r="E95">
        <v>500</v>
      </c>
      <c r="F95">
        <v>60</v>
      </c>
      <c r="G95">
        <v>65</v>
      </c>
      <c r="H95">
        <v>60</v>
      </c>
      <c r="I95">
        <v>130</v>
      </c>
      <c r="J95">
        <v>75</v>
      </c>
      <c r="K95">
        <v>110</v>
      </c>
      <c r="L95">
        <v>1</v>
      </c>
      <c r="M95" t="b">
        <v>0</v>
      </c>
    </row>
    <row r="96" spans="1:13" hidden="1">
      <c r="A96">
        <v>95</v>
      </c>
      <c r="B96" t="s">
        <v>122</v>
      </c>
      <c r="C96" t="s">
        <v>98</v>
      </c>
      <c r="D96" t="s">
        <v>49</v>
      </c>
      <c r="E96">
        <v>385</v>
      </c>
      <c r="F96">
        <v>35</v>
      </c>
      <c r="G96">
        <v>45</v>
      </c>
      <c r="H96">
        <v>160</v>
      </c>
      <c r="I96">
        <v>30</v>
      </c>
      <c r="J96">
        <v>45</v>
      </c>
      <c r="K96">
        <v>70</v>
      </c>
      <c r="L96">
        <v>1</v>
      </c>
      <c r="M96" t="b">
        <v>0</v>
      </c>
    </row>
    <row r="97" spans="1:13" hidden="1">
      <c r="A97">
        <v>96</v>
      </c>
      <c r="B97" t="s">
        <v>123</v>
      </c>
      <c r="C97" t="s">
        <v>86</v>
      </c>
      <c r="E97">
        <v>328</v>
      </c>
      <c r="F97">
        <v>60</v>
      </c>
      <c r="G97">
        <v>48</v>
      </c>
      <c r="H97">
        <v>45</v>
      </c>
      <c r="I97">
        <v>43</v>
      </c>
      <c r="J97">
        <v>90</v>
      </c>
      <c r="K97">
        <v>42</v>
      </c>
      <c r="L97">
        <v>1</v>
      </c>
      <c r="M97" t="b">
        <v>0</v>
      </c>
    </row>
    <row r="98" spans="1:13" hidden="1">
      <c r="A98">
        <v>97</v>
      </c>
      <c r="B98" t="s">
        <v>124</v>
      </c>
      <c r="C98" t="s">
        <v>86</v>
      </c>
      <c r="E98">
        <v>483</v>
      </c>
      <c r="F98">
        <v>85</v>
      </c>
      <c r="G98">
        <v>73</v>
      </c>
      <c r="H98">
        <v>70</v>
      </c>
      <c r="I98">
        <v>73</v>
      </c>
      <c r="J98">
        <v>115</v>
      </c>
      <c r="K98">
        <v>67</v>
      </c>
      <c r="L98">
        <v>1</v>
      </c>
      <c r="M98" t="b">
        <v>0</v>
      </c>
    </row>
    <row r="99" spans="1:13" hidden="1">
      <c r="A99">
        <v>98</v>
      </c>
      <c r="B99" t="s">
        <v>125</v>
      </c>
      <c r="C99" t="s">
        <v>25</v>
      </c>
      <c r="E99">
        <v>325</v>
      </c>
      <c r="F99">
        <v>30</v>
      </c>
      <c r="G99">
        <v>105</v>
      </c>
      <c r="H99">
        <v>90</v>
      </c>
      <c r="I99">
        <v>25</v>
      </c>
      <c r="J99">
        <v>25</v>
      </c>
      <c r="K99">
        <v>50</v>
      </c>
      <c r="L99">
        <v>1</v>
      </c>
      <c r="M99" t="b">
        <v>0</v>
      </c>
    </row>
    <row r="100" spans="1:13" hidden="1">
      <c r="A100">
        <v>99</v>
      </c>
      <c r="B100" t="s">
        <v>126</v>
      </c>
      <c r="C100" t="s">
        <v>25</v>
      </c>
      <c r="E100">
        <v>475</v>
      </c>
      <c r="F100">
        <v>55</v>
      </c>
      <c r="G100">
        <v>130</v>
      </c>
      <c r="H100">
        <v>115</v>
      </c>
      <c r="I100">
        <v>50</v>
      </c>
      <c r="J100">
        <v>50</v>
      </c>
      <c r="K100">
        <v>75</v>
      </c>
      <c r="L100">
        <v>1</v>
      </c>
      <c r="M100" t="b">
        <v>0</v>
      </c>
    </row>
    <row r="101" spans="1:13" hidden="1">
      <c r="A101">
        <v>100</v>
      </c>
      <c r="B101" t="s">
        <v>127</v>
      </c>
      <c r="C101" t="s">
        <v>46</v>
      </c>
      <c r="E101">
        <v>330</v>
      </c>
      <c r="F101">
        <v>40</v>
      </c>
      <c r="G101">
        <v>30</v>
      </c>
      <c r="H101">
        <v>50</v>
      </c>
      <c r="I101">
        <v>55</v>
      </c>
      <c r="J101">
        <v>55</v>
      </c>
      <c r="K101">
        <v>100</v>
      </c>
      <c r="L101">
        <v>1</v>
      </c>
      <c r="M101" t="b">
        <v>0</v>
      </c>
    </row>
    <row r="102" spans="1:13" hidden="1">
      <c r="A102">
        <v>101</v>
      </c>
      <c r="B102" t="s">
        <v>128</v>
      </c>
      <c r="C102" t="s">
        <v>46</v>
      </c>
      <c r="E102">
        <v>480</v>
      </c>
      <c r="F102">
        <v>60</v>
      </c>
      <c r="G102">
        <v>50</v>
      </c>
      <c r="H102">
        <v>70</v>
      </c>
      <c r="I102">
        <v>80</v>
      </c>
      <c r="J102">
        <v>80</v>
      </c>
      <c r="K102">
        <v>140</v>
      </c>
      <c r="L102">
        <v>1</v>
      </c>
      <c r="M102" t="b">
        <v>0</v>
      </c>
    </row>
    <row r="103" spans="1:13" hidden="1">
      <c r="A103">
        <v>102</v>
      </c>
      <c r="B103" t="s">
        <v>129</v>
      </c>
      <c r="C103" t="s">
        <v>14</v>
      </c>
      <c r="D103" t="s">
        <v>86</v>
      </c>
      <c r="E103">
        <v>325</v>
      </c>
      <c r="F103">
        <v>60</v>
      </c>
      <c r="G103">
        <v>40</v>
      </c>
      <c r="H103">
        <v>80</v>
      </c>
      <c r="I103">
        <v>60</v>
      </c>
      <c r="J103">
        <v>45</v>
      </c>
      <c r="K103">
        <v>40</v>
      </c>
      <c r="L103">
        <v>1</v>
      </c>
      <c r="M103" t="b">
        <v>0</v>
      </c>
    </row>
    <row r="104" spans="1:13" hidden="1">
      <c r="A104">
        <v>103</v>
      </c>
      <c r="B104" t="s">
        <v>130</v>
      </c>
      <c r="C104" t="s">
        <v>14</v>
      </c>
      <c r="D104" t="s">
        <v>86</v>
      </c>
      <c r="E104">
        <v>520</v>
      </c>
      <c r="F104">
        <v>95</v>
      </c>
      <c r="G104">
        <v>95</v>
      </c>
      <c r="H104">
        <v>85</v>
      </c>
      <c r="I104">
        <v>125</v>
      </c>
      <c r="J104">
        <v>65</v>
      </c>
      <c r="K104">
        <v>55</v>
      </c>
      <c r="L104">
        <v>1</v>
      </c>
      <c r="M104" t="b">
        <v>0</v>
      </c>
    </row>
    <row r="105" spans="1:13" hidden="1">
      <c r="A105">
        <v>104</v>
      </c>
      <c r="B105" t="s">
        <v>131</v>
      </c>
      <c r="C105" t="s">
        <v>49</v>
      </c>
      <c r="E105">
        <v>320</v>
      </c>
      <c r="F105">
        <v>50</v>
      </c>
      <c r="G105">
        <v>50</v>
      </c>
      <c r="H105">
        <v>95</v>
      </c>
      <c r="I105">
        <v>40</v>
      </c>
      <c r="J105">
        <v>50</v>
      </c>
      <c r="K105">
        <v>35</v>
      </c>
      <c r="L105">
        <v>1</v>
      </c>
      <c r="M105" t="b">
        <v>0</v>
      </c>
    </row>
    <row r="106" spans="1:13" hidden="1">
      <c r="A106">
        <v>105</v>
      </c>
      <c r="B106" t="s">
        <v>132</v>
      </c>
      <c r="C106" t="s">
        <v>49</v>
      </c>
      <c r="E106">
        <v>425</v>
      </c>
      <c r="F106">
        <v>60</v>
      </c>
      <c r="G106">
        <v>80</v>
      </c>
      <c r="H106">
        <v>110</v>
      </c>
      <c r="I106">
        <v>50</v>
      </c>
      <c r="J106">
        <v>80</v>
      </c>
      <c r="K106">
        <v>45</v>
      </c>
      <c r="L106">
        <v>1</v>
      </c>
      <c r="M106" t="b">
        <v>0</v>
      </c>
    </row>
    <row r="107" spans="1:13" hidden="1">
      <c r="A107">
        <v>106</v>
      </c>
      <c r="B107" t="s">
        <v>133</v>
      </c>
      <c r="C107" t="s">
        <v>78</v>
      </c>
      <c r="E107">
        <v>455</v>
      </c>
      <c r="F107">
        <v>50</v>
      </c>
      <c r="G107">
        <v>120</v>
      </c>
      <c r="H107">
        <v>53</v>
      </c>
      <c r="I107">
        <v>35</v>
      </c>
      <c r="J107">
        <v>110</v>
      </c>
      <c r="K107">
        <v>87</v>
      </c>
      <c r="L107">
        <v>1</v>
      </c>
      <c r="M107" t="b">
        <v>0</v>
      </c>
    </row>
    <row r="108" spans="1:13" hidden="1">
      <c r="A108">
        <v>107</v>
      </c>
      <c r="B108" t="s">
        <v>134</v>
      </c>
      <c r="C108" t="s">
        <v>78</v>
      </c>
      <c r="E108">
        <v>455</v>
      </c>
      <c r="F108">
        <v>50</v>
      </c>
      <c r="G108">
        <v>105</v>
      </c>
      <c r="H108">
        <v>79</v>
      </c>
      <c r="I108">
        <v>35</v>
      </c>
      <c r="J108">
        <v>110</v>
      </c>
      <c r="K108">
        <v>76</v>
      </c>
      <c r="L108">
        <v>1</v>
      </c>
      <c r="M108" t="b">
        <v>0</v>
      </c>
    </row>
    <row r="109" spans="1:13" hidden="1">
      <c r="A109">
        <v>108</v>
      </c>
      <c r="B109" t="s">
        <v>135</v>
      </c>
      <c r="C109" t="s">
        <v>36</v>
      </c>
      <c r="E109">
        <v>385</v>
      </c>
      <c r="F109">
        <v>90</v>
      </c>
      <c r="G109">
        <v>55</v>
      </c>
      <c r="H109">
        <v>75</v>
      </c>
      <c r="I109">
        <v>60</v>
      </c>
      <c r="J109">
        <v>75</v>
      </c>
      <c r="K109">
        <v>30</v>
      </c>
      <c r="L109">
        <v>1</v>
      </c>
      <c r="M109" t="b">
        <v>0</v>
      </c>
    </row>
    <row r="110" spans="1:13" hidden="1">
      <c r="A110">
        <v>109</v>
      </c>
      <c r="B110" t="s">
        <v>136</v>
      </c>
      <c r="C110" t="s">
        <v>15</v>
      </c>
      <c r="E110">
        <v>340</v>
      </c>
      <c r="F110">
        <v>40</v>
      </c>
      <c r="G110">
        <v>65</v>
      </c>
      <c r="H110">
        <v>95</v>
      </c>
      <c r="I110">
        <v>60</v>
      </c>
      <c r="J110">
        <v>45</v>
      </c>
      <c r="K110">
        <v>35</v>
      </c>
      <c r="L110">
        <v>1</v>
      </c>
      <c r="M110" t="b">
        <v>0</v>
      </c>
    </row>
    <row r="111" spans="1:13" hidden="1">
      <c r="A111">
        <v>110</v>
      </c>
      <c r="B111" t="s">
        <v>137</v>
      </c>
      <c r="C111" t="s">
        <v>15</v>
      </c>
      <c r="E111">
        <v>490</v>
      </c>
      <c r="F111">
        <v>65</v>
      </c>
      <c r="G111">
        <v>90</v>
      </c>
      <c r="H111">
        <v>120</v>
      </c>
      <c r="I111">
        <v>85</v>
      </c>
      <c r="J111">
        <v>70</v>
      </c>
      <c r="K111">
        <v>60</v>
      </c>
      <c r="L111">
        <v>1</v>
      </c>
      <c r="M111" t="b">
        <v>0</v>
      </c>
    </row>
    <row r="112" spans="1:13" hidden="1">
      <c r="A112">
        <v>111</v>
      </c>
      <c r="B112" t="s">
        <v>138</v>
      </c>
      <c r="C112" t="s">
        <v>49</v>
      </c>
      <c r="D112" t="s">
        <v>98</v>
      </c>
      <c r="E112">
        <v>345</v>
      </c>
      <c r="F112">
        <v>80</v>
      </c>
      <c r="G112">
        <v>85</v>
      </c>
      <c r="H112">
        <v>95</v>
      </c>
      <c r="I112">
        <v>30</v>
      </c>
      <c r="J112">
        <v>30</v>
      </c>
      <c r="K112">
        <v>25</v>
      </c>
      <c r="L112">
        <v>1</v>
      </c>
      <c r="M112" t="b">
        <v>0</v>
      </c>
    </row>
    <row r="113" spans="1:13" hidden="1">
      <c r="A113">
        <v>112</v>
      </c>
      <c r="B113" t="s">
        <v>139</v>
      </c>
      <c r="C113" t="s">
        <v>49</v>
      </c>
      <c r="D113" t="s">
        <v>98</v>
      </c>
      <c r="E113">
        <v>485</v>
      </c>
      <c r="F113">
        <v>105</v>
      </c>
      <c r="G113">
        <v>130</v>
      </c>
      <c r="H113">
        <v>120</v>
      </c>
      <c r="I113">
        <v>45</v>
      </c>
      <c r="J113">
        <v>45</v>
      </c>
      <c r="K113">
        <v>40</v>
      </c>
      <c r="L113">
        <v>1</v>
      </c>
      <c r="M113" t="b">
        <v>0</v>
      </c>
    </row>
    <row r="114" spans="1:13" hidden="1">
      <c r="A114">
        <v>113</v>
      </c>
      <c r="B114" t="s">
        <v>140</v>
      </c>
      <c r="C114" t="s">
        <v>36</v>
      </c>
      <c r="E114">
        <v>450</v>
      </c>
      <c r="F114">
        <v>250</v>
      </c>
      <c r="G114">
        <v>5</v>
      </c>
      <c r="H114">
        <v>5</v>
      </c>
      <c r="I114">
        <v>35</v>
      </c>
      <c r="J114">
        <v>105</v>
      </c>
      <c r="K114">
        <v>50</v>
      </c>
      <c r="L114">
        <v>1</v>
      </c>
      <c r="M114" t="b">
        <v>0</v>
      </c>
    </row>
    <row r="115" spans="1:13" hidden="1">
      <c r="A115">
        <v>114</v>
      </c>
      <c r="B115" t="s">
        <v>141</v>
      </c>
      <c r="C115" t="s">
        <v>14</v>
      </c>
      <c r="E115">
        <v>435</v>
      </c>
      <c r="F115">
        <v>65</v>
      </c>
      <c r="G115">
        <v>55</v>
      </c>
      <c r="H115">
        <v>115</v>
      </c>
      <c r="I115">
        <v>100</v>
      </c>
      <c r="J115">
        <v>40</v>
      </c>
      <c r="K115">
        <v>60</v>
      </c>
      <c r="L115">
        <v>1</v>
      </c>
      <c r="M115" t="b">
        <v>0</v>
      </c>
    </row>
    <row r="116" spans="1:13" hidden="1">
      <c r="A116">
        <v>115</v>
      </c>
      <c r="B116" t="s">
        <v>142</v>
      </c>
      <c r="C116" t="s">
        <v>36</v>
      </c>
      <c r="E116">
        <v>490</v>
      </c>
      <c r="F116">
        <v>105</v>
      </c>
      <c r="G116">
        <v>95</v>
      </c>
      <c r="H116">
        <v>80</v>
      </c>
      <c r="I116">
        <v>40</v>
      </c>
      <c r="J116">
        <v>80</v>
      </c>
      <c r="K116">
        <v>90</v>
      </c>
      <c r="L116">
        <v>1</v>
      </c>
      <c r="M116" t="b">
        <v>0</v>
      </c>
    </row>
    <row r="117" spans="1:13" hidden="1">
      <c r="A117">
        <v>116</v>
      </c>
      <c r="B117" t="s">
        <v>143</v>
      </c>
      <c r="C117" t="s">
        <v>25</v>
      </c>
      <c r="E117">
        <v>295</v>
      </c>
      <c r="F117">
        <v>30</v>
      </c>
      <c r="G117">
        <v>40</v>
      </c>
      <c r="H117">
        <v>70</v>
      </c>
      <c r="I117">
        <v>70</v>
      </c>
      <c r="J117">
        <v>25</v>
      </c>
      <c r="K117">
        <v>60</v>
      </c>
      <c r="L117">
        <v>1</v>
      </c>
      <c r="M117" t="b">
        <v>0</v>
      </c>
    </row>
    <row r="118" spans="1:13" hidden="1">
      <c r="A118">
        <v>117</v>
      </c>
      <c r="B118" t="s">
        <v>144</v>
      </c>
      <c r="C118" t="s">
        <v>25</v>
      </c>
      <c r="E118">
        <v>440</v>
      </c>
      <c r="F118">
        <v>55</v>
      </c>
      <c r="G118">
        <v>65</v>
      </c>
      <c r="H118">
        <v>95</v>
      </c>
      <c r="I118">
        <v>95</v>
      </c>
      <c r="J118">
        <v>45</v>
      </c>
      <c r="K118">
        <v>85</v>
      </c>
      <c r="L118">
        <v>1</v>
      </c>
      <c r="M118" t="b">
        <v>0</v>
      </c>
    </row>
    <row r="119" spans="1:13" hidden="1">
      <c r="A119">
        <v>118</v>
      </c>
      <c r="B119" t="s">
        <v>145</v>
      </c>
      <c r="C119" t="s">
        <v>25</v>
      </c>
      <c r="E119">
        <v>320</v>
      </c>
      <c r="F119">
        <v>45</v>
      </c>
      <c r="G119">
        <v>67</v>
      </c>
      <c r="H119">
        <v>60</v>
      </c>
      <c r="I119">
        <v>35</v>
      </c>
      <c r="J119">
        <v>50</v>
      </c>
      <c r="K119">
        <v>63</v>
      </c>
      <c r="L119">
        <v>1</v>
      </c>
      <c r="M119" t="b">
        <v>0</v>
      </c>
    </row>
    <row r="120" spans="1:13" hidden="1">
      <c r="A120">
        <v>119</v>
      </c>
      <c r="B120" t="s">
        <v>146</v>
      </c>
      <c r="C120" t="s">
        <v>25</v>
      </c>
      <c r="E120">
        <v>450</v>
      </c>
      <c r="F120">
        <v>80</v>
      </c>
      <c r="G120">
        <v>92</v>
      </c>
      <c r="H120">
        <v>65</v>
      </c>
      <c r="I120">
        <v>65</v>
      </c>
      <c r="J120">
        <v>80</v>
      </c>
      <c r="K120">
        <v>68</v>
      </c>
      <c r="L120">
        <v>1</v>
      </c>
      <c r="M120" t="b">
        <v>0</v>
      </c>
    </row>
    <row r="121" spans="1:13" hidden="1">
      <c r="A121">
        <v>120</v>
      </c>
      <c r="B121" t="s">
        <v>147</v>
      </c>
      <c r="C121" t="s">
        <v>25</v>
      </c>
      <c r="E121">
        <v>340</v>
      </c>
      <c r="F121">
        <v>30</v>
      </c>
      <c r="G121">
        <v>45</v>
      </c>
      <c r="H121">
        <v>55</v>
      </c>
      <c r="I121">
        <v>70</v>
      </c>
      <c r="J121">
        <v>55</v>
      </c>
      <c r="K121">
        <v>85</v>
      </c>
      <c r="L121">
        <v>1</v>
      </c>
      <c r="M121" t="b">
        <v>0</v>
      </c>
    </row>
    <row r="122" spans="1:13" hidden="1">
      <c r="A122">
        <v>121</v>
      </c>
      <c r="B122" t="s">
        <v>148</v>
      </c>
      <c r="C122" t="s">
        <v>25</v>
      </c>
      <c r="D122" t="s">
        <v>86</v>
      </c>
      <c r="E122">
        <v>520</v>
      </c>
      <c r="F122">
        <v>60</v>
      </c>
      <c r="G122">
        <v>75</v>
      </c>
      <c r="H122">
        <v>85</v>
      </c>
      <c r="I122">
        <v>100</v>
      </c>
      <c r="J122">
        <v>85</v>
      </c>
      <c r="K122">
        <v>115</v>
      </c>
      <c r="L122">
        <v>1</v>
      </c>
      <c r="M122" t="b">
        <v>0</v>
      </c>
    </row>
    <row r="123" spans="1:13" hidden="1">
      <c r="A123">
        <v>122</v>
      </c>
      <c r="B123" t="s">
        <v>149</v>
      </c>
      <c r="C123" t="s">
        <v>86</v>
      </c>
      <c r="D123" t="s">
        <v>56</v>
      </c>
      <c r="E123">
        <v>460</v>
      </c>
      <c r="F123">
        <v>40</v>
      </c>
      <c r="G123">
        <v>45</v>
      </c>
      <c r="H123">
        <v>65</v>
      </c>
      <c r="I123">
        <v>100</v>
      </c>
      <c r="J123">
        <v>120</v>
      </c>
      <c r="K123">
        <v>90</v>
      </c>
      <c r="L123">
        <v>1</v>
      </c>
      <c r="M123" t="b">
        <v>0</v>
      </c>
    </row>
    <row r="124" spans="1:13" hidden="1">
      <c r="A124">
        <v>123</v>
      </c>
      <c r="B124" t="s">
        <v>150</v>
      </c>
      <c r="C124" t="s">
        <v>29</v>
      </c>
      <c r="D124" t="s">
        <v>22</v>
      </c>
      <c r="E124">
        <v>500</v>
      </c>
      <c r="F124">
        <v>70</v>
      </c>
      <c r="G124">
        <v>110</v>
      </c>
      <c r="H124">
        <v>80</v>
      </c>
      <c r="I124">
        <v>55</v>
      </c>
      <c r="J124">
        <v>80</v>
      </c>
      <c r="K124">
        <v>105</v>
      </c>
      <c r="L124">
        <v>1</v>
      </c>
      <c r="M124" t="b">
        <v>0</v>
      </c>
    </row>
    <row r="125" spans="1:13" hidden="1">
      <c r="A125">
        <v>124</v>
      </c>
      <c r="B125" t="s">
        <v>151</v>
      </c>
      <c r="C125" t="s">
        <v>113</v>
      </c>
      <c r="D125" t="s">
        <v>86</v>
      </c>
      <c r="E125">
        <v>455</v>
      </c>
      <c r="F125">
        <v>65</v>
      </c>
      <c r="G125">
        <v>50</v>
      </c>
      <c r="H125">
        <v>35</v>
      </c>
      <c r="I125">
        <v>115</v>
      </c>
      <c r="J125">
        <v>95</v>
      </c>
      <c r="K125">
        <v>95</v>
      </c>
      <c r="L125">
        <v>1</v>
      </c>
      <c r="M125" t="b">
        <v>0</v>
      </c>
    </row>
    <row r="126" spans="1:13" hidden="1">
      <c r="A126">
        <v>125</v>
      </c>
      <c r="B126" t="s">
        <v>152</v>
      </c>
      <c r="C126" t="s">
        <v>46</v>
      </c>
      <c r="E126">
        <v>490</v>
      </c>
      <c r="F126">
        <v>65</v>
      </c>
      <c r="G126">
        <v>83</v>
      </c>
      <c r="H126">
        <v>57</v>
      </c>
      <c r="I126">
        <v>95</v>
      </c>
      <c r="J126">
        <v>85</v>
      </c>
      <c r="K126">
        <v>105</v>
      </c>
      <c r="L126">
        <v>1</v>
      </c>
      <c r="M126" t="b">
        <v>0</v>
      </c>
    </row>
    <row r="127" spans="1:13" hidden="1">
      <c r="A127">
        <v>126</v>
      </c>
      <c r="B127" t="s">
        <v>153</v>
      </c>
      <c r="C127" t="s">
        <v>19</v>
      </c>
      <c r="E127">
        <v>495</v>
      </c>
      <c r="F127">
        <v>65</v>
      </c>
      <c r="G127">
        <v>95</v>
      </c>
      <c r="H127">
        <v>57</v>
      </c>
      <c r="I127">
        <v>100</v>
      </c>
      <c r="J127">
        <v>85</v>
      </c>
      <c r="K127">
        <v>93</v>
      </c>
      <c r="L127">
        <v>1</v>
      </c>
      <c r="M127" t="b">
        <v>0</v>
      </c>
    </row>
    <row r="128" spans="1:13" hidden="1">
      <c r="A128">
        <v>127</v>
      </c>
      <c r="B128" t="s">
        <v>154</v>
      </c>
      <c r="C128" t="s">
        <v>29</v>
      </c>
      <c r="E128">
        <v>500</v>
      </c>
      <c r="F128">
        <v>65</v>
      </c>
      <c r="G128">
        <v>125</v>
      </c>
      <c r="H128">
        <v>100</v>
      </c>
      <c r="I128">
        <v>55</v>
      </c>
      <c r="J128">
        <v>70</v>
      </c>
      <c r="K128">
        <v>85</v>
      </c>
      <c r="L128">
        <v>1</v>
      </c>
      <c r="M128" t="b">
        <v>0</v>
      </c>
    </row>
    <row r="129" spans="1:13" hidden="1">
      <c r="A129">
        <v>128</v>
      </c>
      <c r="B129" t="s">
        <v>155</v>
      </c>
      <c r="C129" t="s">
        <v>36</v>
      </c>
      <c r="E129">
        <v>490</v>
      </c>
      <c r="F129">
        <v>75</v>
      </c>
      <c r="G129">
        <v>100</v>
      </c>
      <c r="H129">
        <v>95</v>
      </c>
      <c r="I129">
        <v>40</v>
      </c>
      <c r="J129">
        <v>70</v>
      </c>
      <c r="K129">
        <v>110</v>
      </c>
      <c r="L129">
        <v>1</v>
      </c>
      <c r="M129" t="b">
        <v>0</v>
      </c>
    </row>
    <row r="130" spans="1:13" hidden="1">
      <c r="A130">
        <v>129</v>
      </c>
      <c r="B130" t="s">
        <v>156</v>
      </c>
      <c r="C130" t="s">
        <v>25</v>
      </c>
      <c r="E130">
        <v>200</v>
      </c>
      <c r="F130">
        <v>20</v>
      </c>
      <c r="G130">
        <v>10</v>
      </c>
      <c r="H130">
        <v>55</v>
      </c>
      <c r="I130">
        <v>15</v>
      </c>
      <c r="J130">
        <v>20</v>
      </c>
      <c r="K130">
        <v>80</v>
      </c>
      <c r="L130">
        <v>1</v>
      </c>
      <c r="M130" t="b">
        <v>0</v>
      </c>
    </row>
    <row r="131" spans="1:13" hidden="1">
      <c r="A131">
        <v>130</v>
      </c>
      <c r="B131" t="s">
        <v>157</v>
      </c>
      <c r="C131" t="s">
        <v>25</v>
      </c>
      <c r="D131" t="s">
        <v>22</v>
      </c>
      <c r="E131">
        <v>540</v>
      </c>
      <c r="F131">
        <v>95</v>
      </c>
      <c r="G131">
        <v>125</v>
      </c>
      <c r="H131">
        <v>79</v>
      </c>
      <c r="I131">
        <v>60</v>
      </c>
      <c r="J131">
        <v>100</v>
      </c>
      <c r="K131">
        <v>81</v>
      </c>
      <c r="L131">
        <v>1</v>
      </c>
      <c r="M131" t="b">
        <v>0</v>
      </c>
    </row>
    <row r="132" spans="1:13" hidden="1">
      <c r="A132">
        <v>131</v>
      </c>
      <c r="B132" t="s">
        <v>159</v>
      </c>
      <c r="C132" t="s">
        <v>25</v>
      </c>
      <c r="D132" t="s">
        <v>113</v>
      </c>
      <c r="E132">
        <v>535</v>
      </c>
      <c r="F132">
        <v>130</v>
      </c>
      <c r="G132">
        <v>85</v>
      </c>
      <c r="H132">
        <v>80</v>
      </c>
      <c r="I132">
        <v>85</v>
      </c>
      <c r="J132">
        <v>95</v>
      </c>
      <c r="K132">
        <v>60</v>
      </c>
      <c r="L132">
        <v>1</v>
      </c>
      <c r="M132" t="b">
        <v>0</v>
      </c>
    </row>
    <row r="133" spans="1:13" hidden="1">
      <c r="A133">
        <v>132</v>
      </c>
      <c r="B133" t="s">
        <v>160</v>
      </c>
      <c r="C133" t="s">
        <v>36</v>
      </c>
      <c r="E133">
        <v>288</v>
      </c>
      <c r="F133">
        <v>48</v>
      </c>
      <c r="G133">
        <v>48</v>
      </c>
      <c r="H133">
        <v>48</v>
      </c>
      <c r="I133">
        <v>48</v>
      </c>
      <c r="J133">
        <v>48</v>
      </c>
      <c r="K133">
        <v>48</v>
      </c>
      <c r="L133">
        <v>1</v>
      </c>
      <c r="M133" t="b">
        <v>0</v>
      </c>
    </row>
    <row r="134" spans="1:13" hidden="1">
      <c r="A134">
        <v>133</v>
      </c>
      <c r="B134" t="s">
        <v>161</v>
      </c>
      <c r="C134" t="s">
        <v>36</v>
      </c>
      <c r="E134">
        <v>325</v>
      </c>
      <c r="F134">
        <v>55</v>
      </c>
      <c r="G134">
        <v>55</v>
      </c>
      <c r="H134">
        <v>50</v>
      </c>
      <c r="I134">
        <v>45</v>
      </c>
      <c r="J134">
        <v>65</v>
      </c>
      <c r="K134">
        <v>55</v>
      </c>
      <c r="L134">
        <v>1</v>
      </c>
      <c r="M134" t="b">
        <v>0</v>
      </c>
    </row>
    <row r="135" spans="1:13" hidden="1">
      <c r="A135">
        <v>134</v>
      </c>
      <c r="B135" t="s">
        <v>162</v>
      </c>
      <c r="C135" t="s">
        <v>25</v>
      </c>
      <c r="E135">
        <v>525</v>
      </c>
      <c r="F135">
        <v>130</v>
      </c>
      <c r="G135">
        <v>65</v>
      </c>
      <c r="H135">
        <v>60</v>
      </c>
      <c r="I135">
        <v>110</v>
      </c>
      <c r="J135">
        <v>95</v>
      </c>
      <c r="K135">
        <v>65</v>
      </c>
      <c r="L135">
        <v>1</v>
      </c>
      <c r="M135" t="b">
        <v>0</v>
      </c>
    </row>
    <row r="136" spans="1:13" hidden="1">
      <c r="A136">
        <v>135</v>
      </c>
      <c r="B136" t="s">
        <v>163</v>
      </c>
      <c r="C136" t="s">
        <v>46</v>
      </c>
      <c r="E136">
        <v>525</v>
      </c>
      <c r="F136">
        <v>65</v>
      </c>
      <c r="G136">
        <v>65</v>
      </c>
      <c r="H136">
        <v>60</v>
      </c>
      <c r="I136">
        <v>110</v>
      </c>
      <c r="J136">
        <v>95</v>
      </c>
      <c r="K136">
        <v>130</v>
      </c>
      <c r="L136">
        <v>1</v>
      </c>
      <c r="M136" t="b">
        <v>0</v>
      </c>
    </row>
    <row r="137" spans="1:13" hidden="1">
      <c r="A137">
        <v>136</v>
      </c>
      <c r="B137" t="s">
        <v>164</v>
      </c>
      <c r="C137" t="s">
        <v>19</v>
      </c>
      <c r="E137">
        <v>525</v>
      </c>
      <c r="F137">
        <v>65</v>
      </c>
      <c r="G137">
        <v>130</v>
      </c>
      <c r="H137">
        <v>60</v>
      </c>
      <c r="I137">
        <v>95</v>
      </c>
      <c r="J137">
        <v>110</v>
      </c>
      <c r="K137">
        <v>65</v>
      </c>
      <c r="L137">
        <v>1</v>
      </c>
      <c r="M137" t="b">
        <v>0</v>
      </c>
    </row>
    <row r="138" spans="1:13" hidden="1">
      <c r="A138">
        <v>137</v>
      </c>
      <c r="B138" t="s">
        <v>165</v>
      </c>
      <c r="C138" t="s">
        <v>36</v>
      </c>
      <c r="E138">
        <v>395</v>
      </c>
      <c r="F138">
        <v>65</v>
      </c>
      <c r="G138">
        <v>60</v>
      </c>
      <c r="H138">
        <v>70</v>
      </c>
      <c r="I138">
        <v>85</v>
      </c>
      <c r="J138">
        <v>75</v>
      </c>
      <c r="K138">
        <v>40</v>
      </c>
      <c r="L138">
        <v>1</v>
      </c>
      <c r="M138" t="b">
        <v>0</v>
      </c>
    </row>
    <row r="139" spans="1:13" hidden="1">
      <c r="A139">
        <v>138</v>
      </c>
      <c r="B139" t="s">
        <v>166</v>
      </c>
      <c r="C139" t="s">
        <v>98</v>
      </c>
      <c r="D139" t="s">
        <v>25</v>
      </c>
      <c r="E139">
        <v>355</v>
      </c>
      <c r="F139">
        <v>35</v>
      </c>
      <c r="G139">
        <v>40</v>
      </c>
      <c r="H139">
        <v>100</v>
      </c>
      <c r="I139">
        <v>90</v>
      </c>
      <c r="J139">
        <v>55</v>
      </c>
      <c r="K139">
        <v>35</v>
      </c>
      <c r="L139">
        <v>1</v>
      </c>
      <c r="M139" t="b">
        <v>0</v>
      </c>
    </row>
    <row r="140" spans="1:13" hidden="1">
      <c r="A140">
        <v>139</v>
      </c>
      <c r="B140" t="s">
        <v>167</v>
      </c>
      <c r="C140" t="s">
        <v>98</v>
      </c>
      <c r="D140" t="s">
        <v>25</v>
      </c>
      <c r="E140">
        <v>495</v>
      </c>
      <c r="F140">
        <v>70</v>
      </c>
      <c r="G140">
        <v>60</v>
      </c>
      <c r="H140">
        <v>125</v>
      </c>
      <c r="I140">
        <v>115</v>
      </c>
      <c r="J140">
        <v>70</v>
      </c>
      <c r="K140">
        <v>55</v>
      </c>
      <c r="L140">
        <v>1</v>
      </c>
      <c r="M140" t="b">
        <v>0</v>
      </c>
    </row>
    <row r="141" spans="1:13" hidden="1">
      <c r="A141">
        <v>140</v>
      </c>
      <c r="B141" t="s">
        <v>168</v>
      </c>
      <c r="C141" t="s">
        <v>98</v>
      </c>
      <c r="D141" t="s">
        <v>25</v>
      </c>
      <c r="E141">
        <v>355</v>
      </c>
      <c r="F141">
        <v>30</v>
      </c>
      <c r="G141">
        <v>80</v>
      </c>
      <c r="H141">
        <v>90</v>
      </c>
      <c r="I141">
        <v>55</v>
      </c>
      <c r="J141">
        <v>45</v>
      </c>
      <c r="K141">
        <v>55</v>
      </c>
      <c r="L141">
        <v>1</v>
      </c>
      <c r="M141" t="b">
        <v>0</v>
      </c>
    </row>
    <row r="142" spans="1:13" hidden="1">
      <c r="A142">
        <v>141</v>
      </c>
      <c r="B142" t="s">
        <v>169</v>
      </c>
      <c r="C142" t="s">
        <v>98</v>
      </c>
      <c r="D142" t="s">
        <v>25</v>
      </c>
      <c r="E142">
        <v>495</v>
      </c>
      <c r="F142">
        <v>60</v>
      </c>
      <c r="G142">
        <v>115</v>
      </c>
      <c r="H142">
        <v>105</v>
      </c>
      <c r="I142">
        <v>65</v>
      </c>
      <c r="J142">
        <v>70</v>
      </c>
      <c r="K142">
        <v>80</v>
      </c>
      <c r="L142">
        <v>1</v>
      </c>
      <c r="M142" t="b">
        <v>0</v>
      </c>
    </row>
    <row r="143" spans="1:13" hidden="1">
      <c r="A143">
        <v>142</v>
      </c>
      <c r="B143" t="s">
        <v>170</v>
      </c>
      <c r="C143" t="s">
        <v>98</v>
      </c>
      <c r="D143" t="s">
        <v>22</v>
      </c>
      <c r="E143">
        <v>515</v>
      </c>
      <c r="F143">
        <v>80</v>
      </c>
      <c r="G143">
        <v>105</v>
      </c>
      <c r="H143">
        <v>65</v>
      </c>
      <c r="I143">
        <v>60</v>
      </c>
      <c r="J143">
        <v>75</v>
      </c>
      <c r="K143">
        <v>130</v>
      </c>
      <c r="L143">
        <v>1</v>
      </c>
      <c r="M143" t="b">
        <v>0</v>
      </c>
    </row>
    <row r="144" spans="1:13" hidden="1">
      <c r="A144">
        <v>143</v>
      </c>
      <c r="B144" t="s">
        <v>171</v>
      </c>
      <c r="C144" t="s">
        <v>36</v>
      </c>
      <c r="E144">
        <v>540</v>
      </c>
      <c r="F144">
        <v>160</v>
      </c>
      <c r="G144">
        <v>110</v>
      </c>
      <c r="H144">
        <v>65</v>
      </c>
      <c r="I144">
        <v>65</v>
      </c>
      <c r="J144">
        <v>110</v>
      </c>
      <c r="K144">
        <v>30</v>
      </c>
      <c r="L144">
        <v>1</v>
      </c>
      <c r="M144" t="b">
        <v>0</v>
      </c>
    </row>
    <row r="145" spans="1:13" hidden="1">
      <c r="A145">
        <v>144</v>
      </c>
      <c r="B145" t="s">
        <v>172</v>
      </c>
      <c r="C145" t="s">
        <v>113</v>
      </c>
      <c r="D145" t="s">
        <v>22</v>
      </c>
      <c r="E145">
        <v>580</v>
      </c>
      <c r="F145">
        <v>90</v>
      </c>
      <c r="G145">
        <v>85</v>
      </c>
      <c r="H145">
        <v>100</v>
      </c>
      <c r="I145">
        <v>95</v>
      </c>
      <c r="J145">
        <v>125</v>
      </c>
      <c r="K145">
        <v>85</v>
      </c>
      <c r="L145">
        <v>1</v>
      </c>
      <c r="M145" t="b">
        <v>1</v>
      </c>
    </row>
    <row r="146" spans="1:13" hidden="1">
      <c r="A146">
        <v>145</v>
      </c>
      <c r="B146" t="s">
        <v>173</v>
      </c>
      <c r="C146" t="s">
        <v>46</v>
      </c>
      <c r="D146" t="s">
        <v>22</v>
      </c>
      <c r="E146">
        <v>580</v>
      </c>
      <c r="F146">
        <v>90</v>
      </c>
      <c r="G146">
        <v>90</v>
      </c>
      <c r="H146">
        <v>85</v>
      </c>
      <c r="I146">
        <v>125</v>
      </c>
      <c r="J146">
        <v>90</v>
      </c>
      <c r="K146">
        <v>100</v>
      </c>
      <c r="L146">
        <v>1</v>
      </c>
      <c r="M146" t="b">
        <v>1</v>
      </c>
    </row>
    <row r="147" spans="1:13" hidden="1">
      <c r="A147">
        <v>146</v>
      </c>
      <c r="B147" t="s">
        <v>174</v>
      </c>
      <c r="C147" t="s">
        <v>19</v>
      </c>
      <c r="D147" t="s">
        <v>22</v>
      </c>
      <c r="E147">
        <v>580</v>
      </c>
      <c r="F147">
        <v>90</v>
      </c>
      <c r="G147">
        <v>100</v>
      </c>
      <c r="H147">
        <v>90</v>
      </c>
      <c r="I147">
        <v>125</v>
      </c>
      <c r="J147">
        <v>85</v>
      </c>
      <c r="K147">
        <v>90</v>
      </c>
      <c r="L147">
        <v>1</v>
      </c>
      <c r="M147" t="b">
        <v>1</v>
      </c>
    </row>
    <row r="148" spans="1:13" hidden="1">
      <c r="A148">
        <v>147</v>
      </c>
      <c r="B148" t="s">
        <v>175</v>
      </c>
      <c r="C148" t="s">
        <v>23</v>
      </c>
      <c r="E148">
        <v>300</v>
      </c>
      <c r="F148">
        <v>41</v>
      </c>
      <c r="G148">
        <v>64</v>
      </c>
      <c r="H148">
        <v>45</v>
      </c>
      <c r="I148">
        <v>50</v>
      </c>
      <c r="J148">
        <v>50</v>
      </c>
      <c r="K148">
        <v>50</v>
      </c>
      <c r="L148">
        <v>1</v>
      </c>
      <c r="M148" t="b">
        <v>0</v>
      </c>
    </row>
    <row r="149" spans="1:13" hidden="1">
      <c r="A149">
        <v>148</v>
      </c>
      <c r="B149" t="s">
        <v>176</v>
      </c>
      <c r="C149" t="s">
        <v>23</v>
      </c>
      <c r="E149">
        <v>420</v>
      </c>
      <c r="F149">
        <v>61</v>
      </c>
      <c r="G149">
        <v>84</v>
      </c>
      <c r="H149">
        <v>65</v>
      </c>
      <c r="I149">
        <v>70</v>
      </c>
      <c r="J149">
        <v>70</v>
      </c>
      <c r="K149">
        <v>70</v>
      </c>
      <c r="L149">
        <v>1</v>
      </c>
      <c r="M149" t="b">
        <v>0</v>
      </c>
    </row>
    <row r="150" spans="1:13" hidden="1">
      <c r="A150">
        <v>149</v>
      </c>
      <c r="B150" t="s">
        <v>177</v>
      </c>
      <c r="C150" t="s">
        <v>23</v>
      </c>
      <c r="D150" t="s">
        <v>22</v>
      </c>
      <c r="E150">
        <v>600</v>
      </c>
      <c r="F150">
        <v>91</v>
      </c>
      <c r="G150">
        <v>134</v>
      </c>
      <c r="H150">
        <v>95</v>
      </c>
      <c r="I150">
        <v>100</v>
      </c>
      <c r="J150">
        <v>100</v>
      </c>
      <c r="K150">
        <v>80</v>
      </c>
      <c r="L150">
        <v>1</v>
      </c>
      <c r="M150" t="b">
        <v>0</v>
      </c>
    </row>
    <row r="151" spans="1:13" hidden="1">
      <c r="A151">
        <v>150</v>
      </c>
      <c r="B151" t="s">
        <v>178</v>
      </c>
      <c r="C151" t="s">
        <v>86</v>
      </c>
      <c r="E151">
        <v>680</v>
      </c>
      <c r="F151">
        <v>106</v>
      </c>
      <c r="G151">
        <v>110</v>
      </c>
      <c r="H151">
        <v>90</v>
      </c>
      <c r="I151">
        <v>154</v>
      </c>
      <c r="J151">
        <v>90</v>
      </c>
      <c r="K151">
        <v>130</v>
      </c>
      <c r="L151">
        <v>1</v>
      </c>
      <c r="M151" t="b">
        <v>1</v>
      </c>
    </row>
    <row r="152" spans="1:13" hidden="1">
      <c r="A152">
        <v>151</v>
      </c>
      <c r="B152" t="s">
        <v>179</v>
      </c>
      <c r="C152" t="s">
        <v>86</v>
      </c>
      <c r="E152">
        <v>600</v>
      </c>
      <c r="F152">
        <v>100</v>
      </c>
      <c r="G152">
        <v>100</v>
      </c>
      <c r="H152">
        <v>100</v>
      </c>
      <c r="I152">
        <v>100</v>
      </c>
      <c r="J152">
        <v>100</v>
      </c>
      <c r="K152">
        <v>100</v>
      </c>
      <c r="L152">
        <v>1</v>
      </c>
      <c r="M152" t="b">
        <v>0</v>
      </c>
    </row>
    <row r="153" spans="1:13" hidden="1">
      <c r="A153">
        <v>152</v>
      </c>
      <c r="B153" t="s">
        <v>180</v>
      </c>
      <c r="C153" t="s">
        <v>14</v>
      </c>
      <c r="E153">
        <v>318</v>
      </c>
      <c r="F153">
        <v>45</v>
      </c>
      <c r="G153">
        <v>49</v>
      </c>
      <c r="H153">
        <v>65</v>
      </c>
      <c r="I153">
        <v>49</v>
      </c>
      <c r="J153">
        <v>65</v>
      </c>
      <c r="K153">
        <v>45</v>
      </c>
      <c r="L153">
        <v>2</v>
      </c>
      <c r="M153" t="b">
        <v>0</v>
      </c>
    </row>
    <row r="154" spans="1:13" hidden="1">
      <c r="A154">
        <v>153</v>
      </c>
      <c r="B154" t="s">
        <v>181</v>
      </c>
      <c r="C154" t="s">
        <v>14</v>
      </c>
      <c r="E154">
        <v>405</v>
      </c>
      <c r="F154">
        <v>60</v>
      </c>
      <c r="G154">
        <v>62</v>
      </c>
      <c r="H154">
        <v>80</v>
      </c>
      <c r="I154">
        <v>63</v>
      </c>
      <c r="J154">
        <v>80</v>
      </c>
      <c r="K154">
        <v>60</v>
      </c>
      <c r="L154">
        <v>2</v>
      </c>
      <c r="M154" t="b">
        <v>0</v>
      </c>
    </row>
    <row r="155" spans="1:13" hidden="1">
      <c r="A155">
        <v>154</v>
      </c>
      <c r="B155" t="s">
        <v>1963</v>
      </c>
      <c r="C155" t="s">
        <v>14</v>
      </c>
      <c r="E155">
        <v>525</v>
      </c>
      <c r="F155">
        <v>80</v>
      </c>
      <c r="G155">
        <v>82</v>
      </c>
      <c r="H155">
        <v>100</v>
      </c>
      <c r="I155">
        <v>83</v>
      </c>
      <c r="J155">
        <v>100</v>
      </c>
      <c r="K155">
        <v>80</v>
      </c>
      <c r="L155">
        <v>2</v>
      </c>
      <c r="M155" t="b">
        <v>0</v>
      </c>
    </row>
    <row r="156" spans="1:13" hidden="1">
      <c r="A156">
        <v>155</v>
      </c>
      <c r="B156" t="s">
        <v>182</v>
      </c>
      <c r="C156" t="s">
        <v>19</v>
      </c>
      <c r="E156">
        <v>309</v>
      </c>
      <c r="F156">
        <v>39</v>
      </c>
      <c r="G156">
        <v>52</v>
      </c>
      <c r="H156">
        <v>43</v>
      </c>
      <c r="I156">
        <v>60</v>
      </c>
      <c r="J156">
        <v>50</v>
      </c>
      <c r="K156">
        <v>65</v>
      </c>
      <c r="L156">
        <v>2</v>
      </c>
      <c r="M156" t="b">
        <v>0</v>
      </c>
    </row>
    <row r="157" spans="1:13" hidden="1">
      <c r="A157">
        <v>156</v>
      </c>
      <c r="B157" t="s">
        <v>183</v>
      </c>
      <c r="C157" t="s">
        <v>19</v>
      </c>
      <c r="E157">
        <v>405</v>
      </c>
      <c r="F157">
        <v>58</v>
      </c>
      <c r="G157">
        <v>64</v>
      </c>
      <c r="H157">
        <v>58</v>
      </c>
      <c r="I157">
        <v>80</v>
      </c>
      <c r="J157">
        <v>65</v>
      </c>
      <c r="K157">
        <v>80</v>
      </c>
      <c r="L157">
        <v>2</v>
      </c>
      <c r="M157" t="b">
        <v>0</v>
      </c>
    </row>
    <row r="158" spans="1:13" hidden="1">
      <c r="A158">
        <v>157</v>
      </c>
      <c r="B158" t="s">
        <v>184</v>
      </c>
      <c r="C158" t="s">
        <v>19</v>
      </c>
      <c r="E158">
        <v>534</v>
      </c>
      <c r="F158">
        <v>78</v>
      </c>
      <c r="G158">
        <v>84</v>
      </c>
      <c r="H158">
        <v>78</v>
      </c>
      <c r="I158">
        <v>109</v>
      </c>
      <c r="J158">
        <v>85</v>
      </c>
      <c r="K158">
        <v>100</v>
      </c>
      <c r="L158">
        <v>2</v>
      </c>
      <c r="M158" t="b">
        <v>0</v>
      </c>
    </row>
    <row r="159" spans="1:13" hidden="1">
      <c r="A159">
        <v>158</v>
      </c>
      <c r="B159" t="s">
        <v>185</v>
      </c>
      <c r="C159" t="s">
        <v>25</v>
      </c>
      <c r="E159">
        <v>314</v>
      </c>
      <c r="F159">
        <v>50</v>
      </c>
      <c r="G159">
        <v>65</v>
      </c>
      <c r="H159">
        <v>64</v>
      </c>
      <c r="I159">
        <v>44</v>
      </c>
      <c r="J159">
        <v>48</v>
      </c>
      <c r="K159">
        <v>43</v>
      </c>
      <c r="L159">
        <v>2</v>
      </c>
      <c r="M159" t="b">
        <v>0</v>
      </c>
    </row>
    <row r="160" spans="1:13" hidden="1">
      <c r="A160">
        <v>159</v>
      </c>
      <c r="B160" t="s">
        <v>186</v>
      </c>
      <c r="C160" t="s">
        <v>25</v>
      </c>
      <c r="E160">
        <v>405</v>
      </c>
      <c r="F160">
        <v>65</v>
      </c>
      <c r="G160">
        <v>80</v>
      </c>
      <c r="H160">
        <v>80</v>
      </c>
      <c r="I160">
        <v>59</v>
      </c>
      <c r="J160">
        <v>63</v>
      </c>
      <c r="K160">
        <v>58</v>
      </c>
      <c r="L160">
        <v>2</v>
      </c>
      <c r="M160" t="b">
        <v>0</v>
      </c>
    </row>
    <row r="161" spans="1:13" hidden="1">
      <c r="A161">
        <v>160</v>
      </c>
      <c r="B161" t="s">
        <v>187</v>
      </c>
      <c r="C161" t="s">
        <v>25</v>
      </c>
      <c r="E161">
        <v>530</v>
      </c>
      <c r="F161">
        <v>85</v>
      </c>
      <c r="G161">
        <v>105</v>
      </c>
      <c r="H161">
        <v>100</v>
      </c>
      <c r="I161">
        <v>79</v>
      </c>
      <c r="J161">
        <v>83</v>
      </c>
      <c r="K161">
        <v>78</v>
      </c>
      <c r="L161">
        <v>2</v>
      </c>
      <c r="M161" t="b">
        <v>0</v>
      </c>
    </row>
    <row r="162" spans="1:13" hidden="1">
      <c r="A162">
        <v>161</v>
      </c>
      <c r="B162" t="s">
        <v>188</v>
      </c>
      <c r="C162" t="s">
        <v>36</v>
      </c>
      <c r="E162">
        <v>215</v>
      </c>
      <c r="F162">
        <v>35</v>
      </c>
      <c r="G162">
        <v>46</v>
      </c>
      <c r="H162">
        <v>34</v>
      </c>
      <c r="I162">
        <v>35</v>
      </c>
      <c r="J162">
        <v>45</v>
      </c>
      <c r="K162">
        <v>20</v>
      </c>
      <c r="L162">
        <v>2</v>
      </c>
      <c r="M162" t="b">
        <v>0</v>
      </c>
    </row>
    <row r="163" spans="1:13" hidden="1">
      <c r="A163">
        <v>162</v>
      </c>
      <c r="B163" t="s">
        <v>189</v>
      </c>
      <c r="C163" t="s">
        <v>36</v>
      </c>
      <c r="E163">
        <v>415</v>
      </c>
      <c r="F163">
        <v>85</v>
      </c>
      <c r="G163">
        <v>76</v>
      </c>
      <c r="H163">
        <v>64</v>
      </c>
      <c r="I163">
        <v>45</v>
      </c>
      <c r="J163">
        <v>55</v>
      </c>
      <c r="K163">
        <v>90</v>
      </c>
      <c r="L163">
        <v>2</v>
      </c>
      <c r="M163" t="b">
        <v>0</v>
      </c>
    </row>
    <row r="164" spans="1:13" hidden="1">
      <c r="A164">
        <v>163</v>
      </c>
      <c r="B164" t="s">
        <v>190</v>
      </c>
      <c r="C164" t="s">
        <v>36</v>
      </c>
      <c r="D164" t="s">
        <v>22</v>
      </c>
      <c r="E164">
        <v>262</v>
      </c>
      <c r="F164">
        <v>60</v>
      </c>
      <c r="G164">
        <v>30</v>
      </c>
      <c r="H164">
        <v>30</v>
      </c>
      <c r="I164">
        <v>36</v>
      </c>
      <c r="J164">
        <v>56</v>
      </c>
      <c r="K164">
        <v>50</v>
      </c>
      <c r="L164">
        <v>2</v>
      </c>
      <c r="M164" t="b">
        <v>0</v>
      </c>
    </row>
    <row r="165" spans="1:13" hidden="1">
      <c r="A165">
        <v>164</v>
      </c>
      <c r="B165" t="s">
        <v>191</v>
      </c>
      <c r="C165" t="s">
        <v>36</v>
      </c>
      <c r="D165" t="s">
        <v>22</v>
      </c>
      <c r="E165">
        <v>442</v>
      </c>
      <c r="F165">
        <v>100</v>
      </c>
      <c r="G165">
        <v>50</v>
      </c>
      <c r="H165">
        <v>50</v>
      </c>
      <c r="I165">
        <v>76</v>
      </c>
      <c r="J165">
        <v>96</v>
      </c>
      <c r="K165">
        <v>70</v>
      </c>
      <c r="L165">
        <v>2</v>
      </c>
      <c r="M165" t="b">
        <v>0</v>
      </c>
    </row>
    <row r="166" spans="1:13" hidden="1">
      <c r="A166">
        <v>165</v>
      </c>
      <c r="B166" t="s">
        <v>192</v>
      </c>
      <c r="C166" t="s">
        <v>29</v>
      </c>
      <c r="D166" t="s">
        <v>22</v>
      </c>
      <c r="E166">
        <v>265</v>
      </c>
      <c r="F166">
        <v>40</v>
      </c>
      <c r="G166">
        <v>20</v>
      </c>
      <c r="H166">
        <v>30</v>
      </c>
      <c r="I166">
        <v>40</v>
      </c>
      <c r="J166">
        <v>80</v>
      </c>
      <c r="K166">
        <v>55</v>
      </c>
      <c r="L166">
        <v>2</v>
      </c>
      <c r="M166" t="b">
        <v>0</v>
      </c>
    </row>
    <row r="167" spans="1:13" hidden="1">
      <c r="A167">
        <v>166</v>
      </c>
      <c r="B167" t="s">
        <v>193</v>
      </c>
      <c r="C167" t="s">
        <v>29</v>
      </c>
      <c r="D167" t="s">
        <v>22</v>
      </c>
      <c r="E167">
        <v>390</v>
      </c>
      <c r="F167">
        <v>55</v>
      </c>
      <c r="G167">
        <v>35</v>
      </c>
      <c r="H167">
        <v>50</v>
      </c>
      <c r="I167">
        <v>55</v>
      </c>
      <c r="J167">
        <v>110</v>
      </c>
      <c r="K167">
        <v>85</v>
      </c>
      <c r="L167">
        <v>2</v>
      </c>
      <c r="M167" t="b">
        <v>0</v>
      </c>
    </row>
    <row r="168" spans="1:13" hidden="1">
      <c r="A168">
        <v>167</v>
      </c>
      <c r="B168" t="s">
        <v>194</v>
      </c>
      <c r="C168" t="s">
        <v>29</v>
      </c>
      <c r="D168" t="s">
        <v>15</v>
      </c>
      <c r="E168">
        <v>250</v>
      </c>
      <c r="F168">
        <v>40</v>
      </c>
      <c r="G168">
        <v>60</v>
      </c>
      <c r="H168">
        <v>40</v>
      </c>
      <c r="I168">
        <v>40</v>
      </c>
      <c r="J168">
        <v>40</v>
      </c>
      <c r="K168">
        <v>30</v>
      </c>
      <c r="L168">
        <v>2</v>
      </c>
      <c r="M168" t="b">
        <v>0</v>
      </c>
    </row>
    <row r="169" spans="1:13" hidden="1">
      <c r="A169">
        <v>168</v>
      </c>
      <c r="B169" t="s">
        <v>195</v>
      </c>
      <c r="C169" t="s">
        <v>29</v>
      </c>
      <c r="D169" t="s">
        <v>15</v>
      </c>
      <c r="E169">
        <v>390</v>
      </c>
      <c r="F169">
        <v>70</v>
      </c>
      <c r="G169">
        <v>90</v>
      </c>
      <c r="H169">
        <v>70</v>
      </c>
      <c r="I169">
        <v>60</v>
      </c>
      <c r="J169">
        <v>60</v>
      </c>
      <c r="K169">
        <v>40</v>
      </c>
      <c r="L169">
        <v>2</v>
      </c>
      <c r="M169" t="b">
        <v>0</v>
      </c>
    </row>
    <row r="170" spans="1:13" hidden="1">
      <c r="A170">
        <v>169</v>
      </c>
      <c r="B170" t="s">
        <v>196</v>
      </c>
      <c r="C170" t="s">
        <v>15</v>
      </c>
      <c r="D170" t="s">
        <v>22</v>
      </c>
      <c r="E170">
        <v>535</v>
      </c>
      <c r="F170">
        <v>85</v>
      </c>
      <c r="G170">
        <v>90</v>
      </c>
      <c r="H170">
        <v>80</v>
      </c>
      <c r="I170">
        <v>70</v>
      </c>
      <c r="J170">
        <v>80</v>
      </c>
      <c r="K170">
        <v>130</v>
      </c>
      <c r="L170">
        <v>2</v>
      </c>
      <c r="M170" t="b">
        <v>0</v>
      </c>
    </row>
    <row r="171" spans="1:13" hidden="1">
      <c r="A171">
        <v>170</v>
      </c>
      <c r="B171" t="s">
        <v>197</v>
      </c>
      <c r="C171" t="s">
        <v>25</v>
      </c>
      <c r="D171" t="s">
        <v>46</v>
      </c>
      <c r="E171">
        <v>330</v>
      </c>
      <c r="F171">
        <v>75</v>
      </c>
      <c r="G171">
        <v>38</v>
      </c>
      <c r="H171">
        <v>38</v>
      </c>
      <c r="I171">
        <v>56</v>
      </c>
      <c r="J171">
        <v>56</v>
      </c>
      <c r="K171">
        <v>67</v>
      </c>
      <c r="L171">
        <v>2</v>
      </c>
      <c r="M171" t="b">
        <v>0</v>
      </c>
    </row>
    <row r="172" spans="1:13" hidden="1">
      <c r="A172">
        <v>171</v>
      </c>
      <c r="B172" t="s">
        <v>198</v>
      </c>
      <c r="C172" t="s">
        <v>25</v>
      </c>
      <c r="D172" t="s">
        <v>46</v>
      </c>
      <c r="E172">
        <v>460</v>
      </c>
      <c r="F172">
        <v>125</v>
      </c>
      <c r="G172">
        <v>58</v>
      </c>
      <c r="H172">
        <v>58</v>
      </c>
      <c r="I172">
        <v>76</v>
      </c>
      <c r="J172">
        <v>76</v>
      </c>
      <c r="K172">
        <v>67</v>
      </c>
      <c r="L172">
        <v>2</v>
      </c>
      <c r="M172" t="b">
        <v>0</v>
      </c>
    </row>
    <row r="173" spans="1:13" hidden="1">
      <c r="A173">
        <v>172</v>
      </c>
      <c r="B173" t="s">
        <v>199</v>
      </c>
      <c r="C173" t="s">
        <v>46</v>
      </c>
      <c r="E173">
        <v>205</v>
      </c>
      <c r="F173">
        <v>20</v>
      </c>
      <c r="G173">
        <v>40</v>
      </c>
      <c r="H173">
        <v>15</v>
      </c>
      <c r="I173">
        <v>35</v>
      </c>
      <c r="J173">
        <v>35</v>
      </c>
      <c r="K173">
        <v>60</v>
      </c>
      <c r="L173">
        <v>2</v>
      </c>
      <c r="M173" t="b">
        <v>0</v>
      </c>
    </row>
    <row r="174" spans="1:13" hidden="1">
      <c r="A174">
        <v>173</v>
      </c>
      <c r="B174" t="s">
        <v>200</v>
      </c>
      <c r="C174" t="s">
        <v>56</v>
      </c>
      <c r="E174">
        <v>218</v>
      </c>
      <c r="F174">
        <v>50</v>
      </c>
      <c r="G174">
        <v>25</v>
      </c>
      <c r="H174">
        <v>28</v>
      </c>
      <c r="I174">
        <v>45</v>
      </c>
      <c r="J174">
        <v>55</v>
      </c>
      <c r="K174">
        <v>15</v>
      </c>
      <c r="L174">
        <v>2</v>
      </c>
      <c r="M174" t="b">
        <v>0</v>
      </c>
    </row>
    <row r="175" spans="1:13" hidden="1">
      <c r="A175">
        <v>174</v>
      </c>
      <c r="B175" t="s">
        <v>201</v>
      </c>
      <c r="C175" t="s">
        <v>36</v>
      </c>
      <c r="D175" t="s">
        <v>56</v>
      </c>
      <c r="E175">
        <v>210</v>
      </c>
      <c r="F175">
        <v>90</v>
      </c>
      <c r="G175">
        <v>30</v>
      </c>
      <c r="H175">
        <v>15</v>
      </c>
      <c r="I175">
        <v>40</v>
      </c>
      <c r="J175">
        <v>20</v>
      </c>
      <c r="K175">
        <v>15</v>
      </c>
      <c r="L175">
        <v>2</v>
      </c>
      <c r="M175" t="b">
        <v>0</v>
      </c>
    </row>
    <row r="176" spans="1:13" hidden="1">
      <c r="A176">
        <v>175</v>
      </c>
      <c r="B176" t="s">
        <v>202</v>
      </c>
      <c r="C176" t="s">
        <v>56</v>
      </c>
      <c r="E176">
        <v>245</v>
      </c>
      <c r="F176">
        <v>35</v>
      </c>
      <c r="G176">
        <v>20</v>
      </c>
      <c r="H176">
        <v>65</v>
      </c>
      <c r="I176">
        <v>40</v>
      </c>
      <c r="J176">
        <v>65</v>
      </c>
      <c r="K176">
        <v>20</v>
      </c>
      <c r="L176">
        <v>2</v>
      </c>
      <c r="M176" t="b">
        <v>0</v>
      </c>
    </row>
    <row r="177" spans="1:13" hidden="1">
      <c r="A177">
        <v>176</v>
      </c>
      <c r="B177" t="s">
        <v>203</v>
      </c>
      <c r="C177" t="s">
        <v>56</v>
      </c>
      <c r="D177" t="s">
        <v>22</v>
      </c>
      <c r="E177">
        <v>405</v>
      </c>
      <c r="F177">
        <v>55</v>
      </c>
      <c r="G177">
        <v>40</v>
      </c>
      <c r="H177">
        <v>85</v>
      </c>
      <c r="I177">
        <v>80</v>
      </c>
      <c r="J177">
        <v>105</v>
      </c>
      <c r="K177">
        <v>40</v>
      </c>
      <c r="L177">
        <v>2</v>
      </c>
      <c r="M177" t="b">
        <v>0</v>
      </c>
    </row>
    <row r="178" spans="1:13" hidden="1">
      <c r="A178">
        <v>177</v>
      </c>
      <c r="B178" t="s">
        <v>204</v>
      </c>
      <c r="C178" t="s">
        <v>86</v>
      </c>
      <c r="D178" t="s">
        <v>22</v>
      </c>
      <c r="E178">
        <v>320</v>
      </c>
      <c r="F178">
        <v>40</v>
      </c>
      <c r="G178">
        <v>50</v>
      </c>
      <c r="H178">
        <v>45</v>
      </c>
      <c r="I178">
        <v>70</v>
      </c>
      <c r="J178">
        <v>45</v>
      </c>
      <c r="K178">
        <v>70</v>
      </c>
      <c r="L178">
        <v>2</v>
      </c>
      <c r="M178" t="b">
        <v>0</v>
      </c>
    </row>
    <row r="179" spans="1:13" hidden="1">
      <c r="A179">
        <v>178</v>
      </c>
      <c r="B179" t="s">
        <v>205</v>
      </c>
      <c r="C179" t="s">
        <v>86</v>
      </c>
      <c r="D179" t="s">
        <v>22</v>
      </c>
      <c r="E179">
        <v>470</v>
      </c>
      <c r="F179">
        <v>65</v>
      </c>
      <c r="G179">
        <v>75</v>
      </c>
      <c r="H179">
        <v>70</v>
      </c>
      <c r="I179">
        <v>95</v>
      </c>
      <c r="J179">
        <v>70</v>
      </c>
      <c r="K179">
        <v>95</v>
      </c>
      <c r="L179">
        <v>2</v>
      </c>
      <c r="M179" t="b">
        <v>0</v>
      </c>
    </row>
    <row r="180" spans="1:13" hidden="1">
      <c r="A180">
        <v>179</v>
      </c>
      <c r="B180" t="s">
        <v>206</v>
      </c>
      <c r="C180" t="s">
        <v>46</v>
      </c>
      <c r="E180">
        <v>280</v>
      </c>
      <c r="F180">
        <v>55</v>
      </c>
      <c r="G180">
        <v>40</v>
      </c>
      <c r="H180">
        <v>40</v>
      </c>
      <c r="I180">
        <v>65</v>
      </c>
      <c r="J180">
        <v>45</v>
      </c>
      <c r="K180">
        <v>35</v>
      </c>
      <c r="L180">
        <v>2</v>
      </c>
      <c r="M180" t="b">
        <v>0</v>
      </c>
    </row>
    <row r="181" spans="1:13" hidden="1">
      <c r="A181">
        <v>180</v>
      </c>
      <c r="B181" t="s">
        <v>207</v>
      </c>
      <c r="C181" t="s">
        <v>46</v>
      </c>
      <c r="E181">
        <v>365</v>
      </c>
      <c r="F181">
        <v>70</v>
      </c>
      <c r="G181">
        <v>55</v>
      </c>
      <c r="H181">
        <v>55</v>
      </c>
      <c r="I181">
        <v>80</v>
      </c>
      <c r="J181">
        <v>60</v>
      </c>
      <c r="K181">
        <v>45</v>
      </c>
      <c r="L181">
        <v>2</v>
      </c>
      <c r="M181" t="b">
        <v>0</v>
      </c>
    </row>
    <row r="182" spans="1:13" hidden="1">
      <c r="A182">
        <v>181</v>
      </c>
      <c r="B182" t="s">
        <v>208</v>
      </c>
      <c r="C182" t="s">
        <v>46</v>
      </c>
      <c r="E182">
        <v>510</v>
      </c>
      <c r="F182">
        <v>90</v>
      </c>
      <c r="G182">
        <v>75</v>
      </c>
      <c r="H182">
        <v>85</v>
      </c>
      <c r="I182">
        <v>115</v>
      </c>
      <c r="J182">
        <v>90</v>
      </c>
      <c r="K182">
        <v>55</v>
      </c>
      <c r="L182">
        <v>2</v>
      </c>
      <c r="M182" t="b">
        <v>0</v>
      </c>
    </row>
    <row r="183" spans="1:13" hidden="1">
      <c r="A183">
        <v>182</v>
      </c>
      <c r="B183" t="s">
        <v>209</v>
      </c>
      <c r="C183" t="s">
        <v>14</v>
      </c>
      <c r="E183">
        <v>490</v>
      </c>
      <c r="F183">
        <v>75</v>
      </c>
      <c r="G183">
        <v>80</v>
      </c>
      <c r="H183">
        <v>95</v>
      </c>
      <c r="I183">
        <v>90</v>
      </c>
      <c r="J183">
        <v>100</v>
      </c>
      <c r="K183">
        <v>50</v>
      </c>
      <c r="L183">
        <v>2</v>
      </c>
      <c r="M183" t="b">
        <v>0</v>
      </c>
    </row>
    <row r="184" spans="1:13" hidden="1">
      <c r="A184">
        <v>183</v>
      </c>
      <c r="B184" t="s">
        <v>210</v>
      </c>
      <c r="C184" t="s">
        <v>25</v>
      </c>
      <c r="D184" t="s">
        <v>56</v>
      </c>
      <c r="E184">
        <v>250</v>
      </c>
      <c r="F184">
        <v>70</v>
      </c>
      <c r="G184">
        <v>20</v>
      </c>
      <c r="H184">
        <v>50</v>
      </c>
      <c r="I184">
        <v>20</v>
      </c>
      <c r="J184">
        <v>50</v>
      </c>
      <c r="K184">
        <v>40</v>
      </c>
      <c r="L184">
        <v>2</v>
      </c>
      <c r="M184" t="b">
        <v>0</v>
      </c>
    </row>
    <row r="185" spans="1:13" hidden="1">
      <c r="A185">
        <v>184</v>
      </c>
      <c r="B185" t="s">
        <v>211</v>
      </c>
      <c r="C185" t="s">
        <v>25</v>
      </c>
      <c r="D185" t="s">
        <v>56</v>
      </c>
      <c r="E185">
        <v>420</v>
      </c>
      <c r="F185">
        <v>100</v>
      </c>
      <c r="G185">
        <v>50</v>
      </c>
      <c r="H185">
        <v>80</v>
      </c>
      <c r="I185">
        <v>60</v>
      </c>
      <c r="J185">
        <v>80</v>
      </c>
      <c r="K185">
        <v>50</v>
      </c>
      <c r="L185">
        <v>2</v>
      </c>
      <c r="M185" t="b">
        <v>0</v>
      </c>
    </row>
    <row r="186" spans="1:13" hidden="1">
      <c r="A186">
        <v>185</v>
      </c>
      <c r="B186" t="s">
        <v>212</v>
      </c>
      <c r="C186" t="s">
        <v>98</v>
      </c>
      <c r="E186">
        <v>410</v>
      </c>
      <c r="F186">
        <v>70</v>
      </c>
      <c r="G186">
        <v>100</v>
      </c>
      <c r="H186">
        <v>115</v>
      </c>
      <c r="I186">
        <v>30</v>
      </c>
      <c r="J186">
        <v>65</v>
      </c>
      <c r="K186">
        <v>30</v>
      </c>
      <c r="L186">
        <v>2</v>
      </c>
      <c r="M186" t="b">
        <v>0</v>
      </c>
    </row>
    <row r="187" spans="1:13" hidden="1">
      <c r="A187">
        <v>186</v>
      </c>
      <c r="B187" t="s">
        <v>213</v>
      </c>
      <c r="C187" t="s">
        <v>25</v>
      </c>
      <c r="E187">
        <v>500</v>
      </c>
      <c r="F187">
        <v>90</v>
      </c>
      <c r="G187">
        <v>75</v>
      </c>
      <c r="H187">
        <v>75</v>
      </c>
      <c r="I187">
        <v>90</v>
      </c>
      <c r="J187">
        <v>100</v>
      </c>
      <c r="K187">
        <v>70</v>
      </c>
      <c r="L187">
        <v>2</v>
      </c>
      <c r="M187" t="b">
        <v>0</v>
      </c>
    </row>
    <row r="188" spans="1:13" hidden="1">
      <c r="A188">
        <v>187</v>
      </c>
      <c r="B188" t="s">
        <v>214</v>
      </c>
      <c r="C188" t="s">
        <v>14</v>
      </c>
      <c r="D188" t="s">
        <v>22</v>
      </c>
      <c r="E188">
        <v>250</v>
      </c>
      <c r="F188">
        <v>35</v>
      </c>
      <c r="G188">
        <v>35</v>
      </c>
      <c r="H188">
        <v>40</v>
      </c>
      <c r="I188">
        <v>35</v>
      </c>
      <c r="J188">
        <v>55</v>
      </c>
      <c r="K188">
        <v>50</v>
      </c>
      <c r="L188">
        <v>2</v>
      </c>
      <c r="M188" t="b">
        <v>0</v>
      </c>
    </row>
    <row r="189" spans="1:13" hidden="1">
      <c r="A189">
        <v>188</v>
      </c>
      <c r="B189" t="s">
        <v>215</v>
      </c>
      <c r="C189" t="s">
        <v>14</v>
      </c>
      <c r="D189" t="s">
        <v>22</v>
      </c>
      <c r="E189">
        <v>340</v>
      </c>
      <c r="F189">
        <v>55</v>
      </c>
      <c r="G189">
        <v>45</v>
      </c>
      <c r="H189">
        <v>50</v>
      </c>
      <c r="I189">
        <v>45</v>
      </c>
      <c r="J189">
        <v>65</v>
      </c>
      <c r="K189">
        <v>80</v>
      </c>
      <c r="L189">
        <v>2</v>
      </c>
      <c r="M189" t="b">
        <v>0</v>
      </c>
    </row>
    <row r="190" spans="1:13" hidden="1">
      <c r="A190">
        <v>189</v>
      </c>
      <c r="B190" t="s">
        <v>216</v>
      </c>
      <c r="C190" t="s">
        <v>14</v>
      </c>
      <c r="D190" t="s">
        <v>22</v>
      </c>
      <c r="E190">
        <v>460</v>
      </c>
      <c r="F190">
        <v>75</v>
      </c>
      <c r="G190">
        <v>55</v>
      </c>
      <c r="H190">
        <v>70</v>
      </c>
      <c r="I190">
        <v>55</v>
      </c>
      <c r="J190">
        <v>95</v>
      </c>
      <c r="K190">
        <v>110</v>
      </c>
      <c r="L190">
        <v>2</v>
      </c>
      <c r="M190" t="b">
        <v>0</v>
      </c>
    </row>
    <row r="191" spans="1:13" hidden="1">
      <c r="A191">
        <v>190</v>
      </c>
      <c r="B191" t="s">
        <v>217</v>
      </c>
      <c r="C191" t="s">
        <v>36</v>
      </c>
      <c r="E191">
        <v>360</v>
      </c>
      <c r="F191">
        <v>55</v>
      </c>
      <c r="G191">
        <v>70</v>
      </c>
      <c r="H191">
        <v>55</v>
      </c>
      <c r="I191">
        <v>40</v>
      </c>
      <c r="J191">
        <v>55</v>
      </c>
      <c r="K191">
        <v>85</v>
      </c>
      <c r="L191">
        <v>2</v>
      </c>
      <c r="M191" t="b">
        <v>0</v>
      </c>
    </row>
    <row r="192" spans="1:13" hidden="1">
      <c r="A192">
        <v>191</v>
      </c>
      <c r="B192" t="s">
        <v>218</v>
      </c>
      <c r="C192" t="s">
        <v>14</v>
      </c>
      <c r="E192">
        <v>180</v>
      </c>
      <c r="F192">
        <v>30</v>
      </c>
      <c r="G192">
        <v>30</v>
      </c>
      <c r="H192">
        <v>30</v>
      </c>
      <c r="I192">
        <v>30</v>
      </c>
      <c r="J192">
        <v>30</v>
      </c>
      <c r="K192">
        <v>30</v>
      </c>
      <c r="L192">
        <v>2</v>
      </c>
      <c r="M192" t="b">
        <v>0</v>
      </c>
    </row>
    <row r="193" spans="1:13" hidden="1">
      <c r="A193">
        <v>192</v>
      </c>
      <c r="B193" t="s">
        <v>219</v>
      </c>
      <c r="C193" t="s">
        <v>14</v>
      </c>
      <c r="E193">
        <v>425</v>
      </c>
      <c r="F193">
        <v>75</v>
      </c>
      <c r="G193">
        <v>75</v>
      </c>
      <c r="H193">
        <v>55</v>
      </c>
      <c r="I193">
        <v>105</v>
      </c>
      <c r="J193">
        <v>85</v>
      </c>
      <c r="K193">
        <v>30</v>
      </c>
      <c r="L193">
        <v>2</v>
      </c>
      <c r="M193" t="b">
        <v>0</v>
      </c>
    </row>
    <row r="194" spans="1:13" hidden="1">
      <c r="A194">
        <v>193</v>
      </c>
      <c r="B194" t="s">
        <v>220</v>
      </c>
      <c r="C194" t="s">
        <v>29</v>
      </c>
      <c r="D194" t="s">
        <v>22</v>
      </c>
      <c r="E194">
        <v>390</v>
      </c>
      <c r="F194">
        <v>65</v>
      </c>
      <c r="G194">
        <v>65</v>
      </c>
      <c r="H194">
        <v>45</v>
      </c>
      <c r="I194">
        <v>75</v>
      </c>
      <c r="J194">
        <v>45</v>
      </c>
      <c r="K194">
        <v>95</v>
      </c>
      <c r="L194">
        <v>2</v>
      </c>
      <c r="M194" t="b">
        <v>0</v>
      </c>
    </row>
    <row r="195" spans="1:13" hidden="1">
      <c r="A195">
        <v>194</v>
      </c>
      <c r="B195" t="s">
        <v>221</v>
      </c>
      <c r="C195" t="s">
        <v>25</v>
      </c>
      <c r="D195" t="s">
        <v>49</v>
      </c>
      <c r="E195">
        <v>210</v>
      </c>
      <c r="F195">
        <v>55</v>
      </c>
      <c r="G195">
        <v>45</v>
      </c>
      <c r="H195">
        <v>45</v>
      </c>
      <c r="I195">
        <v>25</v>
      </c>
      <c r="J195">
        <v>25</v>
      </c>
      <c r="K195">
        <v>15</v>
      </c>
      <c r="L195">
        <v>2</v>
      </c>
      <c r="M195" t="b">
        <v>0</v>
      </c>
    </row>
    <row r="196" spans="1:13" hidden="1">
      <c r="A196">
        <v>195</v>
      </c>
      <c r="B196" t="s">
        <v>222</v>
      </c>
      <c r="C196" t="s">
        <v>25</v>
      </c>
      <c r="D196" t="s">
        <v>49</v>
      </c>
      <c r="E196">
        <v>430</v>
      </c>
      <c r="F196">
        <v>95</v>
      </c>
      <c r="G196">
        <v>85</v>
      </c>
      <c r="H196">
        <v>85</v>
      </c>
      <c r="I196">
        <v>65</v>
      </c>
      <c r="J196">
        <v>65</v>
      </c>
      <c r="K196">
        <v>35</v>
      </c>
      <c r="L196">
        <v>2</v>
      </c>
      <c r="M196" t="b">
        <v>0</v>
      </c>
    </row>
    <row r="197" spans="1:13" hidden="1">
      <c r="A197">
        <v>196</v>
      </c>
      <c r="B197" t="s">
        <v>223</v>
      </c>
      <c r="C197" t="s">
        <v>86</v>
      </c>
      <c r="E197">
        <v>525</v>
      </c>
      <c r="F197">
        <v>65</v>
      </c>
      <c r="G197">
        <v>65</v>
      </c>
      <c r="H197">
        <v>60</v>
      </c>
      <c r="I197">
        <v>130</v>
      </c>
      <c r="J197">
        <v>95</v>
      </c>
      <c r="K197">
        <v>110</v>
      </c>
      <c r="L197">
        <v>2</v>
      </c>
      <c r="M197" t="b">
        <v>0</v>
      </c>
    </row>
    <row r="198" spans="1:13" hidden="1">
      <c r="A198">
        <v>197</v>
      </c>
      <c r="B198" t="s">
        <v>224</v>
      </c>
      <c r="C198" t="s">
        <v>158</v>
      </c>
      <c r="E198">
        <v>525</v>
      </c>
      <c r="F198">
        <v>95</v>
      </c>
      <c r="G198">
        <v>65</v>
      </c>
      <c r="H198">
        <v>110</v>
      </c>
      <c r="I198">
        <v>60</v>
      </c>
      <c r="J198">
        <v>130</v>
      </c>
      <c r="K198">
        <v>65</v>
      </c>
      <c r="L198">
        <v>2</v>
      </c>
      <c r="M198" t="b">
        <v>0</v>
      </c>
    </row>
    <row r="199" spans="1:13" hidden="1">
      <c r="A199">
        <v>198</v>
      </c>
      <c r="B199" t="s">
        <v>225</v>
      </c>
      <c r="C199" t="s">
        <v>158</v>
      </c>
      <c r="D199" t="s">
        <v>22</v>
      </c>
      <c r="E199">
        <v>405</v>
      </c>
      <c r="F199">
        <v>60</v>
      </c>
      <c r="G199">
        <v>85</v>
      </c>
      <c r="H199">
        <v>42</v>
      </c>
      <c r="I199">
        <v>85</v>
      </c>
      <c r="J199">
        <v>42</v>
      </c>
      <c r="K199">
        <v>91</v>
      </c>
      <c r="L199">
        <v>2</v>
      </c>
      <c r="M199" t="b">
        <v>0</v>
      </c>
    </row>
    <row r="200" spans="1:13" hidden="1">
      <c r="A200">
        <v>199</v>
      </c>
      <c r="B200" t="s">
        <v>226</v>
      </c>
      <c r="C200" t="s">
        <v>25</v>
      </c>
      <c r="D200" t="s">
        <v>86</v>
      </c>
      <c r="E200">
        <v>490</v>
      </c>
      <c r="F200">
        <v>95</v>
      </c>
      <c r="G200">
        <v>75</v>
      </c>
      <c r="H200">
        <v>80</v>
      </c>
      <c r="I200">
        <v>100</v>
      </c>
      <c r="J200">
        <v>110</v>
      </c>
      <c r="K200">
        <v>30</v>
      </c>
      <c r="L200">
        <v>2</v>
      </c>
      <c r="M200" t="b">
        <v>0</v>
      </c>
    </row>
    <row r="201" spans="1:13" hidden="1">
      <c r="A201">
        <v>200</v>
      </c>
      <c r="B201" t="s">
        <v>227</v>
      </c>
      <c r="C201" t="s">
        <v>119</v>
      </c>
      <c r="E201">
        <v>435</v>
      </c>
      <c r="F201">
        <v>60</v>
      </c>
      <c r="G201">
        <v>60</v>
      </c>
      <c r="H201">
        <v>60</v>
      </c>
      <c r="I201">
        <v>85</v>
      </c>
      <c r="J201">
        <v>85</v>
      </c>
      <c r="K201">
        <v>85</v>
      </c>
      <c r="L201">
        <v>2</v>
      </c>
      <c r="M201" t="b">
        <v>0</v>
      </c>
    </row>
    <row r="202" spans="1:13" hidden="1">
      <c r="A202">
        <v>201</v>
      </c>
      <c r="B202" t="s">
        <v>228</v>
      </c>
      <c r="C202" t="s">
        <v>86</v>
      </c>
      <c r="E202">
        <v>336</v>
      </c>
      <c r="F202">
        <v>48</v>
      </c>
      <c r="G202">
        <v>72</v>
      </c>
      <c r="H202">
        <v>48</v>
      </c>
      <c r="I202">
        <v>72</v>
      </c>
      <c r="J202">
        <v>48</v>
      </c>
      <c r="K202">
        <v>48</v>
      </c>
      <c r="L202">
        <v>2</v>
      </c>
      <c r="M202" t="b">
        <v>0</v>
      </c>
    </row>
    <row r="203" spans="1:13" hidden="1">
      <c r="A203">
        <v>202</v>
      </c>
      <c r="B203" t="s">
        <v>229</v>
      </c>
      <c r="C203" t="s">
        <v>86</v>
      </c>
      <c r="E203">
        <v>405</v>
      </c>
      <c r="F203">
        <v>190</v>
      </c>
      <c r="G203">
        <v>33</v>
      </c>
      <c r="H203">
        <v>58</v>
      </c>
      <c r="I203">
        <v>33</v>
      </c>
      <c r="J203">
        <v>58</v>
      </c>
      <c r="K203">
        <v>33</v>
      </c>
      <c r="L203">
        <v>2</v>
      </c>
      <c r="M203" t="b">
        <v>0</v>
      </c>
    </row>
    <row r="204" spans="1:13" hidden="1">
      <c r="A204">
        <v>203</v>
      </c>
      <c r="B204" t="s">
        <v>230</v>
      </c>
      <c r="C204" t="s">
        <v>36</v>
      </c>
      <c r="D204" t="s">
        <v>86</v>
      </c>
      <c r="E204">
        <v>455</v>
      </c>
      <c r="F204">
        <v>70</v>
      </c>
      <c r="G204">
        <v>80</v>
      </c>
      <c r="H204">
        <v>65</v>
      </c>
      <c r="I204">
        <v>90</v>
      </c>
      <c r="J204">
        <v>65</v>
      </c>
      <c r="K204">
        <v>85</v>
      </c>
      <c r="L204">
        <v>2</v>
      </c>
      <c r="M204" t="b">
        <v>0</v>
      </c>
    </row>
    <row r="205" spans="1:13" hidden="1">
      <c r="A205">
        <v>204</v>
      </c>
      <c r="B205" t="s">
        <v>231</v>
      </c>
      <c r="C205" t="s">
        <v>29</v>
      </c>
      <c r="E205">
        <v>290</v>
      </c>
      <c r="F205">
        <v>50</v>
      </c>
      <c r="G205">
        <v>65</v>
      </c>
      <c r="H205">
        <v>90</v>
      </c>
      <c r="I205">
        <v>35</v>
      </c>
      <c r="J205">
        <v>35</v>
      </c>
      <c r="K205">
        <v>15</v>
      </c>
      <c r="L205">
        <v>2</v>
      </c>
      <c r="M205" t="b">
        <v>0</v>
      </c>
    </row>
    <row r="206" spans="1:13" hidden="1">
      <c r="A206">
        <v>205</v>
      </c>
      <c r="B206" t="s">
        <v>232</v>
      </c>
      <c r="C206" t="s">
        <v>29</v>
      </c>
      <c r="D206" t="s">
        <v>106</v>
      </c>
      <c r="E206">
        <v>465</v>
      </c>
      <c r="F206">
        <v>75</v>
      </c>
      <c r="G206">
        <v>90</v>
      </c>
      <c r="H206">
        <v>140</v>
      </c>
      <c r="I206">
        <v>60</v>
      </c>
      <c r="J206">
        <v>60</v>
      </c>
      <c r="K206">
        <v>40</v>
      </c>
      <c r="L206">
        <v>2</v>
      </c>
      <c r="M206" t="b">
        <v>0</v>
      </c>
    </row>
    <row r="207" spans="1:13" hidden="1">
      <c r="A207">
        <v>206</v>
      </c>
      <c r="B207" t="s">
        <v>233</v>
      </c>
      <c r="C207" t="s">
        <v>36</v>
      </c>
      <c r="E207">
        <v>415</v>
      </c>
      <c r="F207">
        <v>100</v>
      </c>
      <c r="G207">
        <v>70</v>
      </c>
      <c r="H207">
        <v>70</v>
      </c>
      <c r="I207">
        <v>65</v>
      </c>
      <c r="J207">
        <v>65</v>
      </c>
      <c r="K207">
        <v>45</v>
      </c>
      <c r="L207">
        <v>2</v>
      </c>
      <c r="M207" t="b">
        <v>0</v>
      </c>
    </row>
    <row r="208" spans="1:13" hidden="1">
      <c r="A208">
        <v>207</v>
      </c>
      <c r="B208" t="s">
        <v>234</v>
      </c>
      <c r="C208" t="s">
        <v>49</v>
      </c>
      <c r="D208" t="s">
        <v>22</v>
      </c>
      <c r="E208">
        <v>430</v>
      </c>
      <c r="F208">
        <v>65</v>
      </c>
      <c r="G208">
        <v>75</v>
      </c>
      <c r="H208">
        <v>105</v>
      </c>
      <c r="I208">
        <v>35</v>
      </c>
      <c r="J208">
        <v>65</v>
      </c>
      <c r="K208">
        <v>85</v>
      </c>
      <c r="L208">
        <v>2</v>
      </c>
      <c r="M208" t="b">
        <v>0</v>
      </c>
    </row>
    <row r="209" spans="1:13" hidden="1">
      <c r="A209">
        <v>208</v>
      </c>
      <c r="B209" t="s">
        <v>235</v>
      </c>
      <c r="C209" t="s">
        <v>106</v>
      </c>
      <c r="D209" t="s">
        <v>49</v>
      </c>
      <c r="E209">
        <v>510</v>
      </c>
      <c r="F209">
        <v>75</v>
      </c>
      <c r="G209">
        <v>85</v>
      </c>
      <c r="H209">
        <v>200</v>
      </c>
      <c r="I209">
        <v>55</v>
      </c>
      <c r="J209">
        <v>65</v>
      </c>
      <c r="K209">
        <v>30</v>
      </c>
      <c r="L209">
        <v>2</v>
      </c>
      <c r="M209" t="b">
        <v>0</v>
      </c>
    </row>
    <row r="210" spans="1:13" hidden="1">
      <c r="A210">
        <v>209</v>
      </c>
      <c r="B210" t="s">
        <v>236</v>
      </c>
      <c r="C210" t="s">
        <v>56</v>
      </c>
      <c r="E210">
        <v>300</v>
      </c>
      <c r="F210">
        <v>60</v>
      </c>
      <c r="G210">
        <v>80</v>
      </c>
      <c r="H210">
        <v>50</v>
      </c>
      <c r="I210">
        <v>40</v>
      </c>
      <c r="J210">
        <v>40</v>
      </c>
      <c r="K210">
        <v>30</v>
      </c>
      <c r="L210">
        <v>2</v>
      </c>
      <c r="M210" t="b">
        <v>0</v>
      </c>
    </row>
    <row r="211" spans="1:13" hidden="1">
      <c r="A211">
        <v>210</v>
      </c>
      <c r="B211" t="s">
        <v>237</v>
      </c>
      <c r="C211" t="s">
        <v>56</v>
      </c>
      <c r="E211">
        <v>450</v>
      </c>
      <c r="F211">
        <v>90</v>
      </c>
      <c r="G211">
        <v>120</v>
      </c>
      <c r="H211">
        <v>75</v>
      </c>
      <c r="I211">
        <v>60</v>
      </c>
      <c r="J211">
        <v>60</v>
      </c>
      <c r="K211">
        <v>45</v>
      </c>
      <c r="L211">
        <v>2</v>
      </c>
      <c r="M211" t="b">
        <v>0</v>
      </c>
    </row>
    <row r="212" spans="1:13" hidden="1">
      <c r="A212">
        <v>211</v>
      </c>
      <c r="B212" t="s">
        <v>238</v>
      </c>
      <c r="C212" t="s">
        <v>25</v>
      </c>
      <c r="D212" t="s">
        <v>15</v>
      </c>
      <c r="E212">
        <v>430</v>
      </c>
      <c r="F212">
        <v>65</v>
      </c>
      <c r="G212">
        <v>95</v>
      </c>
      <c r="H212">
        <v>75</v>
      </c>
      <c r="I212">
        <v>55</v>
      </c>
      <c r="J212">
        <v>55</v>
      </c>
      <c r="K212">
        <v>85</v>
      </c>
      <c r="L212">
        <v>2</v>
      </c>
      <c r="M212" t="b">
        <v>0</v>
      </c>
    </row>
    <row r="213" spans="1:13" hidden="1">
      <c r="A213">
        <v>212</v>
      </c>
      <c r="B213" t="s">
        <v>239</v>
      </c>
      <c r="C213" t="s">
        <v>29</v>
      </c>
      <c r="D213" t="s">
        <v>106</v>
      </c>
      <c r="E213">
        <v>500</v>
      </c>
      <c r="F213">
        <v>70</v>
      </c>
      <c r="G213">
        <v>130</v>
      </c>
      <c r="H213">
        <v>100</v>
      </c>
      <c r="I213">
        <v>55</v>
      </c>
      <c r="J213">
        <v>80</v>
      </c>
      <c r="K213">
        <v>65</v>
      </c>
      <c r="L213">
        <v>2</v>
      </c>
      <c r="M213" t="b">
        <v>0</v>
      </c>
    </row>
    <row r="214" spans="1:13" hidden="1">
      <c r="A214">
        <v>213</v>
      </c>
      <c r="B214" t="s">
        <v>240</v>
      </c>
      <c r="C214" t="s">
        <v>29</v>
      </c>
      <c r="D214" t="s">
        <v>98</v>
      </c>
      <c r="E214">
        <v>505</v>
      </c>
      <c r="F214">
        <v>20</v>
      </c>
      <c r="G214">
        <v>10</v>
      </c>
      <c r="H214">
        <v>230</v>
      </c>
      <c r="I214">
        <v>10</v>
      </c>
      <c r="J214">
        <v>230</v>
      </c>
      <c r="K214">
        <v>5</v>
      </c>
      <c r="L214">
        <v>2</v>
      </c>
      <c r="M214" t="b">
        <v>0</v>
      </c>
    </row>
    <row r="215" spans="1:13" hidden="1">
      <c r="A215">
        <v>214</v>
      </c>
      <c r="B215" t="s">
        <v>241</v>
      </c>
      <c r="C215" t="s">
        <v>29</v>
      </c>
      <c r="D215" t="s">
        <v>78</v>
      </c>
      <c r="E215">
        <v>500</v>
      </c>
      <c r="F215">
        <v>80</v>
      </c>
      <c r="G215">
        <v>125</v>
      </c>
      <c r="H215">
        <v>75</v>
      </c>
      <c r="I215">
        <v>40</v>
      </c>
      <c r="J215">
        <v>95</v>
      </c>
      <c r="K215">
        <v>85</v>
      </c>
      <c r="L215">
        <v>2</v>
      </c>
      <c r="M215" t="b">
        <v>0</v>
      </c>
    </row>
    <row r="216" spans="1:13" hidden="1">
      <c r="A216">
        <v>215</v>
      </c>
      <c r="B216" t="s">
        <v>242</v>
      </c>
      <c r="C216" t="s">
        <v>158</v>
      </c>
      <c r="D216" t="s">
        <v>113</v>
      </c>
      <c r="E216">
        <v>430</v>
      </c>
      <c r="F216">
        <v>55</v>
      </c>
      <c r="G216">
        <v>95</v>
      </c>
      <c r="H216">
        <v>55</v>
      </c>
      <c r="I216">
        <v>35</v>
      </c>
      <c r="J216">
        <v>75</v>
      </c>
      <c r="K216">
        <v>115</v>
      </c>
      <c r="L216">
        <v>2</v>
      </c>
      <c r="M216" t="b">
        <v>0</v>
      </c>
    </row>
    <row r="217" spans="1:13" hidden="1">
      <c r="A217">
        <v>216</v>
      </c>
      <c r="B217" t="s">
        <v>243</v>
      </c>
      <c r="C217" t="s">
        <v>36</v>
      </c>
      <c r="E217">
        <v>330</v>
      </c>
      <c r="F217">
        <v>60</v>
      </c>
      <c r="G217">
        <v>80</v>
      </c>
      <c r="H217">
        <v>50</v>
      </c>
      <c r="I217">
        <v>50</v>
      </c>
      <c r="J217">
        <v>50</v>
      </c>
      <c r="K217">
        <v>40</v>
      </c>
      <c r="L217">
        <v>2</v>
      </c>
      <c r="M217" t="b">
        <v>0</v>
      </c>
    </row>
    <row r="218" spans="1:13" hidden="1">
      <c r="A218">
        <v>217</v>
      </c>
      <c r="B218" t="s">
        <v>244</v>
      </c>
      <c r="C218" t="s">
        <v>36</v>
      </c>
      <c r="E218">
        <v>500</v>
      </c>
      <c r="F218">
        <v>90</v>
      </c>
      <c r="G218">
        <v>130</v>
      </c>
      <c r="H218">
        <v>75</v>
      </c>
      <c r="I218">
        <v>75</v>
      </c>
      <c r="J218">
        <v>75</v>
      </c>
      <c r="K218">
        <v>55</v>
      </c>
      <c r="L218">
        <v>2</v>
      </c>
      <c r="M218" t="b">
        <v>0</v>
      </c>
    </row>
    <row r="219" spans="1:13" hidden="1">
      <c r="A219">
        <v>218</v>
      </c>
      <c r="B219" t="s">
        <v>245</v>
      </c>
      <c r="C219" t="s">
        <v>19</v>
      </c>
      <c r="E219">
        <v>250</v>
      </c>
      <c r="F219">
        <v>40</v>
      </c>
      <c r="G219">
        <v>40</v>
      </c>
      <c r="H219">
        <v>40</v>
      </c>
      <c r="I219">
        <v>70</v>
      </c>
      <c r="J219">
        <v>40</v>
      </c>
      <c r="K219">
        <v>20</v>
      </c>
      <c r="L219">
        <v>2</v>
      </c>
      <c r="M219" t="b">
        <v>0</v>
      </c>
    </row>
    <row r="220" spans="1:13" hidden="1">
      <c r="A220">
        <v>219</v>
      </c>
      <c r="B220" t="s">
        <v>246</v>
      </c>
      <c r="C220" t="s">
        <v>19</v>
      </c>
      <c r="D220" t="s">
        <v>98</v>
      </c>
      <c r="E220">
        <v>410</v>
      </c>
      <c r="F220">
        <v>50</v>
      </c>
      <c r="G220">
        <v>50</v>
      </c>
      <c r="H220">
        <v>120</v>
      </c>
      <c r="I220">
        <v>80</v>
      </c>
      <c r="J220">
        <v>80</v>
      </c>
      <c r="K220">
        <v>30</v>
      </c>
      <c r="L220">
        <v>2</v>
      </c>
      <c r="M220" t="b">
        <v>0</v>
      </c>
    </row>
    <row r="221" spans="1:13" hidden="1">
      <c r="A221">
        <v>220</v>
      </c>
      <c r="B221" t="s">
        <v>247</v>
      </c>
      <c r="C221" t="s">
        <v>113</v>
      </c>
      <c r="D221" t="s">
        <v>49</v>
      </c>
      <c r="E221">
        <v>250</v>
      </c>
      <c r="F221">
        <v>50</v>
      </c>
      <c r="G221">
        <v>50</v>
      </c>
      <c r="H221">
        <v>40</v>
      </c>
      <c r="I221">
        <v>30</v>
      </c>
      <c r="J221">
        <v>30</v>
      </c>
      <c r="K221">
        <v>50</v>
      </c>
      <c r="L221">
        <v>2</v>
      </c>
      <c r="M221" t="b">
        <v>0</v>
      </c>
    </row>
    <row r="222" spans="1:13" hidden="1">
      <c r="A222">
        <v>221</v>
      </c>
      <c r="B222" t="s">
        <v>248</v>
      </c>
      <c r="C222" t="s">
        <v>113</v>
      </c>
      <c r="D222" t="s">
        <v>49</v>
      </c>
      <c r="E222">
        <v>450</v>
      </c>
      <c r="F222">
        <v>100</v>
      </c>
      <c r="G222">
        <v>100</v>
      </c>
      <c r="H222">
        <v>80</v>
      </c>
      <c r="I222">
        <v>60</v>
      </c>
      <c r="J222">
        <v>60</v>
      </c>
      <c r="K222">
        <v>50</v>
      </c>
      <c r="L222">
        <v>2</v>
      </c>
      <c r="M222" t="b">
        <v>0</v>
      </c>
    </row>
    <row r="223" spans="1:13" hidden="1">
      <c r="A223">
        <v>222</v>
      </c>
      <c r="B223" t="s">
        <v>249</v>
      </c>
      <c r="C223" t="s">
        <v>25</v>
      </c>
      <c r="D223" t="s">
        <v>98</v>
      </c>
      <c r="E223">
        <v>380</v>
      </c>
      <c r="F223">
        <v>55</v>
      </c>
      <c r="G223">
        <v>55</v>
      </c>
      <c r="H223">
        <v>85</v>
      </c>
      <c r="I223">
        <v>65</v>
      </c>
      <c r="J223">
        <v>85</v>
      </c>
      <c r="K223">
        <v>35</v>
      </c>
      <c r="L223">
        <v>2</v>
      </c>
      <c r="M223" t="b">
        <v>0</v>
      </c>
    </row>
    <row r="224" spans="1:13" hidden="1">
      <c r="A224">
        <v>223</v>
      </c>
      <c r="B224" t="s">
        <v>250</v>
      </c>
      <c r="C224" t="s">
        <v>25</v>
      </c>
      <c r="E224">
        <v>300</v>
      </c>
      <c r="F224">
        <v>35</v>
      </c>
      <c r="G224">
        <v>65</v>
      </c>
      <c r="H224">
        <v>35</v>
      </c>
      <c r="I224">
        <v>65</v>
      </c>
      <c r="J224">
        <v>35</v>
      </c>
      <c r="K224">
        <v>65</v>
      </c>
      <c r="L224">
        <v>2</v>
      </c>
      <c r="M224" t="b">
        <v>0</v>
      </c>
    </row>
    <row r="225" spans="1:13" hidden="1">
      <c r="A225">
        <v>224</v>
      </c>
      <c r="B225" t="s">
        <v>251</v>
      </c>
      <c r="C225" t="s">
        <v>25</v>
      </c>
      <c r="E225">
        <v>480</v>
      </c>
      <c r="F225">
        <v>75</v>
      </c>
      <c r="G225">
        <v>105</v>
      </c>
      <c r="H225">
        <v>75</v>
      </c>
      <c r="I225">
        <v>105</v>
      </c>
      <c r="J225">
        <v>75</v>
      </c>
      <c r="K225">
        <v>45</v>
      </c>
      <c r="L225">
        <v>2</v>
      </c>
      <c r="M225" t="b">
        <v>0</v>
      </c>
    </row>
    <row r="226" spans="1:13" hidden="1">
      <c r="A226">
        <v>225</v>
      </c>
      <c r="B226" t="s">
        <v>252</v>
      </c>
      <c r="C226" t="s">
        <v>113</v>
      </c>
      <c r="D226" t="s">
        <v>22</v>
      </c>
      <c r="E226">
        <v>330</v>
      </c>
      <c r="F226">
        <v>45</v>
      </c>
      <c r="G226">
        <v>55</v>
      </c>
      <c r="H226">
        <v>45</v>
      </c>
      <c r="I226">
        <v>65</v>
      </c>
      <c r="J226">
        <v>45</v>
      </c>
      <c r="K226">
        <v>75</v>
      </c>
      <c r="L226">
        <v>2</v>
      </c>
      <c r="M226" t="b">
        <v>0</v>
      </c>
    </row>
    <row r="227" spans="1:13" hidden="1">
      <c r="A227">
        <v>226</v>
      </c>
      <c r="B227" t="s">
        <v>253</v>
      </c>
      <c r="C227" t="s">
        <v>25</v>
      </c>
      <c r="D227" t="s">
        <v>22</v>
      </c>
      <c r="E227">
        <v>465</v>
      </c>
      <c r="F227">
        <v>65</v>
      </c>
      <c r="G227">
        <v>40</v>
      </c>
      <c r="H227">
        <v>70</v>
      </c>
      <c r="I227">
        <v>80</v>
      </c>
      <c r="J227">
        <v>140</v>
      </c>
      <c r="K227">
        <v>70</v>
      </c>
      <c r="L227">
        <v>2</v>
      </c>
      <c r="M227" t="b">
        <v>0</v>
      </c>
    </row>
    <row r="228" spans="1:13" hidden="1">
      <c r="A228">
        <v>227</v>
      </c>
      <c r="B228" t="s">
        <v>254</v>
      </c>
      <c r="C228" t="s">
        <v>106</v>
      </c>
      <c r="D228" t="s">
        <v>22</v>
      </c>
      <c r="E228">
        <v>465</v>
      </c>
      <c r="F228">
        <v>65</v>
      </c>
      <c r="G228">
        <v>80</v>
      </c>
      <c r="H228">
        <v>140</v>
      </c>
      <c r="I228">
        <v>40</v>
      </c>
      <c r="J228">
        <v>70</v>
      </c>
      <c r="K228">
        <v>70</v>
      </c>
      <c r="L228">
        <v>2</v>
      </c>
      <c r="M228" t="b">
        <v>0</v>
      </c>
    </row>
    <row r="229" spans="1:13" hidden="1">
      <c r="A229">
        <v>228</v>
      </c>
      <c r="B229" t="s">
        <v>255</v>
      </c>
      <c r="C229" t="s">
        <v>158</v>
      </c>
      <c r="D229" t="s">
        <v>19</v>
      </c>
      <c r="E229">
        <v>330</v>
      </c>
      <c r="F229">
        <v>45</v>
      </c>
      <c r="G229">
        <v>60</v>
      </c>
      <c r="H229">
        <v>30</v>
      </c>
      <c r="I229">
        <v>80</v>
      </c>
      <c r="J229">
        <v>50</v>
      </c>
      <c r="K229">
        <v>65</v>
      </c>
      <c r="L229">
        <v>2</v>
      </c>
      <c r="M229" t="b">
        <v>0</v>
      </c>
    </row>
    <row r="230" spans="1:13" hidden="1">
      <c r="A230">
        <v>229</v>
      </c>
      <c r="B230" t="s">
        <v>256</v>
      </c>
      <c r="C230" t="s">
        <v>158</v>
      </c>
      <c r="D230" t="s">
        <v>19</v>
      </c>
      <c r="E230">
        <v>500</v>
      </c>
      <c r="F230">
        <v>75</v>
      </c>
      <c r="G230">
        <v>90</v>
      </c>
      <c r="H230">
        <v>50</v>
      </c>
      <c r="I230">
        <v>110</v>
      </c>
      <c r="J230">
        <v>80</v>
      </c>
      <c r="K230">
        <v>95</v>
      </c>
      <c r="L230">
        <v>2</v>
      </c>
      <c r="M230" t="b">
        <v>0</v>
      </c>
    </row>
    <row r="231" spans="1:13" hidden="1">
      <c r="A231">
        <v>230</v>
      </c>
      <c r="B231" t="s">
        <v>257</v>
      </c>
      <c r="C231" t="s">
        <v>25</v>
      </c>
      <c r="D231" t="s">
        <v>23</v>
      </c>
      <c r="E231">
        <v>540</v>
      </c>
      <c r="F231">
        <v>75</v>
      </c>
      <c r="G231">
        <v>95</v>
      </c>
      <c r="H231">
        <v>95</v>
      </c>
      <c r="I231">
        <v>95</v>
      </c>
      <c r="J231">
        <v>95</v>
      </c>
      <c r="K231">
        <v>85</v>
      </c>
      <c r="L231">
        <v>2</v>
      </c>
      <c r="M231" t="b">
        <v>0</v>
      </c>
    </row>
    <row r="232" spans="1:13" hidden="1">
      <c r="A232">
        <v>231</v>
      </c>
      <c r="B232" t="s">
        <v>258</v>
      </c>
      <c r="C232" t="s">
        <v>49</v>
      </c>
      <c r="E232">
        <v>330</v>
      </c>
      <c r="F232">
        <v>90</v>
      </c>
      <c r="G232">
        <v>60</v>
      </c>
      <c r="H232">
        <v>60</v>
      </c>
      <c r="I232">
        <v>40</v>
      </c>
      <c r="J232">
        <v>40</v>
      </c>
      <c r="K232">
        <v>40</v>
      </c>
      <c r="L232">
        <v>2</v>
      </c>
      <c r="M232" t="b">
        <v>0</v>
      </c>
    </row>
    <row r="233" spans="1:13" hidden="1">
      <c r="A233">
        <v>232</v>
      </c>
      <c r="B233" t="s">
        <v>259</v>
      </c>
      <c r="C233" t="s">
        <v>49</v>
      </c>
      <c r="E233">
        <v>500</v>
      </c>
      <c r="F233">
        <v>90</v>
      </c>
      <c r="G233">
        <v>120</v>
      </c>
      <c r="H233">
        <v>120</v>
      </c>
      <c r="I233">
        <v>60</v>
      </c>
      <c r="J233">
        <v>60</v>
      </c>
      <c r="K233">
        <v>50</v>
      </c>
      <c r="L233">
        <v>2</v>
      </c>
      <c r="M233" t="b">
        <v>0</v>
      </c>
    </row>
    <row r="234" spans="1:13" hidden="1">
      <c r="A234">
        <v>233</v>
      </c>
      <c r="B234" t="s">
        <v>260</v>
      </c>
      <c r="C234" t="s">
        <v>36</v>
      </c>
      <c r="E234">
        <v>515</v>
      </c>
      <c r="F234">
        <v>85</v>
      </c>
      <c r="G234">
        <v>80</v>
      </c>
      <c r="H234">
        <v>90</v>
      </c>
      <c r="I234">
        <v>105</v>
      </c>
      <c r="J234">
        <v>95</v>
      </c>
      <c r="K234">
        <v>60</v>
      </c>
      <c r="L234">
        <v>2</v>
      </c>
      <c r="M234" t="b">
        <v>0</v>
      </c>
    </row>
    <row r="235" spans="1:13" hidden="1">
      <c r="A235">
        <v>234</v>
      </c>
      <c r="B235" t="s">
        <v>261</v>
      </c>
      <c r="C235" t="s">
        <v>36</v>
      </c>
      <c r="E235">
        <v>465</v>
      </c>
      <c r="F235">
        <v>73</v>
      </c>
      <c r="G235">
        <v>95</v>
      </c>
      <c r="H235">
        <v>62</v>
      </c>
      <c r="I235">
        <v>85</v>
      </c>
      <c r="J235">
        <v>65</v>
      </c>
      <c r="K235">
        <v>85</v>
      </c>
      <c r="L235">
        <v>2</v>
      </c>
      <c r="M235" t="b">
        <v>0</v>
      </c>
    </row>
    <row r="236" spans="1:13" hidden="1">
      <c r="A236">
        <v>235</v>
      </c>
      <c r="B236" t="s">
        <v>262</v>
      </c>
      <c r="C236" t="s">
        <v>36</v>
      </c>
      <c r="E236">
        <v>250</v>
      </c>
      <c r="F236">
        <v>55</v>
      </c>
      <c r="G236">
        <v>20</v>
      </c>
      <c r="H236">
        <v>35</v>
      </c>
      <c r="I236">
        <v>20</v>
      </c>
      <c r="J236">
        <v>45</v>
      </c>
      <c r="K236">
        <v>75</v>
      </c>
      <c r="L236">
        <v>2</v>
      </c>
      <c r="M236" t="b">
        <v>0</v>
      </c>
    </row>
    <row r="237" spans="1:13" hidden="1">
      <c r="A237">
        <v>236</v>
      </c>
      <c r="B237" t="s">
        <v>263</v>
      </c>
      <c r="C237" t="s">
        <v>78</v>
      </c>
      <c r="E237">
        <v>210</v>
      </c>
      <c r="F237">
        <v>35</v>
      </c>
      <c r="G237">
        <v>35</v>
      </c>
      <c r="H237">
        <v>35</v>
      </c>
      <c r="I237">
        <v>35</v>
      </c>
      <c r="J237">
        <v>35</v>
      </c>
      <c r="K237">
        <v>35</v>
      </c>
      <c r="L237">
        <v>2</v>
      </c>
      <c r="M237" t="b">
        <v>0</v>
      </c>
    </row>
    <row r="238" spans="1:13" hidden="1">
      <c r="A238">
        <v>237</v>
      </c>
      <c r="B238" t="s">
        <v>264</v>
      </c>
      <c r="C238" t="s">
        <v>78</v>
      </c>
      <c r="E238">
        <v>455</v>
      </c>
      <c r="F238">
        <v>50</v>
      </c>
      <c r="G238">
        <v>95</v>
      </c>
      <c r="H238">
        <v>95</v>
      </c>
      <c r="I238">
        <v>35</v>
      </c>
      <c r="J238">
        <v>110</v>
      </c>
      <c r="K238">
        <v>70</v>
      </c>
      <c r="L238">
        <v>2</v>
      </c>
      <c r="M238" t="b">
        <v>0</v>
      </c>
    </row>
    <row r="239" spans="1:13" hidden="1">
      <c r="A239">
        <v>238</v>
      </c>
      <c r="B239" t="s">
        <v>265</v>
      </c>
      <c r="C239" t="s">
        <v>113</v>
      </c>
      <c r="D239" t="s">
        <v>86</v>
      </c>
      <c r="E239">
        <v>305</v>
      </c>
      <c r="F239">
        <v>45</v>
      </c>
      <c r="G239">
        <v>30</v>
      </c>
      <c r="H239">
        <v>15</v>
      </c>
      <c r="I239">
        <v>85</v>
      </c>
      <c r="J239">
        <v>65</v>
      </c>
      <c r="K239">
        <v>65</v>
      </c>
      <c r="L239">
        <v>2</v>
      </c>
      <c r="M239" t="b">
        <v>0</v>
      </c>
    </row>
    <row r="240" spans="1:13" hidden="1">
      <c r="A240">
        <v>239</v>
      </c>
      <c r="B240" t="s">
        <v>266</v>
      </c>
      <c r="C240" t="s">
        <v>46</v>
      </c>
      <c r="E240">
        <v>360</v>
      </c>
      <c r="F240">
        <v>45</v>
      </c>
      <c r="G240">
        <v>63</v>
      </c>
      <c r="H240">
        <v>37</v>
      </c>
      <c r="I240">
        <v>65</v>
      </c>
      <c r="J240">
        <v>55</v>
      </c>
      <c r="K240">
        <v>95</v>
      </c>
      <c r="L240">
        <v>2</v>
      </c>
      <c r="M240" t="b">
        <v>0</v>
      </c>
    </row>
    <row r="241" spans="1:13" hidden="1">
      <c r="A241">
        <v>240</v>
      </c>
      <c r="B241" t="s">
        <v>267</v>
      </c>
      <c r="C241" t="s">
        <v>19</v>
      </c>
      <c r="E241">
        <v>365</v>
      </c>
      <c r="F241">
        <v>45</v>
      </c>
      <c r="G241">
        <v>75</v>
      </c>
      <c r="H241">
        <v>37</v>
      </c>
      <c r="I241">
        <v>70</v>
      </c>
      <c r="J241">
        <v>55</v>
      </c>
      <c r="K241">
        <v>83</v>
      </c>
      <c r="L241">
        <v>2</v>
      </c>
      <c r="M241" t="b">
        <v>0</v>
      </c>
    </row>
    <row r="242" spans="1:13" hidden="1">
      <c r="A242">
        <v>241</v>
      </c>
      <c r="B242" t="s">
        <v>268</v>
      </c>
      <c r="C242" t="s">
        <v>36</v>
      </c>
      <c r="E242">
        <v>490</v>
      </c>
      <c r="F242">
        <v>95</v>
      </c>
      <c r="G242">
        <v>80</v>
      </c>
      <c r="H242">
        <v>105</v>
      </c>
      <c r="I242">
        <v>40</v>
      </c>
      <c r="J242">
        <v>70</v>
      </c>
      <c r="K242">
        <v>100</v>
      </c>
      <c r="L242">
        <v>2</v>
      </c>
      <c r="M242" t="b">
        <v>0</v>
      </c>
    </row>
    <row r="243" spans="1:13" hidden="1">
      <c r="A243">
        <v>242</v>
      </c>
      <c r="B243" t="s">
        <v>269</v>
      </c>
      <c r="C243" t="s">
        <v>36</v>
      </c>
      <c r="E243">
        <v>540</v>
      </c>
      <c r="F243">
        <v>255</v>
      </c>
      <c r="G243">
        <v>10</v>
      </c>
      <c r="H243">
        <v>10</v>
      </c>
      <c r="I243">
        <v>75</v>
      </c>
      <c r="J243">
        <v>135</v>
      </c>
      <c r="K243">
        <v>55</v>
      </c>
      <c r="L243">
        <v>2</v>
      </c>
      <c r="M243" t="b">
        <v>0</v>
      </c>
    </row>
    <row r="244" spans="1:13" hidden="1">
      <c r="A244">
        <v>243</v>
      </c>
      <c r="B244" t="s">
        <v>270</v>
      </c>
      <c r="C244" t="s">
        <v>46</v>
      </c>
      <c r="E244">
        <v>580</v>
      </c>
      <c r="F244">
        <v>90</v>
      </c>
      <c r="G244">
        <v>85</v>
      </c>
      <c r="H244">
        <v>75</v>
      </c>
      <c r="I244">
        <v>115</v>
      </c>
      <c r="J244">
        <v>100</v>
      </c>
      <c r="K244">
        <v>115</v>
      </c>
      <c r="L244">
        <v>2</v>
      </c>
      <c r="M244" t="b">
        <v>1</v>
      </c>
    </row>
    <row r="245" spans="1:13" hidden="1">
      <c r="A245">
        <v>244</v>
      </c>
      <c r="B245" t="s">
        <v>271</v>
      </c>
      <c r="C245" t="s">
        <v>19</v>
      </c>
      <c r="E245">
        <v>580</v>
      </c>
      <c r="F245">
        <v>115</v>
      </c>
      <c r="G245">
        <v>115</v>
      </c>
      <c r="H245">
        <v>85</v>
      </c>
      <c r="I245">
        <v>90</v>
      </c>
      <c r="J245">
        <v>75</v>
      </c>
      <c r="K245">
        <v>100</v>
      </c>
      <c r="L245">
        <v>2</v>
      </c>
      <c r="M245" t="b">
        <v>1</v>
      </c>
    </row>
    <row r="246" spans="1:13" hidden="1">
      <c r="A246">
        <v>245</v>
      </c>
      <c r="B246" t="s">
        <v>272</v>
      </c>
      <c r="C246" t="s">
        <v>25</v>
      </c>
      <c r="E246">
        <v>580</v>
      </c>
      <c r="F246">
        <v>100</v>
      </c>
      <c r="G246">
        <v>75</v>
      </c>
      <c r="H246">
        <v>115</v>
      </c>
      <c r="I246">
        <v>90</v>
      </c>
      <c r="J246">
        <v>115</v>
      </c>
      <c r="K246">
        <v>85</v>
      </c>
      <c r="L246">
        <v>2</v>
      </c>
      <c r="M246" t="b">
        <v>1</v>
      </c>
    </row>
    <row r="247" spans="1:13" hidden="1">
      <c r="A247">
        <v>246</v>
      </c>
      <c r="B247" t="s">
        <v>273</v>
      </c>
      <c r="C247" t="s">
        <v>98</v>
      </c>
      <c r="D247" t="s">
        <v>49</v>
      </c>
      <c r="E247">
        <v>300</v>
      </c>
      <c r="F247">
        <v>50</v>
      </c>
      <c r="G247">
        <v>64</v>
      </c>
      <c r="H247">
        <v>50</v>
      </c>
      <c r="I247">
        <v>45</v>
      </c>
      <c r="J247">
        <v>50</v>
      </c>
      <c r="K247">
        <v>41</v>
      </c>
      <c r="L247">
        <v>2</v>
      </c>
      <c r="M247" t="b">
        <v>0</v>
      </c>
    </row>
    <row r="248" spans="1:13" hidden="1">
      <c r="A248">
        <v>247</v>
      </c>
      <c r="B248" t="s">
        <v>274</v>
      </c>
      <c r="C248" t="s">
        <v>98</v>
      </c>
      <c r="D248" t="s">
        <v>49</v>
      </c>
      <c r="E248">
        <v>410</v>
      </c>
      <c r="F248">
        <v>70</v>
      </c>
      <c r="G248">
        <v>84</v>
      </c>
      <c r="H248">
        <v>70</v>
      </c>
      <c r="I248">
        <v>65</v>
      </c>
      <c r="J248">
        <v>70</v>
      </c>
      <c r="K248">
        <v>51</v>
      </c>
      <c r="L248">
        <v>2</v>
      </c>
      <c r="M248" t="b">
        <v>0</v>
      </c>
    </row>
    <row r="249" spans="1:13" hidden="1">
      <c r="A249">
        <v>248</v>
      </c>
      <c r="B249" t="s">
        <v>275</v>
      </c>
      <c r="C249" t="s">
        <v>98</v>
      </c>
      <c r="D249" t="s">
        <v>158</v>
      </c>
      <c r="E249">
        <v>600</v>
      </c>
      <c r="F249">
        <v>100</v>
      </c>
      <c r="G249">
        <v>134</v>
      </c>
      <c r="H249">
        <v>110</v>
      </c>
      <c r="I249">
        <v>95</v>
      </c>
      <c r="J249">
        <v>100</v>
      </c>
      <c r="K249">
        <v>61</v>
      </c>
      <c r="L249">
        <v>2</v>
      </c>
      <c r="M249" t="b">
        <v>0</v>
      </c>
    </row>
    <row r="250" spans="1:13" hidden="1">
      <c r="A250">
        <v>249</v>
      </c>
      <c r="B250" t="s">
        <v>276</v>
      </c>
      <c r="C250" t="s">
        <v>86</v>
      </c>
      <c r="D250" t="s">
        <v>22</v>
      </c>
      <c r="E250">
        <v>680</v>
      </c>
      <c r="F250">
        <v>106</v>
      </c>
      <c r="G250">
        <v>90</v>
      </c>
      <c r="H250">
        <v>130</v>
      </c>
      <c r="I250">
        <v>90</v>
      </c>
      <c r="J250">
        <v>154</v>
      </c>
      <c r="K250">
        <v>110</v>
      </c>
      <c r="L250">
        <v>2</v>
      </c>
      <c r="M250" t="b">
        <v>1</v>
      </c>
    </row>
    <row r="251" spans="1:13" hidden="1">
      <c r="A251">
        <v>250</v>
      </c>
      <c r="B251" t="s">
        <v>277</v>
      </c>
      <c r="C251" t="s">
        <v>19</v>
      </c>
      <c r="D251" t="s">
        <v>22</v>
      </c>
      <c r="E251">
        <v>680</v>
      </c>
      <c r="F251">
        <v>106</v>
      </c>
      <c r="G251">
        <v>130</v>
      </c>
      <c r="H251">
        <v>90</v>
      </c>
      <c r="I251">
        <v>110</v>
      </c>
      <c r="J251">
        <v>154</v>
      </c>
      <c r="K251">
        <v>90</v>
      </c>
      <c r="L251">
        <v>2</v>
      </c>
      <c r="M251" t="b">
        <v>1</v>
      </c>
    </row>
    <row r="252" spans="1:13" hidden="1">
      <c r="A252">
        <v>251</v>
      </c>
      <c r="B252" t="s">
        <v>278</v>
      </c>
      <c r="C252" t="s">
        <v>86</v>
      </c>
      <c r="D252" t="s">
        <v>14</v>
      </c>
      <c r="E252">
        <v>600</v>
      </c>
      <c r="F252">
        <v>100</v>
      </c>
      <c r="G252">
        <v>100</v>
      </c>
      <c r="H252">
        <v>100</v>
      </c>
      <c r="I252">
        <v>100</v>
      </c>
      <c r="J252">
        <v>100</v>
      </c>
      <c r="K252">
        <v>100</v>
      </c>
      <c r="L252">
        <v>2</v>
      </c>
      <c r="M252" t="b">
        <v>0</v>
      </c>
    </row>
    <row r="253" spans="1:13">
      <c r="A253">
        <v>252</v>
      </c>
      <c r="B253" t="s">
        <v>279</v>
      </c>
      <c r="C253" t="s">
        <v>14</v>
      </c>
      <c r="E253">
        <v>310</v>
      </c>
      <c r="F253">
        <v>40</v>
      </c>
      <c r="G253">
        <v>45</v>
      </c>
      <c r="H253">
        <v>35</v>
      </c>
      <c r="I253">
        <v>65</v>
      </c>
      <c r="J253">
        <v>55</v>
      </c>
      <c r="K253">
        <v>70</v>
      </c>
      <c r="L253">
        <v>3</v>
      </c>
      <c r="M253" t="b">
        <v>0</v>
      </c>
    </row>
    <row r="254" spans="1:13">
      <c r="A254">
        <v>253</v>
      </c>
      <c r="B254" t="s">
        <v>280</v>
      </c>
      <c r="C254" t="s">
        <v>14</v>
      </c>
      <c r="E254">
        <v>405</v>
      </c>
      <c r="F254">
        <v>50</v>
      </c>
      <c r="G254">
        <v>65</v>
      </c>
      <c r="H254">
        <v>45</v>
      </c>
      <c r="I254">
        <v>85</v>
      </c>
      <c r="J254">
        <v>65</v>
      </c>
      <c r="K254">
        <v>95</v>
      </c>
      <c r="L254">
        <v>3</v>
      </c>
      <c r="M254" t="b">
        <v>0</v>
      </c>
    </row>
    <row r="255" spans="1:13">
      <c r="A255">
        <v>254</v>
      </c>
      <c r="B255" t="s">
        <v>281</v>
      </c>
      <c r="C255" t="s">
        <v>14</v>
      </c>
      <c r="E255">
        <v>530</v>
      </c>
      <c r="F255">
        <v>70</v>
      </c>
      <c r="G255">
        <v>85</v>
      </c>
      <c r="H255">
        <v>65</v>
      </c>
      <c r="I255">
        <v>105</v>
      </c>
      <c r="J255">
        <v>85</v>
      </c>
      <c r="K255">
        <v>120</v>
      </c>
      <c r="L255">
        <v>3</v>
      </c>
      <c r="M255" t="b">
        <v>0</v>
      </c>
    </row>
    <row r="256" spans="1:13">
      <c r="A256">
        <v>255</v>
      </c>
      <c r="B256" t="s">
        <v>282</v>
      </c>
      <c r="C256" t="s">
        <v>19</v>
      </c>
      <c r="E256">
        <v>310</v>
      </c>
      <c r="F256">
        <v>45</v>
      </c>
      <c r="G256">
        <v>60</v>
      </c>
      <c r="H256">
        <v>40</v>
      </c>
      <c r="I256">
        <v>70</v>
      </c>
      <c r="J256">
        <v>50</v>
      </c>
      <c r="K256">
        <v>45</v>
      </c>
      <c r="L256">
        <v>3</v>
      </c>
      <c r="M256" t="b">
        <v>0</v>
      </c>
    </row>
    <row r="257" spans="1:13">
      <c r="A257">
        <v>256</v>
      </c>
      <c r="B257" t="s">
        <v>283</v>
      </c>
      <c r="C257" t="s">
        <v>19</v>
      </c>
      <c r="D257" t="s">
        <v>78</v>
      </c>
      <c r="E257">
        <v>405</v>
      </c>
      <c r="F257">
        <v>60</v>
      </c>
      <c r="G257">
        <v>85</v>
      </c>
      <c r="H257">
        <v>60</v>
      </c>
      <c r="I257">
        <v>85</v>
      </c>
      <c r="J257">
        <v>60</v>
      </c>
      <c r="K257">
        <v>55</v>
      </c>
      <c r="L257">
        <v>3</v>
      </c>
      <c r="M257" t="b">
        <v>0</v>
      </c>
    </row>
    <row r="258" spans="1:13">
      <c r="A258">
        <v>257</v>
      </c>
      <c r="B258" t="s">
        <v>284</v>
      </c>
      <c r="C258" t="s">
        <v>19</v>
      </c>
      <c r="D258" t="s">
        <v>78</v>
      </c>
      <c r="E258">
        <v>530</v>
      </c>
      <c r="F258">
        <v>80</v>
      </c>
      <c r="G258">
        <v>120</v>
      </c>
      <c r="H258">
        <v>70</v>
      </c>
      <c r="I258">
        <v>110</v>
      </c>
      <c r="J258">
        <v>70</v>
      </c>
      <c r="K258">
        <v>80</v>
      </c>
      <c r="L258">
        <v>3</v>
      </c>
      <c r="M258" t="b">
        <v>0</v>
      </c>
    </row>
    <row r="259" spans="1:13">
      <c r="A259">
        <v>258</v>
      </c>
      <c r="B259" t="s">
        <v>285</v>
      </c>
      <c r="C259" t="s">
        <v>25</v>
      </c>
      <c r="E259">
        <v>310</v>
      </c>
      <c r="F259">
        <v>50</v>
      </c>
      <c r="G259">
        <v>70</v>
      </c>
      <c r="H259">
        <v>50</v>
      </c>
      <c r="I259">
        <v>50</v>
      </c>
      <c r="J259">
        <v>50</v>
      </c>
      <c r="K259">
        <v>40</v>
      </c>
      <c r="L259">
        <v>3</v>
      </c>
      <c r="M259" t="b">
        <v>0</v>
      </c>
    </row>
    <row r="260" spans="1:13">
      <c r="A260">
        <v>259</v>
      </c>
      <c r="B260" t="s">
        <v>286</v>
      </c>
      <c r="C260" t="s">
        <v>25</v>
      </c>
      <c r="D260" t="s">
        <v>49</v>
      </c>
      <c r="E260">
        <v>405</v>
      </c>
      <c r="F260">
        <v>70</v>
      </c>
      <c r="G260">
        <v>85</v>
      </c>
      <c r="H260">
        <v>70</v>
      </c>
      <c r="I260">
        <v>60</v>
      </c>
      <c r="J260">
        <v>70</v>
      </c>
      <c r="K260">
        <v>50</v>
      </c>
      <c r="L260">
        <v>3</v>
      </c>
      <c r="M260" t="b">
        <v>0</v>
      </c>
    </row>
    <row r="261" spans="1:13">
      <c r="A261">
        <v>260</v>
      </c>
      <c r="B261" t="s">
        <v>287</v>
      </c>
      <c r="C261" t="s">
        <v>25</v>
      </c>
      <c r="D261" t="s">
        <v>49</v>
      </c>
      <c r="E261">
        <v>535</v>
      </c>
      <c r="F261">
        <v>100</v>
      </c>
      <c r="G261">
        <v>110</v>
      </c>
      <c r="H261">
        <v>90</v>
      </c>
      <c r="I261">
        <v>85</v>
      </c>
      <c r="J261">
        <v>90</v>
      </c>
      <c r="K261">
        <v>60</v>
      </c>
      <c r="L261">
        <v>3</v>
      </c>
      <c r="M261" t="b">
        <v>0</v>
      </c>
    </row>
    <row r="262" spans="1:13">
      <c r="A262">
        <v>261</v>
      </c>
      <c r="B262" t="s">
        <v>288</v>
      </c>
      <c r="C262" t="s">
        <v>158</v>
      </c>
      <c r="E262">
        <v>220</v>
      </c>
      <c r="F262">
        <v>35</v>
      </c>
      <c r="G262">
        <v>55</v>
      </c>
      <c r="H262">
        <v>35</v>
      </c>
      <c r="I262">
        <v>30</v>
      </c>
      <c r="J262">
        <v>30</v>
      </c>
      <c r="K262">
        <v>35</v>
      </c>
      <c r="L262">
        <v>3</v>
      </c>
      <c r="M262" t="b">
        <v>0</v>
      </c>
    </row>
    <row r="263" spans="1:13">
      <c r="A263">
        <v>262</v>
      </c>
      <c r="B263" t="s">
        <v>289</v>
      </c>
      <c r="C263" t="s">
        <v>158</v>
      </c>
      <c r="E263">
        <v>420</v>
      </c>
      <c r="F263">
        <v>70</v>
      </c>
      <c r="G263">
        <v>90</v>
      </c>
      <c r="H263">
        <v>70</v>
      </c>
      <c r="I263">
        <v>60</v>
      </c>
      <c r="J263">
        <v>60</v>
      </c>
      <c r="K263">
        <v>70</v>
      </c>
      <c r="L263">
        <v>3</v>
      </c>
      <c r="M263" t="b">
        <v>0</v>
      </c>
    </row>
    <row r="264" spans="1:13">
      <c r="A264">
        <v>263</v>
      </c>
      <c r="B264" t="s">
        <v>290</v>
      </c>
      <c r="C264" t="s">
        <v>36</v>
      </c>
      <c r="E264">
        <v>240</v>
      </c>
      <c r="F264">
        <v>38</v>
      </c>
      <c r="G264">
        <v>30</v>
      </c>
      <c r="H264">
        <v>41</v>
      </c>
      <c r="I264">
        <v>30</v>
      </c>
      <c r="J264">
        <v>41</v>
      </c>
      <c r="K264">
        <v>60</v>
      </c>
      <c r="L264">
        <v>3</v>
      </c>
      <c r="M264" t="b">
        <v>0</v>
      </c>
    </row>
    <row r="265" spans="1:13">
      <c r="A265">
        <v>264</v>
      </c>
      <c r="B265" t="s">
        <v>291</v>
      </c>
      <c r="C265" t="s">
        <v>36</v>
      </c>
      <c r="E265">
        <v>420</v>
      </c>
      <c r="F265">
        <v>78</v>
      </c>
      <c r="G265">
        <v>70</v>
      </c>
      <c r="H265">
        <v>61</v>
      </c>
      <c r="I265">
        <v>50</v>
      </c>
      <c r="J265">
        <v>61</v>
      </c>
      <c r="K265">
        <v>100</v>
      </c>
      <c r="L265">
        <v>3</v>
      </c>
      <c r="M265" t="b">
        <v>0</v>
      </c>
    </row>
    <row r="266" spans="1:13">
      <c r="A266">
        <v>265</v>
      </c>
      <c r="B266" t="s">
        <v>292</v>
      </c>
      <c r="C266" t="s">
        <v>29</v>
      </c>
      <c r="E266">
        <v>195</v>
      </c>
      <c r="F266">
        <v>45</v>
      </c>
      <c r="G266">
        <v>45</v>
      </c>
      <c r="H266">
        <v>35</v>
      </c>
      <c r="I266">
        <v>20</v>
      </c>
      <c r="J266">
        <v>30</v>
      </c>
      <c r="K266">
        <v>20</v>
      </c>
      <c r="L266">
        <v>3</v>
      </c>
      <c r="M266" t="b">
        <v>0</v>
      </c>
    </row>
    <row r="267" spans="1:13">
      <c r="A267">
        <v>266</v>
      </c>
      <c r="B267" t="s">
        <v>293</v>
      </c>
      <c r="C267" t="s">
        <v>29</v>
      </c>
      <c r="E267">
        <v>205</v>
      </c>
      <c r="F267">
        <v>50</v>
      </c>
      <c r="G267">
        <v>35</v>
      </c>
      <c r="H267">
        <v>55</v>
      </c>
      <c r="I267">
        <v>25</v>
      </c>
      <c r="J267">
        <v>25</v>
      </c>
      <c r="K267">
        <v>15</v>
      </c>
      <c r="L267">
        <v>3</v>
      </c>
      <c r="M267" t="b">
        <v>0</v>
      </c>
    </row>
    <row r="268" spans="1:13">
      <c r="A268">
        <v>267</v>
      </c>
      <c r="B268" t="s">
        <v>294</v>
      </c>
      <c r="C268" t="s">
        <v>29</v>
      </c>
      <c r="D268" t="s">
        <v>22</v>
      </c>
      <c r="E268">
        <v>395</v>
      </c>
      <c r="F268">
        <v>60</v>
      </c>
      <c r="G268">
        <v>70</v>
      </c>
      <c r="H268">
        <v>50</v>
      </c>
      <c r="I268">
        <v>100</v>
      </c>
      <c r="J268">
        <v>50</v>
      </c>
      <c r="K268">
        <v>65</v>
      </c>
      <c r="L268">
        <v>3</v>
      </c>
      <c r="M268" t="b">
        <v>0</v>
      </c>
    </row>
    <row r="269" spans="1:13">
      <c r="A269">
        <v>268</v>
      </c>
      <c r="B269" t="s">
        <v>295</v>
      </c>
      <c r="C269" t="s">
        <v>29</v>
      </c>
      <c r="E269">
        <v>205</v>
      </c>
      <c r="F269">
        <v>50</v>
      </c>
      <c r="G269">
        <v>35</v>
      </c>
      <c r="H269">
        <v>55</v>
      </c>
      <c r="I269">
        <v>25</v>
      </c>
      <c r="J269">
        <v>25</v>
      </c>
      <c r="K269">
        <v>15</v>
      </c>
      <c r="L269">
        <v>3</v>
      </c>
      <c r="M269" t="b">
        <v>0</v>
      </c>
    </row>
    <row r="270" spans="1:13">
      <c r="A270">
        <v>269</v>
      </c>
      <c r="B270" t="s">
        <v>296</v>
      </c>
      <c r="C270" t="s">
        <v>29</v>
      </c>
      <c r="D270" t="s">
        <v>15</v>
      </c>
      <c r="E270">
        <v>385</v>
      </c>
      <c r="F270">
        <v>60</v>
      </c>
      <c r="G270">
        <v>50</v>
      </c>
      <c r="H270">
        <v>70</v>
      </c>
      <c r="I270">
        <v>50</v>
      </c>
      <c r="J270">
        <v>90</v>
      </c>
      <c r="K270">
        <v>65</v>
      </c>
      <c r="L270">
        <v>3</v>
      </c>
      <c r="M270" t="b">
        <v>0</v>
      </c>
    </row>
    <row r="271" spans="1:13">
      <c r="A271">
        <v>270</v>
      </c>
      <c r="B271" t="s">
        <v>297</v>
      </c>
      <c r="C271" t="s">
        <v>25</v>
      </c>
      <c r="D271" t="s">
        <v>14</v>
      </c>
      <c r="E271">
        <v>220</v>
      </c>
      <c r="F271">
        <v>40</v>
      </c>
      <c r="G271">
        <v>30</v>
      </c>
      <c r="H271">
        <v>30</v>
      </c>
      <c r="I271">
        <v>40</v>
      </c>
      <c r="J271">
        <v>50</v>
      </c>
      <c r="K271">
        <v>30</v>
      </c>
      <c r="L271">
        <v>3</v>
      </c>
      <c r="M271" t="b">
        <v>0</v>
      </c>
    </row>
    <row r="272" spans="1:13">
      <c r="A272">
        <v>271</v>
      </c>
      <c r="B272" t="s">
        <v>298</v>
      </c>
      <c r="C272" t="s">
        <v>25</v>
      </c>
      <c r="D272" t="s">
        <v>14</v>
      </c>
      <c r="E272">
        <v>340</v>
      </c>
      <c r="F272">
        <v>60</v>
      </c>
      <c r="G272">
        <v>50</v>
      </c>
      <c r="H272">
        <v>50</v>
      </c>
      <c r="I272">
        <v>60</v>
      </c>
      <c r="J272">
        <v>70</v>
      </c>
      <c r="K272">
        <v>50</v>
      </c>
      <c r="L272">
        <v>3</v>
      </c>
      <c r="M272" t="b">
        <v>0</v>
      </c>
    </row>
    <row r="273" spans="1:13">
      <c r="A273">
        <v>272</v>
      </c>
      <c r="B273" t="s">
        <v>299</v>
      </c>
      <c r="C273" t="s">
        <v>25</v>
      </c>
      <c r="D273" t="s">
        <v>14</v>
      </c>
      <c r="E273">
        <v>480</v>
      </c>
      <c r="F273">
        <v>80</v>
      </c>
      <c r="G273">
        <v>70</v>
      </c>
      <c r="H273">
        <v>70</v>
      </c>
      <c r="I273">
        <v>90</v>
      </c>
      <c r="J273">
        <v>100</v>
      </c>
      <c r="K273">
        <v>70</v>
      </c>
      <c r="L273">
        <v>3</v>
      </c>
      <c r="M273" t="b">
        <v>0</v>
      </c>
    </row>
    <row r="274" spans="1:13">
      <c r="A274">
        <v>273</v>
      </c>
      <c r="B274" t="s">
        <v>300</v>
      </c>
      <c r="C274" t="s">
        <v>14</v>
      </c>
      <c r="E274">
        <v>220</v>
      </c>
      <c r="F274">
        <v>40</v>
      </c>
      <c r="G274">
        <v>40</v>
      </c>
      <c r="H274">
        <v>50</v>
      </c>
      <c r="I274">
        <v>30</v>
      </c>
      <c r="J274">
        <v>30</v>
      </c>
      <c r="K274">
        <v>30</v>
      </c>
      <c r="L274">
        <v>3</v>
      </c>
      <c r="M274" t="b">
        <v>0</v>
      </c>
    </row>
    <row r="275" spans="1:13">
      <c r="A275">
        <v>274</v>
      </c>
      <c r="B275" t="s">
        <v>301</v>
      </c>
      <c r="C275" t="s">
        <v>14</v>
      </c>
      <c r="D275" t="s">
        <v>158</v>
      </c>
      <c r="E275">
        <v>340</v>
      </c>
      <c r="F275">
        <v>70</v>
      </c>
      <c r="G275">
        <v>70</v>
      </c>
      <c r="H275">
        <v>40</v>
      </c>
      <c r="I275">
        <v>60</v>
      </c>
      <c r="J275">
        <v>40</v>
      </c>
      <c r="K275">
        <v>60</v>
      </c>
      <c r="L275">
        <v>3</v>
      </c>
      <c r="M275" t="b">
        <v>0</v>
      </c>
    </row>
    <row r="276" spans="1:13">
      <c r="A276">
        <v>275</v>
      </c>
      <c r="B276" t="s">
        <v>302</v>
      </c>
      <c r="C276" t="s">
        <v>14</v>
      </c>
      <c r="D276" t="s">
        <v>158</v>
      </c>
      <c r="E276">
        <v>480</v>
      </c>
      <c r="F276">
        <v>90</v>
      </c>
      <c r="G276">
        <v>100</v>
      </c>
      <c r="H276">
        <v>60</v>
      </c>
      <c r="I276">
        <v>90</v>
      </c>
      <c r="J276">
        <v>60</v>
      </c>
      <c r="K276">
        <v>80</v>
      </c>
      <c r="L276">
        <v>3</v>
      </c>
      <c r="M276" t="b">
        <v>0</v>
      </c>
    </row>
    <row r="277" spans="1:13">
      <c r="A277">
        <v>276</v>
      </c>
      <c r="B277" t="s">
        <v>303</v>
      </c>
      <c r="C277" t="s">
        <v>36</v>
      </c>
      <c r="D277" t="s">
        <v>22</v>
      </c>
      <c r="E277">
        <v>270</v>
      </c>
      <c r="F277">
        <v>40</v>
      </c>
      <c r="G277">
        <v>55</v>
      </c>
      <c r="H277">
        <v>30</v>
      </c>
      <c r="I277">
        <v>30</v>
      </c>
      <c r="J277">
        <v>30</v>
      </c>
      <c r="K277">
        <v>85</v>
      </c>
      <c r="L277">
        <v>3</v>
      </c>
      <c r="M277" t="b">
        <v>0</v>
      </c>
    </row>
    <row r="278" spans="1:13">
      <c r="A278">
        <v>277</v>
      </c>
      <c r="B278" t="s">
        <v>304</v>
      </c>
      <c r="C278" t="s">
        <v>36</v>
      </c>
      <c r="D278" t="s">
        <v>22</v>
      </c>
      <c r="E278">
        <v>430</v>
      </c>
      <c r="F278">
        <v>60</v>
      </c>
      <c r="G278">
        <v>85</v>
      </c>
      <c r="H278">
        <v>60</v>
      </c>
      <c r="I278">
        <v>50</v>
      </c>
      <c r="J278">
        <v>50</v>
      </c>
      <c r="K278">
        <v>125</v>
      </c>
      <c r="L278">
        <v>3</v>
      </c>
      <c r="M278" t="b">
        <v>0</v>
      </c>
    </row>
    <row r="279" spans="1:13">
      <c r="A279">
        <v>278</v>
      </c>
      <c r="B279" t="s">
        <v>305</v>
      </c>
      <c r="C279" t="s">
        <v>25</v>
      </c>
      <c r="D279" t="s">
        <v>22</v>
      </c>
      <c r="E279">
        <v>270</v>
      </c>
      <c r="F279">
        <v>40</v>
      </c>
      <c r="G279">
        <v>30</v>
      </c>
      <c r="H279">
        <v>30</v>
      </c>
      <c r="I279">
        <v>55</v>
      </c>
      <c r="J279">
        <v>30</v>
      </c>
      <c r="K279">
        <v>85</v>
      </c>
      <c r="L279">
        <v>3</v>
      </c>
      <c r="M279" t="b">
        <v>0</v>
      </c>
    </row>
    <row r="280" spans="1:13">
      <c r="A280">
        <v>279</v>
      </c>
      <c r="B280" t="s">
        <v>306</v>
      </c>
      <c r="C280" t="s">
        <v>25</v>
      </c>
      <c r="D280" t="s">
        <v>22</v>
      </c>
      <c r="E280">
        <v>430</v>
      </c>
      <c r="F280">
        <v>60</v>
      </c>
      <c r="G280">
        <v>50</v>
      </c>
      <c r="H280">
        <v>100</v>
      </c>
      <c r="I280">
        <v>85</v>
      </c>
      <c r="J280">
        <v>70</v>
      </c>
      <c r="K280">
        <v>65</v>
      </c>
      <c r="L280">
        <v>3</v>
      </c>
      <c r="M280" t="b">
        <v>0</v>
      </c>
    </row>
    <row r="281" spans="1:13">
      <c r="A281">
        <v>280</v>
      </c>
      <c r="B281" t="s">
        <v>307</v>
      </c>
      <c r="C281" t="s">
        <v>86</v>
      </c>
      <c r="D281" t="s">
        <v>56</v>
      </c>
      <c r="E281">
        <v>198</v>
      </c>
      <c r="F281">
        <v>28</v>
      </c>
      <c r="G281">
        <v>25</v>
      </c>
      <c r="H281">
        <v>25</v>
      </c>
      <c r="I281">
        <v>45</v>
      </c>
      <c r="J281">
        <v>35</v>
      </c>
      <c r="K281">
        <v>40</v>
      </c>
      <c r="L281">
        <v>3</v>
      </c>
      <c r="M281" t="b">
        <v>0</v>
      </c>
    </row>
    <row r="282" spans="1:13">
      <c r="A282">
        <v>281</v>
      </c>
      <c r="B282" t="s">
        <v>308</v>
      </c>
      <c r="C282" t="s">
        <v>86</v>
      </c>
      <c r="D282" t="s">
        <v>56</v>
      </c>
      <c r="E282">
        <v>278</v>
      </c>
      <c r="F282">
        <v>38</v>
      </c>
      <c r="G282">
        <v>35</v>
      </c>
      <c r="H282">
        <v>35</v>
      </c>
      <c r="I282">
        <v>65</v>
      </c>
      <c r="J282">
        <v>55</v>
      </c>
      <c r="K282">
        <v>50</v>
      </c>
      <c r="L282">
        <v>3</v>
      </c>
      <c r="M282" t="b">
        <v>0</v>
      </c>
    </row>
    <row r="283" spans="1:13">
      <c r="A283">
        <v>282</v>
      </c>
      <c r="B283" t="s">
        <v>309</v>
      </c>
      <c r="C283" t="s">
        <v>86</v>
      </c>
      <c r="D283" t="s">
        <v>56</v>
      </c>
      <c r="E283">
        <v>518</v>
      </c>
      <c r="F283">
        <v>68</v>
      </c>
      <c r="G283">
        <v>65</v>
      </c>
      <c r="H283">
        <v>65</v>
      </c>
      <c r="I283">
        <v>125</v>
      </c>
      <c r="J283">
        <v>115</v>
      </c>
      <c r="K283">
        <v>80</v>
      </c>
      <c r="L283">
        <v>3</v>
      </c>
      <c r="M283" t="b">
        <v>0</v>
      </c>
    </row>
    <row r="284" spans="1:13">
      <c r="A284">
        <v>283</v>
      </c>
      <c r="B284" t="s">
        <v>310</v>
      </c>
      <c r="C284" t="s">
        <v>29</v>
      </c>
      <c r="D284" t="s">
        <v>25</v>
      </c>
      <c r="E284">
        <v>269</v>
      </c>
      <c r="F284">
        <v>40</v>
      </c>
      <c r="G284">
        <v>30</v>
      </c>
      <c r="H284">
        <v>32</v>
      </c>
      <c r="I284">
        <v>50</v>
      </c>
      <c r="J284">
        <v>52</v>
      </c>
      <c r="K284">
        <v>65</v>
      </c>
      <c r="L284">
        <v>3</v>
      </c>
      <c r="M284" t="b">
        <v>0</v>
      </c>
    </row>
    <row r="285" spans="1:13">
      <c r="A285">
        <v>284</v>
      </c>
      <c r="B285" t="s">
        <v>311</v>
      </c>
      <c r="C285" t="s">
        <v>29</v>
      </c>
      <c r="D285" t="s">
        <v>22</v>
      </c>
      <c r="E285">
        <v>414</v>
      </c>
      <c r="F285">
        <v>70</v>
      </c>
      <c r="G285">
        <v>60</v>
      </c>
      <c r="H285">
        <v>62</v>
      </c>
      <c r="I285">
        <v>80</v>
      </c>
      <c r="J285">
        <v>82</v>
      </c>
      <c r="K285">
        <v>60</v>
      </c>
      <c r="L285">
        <v>3</v>
      </c>
      <c r="M285" t="b">
        <v>0</v>
      </c>
    </row>
    <row r="286" spans="1:13">
      <c r="A286">
        <v>285</v>
      </c>
      <c r="B286" t="s">
        <v>312</v>
      </c>
      <c r="C286" t="s">
        <v>14</v>
      </c>
      <c r="E286">
        <v>295</v>
      </c>
      <c r="F286">
        <v>60</v>
      </c>
      <c r="G286">
        <v>40</v>
      </c>
      <c r="H286">
        <v>60</v>
      </c>
      <c r="I286">
        <v>40</v>
      </c>
      <c r="J286">
        <v>60</v>
      </c>
      <c r="K286">
        <v>35</v>
      </c>
      <c r="L286">
        <v>3</v>
      </c>
      <c r="M286" t="b">
        <v>0</v>
      </c>
    </row>
    <row r="287" spans="1:13">
      <c r="A287">
        <v>286</v>
      </c>
      <c r="B287" t="s">
        <v>313</v>
      </c>
      <c r="C287" t="s">
        <v>14</v>
      </c>
      <c r="D287" t="s">
        <v>78</v>
      </c>
      <c r="E287">
        <v>460</v>
      </c>
      <c r="F287">
        <v>60</v>
      </c>
      <c r="G287">
        <v>130</v>
      </c>
      <c r="H287">
        <v>80</v>
      </c>
      <c r="I287">
        <v>60</v>
      </c>
      <c r="J287">
        <v>60</v>
      </c>
      <c r="K287">
        <v>70</v>
      </c>
      <c r="L287">
        <v>3</v>
      </c>
      <c r="M287" t="b">
        <v>0</v>
      </c>
    </row>
    <row r="288" spans="1:13">
      <c r="A288">
        <v>287</v>
      </c>
      <c r="B288" t="s">
        <v>314</v>
      </c>
      <c r="C288" t="s">
        <v>36</v>
      </c>
      <c r="E288">
        <v>280</v>
      </c>
      <c r="F288">
        <v>60</v>
      </c>
      <c r="G288">
        <v>60</v>
      </c>
      <c r="H288">
        <v>60</v>
      </c>
      <c r="I288">
        <v>35</v>
      </c>
      <c r="J288">
        <v>35</v>
      </c>
      <c r="K288">
        <v>30</v>
      </c>
      <c r="L288">
        <v>3</v>
      </c>
      <c r="M288" t="b">
        <v>0</v>
      </c>
    </row>
    <row r="289" spans="1:13">
      <c r="A289">
        <v>288</v>
      </c>
      <c r="B289" t="s">
        <v>315</v>
      </c>
      <c r="C289" t="s">
        <v>36</v>
      </c>
      <c r="E289">
        <v>440</v>
      </c>
      <c r="F289">
        <v>80</v>
      </c>
      <c r="G289">
        <v>80</v>
      </c>
      <c r="H289">
        <v>80</v>
      </c>
      <c r="I289">
        <v>55</v>
      </c>
      <c r="J289">
        <v>55</v>
      </c>
      <c r="K289">
        <v>90</v>
      </c>
      <c r="L289">
        <v>3</v>
      </c>
      <c r="M289" t="b">
        <v>0</v>
      </c>
    </row>
    <row r="290" spans="1:13">
      <c r="A290">
        <v>289</v>
      </c>
      <c r="B290" t="s">
        <v>316</v>
      </c>
      <c r="C290" t="s">
        <v>36</v>
      </c>
      <c r="E290">
        <v>670</v>
      </c>
      <c r="F290">
        <v>150</v>
      </c>
      <c r="G290">
        <v>160</v>
      </c>
      <c r="H290">
        <v>100</v>
      </c>
      <c r="I290">
        <v>95</v>
      </c>
      <c r="J290">
        <v>65</v>
      </c>
      <c r="K290">
        <v>100</v>
      </c>
      <c r="L290">
        <v>3</v>
      </c>
      <c r="M290" t="b">
        <v>0</v>
      </c>
    </row>
    <row r="291" spans="1:13">
      <c r="A291">
        <v>290</v>
      </c>
      <c r="B291" t="s">
        <v>317</v>
      </c>
      <c r="C291" t="s">
        <v>29</v>
      </c>
      <c r="D291" t="s">
        <v>49</v>
      </c>
      <c r="E291">
        <v>266</v>
      </c>
      <c r="F291">
        <v>31</v>
      </c>
      <c r="G291">
        <v>45</v>
      </c>
      <c r="H291">
        <v>90</v>
      </c>
      <c r="I291">
        <v>30</v>
      </c>
      <c r="J291">
        <v>30</v>
      </c>
      <c r="K291">
        <v>40</v>
      </c>
      <c r="L291">
        <v>3</v>
      </c>
      <c r="M291" t="b">
        <v>0</v>
      </c>
    </row>
    <row r="292" spans="1:13">
      <c r="A292">
        <v>291</v>
      </c>
      <c r="B292" t="s">
        <v>318</v>
      </c>
      <c r="C292" t="s">
        <v>29</v>
      </c>
      <c r="D292" t="s">
        <v>22</v>
      </c>
      <c r="E292">
        <v>456</v>
      </c>
      <c r="F292">
        <v>61</v>
      </c>
      <c r="G292">
        <v>90</v>
      </c>
      <c r="H292">
        <v>45</v>
      </c>
      <c r="I292">
        <v>50</v>
      </c>
      <c r="J292">
        <v>50</v>
      </c>
      <c r="K292">
        <v>160</v>
      </c>
      <c r="L292">
        <v>3</v>
      </c>
      <c r="M292" t="b">
        <v>0</v>
      </c>
    </row>
    <row r="293" spans="1:13">
      <c r="A293">
        <v>292</v>
      </c>
      <c r="B293" t="s">
        <v>319</v>
      </c>
      <c r="C293" t="s">
        <v>29</v>
      </c>
      <c r="D293" t="s">
        <v>119</v>
      </c>
      <c r="E293">
        <v>236</v>
      </c>
      <c r="F293">
        <v>1</v>
      </c>
      <c r="G293">
        <v>90</v>
      </c>
      <c r="H293">
        <v>45</v>
      </c>
      <c r="I293">
        <v>30</v>
      </c>
      <c r="J293">
        <v>30</v>
      </c>
      <c r="K293">
        <v>40</v>
      </c>
      <c r="L293">
        <v>3</v>
      </c>
      <c r="M293" t="b">
        <v>0</v>
      </c>
    </row>
    <row r="294" spans="1:13">
      <c r="A294">
        <v>293</v>
      </c>
      <c r="B294" t="s">
        <v>320</v>
      </c>
      <c r="C294" t="s">
        <v>36</v>
      </c>
      <c r="E294">
        <v>240</v>
      </c>
      <c r="F294">
        <v>64</v>
      </c>
      <c r="G294">
        <v>51</v>
      </c>
      <c r="H294">
        <v>23</v>
      </c>
      <c r="I294">
        <v>51</v>
      </c>
      <c r="J294">
        <v>23</v>
      </c>
      <c r="K294">
        <v>28</v>
      </c>
      <c r="L294">
        <v>3</v>
      </c>
      <c r="M294" t="b">
        <v>0</v>
      </c>
    </row>
    <row r="295" spans="1:13">
      <c r="A295">
        <v>294</v>
      </c>
      <c r="B295" t="s">
        <v>321</v>
      </c>
      <c r="C295" t="s">
        <v>36</v>
      </c>
      <c r="E295">
        <v>360</v>
      </c>
      <c r="F295">
        <v>84</v>
      </c>
      <c r="G295">
        <v>71</v>
      </c>
      <c r="H295">
        <v>43</v>
      </c>
      <c r="I295">
        <v>71</v>
      </c>
      <c r="J295">
        <v>43</v>
      </c>
      <c r="K295">
        <v>48</v>
      </c>
      <c r="L295">
        <v>3</v>
      </c>
      <c r="M295" t="b">
        <v>0</v>
      </c>
    </row>
    <row r="296" spans="1:13">
      <c r="A296">
        <v>295</v>
      </c>
      <c r="B296" t="s">
        <v>322</v>
      </c>
      <c r="C296" t="s">
        <v>36</v>
      </c>
      <c r="E296">
        <v>490</v>
      </c>
      <c r="F296">
        <v>104</v>
      </c>
      <c r="G296">
        <v>91</v>
      </c>
      <c r="H296">
        <v>63</v>
      </c>
      <c r="I296">
        <v>91</v>
      </c>
      <c r="J296">
        <v>73</v>
      </c>
      <c r="K296">
        <v>68</v>
      </c>
      <c r="L296">
        <v>3</v>
      </c>
      <c r="M296" t="b">
        <v>0</v>
      </c>
    </row>
    <row r="297" spans="1:13">
      <c r="A297">
        <v>296</v>
      </c>
      <c r="B297" t="s">
        <v>323</v>
      </c>
      <c r="C297" t="s">
        <v>78</v>
      </c>
      <c r="E297">
        <v>237</v>
      </c>
      <c r="F297">
        <v>72</v>
      </c>
      <c r="G297">
        <v>60</v>
      </c>
      <c r="H297">
        <v>30</v>
      </c>
      <c r="I297">
        <v>20</v>
      </c>
      <c r="J297">
        <v>30</v>
      </c>
      <c r="K297">
        <v>25</v>
      </c>
      <c r="L297">
        <v>3</v>
      </c>
      <c r="M297" t="b">
        <v>0</v>
      </c>
    </row>
    <row r="298" spans="1:13">
      <c r="A298">
        <v>297</v>
      </c>
      <c r="B298" t="s">
        <v>324</v>
      </c>
      <c r="C298" t="s">
        <v>78</v>
      </c>
      <c r="E298">
        <v>474</v>
      </c>
      <c r="F298">
        <v>144</v>
      </c>
      <c r="G298">
        <v>120</v>
      </c>
      <c r="H298">
        <v>60</v>
      </c>
      <c r="I298">
        <v>40</v>
      </c>
      <c r="J298">
        <v>60</v>
      </c>
      <c r="K298">
        <v>50</v>
      </c>
      <c r="L298">
        <v>3</v>
      </c>
      <c r="M298" t="b">
        <v>0</v>
      </c>
    </row>
    <row r="299" spans="1:13">
      <c r="A299">
        <v>298</v>
      </c>
      <c r="B299" t="s">
        <v>325</v>
      </c>
      <c r="C299" t="s">
        <v>36</v>
      </c>
      <c r="D299" t="s">
        <v>56</v>
      </c>
      <c r="E299">
        <v>190</v>
      </c>
      <c r="F299">
        <v>50</v>
      </c>
      <c r="G299">
        <v>20</v>
      </c>
      <c r="H299">
        <v>40</v>
      </c>
      <c r="I299">
        <v>20</v>
      </c>
      <c r="J299">
        <v>40</v>
      </c>
      <c r="K299">
        <v>20</v>
      </c>
      <c r="L299">
        <v>3</v>
      </c>
      <c r="M299" t="b">
        <v>0</v>
      </c>
    </row>
    <row r="300" spans="1:13">
      <c r="A300">
        <v>299</v>
      </c>
      <c r="B300" t="s">
        <v>326</v>
      </c>
      <c r="C300" t="s">
        <v>98</v>
      </c>
      <c r="E300">
        <v>375</v>
      </c>
      <c r="F300">
        <v>30</v>
      </c>
      <c r="G300">
        <v>45</v>
      </c>
      <c r="H300">
        <v>135</v>
      </c>
      <c r="I300">
        <v>45</v>
      </c>
      <c r="J300">
        <v>90</v>
      </c>
      <c r="K300">
        <v>30</v>
      </c>
      <c r="L300">
        <v>3</v>
      </c>
      <c r="M300" t="b">
        <v>0</v>
      </c>
    </row>
    <row r="301" spans="1:13">
      <c r="A301">
        <v>300</v>
      </c>
      <c r="B301" t="s">
        <v>327</v>
      </c>
      <c r="C301" t="s">
        <v>36</v>
      </c>
      <c r="E301">
        <v>260</v>
      </c>
      <c r="F301">
        <v>50</v>
      </c>
      <c r="G301">
        <v>45</v>
      </c>
      <c r="H301">
        <v>45</v>
      </c>
      <c r="I301">
        <v>35</v>
      </c>
      <c r="J301">
        <v>35</v>
      </c>
      <c r="K301">
        <v>50</v>
      </c>
      <c r="L301">
        <v>3</v>
      </c>
      <c r="M301" t="b">
        <v>0</v>
      </c>
    </row>
    <row r="302" spans="1:13">
      <c r="A302">
        <v>301</v>
      </c>
      <c r="B302" t="s">
        <v>328</v>
      </c>
      <c r="C302" t="s">
        <v>36</v>
      </c>
      <c r="E302">
        <v>380</v>
      </c>
      <c r="F302">
        <v>70</v>
      </c>
      <c r="G302">
        <v>65</v>
      </c>
      <c r="H302">
        <v>65</v>
      </c>
      <c r="I302">
        <v>55</v>
      </c>
      <c r="J302">
        <v>55</v>
      </c>
      <c r="K302">
        <v>70</v>
      </c>
      <c r="L302">
        <v>3</v>
      </c>
      <c r="M302" t="b">
        <v>0</v>
      </c>
    </row>
    <row r="303" spans="1:13">
      <c r="A303">
        <v>302</v>
      </c>
      <c r="B303" t="s">
        <v>329</v>
      </c>
      <c r="C303" t="s">
        <v>158</v>
      </c>
      <c r="D303" t="s">
        <v>119</v>
      </c>
      <c r="E303">
        <v>380</v>
      </c>
      <c r="F303">
        <v>50</v>
      </c>
      <c r="G303">
        <v>75</v>
      </c>
      <c r="H303">
        <v>75</v>
      </c>
      <c r="I303">
        <v>65</v>
      </c>
      <c r="J303">
        <v>65</v>
      </c>
      <c r="K303">
        <v>50</v>
      </c>
      <c r="L303">
        <v>3</v>
      </c>
      <c r="M303" t="b">
        <v>0</v>
      </c>
    </row>
    <row r="304" spans="1:13">
      <c r="A304">
        <v>303</v>
      </c>
      <c r="B304" t="s">
        <v>330</v>
      </c>
      <c r="C304" t="s">
        <v>106</v>
      </c>
      <c r="D304" t="s">
        <v>56</v>
      </c>
      <c r="E304">
        <v>380</v>
      </c>
      <c r="F304">
        <v>50</v>
      </c>
      <c r="G304">
        <v>85</v>
      </c>
      <c r="H304">
        <v>85</v>
      </c>
      <c r="I304">
        <v>55</v>
      </c>
      <c r="J304">
        <v>55</v>
      </c>
      <c r="K304">
        <v>50</v>
      </c>
      <c r="L304">
        <v>3</v>
      </c>
      <c r="M304" t="b">
        <v>0</v>
      </c>
    </row>
    <row r="305" spans="1:13">
      <c r="A305">
        <v>304</v>
      </c>
      <c r="B305" t="s">
        <v>331</v>
      </c>
      <c r="C305" t="s">
        <v>106</v>
      </c>
      <c r="D305" t="s">
        <v>98</v>
      </c>
      <c r="E305">
        <v>330</v>
      </c>
      <c r="F305">
        <v>50</v>
      </c>
      <c r="G305">
        <v>70</v>
      </c>
      <c r="H305">
        <v>100</v>
      </c>
      <c r="I305">
        <v>40</v>
      </c>
      <c r="J305">
        <v>40</v>
      </c>
      <c r="K305">
        <v>30</v>
      </c>
      <c r="L305">
        <v>3</v>
      </c>
      <c r="M305" t="b">
        <v>0</v>
      </c>
    </row>
    <row r="306" spans="1:13">
      <c r="A306">
        <v>305</v>
      </c>
      <c r="B306" t="s">
        <v>332</v>
      </c>
      <c r="C306" t="s">
        <v>106</v>
      </c>
      <c r="D306" t="s">
        <v>98</v>
      </c>
      <c r="E306">
        <v>430</v>
      </c>
      <c r="F306">
        <v>60</v>
      </c>
      <c r="G306">
        <v>90</v>
      </c>
      <c r="H306">
        <v>140</v>
      </c>
      <c r="I306">
        <v>50</v>
      </c>
      <c r="J306">
        <v>50</v>
      </c>
      <c r="K306">
        <v>40</v>
      </c>
      <c r="L306">
        <v>3</v>
      </c>
      <c r="M306" t="b">
        <v>0</v>
      </c>
    </row>
    <row r="307" spans="1:13">
      <c r="A307">
        <v>306</v>
      </c>
      <c r="B307" t="s">
        <v>333</v>
      </c>
      <c r="C307" t="s">
        <v>106</v>
      </c>
      <c r="D307" t="s">
        <v>98</v>
      </c>
      <c r="E307">
        <v>530</v>
      </c>
      <c r="F307">
        <v>70</v>
      </c>
      <c r="G307">
        <v>110</v>
      </c>
      <c r="H307">
        <v>180</v>
      </c>
      <c r="I307">
        <v>60</v>
      </c>
      <c r="J307">
        <v>60</v>
      </c>
      <c r="K307">
        <v>50</v>
      </c>
      <c r="L307">
        <v>3</v>
      </c>
      <c r="M307" t="b">
        <v>0</v>
      </c>
    </row>
    <row r="308" spans="1:13">
      <c r="A308">
        <v>307</v>
      </c>
      <c r="B308" t="s">
        <v>334</v>
      </c>
      <c r="C308" t="s">
        <v>78</v>
      </c>
      <c r="D308" t="s">
        <v>86</v>
      </c>
      <c r="E308">
        <v>280</v>
      </c>
      <c r="F308">
        <v>30</v>
      </c>
      <c r="G308">
        <v>40</v>
      </c>
      <c r="H308">
        <v>55</v>
      </c>
      <c r="I308">
        <v>40</v>
      </c>
      <c r="J308">
        <v>55</v>
      </c>
      <c r="K308">
        <v>60</v>
      </c>
      <c r="L308">
        <v>3</v>
      </c>
      <c r="M308" t="b">
        <v>0</v>
      </c>
    </row>
    <row r="309" spans="1:13">
      <c r="A309">
        <v>308</v>
      </c>
      <c r="B309" t="s">
        <v>335</v>
      </c>
      <c r="C309" t="s">
        <v>78</v>
      </c>
      <c r="D309" t="s">
        <v>86</v>
      </c>
      <c r="E309">
        <v>410</v>
      </c>
      <c r="F309">
        <v>60</v>
      </c>
      <c r="G309">
        <v>60</v>
      </c>
      <c r="H309">
        <v>75</v>
      </c>
      <c r="I309">
        <v>60</v>
      </c>
      <c r="J309">
        <v>75</v>
      </c>
      <c r="K309">
        <v>80</v>
      </c>
      <c r="L309">
        <v>3</v>
      </c>
      <c r="M309" t="b">
        <v>0</v>
      </c>
    </row>
    <row r="310" spans="1:13">
      <c r="A310">
        <v>309</v>
      </c>
      <c r="B310" t="s">
        <v>336</v>
      </c>
      <c r="C310" t="s">
        <v>46</v>
      </c>
      <c r="E310">
        <v>295</v>
      </c>
      <c r="F310">
        <v>40</v>
      </c>
      <c r="G310">
        <v>45</v>
      </c>
      <c r="H310">
        <v>40</v>
      </c>
      <c r="I310">
        <v>65</v>
      </c>
      <c r="J310">
        <v>40</v>
      </c>
      <c r="K310">
        <v>65</v>
      </c>
      <c r="L310">
        <v>3</v>
      </c>
      <c r="M310" t="b">
        <v>0</v>
      </c>
    </row>
    <row r="311" spans="1:13">
      <c r="A311">
        <v>310</v>
      </c>
      <c r="B311" t="s">
        <v>337</v>
      </c>
      <c r="C311" t="s">
        <v>46</v>
      </c>
      <c r="E311">
        <v>475</v>
      </c>
      <c r="F311">
        <v>70</v>
      </c>
      <c r="G311">
        <v>75</v>
      </c>
      <c r="H311">
        <v>60</v>
      </c>
      <c r="I311">
        <v>105</v>
      </c>
      <c r="J311">
        <v>60</v>
      </c>
      <c r="K311">
        <v>105</v>
      </c>
      <c r="L311">
        <v>3</v>
      </c>
      <c r="M311" t="b">
        <v>0</v>
      </c>
    </row>
    <row r="312" spans="1:13">
      <c r="A312">
        <v>311</v>
      </c>
      <c r="B312" t="s">
        <v>338</v>
      </c>
      <c r="C312" t="s">
        <v>46</v>
      </c>
      <c r="E312">
        <v>405</v>
      </c>
      <c r="F312">
        <v>60</v>
      </c>
      <c r="G312">
        <v>50</v>
      </c>
      <c r="H312">
        <v>40</v>
      </c>
      <c r="I312">
        <v>85</v>
      </c>
      <c r="J312">
        <v>75</v>
      </c>
      <c r="K312">
        <v>95</v>
      </c>
      <c r="L312">
        <v>3</v>
      </c>
      <c r="M312" t="b">
        <v>0</v>
      </c>
    </row>
    <row r="313" spans="1:13">
      <c r="A313">
        <v>312</v>
      </c>
      <c r="B313" t="s">
        <v>339</v>
      </c>
      <c r="C313" t="s">
        <v>46</v>
      </c>
      <c r="E313">
        <v>405</v>
      </c>
      <c r="F313">
        <v>60</v>
      </c>
      <c r="G313">
        <v>40</v>
      </c>
      <c r="H313">
        <v>50</v>
      </c>
      <c r="I313">
        <v>75</v>
      </c>
      <c r="J313">
        <v>85</v>
      </c>
      <c r="K313">
        <v>95</v>
      </c>
      <c r="L313">
        <v>3</v>
      </c>
      <c r="M313" t="b">
        <v>0</v>
      </c>
    </row>
    <row r="314" spans="1:13">
      <c r="A314">
        <v>313</v>
      </c>
      <c r="B314" t="s">
        <v>340</v>
      </c>
      <c r="C314" t="s">
        <v>29</v>
      </c>
      <c r="E314">
        <v>400</v>
      </c>
      <c r="F314">
        <v>65</v>
      </c>
      <c r="G314">
        <v>73</v>
      </c>
      <c r="H314">
        <v>55</v>
      </c>
      <c r="I314">
        <v>47</v>
      </c>
      <c r="J314">
        <v>75</v>
      </c>
      <c r="K314">
        <v>85</v>
      </c>
      <c r="L314">
        <v>3</v>
      </c>
      <c r="M314" t="b">
        <v>0</v>
      </c>
    </row>
    <row r="315" spans="1:13">
      <c r="A315">
        <v>314</v>
      </c>
      <c r="B315" t="s">
        <v>341</v>
      </c>
      <c r="C315" t="s">
        <v>29</v>
      </c>
      <c r="E315">
        <v>400</v>
      </c>
      <c r="F315">
        <v>65</v>
      </c>
      <c r="G315">
        <v>47</v>
      </c>
      <c r="H315">
        <v>55</v>
      </c>
      <c r="I315">
        <v>73</v>
      </c>
      <c r="J315">
        <v>75</v>
      </c>
      <c r="K315">
        <v>85</v>
      </c>
      <c r="L315">
        <v>3</v>
      </c>
      <c r="M315" t="b">
        <v>0</v>
      </c>
    </row>
    <row r="316" spans="1:13">
      <c r="A316">
        <v>315</v>
      </c>
      <c r="B316" t="s">
        <v>342</v>
      </c>
      <c r="C316" t="s">
        <v>14</v>
      </c>
      <c r="D316" t="s">
        <v>15</v>
      </c>
      <c r="E316">
        <v>400</v>
      </c>
      <c r="F316">
        <v>50</v>
      </c>
      <c r="G316">
        <v>60</v>
      </c>
      <c r="H316">
        <v>45</v>
      </c>
      <c r="I316">
        <v>100</v>
      </c>
      <c r="J316">
        <v>80</v>
      </c>
      <c r="K316">
        <v>65</v>
      </c>
      <c r="L316">
        <v>3</v>
      </c>
      <c r="M316" t="b">
        <v>0</v>
      </c>
    </row>
    <row r="317" spans="1:13">
      <c r="A317">
        <v>316</v>
      </c>
      <c r="B317" t="s">
        <v>343</v>
      </c>
      <c r="C317" t="s">
        <v>15</v>
      </c>
      <c r="E317">
        <v>302</v>
      </c>
      <c r="F317">
        <v>70</v>
      </c>
      <c r="G317">
        <v>43</v>
      </c>
      <c r="H317">
        <v>53</v>
      </c>
      <c r="I317">
        <v>43</v>
      </c>
      <c r="J317">
        <v>53</v>
      </c>
      <c r="K317">
        <v>40</v>
      </c>
      <c r="L317">
        <v>3</v>
      </c>
      <c r="M317" t="b">
        <v>0</v>
      </c>
    </row>
    <row r="318" spans="1:13">
      <c r="A318">
        <v>317</v>
      </c>
      <c r="B318" t="s">
        <v>344</v>
      </c>
      <c r="C318" t="s">
        <v>15</v>
      </c>
      <c r="E318">
        <v>467</v>
      </c>
      <c r="F318">
        <v>100</v>
      </c>
      <c r="G318">
        <v>73</v>
      </c>
      <c r="H318">
        <v>83</v>
      </c>
      <c r="I318">
        <v>73</v>
      </c>
      <c r="J318">
        <v>83</v>
      </c>
      <c r="K318">
        <v>55</v>
      </c>
      <c r="L318">
        <v>3</v>
      </c>
      <c r="M318" t="b">
        <v>0</v>
      </c>
    </row>
    <row r="319" spans="1:13">
      <c r="A319">
        <v>318</v>
      </c>
      <c r="B319" t="s">
        <v>345</v>
      </c>
      <c r="C319" t="s">
        <v>25</v>
      </c>
      <c r="D319" t="s">
        <v>158</v>
      </c>
      <c r="E319">
        <v>305</v>
      </c>
      <c r="F319">
        <v>45</v>
      </c>
      <c r="G319">
        <v>90</v>
      </c>
      <c r="H319">
        <v>20</v>
      </c>
      <c r="I319">
        <v>65</v>
      </c>
      <c r="J319">
        <v>20</v>
      </c>
      <c r="K319">
        <v>65</v>
      </c>
      <c r="L319">
        <v>3</v>
      </c>
      <c r="M319" t="b">
        <v>0</v>
      </c>
    </row>
    <row r="320" spans="1:13">
      <c r="A320">
        <v>319</v>
      </c>
      <c r="B320" t="s">
        <v>346</v>
      </c>
      <c r="C320" t="s">
        <v>25</v>
      </c>
      <c r="D320" t="s">
        <v>158</v>
      </c>
      <c r="E320">
        <v>460</v>
      </c>
      <c r="F320">
        <v>70</v>
      </c>
      <c r="G320">
        <v>120</v>
      </c>
      <c r="H320">
        <v>40</v>
      </c>
      <c r="I320">
        <v>95</v>
      </c>
      <c r="J320">
        <v>40</v>
      </c>
      <c r="K320">
        <v>95</v>
      </c>
      <c r="L320">
        <v>3</v>
      </c>
      <c r="M320" t="b">
        <v>0</v>
      </c>
    </row>
    <row r="321" spans="1:13">
      <c r="A321">
        <v>320</v>
      </c>
      <c r="B321" t="s">
        <v>347</v>
      </c>
      <c r="C321" t="s">
        <v>25</v>
      </c>
      <c r="E321">
        <v>400</v>
      </c>
      <c r="F321">
        <v>130</v>
      </c>
      <c r="G321">
        <v>70</v>
      </c>
      <c r="H321">
        <v>35</v>
      </c>
      <c r="I321">
        <v>70</v>
      </c>
      <c r="J321">
        <v>35</v>
      </c>
      <c r="K321">
        <v>60</v>
      </c>
      <c r="L321">
        <v>3</v>
      </c>
      <c r="M321" t="b">
        <v>0</v>
      </c>
    </row>
    <row r="322" spans="1:13">
      <c r="A322">
        <v>321</v>
      </c>
      <c r="B322" t="s">
        <v>348</v>
      </c>
      <c r="C322" t="s">
        <v>25</v>
      </c>
      <c r="E322">
        <v>500</v>
      </c>
      <c r="F322">
        <v>170</v>
      </c>
      <c r="G322">
        <v>90</v>
      </c>
      <c r="H322">
        <v>45</v>
      </c>
      <c r="I322">
        <v>90</v>
      </c>
      <c r="J322">
        <v>45</v>
      </c>
      <c r="K322">
        <v>60</v>
      </c>
      <c r="L322">
        <v>3</v>
      </c>
      <c r="M322" t="b">
        <v>0</v>
      </c>
    </row>
    <row r="323" spans="1:13">
      <c r="A323">
        <v>322</v>
      </c>
      <c r="B323" t="s">
        <v>349</v>
      </c>
      <c r="C323" t="s">
        <v>19</v>
      </c>
      <c r="D323" t="s">
        <v>49</v>
      </c>
      <c r="E323">
        <v>305</v>
      </c>
      <c r="F323">
        <v>60</v>
      </c>
      <c r="G323">
        <v>60</v>
      </c>
      <c r="H323">
        <v>40</v>
      </c>
      <c r="I323">
        <v>65</v>
      </c>
      <c r="J323">
        <v>45</v>
      </c>
      <c r="K323">
        <v>35</v>
      </c>
      <c r="L323">
        <v>3</v>
      </c>
      <c r="M323" t="b">
        <v>0</v>
      </c>
    </row>
    <row r="324" spans="1:13">
      <c r="A324">
        <v>323</v>
      </c>
      <c r="B324" t="s">
        <v>350</v>
      </c>
      <c r="C324" t="s">
        <v>19</v>
      </c>
      <c r="D324" t="s">
        <v>49</v>
      </c>
      <c r="E324">
        <v>460</v>
      </c>
      <c r="F324">
        <v>70</v>
      </c>
      <c r="G324">
        <v>100</v>
      </c>
      <c r="H324">
        <v>70</v>
      </c>
      <c r="I324">
        <v>105</v>
      </c>
      <c r="J324">
        <v>75</v>
      </c>
      <c r="K324">
        <v>40</v>
      </c>
      <c r="L324">
        <v>3</v>
      </c>
      <c r="M324" t="b">
        <v>0</v>
      </c>
    </row>
    <row r="325" spans="1:13">
      <c r="A325">
        <v>324</v>
      </c>
      <c r="B325" t="s">
        <v>351</v>
      </c>
      <c r="C325" t="s">
        <v>19</v>
      </c>
      <c r="E325">
        <v>470</v>
      </c>
      <c r="F325">
        <v>70</v>
      </c>
      <c r="G325">
        <v>85</v>
      </c>
      <c r="H325">
        <v>140</v>
      </c>
      <c r="I325">
        <v>85</v>
      </c>
      <c r="J325">
        <v>70</v>
      </c>
      <c r="K325">
        <v>20</v>
      </c>
      <c r="L325">
        <v>3</v>
      </c>
      <c r="M325" t="b">
        <v>0</v>
      </c>
    </row>
    <row r="326" spans="1:13">
      <c r="A326">
        <v>325</v>
      </c>
      <c r="B326" t="s">
        <v>352</v>
      </c>
      <c r="C326" t="s">
        <v>86</v>
      </c>
      <c r="E326">
        <v>330</v>
      </c>
      <c r="F326">
        <v>60</v>
      </c>
      <c r="G326">
        <v>25</v>
      </c>
      <c r="H326">
        <v>35</v>
      </c>
      <c r="I326">
        <v>70</v>
      </c>
      <c r="J326">
        <v>80</v>
      </c>
      <c r="K326">
        <v>60</v>
      </c>
      <c r="L326">
        <v>3</v>
      </c>
      <c r="M326" t="b">
        <v>0</v>
      </c>
    </row>
    <row r="327" spans="1:13">
      <c r="A327">
        <v>326</v>
      </c>
      <c r="B327" t="s">
        <v>353</v>
      </c>
      <c r="C327" t="s">
        <v>86</v>
      </c>
      <c r="E327">
        <v>470</v>
      </c>
      <c r="F327">
        <v>80</v>
      </c>
      <c r="G327">
        <v>45</v>
      </c>
      <c r="H327">
        <v>65</v>
      </c>
      <c r="I327">
        <v>90</v>
      </c>
      <c r="J327">
        <v>110</v>
      </c>
      <c r="K327">
        <v>80</v>
      </c>
      <c r="L327">
        <v>3</v>
      </c>
      <c r="M327" t="b">
        <v>0</v>
      </c>
    </row>
    <row r="328" spans="1:13">
      <c r="A328">
        <v>327</v>
      </c>
      <c r="B328" t="s">
        <v>354</v>
      </c>
      <c r="C328" t="s">
        <v>36</v>
      </c>
      <c r="E328">
        <v>360</v>
      </c>
      <c r="F328">
        <v>60</v>
      </c>
      <c r="G328">
        <v>60</v>
      </c>
      <c r="H328">
        <v>60</v>
      </c>
      <c r="I328">
        <v>60</v>
      </c>
      <c r="J328">
        <v>60</v>
      </c>
      <c r="K328">
        <v>60</v>
      </c>
      <c r="L328">
        <v>3</v>
      </c>
      <c r="M328" t="b">
        <v>0</v>
      </c>
    </row>
    <row r="329" spans="1:13">
      <c r="A329">
        <v>328</v>
      </c>
      <c r="B329" t="s">
        <v>355</v>
      </c>
      <c r="C329" t="s">
        <v>49</v>
      </c>
      <c r="E329">
        <v>290</v>
      </c>
      <c r="F329">
        <v>45</v>
      </c>
      <c r="G329">
        <v>100</v>
      </c>
      <c r="H329">
        <v>45</v>
      </c>
      <c r="I329">
        <v>45</v>
      </c>
      <c r="J329">
        <v>45</v>
      </c>
      <c r="K329">
        <v>10</v>
      </c>
      <c r="L329">
        <v>3</v>
      </c>
      <c r="M329" t="b">
        <v>0</v>
      </c>
    </row>
    <row r="330" spans="1:13">
      <c r="A330">
        <v>329</v>
      </c>
      <c r="B330" t="s">
        <v>356</v>
      </c>
      <c r="C330" t="s">
        <v>49</v>
      </c>
      <c r="D330" t="s">
        <v>23</v>
      </c>
      <c r="E330">
        <v>340</v>
      </c>
      <c r="F330">
        <v>50</v>
      </c>
      <c r="G330">
        <v>70</v>
      </c>
      <c r="H330">
        <v>50</v>
      </c>
      <c r="I330">
        <v>50</v>
      </c>
      <c r="J330">
        <v>50</v>
      </c>
      <c r="K330">
        <v>70</v>
      </c>
      <c r="L330">
        <v>3</v>
      </c>
      <c r="M330" t="b">
        <v>0</v>
      </c>
    </row>
    <row r="331" spans="1:13">
      <c r="A331">
        <v>330</v>
      </c>
      <c r="B331" t="s">
        <v>357</v>
      </c>
      <c r="C331" t="s">
        <v>49</v>
      </c>
      <c r="D331" t="s">
        <v>23</v>
      </c>
      <c r="E331">
        <v>520</v>
      </c>
      <c r="F331">
        <v>80</v>
      </c>
      <c r="G331">
        <v>100</v>
      </c>
      <c r="H331">
        <v>80</v>
      </c>
      <c r="I331">
        <v>80</v>
      </c>
      <c r="J331">
        <v>80</v>
      </c>
      <c r="K331">
        <v>100</v>
      </c>
      <c r="L331">
        <v>3</v>
      </c>
      <c r="M331" t="b">
        <v>0</v>
      </c>
    </row>
    <row r="332" spans="1:13">
      <c r="A332">
        <v>331</v>
      </c>
      <c r="B332" t="s">
        <v>358</v>
      </c>
      <c r="C332" t="s">
        <v>14</v>
      </c>
      <c r="E332">
        <v>335</v>
      </c>
      <c r="F332">
        <v>50</v>
      </c>
      <c r="G332">
        <v>85</v>
      </c>
      <c r="H332">
        <v>40</v>
      </c>
      <c r="I332">
        <v>85</v>
      </c>
      <c r="J332">
        <v>40</v>
      </c>
      <c r="K332">
        <v>35</v>
      </c>
      <c r="L332">
        <v>3</v>
      </c>
      <c r="M332" t="b">
        <v>0</v>
      </c>
    </row>
    <row r="333" spans="1:13">
      <c r="A333">
        <v>332</v>
      </c>
      <c r="B333" t="s">
        <v>359</v>
      </c>
      <c r="C333" t="s">
        <v>14</v>
      </c>
      <c r="D333" t="s">
        <v>158</v>
      </c>
      <c r="E333">
        <v>475</v>
      </c>
      <c r="F333">
        <v>70</v>
      </c>
      <c r="G333">
        <v>115</v>
      </c>
      <c r="H333">
        <v>60</v>
      </c>
      <c r="I333">
        <v>115</v>
      </c>
      <c r="J333">
        <v>60</v>
      </c>
      <c r="K333">
        <v>55</v>
      </c>
      <c r="L333">
        <v>3</v>
      </c>
      <c r="M333" t="b">
        <v>0</v>
      </c>
    </row>
    <row r="334" spans="1:13">
      <c r="A334">
        <v>333</v>
      </c>
      <c r="B334" t="s">
        <v>360</v>
      </c>
      <c r="C334" t="s">
        <v>36</v>
      </c>
      <c r="D334" t="s">
        <v>22</v>
      </c>
      <c r="E334">
        <v>310</v>
      </c>
      <c r="F334">
        <v>45</v>
      </c>
      <c r="G334">
        <v>40</v>
      </c>
      <c r="H334">
        <v>60</v>
      </c>
      <c r="I334">
        <v>40</v>
      </c>
      <c r="J334">
        <v>75</v>
      </c>
      <c r="K334">
        <v>50</v>
      </c>
      <c r="L334">
        <v>3</v>
      </c>
      <c r="M334" t="b">
        <v>0</v>
      </c>
    </row>
    <row r="335" spans="1:13">
      <c r="A335">
        <v>334</v>
      </c>
      <c r="B335" t="s">
        <v>361</v>
      </c>
      <c r="C335" t="s">
        <v>23</v>
      </c>
      <c r="D335" t="s">
        <v>22</v>
      </c>
      <c r="E335">
        <v>490</v>
      </c>
      <c r="F335">
        <v>75</v>
      </c>
      <c r="G335">
        <v>70</v>
      </c>
      <c r="H335">
        <v>90</v>
      </c>
      <c r="I335">
        <v>70</v>
      </c>
      <c r="J335">
        <v>105</v>
      </c>
      <c r="K335">
        <v>80</v>
      </c>
      <c r="L335">
        <v>3</v>
      </c>
      <c r="M335" t="b">
        <v>0</v>
      </c>
    </row>
    <row r="336" spans="1:13">
      <c r="A336">
        <v>335</v>
      </c>
      <c r="B336" t="s">
        <v>362</v>
      </c>
      <c r="C336" t="s">
        <v>36</v>
      </c>
      <c r="E336">
        <v>458</v>
      </c>
      <c r="F336">
        <v>73</v>
      </c>
      <c r="G336">
        <v>115</v>
      </c>
      <c r="H336">
        <v>60</v>
      </c>
      <c r="I336">
        <v>60</v>
      </c>
      <c r="J336">
        <v>60</v>
      </c>
      <c r="K336">
        <v>90</v>
      </c>
      <c r="L336">
        <v>3</v>
      </c>
      <c r="M336" t="b">
        <v>0</v>
      </c>
    </row>
    <row r="337" spans="1:13">
      <c r="A337">
        <v>336</v>
      </c>
      <c r="B337" t="s">
        <v>363</v>
      </c>
      <c r="C337" t="s">
        <v>15</v>
      </c>
      <c r="E337">
        <v>458</v>
      </c>
      <c r="F337">
        <v>73</v>
      </c>
      <c r="G337">
        <v>100</v>
      </c>
      <c r="H337">
        <v>60</v>
      </c>
      <c r="I337">
        <v>100</v>
      </c>
      <c r="J337">
        <v>60</v>
      </c>
      <c r="K337">
        <v>65</v>
      </c>
      <c r="L337">
        <v>3</v>
      </c>
      <c r="M337" t="b">
        <v>0</v>
      </c>
    </row>
    <row r="338" spans="1:13">
      <c r="A338">
        <v>337</v>
      </c>
      <c r="B338" t="s">
        <v>364</v>
      </c>
      <c r="C338" t="s">
        <v>98</v>
      </c>
      <c r="D338" t="s">
        <v>86</v>
      </c>
      <c r="E338">
        <v>440</v>
      </c>
      <c r="F338">
        <v>70</v>
      </c>
      <c r="G338">
        <v>55</v>
      </c>
      <c r="H338">
        <v>65</v>
      </c>
      <c r="I338">
        <v>95</v>
      </c>
      <c r="J338">
        <v>85</v>
      </c>
      <c r="K338">
        <v>70</v>
      </c>
      <c r="L338">
        <v>3</v>
      </c>
      <c r="M338" t="b">
        <v>0</v>
      </c>
    </row>
    <row r="339" spans="1:13">
      <c r="A339">
        <v>338</v>
      </c>
      <c r="B339" t="s">
        <v>365</v>
      </c>
      <c r="C339" t="s">
        <v>98</v>
      </c>
      <c r="D339" t="s">
        <v>86</v>
      </c>
      <c r="E339">
        <v>440</v>
      </c>
      <c r="F339">
        <v>70</v>
      </c>
      <c r="G339">
        <v>95</v>
      </c>
      <c r="H339">
        <v>85</v>
      </c>
      <c r="I339">
        <v>55</v>
      </c>
      <c r="J339">
        <v>65</v>
      </c>
      <c r="K339">
        <v>70</v>
      </c>
      <c r="L339">
        <v>3</v>
      </c>
      <c r="M339" t="b">
        <v>0</v>
      </c>
    </row>
    <row r="340" spans="1:13">
      <c r="A340">
        <v>339</v>
      </c>
      <c r="B340" t="s">
        <v>366</v>
      </c>
      <c r="C340" t="s">
        <v>25</v>
      </c>
      <c r="D340" t="s">
        <v>49</v>
      </c>
      <c r="E340">
        <v>288</v>
      </c>
      <c r="F340">
        <v>50</v>
      </c>
      <c r="G340">
        <v>48</v>
      </c>
      <c r="H340">
        <v>43</v>
      </c>
      <c r="I340">
        <v>46</v>
      </c>
      <c r="J340">
        <v>41</v>
      </c>
      <c r="K340">
        <v>60</v>
      </c>
      <c r="L340">
        <v>3</v>
      </c>
      <c r="M340" t="b">
        <v>0</v>
      </c>
    </row>
    <row r="341" spans="1:13">
      <c r="A341">
        <v>340</v>
      </c>
      <c r="B341" t="s">
        <v>367</v>
      </c>
      <c r="C341" t="s">
        <v>25</v>
      </c>
      <c r="D341" t="s">
        <v>49</v>
      </c>
      <c r="E341">
        <v>468</v>
      </c>
      <c r="F341">
        <v>110</v>
      </c>
      <c r="G341">
        <v>78</v>
      </c>
      <c r="H341">
        <v>73</v>
      </c>
      <c r="I341">
        <v>76</v>
      </c>
      <c r="J341">
        <v>71</v>
      </c>
      <c r="K341">
        <v>60</v>
      </c>
      <c r="L341">
        <v>3</v>
      </c>
      <c r="M341" t="b">
        <v>0</v>
      </c>
    </row>
    <row r="342" spans="1:13">
      <c r="A342">
        <v>341</v>
      </c>
      <c r="B342" t="s">
        <v>368</v>
      </c>
      <c r="C342" t="s">
        <v>25</v>
      </c>
      <c r="E342">
        <v>308</v>
      </c>
      <c r="F342">
        <v>43</v>
      </c>
      <c r="G342">
        <v>80</v>
      </c>
      <c r="H342">
        <v>65</v>
      </c>
      <c r="I342">
        <v>50</v>
      </c>
      <c r="J342">
        <v>35</v>
      </c>
      <c r="K342">
        <v>35</v>
      </c>
      <c r="L342">
        <v>3</v>
      </c>
      <c r="M342" t="b">
        <v>0</v>
      </c>
    </row>
    <row r="343" spans="1:13">
      <c r="A343">
        <v>342</v>
      </c>
      <c r="B343" t="s">
        <v>369</v>
      </c>
      <c r="C343" t="s">
        <v>25</v>
      </c>
      <c r="D343" t="s">
        <v>158</v>
      </c>
      <c r="E343">
        <v>468</v>
      </c>
      <c r="F343">
        <v>63</v>
      </c>
      <c r="G343">
        <v>120</v>
      </c>
      <c r="H343">
        <v>85</v>
      </c>
      <c r="I343">
        <v>90</v>
      </c>
      <c r="J343">
        <v>55</v>
      </c>
      <c r="K343">
        <v>55</v>
      </c>
      <c r="L343">
        <v>3</v>
      </c>
      <c r="M343" t="b">
        <v>0</v>
      </c>
    </row>
    <row r="344" spans="1:13">
      <c r="A344">
        <v>343</v>
      </c>
      <c r="B344" t="s">
        <v>370</v>
      </c>
      <c r="C344" t="s">
        <v>49</v>
      </c>
      <c r="D344" t="s">
        <v>86</v>
      </c>
      <c r="E344">
        <v>300</v>
      </c>
      <c r="F344">
        <v>40</v>
      </c>
      <c r="G344">
        <v>40</v>
      </c>
      <c r="H344">
        <v>55</v>
      </c>
      <c r="I344">
        <v>40</v>
      </c>
      <c r="J344">
        <v>70</v>
      </c>
      <c r="K344">
        <v>55</v>
      </c>
      <c r="L344">
        <v>3</v>
      </c>
      <c r="M344" t="b">
        <v>0</v>
      </c>
    </row>
    <row r="345" spans="1:13">
      <c r="A345">
        <v>344</v>
      </c>
      <c r="B345" t="s">
        <v>371</v>
      </c>
      <c r="C345" t="s">
        <v>49</v>
      </c>
      <c r="D345" t="s">
        <v>86</v>
      </c>
      <c r="E345">
        <v>500</v>
      </c>
      <c r="F345">
        <v>60</v>
      </c>
      <c r="G345">
        <v>70</v>
      </c>
      <c r="H345">
        <v>105</v>
      </c>
      <c r="I345">
        <v>70</v>
      </c>
      <c r="J345">
        <v>120</v>
      </c>
      <c r="K345">
        <v>75</v>
      </c>
      <c r="L345">
        <v>3</v>
      </c>
      <c r="M345" t="b">
        <v>0</v>
      </c>
    </row>
    <row r="346" spans="1:13">
      <c r="A346">
        <v>345</v>
      </c>
      <c r="B346" t="s">
        <v>372</v>
      </c>
      <c r="C346" t="s">
        <v>98</v>
      </c>
      <c r="D346" t="s">
        <v>14</v>
      </c>
      <c r="E346">
        <v>355</v>
      </c>
      <c r="F346">
        <v>66</v>
      </c>
      <c r="G346">
        <v>41</v>
      </c>
      <c r="H346">
        <v>77</v>
      </c>
      <c r="I346">
        <v>61</v>
      </c>
      <c r="J346">
        <v>87</v>
      </c>
      <c r="K346">
        <v>23</v>
      </c>
      <c r="L346">
        <v>3</v>
      </c>
      <c r="M346" t="b">
        <v>0</v>
      </c>
    </row>
    <row r="347" spans="1:13">
      <c r="A347">
        <v>346</v>
      </c>
      <c r="B347" t="s">
        <v>373</v>
      </c>
      <c r="C347" t="s">
        <v>98</v>
      </c>
      <c r="D347" t="s">
        <v>14</v>
      </c>
      <c r="E347">
        <v>495</v>
      </c>
      <c r="F347">
        <v>86</v>
      </c>
      <c r="G347">
        <v>81</v>
      </c>
      <c r="H347">
        <v>97</v>
      </c>
      <c r="I347">
        <v>81</v>
      </c>
      <c r="J347">
        <v>107</v>
      </c>
      <c r="K347">
        <v>43</v>
      </c>
      <c r="L347">
        <v>3</v>
      </c>
      <c r="M347" t="b">
        <v>0</v>
      </c>
    </row>
    <row r="348" spans="1:13">
      <c r="A348">
        <v>347</v>
      </c>
      <c r="B348" t="s">
        <v>374</v>
      </c>
      <c r="C348" t="s">
        <v>98</v>
      </c>
      <c r="D348" t="s">
        <v>29</v>
      </c>
      <c r="E348">
        <v>355</v>
      </c>
      <c r="F348">
        <v>45</v>
      </c>
      <c r="G348">
        <v>95</v>
      </c>
      <c r="H348">
        <v>50</v>
      </c>
      <c r="I348">
        <v>40</v>
      </c>
      <c r="J348">
        <v>50</v>
      </c>
      <c r="K348">
        <v>75</v>
      </c>
      <c r="L348">
        <v>3</v>
      </c>
      <c r="M348" t="b">
        <v>0</v>
      </c>
    </row>
    <row r="349" spans="1:13">
      <c r="A349">
        <v>348</v>
      </c>
      <c r="B349" t="s">
        <v>375</v>
      </c>
      <c r="C349" t="s">
        <v>98</v>
      </c>
      <c r="D349" t="s">
        <v>29</v>
      </c>
      <c r="E349">
        <v>495</v>
      </c>
      <c r="F349">
        <v>75</v>
      </c>
      <c r="G349">
        <v>125</v>
      </c>
      <c r="H349">
        <v>100</v>
      </c>
      <c r="I349">
        <v>70</v>
      </c>
      <c r="J349">
        <v>80</v>
      </c>
      <c r="K349">
        <v>45</v>
      </c>
      <c r="L349">
        <v>3</v>
      </c>
      <c r="M349" t="b">
        <v>0</v>
      </c>
    </row>
    <row r="350" spans="1:13">
      <c r="A350">
        <v>349</v>
      </c>
      <c r="B350" t="s">
        <v>376</v>
      </c>
      <c r="C350" t="s">
        <v>25</v>
      </c>
      <c r="E350">
        <v>200</v>
      </c>
      <c r="F350">
        <v>20</v>
      </c>
      <c r="G350">
        <v>15</v>
      </c>
      <c r="H350">
        <v>20</v>
      </c>
      <c r="I350">
        <v>10</v>
      </c>
      <c r="J350">
        <v>55</v>
      </c>
      <c r="K350">
        <v>80</v>
      </c>
      <c r="L350">
        <v>3</v>
      </c>
      <c r="M350" t="b">
        <v>0</v>
      </c>
    </row>
    <row r="351" spans="1:13">
      <c r="A351">
        <v>350</v>
      </c>
      <c r="B351" t="s">
        <v>377</v>
      </c>
      <c r="C351" t="s">
        <v>25</v>
      </c>
      <c r="E351">
        <v>540</v>
      </c>
      <c r="F351">
        <v>95</v>
      </c>
      <c r="G351">
        <v>60</v>
      </c>
      <c r="H351">
        <v>79</v>
      </c>
      <c r="I351">
        <v>100</v>
      </c>
      <c r="J351">
        <v>125</v>
      </c>
      <c r="K351">
        <v>81</v>
      </c>
      <c r="L351">
        <v>3</v>
      </c>
      <c r="M351" t="b">
        <v>0</v>
      </c>
    </row>
    <row r="352" spans="1:13">
      <c r="A352">
        <v>351</v>
      </c>
      <c r="B352" t="s">
        <v>378</v>
      </c>
      <c r="C352" t="s">
        <v>36</v>
      </c>
      <c r="E352">
        <v>420</v>
      </c>
      <c r="F352">
        <v>70</v>
      </c>
      <c r="G352">
        <v>70</v>
      </c>
      <c r="H352">
        <v>70</v>
      </c>
      <c r="I352">
        <v>70</v>
      </c>
      <c r="J352">
        <v>70</v>
      </c>
      <c r="K352">
        <v>70</v>
      </c>
      <c r="L352">
        <v>3</v>
      </c>
      <c r="M352" t="b">
        <v>0</v>
      </c>
    </row>
    <row r="353" spans="1:13">
      <c r="A353">
        <v>352</v>
      </c>
      <c r="B353" t="s">
        <v>379</v>
      </c>
      <c r="C353" t="s">
        <v>36</v>
      </c>
      <c r="E353">
        <v>440</v>
      </c>
      <c r="F353">
        <v>60</v>
      </c>
      <c r="G353">
        <v>90</v>
      </c>
      <c r="H353">
        <v>70</v>
      </c>
      <c r="I353">
        <v>60</v>
      </c>
      <c r="J353">
        <v>120</v>
      </c>
      <c r="K353">
        <v>40</v>
      </c>
      <c r="L353">
        <v>3</v>
      </c>
      <c r="M353" t="b">
        <v>0</v>
      </c>
    </row>
    <row r="354" spans="1:13">
      <c r="A354">
        <v>353</v>
      </c>
      <c r="B354" t="s">
        <v>380</v>
      </c>
      <c r="C354" t="s">
        <v>119</v>
      </c>
      <c r="E354">
        <v>295</v>
      </c>
      <c r="F354">
        <v>44</v>
      </c>
      <c r="G354">
        <v>75</v>
      </c>
      <c r="H354">
        <v>35</v>
      </c>
      <c r="I354">
        <v>63</v>
      </c>
      <c r="J354">
        <v>33</v>
      </c>
      <c r="K354">
        <v>45</v>
      </c>
      <c r="L354">
        <v>3</v>
      </c>
      <c r="M354" t="b">
        <v>0</v>
      </c>
    </row>
    <row r="355" spans="1:13">
      <c r="A355">
        <v>354</v>
      </c>
      <c r="B355" t="s">
        <v>381</v>
      </c>
      <c r="C355" t="s">
        <v>119</v>
      </c>
      <c r="E355">
        <v>455</v>
      </c>
      <c r="F355">
        <v>64</v>
      </c>
      <c r="G355">
        <v>115</v>
      </c>
      <c r="H355">
        <v>65</v>
      </c>
      <c r="I355">
        <v>83</v>
      </c>
      <c r="J355">
        <v>63</v>
      </c>
      <c r="K355">
        <v>65</v>
      </c>
      <c r="L355">
        <v>3</v>
      </c>
      <c r="M355" t="b">
        <v>0</v>
      </c>
    </row>
    <row r="356" spans="1:13">
      <c r="A356">
        <v>355</v>
      </c>
      <c r="B356" t="s">
        <v>382</v>
      </c>
      <c r="C356" t="s">
        <v>119</v>
      </c>
      <c r="E356">
        <v>295</v>
      </c>
      <c r="F356">
        <v>20</v>
      </c>
      <c r="G356">
        <v>40</v>
      </c>
      <c r="H356">
        <v>90</v>
      </c>
      <c r="I356">
        <v>30</v>
      </c>
      <c r="J356">
        <v>90</v>
      </c>
      <c r="K356">
        <v>25</v>
      </c>
      <c r="L356">
        <v>3</v>
      </c>
      <c r="M356" t="b">
        <v>0</v>
      </c>
    </row>
    <row r="357" spans="1:13">
      <c r="A357">
        <v>356</v>
      </c>
      <c r="B357" t="s">
        <v>383</v>
      </c>
      <c r="C357" t="s">
        <v>119</v>
      </c>
      <c r="E357">
        <v>455</v>
      </c>
      <c r="F357">
        <v>40</v>
      </c>
      <c r="G357">
        <v>70</v>
      </c>
      <c r="H357">
        <v>130</v>
      </c>
      <c r="I357">
        <v>60</v>
      </c>
      <c r="J357">
        <v>130</v>
      </c>
      <c r="K357">
        <v>25</v>
      </c>
      <c r="L357">
        <v>3</v>
      </c>
      <c r="M357" t="b">
        <v>0</v>
      </c>
    </row>
    <row r="358" spans="1:13">
      <c r="A358">
        <v>357</v>
      </c>
      <c r="B358" t="s">
        <v>384</v>
      </c>
      <c r="C358" t="s">
        <v>14</v>
      </c>
      <c r="D358" t="s">
        <v>22</v>
      </c>
      <c r="E358">
        <v>460</v>
      </c>
      <c r="F358">
        <v>99</v>
      </c>
      <c r="G358">
        <v>68</v>
      </c>
      <c r="H358">
        <v>83</v>
      </c>
      <c r="I358">
        <v>72</v>
      </c>
      <c r="J358">
        <v>87</v>
      </c>
      <c r="K358">
        <v>51</v>
      </c>
      <c r="L358">
        <v>3</v>
      </c>
      <c r="M358" t="b">
        <v>0</v>
      </c>
    </row>
    <row r="359" spans="1:13">
      <c r="A359">
        <v>358</v>
      </c>
      <c r="B359" t="s">
        <v>385</v>
      </c>
      <c r="C359" t="s">
        <v>86</v>
      </c>
      <c r="E359">
        <v>425</v>
      </c>
      <c r="F359">
        <v>65</v>
      </c>
      <c r="G359">
        <v>50</v>
      </c>
      <c r="H359">
        <v>70</v>
      </c>
      <c r="I359">
        <v>95</v>
      </c>
      <c r="J359">
        <v>80</v>
      </c>
      <c r="K359">
        <v>65</v>
      </c>
      <c r="L359">
        <v>3</v>
      </c>
      <c r="M359" t="b">
        <v>0</v>
      </c>
    </row>
    <row r="360" spans="1:13">
      <c r="A360">
        <v>359</v>
      </c>
      <c r="B360" t="s">
        <v>386</v>
      </c>
      <c r="C360" t="s">
        <v>158</v>
      </c>
      <c r="E360">
        <v>465</v>
      </c>
      <c r="F360">
        <v>65</v>
      </c>
      <c r="G360">
        <v>130</v>
      </c>
      <c r="H360">
        <v>60</v>
      </c>
      <c r="I360">
        <v>75</v>
      </c>
      <c r="J360">
        <v>60</v>
      </c>
      <c r="K360">
        <v>75</v>
      </c>
      <c r="L360">
        <v>3</v>
      </c>
      <c r="M360" t="b">
        <v>0</v>
      </c>
    </row>
    <row r="361" spans="1:13">
      <c r="A361">
        <v>360</v>
      </c>
      <c r="B361" t="s">
        <v>387</v>
      </c>
      <c r="C361" t="s">
        <v>86</v>
      </c>
      <c r="E361">
        <v>260</v>
      </c>
      <c r="F361">
        <v>95</v>
      </c>
      <c r="G361">
        <v>23</v>
      </c>
      <c r="H361">
        <v>48</v>
      </c>
      <c r="I361">
        <v>23</v>
      </c>
      <c r="J361">
        <v>48</v>
      </c>
      <c r="K361">
        <v>23</v>
      </c>
      <c r="L361">
        <v>3</v>
      </c>
      <c r="M361" t="b">
        <v>0</v>
      </c>
    </row>
    <row r="362" spans="1:13">
      <c r="A362">
        <v>361</v>
      </c>
      <c r="B362" t="s">
        <v>388</v>
      </c>
      <c r="C362" t="s">
        <v>113</v>
      </c>
      <c r="E362">
        <v>300</v>
      </c>
      <c r="F362">
        <v>50</v>
      </c>
      <c r="G362">
        <v>50</v>
      </c>
      <c r="H362">
        <v>50</v>
      </c>
      <c r="I362">
        <v>50</v>
      </c>
      <c r="J362">
        <v>50</v>
      </c>
      <c r="K362">
        <v>50</v>
      </c>
      <c r="L362">
        <v>3</v>
      </c>
      <c r="M362" t="b">
        <v>0</v>
      </c>
    </row>
    <row r="363" spans="1:13">
      <c r="A363">
        <v>362</v>
      </c>
      <c r="B363" t="s">
        <v>389</v>
      </c>
      <c r="C363" t="s">
        <v>113</v>
      </c>
      <c r="E363">
        <v>480</v>
      </c>
      <c r="F363">
        <v>80</v>
      </c>
      <c r="G363">
        <v>80</v>
      </c>
      <c r="H363">
        <v>80</v>
      </c>
      <c r="I363">
        <v>80</v>
      </c>
      <c r="J363">
        <v>80</v>
      </c>
      <c r="K363">
        <v>80</v>
      </c>
      <c r="L363">
        <v>3</v>
      </c>
      <c r="M363" t="b">
        <v>0</v>
      </c>
    </row>
    <row r="364" spans="1:13">
      <c r="A364">
        <v>363</v>
      </c>
      <c r="B364" t="s">
        <v>390</v>
      </c>
      <c r="C364" t="s">
        <v>113</v>
      </c>
      <c r="D364" t="s">
        <v>25</v>
      </c>
      <c r="E364">
        <v>290</v>
      </c>
      <c r="F364">
        <v>70</v>
      </c>
      <c r="G364">
        <v>40</v>
      </c>
      <c r="H364">
        <v>50</v>
      </c>
      <c r="I364">
        <v>55</v>
      </c>
      <c r="J364">
        <v>50</v>
      </c>
      <c r="K364">
        <v>25</v>
      </c>
      <c r="L364">
        <v>3</v>
      </c>
      <c r="M364" t="b">
        <v>0</v>
      </c>
    </row>
    <row r="365" spans="1:13">
      <c r="A365">
        <v>364</v>
      </c>
      <c r="B365" t="s">
        <v>391</v>
      </c>
      <c r="C365" t="s">
        <v>113</v>
      </c>
      <c r="D365" t="s">
        <v>25</v>
      </c>
      <c r="E365">
        <v>410</v>
      </c>
      <c r="F365">
        <v>90</v>
      </c>
      <c r="G365">
        <v>60</v>
      </c>
      <c r="H365">
        <v>70</v>
      </c>
      <c r="I365">
        <v>75</v>
      </c>
      <c r="J365">
        <v>70</v>
      </c>
      <c r="K365">
        <v>45</v>
      </c>
      <c r="L365">
        <v>3</v>
      </c>
      <c r="M365" t="b">
        <v>0</v>
      </c>
    </row>
    <row r="366" spans="1:13">
      <c r="A366">
        <v>365</v>
      </c>
      <c r="B366" t="s">
        <v>392</v>
      </c>
      <c r="C366" t="s">
        <v>113</v>
      </c>
      <c r="D366" t="s">
        <v>25</v>
      </c>
      <c r="E366">
        <v>530</v>
      </c>
      <c r="F366">
        <v>110</v>
      </c>
      <c r="G366">
        <v>80</v>
      </c>
      <c r="H366">
        <v>90</v>
      </c>
      <c r="I366">
        <v>95</v>
      </c>
      <c r="J366">
        <v>90</v>
      </c>
      <c r="K366">
        <v>65</v>
      </c>
      <c r="L366">
        <v>3</v>
      </c>
      <c r="M366" t="b">
        <v>0</v>
      </c>
    </row>
    <row r="367" spans="1:13">
      <c r="A367">
        <v>366</v>
      </c>
      <c r="B367" t="s">
        <v>393</v>
      </c>
      <c r="C367" t="s">
        <v>25</v>
      </c>
      <c r="E367">
        <v>345</v>
      </c>
      <c r="F367">
        <v>35</v>
      </c>
      <c r="G367">
        <v>64</v>
      </c>
      <c r="H367">
        <v>85</v>
      </c>
      <c r="I367">
        <v>74</v>
      </c>
      <c r="J367">
        <v>55</v>
      </c>
      <c r="K367">
        <v>32</v>
      </c>
      <c r="L367">
        <v>3</v>
      </c>
      <c r="M367" t="b">
        <v>0</v>
      </c>
    </row>
    <row r="368" spans="1:13">
      <c r="A368">
        <v>367</v>
      </c>
      <c r="B368" t="s">
        <v>394</v>
      </c>
      <c r="C368" t="s">
        <v>25</v>
      </c>
      <c r="E368">
        <v>485</v>
      </c>
      <c r="F368">
        <v>55</v>
      </c>
      <c r="G368">
        <v>104</v>
      </c>
      <c r="H368">
        <v>105</v>
      </c>
      <c r="I368">
        <v>94</v>
      </c>
      <c r="J368">
        <v>75</v>
      </c>
      <c r="K368">
        <v>52</v>
      </c>
      <c r="L368">
        <v>3</v>
      </c>
      <c r="M368" t="b">
        <v>0</v>
      </c>
    </row>
    <row r="369" spans="1:13">
      <c r="A369">
        <v>368</v>
      </c>
      <c r="B369" t="s">
        <v>395</v>
      </c>
      <c r="C369" t="s">
        <v>25</v>
      </c>
      <c r="E369">
        <v>485</v>
      </c>
      <c r="F369">
        <v>55</v>
      </c>
      <c r="G369">
        <v>84</v>
      </c>
      <c r="H369">
        <v>105</v>
      </c>
      <c r="I369">
        <v>114</v>
      </c>
      <c r="J369">
        <v>75</v>
      </c>
      <c r="K369">
        <v>52</v>
      </c>
      <c r="L369">
        <v>3</v>
      </c>
      <c r="M369" t="b">
        <v>0</v>
      </c>
    </row>
    <row r="370" spans="1:13">
      <c r="A370">
        <v>369</v>
      </c>
      <c r="B370" t="s">
        <v>396</v>
      </c>
      <c r="C370" t="s">
        <v>25</v>
      </c>
      <c r="D370" t="s">
        <v>98</v>
      </c>
      <c r="E370">
        <v>485</v>
      </c>
      <c r="F370">
        <v>100</v>
      </c>
      <c r="G370">
        <v>90</v>
      </c>
      <c r="H370">
        <v>130</v>
      </c>
      <c r="I370">
        <v>45</v>
      </c>
      <c r="J370">
        <v>65</v>
      </c>
      <c r="K370">
        <v>55</v>
      </c>
      <c r="L370">
        <v>3</v>
      </c>
      <c r="M370" t="b">
        <v>0</v>
      </c>
    </row>
    <row r="371" spans="1:13">
      <c r="A371">
        <v>370</v>
      </c>
      <c r="B371" t="s">
        <v>397</v>
      </c>
      <c r="C371" t="s">
        <v>25</v>
      </c>
      <c r="E371">
        <v>330</v>
      </c>
      <c r="F371">
        <v>43</v>
      </c>
      <c r="G371">
        <v>30</v>
      </c>
      <c r="H371">
        <v>55</v>
      </c>
      <c r="I371">
        <v>40</v>
      </c>
      <c r="J371">
        <v>65</v>
      </c>
      <c r="K371">
        <v>97</v>
      </c>
      <c r="L371">
        <v>3</v>
      </c>
      <c r="M371" t="b">
        <v>0</v>
      </c>
    </row>
    <row r="372" spans="1:13">
      <c r="A372">
        <v>371</v>
      </c>
      <c r="B372" t="s">
        <v>398</v>
      </c>
      <c r="C372" t="s">
        <v>23</v>
      </c>
      <c r="E372">
        <v>300</v>
      </c>
      <c r="F372">
        <v>45</v>
      </c>
      <c r="G372">
        <v>75</v>
      </c>
      <c r="H372">
        <v>60</v>
      </c>
      <c r="I372">
        <v>40</v>
      </c>
      <c r="J372">
        <v>30</v>
      </c>
      <c r="K372">
        <v>50</v>
      </c>
      <c r="L372">
        <v>3</v>
      </c>
      <c r="M372" t="b">
        <v>0</v>
      </c>
    </row>
    <row r="373" spans="1:13">
      <c r="A373">
        <v>372</v>
      </c>
      <c r="B373" t="s">
        <v>399</v>
      </c>
      <c r="C373" t="s">
        <v>23</v>
      </c>
      <c r="E373">
        <v>420</v>
      </c>
      <c r="F373">
        <v>65</v>
      </c>
      <c r="G373">
        <v>95</v>
      </c>
      <c r="H373">
        <v>100</v>
      </c>
      <c r="I373">
        <v>60</v>
      </c>
      <c r="J373">
        <v>50</v>
      </c>
      <c r="K373">
        <v>50</v>
      </c>
      <c r="L373">
        <v>3</v>
      </c>
      <c r="M373" t="b">
        <v>0</v>
      </c>
    </row>
    <row r="374" spans="1:13">
      <c r="A374">
        <v>373</v>
      </c>
      <c r="B374" t="s">
        <v>400</v>
      </c>
      <c r="C374" t="s">
        <v>23</v>
      </c>
      <c r="D374" t="s">
        <v>22</v>
      </c>
      <c r="E374">
        <v>600</v>
      </c>
      <c r="F374">
        <v>95</v>
      </c>
      <c r="G374">
        <v>135</v>
      </c>
      <c r="H374">
        <v>80</v>
      </c>
      <c r="I374">
        <v>110</v>
      </c>
      <c r="J374">
        <v>80</v>
      </c>
      <c r="K374">
        <v>100</v>
      </c>
      <c r="L374">
        <v>3</v>
      </c>
      <c r="M374" t="b">
        <v>0</v>
      </c>
    </row>
    <row r="375" spans="1:13">
      <c r="A375">
        <v>374</v>
      </c>
      <c r="B375" t="s">
        <v>401</v>
      </c>
      <c r="C375" t="s">
        <v>106</v>
      </c>
      <c r="D375" t="s">
        <v>86</v>
      </c>
      <c r="E375">
        <v>300</v>
      </c>
      <c r="F375">
        <v>40</v>
      </c>
      <c r="G375">
        <v>55</v>
      </c>
      <c r="H375">
        <v>80</v>
      </c>
      <c r="I375">
        <v>35</v>
      </c>
      <c r="J375">
        <v>60</v>
      </c>
      <c r="K375">
        <v>30</v>
      </c>
      <c r="L375">
        <v>3</v>
      </c>
      <c r="M375" t="b">
        <v>0</v>
      </c>
    </row>
    <row r="376" spans="1:13">
      <c r="A376">
        <v>375</v>
      </c>
      <c r="B376" t="s">
        <v>402</v>
      </c>
      <c r="C376" t="s">
        <v>106</v>
      </c>
      <c r="D376" t="s">
        <v>86</v>
      </c>
      <c r="E376">
        <v>420</v>
      </c>
      <c r="F376">
        <v>60</v>
      </c>
      <c r="G376">
        <v>75</v>
      </c>
      <c r="H376">
        <v>100</v>
      </c>
      <c r="I376">
        <v>55</v>
      </c>
      <c r="J376">
        <v>80</v>
      </c>
      <c r="K376">
        <v>50</v>
      </c>
      <c r="L376">
        <v>3</v>
      </c>
      <c r="M376" t="b">
        <v>0</v>
      </c>
    </row>
    <row r="377" spans="1:13">
      <c r="A377">
        <v>376</v>
      </c>
      <c r="B377" t="s">
        <v>403</v>
      </c>
      <c r="C377" t="s">
        <v>106</v>
      </c>
      <c r="D377" t="s">
        <v>86</v>
      </c>
      <c r="E377">
        <v>600</v>
      </c>
      <c r="F377">
        <v>80</v>
      </c>
      <c r="G377">
        <v>135</v>
      </c>
      <c r="H377">
        <v>130</v>
      </c>
      <c r="I377">
        <v>95</v>
      </c>
      <c r="J377">
        <v>90</v>
      </c>
      <c r="K377">
        <v>70</v>
      </c>
      <c r="L377">
        <v>3</v>
      </c>
      <c r="M377" t="b">
        <v>0</v>
      </c>
    </row>
    <row r="378" spans="1:13">
      <c r="A378">
        <v>377</v>
      </c>
      <c r="B378" t="s">
        <v>404</v>
      </c>
      <c r="C378" t="s">
        <v>98</v>
      </c>
      <c r="E378">
        <v>580</v>
      </c>
      <c r="F378">
        <v>80</v>
      </c>
      <c r="G378">
        <v>100</v>
      </c>
      <c r="H378">
        <v>200</v>
      </c>
      <c r="I378">
        <v>50</v>
      </c>
      <c r="J378">
        <v>100</v>
      </c>
      <c r="K378">
        <v>50</v>
      </c>
      <c r="L378">
        <v>3</v>
      </c>
      <c r="M378" t="b">
        <v>1</v>
      </c>
    </row>
    <row r="379" spans="1:13">
      <c r="A379">
        <v>378</v>
      </c>
      <c r="B379" t="s">
        <v>405</v>
      </c>
      <c r="C379" t="s">
        <v>113</v>
      </c>
      <c r="E379">
        <v>580</v>
      </c>
      <c r="F379">
        <v>80</v>
      </c>
      <c r="G379">
        <v>50</v>
      </c>
      <c r="H379">
        <v>100</v>
      </c>
      <c r="I379">
        <v>100</v>
      </c>
      <c r="J379">
        <v>200</v>
      </c>
      <c r="K379">
        <v>50</v>
      </c>
      <c r="L379">
        <v>3</v>
      </c>
      <c r="M379" t="b">
        <v>1</v>
      </c>
    </row>
    <row r="380" spans="1:13">
      <c r="A380">
        <v>379</v>
      </c>
      <c r="B380" t="s">
        <v>406</v>
      </c>
      <c r="C380" t="s">
        <v>106</v>
      </c>
      <c r="E380">
        <v>580</v>
      </c>
      <c r="F380">
        <v>80</v>
      </c>
      <c r="G380">
        <v>75</v>
      </c>
      <c r="H380">
        <v>150</v>
      </c>
      <c r="I380">
        <v>75</v>
      </c>
      <c r="J380">
        <v>150</v>
      </c>
      <c r="K380">
        <v>50</v>
      </c>
      <c r="L380">
        <v>3</v>
      </c>
      <c r="M380" t="b">
        <v>1</v>
      </c>
    </row>
    <row r="381" spans="1:13">
      <c r="A381">
        <v>380</v>
      </c>
      <c r="B381" t="s">
        <v>407</v>
      </c>
      <c r="C381" t="s">
        <v>23</v>
      </c>
      <c r="D381" t="s">
        <v>86</v>
      </c>
      <c r="E381">
        <v>600</v>
      </c>
      <c r="F381">
        <v>80</v>
      </c>
      <c r="G381">
        <v>80</v>
      </c>
      <c r="H381">
        <v>90</v>
      </c>
      <c r="I381">
        <v>110</v>
      </c>
      <c r="J381">
        <v>130</v>
      </c>
      <c r="K381">
        <v>110</v>
      </c>
      <c r="L381">
        <v>3</v>
      </c>
      <c r="M381" t="b">
        <v>1</v>
      </c>
    </row>
    <row r="382" spans="1:13">
      <c r="A382">
        <v>381</v>
      </c>
      <c r="B382" t="s">
        <v>408</v>
      </c>
      <c r="C382" t="s">
        <v>23</v>
      </c>
      <c r="D382" t="s">
        <v>86</v>
      </c>
      <c r="E382">
        <v>600</v>
      </c>
      <c r="F382">
        <v>80</v>
      </c>
      <c r="G382">
        <v>90</v>
      </c>
      <c r="H382">
        <v>80</v>
      </c>
      <c r="I382">
        <v>130</v>
      </c>
      <c r="J382">
        <v>110</v>
      </c>
      <c r="K382">
        <v>110</v>
      </c>
      <c r="L382">
        <v>3</v>
      </c>
      <c r="M382" t="b">
        <v>1</v>
      </c>
    </row>
    <row r="383" spans="1:13">
      <c r="A383">
        <v>382</v>
      </c>
      <c r="B383" t="s">
        <v>409</v>
      </c>
      <c r="C383" t="s">
        <v>25</v>
      </c>
      <c r="E383">
        <v>670</v>
      </c>
      <c r="F383">
        <v>100</v>
      </c>
      <c r="G383">
        <v>100</v>
      </c>
      <c r="H383">
        <v>90</v>
      </c>
      <c r="I383">
        <v>150</v>
      </c>
      <c r="J383">
        <v>140</v>
      </c>
      <c r="K383">
        <v>90</v>
      </c>
      <c r="L383">
        <v>3</v>
      </c>
      <c r="M383" t="b">
        <v>1</v>
      </c>
    </row>
    <row r="384" spans="1:13">
      <c r="A384">
        <v>382</v>
      </c>
      <c r="B384" t="s">
        <v>410</v>
      </c>
      <c r="C384" t="s">
        <v>25</v>
      </c>
      <c r="E384">
        <v>770</v>
      </c>
      <c r="F384">
        <v>100</v>
      </c>
      <c r="G384">
        <v>150</v>
      </c>
      <c r="H384">
        <v>90</v>
      </c>
      <c r="I384">
        <v>180</v>
      </c>
      <c r="J384">
        <v>160</v>
      </c>
      <c r="K384">
        <v>90</v>
      </c>
      <c r="L384">
        <v>3</v>
      </c>
      <c r="M384" t="b">
        <v>1</v>
      </c>
    </row>
    <row r="385" spans="1:13">
      <c r="A385">
        <v>383</v>
      </c>
      <c r="B385" t="s">
        <v>411</v>
      </c>
      <c r="C385" t="s">
        <v>49</v>
      </c>
      <c r="E385">
        <v>670</v>
      </c>
      <c r="F385">
        <v>100</v>
      </c>
      <c r="G385">
        <v>150</v>
      </c>
      <c r="H385">
        <v>140</v>
      </c>
      <c r="I385">
        <v>100</v>
      </c>
      <c r="J385">
        <v>90</v>
      </c>
      <c r="K385">
        <v>90</v>
      </c>
      <c r="L385">
        <v>3</v>
      </c>
      <c r="M385" t="b">
        <v>1</v>
      </c>
    </row>
    <row r="386" spans="1:13">
      <c r="A386">
        <v>383</v>
      </c>
      <c r="B386" t="s">
        <v>412</v>
      </c>
      <c r="C386" t="s">
        <v>49</v>
      </c>
      <c r="D386" t="s">
        <v>19</v>
      </c>
      <c r="E386">
        <v>770</v>
      </c>
      <c r="F386">
        <v>100</v>
      </c>
      <c r="G386">
        <v>180</v>
      </c>
      <c r="H386">
        <v>160</v>
      </c>
      <c r="I386">
        <v>150</v>
      </c>
      <c r="J386">
        <v>90</v>
      </c>
      <c r="K386">
        <v>90</v>
      </c>
      <c r="L386">
        <v>3</v>
      </c>
      <c r="M386" t="b">
        <v>1</v>
      </c>
    </row>
    <row r="387" spans="1:13">
      <c r="A387">
        <v>384</v>
      </c>
      <c r="B387" t="s">
        <v>413</v>
      </c>
      <c r="C387" t="s">
        <v>23</v>
      </c>
      <c r="D387" t="s">
        <v>22</v>
      </c>
      <c r="E387">
        <v>680</v>
      </c>
      <c r="F387">
        <v>105</v>
      </c>
      <c r="G387">
        <v>150</v>
      </c>
      <c r="H387">
        <v>90</v>
      </c>
      <c r="I387">
        <v>150</v>
      </c>
      <c r="J387">
        <v>90</v>
      </c>
      <c r="K387">
        <v>95</v>
      </c>
      <c r="L387">
        <v>3</v>
      </c>
      <c r="M387" t="b">
        <v>1</v>
      </c>
    </row>
    <row r="388" spans="1:13">
      <c r="A388">
        <v>385</v>
      </c>
      <c r="B388" t="s">
        <v>414</v>
      </c>
      <c r="C388" t="s">
        <v>106</v>
      </c>
      <c r="D388" t="s">
        <v>86</v>
      </c>
      <c r="E388">
        <v>600</v>
      </c>
      <c r="F388">
        <v>100</v>
      </c>
      <c r="G388">
        <v>100</v>
      </c>
      <c r="H388">
        <v>100</v>
      </c>
      <c r="I388">
        <v>100</v>
      </c>
      <c r="J388">
        <v>100</v>
      </c>
      <c r="K388">
        <v>100</v>
      </c>
      <c r="L388">
        <v>3</v>
      </c>
      <c r="M388" t="b">
        <v>1</v>
      </c>
    </row>
    <row r="389" spans="1:13">
      <c r="A389">
        <v>386</v>
      </c>
      <c r="B389" t="s">
        <v>415</v>
      </c>
      <c r="C389" t="s">
        <v>86</v>
      </c>
      <c r="E389">
        <v>600</v>
      </c>
      <c r="F389">
        <v>50</v>
      </c>
      <c r="G389">
        <v>150</v>
      </c>
      <c r="H389">
        <v>50</v>
      </c>
      <c r="I389">
        <v>150</v>
      </c>
      <c r="J389">
        <v>50</v>
      </c>
      <c r="K389">
        <v>150</v>
      </c>
      <c r="L389">
        <v>3</v>
      </c>
      <c r="M389" t="b">
        <v>1</v>
      </c>
    </row>
    <row r="390" spans="1:13">
      <c r="A390">
        <v>386</v>
      </c>
      <c r="B390" t="s">
        <v>416</v>
      </c>
      <c r="C390" t="s">
        <v>86</v>
      </c>
      <c r="E390">
        <v>600</v>
      </c>
      <c r="F390">
        <v>50</v>
      </c>
      <c r="G390">
        <v>180</v>
      </c>
      <c r="H390">
        <v>20</v>
      </c>
      <c r="I390">
        <v>180</v>
      </c>
      <c r="J390">
        <v>20</v>
      </c>
      <c r="K390">
        <v>150</v>
      </c>
      <c r="L390">
        <v>3</v>
      </c>
      <c r="M390" t="b">
        <v>1</v>
      </c>
    </row>
    <row r="391" spans="1:13">
      <c r="A391">
        <v>386</v>
      </c>
      <c r="B391" t="s">
        <v>417</v>
      </c>
      <c r="C391" t="s">
        <v>86</v>
      </c>
      <c r="E391">
        <v>600</v>
      </c>
      <c r="F391">
        <v>50</v>
      </c>
      <c r="G391">
        <v>70</v>
      </c>
      <c r="H391">
        <v>160</v>
      </c>
      <c r="I391">
        <v>70</v>
      </c>
      <c r="J391">
        <v>160</v>
      </c>
      <c r="K391">
        <v>90</v>
      </c>
      <c r="L391">
        <v>3</v>
      </c>
      <c r="M391" t="b">
        <v>1</v>
      </c>
    </row>
    <row r="392" spans="1:13">
      <c r="A392">
        <v>386</v>
      </c>
      <c r="B392" t="s">
        <v>418</v>
      </c>
      <c r="C392" t="s">
        <v>86</v>
      </c>
      <c r="E392">
        <v>600</v>
      </c>
      <c r="F392">
        <v>50</v>
      </c>
      <c r="G392">
        <v>95</v>
      </c>
      <c r="H392">
        <v>90</v>
      </c>
      <c r="I392">
        <v>95</v>
      </c>
      <c r="J392">
        <v>90</v>
      </c>
      <c r="K392">
        <v>180</v>
      </c>
      <c r="L392">
        <v>3</v>
      </c>
      <c r="M392" t="b">
        <v>1</v>
      </c>
    </row>
    <row r="393" spans="1:13">
      <c r="A393">
        <v>387</v>
      </c>
      <c r="B393" t="s">
        <v>419</v>
      </c>
      <c r="C393" t="s">
        <v>14</v>
      </c>
      <c r="E393">
        <v>318</v>
      </c>
      <c r="F393">
        <v>55</v>
      </c>
      <c r="G393">
        <v>68</v>
      </c>
      <c r="H393">
        <v>64</v>
      </c>
      <c r="I393">
        <v>45</v>
      </c>
      <c r="J393">
        <v>55</v>
      </c>
      <c r="K393">
        <v>31</v>
      </c>
      <c r="L393">
        <v>4</v>
      </c>
      <c r="M393" t="b">
        <v>0</v>
      </c>
    </row>
    <row r="394" spans="1:13">
      <c r="A394">
        <v>388</v>
      </c>
      <c r="B394" t="s">
        <v>420</v>
      </c>
      <c r="C394" t="s">
        <v>14</v>
      </c>
      <c r="E394">
        <v>405</v>
      </c>
      <c r="F394">
        <v>75</v>
      </c>
      <c r="G394">
        <v>89</v>
      </c>
      <c r="H394">
        <v>85</v>
      </c>
      <c r="I394">
        <v>55</v>
      </c>
      <c r="J394">
        <v>65</v>
      </c>
      <c r="K394">
        <v>36</v>
      </c>
      <c r="L394">
        <v>4</v>
      </c>
      <c r="M394" t="b">
        <v>0</v>
      </c>
    </row>
    <row r="395" spans="1:13">
      <c r="A395">
        <v>389</v>
      </c>
      <c r="B395" t="s">
        <v>421</v>
      </c>
      <c r="C395" t="s">
        <v>14</v>
      </c>
      <c r="D395" t="s">
        <v>49</v>
      </c>
      <c r="E395">
        <v>525</v>
      </c>
      <c r="F395">
        <v>95</v>
      </c>
      <c r="G395">
        <v>109</v>
      </c>
      <c r="H395">
        <v>105</v>
      </c>
      <c r="I395">
        <v>75</v>
      </c>
      <c r="J395">
        <v>85</v>
      </c>
      <c r="K395">
        <v>56</v>
      </c>
      <c r="L395">
        <v>4</v>
      </c>
      <c r="M395" t="b">
        <v>0</v>
      </c>
    </row>
    <row r="396" spans="1:13">
      <c r="A396">
        <v>390</v>
      </c>
      <c r="B396" t="s">
        <v>422</v>
      </c>
      <c r="C396" t="s">
        <v>19</v>
      </c>
      <c r="E396">
        <v>309</v>
      </c>
      <c r="F396">
        <v>44</v>
      </c>
      <c r="G396">
        <v>58</v>
      </c>
      <c r="H396">
        <v>44</v>
      </c>
      <c r="I396">
        <v>58</v>
      </c>
      <c r="J396">
        <v>44</v>
      </c>
      <c r="K396">
        <v>61</v>
      </c>
      <c r="L396">
        <v>4</v>
      </c>
      <c r="M396" t="b">
        <v>0</v>
      </c>
    </row>
    <row r="397" spans="1:13">
      <c r="A397">
        <v>391</v>
      </c>
      <c r="B397" t="s">
        <v>423</v>
      </c>
      <c r="C397" t="s">
        <v>19</v>
      </c>
      <c r="D397" t="s">
        <v>78</v>
      </c>
      <c r="E397">
        <v>405</v>
      </c>
      <c r="F397">
        <v>64</v>
      </c>
      <c r="G397">
        <v>78</v>
      </c>
      <c r="H397">
        <v>52</v>
      </c>
      <c r="I397">
        <v>78</v>
      </c>
      <c r="J397">
        <v>52</v>
      </c>
      <c r="K397">
        <v>81</v>
      </c>
      <c r="L397">
        <v>4</v>
      </c>
      <c r="M397" t="b">
        <v>0</v>
      </c>
    </row>
    <row r="398" spans="1:13">
      <c r="A398">
        <v>392</v>
      </c>
      <c r="B398" t="s">
        <v>424</v>
      </c>
      <c r="C398" t="s">
        <v>19</v>
      </c>
      <c r="D398" t="s">
        <v>78</v>
      </c>
      <c r="E398">
        <v>534</v>
      </c>
      <c r="F398">
        <v>76</v>
      </c>
      <c r="G398">
        <v>104</v>
      </c>
      <c r="H398">
        <v>71</v>
      </c>
      <c r="I398">
        <v>104</v>
      </c>
      <c r="J398">
        <v>71</v>
      </c>
      <c r="K398">
        <v>108</v>
      </c>
      <c r="L398">
        <v>4</v>
      </c>
      <c r="M398" t="b">
        <v>0</v>
      </c>
    </row>
    <row r="399" spans="1:13">
      <c r="A399">
        <v>393</v>
      </c>
      <c r="B399" t="s">
        <v>425</v>
      </c>
      <c r="C399" t="s">
        <v>25</v>
      </c>
      <c r="E399">
        <v>314</v>
      </c>
      <c r="F399">
        <v>53</v>
      </c>
      <c r="G399">
        <v>51</v>
      </c>
      <c r="H399">
        <v>53</v>
      </c>
      <c r="I399">
        <v>61</v>
      </c>
      <c r="J399">
        <v>56</v>
      </c>
      <c r="K399">
        <v>40</v>
      </c>
      <c r="L399">
        <v>4</v>
      </c>
      <c r="M399" t="b">
        <v>0</v>
      </c>
    </row>
    <row r="400" spans="1:13">
      <c r="A400">
        <v>394</v>
      </c>
      <c r="B400" t="s">
        <v>426</v>
      </c>
      <c r="C400" t="s">
        <v>25</v>
      </c>
      <c r="E400">
        <v>405</v>
      </c>
      <c r="F400">
        <v>64</v>
      </c>
      <c r="G400">
        <v>66</v>
      </c>
      <c r="H400">
        <v>68</v>
      </c>
      <c r="I400">
        <v>81</v>
      </c>
      <c r="J400">
        <v>76</v>
      </c>
      <c r="K400">
        <v>50</v>
      </c>
      <c r="L400">
        <v>4</v>
      </c>
      <c r="M400" t="b">
        <v>0</v>
      </c>
    </row>
    <row r="401" spans="1:13">
      <c r="A401">
        <v>395</v>
      </c>
      <c r="B401" t="s">
        <v>427</v>
      </c>
      <c r="C401" t="s">
        <v>25</v>
      </c>
      <c r="D401" t="s">
        <v>106</v>
      </c>
      <c r="E401">
        <v>530</v>
      </c>
      <c r="F401">
        <v>84</v>
      </c>
      <c r="G401">
        <v>86</v>
      </c>
      <c r="H401">
        <v>88</v>
      </c>
      <c r="I401">
        <v>111</v>
      </c>
      <c r="J401">
        <v>101</v>
      </c>
      <c r="K401">
        <v>60</v>
      </c>
      <c r="L401">
        <v>4</v>
      </c>
      <c r="M401" t="b">
        <v>0</v>
      </c>
    </row>
    <row r="402" spans="1:13">
      <c r="A402">
        <v>396</v>
      </c>
      <c r="B402" t="s">
        <v>428</v>
      </c>
      <c r="C402" t="s">
        <v>36</v>
      </c>
      <c r="D402" t="s">
        <v>22</v>
      </c>
      <c r="E402">
        <v>245</v>
      </c>
      <c r="F402">
        <v>40</v>
      </c>
      <c r="G402">
        <v>55</v>
      </c>
      <c r="H402">
        <v>30</v>
      </c>
      <c r="I402">
        <v>30</v>
      </c>
      <c r="J402">
        <v>30</v>
      </c>
      <c r="K402">
        <v>60</v>
      </c>
      <c r="L402">
        <v>4</v>
      </c>
      <c r="M402" t="b">
        <v>0</v>
      </c>
    </row>
    <row r="403" spans="1:13">
      <c r="A403">
        <v>397</v>
      </c>
      <c r="B403" t="s">
        <v>429</v>
      </c>
      <c r="C403" t="s">
        <v>36</v>
      </c>
      <c r="D403" t="s">
        <v>22</v>
      </c>
      <c r="E403">
        <v>340</v>
      </c>
      <c r="F403">
        <v>55</v>
      </c>
      <c r="G403">
        <v>75</v>
      </c>
      <c r="H403">
        <v>50</v>
      </c>
      <c r="I403">
        <v>40</v>
      </c>
      <c r="J403">
        <v>40</v>
      </c>
      <c r="K403">
        <v>80</v>
      </c>
      <c r="L403">
        <v>4</v>
      </c>
      <c r="M403" t="b">
        <v>0</v>
      </c>
    </row>
    <row r="404" spans="1:13">
      <c r="A404">
        <v>398</v>
      </c>
      <c r="B404" t="s">
        <v>430</v>
      </c>
      <c r="C404" t="s">
        <v>36</v>
      </c>
      <c r="D404" t="s">
        <v>22</v>
      </c>
      <c r="E404">
        <v>485</v>
      </c>
      <c r="F404">
        <v>85</v>
      </c>
      <c r="G404">
        <v>120</v>
      </c>
      <c r="H404">
        <v>70</v>
      </c>
      <c r="I404">
        <v>50</v>
      </c>
      <c r="J404">
        <v>60</v>
      </c>
      <c r="K404">
        <v>100</v>
      </c>
      <c r="L404">
        <v>4</v>
      </c>
      <c r="M404" t="b">
        <v>0</v>
      </c>
    </row>
    <row r="405" spans="1:13">
      <c r="A405">
        <v>399</v>
      </c>
      <c r="B405" t="s">
        <v>431</v>
      </c>
      <c r="C405" t="s">
        <v>36</v>
      </c>
      <c r="E405">
        <v>250</v>
      </c>
      <c r="F405">
        <v>59</v>
      </c>
      <c r="G405">
        <v>45</v>
      </c>
      <c r="H405">
        <v>40</v>
      </c>
      <c r="I405">
        <v>35</v>
      </c>
      <c r="J405">
        <v>40</v>
      </c>
      <c r="K405">
        <v>31</v>
      </c>
      <c r="L405">
        <v>4</v>
      </c>
      <c r="M405" t="b">
        <v>0</v>
      </c>
    </row>
    <row r="406" spans="1:13">
      <c r="A406">
        <v>400</v>
      </c>
      <c r="B406" t="s">
        <v>432</v>
      </c>
      <c r="C406" t="s">
        <v>36</v>
      </c>
      <c r="D406" t="s">
        <v>25</v>
      </c>
      <c r="E406">
        <v>410</v>
      </c>
      <c r="F406">
        <v>79</v>
      </c>
      <c r="G406">
        <v>85</v>
      </c>
      <c r="H406">
        <v>60</v>
      </c>
      <c r="I406">
        <v>55</v>
      </c>
      <c r="J406">
        <v>60</v>
      </c>
      <c r="K406">
        <v>71</v>
      </c>
      <c r="L406">
        <v>4</v>
      </c>
      <c r="M406" t="b">
        <v>0</v>
      </c>
    </row>
    <row r="407" spans="1:13">
      <c r="A407">
        <v>401</v>
      </c>
      <c r="B407" t="s">
        <v>433</v>
      </c>
      <c r="C407" t="s">
        <v>29</v>
      </c>
      <c r="E407">
        <v>194</v>
      </c>
      <c r="F407">
        <v>37</v>
      </c>
      <c r="G407">
        <v>25</v>
      </c>
      <c r="H407">
        <v>41</v>
      </c>
      <c r="I407">
        <v>25</v>
      </c>
      <c r="J407">
        <v>41</v>
      </c>
      <c r="K407">
        <v>25</v>
      </c>
      <c r="L407">
        <v>4</v>
      </c>
      <c r="M407" t="b">
        <v>0</v>
      </c>
    </row>
    <row r="408" spans="1:13">
      <c r="A408">
        <v>402</v>
      </c>
      <c r="B408" t="s">
        <v>434</v>
      </c>
      <c r="C408" t="s">
        <v>29</v>
      </c>
      <c r="E408">
        <v>384</v>
      </c>
      <c r="F408">
        <v>77</v>
      </c>
      <c r="G408">
        <v>85</v>
      </c>
      <c r="H408">
        <v>51</v>
      </c>
      <c r="I408">
        <v>55</v>
      </c>
      <c r="J408">
        <v>51</v>
      </c>
      <c r="K408">
        <v>65</v>
      </c>
      <c r="L408">
        <v>4</v>
      </c>
      <c r="M408" t="b">
        <v>0</v>
      </c>
    </row>
    <row r="409" spans="1:13">
      <c r="A409">
        <v>403</v>
      </c>
      <c r="B409" t="s">
        <v>435</v>
      </c>
      <c r="C409" t="s">
        <v>46</v>
      </c>
      <c r="E409">
        <v>263</v>
      </c>
      <c r="F409">
        <v>45</v>
      </c>
      <c r="G409">
        <v>65</v>
      </c>
      <c r="H409">
        <v>34</v>
      </c>
      <c r="I409">
        <v>40</v>
      </c>
      <c r="J409">
        <v>34</v>
      </c>
      <c r="K409">
        <v>45</v>
      </c>
      <c r="L409">
        <v>4</v>
      </c>
      <c r="M409" t="b">
        <v>0</v>
      </c>
    </row>
    <row r="410" spans="1:13">
      <c r="A410">
        <v>404</v>
      </c>
      <c r="B410" t="s">
        <v>436</v>
      </c>
      <c r="C410" t="s">
        <v>46</v>
      </c>
      <c r="E410">
        <v>363</v>
      </c>
      <c r="F410">
        <v>60</v>
      </c>
      <c r="G410">
        <v>85</v>
      </c>
      <c r="H410">
        <v>49</v>
      </c>
      <c r="I410">
        <v>60</v>
      </c>
      <c r="J410">
        <v>49</v>
      </c>
      <c r="K410">
        <v>60</v>
      </c>
      <c r="L410">
        <v>4</v>
      </c>
      <c r="M410" t="b">
        <v>0</v>
      </c>
    </row>
    <row r="411" spans="1:13">
      <c r="A411">
        <v>405</v>
      </c>
      <c r="B411" t="s">
        <v>437</v>
      </c>
      <c r="C411" t="s">
        <v>46</v>
      </c>
      <c r="E411">
        <v>523</v>
      </c>
      <c r="F411">
        <v>80</v>
      </c>
      <c r="G411">
        <v>120</v>
      </c>
      <c r="H411">
        <v>79</v>
      </c>
      <c r="I411">
        <v>95</v>
      </c>
      <c r="J411">
        <v>79</v>
      </c>
      <c r="K411">
        <v>70</v>
      </c>
      <c r="L411">
        <v>4</v>
      </c>
      <c r="M411" t="b">
        <v>0</v>
      </c>
    </row>
    <row r="412" spans="1:13">
      <c r="A412">
        <v>406</v>
      </c>
      <c r="B412" t="s">
        <v>438</v>
      </c>
      <c r="C412" t="s">
        <v>14</v>
      </c>
      <c r="D412" t="s">
        <v>15</v>
      </c>
      <c r="E412">
        <v>280</v>
      </c>
      <c r="F412">
        <v>40</v>
      </c>
      <c r="G412">
        <v>30</v>
      </c>
      <c r="H412">
        <v>35</v>
      </c>
      <c r="I412">
        <v>50</v>
      </c>
      <c r="J412">
        <v>70</v>
      </c>
      <c r="K412">
        <v>55</v>
      </c>
      <c r="L412">
        <v>4</v>
      </c>
      <c r="M412" t="b">
        <v>0</v>
      </c>
    </row>
    <row r="413" spans="1:13">
      <c r="A413">
        <v>407</v>
      </c>
      <c r="B413" t="s">
        <v>439</v>
      </c>
      <c r="C413" t="s">
        <v>14</v>
      </c>
      <c r="D413" t="s">
        <v>15</v>
      </c>
      <c r="E413">
        <v>515</v>
      </c>
      <c r="F413">
        <v>60</v>
      </c>
      <c r="G413">
        <v>70</v>
      </c>
      <c r="H413">
        <v>65</v>
      </c>
      <c r="I413">
        <v>125</v>
      </c>
      <c r="J413">
        <v>105</v>
      </c>
      <c r="K413">
        <v>90</v>
      </c>
      <c r="L413">
        <v>4</v>
      </c>
      <c r="M413" t="b">
        <v>0</v>
      </c>
    </row>
    <row r="414" spans="1:13">
      <c r="A414">
        <v>408</v>
      </c>
      <c r="B414" t="s">
        <v>440</v>
      </c>
      <c r="C414" t="s">
        <v>98</v>
      </c>
      <c r="E414">
        <v>350</v>
      </c>
      <c r="F414">
        <v>67</v>
      </c>
      <c r="G414">
        <v>125</v>
      </c>
      <c r="H414">
        <v>40</v>
      </c>
      <c r="I414">
        <v>30</v>
      </c>
      <c r="J414">
        <v>30</v>
      </c>
      <c r="K414">
        <v>58</v>
      </c>
      <c r="L414">
        <v>4</v>
      </c>
      <c r="M414" t="b">
        <v>0</v>
      </c>
    </row>
    <row r="415" spans="1:13">
      <c r="A415">
        <v>409</v>
      </c>
      <c r="B415" t="s">
        <v>441</v>
      </c>
      <c r="C415" t="s">
        <v>98</v>
      </c>
      <c r="E415">
        <v>495</v>
      </c>
      <c r="F415">
        <v>97</v>
      </c>
      <c r="G415">
        <v>165</v>
      </c>
      <c r="H415">
        <v>60</v>
      </c>
      <c r="I415">
        <v>65</v>
      </c>
      <c r="J415">
        <v>50</v>
      </c>
      <c r="K415">
        <v>58</v>
      </c>
      <c r="L415">
        <v>4</v>
      </c>
      <c r="M415" t="b">
        <v>0</v>
      </c>
    </row>
    <row r="416" spans="1:13">
      <c r="A416">
        <v>410</v>
      </c>
      <c r="B416" t="s">
        <v>442</v>
      </c>
      <c r="C416" t="s">
        <v>98</v>
      </c>
      <c r="D416" t="s">
        <v>106</v>
      </c>
      <c r="E416">
        <v>350</v>
      </c>
      <c r="F416">
        <v>30</v>
      </c>
      <c r="G416">
        <v>42</v>
      </c>
      <c r="H416">
        <v>118</v>
      </c>
      <c r="I416">
        <v>42</v>
      </c>
      <c r="J416">
        <v>88</v>
      </c>
      <c r="K416">
        <v>30</v>
      </c>
      <c r="L416">
        <v>4</v>
      </c>
      <c r="M416" t="b">
        <v>0</v>
      </c>
    </row>
    <row r="417" spans="1:13">
      <c r="A417">
        <v>411</v>
      </c>
      <c r="B417" t="s">
        <v>443</v>
      </c>
      <c r="C417" t="s">
        <v>98</v>
      </c>
      <c r="D417" t="s">
        <v>106</v>
      </c>
      <c r="E417">
        <v>495</v>
      </c>
      <c r="F417">
        <v>60</v>
      </c>
      <c r="G417">
        <v>52</v>
      </c>
      <c r="H417">
        <v>168</v>
      </c>
      <c r="I417">
        <v>47</v>
      </c>
      <c r="J417">
        <v>138</v>
      </c>
      <c r="K417">
        <v>30</v>
      </c>
      <c r="L417">
        <v>4</v>
      </c>
      <c r="M417" t="b">
        <v>0</v>
      </c>
    </row>
    <row r="418" spans="1:13">
      <c r="A418">
        <v>412</v>
      </c>
      <c r="B418" t="s">
        <v>444</v>
      </c>
      <c r="C418" t="s">
        <v>29</v>
      </c>
      <c r="E418">
        <v>224</v>
      </c>
      <c r="F418">
        <v>40</v>
      </c>
      <c r="G418">
        <v>29</v>
      </c>
      <c r="H418">
        <v>45</v>
      </c>
      <c r="I418">
        <v>29</v>
      </c>
      <c r="J418">
        <v>45</v>
      </c>
      <c r="K418">
        <v>36</v>
      </c>
      <c r="L418">
        <v>4</v>
      </c>
      <c r="M418" t="b">
        <v>0</v>
      </c>
    </row>
    <row r="419" spans="1:13">
      <c r="A419">
        <v>413</v>
      </c>
      <c r="B419" t="s">
        <v>445</v>
      </c>
      <c r="C419" t="s">
        <v>29</v>
      </c>
      <c r="D419" t="s">
        <v>14</v>
      </c>
      <c r="E419">
        <v>424</v>
      </c>
      <c r="F419">
        <v>60</v>
      </c>
      <c r="G419">
        <v>59</v>
      </c>
      <c r="H419">
        <v>85</v>
      </c>
      <c r="I419">
        <v>79</v>
      </c>
      <c r="J419">
        <v>105</v>
      </c>
      <c r="K419">
        <v>36</v>
      </c>
      <c r="L419">
        <v>4</v>
      </c>
      <c r="M419" t="b">
        <v>0</v>
      </c>
    </row>
    <row r="420" spans="1:13">
      <c r="A420">
        <v>413</v>
      </c>
      <c r="B420" t="s">
        <v>446</v>
      </c>
      <c r="C420" t="s">
        <v>29</v>
      </c>
      <c r="D420" t="s">
        <v>49</v>
      </c>
      <c r="E420">
        <v>424</v>
      </c>
      <c r="F420">
        <v>60</v>
      </c>
      <c r="G420">
        <v>79</v>
      </c>
      <c r="H420">
        <v>105</v>
      </c>
      <c r="I420">
        <v>59</v>
      </c>
      <c r="J420">
        <v>85</v>
      </c>
      <c r="K420">
        <v>36</v>
      </c>
      <c r="L420">
        <v>4</v>
      </c>
      <c r="M420" t="b">
        <v>0</v>
      </c>
    </row>
    <row r="421" spans="1:13">
      <c r="A421">
        <v>413</v>
      </c>
      <c r="B421" t="s">
        <v>447</v>
      </c>
      <c r="C421" t="s">
        <v>29</v>
      </c>
      <c r="D421" t="s">
        <v>106</v>
      </c>
      <c r="E421">
        <v>424</v>
      </c>
      <c r="F421">
        <v>60</v>
      </c>
      <c r="G421">
        <v>69</v>
      </c>
      <c r="H421">
        <v>95</v>
      </c>
      <c r="I421">
        <v>69</v>
      </c>
      <c r="J421">
        <v>95</v>
      </c>
      <c r="K421">
        <v>36</v>
      </c>
      <c r="L421">
        <v>4</v>
      </c>
      <c r="M421" t="b">
        <v>0</v>
      </c>
    </row>
    <row r="422" spans="1:13">
      <c r="A422">
        <v>414</v>
      </c>
      <c r="B422" t="s">
        <v>448</v>
      </c>
      <c r="C422" t="s">
        <v>29</v>
      </c>
      <c r="D422" t="s">
        <v>22</v>
      </c>
      <c r="E422">
        <v>424</v>
      </c>
      <c r="F422">
        <v>70</v>
      </c>
      <c r="G422">
        <v>94</v>
      </c>
      <c r="H422">
        <v>50</v>
      </c>
      <c r="I422">
        <v>94</v>
      </c>
      <c r="J422">
        <v>50</v>
      </c>
      <c r="K422">
        <v>66</v>
      </c>
      <c r="L422">
        <v>4</v>
      </c>
      <c r="M422" t="b">
        <v>0</v>
      </c>
    </row>
    <row r="423" spans="1:13">
      <c r="A423">
        <v>415</v>
      </c>
      <c r="B423" t="s">
        <v>449</v>
      </c>
      <c r="C423" t="s">
        <v>29</v>
      </c>
      <c r="D423" t="s">
        <v>22</v>
      </c>
      <c r="E423">
        <v>244</v>
      </c>
      <c r="F423">
        <v>30</v>
      </c>
      <c r="G423">
        <v>30</v>
      </c>
      <c r="H423">
        <v>42</v>
      </c>
      <c r="I423">
        <v>30</v>
      </c>
      <c r="J423">
        <v>42</v>
      </c>
      <c r="K423">
        <v>70</v>
      </c>
      <c r="L423">
        <v>4</v>
      </c>
      <c r="M423" t="b">
        <v>0</v>
      </c>
    </row>
    <row r="424" spans="1:13">
      <c r="A424">
        <v>416</v>
      </c>
      <c r="B424" t="s">
        <v>450</v>
      </c>
      <c r="C424" t="s">
        <v>29</v>
      </c>
      <c r="D424" t="s">
        <v>22</v>
      </c>
      <c r="E424">
        <v>474</v>
      </c>
      <c r="F424">
        <v>70</v>
      </c>
      <c r="G424">
        <v>80</v>
      </c>
      <c r="H424">
        <v>102</v>
      </c>
      <c r="I424">
        <v>80</v>
      </c>
      <c r="J424">
        <v>102</v>
      </c>
      <c r="K424">
        <v>40</v>
      </c>
      <c r="L424">
        <v>4</v>
      </c>
      <c r="M424" t="b">
        <v>0</v>
      </c>
    </row>
    <row r="425" spans="1:13">
      <c r="A425">
        <v>417</v>
      </c>
      <c r="B425" t="s">
        <v>451</v>
      </c>
      <c r="C425" t="s">
        <v>46</v>
      </c>
      <c r="E425">
        <v>405</v>
      </c>
      <c r="F425">
        <v>60</v>
      </c>
      <c r="G425">
        <v>45</v>
      </c>
      <c r="H425">
        <v>70</v>
      </c>
      <c r="I425">
        <v>45</v>
      </c>
      <c r="J425">
        <v>90</v>
      </c>
      <c r="K425">
        <v>95</v>
      </c>
      <c r="L425">
        <v>4</v>
      </c>
      <c r="M425" t="b">
        <v>0</v>
      </c>
    </row>
    <row r="426" spans="1:13">
      <c r="A426">
        <v>418</v>
      </c>
      <c r="B426" t="s">
        <v>452</v>
      </c>
      <c r="C426" t="s">
        <v>25</v>
      </c>
      <c r="E426">
        <v>330</v>
      </c>
      <c r="F426">
        <v>55</v>
      </c>
      <c r="G426">
        <v>65</v>
      </c>
      <c r="H426">
        <v>35</v>
      </c>
      <c r="I426">
        <v>60</v>
      </c>
      <c r="J426">
        <v>30</v>
      </c>
      <c r="K426">
        <v>85</v>
      </c>
      <c r="L426">
        <v>4</v>
      </c>
      <c r="M426" t="b">
        <v>0</v>
      </c>
    </row>
    <row r="427" spans="1:13">
      <c r="A427">
        <v>419</v>
      </c>
      <c r="B427" t="s">
        <v>453</v>
      </c>
      <c r="C427" t="s">
        <v>25</v>
      </c>
      <c r="E427">
        <v>495</v>
      </c>
      <c r="F427">
        <v>85</v>
      </c>
      <c r="G427">
        <v>105</v>
      </c>
      <c r="H427">
        <v>55</v>
      </c>
      <c r="I427">
        <v>85</v>
      </c>
      <c r="J427">
        <v>50</v>
      </c>
      <c r="K427">
        <v>115</v>
      </c>
      <c r="L427">
        <v>4</v>
      </c>
      <c r="M427" t="b">
        <v>0</v>
      </c>
    </row>
    <row r="428" spans="1:13">
      <c r="A428">
        <v>420</v>
      </c>
      <c r="B428" t="s">
        <v>454</v>
      </c>
      <c r="C428" t="s">
        <v>14</v>
      </c>
      <c r="E428">
        <v>275</v>
      </c>
      <c r="F428">
        <v>45</v>
      </c>
      <c r="G428">
        <v>35</v>
      </c>
      <c r="H428">
        <v>45</v>
      </c>
      <c r="I428">
        <v>62</v>
      </c>
      <c r="J428">
        <v>53</v>
      </c>
      <c r="K428">
        <v>35</v>
      </c>
      <c r="L428">
        <v>4</v>
      </c>
      <c r="M428" t="b">
        <v>0</v>
      </c>
    </row>
    <row r="429" spans="1:13">
      <c r="A429">
        <v>421</v>
      </c>
      <c r="B429" t="s">
        <v>455</v>
      </c>
      <c r="C429" t="s">
        <v>14</v>
      </c>
      <c r="E429">
        <v>450</v>
      </c>
      <c r="F429">
        <v>70</v>
      </c>
      <c r="G429">
        <v>60</v>
      </c>
      <c r="H429">
        <v>70</v>
      </c>
      <c r="I429">
        <v>87</v>
      </c>
      <c r="J429">
        <v>78</v>
      </c>
      <c r="K429">
        <v>85</v>
      </c>
      <c r="L429">
        <v>4</v>
      </c>
      <c r="M429" t="b">
        <v>0</v>
      </c>
    </row>
    <row r="430" spans="1:13">
      <c r="A430">
        <v>422</v>
      </c>
      <c r="B430" t="s">
        <v>456</v>
      </c>
      <c r="C430" t="s">
        <v>25</v>
      </c>
      <c r="E430">
        <v>325</v>
      </c>
      <c r="F430">
        <v>76</v>
      </c>
      <c r="G430">
        <v>48</v>
      </c>
      <c r="H430">
        <v>48</v>
      </c>
      <c r="I430">
        <v>57</v>
      </c>
      <c r="J430">
        <v>62</v>
      </c>
      <c r="K430">
        <v>34</v>
      </c>
      <c r="L430">
        <v>4</v>
      </c>
      <c r="M430" t="b">
        <v>0</v>
      </c>
    </row>
    <row r="431" spans="1:13">
      <c r="A431">
        <v>423</v>
      </c>
      <c r="B431" t="s">
        <v>457</v>
      </c>
      <c r="C431" t="s">
        <v>25</v>
      </c>
      <c r="D431" t="s">
        <v>49</v>
      </c>
      <c r="E431">
        <v>475</v>
      </c>
      <c r="F431">
        <v>111</v>
      </c>
      <c r="G431">
        <v>83</v>
      </c>
      <c r="H431">
        <v>68</v>
      </c>
      <c r="I431">
        <v>92</v>
      </c>
      <c r="J431">
        <v>82</v>
      </c>
      <c r="K431">
        <v>39</v>
      </c>
      <c r="L431">
        <v>4</v>
      </c>
      <c r="M431" t="b">
        <v>0</v>
      </c>
    </row>
    <row r="432" spans="1:13">
      <c r="A432">
        <v>424</v>
      </c>
      <c r="B432" t="s">
        <v>458</v>
      </c>
      <c r="C432" t="s">
        <v>36</v>
      </c>
      <c r="E432">
        <v>482</v>
      </c>
      <c r="F432">
        <v>75</v>
      </c>
      <c r="G432">
        <v>100</v>
      </c>
      <c r="H432">
        <v>66</v>
      </c>
      <c r="I432">
        <v>60</v>
      </c>
      <c r="J432">
        <v>66</v>
      </c>
      <c r="K432">
        <v>115</v>
      </c>
      <c r="L432">
        <v>4</v>
      </c>
      <c r="M432" t="b">
        <v>0</v>
      </c>
    </row>
    <row r="433" spans="1:13">
      <c r="A433">
        <v>425</v>
      </c>
      <c r="B433" t="s">
        <v>459</v>
      </c>
      <c r="C433" t="s">
        <v>119</v>
      </c>
      <c r="D433" t="s">
        <v>22</v>
      </c>
      <c r="E433">
        <v>348</v>
      </c>
      <c r="F433">
        <v>90</v>
      </c>
      <c r="G433">
        <v>50</v>
      </c>
      <c r="H433">
        <v>34</v>
      </c>
      <c r="I433">
        <v>60</v>
      </c>
      <c r="J433">
        <v>44</v>
      </c>
      <c r="K433">
        <v>70</v>
      </c>
      <c r="L433">
        <v>4</v>
      </c>
      <c r="M433" t="b">
        <v>0</v>
      </c>
    </row>
    <row r="434" spans="1:13">
      <c r="A434">
        <v>426</v>
      </c>
      <c r="B434" t="s">
        <v>460</v>
      </c>
      <c r="C434" t="s">
        <v>119</v>
      </c>
      <c r="D434" t="s">
        <v>22</v>
      </c>
      <c r="E434">
        <v>498</v>
      </c>
      <c r="F434">
        <v>150</v>
      </c>
      <c r="G434">
        <v>80</v>
      </c>
      <c r="H434">
        <v>44</v>
      </c>
      <c r="I434">
        <v>90</v>
      </c>
      <c r="J434">
        <v>54</v>
      </c>
      <c r="K434">
        <v>80</v>
      </c>
      <c r="L434">
        <v>4</v>
      </c>
      <c r="M434" t="b">
        <v>0</v>
      </c>
    </row>
    <row r="435" spans="1:13">
      <c r="A435">
        <v>427</v>
      </c>
      <c r="B435" t="s">
        <v>461</v>
      </c>
      <c r="C435" t="s">
        <v>36</v>
      </c>
      <c r="E435">
        <v>350</v>
      </c>
      <c r="F435">
        <v>55</v>
      </c>
      <c r="G435">
        <v>66</v>
      </c>
      <c r="H435">
        <v>44</v>
      </c>
      <c r="I435">
        <v>44</v>
      </c>
      <c r="J435">
        <v>56</v>
      </c>
      <c r="K435">
        <v>85</v>
      </c>
      <c r="L435">
        <v>4</v>
      </c>
      <c r="M435" t="b">
        <v>0</v>
      </c>
    </row>
    <row r="436" spans="1:13">
      <c r="A436">
        <v>428</v>
      </c>
      <c r="B436" t="s">
        <v>462</v>
      </c>
      <c r="C436" t="s">
        <v>36</v>
      </c>
      <c r="E436">
        <v>480</v>
      </c>
      <c r="F436">
        <v>65</v>
      </c>
      <c r="G436">
        <v>76</v>
      </c>
      <c r="H436">
        <v>84</v>
      </c>
      <c r="I436">
        <v>54</v>
      </c>
      <c r="J436">
        <v>96</v>
      </c>
      <c r="K436">
        <v>105</v>
      </c>
      <c r="L436">
        <v>4</v>
      </c>
      <c r="M436" t="b">
        <v>0</v>
      </c>
    </row>
    <row r="437" spans="1:13">
      <c r="A437">
        <v>429</v>
      </c>
      <c r="B437" t="s">
        <v>463</v>
      </c>
      <c r="C437" t="s">
        <v>119</v>
      </c>
      <c r="E437">
        <v>495</v>
      </c>
      <c r="F437">
        <v>60</v>
      </c>
      <c r="G437">
        <v>60</v>
      </c>
      <c r="H437">
        <v>60</v>
      </c>
      <c r="I437">
        <v>105</v>
      </c>
      <c r="J437">
        <v>105</v>
      </c>
      <c r="K437">
        <v>105</v>
      </c>
      <c r="L437">
        <v>4</v>
      </c>
      <c r="M437" t="b">
        <v>0</v>
      </c>
    </row>
    <row r="438" spans="1:13">
      <c r="A438">
        <v>430</v>
      </c>
      <c r="B438" t="s">
        <v>464</v>
      </c>
      <c r="C438" t="s">
        <v>158</v>
      </c>
      <c r="D438" t="s">
        <v>22</v>
      </c>
      <c r="E438">
        <v>505</v>
      </c>
      <c r="F438">
        <v>100</v>
      </c>
      <c r="G438">
        <v>125</v>
      </c>
      <c r="H438">
        <v>52</v>
      </c>
      <c r="I438">
        <v>105</v>
      </c>
      <c r="J438">
        <v>52</v>
      </c>
      <c r="K438">
        <v>71</v>
      </c>
      <c r="L438">
        <v>4</v>
      </c>
      <c r="M438" t="b">
        <v>0</v>
      </c>
    </row>
    <row r="439" spans="1:13">
      <c r="A439">
        <v>431</v>
      </c>
      <c r="B439" t="s">
        <v>465</v>
      </c>
      <c r="C439" t="s">
        <v>36</v>
      </c>
      <c r="E439">
        <v>310</v>
      </c>
      <c r="F439">
        <v>49</v>
      </c>
      <c r="G439">
        <v>55</v>
      </c>
      <c r="H439">
        <v>42</v>
      </c>
      <c r="I439">
        <v>42</v>
      </c>
      <c r="J439">
        <v>37</v>
      </c>
      <c r="K439">
        <v>85</v>
      </c>
      <c r="L439">
        <v>4</v>
      </c>
      <c r="M439" t="b">
        <v>0</v>
      </c>
    </row>
    <row r="440" spans="1:13">
      <c r="A440">
        <v>432</v>
      </c>
      <c r="B440" t="s">
        <v>466</v>
      </c>
      <c r="C440" t="s">
        <v>36</v>
      </c>
      <c r="E440">
        <v>452</v>
      </c>
      <c r="F440">
        <v>71</v>
      </c>
      <c r="G440">
        <v>82</v>
      </c>
      <c r="H440">
        <v>64</v>
      </c>
      <c r="I440">
        <v>64</v>
      </c>
      <c r="J440">
        <v>59</v>
      </c>
      <c r="K440">
        <v>112</v>
      </c>
      <c r="L440">
        <v>4</v>
      </c>
      <c r="M440" t="b">
        <v>0</v>
      </c>
    </row>
    <row r="441" spans="1:13">
      <c r="A441">
        <v>433</v>
      </c>
      <c r="B441" t="s">
        <v>467</v>
      </c>
      <c r="C441" t="s">
        <v>86</v>
      </c>
      <c r="E441">
        <v>285</v>
      </c>
      <c r="F441">
        <v>45</v>
      </c>
      <c r="G441">
        <v>30</v>
      </c>
      <c r="H441">
        <v>50</v>
      </c>
      <c r="I441">
        <v>65</v>
      </c>
      <c r="J441">
        <v>50</v>
      </c>
      <c r="K441">
        <v>45</v>
      </c>
      <c r="L441">
        <v>4</v>
      </c>
      <c r="M441" t="b">
        <v>0</v>
      </c>
    </row>
    <row r="442" spans="1:13">
      <c r="A442">
        <v>434</v>
      </c>
      <c r="B442" t="s">
        <v>468</v>
      </c>
      <c r="C442" t="s">
        <v>15</v>
      </c>
      <c r="D442" t="s">
        <v>158</v>
      </c>
      <c r="E442">
        <v>329</v>
      </c>
      <c r="F442">
        <v>63</v>
      </c>
      <c r="G442">
        <v>63</v>
      </c>
      <c r="H442">
        <v>47</v>
      </c>
      <c r="I442">
        <v>41</v>
      </c>
      <c r="J442">
        <v>41</v>
      </c>
      <c r="K442">
        <v>74</v>
      </c>
      <c r="L442">
        <v>4</v>
      </c>
      <c r="M442" t="b">
        <v>0</v>
      </c>
    </row>
    <row r="443" spans="1:13">
      <c r="A443">
        <v>435</v>
      </c>
      <c r="B443" t="s">
        <v>469</v>
      </c>
      <c r="C443" t="s">
        <v>15</v>
      </c>
      <c r="D443" t="s">
        <v>158</v>
      </c>
      <c r="E443">
        <v>479</v>
      </c>
      <c r="F443">
        <v>103</v>
      </c>
      <c r="G443">
        <v>93</v>
      </c>
      <c r="H443">
        <v>67</v>
      </c>
      <c r="I443">
        <v>71</v>
      </c>
      <c r="J443">
        <v>61</v>
      </c>
      <c r="K443">
        <v>84</v>
      </c>
      <c r="L443">
        <v>4</v>
      </c>
      <c r="M443" t="b">
        <v>0</v>
      </c>
    </row>
    <row r="444" spans="1:13">
      <c r="A444">
        <v>436</v>
      </c>
      <c r="B444" t="s">
        <v>470</v>
      </c>
      <c r="C444" t="s">
        <v>106</v>
      </c>
      <c r="D444" t="s">
        <v>86</v>
      </c>
      <c r="E444">
        <v>300</v>
      </c>
      <c r="F444">
        <v>57</v>
      </c>
      <c r="G444">
        <v>24</v>
      </c>
      <c r="H444">
        <v>86</v>
      </c>
      <c r="I444">
        <v>24</v>
      </c>
      <c r="J444">
        <v>86</v>
      </c>
      <c r="K444">
        <v>23</v>
      </c>
      <c r="L444">
        <v>4</v>
      </c>
      <c r="M444" t="b">
        <v>0</v>
      </c>
    </row>
    <row r="445" spans="1:13">
      <c r="A445">
        <v>437</v>
      </c>
      <c r="B445" t="s">
        <v>471</v>
      </c>
      <c r="C445" t="s">
        <v>106</v>
      </c>
      <c r="D445" t="s">
        <v>86</v>
      </c>
      <c r="E445">
        <v>500</v>
      </c>
      <c r="F445">
        <v>67</v>
      </c>
      <c r="G445">
        <v>89</v>
      </c>
      <c r="H445">
        <v>116</v>
      </c>
      <c r="I445">
        <v>79</v>
      </c>
      <c r="J445">
        <v>116</v>
      </c>
      <c r="K445">
        <v>33</v>
      </c>
      <c r="L445">
        <v>4</v>
      </c>
      <c r="M445" t="b">
        <v>0</v>
      </c>
    </row>
    <row r="446" spans="1:13">
      <c r="A446">
        <v>438</v>
      </c>
      <c r="B446" t="s">
        <v>472</v>
      </c>
      <c r="C446" t="s">
        <v>98</v>
      </c>
      <c r="E446">
        <v>290</v>
      </c>
      <c r="F446">
        <v>50</v>
      </c>
      <c r="G446">
        <v>80</v>
      </c>
      <c r="H446">
        <v>95</v>
      </c>
      <c r="I446">
        <v>10</v>
      </c>
      <c r="J446">
        <v>45</v>
      </c>
      <c r="K446">
        <v>10</v>
      </c>
      <c r="L446">
        <v>4</v>
      </c>
      <c r="M446" t="b">
        <v>0</v>
      </c>
    </row>
    <row r="447" spans="1:13">
      <c r="A447">
        <v>439</v>
      </c>
      <c r="B447" t="s">
        <v>473</v>
      </c>
      <c r="C447" t="s">
        <v>86</v>
      </c>
      <c r="D447" t="s">
        <v>56</v>
      </c>
      <c r="E447">
        <v>310</v>
      </c>
      <c r="F447">
        <v>20</v>
      </c>
      <c r="G447">
        <v>25</v>
      </c>
      <c r="H447">
        <v>45</v>
      </c>
      <c r="I447">
        <v>70</v>
      </c>
      <c r="J447">
        <v>90</v>
      </c>
      <c r="K447">
        <v>60</v>
      </c>
      <c r="L447">
        <v>4</v>
      </c>
      <c r="M447" t="b">
        <v>0</v>
      </c>
    </row>
    <row r="448" spans="1:13">
      <c r="A448">
        <v>440</v>
      </c>
      <c r="B448" t="s">
        <v>474</v>
      </c>
      <c r="C448" t="s">
        <v>36</v>
      </c>
      <c r="E448">
        <v>220</v>
      </c>
      <c r="F448">
        <v>100</v>
      </c>
      <c r="G448">
        <v>5</v>
      </c>
      <c r="H448">
        <v>5</v>
      </c>
      <c r="I448">
        <v>15</v>
      </c>
      <c r="J448">
        <v>65</v>
      </c>
      <c r="K448">
        <v>30</v>
      </c>
      <c r="L448">
        <v>4</v>
      </c>
      <c r="M448" t="b">
        <v>0</v>
      </c>
    </row>
    <row r="449" spans="1:13">
      <c r="A449">
        <v>441</v>
      </c>
      <c r="B449" t="s">
        <v>475</v>
      </c>
      <c r="C449" t="s">
        <v>36</v>
      </c>
      <c r="D449" t="s">
        <v>22</v>
      </c>
      <c r="E449">
        <v>411</v>
      </c>
      <c r="F449">
        <v>76</v>
      </c>
      <c r="G449">
        <v>65</v>
      </c>
      <c r="H449">
        <v>45</v>
      </c>
      <c r="I449">
        <v>92</v>
      </c>
      <c r="J449">
        <v>42</v>
      </c>
      <c r="K449">
        <v>91</v>
      </c>
      <c r="L449">
        <v>4</v>
      </c>
      <c r="M449" t="b">
        <v>0</v>
      </c>
    </row>
    <row r="450" spans="1:13">
      <c r="A450">
        <v>442</v>
      </c>
      <c r="B450" t="s">
        <v>476</v>
      </c>
      <c r="C450" t="s">
        <v>119</v>
      </c>
      <c r="D450" t="s">
        <v>158</v>
      </c>
      <c r="E450">
        <v>485</v>
      </c>
      <c r="F450">
        <v>50</v>
      </c>
      <c r="G450">
        <v>92</v>
      </c>
      <c r="H450">
        <v>108</v>
      </c>
      <c r="I450">
        <v>92</v>
      </c>
      <c r="J450">
        <v>108</v>
      </c>
      <c r="K450">
        <v>35</v>
      </c>
      <c r="L450">
        <v>4</v>
      </c>
      <c r="M450" t="b">
        <v>0</v>
      </c>
    </row>
    <row r="451" spans="1:13">
      <c r="A451">
        <v>443</v>
      </c>
      <c r="B451" t="s">
        <v>477</v>
      </c>
      <c r="C451" t="s">
        <v>23</v>
      </c>
      <c r="D451" t="s">
        <v>49</v>
      </c>
      <c r="E451">
        <v>300</v>
      </c>
      <c r="F451">
        <v>58</v>
      </c>
      <c r="G451">
        <v>70</v>
      </c>
      <c r="H451">
        <v>45</v>
      </c>
      <c r="I451">
        <v>40</v>
      </c>
      <c r="J451">
        <v>45</v>
      </c>
      <c r="K451">
        <v>42</v>
      </c>
      <c r="L451">
        <v>4</v>
      </c>
      <c r="M451" t="b">
        <v>0</v>
      </c>
    </row>
    <row r="452" spans="1:13">
      <c r="A452">
        <v>444</v>
      </c>
      <c r="B452" t="s">
        <v>478</v>
      </c>
      <c r="C452" t="s">
        <v>23</v>
      </c>
      <c r="D452" t="s">
        <v>49</v>
      </c>
      <c r="E452">
        <v>410</v>
      </c>
      <c r="F452">
        <v>68</v>
      </c>
      <c r="G452">
        <v>90</v>
      </c>
      <c r="H452">
        <v>65</v>
      </c>
      <c r="I452">
        <v>50</v>
      </c>
      <c r="J452">
        <v>55</v>
      </c>
      <c r="K452">
        <v>82</v>
      </c>
      <c r="L452">
        <v>4</v>
      </c>
      <c r="M452" t="b">
        <v>0</v>
      </c>
    </row>
    <row r="453" spans="1:13">
      <c r="A453">
        <v>445</v>
      </c>
      <c r="B453" t="s">
        <v>479</v>
      </c>
      <c r="C453" t="s">
        <v>23</v>
      </c>
      <c r="D453" t="s">
        <v>49</v>
      </c>
      <c r="E453">
        <v>600</v>
      </c>
      <c r="F453">
        <v>108</v>
      </c>
      <c r="G453">
        <v>130</v>
      </c>
      <c r="H453">
        <v>95</v>
      </c>
      <c r="I453">
        <v>80</v>
      </c>
      <c r="J453">
        <v>85</v>
      </c>
      <c r="K453">
        <v>102</v>
      </c>
      <c r="L453">
        <v>4</v>
      </c>
      <c r="M453" t="b">
        <v>0</v>
      </c>
    </row>
    <row r="454" spans="1:13">
      <c r="A454">
        <v>446</v>
      </c>
      <c r="B454" t="s">
        <v>480</v>
      </c>
      <c r="C454" t="s">
        <v>36</v>
      </c>
      <c r="E454">
        <v>390</v>
      </c>
      <c r="F454">
        <v>135</v>
      </c>
      <c r="G454">
        <v>85</v>
      </c>
      <c r="H454">
        <v>40</v>
      </c>
      <c r="I454">
        <v>40</v>
      </c>
      <c r="J454">
        <v>85</v>
      </c>
      <c r="K454">
        <v>5</v>
      </c>
      <c r="L454">
        <v>4</v>
      </c>
      <c r="M454" t="b">
        <v>0</v>
      </c>
    </row>
    <row r="455" spans="1:13">
      <c r="A455">
        <v>447</v>
      </c>
      <c r="B455" t="s">
        <v>481</v>
      </c>
      <c r="C455" t="s">
        <v>78</v>
      </c>
      <c r="E455">
        <v>285</v>
      </c>
      <c r="F455">
        <v>40</v>
      </c>
      <c r="G455">
        <v>70</v>
      </c>
      <c r="H455">
        <v>40</v>
      </c>
      <c r="I455">
        <v>35</v>
      </c>
      <c r="J455">
        <v>40</v>
      </c>
      <c r="K455">
        <v>60</v>
      </c>
      <c r="L455">
        <v>4</v>
      </c>
      <c r="M455" t="b">
        <v>0</v>
      </c>
    </row>
    <row r="456" spans="1:13">
      <c r="A456">
        <v>448</v>
      </c>
      <c r="B456" t="s">
        <v>482</v>
      </c>
      <c r="C456" t="s">
        <v>78</v>
      </c>
      <c r="D456" t="s">
        <v>106</v>
      </c>
      <c r="E456">
        <v>525</v>
      </c>
      <c r="F456">
        <v>70</v>
      </c>
      <c r="G456">
        <v>110</v>
      </c>
      <c r="H456">
        <v>70</v>
      </c>
      <c r="I456">
        <v>115</v>
      </c>
      <c r="J456">
        <v>70</v>
      </c>
      <c r="K456">
        <v>90</v>
      </c>
      <c r="L456">
        <v>4</v>
      </c>
      <c r="M456" t="b">
        <v>0</v>
      </c>
    </row>
    <row r="457" spans="1:13">
      <c r="A457">
        <v>449</v>
      </c>
      <c r="B457" t="s">
        <v>483</v>
      </c>
      <c r="C457" t="s">
        <v>49</v>
      </c>
      <c r="E457">
        <v>330</v>
      </c>
      <c r="F457">
        <v>68</v>
      </c>
      <c r="G457">
        <v>72</v>
      </c>
      <c r="H457">
        <v>78</v>
      </c>
      <c r="I457">
        <v>38</v>
      </c>
      <c r="J457">
        <v>42</v>
      </c>
      <c r="K457">
        <v>32</v>
      </c>
      <c r="L457">
        <v>4</v>
      </c>
      <c r="M457" t="b">
        <v>0</v>
      </c>
    </row>
    <row r="458" spans="1:13">
      <c r="A458">
        <v>450</v>
      </c>
      <c r="B458" t="s">
        <v>484</v>
      </c>
      <c r="C458" t="s">
        <v>49</v>
      </c>
      <c r="E458">
        <v>525</v>
      </c>
      <c r="F458">
        <v>108</v>
      </c>
      <c r="G458">
        <v>112</v>
      </c>
      <c r="H458">
        <v>118</v>
      </c>
      <c r="I458">
        <v>68</v>
      </c>
      <c r="J458">
        <v>72</v>
      </c>
      <c r="K458">
        <v>47</v>
      </c>
      <c r="L458">
        <v>4</v>
      </c>
      <c r="M458" t="b">
        <v>0</v>
      </c>
    </row>
    <row r="459" spans="1:13">
      <c r="A459">
        <v>451</v>
      </c>
      <c r="B459" t="s">
        <v>485</v>
      </c>
      <c r="C459" t="s">
        <v>15</v>
      </c>
      <c r="D459" t="s">
        <v>29</v>
      </c>
      <c r="E459">
        <v>330</v>
      </c>
      <c r="F459">
        <v>40</v>
      </c>
      <c r="G459">
        <v>50</v>
      </c>
      <c r="H459">
        <v>90</v>
      </c>
      <c r="I459">
        <v>30</v>
      </c>
      <c r="J459">
        <v>55</v>
      </c>
      <c r="K459">
        <v>65</v>
      </c>
      <c r="L459">
        <v>4</v>
      </c>
      <c r="M459" t="b">
        <v>0</v>
      </c>
    </row>
    <row r="460" spans="1:13">
      <c r="A460">
        <v>452</v>
      </c>
      <c r="B460" t="s">
        <v>486</v>
      </c>
      <c r="C460" t="s">
        <v>15</v>
      </c>
      <c r="D460" t="s">
        <v>158</v>
      </c>
      <c r="E460">
        <v>500</v>
      </c>
      <c r="F460">
        <v>70</v>
      </c>
      <c r="G460">
        <v>90</v>
      </c>
      <c r="H460">
        <v>110</v>
      </c>
      <c r="I460">
        <v>60</v>
      </c>
      <c r="J460">
        <v>75</v>
      </c>
      <c r="K460">
        <v>95</v>
      </c>
      <c r="L460">
        <v>4</v>
      </c>
      <c r="M460" t="b">
        <v>0</v>
      </c>
    </row>
    <row r="461" spans="1:13">
      <c r="A461">
        <v>453</v>
      </c>
      <c r="B461" t="s">
        <v>487</v>
      </c>
      <c r="C461" t="s">
        <v>15</v>
      </c>
      <c r="D461" t="s">
        <v>78</v>
      </c>
      <c r="E461">
        <v>300</v>
      </c>
      <c r="F461">
        <v>48</v>
      </c>
      <c r="G461">
        <v>61</v>
      </c>
      <c r="H461">
        <v>40</v>
      </c>
      <c r="I461">
        <v>61</v>
      </c>
      <c r="J461">
        <v>40</v>
      </c>
      <c r="K461">
        <v>50</v>
      </c>
      <c r="L461">
        <v>4</v>
      </c>
      <c r="M461" t="b">
        <v>0</v>
      </c>
    </row>
    <row r="462" spans="1:13">
      <c r="A462">
        <v>454</v>
      </c>
      <c r="B462" t="s">
        <v>488</v>
      </c>
      <c r="C462" t="s">
        <v>15</v>
      </c>
      <c r="D462" t="s">
        <v>78</v>
      </c>
      <c r="E462">
        <v>490</v>
      </c>
      <c r="F462">
        <v>83</v>
      </c>
      <c r="G462">
        <v>106</v>
      </c>
      <c r="H462">
        <v>65</v>
      </c>
      <c r="I462">
        <v>86</v>
      </c>
      <c r="J462">
        <v>65</v>
      </c>
      <c r="K462">
        <v>85</v>
      </c>
      <c r="L462">
        <v>4</v>
      </c>
      <c r="M462" t="b">
        <v>0</v>
      </c>
    </row>
    <row r="463" spans="1:13">
      <c r="A463">
        <v>455</v>
      </c>
      <c r="B463" t="s">
        <v>489</v>
      </c>
      <c r="C463" t="s">
        <v>14</v>
      </c>
      <c r="E463">
        <v>454</v>
      </c>
      <c r="F463">
        <v>74</v>
      </c>
      <c r="G463">
        <v>100</v>
      </c>
      <c r="H463">
        <v>72</v>
      </c>
      <c r="I463">
        <v>90</v>
      </c>
      <c r="J463">
        <v>72</v>
      </c>
      <c r="K463">
        <v>46</v>
      </c>
      <c r="L463">
        <v>4</v>
      </c>
      <c r="M463" t="b">
        <v>0</v>
      </c>
    </row>
    <row r="464" spans="1:13">
      <c r="A464">
        <v>456</v>
      </c>
      <c r="B464" t="s">
        <v>490</v>
      </c>
      <c r="C464" t="s">
        <v>25</v>
      </c>
      <c r="E464">
        <v>330</v>
      </c>
      <c r="F464">
        <v>49</v>
      </c>
      <c r="G464">
        <v>49</v>
      </c>
      <c r="H464">
        <v>56</v>
      </c>
      <c r="I464">
        <v>49</v>
      </c>
      <c r="J464">
        <v>61</v>
      </c>
      <c r="K464">
        <v>66</v>
      </c>
      <c r="L464">
        <v>4</v>
      </c>
      <c r="M464" t="b">
        <v>0</v>
      </c>
    </row>
    <row r="465" spans="1:13">
      <c r="A465">
        <v>457</v>
      </c>
      <c r="B465" t="s">
        <v>491</v>
      </c>
      <c r="C465" t="s">
        <v>25</v>
      </c>
      <c r="E465">
        <v>460</v>
      </c>
      <c r="F465">
        <v>69</v>
      </c>
      <c r="G465">
        <v>69</v>
      </c>
      <c r="H465">
        <v>76</v>
      </c>
      <c r="I465">
        <v>69</v>
      </c>
      <c r="J465">
        <v>86</v>
      </c>
      <c r="K465">
        <v>91</v>
      </c>
      <c r="L465">
        <v>4</v>
      </c>
      <c r="M465" t="b">
        <v>0</v>
      </c>
    </row>
    <row r="466" spans="1:13">
      <c r="A466">
        <v>458</v>
      </c>
      <c r="B466" t="s">
        <v>492</v>
      </c>
      <c r="C466" t="s">
        <v>25</v>
      </c>
      <c r="D466" t="s">
        <v>22</v>
      </c>
      <c r="E466">
        <v>345</v>
      </c>
      <c r="F466">
        <v>45</v>
      </c>
      <c r="G466">
        <v>20</v>
      </c>
      <c r="H466">
        <v>50</v>
      </c>
      <c r="I466">
        <v>60</v>
      </c>
      <c r="J466">
        <v>120</v>
      </c>
      <c r="K466">
        <v>50</v>
      </c>
      <c r="L466">
        <v>4</v>
      </c>
      <c r="M466" t="b">
        <v>0</v>
      </c>
    </row>
    <row r="467" spans="1:13">
      <c r="A467">
        <v>459</v>
      </c>
      <c r="B467" t="s">
        <v>493</v>
      </c>
      <c r="C467" t="s">
        <v>14</v>
      </c>
      <c r="D467" t="s">
        <v>113</v>
      </c>
      <c r="E467">
        <v>334</v>
      </c>
      <c r="F467">
        <v>60</v>
      </c>
      <c r="G467">
        <v>62</v>
      </c>
      <c r="H467">
        <v>50</v>
      </c>
      <c r="I467">
        <v>62</v>
      </c>
      <c r="J467">
        <v>60</v>
      </c>
      <c r="K467">
        <v>40</v>
      </c>
      <c r="L467">
        <v>4</v>
      </c>
      <c r="M467" t="b">
        <v>0</v>
      </c>
    </row>
    <row r="468" spans="1:13">
      <c r="A468">
        <v>460</v>
      </c>
      <c r="B468" t="s">
        <v>494</v>
      </c>
      <c r="C468" t="s">
        <v>14</v>
      </c>
      <c r="D468" t="s">
        <v>113</v>
      </c>
      <c r="E468">
        <v>494</v>
      </c>
      <c r="F468">
        <v>90</v>
      </c>
      <c r="G468">
        <v>92</v>
      </c>
      <c r="H468">
        <v>75</v>
      </c>
      <c r="I468">
        <v>92</v>
      </c>
      <c r="J468">
        <v>85</v>
      </c>
      <c r="K468">
        <v>60</v>
      </c>
      <c r="L468">
        <v>4</v>
      </c>
      <c r="M468" t="b">
        <v>0</v>
      </c>
    </row>
    <row r="469" spans="1:13">
      <c r="A469">
        <v>461</v>
      </c>
      <c r="B469" t="s">
        <v>495</v>
      </c>
      <c r="C469" t="s">
        <v>158</v>
      </c>
      <c r="D469" t="s">
        <v>113</v>
      </c>
      <c r="E469">
        <v>510</v>
      </c>
      <c r="F469">
        <v>70</v>
      </c>
      <c r="G469">
        <v>120</v>
      </c>
      <c r="H469">
        <v>65</v>
      </c>
      <c r="I469">
        <v>45</v>
      </c>
      <c r="J469">
        <v>85</v>
      </c>
      <c r="K469">
        <v>125</v>
      </c>
      <c r="L469">
        <v>4</v>
      </c>
      <c r="M469" t="b">
        <v>0</v>
      </c>
    </row>
    <row r="470" spans="1:13">
      <c r="A470">
        <v>462</v>
      </c>
      <c r="B470" t="s">
        <v>496</v>
      </c>
      <c r="C470" t="s">
        <v>46</v>
      </c>
      <c r="D470" t="s">
        <v>106</v>
      </c>
      <c r="E470">
        <v>535</v>
      </c>
      <c r="F470">
        <v>70</v>
      </c>
      <c r="G470">
        <v>70</v>
      </c>
      <c r="H470">
        <v>115</v>
      </c>
      <c r="I470">
        <v>130</v>
      </c>
      <c r="J470">
        <v>90</v>
      </c>
      <c r="K470">
        <v>60</v>
      </c>
      <c r="L470">
        <v>4</v>
      </c>
      <c r="M470" t="b">
        <v>0</v>
      </c>
    </row>
    <row r="471" spans="1:13">
      <c r="A471">
        <v>463</v>
      </c>
      <c r="B471" t="s">
        <v>497</v>
      </c>
      <c r="C471" t="s">
        <v>36</v>
      </c>
      <c r="E471">
        <v>515</v>
      </c>
      <c r="F471">
        <v>110</v>
      </c>
      <c r="G471">
        <v>85</v>
      </c>
      <c r="H471">
        <v>95</v>
      </c>
      <c r="I471">
        <v>80</v>
      </c>
      <c r="J471">
        <v>95</v>
      </c>
      <c r="K471">
        <v>50</v>
      </c>
      <c r="L471">
        <v>4</v>
      </c>
      <c r="M471" t="b">
        <v>0</v>
      </c>
    </row>
    <row r="472" spans="1:13">
      <c r="A472">
        <v>464</v>
      </c>
      <c r="B472" t="s">
        <v>498</v>
      </c>
      <c r="C472" t="s">
        <v>49</v>
      </c>
      <c r="D472" t="s">
        <v>98</v>
      </c>
      <c r="E472">
        <v>535</v>
      </c>
      <c r="F472">
        <v>115</v>
      </c>
      <c r="G472">
        <v>140</v>
      </c>
      <c r="H472">
        <v>130</v>
      </c>
      <c r="I472">
        <v>55</v>
      </c>
      <c r="J472">
        <v>55</v>
      </c>
      <c r="K472">
        <v>40</v>
      </c>
      <c r="L472">
        <v>4</v>
      </c>
      <c r="M472" t="b">
        <v>0</v>
      </c>
    </row>
    <row r="473" spans="1:13">
      <c r="A473">
        <v>465</v>
      </c>
      <c r="B473" t="s">
        <v>499</v>
      </c>
      <c r="C473" t="s">
        <v>14</v>
      </c>
      <c r="E473">
        <v>535</v>
      </c>
      <c r="F473">
        <v>100</v>
      </c>
      <c r="G473">
        <v>100</v>
      </c>
      <c r="H473">
        <v>125</v>
      </c>
      <c r="I473">
        <v>110</v>
      </c>
      <c r="J473">
        <v>50</v>
      </c>
      <c r="K473">
        <v>50</v>
      </c>
      <c r="L473">
        <v>4</v>
      </c>
      <c r="M473" t="b">
        <v>0</v>
      </c>
    </row>
    <row r="474" spans="1:13">
      <c r="A474">
        <v>466</v>
      </c>
      <c r="B474" t="s">
        <v>500</v>
      </c>
      <c r="C474" t="s">
        <v>46</v>
      </c>
      <c r="E474">
        <v>540</v>
      </c>
      <c r="F474">
        <v>75</v>
      </c>
      <c r="G474">
        <v>123</v>
      </c>
      <c r="H474">
        <v>67</v>
      </c>
      <c r="I474">
        <v>95</v>
      </c>
      <c r="J474">
        <v>85</v>
      </c>
      <c r="K474">
        <v>95</v>
      </c>
      <c r="L474">
        <v>4</v>
      </c>
      <c r="M474" t="b">
        <v>0</v>
      </c>
    </row>
    <row r="475" spans="1:13">
      <c r="A475">
        <v>467</v>
      </c>
      <c r="B475" t="s">
        <v>501</v>
      </c>
      <c r="C475" t="s">
        <v>19</v>
      </c>
      <c r="E475">
        <v>540</v>
      </c>
      <c r="F475">
        <v>75</v>
      </c>
      <c r="G475">
        <v>95</v>
      </c>
      <c r="H475">
        <v>67</v>
      </c>
      <c r="I475">
        <v>125</v>
      </c>
      <c r="J475">
        <v>95</v>
      </c>
      <c r="K475">
        <v>83</v>
      </c>
      <c r="L475">
        <v>4</v>
      </c>
      <c r="M475" t="b">
        <v>0</v>
      </c>
    </row>
    <row r="476" spans="1:13">
      <c r="A476">
        <v>468</v>
      </c>
      <c r="B476" t="s">
        <v>502</v>
      </c>
      <c r="C476" t="s">
        <v>56</v>
      </c>
      <c r="D476" t="s">
        <v>22</v>
      </c>
      <c r="E476">
        <v>545</v>
      </c>
      <c r="F476">
        <v>85</v>
      </c>
      <c r="G476">
        <v>50</v>
      </c>
      <c r="H476">
        <v>95</v>
      </c>
      <c r="I476">
        <v>120</v>
      </c>
      <c r="J476">
        <v>115</v>
      </c>
      <c r="K476">
        <v>80</v>
      </c>
      <c r="L476">
        <v>4</v>
      </c>
      <c r="M476" t="b">
        <v>0</v>
      </c>
    </row>
    <row r="477" spans="1:13">
      <c r="A477">
        <v>470</v>
      </c>
      <c r="B477" t="s">
        <v>503</v>
      </c>
      <c r="C477" t="s">
        <v>14</v>
      </c>
      <c r="E477">
        <v>525</v>
      </c>
      <c r="F477">
        <v>65</v>
      </c>
      <c r="G477">
        <v>110</v>
      </c>
      <c r="H477">
        <v>130</v>
      </c>
      <c r="I477">
        <v>60</v>
      </c>
      <c r="J477">
        <v>65</v>
      </c>
      <c r="K477">
        <v>95</v>
      </c>
      <c r="L477">
        <v>4</v>
      </c>
      <c r="M477" t="b">
        <v>0</v>
      </c>
    </row>
    <row r="478" spans="1:13">
      <c r="A478">
        <v>471</v>
      </c>
      <c r="B478" t="s">
        <v>504</v>
      </c>
      <c r="C478" t="s">
        <v>113</v>
      </c>
      <c r="E478">
        <v>525</v>
      </c>
      <c r="F478">
        <v>65</v>
      </c>
      <c r="G478">
        <v>60</v>
      </c>
      <c r="H478">
        <v>110</v>
      </c>
      <c r="I478">
        <v>130</v>
      </c>
      <c r="J478">
        <v>95</v>
      </c>
      <c r="K478">
        <v>65</v>
      </c>
      <c r="L478">
        <v>4</v>
      </c>
      <c r="M478" t="b">
        <v>0</v>
      </c>
    </row>
    <row r="479" spans="1:13">
      <c r="A479">
        <v>472</v>
      </c>
      <c r="B479" t="s">
        <v>505</v>
      </c>
      <c r="C479" t="s">
        <v>49</v>
      </c>
      <c r="D479" t="s">
        <v>22</v>
      </c>
      <c r="E479">
        <v>510</v>
      </c>
      <c r="F479">
        <v>75</v>
      </c>
      <c r="G479">
        <v>95</v>
      </c>
      <c r="H479">
        <v>125</v>
      </c>
      <c r="I479">
        <v>45</v>
      </c>
      <c r="J479">
        <v>75</v>
      </c>
      <c r="K479">
        <v>95</v>
      </c>
      <c r="L479">
        <v>4</v>
      </c>
      <c r="M479" t="b">
        <v>0</v>
      </c>
    </row>
    <row r="480" spans="1:13">
      <c r="A480">
        <v>473</v>
      </c>
      <c r="B480" t="s">
        <v>506</v>
      </c>
      <c r="C480" t="s">
        <v>113</v>
      </c>
      <c r="D480" t="s">
        <v>49</v>
      </c>
      <c r="E480">
        <v>530</v>
      </c>
      <c r="F480">
        <v>110</v>
      </c>
      <c r="G480">
        <v>130</v>
      </c>
      <c r="H480">
        <v>80</v>
      </c>
      <c r="I480">
        <v>70</v>
      </c>
      <c r="J480">
        <v>60</v>
      </c>
      <c r="K480">
        <v>80</v>
      </c>
      <c r="L480">
        <v>4</v>
      </c>
      <c r="M480" t="b">
        <v>0</v>
      </c>
    </row>
    <row r="481" spans="1:13">
      <c r="A481">
        <v>474</v>
      </c>
      <c r="B481" t="s">
        <v>507</v>
      </c>
      <c r="C481" t="s">
        <v>36</v>
      </c>
      <c r="E481">
        <v>535</v>
      </c>
      <c r="F481">
        <v>85</v>
      </c>
      <c r="G481">
        <v>80</v>
      </c>
      <c r="H481">
        <v>70</v>
      </c>
      <c r="I481">
        <v>135</v>
      </c>
      <c r="J481">
        <v>75</v>
      </c>
      <c r="K481">
        <v>90</v>
      </c>
      <c r="L481">
        <v>4</v>
      </c>
      <c r="M481" t="b">
        <v>0</v>
      </c>
    </row>
    <row r="482" spans="1:13">
      <c r="A482">
        <v>475</v>
      </c>
      <c r="B482" t="s">
        <v>508</v>
      </c>
      <c r="C482" t="s">
        <v>86</v>
      </c>
      <c r="D482" t="s">
        <v>78</v>
      </c>
      <c r="E482">
        <v>518</v>
      </c>
      <c r="F482">
        <v>68</v>
      </c>
      <c r="G482">
        <v>125</v>
      </c>
      <c r="H482">
        <v>65</v>
      </c>
      <c r="I482">
        <v>65</v>
      </c>
      <c r="J482">
        <v>115</v>
      </c>
      <c r="K482">
        <v>80</v>
      </c>
      <c r="L482">
        <v>4</v>
      </c>
      <c r="M482" t="b">
        <v>0</v>
      </c>
    </row>
    <row r="483" spans="1:13">
      <c r="A483">
        <v>476</v>
      </c>
      <c r="B483" t="s">
        <v>509</v>
      </c>
      <c r="C483" t="s">
        <v>98</v>
      </c>
      <c r="D483" t="s">
        <v>106</v>
      </c>
      <c r="E483">
        <v>525</v>
      </c>
      <c r="F483">
        <v>60</v>
      </c>
      <c r="G483">
        <v>55</v>
      </c>
      <c r="H483">
        <v>145</v>
      </c>
      <c r="I483">
        <v>75</v>
      </c>
      <c r="J483">
        <v>150</v>
      </c>
      <c r="K483">
        <v>40</v>
      </c>
      <c r="L483">
        <v>4</v>
      </c>
      <c r="M483" t="b">
        <v>0</v>
      </c>
    </row>
    <row r="484" spans="1:13">
      <c r="A484">
        <v>477</v>
      </c>
      <c r="B484" t="s">
        <v>510</v>
      </c>
      <c r="C484" t="s">
        <v>119</v>
      </c>
      <c r="E484">
        <v>525</v>
      </c>
      <c r="F484">
        <v>45</v>
      </c>
      <c r="G484">
        <v>100</v>
      </c>
      <c r="H484">
        <v>135</v>
      </c>
      <c r="I484">
        <v>65</v>
      </c>
      <c r="J484">
        <v>135</v>
      </c>
      <c r="K484">
        <v>45</v>
      </c>
      <c r="L484">
        <v>4</v>
      </c>
      <c r="M484" t="b">
        <v>0</v>
      </c>
    </row>
    <row r="485" spans="1:13">
      <c r="A485">
        <v>478</v>
      </c>
      <c r="B485" t="s">
        <v>511</v>
      </c>
      <c r="C485" t="s">
        <v>113</v>
      </c>
      <c r="D485" t="s">
        <v>119</v>
      </c>
      <c r="E485">
        <v>480</v>
      </c>
      <c r="F485">
        <v>70</v>
      </c>
      <c r="G485">
        <v>80</v>
      </c>
      <c r="H485">
        <v>70</v>
      </c>
      <c r="I485">
        <v>80</v>
      </c>
      <c r="J485">
        <v>70</v>
      </c>
      <c r="K485">
        <v>110</v>
      </c>
      <c r="L485">
        <v>4</v>
      </c>
      <c r="M485" t="b">
        <v>0</v>
      </c>
    </row>
    <row r="486" spans="1:13">
      <c r="A486">
        <v>479</v>
      </c>
      <c r="B486" t="s">
        <v>512</v>
      </c>
      <c r="C486" t="s">
        <v>46</v>
      </c>
      <c r="D486" t="s">
        <v>119</v>
      </c>
      <c r="E486">
        <v>440</v>
      </c>
      <c r="F486">
        <v>50</v>
      </c>
      <c r="G486">
        <v>50</v>
      </c>
      <c r="H486">
        <v>77</v>
      </c>
      <c r="I486">
        <v>95</v>
      </c>
      <c r="J486">
        <v>77</v>
      </c>
      <c r="K486">
        <v>91</v>
      </c>
      <c r="L486">
        <v>4</v>
      </c>
      <c r="M486" t="b">
        <v>0</v>
      </c>
    </row>
    <row r="487" spans="1:13">
      <c r="A487">
        <v>479</v>
      </c>
      <c r="B487" t="s">
        <v>513</v>
      </c>
      <c r="C487" t="s">
        <v>46</v>
      </c>
      <c r="D487" t="s">
        <v>19</v>
      </c>
      <c r="E487">
        <v>520</v>
      </c>
      <c r="F487">
        <v>50</v>
      </c>
      <c r="G487">
        <v>65</v>
      </c>
      <c r="H487">
        <v>107</v>
      </c>
      <c r="I487">
        <v>105</v>
      </c>
      <c r="J487">
        <v>107</v>
      </c>
      <c r="K487">
        <v>86</v>
      </c>
      <c r="L487">
        <v>4</v>
      </c>
      <c r="M487" t="b">
        <v>0</v>
      </c>
    </row>
    <row r="488" spans="1:13">
      <c r="A488">
        <v>479</v>
      </c>
      <c r="B488" t="s">
        <v>514</v>
      </c>
      <c r="C488" t="s">
        <v>46</v>
      </c>
      <c r="D488" t="s">
        <v>25</v>
      </c>
      <c r="E488">
        <v>520</v>
      </c>
      <c r="F488">
        <v>50</v>
      </c>
      <c r="G488">
        <v>65</v>
      </c>
      <c r="H488">
        <v>107</v>
      </c>
      <c r="I488">
        <v>105</v>
      </c>
      <c r="J488">
        <v>107</v>
      </c>
      <c r="K488">
        <v>86</v>
      </c>
      <c r="L488">
        <v>4</v>
      </c>
      <c r="M488" t="b">
        <v>0</v>
      </c>
    </row>
    <row r="489" spans="1:13">
      <c r="A489">
        <v>479</v>
      </c>
      <c r="B489" t="s">
        <v>515</v>
      </c>
      <c r="C489" t="s">
        <v>46</v>
      </c>
      <c r="D489" t="s">
        <v>113</v>
      </c>
      <c r="E489">
        <v>520</v>
      </c>
      <c r="F489">
        <v>50</v>
      </c>
      <c r="G489">
        <v>65</v>
      </c>
      <c r="H489">
        <v>107</v>
      </c>
      <c r="I489">
        <v>105</v>
      </c>
      <c r="J489">
        <v>107</v>
      </c>
      <c r="K489">
        <v>86</v>
      </c>
      <c r="L489">
        <v>4</v>
      </c>
      <c r="M489" t="b">
        <v>0</v>
      </c>
    </row>
    <row r="490" spans="1:13">
      <c r="A490">
        <v>479</v>
      </c>
      <c r="B490" t="s">
        <v>516</v>
      </c>
      <c r="C490" t="s">
        <v>46</v>
      </c>
      <c r="D490" t="s">
        <v>22</v>
      </c>
      <c r="E490">
        <v>520</v>
      </c>
      <c r="F490">
        <v>50</v>
      </c>
      <c r="G490">
        <v>65</v>
      </c>
      <c r="H490">
        <v>107</v>
      </c>
      <c r="I490">
        <v>105</v>
      </c>
      <c r="J490">
        <v>107</v>
      </c>
      <c r="K490">
        <v>86</v>
      </c>
      <c r="L490">
        <v>4</v>
      </c>
      <c r="M490" t="b">
        <v>0</v>
      </c>
    </row>
    <row r="491" spans="1:13">
      <c r="A491">
        <v>479</v>
      </c>
      <c r="B491" t="s">
        <v>517</v>
      </c>
      <c r="C491" t="s">
        <v>46</v>
      </c>
      <c r="D491" t="s">
        <v>14</v>
      </c>
      <c r="E491">
        <v>520</v>
      </c>
      <c r="F491">
        <v>50</v>
      </c>
      <c r="G491">
        <v>65</v>
      </c>
      <c r="H491">
        <v>107</v>
      </c>
      <c r="I491">
        <v>105</v>
      </c>
      <c r="J491">
        <v>107</v>
      </c>
      <c r="K491">
        <v>86</v>
      </c>
      <c r="L491">
        <v>4</v>
      </c>
      <c r="M491" t="b">
        <v>0</v>
      </c>
    </row>
    <row r="492" spans="1:13">
      <c r="A492">
        <v>480</v>
      </c>
      <c r="B492" t="s">
        <v>518</v>
      </c>
      <c r="C492" t="s">
        <v>86</v>
      </c>
      <c r="E492">
        <v>580</v>
      </c>
      <c r="F492">
        <v>75</v>
      </c>
      <c r="G492">
        <v>75</v>
      </c>
      <c r="H492">
        <v>130</v>
      </c>
      <c r="I492">
        <v>75</v>
      </c>
      <c r="J492">
        <v>130</v>
      </c>
      <c r="K492">
        <v>95</v>
      </c>
      <c r="L492">
        <v>4</v>
      </c>
      <c r="M492" t="b">
        <v>1</v>
      </c>
    </row>
    <row r="493" spans="1:13">
      <c r="A493">
        <v>481</v>
      </c>
      <c r="B493" t="s">
        <v>519</v>
      </c>
      <c r="C493" t="s">
        <v>86</v>
      </c>
      <c r="E493">
        <v>580</v>
      </c>
      <c r="F493">
        <v>80</v>
      </c>
      <c r="G493">
        <v>105</v>
      </c>
      <c r="H493">
        <v>105</v>
      </c>
      <c r="I493">
        <v>105</v>
      </c>
      <c r="J493">
        <v>105</v>
      </c>
      <c r="K493">
        <v>80</v>
      </c>
      <c r="L493">
        <v>4</v>
      </c>
      <c r="M493" t="b">
        <v>1</v>
      </c>
    </row>
    <row r="494" spans="1:13">
      <c r="A494">
        <v>482</v>
      </c>
      <c r="B494" t="s">
        <v>520</v>
      </c>
      <c r="C494" t="s">
        <v>86</v>
      </c>
      <c r="E494">
        <v>580</v>
      </c>
      <c r="F494">
        <v>75</v>
      </c>
      <c r="G494">
        <v>125</v>
      </c>
      <c r="H494">
        <v>70</v>
      </c>
      <c r="I494">
        <v>125</v>
      </c>
      <c r="J494">
        <v>70</v>
      </c>
      <c r="K494">
        <v>115</v>
      </c>
      <c r="L494">
        <v>4</v>
      </c>
      <c r="M494" t="b">
        <v>1</v>
      </c>
    </row>
    <row r="495" spans="1:13">
      <c r="A495">
        <v>483</v>
      </c>
      <c r="B495" t="s">
        <v>521</v>
      </c>
      <c r="C495" t="s">
        <v>106</v>
      </c>
      <c r="D495" t="s">
        <v>23</v>
      </c>
      <c r="E495">
        <v>680</v>
      </c>
      <c r="F495">
        <v>100</v>
      </c>
      <c r="G495">
        <v>120</v>
      </c>
      <c r="H495">
        <v>120</v>
      </c>
      <c r="I495">
        <v>150</v>
      </c>
      <c r="J495">
        <v>100</v>
      </c>
      <c r="K495">
        <v>90</v>
      </c>
      <c r="L495">
        <v>4</v>
      </c>
      <c r="M495" t="b">
        <v>1</v>
      </c>
    </row>
    <row r="496" spans="1:13">
      <c r="A496">
        <v>484</v>
      </c>
      <c r="B496" t="s">
        <v>522</v>
      </c>
      <c r="C496" t="s">
        <v>25</v>
      </c>
      <c r="D496" t="s">
        <v>23</v>
      </c>
      <c r="E496">
        <v>680</v>
      </c>
      <c r="F496">
        <v>90</v>
      </c>
      <c r="G496">
        <v>120</v>
      </c>
      <c r="H496">
        <v>100</v>
      </c>
      <c r="I496">
        <v>150</v>
      </c>
      <c r="J496">
        <v>120</v>
      </c>
      <c r="K496">
        <v>100</v>
      </c>
      <c r="L496">
        <v>4</v>
      </c>
      <c r="M496" t="b">
        <v>1</v>
      </c>
    </row>
    <row r="497" spans="1:13">
      <c r="A497">
        <v>485</v>
      </c>
      <c r="B497" t="s">
        <v>523</v>
      </c>
      <c r="C497" t="s">
        <v>19</v>
      </c>
      <c r="D497" t="s">
        <v>106</v>
      </c>
      <c r="E497">
        <v>600</v>
      </c>
      <c r="F497">
        <v>91</v>
      </c>
      <c r="G497">
        <v>90</v>
      </c>
      <c r="H497">
        <v>106</v>
      </c>
      <c r="I497">
        <v>130</v>
      </c>
      <c r="J497">
        <v>106</v>
      </c>
      <c r="K497">
        <v>77</v>
      </c>
      <c r="L497">
        <v>4</v>
      </c>
      <c r="M497" t="b">
        <v>1</v>
      </c>
    </row>
    <row r="498" spans="1:13">
      <c r="A498">
        <v>486</v>
      </c>
      <c r="B498" t="s">
        <v>524</v>
      </c>
      <c r="C498" t="s">
        <v>36</v>
      </c>
      <c r="E498">
        <v>670</v>
      </c>
      <c r="F498">
        <v>110</v>
      </c>
      <c r="G498">
        <v>160</v>
      </c>
      <c r="H498">
        <v>110</v>
      </c>
      <c r="I498">
        <v>80</v>
      </c>
      <c r="J498">
        <v>110</v>
      </c>
      <c r="K498">
        <v>100</v>
      </c>
      <c r="L498">
        <v>4</v>
      </c>
      <c r="M498" t="b">
        <v>1</v>
      </c>
    </row>
    <row r="499" spans="1:13">
      <c r="A499">
        <v>487</v>
      </c>
      <c r="B499" t="s">
        <v>525</v>
      </c>
      <c r="C499" t="s">
        <v>119</v>
      </c>
      <c r="D499" t="s">
        <v>23</v>
      </c>
      <c r="E499">
        <v>680</v>
      </c>
      <c r="F499">
        <v>150</v>
      </c>
      <c r="G499">
        <v>100</v>
      </c>
      <c r="H499">
        <v>120</v>
      </c>
      <c r="I499">
        <v>100</v>
      </c>
      <c r="J499">
        <v>120</v>
      </c>
      <c r="K499">
        <v>90</v>
      </c>
      <c r="L499">
        <v>4</v>
      </c>
      <c r="M499" t="b">
        <v>1</v>
      </c>
    </row>
    <row r="500" spans="1:13">
      <c r="A500">
        <v>487</v>
      </c>
      <c r="B500" t="s">
        <v>526</v>
      </c>
      <c r="C500" t="s">
        <v>119</v>
      </c>
      <c r="D500" t="s">
        <v>23</v>
      </c>
      <c r="E500">
        <v>680</v>
      </c>
      <c r="F500">
        <v>150</v>
      </c>
      <c r="G500">
        <v>120</v>
      </c>
      <c r="H500">
        <v>100</v>
      </c>
      <c r="I500">
        <v>120</v>
      </c>
      <c r="J500">
        <v>100</v>
      </c>
      <c r="K500">
        <v>90</v>
      </c>
      <c r="L500">
        <v>4</v>
      </c>
      <c r="M500" t="b">
        <v>1</v>
      </c>
    </row>
    <row r="501" spans="1:13">
      <c r="A501">
        <v>488</v>
      </c>
      <c r="B501" t="s">
        <v>527</v>
      </c>
      <c r="C501" t="s">
        <v>86</v>
      </c>
      <c r="E501">
        <v>600</v>
      </c>
      <c r="F501">
        <v>120</v>
      </c>
      <c r="G501">
        <v>70</v>
      </c>
      <c r="H501">
        <v>120</v>
      </c>
      <c r="I501">
        <v>75</v>
      </c>
      <c r="J501">
        <v>130</v>
      </c>
      <c r="K501">
        <v>85</v>
      </c>
      <c r="L501">
        <v>4</v>
      </c>
      <c r="M501" t="b">
        <v>0</v>
      </c>
    </row>
    <row r="502" spans="1:13">
      <c r="A502">
        <v>489</v>
      </c>
      <c r="B502" t="s">
        <v>528</v>
      </c>
      <c r="C502" t="s">
        <v>25</v>
      </c>
      <c r="E502">
        <v>480</v>
      </c>
      <c r="F502">
        <v>80</v>
      </c>
      <c r="G502">
        <v>80</v>
      </c>
      <c r="H502">
        <v>80</v>
      </c>
      <c r="I502">
        <v>80</v>
      </c>
      <c r="J502">
        <v>80</v>
      </c>
      <c r="K502">
        <v>80</v>
      </c>
      <c r="L502">
        <v>4</v>
      </c>
      <c r="M502" t="b">
        <v>0</v>
      </c>
    </row>
    <row r="503" spans="1:13">
      <c r="A503">
        <v>490</v>
      </c>
      <c r="B503" t="s">
        <v>529</v>
      </c>
      <c r="C503" t="s">
        <v>25</v>
      </c>
      <c r="E503">
        <v>600</v>
      </c>
      <c r="F503">
        <v>100</v>
      </c>
      <c r="G503">
        <v>100</v>
      </c>
      <c r="H503">
        <v>100</v>
      </c>
      <c r="I503">
        <v>100</v>
      </c>
      <c r="J503">
        <v>100</v>
      </c>
      <c r="K503">
        <v>100</v>
      </c>
      <c r="L503">
        <v>4</v>
      </c>
      <c r="M503" t="b">
        <v>0</v>
      </c>
    </row>
    <row r="504" spans="1:13">
      <c r="A504">
        <v>491</v>
      </c>
      <c r="B504" t="s">
        <v>530</v>
      </c>
      <c r="C504" t="s">
        <v>158</v>
      </c>
      <c r="E504">
        <v>600</v>
      </c>
      <c r="F504">
        <v>70</v>
      </c>
      <c r="G504">
        <v>90</v>
      </c>
      <c r="H504">
        <v>90</v>
      </c>
      <c r="I504">
        <v>135</v>
      </c>
      <c r="J504">
        <v>90</v>
      </c>
      <c r="K504">
        <v>125</v>
      </c>
      <c r="L504">
        <v>4</v>
      </c>
      <c r="M504" t="b">
        <v>1</v>
      </c>
    </row>
    <row r="505" spans="1:13">
      <c r="A505">
        <v>492</v>
      </c>
      <c r="B505" t="s">
        <v>531</v>
      </c>
      <c r="C505" t="s">
        <v>14</v>
      </c>
      <c r="E505">
        <v>600</v>
      </c>
      <c r="F505">
        <v>100</v>
      </c>
      <c r="G505">
        <v>100</v>
      </c>
      <c r="H505">
        <v>100</v>
      </c>
      <c r="I505">
        <v>100</v>
      </c>
      <c r="J505">
        <v>100</v>
      </c>
      <c r="K505">
        <v>100</v>
      </c>
      <c r="L505">
        <v>4</v>
      </c>
      <c r="M505" t="b">
        <v>1</v>
      </c>
    </row>
    <row r="506" spans="1:13">
      <c r="A506">
        <v>492</v>
      </c>
      <c r="B506" t="s">
        <v>532</v>
      </c>
      <c r="C506" t="s">
        <v>14</v>
      </c>
      <c r="D506" t="s">
        <v>22</v>
      </c>
      <c r="E506">
        <v>600</v>
      </c>
      <c r="F506">
        <v>100</v>
      </c>
      <c r="G506">
        <v>103</v>
      </c>
      <c r="H506">
        <v>75</v>
      </c>
      <c r="I506">
        <v>120</v>
      </c>
      <c r="J506">
        <v>75</v>
      </c>
      <c r="K506">
        <v>127</v>
      </c>
      <c r="L506">
        <v>4</v>
      </c>
      <c r="M506" t="b">
        <v>1</v>
      </c>
    </row>
    <row r="507" spans="1:13">
      <c r="A507">
        <v>493</v>
      </c>
      <c r="B507" t="s">
        <v>533</v>
      </c>
      <c r="C507" t="s">
        <v>36</v>
      </c>
      <c r="E507">
        <v>720</v>
      </c>
      <c r="F507">
        <v>120</v>
      </c>
      <c r="G507">
        <v>120</v>
      </c>
      <c r="H507">
        <v>120</v>
      </c>
      <c r="I507">
        <v>120</v>
      </c>
      <c r="J507">
        <v>120</v>
      </c>
      <c r="K507">
        <v>120</v>
      </c>
      <c r="L507">
        <v>4</v>
      </c>
      <c r="M507" t="b">
        <v>1</v>
      </c>
    </row>
    <row r="508" spans="1:13">
      <c r="A508">
        <v>494</v>
      </c>
      <c r="B508" t="s">
        <v>534</v>
      </c>
      <c r="C508" t="s">
        <v>86</v>
      </c>
      <c r="D508" t="s">
        <v>19</v>
      </c>
      <c r="E508">
        <v>600</v>
      </c>
      <c r="F508">
        <v>100</v>
      </c>
      <c r="G508">
        <v>100</v>
      </c>
      <c r="H508">
        <v>100</v>
      </c>
      <c r="I508">
        <v>100</v>
      </c>
      <c r="J508">
        <v>100</v>
      </c>
      <c r="K508">
        <v>100</v>
      </c>
      <c r="L508">
        <v>5</v>
      </c>
      <c r="M508" t="b">
        <v>1</v>
      </c>
    </row>
    <row r="509" spans="1:13">
      <c r="A509">
        <v>495</v>
      </c>
      <c r="B509" t="s">
        <v>535</v>
      </c>
      <c r="C509" t="s">
        <v>14</v>
      </c>
      <c r="E509">
        <v>308</v>
      </c>
      <c r="F509">
        <v>45</v>
      </c>
      <c r="G509">
        <v>45</v>
      </c>
      <c r="H509">
        <v>55</v>
      </c>
      <c r="I509">
        <v>45</v>
      </c>
      <c r="J509">
        <v>55</v>
      </c>
      <c r="K509">
        <v>63</v>
      </c>
      <c r="L509">
        <v>5</v>
      </c>
      <c r="M509" t="b">
        <v>0</v>
      </c>
    </row>
    <row r="510" spans="1:13">
      <c r="A510">
        <v>496</v>
      </c>
      <c r="B510" t="s">
        <v>536</v>
      </c>
      <c r="C510" t="s">
        <v>14</v>
      </c>
      <c r="E510">
        <v>413</v>
      </c>
      <c r="F510">
        <v>60</v>
      </c>
      <c r="G510">
        <v>60</v>
      </c>
      <c r="H510">
        <v>75</v>
      </c>
      <c r="I510">
        <v>60</v>
      </c>
      <c r="J510">
        <v>75</v>
      </c>
      <c r="K510">
        <v>83</v>
      </c>
      <c r="L510">
        <v>5</v>
      </c>
      <c r="M510" t="b">
        <v>0</v>
      </c>
    </row>
    <row r="511" spans="1:13">
      <c r="A511">
        <v>497</v>
      </c>
      <c r="B511" t="s">
        <v>537</v>
      </c>
      <c r="C511" t="s">
        <v>14</v>
      </c>
      <c r="E511">
        <v>528</v>
      </c>
      <c r="F511">
        <v>75</v>
      </c>
      <c r="G511">
        <v>75</v>
      </c>
      <c r="H511">
        <v>95</v>
      </c>
      <c r="I511">
        <v>75</v>
      </c>
      <c r="J511">
        <v>95</v>
      </c>
      <c r="K511">
        <v>113</v>
      </c>
      <c r="L511">
        <v>5</v>
      </c>
      <c r="M511" t="b">
        <v>0</v>
      </c>
    </row>
    <row r="512" spans="1:13">
      <c r="A512">
        <v>498</v>
      </c>
      <c r="B512" t="s">
        <v>538</v>
      </c>
      <c r="C512" t="s">
        <v>19</v>
      </c>
      <c r="E512">
        <v>308</v>
      </c>
      <c r="F512">
        <v>65</v>
      </c>
      <c r="G512">
        <v>63</v>
      </c>
      <c r="H512">
        <v>45</v>
      </c>
      <c r="I512">
        <v>45</v>
      </c>
      <c r="J512">
        <v>45</v>
      </c>
      <c r="K512">
        <v>45</v>
      </c>
      <c r="L512">
        <v>5</v>
      </c>
      <c r="M512" t="b">
        <v>0</v>
      </c>
    </row>
    <row r="513" spans="1:13">
      <c r="A513">
        <v>499</v>
      </c>
      <c r="B513" t="s">
        <v>539</v>
      </c>
      <c r="C513" t="s">
        <v>19</v>
      </c>
      <c r="D513" t="s">
        <v>78</v>
      </c>
      <c r="E513">
        <v>418</v>
      </c>
      <c r="F513">
        <v>90</v>
      </c>
      <c r="G513">
        <v>93</v>
      </c>
      <c r="H513">
        <v>55</v>
      </c>
      <c r="I513">
        <v>70</v>
      </c>
      <c r="J513">
        <v>55</v>
      </c>
      <c r="K513">
        <v>55</v>
      </c>
      <c r="L513">
        <v>5</v>
      </c>
      <c r="M513" t="b">
        <v>0</v>
      </c>
    </row>
    <row r="514" spans="1:13">
      <c r="A514">
        <v>500</v>
      </c>
      <c r="B514" t="s">
        <v>540</v>
      </c>
      <c r="C514" t="s">
        <v>19</v>
      </c>
      <c r="D514" t="s">
        <v>78</v>
      </c>
      <c r="E514">
        <v>528</v>
      </c>
      <c r="F514">
        <v>110</v>
      </c>
      <c r="G514">
        <v>123</v>
      </c>
      <c r="H514">
        <v>65</v>
      </c>
      <c r="I514">
        <v>100</v>
      </c>
      <c r="J514">
        <v>65</v>
      </c>
      <c r="K514">
        <v>65</v>
      </c>
      <c r="L514">
        <v>5</v>
      </c>
      <c r="M514" t="b">
        <v>0</v>
      </c>
    </row>
    <row r="515" spans="1:13">
      <c r="A515">
        <v>501</v>
      </c>
      <c r="B515" t="s">
        <v>541</v>
      </c>
      <c r="C515" t="s">
        <v>25</v>
      </c>
      <c r="E515">
        <v>308</v>
      </c>
      <c r="F515">
        <v>55</v>
      </c>
      <c r="G515">
        <v>55</v>
      </c>
      <c r="H515">
        <v>45</v>
      </c>
      <c r="I515">
        <v>63</v>
      </c>
      <c r="J515">
        <v>45</v>
      </c>
      <c r="K515">
        <v>45</v>
      </c>
      <c r="L515">
        <v>5</v>
      </c>
      <c r="M515" t="b">
        <v>0</v>
      </c>
    </row>
    <row r="516" spans="1:13">
      <c r="A516">
        <v>502</v>
      </c>
      <c r="B516" t="s">
        <v>542</v>
      </c>
      <c r="C516" t="s">
        <v>25</v>
      </c>
      <c r="E516">
        <v>413</v>
      </c>
      <c r="F516">
        <v>75</v>
      </c>
      <c r="G516">
        <v>75</v>
      </c>
      <c r="H516">
        <v>60</v>
      </c>
      <c r="I516">
        <v>83</v>
      </c>
      <c r="J516">
        <v>60</v>
      </c>
      <c r="K516">
        <v>60</v>
      </c>
      <c r="L516">
        <v>5</v>
      </c>
      <c r="M516" t="b">
        <v>0</v>
      </c>
    </row>
    <row r="517" spans="1:13">
      <c r="A517">
        <v>503</v>
      </c>
      <c r="B517" t="s">
        <v>543</v>
      </c>
      <c r="C517" t="s">
        <v>25</v>
      </c>
      <c r="E517">
        <v>528</v>
      </c>
      <c r="F517">
        <v>95</v>
      </c>
      <c r="G517">
        <v>100</v>
      </c>
      <c r="H517">
        <v>85</v>
      </c>
      <c r="I517">
        <v>108</v>
      </c>
      <c r="J517">
        <v>70</v>
      </c>
      <c r="K517">
        <v>70</v>
      </c>
      <c r="L517">
        <v>5</v>
      </c>
      <c r="M517" t="b">
        <v>0</v>
      </c>
    </row>
    <row r="518" spans="1:13">
      <c r="A518">
        <v>504</v>
      </c>
      <c r="B518" t="s">
        <v>544</v>
      </c>
      <c r="C518" t="s">
        <v>36</v>
      </c>
      <c r="E518">
        <v>255</v>
      </c>
      <c r="F518">
        <v>45</v>
      </c>
      <c r="G518">
        <v>55</v>
      </c>
      <c r="H518">
        <v>39</v>
      </c>
      <c r="I518">
        <v>35</v>
      </c>
      <c r="J518">
        <v>39</v>
      </c>
      <c r="K518">
        <v>42</v>
      </c>
      <c r="L518">
        <v>5</v>
      </c>
      <c r="M518" t="b">
        <v>0</v>
      </c>
    </row>
    <row r="519" spans="1:13">
      <c r="A519">
        <v>505</v>
      </c>
      <c r="B519" t="s">
        <v>545</v>
      </c>
      <c r="C519" t="s">
        <v>36</v>
      </c>
      <c r="E519">
        <v>420</v>
      </c>
      <c r="F519">
        <v>60</v>
      </c>
      <c r="G519">
        <v>85</v>
      </c>
      <c r="H519">
        <v>69</v>
      </c>
      <c r="I519">
        <v>60</v>
      </c>
      <c r="J519">
        <v>69</v>
      </c>
      <c r="K519">
        <v>77</v>
      </c>
      <c r="L519">
        <v>5</v>
      </c>
      <c r="M519" t="b">
        <v>0</v>
      </c>
    </row>
    <row r="520" spans="1:13">
      <c r="A520">
        <v>506</v>
      </c>
      <c r="B520" t="s">
        <v>546</v>
      </c>
      <c r="C520" t="s">
        <v>36</v>
      </c>
      <c r="E520">
        <v>275</v>
      </c>
      <c r="F520">
        <v>45</v>
      </c>
      <c r="G520">
        <v>60</v>
      </c>
      <c r="H520">
        <v>45</v>
      </c>
      <c r="I520">
        <v>25</v>
      </c>
      <c r="J520">
        <v>45</v>
      </c>
      <c r="K520">
        <v>55</v>
      </c>
      <c r="L520">
        <v>5</v>
      </c>
      <c r="M520" t="b">
        <v>0</v>
      </c>
    </row>
    <row r="521" spans="1:13">
      <c r="A521">
        <v>507</v>
      </c>
      <c r="B521" t="s">
        <v>547</v>
      </c>
      <c r="C521" t="s">
        <v>36</v>
      </c>
      <c r="E521">
        <v>370</v>
      </c>
      <c r="F521">
        <v>65</v>
      </c>
      <c r="G521">
        <v>80</v>
      </c>
      <c r="H521">
        <v>65</v>
      </c>
      <c r="I521">
        <v>35</v>
      </c>
      <c r="J521">
        <v>65</v>
      </c>
      <c r="K521">
        <v>60</v>
      </c>
      <c r="L521">
        <v>5</v>
      </c>
      <c r="M521" t="b">
        <v>0</v>
      </c>
    </row>
    <row r="522" spans="1:13">
      <c r="A522">
        <v>508</v>
      </c>
      <c r="B522" t="s">
        <v>548</v>
      </c>
      <c r="C522" t="s">
        <v>36</v>
      </c>
      <c r="E522">
        <v>500</v>
      </c>
      <c r="F522">
        <v>85</v>
      </c>
      <c r="G522">
        <v>110</v>
      </c>
      <c r="H522">
        <v>90</v>
      </c>
      <c r="I522">
        <v>45</v>
      </c>
      <c r="J522">
        <v>90</v>
      </c>
      <c r="K522">
        <v>80</v>
      </c>
      <c r="L522">
        <v>5</v>
      </c>
      <c r="M522" t="b">
        <v>0</v>
      </c>
    </row>
    <row r="523" spans="1:13">
      <c r="A523">
        <v>509</v>
      </c>
      <c r="B523" t="s">
        <v>549</v>
      </c>
      <c r="C523" t="s">
        <v>158</v>
      </c>
      <c r="E523">
        <v>281</v>
      </c>
      <c r="F523">
        <v>41</v>
      </c>
      <c r="G523">
        <v>50</v>
      </c>
      <c r="H523">
        <v>37</v>
      </c>
      <c r="I523">
        <v>50</v>
      </c>
      <c r="J523">
        <v>37</v>
      </c>
      <c r="K523">
        <v>66</v>
      </c>
      <c r="L523">
        <v>5</v>
      </c>
      <c r="M523" t="b">
        <v>0</v>
      </c>
    </row>
    <row r="524" spans="1:13">
      <c r="A524">
        <v>510</v>
      </c>
      <c r="B524" t="s">
        <v>550</v>
      </c>
      <c r="C524" t="s">
        <v>158</v>
      </c>
      <c r="E524">
        <v>446</v>
      </c>
      <c r="F524">
        <v>64</v>
      </c>
      <c r="G524">
        <v>88</v>
      </c>
      <c r="H524">
        <v>50</v>
      </c>
      <c r="I524">
        <v>88</v>
      </c>
      <c r="J524">
        <v>50</v>
      </c>
      <c r="K524">
        <v>106</v>
      </c>
      <c r="L524">
        <v>5</v>
      </c>
      <c r="M524" t="b">
        <v>0</v>
      </c>
    </row>
    <row r="525" spans="1:13">
      <c r="A525">
        <v>511</v>
      </c>
      <c r="B525" t="s">
        <v>551</v>
      </c>
      <c r="C525" t="s">
        <v>14</v>
      </c>
      <c r="E525">
        <v>316</v>
      </c>
      <c r="F525">
        <v>50</v>
      </c>
      <c r="G525">
        <v>53</v>
      </c>
      <c r="H525">
        <v>48</v>
      </c>
      <c r="I525">
        <v>53</v>
      </c>
      <c r="J525">
        <v>48</v>
      </c>
      <c r="K525">
        <v>64</v>
      </c>
      <c r="L525">
        <v>5</v>
      </c>
      <c r="M525" t="b">
        <v>0</v>
      </c>
    </row>
    <row r="526" spans="1:13">
      <c r="A526">
        <v>512</v>
      </c>
      <c r="B526" t="s">
        <v>552</v>
      </c>
      <c r="C526" t="s">
        <v>14</v>
      </c>
      <c r="E526">
        <v>498</v>
      </c>
      <c r="F526">
        <v>75</v>
      </c>
      <c r="G526">
        <v>98</v>
      </c>
      <c r="H526">
        <v>63</v>
      </c>
      <c r="I526">
        <v>98</v>
      </c>
      <c r="J526">
        <v>63</v>
      </c>
      <c r="K526">
        <v>101</v>
      </c>
      <c r="L526">
        <v>5</v>
      </c>
      <c r="M526" t="b">
        <v>0</v>
      </c>
    </row>
    <row r="527" spans="1:13">
      <c r="A527">
        <v>513</v>
      </c>
      <c r="B527" t="s">
        <v>553</v>
      </c>
      <c r="C527" t="s">
        <v>19</v>
      </c>
      <c r="E527">
        <v>316</v>
      </c>
      <c r="F527">
        <v>50</v>
      </c>
      <c r="G527">
        <v>53</v>
      </c>
      <c r="H527">
        <v>48</v>
      </c>
      <c r="I527">
        <v>53</v>
      </c>
      <c r="J527">
        <v>48</v>
      </c>
      <c r="K527">
        <v>64</v>
      </c>
      <c r="L527">
        <v>5</v>
      </c>
      <c r="M527" t="b">
        <v>0</v>
      </c>
    </row>
    <row r="528" spans="1:13">
      <c r="A528">
        <v>514</v>
      </c>
      <c r="B528" t="s">
        <v>554</v>
      </c>
      <c r="C528" t="s">
        <v>19</v>
      </c>
      <c r="E528">
        <v>498</v>
      </c>
      <c r="F528">
        <v>75</v>
      </c>
      <c r="G528">
        <v>98</v>
      </c>
      <c r="H528">
        <v>63</v>
      </c>
      <c r="I528">
        <v>98</v>
      </c>
      <c r="J528">
        <v>63</v>
      </c>
      <c r="K528">
        <v>101</v>
      </c>
      <c r="L528">
        <v>5</v>
      </c>
      <c r="M528" t="b">
        <v>0</v>
      </c>
    </row>
    <row r="529" spans="1:13">
      <c r="A529">
        <v>515</v>
      </c>
      <c r="B529" t="s">
        <v>555</v>
      </c>
      <c r="C529" t="s">
        <v>25</v>
      </c>
      <c r="E529">
        <v>316</v>
      </c>
      <c r="F529">
        <v>50</v>
      </c>
      <c r="G529">
        <v>53</v>
      </c>
      <c r="H529">
        <v>48</v>
      </c>
      <c r="I529">
        <v>53</v>
      </c>
      <c r="J529">
        <v>48</v>
      </c>
      <c r="K529">
        <v>64</v>
      </c>
      <c r="L529">
        <v>5</v>
      </c>
      <c r="M529" t="b">
        <v>0</v>
      </c>
    </row>
    <row r="530" spans="1:13">
      <c r="A530">
        <v>516</v>
      </c>
      <c r="B530" t="s">
        <v>556</v>
      </c>
      <c r="C530" t="s">
        <v>25</v>
      </c>
      <c r="E530">
        <v>498</v>
      </c>
      <c r="F530">
        <v>75</v>
      </c>
      <c r="G530">
        <v>98</v>
      </c>
      <c r="H530">
        <v>63</v>
      </c>
      <c r="I530">
        <v>98</v>
      </c>
      <c r="J530">
        <v>63</v>
      </c>
      <c r="K530">
        <v>101</v>
      </c>
      <c r="L530">
        <v>5</v>
      </c>
      <c r="M530" t="b">
        <v>0</v>
      </c>
    </row>
    <row r="531" spans="1:13">
      <c r="A531">
        <v>517</v>
      </c>
      <c r="B531" t="s">
        <v>557</v>
      </c>
      <c r="C531" t="s">
        <v>86</v>
      </c>
      <c r="E531">
        <v>292</v>
      </c>
      <c r="F531">
        <v>76</v>
      </c>
      <c r="G531">
        <v>25</v>
      </c>
      <c r="H531">
        <v>45</v>
      </c>
      <c r="I531">
        <v>67</v>
      </c>
      <c r="J531">
        <v>55</v>
      </c>
      <c r="K531">
        <v>24</v>
      </c>
      <c r="L531">
        <v>5</v>
      </c>
      <c r="M531" t="b">
        <v>0</v>
      </c>
    </row>
    <row r="532" spans="1:13">
      <c r="A532">
        <v>518</v>
      </c>
      <c r="B532" t="s">
        <v>558</v>
      </c>
      <c r="C532" t="s">
        <v>86</v>
      </c>
      <c r="E532">
        <v>487</v>
      </c>
      <c r="F532">
        <v>116</v>
      </c>
      <c r="G532">
        <v>55</v>
      </c>
      <c r="H532">
        <v>85</v>
      </c>
      <c r="I532">
        <v>107</v>
      </c>
      <c r="J532">
        <v>95</v>
      </c>
      <c r="K532">
        <v>29</v>
      </c>
      <c r="L532">
        <v>5</v>
      </c>
      <c r="M532" t="b">
        <v>0</v>
      </c>
    </row>
    <row r="533" spans="1:13">
      <c r="A533">
        <v>519</v>
      </c>
      <c r="B533" t="s">
        <v>559</v>
      </c>
      <c r="C533" t="s">
        <v>36</v>
      </c>
      <c r="D533" t="s">
        <v>22</v>
      </c>
      <c r="E533">
        <v>264</v>
      </c>
      <c r="F533">
        <v>50</v>
      </c>
      <c r="G533">
        <v>55</v>
      </c>
      <c r="H533">
        <v>50</v>
      </c>
      <c r="I533">
        <v>36</v>
      </c>
      <c r="J533">
        <v>30</v>
      </c>
      <c r="K533">
        <v>43</v>
      </c>
      <c r="L533">
        <v>5</v>
      </c>
      <c r="M533" t="b">
        <v>0</v>
      </c>
    </row>
    <row r="534" spans="1:13">
      <c r="A534">
        <v>520</v>
      </c>
      <c r="B534" t="s">
        <v>560</v>
      </c>
      <c r="C534" t="s">
        <v>36</v>
      </c>
      <c r="D534" t="s">
        <v>22</v>
      </c>
      <c r="E534">
        <v>358</v>
      </c>
      <c r="F534">
        <v>62</v>
      </c>
      <c r="G534">
        <v>77</v>
      </c>
      <c r="H534">
        <v>62</v>
      </c>
      <c r="I534">
        <v>50</v>
      </c>
      <c r="J534">
        <v>42</v>
      </c>
      <c r="K534">
        <v>65</v>
      </c>
      <c r="L534">
        <v>5</v>
      </c>
      <c r="M534" t="b">
        <v>0</v>
      </c>
    </row>
    <row r="535" spans="1:13">
      <c r="A535">
        <v>521</v>
      </c>
      <c r="B535" t="s">
        <v>561</v>
      </c>
      <c r="C535" t="s">
        <v>36</v>
      </c>
      <c r="D535" t="s">
        <v>22</v>
      </c>
      <c r="E535">
        <v>488</v>
      </c>
      <c r="F535">
        <v>80</v>
      </c>
      <c r="G535">
        <v>115</v>
      </c>
      <c r="H535">
        <v>80</v>
      </c>
      <c r="I535">
        <v>65</v>
      </c>
      <c r="J535">
        <v>55</v>
      </c>
      <c r="K535">
        <v>93</v>
      </c>
      <c r="L535">
        <v>5</v>
      </c>
      <c r="M535" t="b">
        <v>0</v>
      </c>
    </row>
    <row r="536" spans="1:13">
      <c r="A536">
        <v>522</v>
      </c>
      <c r="B536" t="s">
        <v>562</v>
      </c>
      <c r="C536" t="s">
        <v>46</v>
      </c>
      <c r="E536">
        <v>295</v>
      </c>
      <c r="F536">
        <v>45</v>
      </c>
      <c r="G536">
        <v>60</v>
      </c>
      <c r="H536">
        <v>32</v>
      </c>
      <c r="I536">
        <v>50</v>
      </c>
      <c r="J536">
        <v>32</v>
      </c>
      <c r="K536">
        <v>76</v>
      </c>
      <c r="L536">
        <v>5</v>
      </c>
      <c r="M536" t="b">
        <v>0</v>
      </c>
    </row>
    <row r="537" spans="1:13">
      <c r="A537">
        <v>523</v>
      </c>
      <c r="B537" t="s">
        <v>563</v>
      </c>
      <c r="C537" t="s">
        <v>46</v>
      </c>
      <c r="E537">
        <v>497</v>
      </c>
      <c r="F537">
        <v>75</v>
      </c>
      <c r="G537">
        <v>100</v>
      </c>
      <c r="H537">
        <v>63</v>
      </c>
      <c r="I537">
        <v>80</v>
      </c>
      <c r="J537">
        <v>63</v>
      </c>
      <c r="K537">
        <v>116</v>
      </c>
      <c r="L537">
        <v>5</v>
      </c>
      <c r="M537" t="b">
        <v>0</v>
      </c>
    </row>
    <row r="538" spans="1:13">
      <c r="A538">
        <v>524</v>
      </c>
      <c r="B538" t="s">
        <v>564</v>
      </c>
      <c r="C538" t="s">
        <v>98</v>
      </c>
      <c r="E538">
        <v>280</v>
      </c>
      <c r="F538">
        <v>55</v>
      </c>
      <c r="G538">
        <v>75</v>
      </c>
      <c r="H538">
        <v>85</v>
      </c>
      <c r="I538">
        <v>25</v>
      </c>
      <c r="J538">
        <v>25</v>
      </c>
      <c r="K538">
        <v>15</v>
      </c>
      <c r="L538">
        <v>5</v>
      </c>
      <c r="M538" t="b">
        <v>0</v>
      </c>
    </row>
    <row r="539" spans="1:13">
      <c r="A539">
        <v>525</v>
      </c>
      <c r="B539" t="s">
        <v>565</v>
      </c>
      <c r="C539" t="s">
        <v>98</v>
      </c>
      <c r="E539">
        <v>390</v>
      </c>
      <c r="F539">
        <v>70</v>
      </c>
      <c r="G539">
        <v>105</v>
      </c>
      <c r="H539">
        <v>105</v>
      </c>
      <c r="I539">
        <v>50</v>
      </c>
      <c r="J539">
        <v>40</v>
      </c>
      <c r="K539">
        <v>20</v>
      </c>
      <c r="L539">
        <v>5</v>
      </c>
      <c r="M539" t="b">
        <v>0</v>
      </c>
    </row>
    <row r="540" spans="1:13">
      <c r="A540">
        <v>526</v>
      </c>
      <c r="B540" t="s">
        <v>566</v>
      </c>
      <c r="C540" t="s">
        <v>98</v>
      </c>
      <c r="E540">
        <v>515</v>
      </c>
      <c r="F540">
        <v>85</v>
      </c>
      <c r="G540">
        <v>135</v>
      </c>
      <c r="H540">
        <v>130</v>
      </c>
      <c r="I540">
        <v>60</v>
      </c>
      <c r="J540">
        <v>80</v>
      </c>
      <c r="K540">
        <v>25</v>
      </c>
      <c r="L540">
        <v>5</v>
      </c>
      <c r="M540" t="b">
        <v>0</v>
      </c>
    </row>
    <row r="541" spans="1:13">
      <c r="A541">
        <v>527</v>
      </c>
      <c r="B541" t="s">
        <v>567</v>
      </c>
      <c r="C541" t="s">
        <v>86</v>
      </c>
      <c r="D541" t="s">
        <v>22</v>
      </c>
      <c r="E541">
        <v>313</v>
      </c>
      <c r="F541">
        <v>55</v>
      </c>
      <c r="G541">
        <v>45</v>
      </c>
      <c r="H541">
        <v>43</v>
      </c>
      <c r="I541">
        <v>55</v>
      </c>
      <c r="J541">
        <v>43</v>
      </c>
      <c r="K541">
        <v>72</v>
      </c>
      <c r="L541">
        <v>5</v>
      </c>
      <c r="M541" t="b">
        <v>0</v>
      </c>
    </row>
    <row r="542" spans="1:13">
      <c r="A542">
        <v>528</v>
      </c>
      <c r="B542" t="s">
        <v>568</v>
      </c>
      <c r="C542" t="s">
        <v>86</v>
      </c>
      <c r="D542" t="s">
        <v>22</v>
      </c>
      <c r="E542">
        <v>425</v>
      </c>
      <c r="F542">
        <v>67</v>
      </c>
      <c r="G542">
        <v>57</v>
      </c>
      <c r="H542">
        <v>55</v>
      </c>
      <c r="I542">
        <v>77</v>
      </c>
      <c r="J542">
        <v>55</v>
      </c>
      <c r="K542">
        <v>114</v>
      </c>
      <c r="L542">
        <v>5</v>
      </c>
      <c r="M542" t="b">
        <v>0</v>
      </c>
    </row>
    <row r="543" spans="1:13">
      <c r="A543">
        <v>529</v>
      </c>
      <c r="B543" t="s">
        <v>569</v>
      </c>
      <c r="C543" t="s">
        <v>49</v>
      </c>
      <c r="E543">
        <v>328</v>
      </c>
      <c r="F543">
        <v>60</v>
      </c>
      <c r="G543">
        <v>85</v>
      </c>
      <c r="H543">
        <v>40</v>
      </c>
      <c r="I543">
        <v>30</v>
      </c>
      <c r="J543">
        <v>45</v>
      </c>
      <c r="K543">
        <v>68</v>
      </c>
      <c r="L543">
        <v>5</v>
      </c>
      <c r="M543" t="b">
        <v>0</v>
      </c>
    </row>
    <row r="544" spans="1:13">
      <c r="A544">
        <v>530</v>
      </c>
      <c r="B544" t="s">
        <v>570</v>
      </c>
      <c r="C544" t="s">
        <v>49</v>
      </c>
      <c r="D544" t="s">
        <v>106</v>
      </c>
      <c r="E544">
        <v>508</v>
      </c>
      <c r="F544">
        <v>110</v>
      </c>
      <c r="G544">
        <v>135</v>
      </c>
      <c r="H544">
        <v>60</v>
      </c>
      <c r="I544">
        <v>50</v>
      </c>
      <c r="J544">
        <v>65</v>
      </c>
      <c r="K544">
        <v>88</v>
      </c>
      <c r="L544">
        <v>5</v>
      </c>
      <c r="M544" t="b">
        <v>0</v>
      </c>
    </row>
    <row r="545" spans="1:13">
      <c r="A545">
        <v>531</v>
      </c>
      <c r="B545" t="s">
        <v>571</v>
      </c>
      <c r="C545" t="s">
        <v>36</v>
      </c>
      <c r="E545">
        <v>445</v>
      </c>
      <c r="F545">
        <v>103</v>
      </c>
      <c r="G545">
        <v>60</v>
      </c>
      <c r="H545">
        <v>86</v>
      </c>
      <c r="I545">
        <v>60</v>
      </c>
      <c r="J545">
        <v>86</v>
      </c>
      <c r="K545">
        <v>50</v>
      </c>
      <c r="L545">
        <v>5</v>
      </c>
      <c r="M545" t="b">
        <v>0</v>
      </c>
    </row>
    <row r="546" spans="1:13">
      <c r="A546">
        <v>532</v>
      </c>
      <c r="B546" t="s">
        <v>572</v>
      </c>
      <c r="C546" t="s">
        <v>78</v>
      </c>
      <c r="E546">
        <v>305</v>
      </c>
      <c r="F546">
        <v>75</v>
      </c>
      <c r="G546">
        <v>80</v>
      </c>
      <c r="H546">
        <v>55</v>
      </c>
      <c r="I546">
        <v>25</v>
      </c>
      <c r="J546">
        <v>35</v>
      </c>
      <c r="K546">
        <v>35</v>
      </c>
      <c r="L546">
        <v>5</v>
      </c>
      <c r="M546" t="b">
        <v>0</v>
      </c>
    </row>
    <row r="547" spans="1:13">
      <c r="A547">
        <v>533</v>
      </c>
      <c r="B547" t="s">
        <v>573</v>
      </c>
      <c r="C547" t="s">
        <v>78</v>
      </c>
      <c r="E547">
        <v>405</v>
      </c>
      <c r="F547">
        <v>85</v>
      </c>
      <c r="G547">
        <v>105</v>
      </c>
      <c r="H547">
        <v>85</v>
      </c>
      <c r="I547">
        <v>40</v>
      </c>
      <c r="J547">
        <v>50</v>
      </c>
      <c r="K547">
        <v>40</v>
      </c>
      <c r="L547">
        <v>5</v>
      </c>
      <c r="M547" t="b">
        <v>0</v>
      </c>
    </row>
    <row r="548" spans="1:13">
      <c r="A548">
        <v>534</v>
      </c>
      <c r="B548" t="s">
        <v>574</v>
      </c>
      <c r="C548" t="s">
        <v>78</v>
      </c>
      <c r="E548">
        <v>505</v>
      </c>
      <c r="F548">
        <v>105</v>
      </c>
      <c r="G548">
        <v>140</v>
      </c>
      <c r="H548">
        <v>95</v>
      </c>
      <c r="I548">
        <v>55</v>
      </c>
      <c r="J548">
        <v>65</v>
      </c>
      <c r="K548">
        <v>45</v>
      </c>
      <c r="L548">
        <v>5</v>
      </c>
      <c r="M548" t="b">
        <v>0</v>
      </c>
    </row>
    <row r="549" spans="1:13">
      <c r="A549">
        <v>535</v>
      </c>
      <c r="B549" t="s">
        <v>575</v>
      </c>
      <c r="C549" t="s">
        <v>25</v>
      </c>
      <c r="E549">
        <v>294</v>
      </c>
      <c r="F549">
        <v>50</v>
      </c>
      <c r="G549">
        <v>50</v>
      </c>
      <c r="H549">
        <v>40</v>
      </c>
      <c r="I549">
        <v>50</v>
      </c>
      <c r="J549">
        <v>40</v>
      </c>
      <c r="K549">
        <v>64</v>
      </c>
      <c r="L549">
        <v>5</v>
      </c>
      <c r="M549" t="b">
        <v>0</v>
      </c>
    </row>
    <row r="550" spans="1:13">
      <c r="A550">
        <v>536</v>
      </c>
      <c r="B550" t="s">
        <v>576</v>
      </c>
      <c r="C550" t="s">
        <v>25</v>
      </c>
      <c r="D550" t="s">
        <v>49</v>
      </c>
      <c r="E550">
        <v>384</v>
      </c>
      <c r="F550">
        <v>75</v>
      </c>
      <c r="G550">
        <v>65</v>
      </c>
      <c r="H550">
        <v>55</v>
      </c>
      <c r="I550">
        <v>65</v>
      </c>
      <c r="J550">
        <v>55</v>
      </c>
      <c r="K550">
        <v>69</v>
      </c>
      <c r="L550">
        <v>5</v>
      </c>
      <c r="M550" t="b">
        <v>0</v>
      </c>
    </row>
    <row r="551" spans="1:13">
      <c r="A551">
        <v>537</v>
      </c>
      <c r="B551" t="s">
        <v>577</v>
      </c>
      <c r="C551" t="s">
        <v>25</v>
      </c>
      <c r="D551" t="s">
        <v>49</v>
      </c>
      <c r="E551">
        <v>509</v>
      </c>
      <c r="F551">
        <v>105</v>
      </c>
      <c r="G551">
        <v>95</v>
      </c>
      <c r="H551">
        <v>75</v>
      </c>
      <c r="I551">
        <v>85</v>
      </c>
      <c r="J551">
        <v>75</v>
      </c>
      <c r="K551">
        <v>74</v>
      </c>
      <c r="L551">
        <v>5</v>
      </c>
      <c r="M551" t="b">
        <v>0</v>
      </c>
    </row>
    <row r="552" spans="1:13">
      <c r="A552">
        <v>538</v>
      </c>
      <c r="B552" t="s">
        <v>578</v>
      </c>
      <c r="C552" t="s">
        <v>78</v>
      </c>
      <c r="E552">
        <v>465</v>
      </c>
      <c r="F552">
        <v>120</v>
      </c>
      <c r="G552">
        <v>100</v>
      </c>
      <c r="H552">
        <v>85</v>
      </c>
      <c r="I552">
        <v>30</v>
      </c>
      <c r="J552">
        <v>85</v>
      </c>
      <c r="K552">
        <v>45</v>
      </c>
      <c r="L552">
        <v>5</v>
      </c>
      <c r="M552" t="b">
        <v>0</v>
      </c>
    </row>
    <row r="553" spans="1:13">
      <c r="A553">
        <v>539</v>
      </c>
      <c r="B553" t="s">
        <v>579</v>
      </c>
      <c r="C553" t="s">
        <v>78</v>
      </c>
      <c r="E553">
        <v>465</v>
      </c>
      <c r="F553">
        <v>75</v>
      </c>
      <c r="G553">
        <v>125</v>
      </c>
      <c r="H553">
        <v>75</v>
      </c>
      <c r="I553">
        <v>30</v>
      </c>
      <c r="J553">
        <v>75</v>
      </c>
      <c r="K553">
        <v>85</v>
      </c>
      <c r="L553">
        <v>5</v>
      </c>
      <c r="M553" t="b">
        <v>0</v>
      </c>
    </row>
    <row r="554" spans="1:13">
      <c r="A554">
        <v>540</v>
      </c>
      <c r="B554" t="s">
        <v>580</v>
      </c>
      <c r="C554" t="s">
        <v>29</v>
      </c>
      <c r="D554" t="s">
        <v>14</v>
      </c>
      <c r="E554">
        <v>310</v>
      </c>
      <c r="F554">
        <v>45</v>
      </c>
      <c r="G554">
        <v>53</v>
      </c>
      <c r="H554">
        <v>70</v>
      </c>
      <c r="I554">
        <v>40</v>
      </c>
      <c r="J554">
        <v>60</v>
      </c>
      <c r="K554">
        <v>42</v>
      </c>
      <c r="L554">
        <v>5</v>
      </c>
      <c r="M554" t="b">
        <v>0</v>
      </c>
    </row>
    <row r="555" spans="1:13">
      <c r="A555">
        <v>541</v>
      </c>
      <c r="B555" t="s">
        <v>581</v>
      </c>
      <c r="C555" t="s">
        <v>29</v>
      </c>
      <c r="D555" t="s">
        <v>14</v>
      </c>
      <c r="E555">
        <v>380</v>
      </c>
      <c r="F555">
        <v>55</v>
      </c>
      <c r="G555">
        <v>63</v>
      </c>
      <c r="H555">
        <v>90</v>
      </c>
      <c r="I555">
        <v>50</v>
      </c>
      <c r="J555">
        <v>80</v>
      </c>
      <c r="K555">
        <v>42</v>
      </c>
      <c r="L555">
        <v>5</v>
      </c>
      <c r="M555" t="b">
        <v>0</v>
      </c>
    </row>
    <row r="556" spans="1:13">
      <c r="A556">
        <v>542</v>
      </c>
      <c r="B556" t="s">
        <v>582</v>
      </c>
      <c r="C556" t="s">
        <v>29</v>
      </c>
      <c r="D556" t="s">
        <v>14</v>
      </c>
      <c r="E556">
        <v>500</v>
      </c>
      <c r="F556">
        <v>75</v>
      </c>
      <c r="G556">
        <v>103</v>
      </c>
      <c r="H556">
        <v>80</v>
      </c>
      <c r="I556">
        <v>70</v>
      </c>
      <c r="J556">
        <v>80</v>
      </c>
      <c r="K556">
        <v>92</v>
      </c>
      <c r="L556">
        <v>5</v>
      </c>
      <c r="M556" t="b">
        <v>0</v>
      </c>
    </row>
    <row r="557" spans="1:13">
      <c r="A557">
        <v>543</v>
      </c>
      <c r="B557" t="s">
        <v>583</v>
      </c>
      <c r="C557" t="s">
        <v>29</v>
      </c>
      <c r="D557" t="s">
        <v>15</v>
      </c>
      <c r="E557">
        <v>260</v>
      </c>
      <c r="F557">
        <v>30</v>
      </c>
      <c r="G557">
        <v>45</v>
      </c>
      <c r="H557">
        <v>59</v>
      </c>
      <c r="I557">
        <v>30</v>
      </c>
      <c r="J557">
        <v>39</v>
      </c>
      <c r="K557">
        <v>57</v>
      </c>
      <c r="L557">
        <v>5</v>
      </c>
      <c r="M557" t="b">
        <v>0</v>
      </c>
    </row>
    <row r="558" spans="1:13">
      <c r="A558">
        <v>544</v>
      </c>
      <c r="B558" t="s">
        <v>584</v>
      </c>
      <c r="C558" t="s">
        <v>29</v>
      </c>
      <c r="D558" t="s">
        <v>15</v>
      </c>
      <c r="E558">
        <v>360</v>
      </c>
      <c r="F558">
        <v>40</v>
      </c>
      <c r="G558">
        <v>55</v>
      </c>
      <c r="H558">
        <v>99</v>
      </c>
      <c r="I558">
        <v>40</v>
      </c>
      <c r="J558">
        <v>79</v>
      </c>
      <c r="K558">
        <v>47</v>
      </c>
      <c r="L558">
        <v>5</v>
      </c>
      <c r="M558" t="b">
        <v>0</v>
      </c>
    </row>
    <row r="559" spans="1:13">
      <c r="A559">
        <v>545</v>
      </c>
      <c r="B559" t="s">
        <v>585</v>
      </c>
      <c r="C559" t="s">
        <v>29</v>
      </c>
      <c r="D559" t="s">
        <v>15</v>
      </c>
      <c r="E559">
        <v>485</v>
      </c>
      <c r="F559">
        <v>60</v>
      </c>
      <c r="G559">
        <v>100</v>
      </c>
      <c r="H559">
        <v>89</v>
      </c>
      <c r="I559">
        <v>55</v>
      </c>
      <c r="J559">
        <v>69</v>
      </c>
      <c r="K559">
        <v>112</v>
      </c>
      <c r="L559">
        <v>5</v>
      </c>
      <c r="M559" t="b">
        <v>0</v>
      </c>
    </row>
    <row r="560" spans="1:13">
      <c r="A560">
        <v>546</v>
      </c>
      <c r="B560" t="s">
        <v>586</v>
      </c>
      <c r="C560" t="s">
        <v>14</v>
      </c>
      <c r="D560" t="s">
        <v>56</v>
      </c>
      <c r="E560">
        <v>280</v>
      </c>
      <c r="F560">
        <v>40</v>
      </c>
      <c r="G560">
        <v>27</v>
      </c>
      <c r="H560">
        <v>60</v>
      </c>
      <c r="I560">
        <v>37</v>
      </c>
      <c r="J560">
        <v>50</v>
      </c>
      <c r="K560">
        <v>66</v>
      </c>
      <c r="L560">
        <v>5</v>
      </c>
      <c r="M560" t="b">
        <v>0</v>
      </c>
    </row>
    <row r="561" spans="1:13">
      <c r="A561">
        <v>547</v>
      </c>
      <c r="B561" t="s">
        <v>587</v>
      </c>
      <c r="C561" t="s">
        <v>14</v>
      </c>
      <c r="D561" t="s">
        <v>56</v>
      </c>
      <c r="E561">
        <v>480</v>
      </c>
      <c r="F561">
        <v>60</v>
      </c>
      <c r="G561">
        <v>67</v>
      </c>
      <c r="H561">
        <v>85</v>
      </c>
      <c r="I561">
        <v>77</v>
      </c>
      <c r="J561">
        <v>75</v>
      </c>
      <c r="K561">
        <v>116</v>
      </c>
      <c r="L561">
        <v>5</v>
      </c>
      <c r="M561" t="b">
        <v>0</v>
      </c>
    </row>
    <row r="562" spans="1:13">
      <c r="A562">
        <v>548</v>
      </c>
      <c r="B562" t="s">
        <v>588</v>
      </c>
      <c r="C562" t="s">
        <v>14</v>
      </c>
      <c r="E562">
        <v>280</v>
      </c>
      <c r="F562">
        <v>45</v>
      </c>
      <c r="G562">
        <v>35</v>
      </c>
      <c r="H562">
        <v>50</v>
      </c>
      <c r="I562">
        <v>70</v>
      </c>
      <c r="J562">
        <v>50</v>
      </c>
      <c r="K562">
        <v>30</v>
      </c>
      <c r="L562">
        <v>5</v>
      </c>
      <c r="M562" t="b">
        <v>0</v>
      </c>
    </row>
    <row r="563" spans="1:13">
      <c r="A563">
        <v>549</v>
      </c>
      <c r="B563" t="s">
        <v>589</v>
      </c>
      <c r="C563" t="s">
        <v>14</v>
      </c>
      <c r="E563">
        <v>480</v>
      </c>
      <c r="F563">
        <v>70</v>
      </c>
      <c r="G563">
        <v>60</v>
      </c>
      <c r="H563">
        <v>75</v>
      </c>
      <c r="I563">
        <v>110</v>
      </c>
      <c r="J563">
        <v>75</v>
      </c>
      <c r="K563">
        <v>90</v>
      </c>
      <c r="L563">
        <v>5</v>
      </c>
      <c r="M563" t="b">
        <v>0</v>
      </c>
    </row>
    <row r="564" spans="1:13">
      <c r="A564">
        <v>550</v>
      </c>
      <c r="B564" t="s">
        <v>590</v>
      </c>
      <c r="C564" t="s">
        <v>25</v>
      </c>
      <c r="E564">
        <v>460</v>
      </c>
      <c r="F564">
        <v>70</v>
      </c>
      <c r="G564">
        <v>92</v>
      </c>
      <c r="H564">
        <v>65</v>
      </c>
      <c r="I564">
        <v>80</v>
      </c>
      <c r="J564">
        <v>55</v>
      </c>
      <c r="K564">
        <v>98</v>
      </c>
      <c r="L564">
        <v>5</v>
      </c>
      <c r="M564" t="b">
        <v>0</v>
      </c>
    </row>
    <row r="565" spans="1:13">
      <c r="A565">
        <v>551</v>
      </c>
      <c r="B565" t="s">
        <v>591</v>
      </c>
      <c r="C565" t="s">
        <v>49</v>
      </c>
      <c r="D565" t="s">
        <v>158</v>
      </c>
      <c r="E565">
        <v>292</v>
      </c>
      <c r="F565">
        <v>50</v>
      </c>
      <c r="G565">
        <v>72</v>
      </c>
      <c r="H565">
        <v>35</v>
      </c>
      <c r="I565">
        <v>35</v>
      </c>
      <c r="J565">
        <v>35</v>
      </c>
      <c r="K565">
        <v>65</v>
      </c>
      <c r="L565">
        <v>5</v>
      </c>
      <c r="M565" t="b">
        <v>0</v>
      </c>
    </row>
    <row r="566" spans="1:13">
      <c r="A566">
        <v>552</v>
      </c>
      <c r="B566" t="s">
        <v>592</v>
      </c>
      <c r="C566" t="s">
        <v>49</v>
      </c>
      <c r="D566" t="s">
        <v>158</v>
      </c>
      <c r="E566">
        <v>351</v>
      </c>
      <c r="F566">
        <v>60</v>
      </c>
      <c r="G566">
        <v>82</v>
      </c>
      <c r="H566">
        <v>45</v>
      </c>
      <c r="I566">
        <v>45</v>
      </c>
      <c r="J566">
        <v>45</v>
      </c>
      <c r="K566">
        <v>74</v>
      </c>
      <c r="L566">
        <v>5</v>
      </c>
      <c r="M566" t="b">
        <v>0</v>
      </c>
    </row>
    <row r="567" spans="1:13">
      <c r="A567">
        <v>553</v>
      </c>
      <c r="B567" t="s">
        <v>593</v>
      </c>
      <c r="C567" t="s">
        <v>49</v>
      </c>
      <c r="D567" t="s">
        <v>158</v>
      </c>
      <c r="E567">
        <v>519</v>
      </c>
      <c r="F567">
        <v>95</v>
      </c>
      <c r="G567">
        <v>117</v>
      </c>
      <c r="H567">
        <v>80</v>
      </c>
      <c r="I567">
        <v>65</v>
      </c>
      <c r="J567">
        <v>70</v>
      </c>
      <c r="K567">
        <v>92</v>
      </c>
      <c r="L567">
        <v>5</v>
      </c>
      <c r="M567" t="b">
        <v>0</v>
      </c>
    </row>
    <row r="568" spans="1:13">
      <c r="A568">
        <v>554</v>
      </c>
      <c r="B568" t="s">
        <v>594</v>
      </c>
      <c r="C568" t="s">
        <v>19</v>
      </c>
      <c r="E568">
        <v>315</v>
      </c>
      <c r="F568">
        <v>70</v>
      </c>
      <c r="G568">
        <v>90</v>
      </c>
      <c r="H568">
        <v>45</v>
      </c>
      <c r="I568">
        <v>15</v>
      </c>
      <c r="J568">
        <v>45</v>
      </c>
      <c r="K568">
        <v>50</v>
      </c>
      <c r="L568">
        <v>5</v>
      </c>
      <c r="M568" t="b">
        <v>0</v>
      </c>
    </row>
    <row r="569" spans="1:13">
      <c r="A569">
        <v>555</v>
      </c>
      <c r="B569" t="s">
        <v>595</v>
      </c>
      <c r="C569" t="s">
        <v>19</v>
      </c>
      <c r="E569">
        <v>480</v>
      </c>
      <c r="F569">
        <v>105</v>
      </c>
      <c r="G569">
        <v>140</v>
      </c>
      <c r="H569">
        <v>55</v>
      </c>
      <c r="I569">
        <v>30</v>
      </c>
      <c r="J569">
        <v>55</v>
      </c>
      <c r="K569">
        <v>95</v>
      </c>
      <c r="L569">
        <v>5</v>
      </c>
      <c r="M569" t="b">
        <v>0</v>
      </c>
    </row>
    <row r="570" spans="1:13">
      <c r="A570">
        <v>555</v>
      </c>
      <c r="B570" t="s">
        <v>596</v>
      </c>
      <c r="C570" t="s">
        <v>19</v>
      </c>
      <c r="D570" t="s">
        <v>86</v>
      </c>
      <c r="E570">
        <v>540</v>
      </c>
      <c r="F570">
        <v>105</v>
      </c>
      <c r="G570">
        <v>30</v>
      </c>
      <c r="H570">
        <v>105</v>
      </c>
      <c r="I570">
        <v>140</v>
      </c>
      <c r="J570">
        <v>105</v>
      </c>
      <c r="K570">
        <v>55</v>
      </c>
      <c r="L570">
        <v>5</v>
      </c>
      <c r="M570" t="b">
        <v>0</v>
      </c>
    </row>
    <row r="571" spans="1:13">
      <c r="A571">
        <v>556</v>
      </c>
      <c r="B571" t="s">
        <v>597</v>
      </c>
      <c r="C571" t="s">
        <v>14</v>
      </c>
      <c r="E571">
        <v>461</v>
      </c>
      <c r="F571">
        <v>75</v>
      </c>
      <c r="G571">
        <v>86</v>
      </c>
      <c r="H571">
        <v>67</v>
      </c>
      <c r="I571">
        <v>106</v>
      </c>
      <c r="J571">
        <v>67</v>
      </c>
      <c r="K571">
        <v>60</v>
      </c>
      <c r="L571">
        <v>5</v>
      </c>
      <c r="M571" t="b">
        <v>0</v>
      </c>
    </row>
    <row r="572" spans="1:13">
      <c r="A572">
        <v>557</v>
      </c>
      <c r="B572" t="s">
        <v>598</v>
      </c>
      <c r="C572" t="s">
        <v>29</v>
      </c>
      <c r="D572" t="s">
        <v>98</v>
      </c>
      <c r="E572">
        <v>325</v>
      </c>
      <c r="F572">
        <v>50</v>
      </c>
      <c r="G572">
        <v>65</v>
      </c>
      <c r="H572">
        <v>85</v>
      </c>
      <c r="I572">
        <v>35</v>
      </c>
      <c r="J572">
        <v>35</v>
      </c>
      <c r="K572">
        <v>55</v>
      </c>
      <c r="L572">
        <v>5</v>
      </c>
      <c r="M572" t="b">
        <v>0</v>
      </c>
    </row>
    <row r="573" spans="1:13">
      <c r="A573">
        <v>558</v>
      </c>
      <c r="B573" t="s">
        <v>599</v>
      </c>
      <c r="C573" t="s">
        <v>29</v>
      </c>
      <c r="D573" t="s">
        <v>98</v>
      </c>
      <c r="E573">
        <v>475</v>
      </c>
      <c r="F573">
        <v>70</v>
      </c>
      <c r="G573">
        <v>95</v>
      </c>
      <c r="H573">
        <v>125</v>
      </c>
      <c r="I573">
        <v>65</v>
      </c>
      <c r="J573">
        <v>75</v>
      </c>
      <c r="K573">
        <v>45</v>
      </c>
      <c r="L573">
        <v>5</v>
      </c>
      <c r="M573" t="b">
        <v>0</v>
      </c>
    </row>
    <row r="574" spans="1:13">
      <c r="A574">
        <v>559</v>
      </c>
      <c r="B574" t="s">
        <v>600</v>
      </c>
      <c r="C574" t="s">
        <v>158</v>
      </c>
      <c r="D574" t="s">
        <v>78</v>
      </c>
      <c r="E574">
        <v>348</v>
      </c>
      <c r="F574">
        <v>50</v>
      </c>
      <c r="G574">
        <v>75</v>
      </c>
      <c r="H574">
        <v>70</v>
      </c>
      <c r="I574">
        <v>35</v>
      </c>
      <c r="J574">
        <v>70</v>
      </c>
      <c r="K574">
        <v>48</v>
      </c>
      <c r="L574">
        <v>5</v>
      </c>
      <c r="M574" t="b">
        <v>0</v>
      </c>
    </row>
    <row r="575" spans="1:13">
      <c r="A575">
        <v>560</v>
      </c>
      <c r="B575" t="s">
        <v>601</v>
      </c>
      <c r="C575" t="s">
        <v>158</v>
      </c>
      <c r="D575" t="s">
        <v>78</v>
      </c>
      <c r="E575">
        <v>488</v>
      </c>
      <c r="F575">
        <v>65</v>
      </c>
      <c r="G575">
        <v>90</v>
      </c>
      <c r="H575">
        <v>115</v>
      </c>
      <c r="I575">
        <v>45</v>
      </c>
      <c r="J575">
        <v>115</v>
      </c>
      <c r="K575">
        <v>58</v>
      </c>
      <c r="L575">
        <v>5</v>
      </c>
      <c r="M575" t="b">
        <v>0</v>
      </c>
    </row>
    <row r="576" spans="1:13">
      <c r="A576">
        <v>561</v>
      </c>
      <c r="B576" t="s">
        <v>602</v>
      </c>
      <c r="C576" t="s">
        <v>86</v>
      </c>
      <c r="D576" t="s">
        <v>22</v>
      </c>
      <c r="E576">
        <v>490</v>
      </c>
      <c r="F576">
        <v>72</v>
      </c>
      <c r="G576">
        <v>58</v>
      </c>
      <c r="H576">
        <v>80</v>
      </c>
      <c r="I576">
        <v>103</v>
      </c>
      <c r="J576">
        <v>80</v>
      </c>
      <c r="K576">
        <v>97</v>
      </c>
      <c r="L576">
        <v>5</v>
      </c>
      <c r="M576" t="b">
        <v>0</v>
      </c>
    </row>
    <row r="577" spans="1:13">
      <c r="A577">
        <v>562</v>
      </c>
      <c r="B577" t="s">
        <v>603</v>
      </c>
      <c r="C577" t="s">
        <v>119</v>
      </c>
      <c r="E577">
        <v>303</v>
      </c>
      <c r="F577">
        <v>38</v>
      </c>
      <c r="G577">
        <v>30</v>
      </c>
      <c r="H577">
        <v>85</v>
      </c>
      <c r="I577">
        <v>55</v>
      </c>
      <c r="J577">
        <v>65</v>
      </c>
      <c r="K577">
        <v>30</v>
      </c>
      <c r="L577">
        <v>5</v>
      </c>
      <c r="M577" t="b">
        <v>0</v>
      </c>
    </row>
    <row r="578" spans="1:13">
      <c r="A578">
        <v>563</v>
      </c>
      <c r="B578" t="s">
        <v>604</v>
      </c>
      <c r="C578" t="s">
        <v>119</v>
      </c>
      <c r="E578">
        <v>483</v>
      </c>
      <c r="F578">
        <v>58</v>
      </c>
      <c r="G578">
        <v>50</v>
      </c>
      <c r="H578">
        <v>145</v>
      </c>
      <c r="I578">
        <v>95</v>
      </c>
      <c r="J578">
        <v>105</v>
      </c>
      <c r="K578">
        <v>30</v>
      </c>
      <c r="L578">
        <v>5</v>
      </c>
      <c r="M578" t="b">
        <v>0</v>
      </c>
    </row>
    <row r="579" spans="1:13">
      <c r="A579">
        <v>564</v>
      </c>
      <c r="B579" t="s">
        <v>605</v>
      </c>
      <c r="C579" t="s">
        <v>25</v>
      </c>
      <c r="D579" t="s">
        <v>98</v>
      </c>
      <c r="E579">
        <v>355</v>
      </c>
      <c r="F579">
        <v>54</v>
      </c>
      <c r="G579">
        <v>78</v>
      </c>
      <c r="H579">
        <v>103</v>
      </c>
      <c r="I579">
        <v>53</v>
      </c>
      <c r="J579">
        <v>45</v>
      </c>
      <c r="K579">
        <v>22</v>
      </c>
      <c r="L579">
        <v>5</v>
      </c>
      <c r="M579" t="b">
        <v>0</v>
      </c>
    </row>
    <row r="580" spans="1:13">
      <c r="A580">
        <v>565</v>
      </c>
      <c r="B580" t="s">
        <v>606</v>
      </c>
      <c r="C580" t="s">
        <v>25</v>
      </c>
      <c r="D580" t="s">
        <v>98</v>
      </c>
      <c r="E580">
        <v>495</v>
      </c>
      <c r="F580">
        <v>74</v>
      </c>
      <c r="G580">
        <v>108</v>
      </c>
      <c r="H580">
        <v>133</v>
      </c>
      <c r="I580">
        <v>83</v>
      </c>
      <c r="J580">
        <v>65</v>
      </c>
      <c r="K580">
        <v>32</v>
      </c>
      <c r="L580">
        <v>5</v>
      </c>
      <c r="M580" t="b">
        <v>0</v>
      </c>
    </row>
    <row r="581" spans="1:13">
      <c r="A581">
        <v>566</v>
      </c>
      <c r="B581" t="s">
        <v>607</v>
      </c>
      <c r="C581" t="s">
        <v>98</v>
      </c>
      <c r="D581" t="s">
        <v>22</v>
      </c>
      <c r="E581">
        <v>401</v>
      </c>
      <c r="F581">
        <v>55</v>
      </c>
      <c r="G581">
        <v>112</v>
      </c>
      <c r="H581">
        <v>45</v>
      </c>
      <c r="I581">
        <v>74</v>
      </c>
      <c r="J581">
        <v>45</v>
      </c>
      <c r="K581">
        <v>70</v>
      </c>
      <c r="L581">
        <v>5</v>
      </c>
      <c r="M581" t="b">
        <v>0</v>
      </c>
    </row>
    <row r="582" spans="1:13">
      <c r="A582">
        <v>567</v>
      </c>
      <c r="B582" t="s">
        <v>608</v>
      </c>
      <c r="C582" t="s">
        <v>98</v>
      </c>
      <c r="D582" t="s">
        <v>22</v>
      </c>
      <c r="E582">
        <v>567</v>
      </c>
      <c r="F582">
        <v>75</v>
      </c>
      <c r="G582">
        <v>140</v>
      </c>
      <c r="H582">
        <v>65</v>
      </c>
      <c r="I582">
        <v>112</v>
      </c>
      <c r="J582">
        <v>65</v>
      </c>
      <c r="K582">
        <v>110</v>
      </c>
      <c r="L582">
        <v>5</v>
      </c>
      <c r="M582" t="b">
        <v>0</v>
      </c>
    </row>
    <row r="583" spans="1:13">
      <c r="A583">
        <v>568</v>
      </c>
      <c r="B583" t="s">
        <v>609</v>
      </c>
      <c r="C583" t="s">
        <v>15</v>
      </c>
      <c r="E583">
        <v>329</v>
      </c>
      <c r="F583">
        <v>50</v>
      </c>
      <c r="G583">
        <v>50</v>
      </c>
      <c r="H583">
        <v>62</v>
      </c>
      <c r="I583">
        <v>40</v>
      </c>
      <c r="J583">
        <v>62</v>
      </c>
      <c r="K583">
        <v>65</v>
      </c>
      <c r="L583">
        <v>5</v>
      </c>
      <c r="M583" t="b">
        <v>0</v>
      </c>
    </row>
    <row r="584" spans="1:13">
      <c r="A584">
        <v>569</v>
      </c>
      <c r="B584" t="s">
        <v>610</v>
      </c>
      <c r="C584" t="s">
        <v>15</v>
      </c>
      <c r="E584">
        <v>474</v>
      </c>
      <c r="F584">
        <v>80</v>
      </c>
      <c r="G584">
        <v>95</v>
      </c>
      <c r="H584">
        <v>82</v>
      </c>
      <c r="I584">
        <v>60</v>
      </c>
      <c r="J584">
        <v>82</v>
      </c>
      <c r="K584">
        <v>75</v>
      </c>
      <c r="L584">
        <v>5</v>
      </c>
      <c r="M584" t="b">
        <v>0</v>
      </c>
    </row>
    <row r="585" spans="1:13">
      <c r="A585">
        <v>570</v>
      </c>
      <c r="B585" t="s">
        <v>611</v>
      </c>
      <c r="C585" t="s">
        <v>158</v>
      </c>
      <c r="E585">
        <v>330</v>
      </c>
      <c r="F585">
        <v>40</v>
      </c>
      <c r="G585">
        <v>65</v>
      </c>
      <c r="H585">
        <v>40</v>
      </c>
      <c r="I585">
        <v>80</v>
      </c>
      <c r="J585">
        <v>40</v>
      </c>
      <c r="K585">
        <v>65</v>
      </c>
      <c r="L585">
        <v>5</v>
      </c>
      <c r="M585" t="b">
        <v>0</v>
      </c>
    </row>
    <row r="586" spans="1:13">
      <c r="A586">
        <v>571</v>
      </c>
      <c r="B586" t="s">
        <v>612</v>
      </c>
      <c r="C586" t="s">
        <v>158</v>
      </c>
      <c r="E586">
        <v>510</v>
      </c>
      <c r="F586">
        <v>60</v>
      </c>
      <c r="G586">
        <v>105</v>
      </c>
      <c r="H586">
        <v>60</v>
      </c>
      <c r="I586">
        <v>120</v>
      </c>
      <c r="J586">
        <v>60</v>
      </c>
      <c r="K586">
        <v>105</v>
      </c>
      <c r="L586">
        <v>5</v>
      </c>
      <c r="M586" t="b">
        <v>0</v>
      </c>
    </row>
    <row r="587" spans="1:13">
      <c r="A587">
        <v>572</v>
      </c>
      <c r="B587" t="s">
        <v>613</v>
      </c>
      <c r="C587" t="s">
        <v>36</v>
      </c>
      <c r="E587">
        <v>300</v>
      </c>
      <c r="F587">
        <v>55</v>
      </c>
      <c r="G587">
        <v>50</v>
      </c>
      <c r="H587">
        <v>40</v>
      </c>
      <c r="I587">
        <v>40</v>
      </c>
      <c r="J587">
        <v>40</v>
      </c>
      <c r="K587">
        <v>75</v>
      </c>
      <c r="L587">
        <v>5</v>
      </c>
      <c r="M587" t="b">
        <v>0</v>
      </c>
    </row>
    <row r="588" spans="1:13">
      <c r="A588">
        <v>573</v>
      </c>
      <c r="B588" t="s">
        <v>614</v>
      </c>
      <c r="C588" t="s">
        <v>36</v>
      </c>
      <c r="E588">
        <v>470</v>
      </c>
      <c r="F588">
        <v>75</v>
      </c>
      <c r="G588">
        <v>95</v>
      </c>
      <c r="H588">
        <v>60</v>
      </c>
      <c r="I588">
        <v>65</v>
      </c>
      <c r="J588">
        <v>60</v>
      </c>
      <c r="K588">
        <v>115</v>
      </c>
      <c r="L588">
        <v>5</v>
      </c>
      <c r="M588" t="b">
        <v>0</v>
      </c>
    </row>
    <row r="589" spans="1:13">
      <c r="A589">
        <v>574</v>
      </c>
      <c r="B589" t="s">
        <v>615</v>
      </c>
      <c r="C589" t="s">
        <v>86</v>
      </c>
      <c r="E589">
        <v>290</v>
      </c>
      <c r="F589">
        <v>45</v>
      </c>
      <c r="G589">
        <v>30</v>
      </c>
      <c r="H589">
        <v>50</v>
      </c>
      <c r="I589">
        <v>55</v>
      </c>
      <c r="J589">
        <v>65</v>
      </c>
      <c r="K589">
        <v>45</v>
      </c>
      <c r="L589">
        <v>5</v>
      </c>
      <c r="M589" t="b">
        <v>0</v>
      </c>
    </row>
    <row r="590" spans="1:13">
      <c r="A590">
        <v>575</v>
      </c>
      <c r="B590" t="s">
        <v>616</v>
      </c>
      <c r="C590" t="s">
        <v>86</v>
      </c>
      <c r="E590">
        <v>390</v>
      </c>
      <c r="F590">
        <v>60</v>
      </c>
      <c r="G590">
        <v>45</v>
      </c>
      <c r="H590">
        <v>70</v>
      </c>
      <c r="I590">
        <v>75</v>
      </c>
      <c r="J590">
        <v>85</v>
      </c>
      <c r="K590">
        <v>55</v>
      </c>
      <c r="L590">
        <v>5</v>
      </c>
      <c r="M590" t="b">
        <v>0</v>
      </c>
    </row>
    <row r="591" spans="1:13">
      <c r="A591">
        <v>576</v>
      </c>
      <c r="B591" t="s">
        <v>617</v>
      </c>
      <c r="C591" t="s">
        <v>86</v>
      </c>
      <c r="E591">
        <v>490</v>
      </c>
      <c r="F591">
        <v>70</v>
      </c>
      <c r="G591">
        <v>55</v>
      </c>
      <c r="H591">
        <v>95</v>
      </c>
      <c r="I591">
        <v>95</v>
      </c>
      <c r="J591">
        <v>110</v>
      </c>
      <c r="K591">
        <v>65</v>
      </c>
      <c r="L591">
        <v>5</v>
      </c>
      <c r="M591" t="b">
        <v>0</v>
      </c>
    </row>
    <row r="592" spans="1:13">
      <c r="A592">
        <v>577</v>
      </c>
      <c r="B592" t="s">
        <v>618</v>
      </c>
      <c r="C592" t="s">
        <v>86</v>
      </c>
      <c r="E592">
        <v>290</v>
      </c>
      <c r="F592">
        <v>45</v>
      </c>
      <c r="G592">
        <v>30</v>
      </c>
      <c r="H592">
        <v>40</v>
      </c>
      <c r="I592">
        <v>105</v>
      </c>
      <c r="J592">
        <v>50</v>
      </c>
      <c r="K592">
        <v>20</v>
      </c>
      <c r="L592">
        <v>5</v>
      </c>
      <c r="M592" t="b">
        <v>0</v>
      </c>
    </row>
    <row r="593" spans="1:13">
      <c r="A593">
        <v>578</v>
      </c>
      <c r="B593" t="s">
        <v>619</v>
      </c>
      <c r="C593" t="s">
        <v>86</v>
      </c>
      <c r="E593">
        <v>370</v>
      </c>
      <c r="F593">
        <v>65</v>
      </c>
      <c r="G593">
        <v>40</v>
      </c>
      <c r="H593">
        <v>50</v>
      </c>
      <c r="I593">
        <v>125</v>
      </c>
      <c r="J593">
        <v>60</v>
      </c>
      <c r="K593">
        <v>30</v>
      </c>
      <c r="L593">
        <v>5</v>
      </c>
      <c r="M593" t="b">
        <v>0</v>
      </c>
    </row>
    <row r="594" spans="1:13">
      <c r="A594">
        <v>579</v>
      </c>
      <c r="B594" t="s">
        <v>620</v>
      </c>
      <c r="C594" t="s">
        <v>86</v>
      </c>
      <c r="E594">
        <v>490</v>
      </c>
      <c r="F594">
        <v>110</v>
      </c>
      <c r="G594">
        <v>65</v>
      </c>
      <c r="H594">
        <v>75</v>
      </c>
      <c r="I594">
        <v>125</v>
      </c>
      <c r="J594">
        <v>85</v>
      </c>
      <c r="K594">
        <v>30</v>
      </c>
      <c r="L594">
        <v>5</v>
      </c>
      <c r="M594" t="b">
        <v>0</v>
      </c>
    </row>
    <row r="595" spans="1:13">
      <c r="A595">
        <v>580</v>
      </c>
      <c r="B595" t="s">
        <v>621</v>
      </c>
      <c r="C595" t="s">
        <v>25</v>
      </c>
      <c r="D595" t="s">
        <v>22</v>
      </c>
      <c r="E595">
        <v>305</v>
      </c>
      <c r="F595">
        <v>62</v>
      </c>
      <c r="G595">
        <v>44</v>
      </c>
      <c r="H595">
        <v>50</v>
      </c>
      <c r="I595">
        <v>44</v>
      </c>
      <c r="J595">
        <v>50</v>
      </c>
      <c r="K595">
        <v>55</v>
      </c>
      <c r="L595">
        <v>5</v>
      </c>
      <c r="M595" t="b">
        <v>0</v>
      </c>
    </row>
    <row r="596" spans="1:13">
      <c r="A596">
        <v>581</v>
      </c>
      <c r="B596" t="s">
        <v>622</v>
      </c>
      <c r="C596" t="s">
        <v>25</v>
      </c>
      <c r="D596" t="s">
        <v>22</v>
      </c>
      <c r="E596">
        <v>473</v>
      </c>
      <c r="F596">
        <v>75</v>
      </c>
      <c r="G596">
        <v>87</v>
      </c>
      <c r="H596">
        <v>63</v>
      </c>
      <c r="I596">
        <v>87</v>
      </c>
      <c r="J596">
        <v>63</v>
      </c>
      <c r="K596">
        <v>98</v>
      </c>
      <c r="L596">
        <v>5</v>
      </c>
      <c r="M596" t="b">
        <v>0</v>
      </c>
    </row>
    <row r="597" spans="1:13">
      <c r="A597">
        <v>582</v>
      </c>
      <c r="B597" t="s">
        <v>623</v>
      </c>
      <c r="C597" t="s">
        <v>113</v>
      </c>
      <c r="E597">
        <v>305</v>
      </c>
      <c r="F597">
        <v>36</v>
      </c>
      <c r="G597">
        <v>50</v>
      </c>
      <c r="H597">
        <v>50</v>
      </c>
      <c r="I597">
        <v>65</v>
      </c>
      <c r="J597">
        <v>60</v>
      </c>
      <c r="K597">
        <v>44</v>
      </c>
      <c r="L597">
        <v>5</v>
      </c>
      <c r="M597" t="b">
        <v>0</v>
      </c>
    </row>
    <row r="598" spans="1:13">
      <c r="A598">
        <v>583</v>
      </c>
      <c r="B598" t="s">
        <v>624</v>
      </c>
      <c r="C598" t="s">
        <v>113</v>
      </c>
      <c r="E598">
        <v>395</v>
      </c>
      <c r="F598">
        <v>51</v>
      </c>
      <c r="G598">
        <v>65</v>
      </c>
      <c r="H598">
        <v>65</v>
      </c>
      <c r="I598">
        <v>80</v>
      </c>
      <c r="J598">
        <v>75</v>
      </c>
      <c r="K598">
        <v>59</v>
      </c>
      <c r="L598">
        <v>5</v>
      </c>
      <c r="M598" t="b">
        <v>0</v>
      </c>
    </row>
    <row r="599" spans="1:13">
      <c r="A599">
        <v>584</v>
      </c>
      <c r="B599" t="s">
        <v>625</v>
      </c>
      <c r="C599" t="s">
        <v>113</v>
      </c>
      <c r="E599">
        <v>535</v>
      </c>
      <c r="F599">
        <v>71</v>
      </c>
      <c r="G599">
        <v>95</v>
      </c>
      <c r="H599">
        <v>85</v>
      </c>
      <c r="I599">
        <v>110</v>
      </c>
      <c r="J599">
        <v>95</v>
      </c>
      <c r="K599">
        <v>79</v>
      </c>
      <c r="L599">
        <v>5</v>
      </c>
      <c r="M599" t="b">
        <v>0</v>
      </c>
    </row>
    <row r="600" spans="1:13">
      <c r="A600">
        <v>585</v>
      </c>
      <c r="B600" t="s">
        <v>626</v>
      </c>
      <c r="C600" t="s">
        <v>36</v>
      </c>
      <c r="D600" t="s">
        <v>14</v>
      </c>
      <c r="E600">
        <v>335</v>
      </c>
      <c r="F600">
        <v>60</v>
      </c>
      <c r="G600">
        <v>60</v>
      </c>
      <c r="H600">
        <v>50</v>
      </c>
      <c r="I600">
        <v>40</v>
      </c>
      <c r="J600">
        <v>50</v>
      </c>
      <c r="K600">
        <v>75</v>
      </c>
      <c r="L600">
        <v>5</v>
      </c>
      <c r="M600" t="b">
        <v>0</v>
      </c>
    </row>
    <row r="601" spans="1:13">
      <c r="A601">
        <v>586</v>
      </c>
      <c r="B601" t="s">
        <v>627</v>
      </c>
      <c r="C601" t="s">
        <v>36</v>
      </c>
      <c r="D601" t="s">
        <v>14</v>
      </c>
      <c r="E601">
        <v>475</v>
      </c>
      <c r="F601">
        <v>80</v>
      </c>
      <c r="G601">
        <v>100</v>
      </c>
      <c r="H601">
        <v>70</v>
      </c>
      <c r="I601">
        <v>60</v>
      </c>
      <c r="J601">
        <v>70</v>
      </c>
      <c r="K601">
        <v>95</v>
      </c>
      <c r="L601">
        <v>5</v>
      </c>
      <c r="M601" t="b">
        <v>0</v>
      </c>
    </row>
    <row r="602" spans="1:13">
      <c r="A602">
        <v>587</v>
      </c>
      <c r="B602" t="s">
        <v>628</v>
      </c>
      <c r="C602" t="s">
        <v>46</v>
      </c>
      <c r="D602" t="s">
        <v>22</v>
      </c>
      <c r="E602">
        <v>428</v>
      </c>
      <c r="F602">
        <v>55</v>
      </c>
      <c r="G602">
        <v>75</v>
      </c>
      <c r="H602">
        <v>60</v>
      </c>
      <c r="I602">
        <v>75</v>
      </c>
      <c r="J602">
        <v>60</v>
      </c>
      <c r="K602">
        <v>103</v>
      </c>
      <c r="L602">
        <v>5</v>
      </c>
      <c r="M602" t="b">
        <v>0</v>
      </c>
    </row>
    <row r="603" spans="1:13">
      <c r="A603">
        <v>588</v>
      </c>
      <c r="B603" t="s">
        <v>629</v>
      </c>
      <c r="C603" t="s">
        <v>29</v>
      </c>
      <c r="E603">
        <v>315</v>
      </c>
      <c r="F603">
        <v>50</v>
      </c>
      <c r="G603">
        <v>75</v>
      </c>
      <c r="H603">
        <v>45</v>
      </c>
      <c r="I603">
        <v>40</v>
      </c>
      <c r="J603">
        <v>45</v>
      </c>
      <c r="K603">
        <v>60</v>
      </c>
      <c r="L603">
        <v>5</v>
      </c>
      <c r="M603" t="b">
        <v>0</v>
      </c>
    </row>
    <row r="604" spans="1:13">
      <c r="A604">
        <v>589</v>
      </c>
      <c r="B604" t="s">
        <v>630</v>
      </c>
      <c r="C604" t="s">
        <v>29</v>
      </c>
      <c r="D604" t="s">
        <v>106</v>
      </c>
      <c r="E604">
        <v>495</v>
      </c>
      <c r="F604">
        <v>70</v>
      </c>
      <c r="G604">
        <v>135</v>
      </c>
      <c r="H604">
        <v>105</v>
      </c>
      <c r="I604">
        <v>60</v>
      </c>
      <c r="J604">
        <v>105</v>
      </c>
      <c r="K604">
        <v>20</v>
      </c>
      <c r="L604">
        <v>5</v>
      </c>
      <c r="M604" t="b">
        <v>0</v>
      </c>
    </row>
    <row r="605" spans="1:13">
      <c r="A605">
        <v>590</v>
      </c>
      <c r="B605" t="s">
        <v>631</v>
      </c>
      <c r="C605" t="s">
        <v>14</v>
      </c>
      <c r="D605" t="s">
        <v>15</v>
      </c>
      <c r="E605">
        <v>294</v>
      </c>
      <c r="F605">
        <v>69</v>
      </c>
      <c r="G605">
        <v>55</v>
      </c>
      <c r="H605">
        <v>45</v>
      </c>
      <c r="I605">
        <v>55</v>
      </c>
      <c r="J605">
        <v>55</v>
      </c>
      <c r="K605">
        <v>15</v>
      </c>
      <c r="L605">
        <v>5</v>
      </c>
      <c r="M605" t="b">
        <v>0</v>
      </c>
    </row>
    <row r="606" spans="1:13">
      <c r="A606">
        <v>591</v>
      </c>
      <c r="B606" t="s">
        <v>632</v>
      </c>
      <c r="C606" t="s">
        <v>14</v>
      </c>
      <c r="D606" t="s">
        <v>15</v>
      </c>
      <c r="E606">
        <v>464</v>
      </c>
      <c r="F606">
        <v>114</v>
      </c>
      <c r="G606">
        <v>85</v>
      </c>
      <c r="H606">
        <v>70</v>
      </c>
      <c r="I606">
        <v>85</v>
      </c>
      <c r="J606">
        <v>80</v>
      </c>
      <c r="K606">
        <v>30</v>
      </c>
      <c r="L606">
        <v>5</v>
      </c>
      <c r="M606" t="b">
        <v>0</v>
      </c>
    </row>
    <row r="607" spans="1:13">
      <c r="A607">
        <v>592</v>
      </c>
      <c r="B607" t="s">
        <v>633</v>
      </c>
      <c r="C607" t="s">
        <v>25</v>
      </c>
      <c r="D607" t="s">
        <v>119</v>
      </c>
      <c r="E607">
        <v>335</v>
      </c>
      <c r="F607">
        <v>55</v>
      </c>
      <c r="G607">
        <v>40</v>
      </c>
      <c r="H607">
        <v>50</v>
      </c>
      <c r="I607">
        <v>65</v>
      </c>
      <c r="J607">
        <v>85</v>
      </c>
      <c r="K607">
        <v>40</v>
      </c>
      <c r="L607">
        <v>5</v>
      </c>
      <c r="M607" t="b">
        <v>0</v>
      </c>
    </row>
    <row r="608" spans="1:13">
      <c r="A608">
        <v>593</v>
      </c>
      <c r="B608" t="s">
        <v>634</v>
      </c>
      <c r="C608" t="s">
        <v>25</v>
      </c>
      <c r="D608" t="s">
        <v>119</v>
      </c>
      <c r="E608">
        <v>480</v>
      </c>
      <c r="F608">
        <v>100</v>
      </c>
      <c r="G608">
        <v>60</v>
      </c>
      <c r="H608">
        <v>70</v>
      </c>
      <c r="I608">
        <v>85</v>
      </c>
      <c r="J608">
        <v>105</v>
      </c>
      <c r="K608">
        <v>60</v>
      </c>
      <c r="L608">
        <v>5</v>
      </c>
      <c r="M608" t="b">
        <v>0</v>
      </c>
    </row>
    <row r="609" spans="1:13">
      <c r="A609">
        <v>594</v>
      </c>
      <c r="B609" t="s">
        <v>635</v>
      </c>
      <c r="C609" t="s">
        <v>25</v>
      </c>
      <c r="E609">
        <v>470</v>
      </c>
      <c r="F609">
        <v>165</v>
      </c>
      <c r="G609">
        <v>75</v>
      </c>
      <c r="H609">
        <v>80</v>
      </c>
      <c r="I609">
        <v>40</v>
      </c>
      <c r="J609">
        <v>45</v>
      </c>
      <c r="K609">
        <v>65</v>
      </c>
      <c r="L609">
        <v>5</v>
      </c>
      <c r="M609" t="b">
        <v>0</v>
      </c>
    </row>
    <row r="610" spans="1:13">
      <c r="A610">
        <v>595</v>
      </c>
      <c r="B610" t="s">
        <v>636</v>
      </c>
      <c r="C610" t="s">
        <v>29</v>
      </c>
      <c r="D610" t="s">
        <v>46</v>
      </c>
      <c r="E610">
        <v>319</v>
      </c>
      <c r="F610">
        <v>50</v>
      </c>
      <c r="G610">
        <v>47</v>
      </c>
      <c r="H610">
        <v>50</v>
      </c>
      <c r="I610">
        <v>57</v>
      </c>
      <c r="J610">
        <v>50</v>
      </c>
      <c r="K610">
        <v>65</v>
      </c>
      <c r="L610">
        <v>5</v>
      </c>
      <c r="M610" t="b">
        <v>0</v>
      </c>
    </row>
    <row r="611" spans="1:13">
      <c r="A611">
        <v>596</v>
      </c>
      <c r="B611" t="s">
        <v>637</v>
      </c>
      <c r="C611" t="s">
        <v>29</v>
      </c>
      <c r="D611" t="s">
        <v>46</v>
      </c>
      <c r="E611">
        <v>472</v>
      </c>
      <c r="F611">
        <v>70</v>
      </c>
      <c r="G611">
        <v>77</v>
      </c>
      <c r="H611">
        <v>60</v>
      </c>
      <c r="I611">
        <v>97</v>
      </c>
      <c r="J611">
        <v>60</v>
      </c>
      <c r="K611">
        <v>108</v>
      </c>
      <c r="L611">
        <v>5</v>
      </c>
      <c r="M611" t="b">
        <v>0</v>
      </c>
    </row>
    <row r="612" spans="1:13">
      <c r="A612">
        <v>597</v>
      </c>
      <c r="B612" t="s">
        <v>638</v>
      </c>
      <c r="C612" t="s">
        <v>14</v>
      </c>
      <c r="D612" t="s">
        <v>106</v>
      </c>
      <c r="E612">
        <v>305</v>
      </c>
      <c r="F612">
        <v>44</v>
      </c>
      <c r="G612">
        <v>50</v>
      </c>
      <c r="H612">
        <v>91</v>
      </c>
      <c r="I612">
        <v>24</v>
      </c>
      <c r="J612">
        <v>86</v>
      </c>
      <c r="K612">
        <v>10</v>
      </c>
      <c r="L612">
        <v>5</v>
      </c>
      <c r="M612" t="b">
        <v>0</v>
      </c>
    </row>
    <row r="613" spans="1:13">
      <c r="A613">
        <v>598</v>
      </c>
      <c r="B613" t="s">
        <v>639</v>
      </c>
      <c r="C613" t="s">
        <v>14</v>
      </c>
      <c r="D613" t="s">
        <v>106</v>
      </c>
      <c r="E613">
        <v>489</v>
      </c>
      <c r="F613">
        <v>74</v>
      </c>
      <c r="G613">
        <v>94</v>
      </c>
      <c r="H613">
        <v>131</v>
      </c>
      <c r="I613">
        <v>54</v>
      </c>
      <c r="J613">
        <v>116</v>
      </c>
      <c r="K613">
        <v>20</v>
      </c>
      <c r="L613">
        <v>5</v>
      </c>
      <c r="M613" t="b">
        <v>0</v>
      </c>
    </row>
    <row r="614" spans="1:13">
      <c r="A614">
        <v>599</v>
      </c>
      <c r="B614" t="s">
        <v>640</v>
      </c>
      <c r="C614" t="s">
        <v>106</v>
      </c>
      <c r="E614">
        <v>300</v>
      </c>
      <c r="F614">
        <v>40</v>
      </c>
      <c r="G614">
        <v>55</v>
      </c>
      <c r="H614">
        <v>70</v>
      </c>
      <c r="I614">
        <v>45</v>
      </c>
      <c r="J614">
        <v>60</v>
      </c>
      <c r="K614">
        <v>30</v>
      </c>
      <c r="L614">
        <v>5</v>
      </c>
      <c r="M614" t="b">
        <v>0</v>
      </c>
    </row>
    <row r="615" spans="1:13">
      <c r="A615">
        <v>600</v>
      </c>
      <c r="B615" t="s">
        <v>641</v>
      </c>
      <c r="C615" t="s">
        <v>106</v>
      </c>
      <c r="E615">
        <v>440</v>
      </c>
      <c r="F615">
        <v>60</v>
      </c>
      <c r="G615">
        <v>80</v>
      </c>
      <c r="H615">
        <v>95</v>
      </c>
      <c r="I615">
        <v>70</v>
      </c>
      <c r="J615">
        <v>85</v>
      </c>
      <c r="K615">
        <v>50</v>
      </c>
      <c r="L615">
        <v>5</v>
      </c>
      <c r="M615" t="b">
        <v>0</v>
      </c>
    </row>
    <row r="616" spans="1:13">
      <c r="A616">
        <v>601</v>
      </c>
      <c r="B616" t="s">
        <v>642</v>
      </c>
      <c r="C616" t="s">
        <v>106</v>
      </c>
      <c r="E616">
        <v>520</v>
      </c>
      <c r="F616">
        <v>60</v>
      </c>
      <c r="G616">
        <v>100</v>
      </c>
      <c r="H616">
        <v>115</v>
      </c>
      <c r="I616">
        <v>70</v>
      </c>
      <c r="J616">
        <v>85</v>
      </c>
      <c r="K616">
        <v>90</v>
      </c>
      <c r="L616">
        <v>5</v>
      </c>
      <c r="M616" t="b">
        <v>0</v>
      </c>
    </row>
    <row r="617" spans="1:13">
      <c r="A617">
        <v>602</v>
      </c>
      <c r="B617" t="s">
        <v>643</v>
      </c>
      <c r="C617" t="s">
        <v>46</v>
      </c>
      <c r="E617">
        <v>275</v>
      </c>
      <c r="F617">
        <v>35</v>
      </c>
      <c r="G617">
        <v>55</v>
      </c>
      <c r="H617">
        <v>40</v>
      </c>
      <c r="I617">
        <v>45</v>
      </c>
      <c r="J617">
        <v>40</v>
      </c>
      <c r="K617">
        <v>60</v>
      </c>
      <c r="L617">
        <v>5</v>
      </c>
      <c r="M617" t="b">
        <v>0</v>
      </c>
    </row>
    <row r="618" spans="1:13">
      <c r="A618">
        <v>603</v>
      </c>
      <c r="B618" t="s">
        <v>644</v>
      </c>
      <c r="C618" t="s">
        <v>46</v>
      </c>
      <c r="E618">
        <v>405</v>
      </c>
      <c r="F618">
        <v>65</v>
      </c>
      <c r="G618">
        <v>85</v>
      </c>
      <c r="H618">
        <v>70</v>
      </c>
      <c r="I618">
        <v>75</v>
      </c>
      <c r="J618">
        <v>70</v>
      </c>
      <c r="K618">
        <v>40</v>
      </c>
      <c r="L618">
        <v>5</v>
      </c>
      <c r="M618" t="b">
        <v>0</v>
      </c>
    </row>
    <row r="619" spans="1:13">
      <c r="A619">
        <v>604</v>
      </c>
      <c r="B619" t="s">
        <v>645</v>
      </c>
      <c r="C619" t="s">
        <v>46</v>
      </c>
      <c r="E619">
        <v>515</v>
      </c>
      <c r="F619">
        <v>85</v>
      </c>
      <c r="G619">
        <v>115</v>
      </c>
      <c r="H619">
        <v>80</v>
      </c>
      <c r="I619">
        <v>105</v>
      </c>
      <c r="J619">
        <v>80</v>
      </c>
      <c r="K619">
        <v>50</v>
      </c>
      <c r="L619">
        <v>5</v>
      </c>
      <c r="M619" t="b">
        <v>0</v>
      </c>
    </row>
    <row r="620" spans="1:13">
      <c r="A620">
        <v>605</v>
      </c>
      <c r="B620" t="s">
        <v>646</v>
      </c>
      <c r="C620" t="s">
        <v>86</v>
      </c>
      <c r="E620">
        <v>335</v>
      </c>
      <c r="F620">
        <v>55</v>
      </c>
      <c r="G620">
        <v>55</v>
      </c>
      <c r="H620">
        <v>55</v>
      </c>
      <c r="I620">
        <v>85</v>
      </c>
      <c r="J620">
        <v>55</v>
      </c>
      <c r="K620">
        <v>30</v>
      </c>
      <c r="L620">
        <v>5</v>
      </c>
      <c r="M620" t="b">
        <v>0</v>
      </c>
    </row>
    <row r="621" spans="1:13">
      <c r="A621">
        <v>606</v>
      </c>
      <c r="B621" t="s">
        <v>647</v>
      </c>
      <c r="C621" t="s">
        <v>86</v>
      </c>
      <c r="E621">
        <v>485</v>
      </c>
      <c r="F621">
        <v>75</v>
      </c>
      <c r="G621">
        <v>75</v>
      </c>
      <c r="H621">
        <v>75</v>
      </c>
      <c r="I621">
        <v>125</v>
      </c>
      <c r="J621">
        <v>95</v>
      </c>
      <c r="K621">
        <v>40</v>
      </c>
      <c r="L621">
        <v>5</v>
      </c>
      <c r="M621" t="b">
        <v>0</v>
      </c>
    </row>
    <row r="622" spans="1:13">
      <c r="A622">
        <v>607</v>
      </c>
      <c r="B622" t="s">
        <v>648</v>
      </c>
      <c r="C622" t="s">
        <v>119</v>
      </c>
      <c r="D622" t="s">
        <v>19</v>
      </c>
      <c r="E622">
        <v>275</v>
      </c>
      <c r="F622">
        <v>50</v>
      </c>
      <c r="G622">
        <v>30</v>
      </c>
      <c r="H622">
        <v>55</v>
      </c>
      <c r="I622">
        <v>65</v>
      </c>
      <c r="J622">
        <v>55</v>
      </c>
      <c r="K622">
        <v>20</v>
      </c>
      <c r="L622">
        <v>5</v>
      </c>
      <c r="M622" t="b">
        <v>0</v>
      </c>
    </row>
    <row r="623" spans="1:13">
      <c r="A623">
        <v>608</v>
      </c>
      <c r="B623" t="s">
        <v>649</v>
      </c>
      <c r="C623" t="s">
        <v>119</v>
      </c>
      <c r="D623" t="s">
        <v>19</v>
      </c>
      <c r="E623">
        <v>370</v>
      </c>
      <c r="F623">
        <v>60</v>
      </c>
      <c r="G623">
        <v>40</v>
      </c>
      <c r="H623">
        <v>60</v>
      </c>
      <c r="I623">
        <v>95</v>
      </c>
      <c r="J623">
        <v>60</v>
      </c>
      <c r="K623">
        <v>55</v>
      </c>
      <c r="L623">
        <v>5</v>
      </c>
      <c r="M623" t="b">
        <v>0</v>
      </c>
    </row>
    <row r="624" spans="1:13">
      <c r="A624">
        <v>609</v>
      </c>
      <c r="B624" t="s">
        <v>650</v>
      </c>
      <c r="C624" t="s">
        <v>119</v>
      </c>
      <c r="D624" t="s">
        <v>19</v>
      </c>
      <c r="E624">
        <v>520</v>
      </c>
      <c r="F624">
        <v>60</v>
      </c>
      <c r="G624">
        <v>55</v>
      </c>
      <c r="H624">
        <v>90</v>
      </c>
      <c r="I624">
        <v>145</v>
      </c>
      <c r="J624">
        <v>90</v>
      </c>
      <c r="K624">
        <v>80</v>
      </c>
      <c r="L624">
        <v>5</v>
      </c>
      <c r="M624" t="b">
        <v>0</v>
      </c>
    </row>
    <row r="625" spans="1:13">
      <c r="A625">
        <v>610</v>
      </c>
      <c r="B625" t="s">
        <v>651</v>
      </c>
      <c r="C625" t="s">
        <v>23</v>
      </c>
      <c r="E625">
        <v>320</v>
      </c>
      <c r="F625">
        <v>46</v>
      </c>
      <c r="G625">
        <v>87</v>
      </c>
      <c r="H625">
        <v>60</v>
      </c>
      <c r="I625">
        <v>30</v>
      </c>
      <c r="J625">
        <v>40</v>
      </c>
      <c r="K625">
        <v>57</v>
      </c>
      <c r="L625">
        <v>5</v>
      </c>
      <c r="M625" t="b">
        <v>0</v>
      </c>
    </row>
    <row r="626" spans="1:13">
      <c r="A626">
        <v>611</v>
      </c>
      <c r="B626" t="s">
        <v>652</v>
      </c>
      <c r="C626" t="s">
        <v>23</v>
      </c>
      <c r="E626">
        <v>410</v>
      </c>
      <c r="F626">
        <v>66</v>
      </c>
      <c r="G626">
        <v>117</v>
      </c>
      <c r="H626">
        <v>70</v>
      </c>
      <c r="I626">
        <v>40</v>
      </c>
      <c r="J626">
        <v>50</v>
      </c>
      <c r="K626">
        <v>67</v>
      </c>
      <c r="L626">
        <v>5</v>
      </c>
      <c r="M626" t="b">
        <v>0</v>
      </c>
    </row>
    <row r="627" spans="1:13">
      <c r="A627">
        <v>612</v>
      </c>
      <c r="B627" t="s">
        <v>653</v>
      </c>
      <c r="C627" t="s">
        <v>23</v>
      </c>
      <c r="E627">
        <v>540</v>
      </c>
      <c r="F627">
        <v>76</v>
      </c>
      <c r="G627">
        <v>147</v>
      </c>
      <c r="H627">
        <v>90</v>
      </c>
      <c r="I627">
        <v>60</v>
      </c>
      <c r="J627">
        <v>70</v>
      </c>
      <c r="K627">
        <v>97</v>
      </c>
      <c r="L627">
        <v>5</v>
      </c>
      <c r="M627" t="b">
        <v>0</v>
      </c>
    </row>
    <row r="628" spans="1:13">
      <c r="A628">
        <v>613</v>
      </c>
      <c r="B628" t="s">
        <v>654</v>
      </c>
      <c r="C628" t="s">
        <v>113</v>
      </c>
      <c r="E628">
        <v>305</v>
      </c>
      <c r="F628">
        <v>55</v>
      </c>
      <c r="G628">
        <v>70</v>
      </c>
      <c r="H628">
        <v>40</v>
      </c>
      <c r="I628">
        <v>60</v>
      </c>
      <c r="J628">
        <v>40</v>
      </c>
      <c r="K628">
        <v>40</v>
      </c>
      <c r="L628">
        <v>5</v>
      </c>
      <c r="M628" t="b">
        <v>0</v>
      </c>
    </row>
    <row r="629" spans="1:13">
      <c r="A629">
        <v>614</v>
      </c>
      <c r="B629" t="s">
        <v>655</v>
      </c>
      <c r="C629" t="s">
        <v>113</v>
      </c>
      <c r="E629">
        <v>485</v>
      </c>
      <c r="F629">
        <v>95</v>
      </c>
      <c r="G629">
        <v>110</v>
      </c>
      <c r="H629">
        <v>80</v>
      </c>
      <c r="I629">
        <v>70</v>
      </c>
      <c r="J629">
        <v>80</v>
      </c>
      <c r="K629">
        <v>50</v>
      </c>
      <c r="L629">
        <v>5</v>
      </c>
      <c r="M629" t="b">
        <v>0</v>
      </c>
    </row>
    <row r="630" spans="1:13">
      <c r="A630">
        <v>615</v>
      </c>
      <c r="B630" t="s">
        <v>656</v>
      </c>
      <c r="C630" t="s">
        <v>113</v>
      </c>
      <c r="E630">
        <v>485</v>
      </c>
      <c r="F630">
        <v>70</v>
      </c>
      <c r="G630">
        <v>50</v>
      </c>
      <c r="H630">
        <v>30</v>
      </c>
      <c r="I630">
        <v>95</v>
      </c>
      <c r="J630">
        <v>135</v>
      </c>
      <c r="K630">
        <v>105</v>
      </c>
      <c r="L630">
        <v>5</v>
      </c>
      <c r="M630" t="b">
        <v>0</v>
      </c>
    </row>
    <row r="631" spans="1:13">
      <c r="A631">
        <v>616</v>
      </c>
      <c r="B631" t="s">
        <v>657</v>
      </c>
      <c r="C631" t="s">
        <v>29</v>
      </c>
      <c r="E631">
        <v>305</v>
      </c>
      <c r="F631">
        <v>50</v>
      </c>
      <c r="G631">
        <v>40</v>
      </c>
      <c r="H631">
        <v>85</v>
      </c>
      <c r="I631">
        <v>40</v>
      </c>
      <c r="J631">
        <v>65</v>
      </c>
      <c r="K631">
        <v>25</v>
      </c>
      <c r="L631">
        <v>5</v>
      </c>
      <c r="M631" t="b">
        <v>0</v>
      </c>
    </row>
    <row r="632" spans="1:13">
      <c r="A632">
        <v>617</v>
      </c>
      <c r="B632" t="s">
        <v>658</v>
      </c>
      <c r="C632" t="s">
        <v>29</v>
      </c>
      <c r="E632">
        <v>495</v>
      </c>
      <c r="F632">
        <v>80</v>
      </c>
      <c r="G632">
        <v>70</v>
      </c>
      <c r="H632">
        <v>40</v>
      </c>
      <c r="I632">
        <v>100</v>
      </c>
      <c r="J632">
        <v>60</v>
      </c>
      <c r="K632">
        <v>145</v>
      </c>
      <c r="L632">
        <v>5</v>
      </c>
      <c r="M632" t="b">
        <v>0</v>
      </c>
    </row>
    <row r="633" spans="1:13">
      <c r="A633">
        <v>618</v>
      </c>
      <c r="B633" t="s">
        <v>659</v>
      </c>
      <c r="C633" t="s">
        <v>49</v>
      </c>
      <c r="D633" t="s">
        <v>46</v>
      </c>
      <c r="E633">
        <v>471</v>
      </c>
      <c r="F633">
        <v>109</v>
      </c>
      <c r="G633">
        <v>66</v>
      </c>
      <c r="H633">
        <v>84</v>
      </c>
      <c r="I633">
        <v>81</v>
      </c>
      <c r="J633">
        <v>99</v>
      </c>
      <c r="K633">
        <v>32</v>
      </c>
      <c r="L633">
        <v>5</v>
      </c>
      <c r="M633" t="b">
        <v>0</v>
      </c>
    </row>
    <row r="634" spans="1:13">
      <c r="A634">
        <v>619</v>
      </c>
      <c r="B634" t="s">
        <v>660</v>
      </c>
      <c r="C634" t="s">
        <v>78</v>
      </c>
      <c r="E634">
        <v>350</v>
      </c>
      <c r="F634">
        <v>45</v>
      </c>
      <c r="G634">
        <v>85</v>
      </c>
      <c r="H634">
        <v>50</v>
      </c>
      <c r="I634">
        <v>55</v>
      </c>
      <c r="J634">
        <v>50</v>
      </c>
      <c r="K634">
        <v>65</v>
      </c>
      <c r="L634">
        <v>5</v>
      </c>
      <c r="M634" t="b">
        <v>0</v>
      </c>
    </row>
    <row r="635" spans="1:13">
      <c r="A635">
        <v>620</v>
      </c>
      <c r="B635" t="s">
        <v>661</v>
      </c>
      <c r="C635" t="s">
        <v>78</v>
      </c>
      <c r="E635">
        <v>510</v>
      </c>
      <c r="F635">
        <v>65</v>
      </c>
      <c r="G635">
        <v>125</v>
      </c>
      <c r="H635">
        <v>60</v>
      </c>
      <c r="I635">
        <v>95</v>
      </c>
      <c r="J635">
        <v>60</v>
      </c>
      <c r="K635">
        <v>105</v>
      </c>
      <c r="L635">
        <v>5</v>
      </c>
      <c r="M635" t="b">
        <v>0</v>
      </c>
    </row>
    <row r="636" spans="1:13">
      <c r="A636">
        <v>621</v>
      </c>
      <c r="B636" t="s">
        <v>662</v>
      </c>
      <c r="C636" t="s">
        <v>23</v>
      </c>
      <c r="E636">
        <v>485</v>
      </c>
      <c r="F636">
        <v>77</v>
      </c>
      <c r="G636">
        <v>120</v>
      </c>
      <c r="H636">
        <v>90</v>
      </c>
      <c r="I636">
        <v>60</v>
      </c>
      <c r="J636">
        <v>90</v>
      </c>
      <c r="K636">
        <v>48</v>
      </c>
      <c r="L636">
        <v>5</v>
      </c>
      <c r="M636" t="b">
        <v>0</v>
      </c>
    </row>
    <row r="637" spans="1:13">
      <c r="A637">
        <v>622</v>
      </c>
      <c r="B637" t="s">
        <v>663</v>
      </c>
      <c r="C637" t="s">
        <v>49</v>
      </c>
      <c r="D637" t="s">
        <v>119</v>
      </c>
      <c r="E637">
        <v>303</v>
      </c>
      <c r="F637">
        <v>59</v>
      </c>
      <c r="G637">
        <v>74</v>
      </c>
      <c r="H637">
        <v>50</v>
      </c>
      <c r="I637">
        <v>35</v>
      </c>
      <c r="J637">
        <v>50</v>
      </c>
      <c r="K637">
        <v>35</v>
      </c>
      <c r="L637">
        <v>5</v>
      </c>
      <c r="M637" t="b">
        <v>0</v>
      </c>
    </row>
    <row r="638" spans="1:13">
      <c r="A638">
        <v>623</v>
      </c>
      <c r="B638" t="s">
        <v>664</v>
      </c>
      <c r="C638" t="s">
        <v>49</v>
      </c>
      <c r="D638" t="s">
        <v>119</v>
      </c>
      <c r="E638">
        <v>483</v>
      </c>
      <c r="F638">
        <v>89</v>
      </c>
      <c r="G638">
        <v>124</v>
      </c>
      <c r="H638">
        <v>80</v>
      </c>
      <c r="I638">
        <v>55</v>
      </c>
      <c r="J638">
        <v>80</v>
      </c>
      <c r="K638">
        <v>55</v>
      </c>
      <c r="L638">
        <v>5</v>
      </c>
      <c r="M638" t="b">
        <v>0</v>
      </c>
    </row>
    <row r="639" spans="1:13">
      <c r="A639">
        <v>624</v>
      </c>
      <c r="B639" t="s">
        <v>665</v>
      </c>
      <c r="C639" t="s">
        <v>158</v>
      </c>
      <c r="D639" t="s">
        <v>106</v>
      </c>
      <c r="E639">
        <v>340</v>
      </c>
      <c r="F639">
        <v>45</v>
      </c>
      <c r="G639">
        <v>85</v>
      </c>
      <c r="H639">
        <v>70</v>
      </c>
      <c r="I639">
        <v>40</v>
      </c>
      <c r="J639">
        <v>40</v>
      </c>
      <c r="K639">
        <v>60</v>
      </c>
      <c r="L639">
        <v>5</v>
      </c>
      <c r="M639" t="b">
        <v>0</v>
      </c>
    </row>
    <row r="640" spans="1:13">
      <c r="A640">
        <v>625</v>
      </c>
      <c r="B640" t="s">
        <v>666</v>
      </c>
      <c r="C640" t="s">
        <v>158</v>
      </c>
      <c r="D640" t="s">
        <v>106</v>
      </c>
      <c r="E640">
        <v>490</v>
      </c>
      <c r="F640">
        <v>65</v>
      </c>
      <c r="G640">
        <v>125</v>
      </c>
      <c r="H640">
        <v>100</v>
      </c>
      <c r="I640">
        <v>60</v>
      </c>
      <c r="J640">
        <v>70</v>
      </c>
      <c r="K640">
        <v>70</v>
      </c>
      <c r="L640">
        <v>5</v>
      </c>
      <c r="M640" t="b">
        <v>0</v>
      </c>
    </row>
    <row r="641" spans="1:13">
      <c r="A641">
        <v>626</v>
      </c>
      <c r="B641" t="s">
        <v>667</v>
      </c>
      <c r="C641" t="s">
        <v>36</v>
      </c>
      <c r="E641">
        <v>490</v>
      </c>
      <c r="F641">
        <v>95</v>
      </c>
      <c r="G641">
        <v>110</v>
      </c>
      <c r="H641">
        <v>95</v>
      </c>
      <c r="I641">
        <v>40</v>
      </c>
      <c r="J641">
        <v>95</v>
      </c>
      <c r="K641">
        <v>55</v>
      </c>
      <c r="L641">
        <v>5</v>
      </c>
      <c r="M641" t="b">
        <v>0</v>
      </c>
    </row>
    <row r="642" spans="1:13">
      <c r="A642">
        <v>627</v>
      </c>
      <c r="B642" t="s">
        <v>668</v>
      </c>
      <c r="C642" t="s">
        <v>36</v>
      </c>
      <c r="D642" t="s">
        <v>22</v>
      </c>
      <c r="E642">
        <v>350</v>
      </c>
      <c r="F642">
        <v>70</v>
      </c>
      <c r="G642">
        <v>83</v>
      </c>
      <c r="H642">
        <v>50</v>
      </c>
      <c r="I642">
        <v>37</v>
      </c>
      <c r="J642">
        <v>50</v>
      </c>
      <c r="K642">
        <v>60</v>
      </c>
      <c r="L642">
        <v>5</v>
      </c>
      <c r="M642" t="b">
        <v>0</v>
      </c>
    </row>
    <row r="643" spans="1:13">
      <c r="A643">
        <v>628</v>
      </c>
      <c r="B643" t="s">
        <v>669</v>
      </c>
      <c r="C643" t="s">
        <v>36</v>
      </c>
      <c r="D643" t="s">
        <v>22</v>
      </c>
      <c r="E643">
        <v>510</v>
      </c>
      <c r="F643">
        <v>100</v>
      </c>
      <c r="G643">
        <v>123</v>
      </c>
      <c r="H643">
        <v>75</v>
      </c>
      <c r="I643">
        <v>57</v>
      </c>
      <c r="J643">
        <v>75</v>
      </c>
      <c r="K643">
        <v>80</v>
      </c>
      <c r="L643">
        <v>5</v>
      </c>
      <c r="M643" t="b">
        <v>0</v>
      </c>
    </row>
    <row r="644" spans="1:13">
      <c r="A644">
        <v>629</v>
      </c>
      <c r="B644" t="s">
        <v>670</v>
      </c>
      <c r="C644" t="s">
        <v>158</v>
      </c>
      <c r="D644" t="s">
        <v>22</v>
      </c>
      <c r="E644">
        <v>370</v>
      </c>
      <c r="F644">
        <v>70</v>
      </c>
      <c r="G644">
        <v>55</v>
      </c>
      <c r="H644">
        <v>75</v>
      </c>
      <c r="I644">
        <v>45</v>
      </c>
      <c r="J644">
        <v>65</v>
      </c>
      <c r="K644">
        <v>60</v>
      </c>
      <c r="L644">
        <v>5</v>
      </c>
      <c r="M644" t="b">
        <v>0</v>
      </c>
    </row>
    <row r="645" spans="1:13">
      <c r="A645">
        <v>630</v>
      </c>
      <c r="B645" t="s">
        <v>671</v>
      </c>
      <c r="C645" t="s">
        <v>158</v>
      </c>
      <c r="D645" t="s">
        <v>22</v>
      </c>
      <c r="E645">
        <v>510</v>
      </c>
      <c r="F645">
        <v>110</v>
      </c>
      <c r="G645">
        <v>65</v>
      </c>
      <c r="H645">
        <v>105</v>
      </c>
      <c r="I645">
        <v>55</v>
      </c>
      <c r="J645">
        <v>95</v>
      </c>
      <c r="K645">
        <v>80</v>
      </c>
      <c r="L645">
        <v>5</v>
      </c>
      <c r="M645" t="b">
        <v>0</v>
      </c>
    </row>
    <row r="646" spans="1:13">
      <c r="A646">
        <v>631</v>
      </c>
      <c r="B646" t="s">
        <v>672</v>
      </c>
      <c r="C646" t="s">
        <v>19</v>
      </c>
      <c r="E646">
        <v>484</v>
      </c>
      <c r="F646">
        <v>85</v>
      </c>
      <c r="G646">
        <v>97</v>
      </c>
      <c r="H646">
        <v>66</v>
      </c>
      <c r="I646">
        <v>105</v>
      </c>
      <c r="J646">
        <v>66</v>
      </c>
      <c r="K646">
        <v>65</v>
      </c>
      <c r="L646">
        <v>5</v>
      </c>
      <c r="M646" t="b">
        <v>0</v>
      </c>
    </row>
    <row r="647" spans="1:13">
      <c r="A647">
        <v>632</v>
      </c>
      <c r="B647" t="s">
        <v>673</v>
      </c>
      <c r="C647" t="s">
        <v>29</v>
      </c>
      <c r="D647" t="s">
        <v>106</v>
      </c>
      <c r="E647">
        <v>484</v>
      </c>
      <c r="F647">
        <v>58</v>
      </c>
      <c r="G647">
        <v>109</v>
      </c>
      <c r="H647">
        <v>112</v>
      </c>
      <c r="I647">
        <v>48</v>
      </c>
      <c r="J647">
        <v>48</v>
      </c>
      <c r="K647">
        <v>109</v>
      </c>
      <c r="L647">
        <v>5</v>
      </c>
      <c r="M647" t="b">
        <v>0</v>
      </c>
    </row>
    <row r="648" spans="1:13">
      <c r="A648">
        <v>633</v>
      </c>
      <c r="B648" t="s">
        <v>674</v>
      </c>
      <c r="C648" t="s">
        <v>158</v>
      </c>
      <c r="D648" t="s">
        <v>23</v>
      </c>
      <c r="E648">
        <v>300</v>
      </c>
      <c r="F648">
        <v>52</v>
      </c>
      <c r="G648">
        <v>65</v>
      </c>
      <c r="H648">
        <v>50</v>
      </c>
      <c r="I648">
        <v>45</v>
      </c>
      <c r="J648">
        <v>50</v>
      </c>
      <c r="K648">
        <v>38</v>
      </c>
      <c r="L648">
        <v>5</v>
      </c>
      <c r="M648" t="b">
        <v>0</v>
      </c>
    </row>
    <row r="649" spans="1:13">
      <c r="A649">
        <v>634</v>
      </c>
      <c r="B649" t="s">
        <v>675</v>
      </c>
      <c r="C649" t="s">
        <v>158</v>
      </c>
      <c r="D649" t="s">
        <v>23</v>
      </c>
      <c r="E649">
        <v>420</v>
      </c>
      <c r="F649">
        <v>72</v>
      </c>
      <c r="G649">
        <v>85</v>
      </c>
      <c r="H649">
        <v>70</v>
      </c>
      <c r="I649">
        <v>65</v>
      </c>
      <c r="J649">
        <v>70</v>
      </c>
      <c r="K649">
        <v>58</v>
      </c>
      <c r="L649">
        <v>5</v>
      </c>
      <c r="M649" t="b">
        <v>0</v>
      </c>
    </row>
    <row r="650" spans="1:13">
      <c r="A650">
        <v>635</v>
      </c>
      <c r="B650" t="s">
        <v>676</v>
      </c>
      <c r="C650" t="s">
        <v>158</v>
      </c>
      <c r="D650" t="s">
        <v>23</v>
      </c>
      <c r="E650">
        <v>600</v>
      </c>
      <c r="F650">
        <v>92</v>
      </c>
      <c r="G650">
        <v>105</v>
      </c>
      <c r="H650">
        <v>90</v>
      </c>
      <c r="I650">
        <v>125</v>
      </c>
      <c r="J650">
        <v>90</v>
      </c>
      <c r="K650">
        <v>98</v>
      </c>
      <c r="L650">
        <v>5</v>
      </c>
      <c r="M650" t="b">
        <v>0</v>
      </c>
    </row>
    <row r="651" spans="1:13">
      <c r="A651">
        <v>636</v>
      </c>
      <c r="B651" t="s">
        <v>677</v>
      </c>
      <c r="C651" t="s">
        <v>29</v>
      </c>
      <c r="D651" t="s">
        <v>19</v>
      </c>
      <c r="E651">
        <v>360</v>
      </c>
      <c r="F651">
        <v>55</v>
      </c>
      <c r="G651">
        <v>85</v>
      </c>
      <c r="H651">
        <v>55</v>
      </c>
      <c r="I651">
        <v>50</v>
      </c>
      <c r="J651">
        <v>55</v>
      </c>
      <c r="K651">
        <v>60</v>
      </c>
      <c r="L651">
        <v>5</v>
      </c>
      <c r="M651" t="b">
        <v>0</v>
      </c>
    </row>
    <row r="652" spans="1:13">
      <c r="A652">
        <v>637</v>
      </c>
      <c r="B652" t="s">
        <v>678</v>
      </c>
      <c r="C652" t="s">
        <v>29</v>
      </c>
      <c r="D652" t="s">
        <v>19</v>
      </c>
      <c r="E652">
        <v>550</v>
      </c>
      <c r="F652">
        <v>85</v>
      </c>
      <c r="G652">
        <v>60</v>
      </c>
      <c r="H652">
        <v>65</v>
      </c>
      <c r="I652">
        <v>135</v>
      </c>
      <c r="J652">
        <v>105</v>
      </c>
      <c r="K652">
        <v>100</v>
      </c>
      <c r="L652">
        <v>5</v>
      </c>
      <c r="M652" t="b">
        <v>0</v>
      </c>
    </row>
    <row r="653" spans="1:13">
      <c r="A653">
        <v>638</v>
      </c>
      <c r="B653" t="s">
        <v>679</v>
      </c>
      <c r="C653" t="s">
        <v>106</v>
      </c>
      <c r="D653" t="s">
        <v>78</v>
      </c>
      <c r="E653">
        <v>580</v>
      </c>
      <c r="F653">
        <v>91</v>
      </c>
      <c r="G653">
        <v>90</v>
      </c>
      <c r="H653">
        <v>129</v>
      </c>
      <c r="I653">
        <v>90</v>
      </c>
      <c r="J653">
        <v>72</v>
      </c>
      <c r="K653">
        <v>108</v>
      </c>
      <c r="L653">
        <v>5</v>
      </c>
      <c r="M653" t="b">
        <v>1</v>
      </c>
    </row>
    <row r="654" spans="1:13">
      <c r="A654">
        <v>639</v>
      </c>
      <c r="B654" t="s">
        <v>680</v>
      </c>
      <c r="C654" t="s">
        <v>98</v>
      </c>
      <c r="D654" t="s">
        <v>78</v>
      </c>
      <c r="E654">
        <v>580</v>
      </c>
      <c r="F654">
        <v>91</v>
      </c>
      <c r="G654">
        <v>129</v>
      </c>
      <c r="H654">
        <v>90</v>
      </c>
      <c r="I654">
        <v>72</v>
      </c>
      <c r="J654">
        <v>90</v>
      </c>
      <c r="K654">
        <v>108</v>
      </c>
      <c r="L654">
        <v>5</v>
      </c>
      <c r="M654" t="b">
        <v>1</v>
      </c>
    </row>
    <row r="655" spans="1:13">
      <c r="A655">
        <v>640</v>
      </c>
      <c r="B655" t="s">
        <v>681</v>
      </c>
      <c r="C655" t="s">
        <v>14</v>
      </c>
      <c r="D655" t="s">
        <v>78</v>
      </c>
      <c r="E655">
        <v>580</v>
      </c>
      <c r="F655">
        <v>91</v>
      </c>
      <c r="G655">
        <v>90</v>
      </c>
      <c r="H655">
        <v>72</v>
      </c>
      <c r="I655">
        <v>90</v>
      </c>
      <c r="J655">
        <v>129</v>
      </c>
      <c r="K655">
        <v>108</v>
      </c>
      <c r="L655">
        <v>5</v>
      </c>
      <c r="M655" t="b">
        <v>1</v>
      </c>
    </row>
    <row r="656" spans="1:13">
      <c r="A656">
        <v>641</v>
      </c>
      <c r="B656" t="s">
        <v>682</v>
      </c>
      <c r="C656" t="s">
        <v>22</v>
      </c>
      <c r="E656">
        <v>580</v>
      </c>
      <c r="F656">
        <v>79</v>
      </c>
      <c r="G656">
        <v>115</v>
      </c>
      <c r="H656">
        <v>70</v>
      </c>
      <c r="I656">
        <v>125</v>
      </c>
      <c r="J656">
        <v>80</v>
      </c>
      <c r="K656">
        <v>111</v>
      </c>
      <c r="L656">
        <v>5</v>
      </c>
      <c r="M656" t="b">
        <v>1</v>
      </c>
    </row>
    <row r="657" spans="1:13">
      <c r="A657">
        <v>641</v>
      </c>
      <c r="B657" t="s">
        <v>683</v>
      </c>
      <c r="C657" t="s">
        <v>22</v>
      </c>
      <c r="E657">
        <v>580</v>
      </c>
      <c r="F657">
        <v>79</v>
      </c>
      <c r="G657">
        <v>100</v>
      </c>
      <c r="H657">
        <v>80</v>
      </c>
      <c r="I657">
        <v>110</v>
      </c>
      <c r="J657">
        <v>90</v>
      </c>
      <c r="K657">
        <v>121</v>
      </c>
      <c r="L657">
        <v>5</v>
      </c>
      <c r="M657" t="b">
        <v>1</v>
      </c>
    </row>
    <row r="658" spans="1:13">
      <c r="A658">
        <v>642</v>
      </c>
      <c r="B658" t="s">
        <v>684</v>
      </c>
      <c r="C658" t="s">
        <v>46</v>
      </c>
      <c r="D658" t="s">
        <v>22</v>
      </c>
      <c r="E658">
        <v>580</v>
      </c>
      <c r="F658">
        <v>79</v>
      </c>
      <c r="G658">
        <v>115</v>
      </c>
      <c r="H658">
        <v>70</v>
      </c>
      <c r="I658">
        <v>125</v>
      </c>
      <c r="J658">
        <v>80</v>
      </c>
      <c r="K658">
        <v>111</v>
      </c>
      <c r="L658">
        <v>5</v>
      </c>
      <c r="M658" t="b">
        <v>1</v>
      </c>
    </row>
    <row r="659" spans="1:13">
      <c r="A659">
        <v>642</v>
      </c>
      <c r="B659" t="s">
        <v>685</v>
      </c>
      <c r="C659" t="s">
        <v>46</v>
      </c>
      <c r="D659" t="s">
        <v>22</v>
      </c>
      <c r="E659">
        <v>580</v>
      </c>
      <c r="F659">
        <v>79</v>
      </c>
      <c r="G659">
        <v>105</v>
      </c>
      <c r="H659">
        <v>70</v>
      </c>
      <c r="I659">
        <v>145</v>
      </c>
      <c r="J659">
        <v>80</v>
      </c>
      <c r="K659">
        <v>101</v>
      </c>
      <c r="L659">
        <v>5</v>
      </c>
      <c r="M659" t="b">
        <v>1</v>
      </c>
    </row>
    <row r="660" spans="1:13">
      <c r="A660">
        <v>643</v>
      </c>
      <c r="B660" t="s">
        <v>686</v>
      </c>
      <c r="C660" t="s">
        <v>23</v>
      </c>
      <c r="D660" t="s">
        <v>19</v>
      </c>
      <c r="E660">
        <v>680</v>
      </c>
      <c r="F660">
        <v>100</v>
      </c>
      <c r="G660">
        <v>120</v>
      </c>
      <c r="H660">
        <v>100</v>
      </c>
      <c r="I660">
        <v>150</v>
      </c>
      <c r="J660">
        <v>120</v>
      </c>
      <c r="K660">
        <v>90</v>
      </c>
      <c r="L660">
        <v>5</v>
      </c>
      <c r="M660" t="b">
        <v>1</v>
      </c>
    </row>
    <row r="661" spans="1:13">
      <c r="A661">
        <v>644</v>
      </c>
      <c r="B661" t="s">
        <v>687</v>
      </c>
      <c r="C661" t="s">
        <v>23</v>
      </c>
      <c r="D661" t="s">
        <v>46</v>
      </c>
      <c r="E661">
        <v>680</v>
      </c>
      <c r="F661">
        <v>100</v>
      </c>
      <c r="G661">
        <v>150</v>
      </c>
      <c r="H661">
        <v>120</v>
      </c>
      <c r="I661">
        <v>120</v>
      </c>
      <c r="J661">
        <v>100</v>
      </c>
      <c r="K661">
        <v>90</v>
      </c>
      <c r="L661">
        <v>5</v>
      </c>
      <c r="M661" t="b">
        <v>1</v>
      </c>
    </row>
    <row r="662" spans="1:13">
      <c r="A662">
        <v>645</v>
      </c>
      <c r="B662" t="s">
        <v>688</v>
      </c>
      <c r="C662" t="s">
        <v>49</v>
      </c>
      <c r="D662" t="s">
        <v>22</v>
      </c>
      <c r="E662">
        <v>600</v>
      </c>
      <c r="F662">
        <v>89</v>
      </c>
      <c r="G662">
        <v>125</v>
      </c>
      <c r="H662">
        <v>90</v>
      </c>
      <c r="I662">
        <v>115</v>
      </c>
      <c r="J662">
        <v>80</v>
      </c>
      <c r="K662">
        <v>101</v>
      </c>
      <c r="L662">
        <v>5</v>
      </c>
      <c r="M662" t="b">
        <v>1</v>
      </c>
    </row>
    <row r="663" spans="1:13">
      <c r="A663">
        <v>645</v>
      </c>
      <c r="B663" t="s">
        <v>689</v>
      </c>
      <c r="C663" t="s">
        <v>49</v>
      </c>
      <c r="D663" t="s">
        <v>22</v>
      </c>
      <c r="E663">
        <v>600</v>
      </c>
      <c r="F663">
        <v>89</v>
      </c>
      <c r="G663">
        <v>145</v>
      </c>
      <c r="H663">
        <v>90</v>
      </c>
      <c r="I663">
        <v>105</v>
      </c>
      <c r="J663">
        <v>80</v>
      </c>
      <c r="K663">
        <v>91</v>
      </c>
      <c r="L663">
        <v>5</v>
      </c>
      <c r="M663" t="b">
        <v>1</v>
      </c>
    </row>
    <row r="664" spans="1:13">
      <c r="A664">
        <v>646</v>
      </c>
      <c r="B664" t="s">
        <v>690</v>
      </c>
      <c r="C664" t="s">
        <v>23</v>
      </c>
      <c r="D664" t="s">
        <v>113</v>
      </c>
      <c r="E664">
        <v>660</v>
      </c>
      <c r="F664">
        <v>125</v>
      </c>
      <c r="G664">
        <v>130</v>
      </c>
      <c r="H664">
        <v>90</v>
      </c>
      <c r="I664">
        <v>130</v>
      </c>
      <c r="J664">
        <v>90</v>
      </c>
      <c r="K664">
        <v>95</v>
      </c>
      <c r="L664">
        <v>5</v>
      </c>
      <c r="M664" t="b">
        <v>1</v>
      </c>
    </row>
    <row r="665" spans="1:13">
      <c r="A665">
        <v>646</v>
      </c>
      <c r="B665" t="s">
        <v>691</v>
      </c>
      <c r="C665" t="s">
        <v>23</v>
      </c>
      <c r="D665" t="s">
        <v>113</v>
      </c>
      <c r="E665">
        <v>700</v>
      </c>
      <c r="F665">
        <v>125</v>
      </c>
      <c r="G665">
        <v>170</v>
      </c>
      <c r="H665">
        <v>100</v>
      </c>
      <c r="I665">
        <v>120</v>
      </c>
      <c r="J665">
        <v>90</v>
      </c>
      <c r="K665">
        <v>95</v>
      </c>
      <c r="L665">
        <v>5</v>
      </c>
      <c r="M665" t="b">
        <v>1</v>
      </c>
    </row>
    <row r="666" spans="1:13">
      <c r="A666">
        <v>646</v>
      </c>
      <c r="B666" t="s">
        <v>692</v>
      </c>
      <c r="C666" t="s">
        <v>23</v>
      </c>
      <c r="D666" t="s">
        <v>113</v>
      </c>
      <c r="E666">
        <v>700</v>
      </c>
      <c r="F666">
        <v>125</v>
      </c>
      <c r="G666">
        <v>120</v>
      </c>
      <c r="H666">
        <v>90</v>
      </c>
      <c r="I666">
        <v>170</v>
      </c>
      <c r="J666">
        <v>100</v>
      </c>
      <c r="K666">
        <v>95</v>
      </c>
      <c r="L666">
        <v>5</v>
      </c>
      <c r="M666" t="b">
        <v>1</v>
      </c>
    </row>
    <row r="667" spans="1:13">
      <c r="A667">
        <v>647</v>
      </c>
      <c r="B667" t="s">
        <v>693</v>
      </c>
      <c r="C667" t="s">
        <v>25</v>
      </c>
      <c r="D667" t="s">
        <v>78</v>
      </c>
      <c r="E667">
        <v>580</v>
      </c>
      <c r="F667">
        <v>91</v>
      </c>
      <c r="G667">
        <v>72</v>
      </c>
      <c r="H667">
        <v>90</v>
      </c>
      <c r="I667">
        <v>129</v>
      </c>
      <c r="J667">
        <v>90</v>
      </c>
      <c r="K667">
        <v>108</v>
      </c>
      <c r="L667">
        <v>5</v>
      </c>
      <c r="M667" t="b">
        <v>0</v>
      </c>
    </row>
    <row r="668" spans="1:13">
      <c r="A668">
        <v>647</v>
      </c>
      <c r="B668" t="s">
        <v>694</v>
      </c>
      <c r="C668" t="s">
        <v>25</v>
      </c>
      <c r="D668" t="s">
        <v>78</v>
      </c>
      <c r="E668">
        <v>580</v>
      </c>
      <c r="F668">
        <v>91</v>
      </c>
      <c r="G668">
        <v>72</v>
      </c>
      <c r="H668">
        <v>90</v>
      </c>
      <c r="I668">
        <v>129</v>
      </c>
      <c r="J668">
        <v>90</v>
      </c>
      <c r="K668">
        <v>108</v>
      </c>
      <c r="L668">
        <v>5</v>
      </c>
      <c r="M668" t="b">
        <v>0</v>
      </c>
    </row>
    <row r="669" spans="1:13">
      <c r="A669">
        <v>648</v>
      </c>
      <c r="B669" t="s">
        <v>695</v>
      </c>
      <c r="C669" t="s">
        <v>36</v>
      </c>
      <c r="D669" t="s">
        <v>86</v>
      </c>
      <c r="E669">
        <v>600</v>
      </c>
      <c r="F669">
        <v>100</v>
      </c>
      <c r="G669">
        <v>77</v>
      </c>
      <c r="H669">
        <v>77</v>
      </c>
      <c r="I669">
        <v>128</v>
      </c>
      <c r="J669">
        <v>128</v>
      </c>
      <c r="K669">
        <v>90</v>
      </c>
      <c r="L669">
        <v>5</v>
      </c>
      <c r="M669" t="b">
        <v>0</v>
      </c>
    </row>
    <row r="670" spans="1:13">
      <c r="A670">
        <v>648</v>
      </c>
      <c r="B670" t="s">
        <v>696</v>
      </c>
      <c r="C670" t="s">
        <v>36</v>
      </c>
      <c r="D670" t="s">
        <v>78</v>
      </c>
      <c r="E670">
        <v>600</v>
      </c>
      <c r="F670">
        <v>100</v>
      </c>
      <c r="G670">
        <v>128</v>
      </c>
      <c r="H670">
        <v>90</v>
      </c>
      <c r="I670">
        <v>77</v>
      </c>
      <c r="J670">
        <v>77</v>
      </c>
      <c r="K670">
        <v>128</v>
      </c>
      <c r="L670">
        <v>5</v>
      </c>
      <c r="M670" t="b">
        <v>0</v>
      </c>
    </row>
    <row r="671" spans="1:13">
      <c r="A671">
        <v>649</v>
      </c>
      <c r="B671" t="s">
        <v>697</v>
      </c>
      <c r="C671" t="s">
        <v>29</v>
      </c>
      <c r="D671" t="s">
        <v>106</v>
      </c>
      <c r="E671">
        <v>600</v>
      </c>
      <c r="F671">
        <v>71</v>
      </c>
      <c r="G671">
        <v>120</v>
      </c>
      <c r="H671">
        <v>95</v>
      </c>
      <c r="I671">
        <v>120</v>
      </c>
      <c r="J671">
        <v>95</v>
      </c>
      <c r="K671">
        <v>99</v>
      </c>
      <c r="L671">
        <v>5</v>
      </c>
      <c r="M671" t="b">
        <v>0</v>
      </c>
    </row>
    <row r="672" spans="1:13">
      <c r="A672">
        <v>650</v>
      </c>
      <c r="B672" t="s">
        <v>698</v>
      </c>
      <c r="C672" t="s">
        <v>14</v>
      </c>
      <c r="E672">
        <v>313</v>
      </c>
      <c r="F672">
        <v>56</v>
      </c>
      <c r="G672">
        <v>61</v>
      </c>
      <c r="H672">
        <v>65</v>
      </c>
      <c r="I672">
        <v>48</v>
      </c>
      <c r="J672">
        <v>45</v>
      </c>
      <c r="K672">
        <v>38</v>
      </c>
      <c r="L672">
        <v>6</v>
      </c>
      <c r="M672" t="b">
        <v>0</v>
      </c>
    </row>
    <row r="673" spans="1:13">
      <c r="A673">
        <v>651</v>
      </c>
      <c r="B673" t="s">
        <v>699</v>
      </c>
      <c r="C673" t="s">
        <v>14</v>
      </c>
      <c r="E673">
        <v>405</v>
      </c>
      <c r="F673">
        <v>61</v>
      </c>
      <c r="G673">
        <v>78</v>
      </c>
      <c r="H673">
        <v>95</v>
      </c>
      <c r="I673">
        <v>56</v>
      </c>
      <c r="J673">
        <v>58</v>
      </c>
      <c r="K673">
        <v>57</v>
      </c>
      <c r="L673">
        <v>6</v>
      </c>
      <c r="M673" t="b">
        <v>0</v>
      </c>
    </row>
    <row r="674" spans="1:13">
      <c r="A674">
        <v>652</v>
      </c>
      <c r="B674" t="s">
        <v>700</v>
      </c>
      <c r="C674" t="s">
        <v>14</v>
      </c>
      <c r="D674" t="s">
        <v>78</v>
      </c>
      <c r="E674">
        <v>530</v>
      </c>
      <c r="F674">
        <v>88</v>
      </c>
      <c r="G674">
        <v>107</v>
      </c>
      <c r="H674">
        <v>122</v>
      </c>
      <c r="I674">
        <v>74</v>
      </c>
      <c r="J674">
        <v>75</v>
      </c>
      <c r="K674">
        <v>64</v>
      </c>
      <c r="L674">
        <v>6</v>
      </c>
      <c r="M674" t="b">
        <v>0</v>
      </c>
    </row>
    <row r="675" spans="1:13">
      <c r="A675">
        <v>653</v>
      </c>
      <c r="B675" t="s">
        <v>701</v>
      </c>
      <c r="C675" t="s">
        <v>19</v>
      </c>
      <c r="E675">
        <v>307</v>
      </c>
      <c r="F675">
        <v>40</v>
      </c>
      <c r="G675">
        <v>45</v>
      </c>
      <c r="H675">
        <v>40</v>
      </c>
      <c r="I675">
        <v>62</v>
      </c>
      <c r="J675">
        <v>60</v>
      </c>
      <c r="K675">
        <v>60</v>
      </c>
      <c r="L675">
        <v>6</v>
      </c>
      <c r="M675" t="b">
        <v>0</v>
      </c>
    </row>
    <row r="676" spans="1:13">
      <c r="A676">
        <v>654</v>
      </c>
      <c r="B676" t="s">
        <v>702</v>
      </c>
      <c r="C676" t="s">
        <v>19</v>
      </c>
      <c r="E676">
        <v>409</v>
      </c>
      <c r="F676">
        <v>59</v>
      </c>
      <c r="G676">
        <v>59</v>
      </c>
      <c r="H676">
        <v>58</v>
      </c>
      <c r="I676">
        <v>90</v>
      </c>
      <c r="J676">
        <v>70</v>
      </c>
      <c r="K676">
        <v>73</v>
      </c>
      <c r="L676">
        <v>6</v>
      </c>
      <c r="M676" t="b">
        <v>0</v>
      </c>
    </row>
    <row r="677" spans="1:13">
      <c r="A677">
        <v>655</v>
      </c>
      <c r="B677" t="s">
        <v>703</v>
      </c>
      <c r="C677" t="s">
        <v>19</v>
      </c>
      <c r="D677" t="s">
        <v>86</v>
      </c>
      <c r="E677">
        <v>534</v>
      </c>
      <c r="F677">
        <v>75</v>
      </c>
      <c r="G677">
        <v>69</v>
      </c>
      <c r="H677">
        <v>72</v>
      </c>
      <c r="I677">
        <v>114</v>
      </c>
      <c r="J677">
        <v>100</v>
      </c>
      <c r="K677">
        <v>104</v>
      </c>
      <c r="L677">
        <v>6</v>
      </c>
      <c r="M677" t="b">
        <v>0</v>
      </c>
    </row>
    <row r="678" spans="1:13">
      <c r="A678">
        <v>656</v>
      </c>
      <c r="B678" t="s">
        <v>704</v>
      </c>
      <c r="C678" t="s">
        <v>25</v>
      </c>
      <c r="E678">
        <v>314</v>
      </c>
      <c r="F678">
        <v>41</v>
      </c>
      <c r="G678">
        <v>56</v>
      </c>
      <c r="H678">
        <v>40</v>
      </c>
      <c r="I678">
        <v>62</v>
      </c>
      <c r="J678">
        <v>44</v>
      </c>
      <c r="K678">
        <v>71</v>
      </c>
      <c r="L678">
        <v>6</v>
      </c>
      <c r="M678" t="b">
        <v>0</v>
      </c>
    </row>
    <row r="679" spans="1:13">
      <c r="A679">
        <v>657</v>
      </c>
      <c r="B679" t="s">
        <v>705</v>
      </c>
      <c r="C679" t="s">
        <v>25</v>
      </c>
      <c r="E679">
        <v>405</v>
      </c>
      <c r="F679">
        <v>54</v>
      </c>
      <c r="G679">
        <v>63</v>
      </c>
      <c r="H679">
        <v>52</v>
      </c>
      <c r="I679">
        <v>83</v>
      </c>
      <c r="J679">
        <v>56</v>
      </c>
      <c r="K679">
        <v>97</v>
      </c>
      <c r="L679">
        <v>6</v>
      </c>
      <c r="M679" t="b">
        <v>0</v>
      </c>
    </row>
    <row r="680" spans="1:13">
      <c r="A680">
        <v>658</v>
      </c>
      <c r="B680" t="s">
        <v>706</v>
      </c>
      <c r="C680" t="s">
        <v>25</v>
      </c>
      <c r="D680" t="s">
        <v>158</v>
      </c>
      <c r="E680">
        <v>530</v>
      </c>
      <c r="F680">
        <v>72</v>
      </c>
      <c r="G680">
        <v>95</v>
      </c>
      <c r="H680">
        <v>67</v>
      </c>
      <c r="I680">
        <v>103</v>
      </c>
      <c r="J680">
        <v>71</v>
      </c>
      <c r="K680">
        <v>122</v>
      </c>
      <c r="L680">
        <v>6</v>
      </c>
      <c r="M680" t="b">
        <v>0</v>
      </c>
    </row>
    <row r="681" spans="1:13">
      <c r="A681">
        <v>659</v>
      </c>
      <c r="B681" t="s">
        <v>707</v>
      </c>
      <c r="C681" t="s">
        <v>36</v>
      </c>
      <c r="E681">
        <v>237</v>
      </c>
      <c r="F681">
        <v>38</v>
      </c>
      <c r="G681">
        <v>36</v>
      </c>
      <c r="H681">
        <v>38</v>
      </c>
      <c r="I681">
        <v>32</v>
      </c>
      <c r="J681">
        <v>36</v>
      </c>
      <c r="K681">
        <v>57</v>
      </c>
      <c r="L681">
        <v>6</v>
      </c>
      <c r="M681" t="b">
        <v>0</v>
      </c>
    </row>
    <row r="682" spans="1:13">
      <c r="A682">
        <v>660</v>
      </c>
      <c r="B682" t="s">
        <v>708</v>
      </c>
      <c r="C682" t="s">
        <v>36</v>
      </c>
      <c r="D682" t="s">
        <v>49</v>
      </c>
      <c r="E682">
        <v>423</v>
      </c>
      <c r="F682">
        <v>85</v>
      </c>
      <c r="G682">
        <v>56</v>
      </c>
      <c r="H682">
        <v>77</v>
      </c>
      <c r="I682">
        <v>50</v>
      </c>
      <c r="J682">
        <v>77</v>
      </c>
      <c r="K682">
        <v>78</v>
      </c>
      <c r="L682">
        <v>6</v>
      </c>
      <c r="M682" t="b">
        <v>0</v>
      </c>
    </row>
    <row r="683" spans="1:13">
      <c r="A683">
        <v>661</v>
      </c>
      <c r="B683" t="s">
        <v>709</v>
      </c>
      <c r="C683" t="s">
        <v>36</v>
      </c>
      <c r="D683" t="s">
        <v>22</v>
      </c>
      <c r="E683">
        <v>278</v>
      </c>
      <c r="F683">
        <v>45</v>
      </c>
      <c r="G683">
        <v>50</v>
      </c>
      <c r="H683">
        <v>43</v>
      </c>
      <c r="I683">
        <v>40</v>
      </c>
      <c r="J683">
        <v>38</v>
      </c>
      <c r="K683">
        <v>62</v>
      </c>
      <c r="L683">
        <v>6</v>
      </c>
      <c r="M683" t="b">
        <v>0</v>
      </c>
    </row>
    <row r="684" spans="1:13">
      <c r="A684">
        <v>662</v>
      </c>
      <c r="B684" t="s">
        <v>710</v>
      </c>
      <c r="C684" t="s">
        <v>19</v>
      </c>
      <c r="D684" t="s">
        <v>22</v>
      </c>
      <c r="E684">
        <v>382</v>
      </c>
      <c r="F684">
        <v>62</v>
      </c>
      <c r="G684">
        <v>73</v>
      </c>
      <c r="H684">
        <v>55</v>
      </c>
      <c r="I684">
        <v>56</v>
      </c>
      <c r="J684">
        <v>52</v>
      </c>
      <c r="K684">
        <v>84</v>
      </c>
      <c r="L684">
        <v>6</v>
      </c>
      <c r="M684" t="b">
        <v>0</v>
      </c>
    </row>
    <row r="685" spans="1:13">
      <c r="A685">
        <v>663</v>
      </c>
      <c r="B685" t="s">
        <v>711</v>
      </c>
      <c r="C685" t="s">
        <v>19</v>
      </c>
      <c r="D685" t="s">
        <v>22</v>
      </c>
      <c r="E685">
        <v>499</v>
      </c>
      <c r="F685">
        <v>78</v>
      </c>
      <c r="G685">
        <v>81</v>
      </c>
      <c r="H685">
        <v>71</v>
      </c>
      <c r="I685">
        <v>74</v>
      </c>
      <c r="J685">
        <v>69</v>
      </c>
      <c r="K685">
        <v>126</v>
      </c>
      <c r="L685">
        <v>6</v>
      </c>
      <c r="M685" t="b">
        <v>0</v>
      </c>
    </row>
    <row r="686" spans="1:13">
      <c r="A686">
        <v>664</v>
      </c>
      <c r="B686" t="s">
        <v>712</v>
      </c>
      <c r="C686" t="s">
        <v>29</v>
      </c>
      <c r="E686">
        <v>200</v>
      </c>
      <c r="F686">
        <v>38</v>
      </c>
      <c r="G686">
        <v>35</v>
      </c>
      <c r="H686">
        <v>40</v>
      </c>
      <c r="I686">
        <v>27</v>
      </c>
      <c r="J686">
        <v>25</v>
      </c>
      <c r="K686">
        <v>35</v>
      </c>
      <c r="L686">
        <v>6</v>
      </c>
      <c r="M686" t="b">
        <v>0</v>
      </c>
    </row>
    <row r="687" spans="1:13">
      <c r="A687">
        <v>665</v>
      </c>
      <c r="B687" t="s">
        <v>713</v>
      </c>
      <c r="C687" t="s">
        <v>29</v>
      </c>
      <c r="E687">
        <v>213</v>
      </c>
      <c r="F687">
        <v>45</v>
      </c>
      <c r="G687">
        <v>22</v>
      </c>
      <c r="H687">
        <v>60</v>
      </c>
      <c r="I687">
        <v>27</v>
      </c>
      <c r="J687">
        <v>30</v>
      </c>
      <c r="K687">
        <v>29</v>
      </c>
      <c r="L687">
        <v>6</v>
      </c>
      <c r="M687" t="b">
        <v>0</v>
      </c>
    </row>
    <row r="688" spans="1:13">
      <c r="A688">
        <v>666</v>
      </c>
      <c r="B688" t="s">
        <v>714</v>
      </c>
      <c r="C688" t="s">
        <v>29</v>
      </c>
      <c r="D688" t="s">
        <v>22</v>
      </c>
      <c r="E688">
        <v>411</v>
      </c>
      <c r="F688">
        <v>80</v>
      </c>
      <c r="G688">
        <v>52</v>
      </c>
      <c r="H688">
        <v>50</v>
      </c>
      <c r="I688">
        <v>90</v>
      </c>
      <c r="J688">
        <v>50</v>
      </c>
      <c r="K688">
        <v>89</v>
      </c>
      <c r="L688">
        <v>6</v>
      </c>
      <c r="M688" t="b">
        <v>0</v>
      </c>
    </row>
    <row r="689" spans="1:13">
      <c r="A689">
        <v>667</v>
      </c>
      <c r="B689" t="s">
        <v>715</v>
      </c>
      <c r="C689" t="s">
        <v>19</v>
      </c>
      <c r="D689" t="s">
        <v>36</v>
      </c>
      <c r="E689">
        <v>369</v>
      </c>
      <c r="F689">
        <v>62</v>
      </c>
      <c r="G689">
        <v>50</v>
      </c>
      <c r="H689">
        <v>58</v>
      </c>
      <c r="I689">
        <v>73</v>
      </c>
      <c r="J689">
        <v>54</v>
      </c>
      <c r="K689">
        <v>72</v>
      </c>
      <c r="L689">
        <v>6</v>
      </c>
      <c r="M689" t="b">
        <v>0</v>
      </c>
    </row>
    <row r="690" spans="1:13">
      <c r="A690">
        <v>668</v>
      </c>
      <c r="B690" t="s">
        <v>716</v>
      </c>
      <c r="C690" t="s">
        <v>19</v>
      </c>
      <c r="D690" t="s">
        <v>36</v>
      </c>
      <c r="E690">
        <v>507</v>
      </c>
      <c r="F690">
        <v>86</v>
      </c>
      <c r="G690">
        <v>68</v>
      </c>
      <c r="H690">
        <v>72</v>
      </c>
      <c r="I690">
        <v>109</v>
      </c>
      <c r="J690">
        <v>66</v>
      </c>
      <c r="K690">
        <v>106</v>
      </c>
      <c r="L690">
        <v>6</v>
      </c>
      <c r="M690" t="b">
        <v>0</v>
      </c>
    </row>
    <row r="691" spans="1:13">
      <c r="A691">
        <v>669</v>
      </c>
      <c r="B691" t="s">
        <v>717</v>
      </c>
      <c r="C691" t="s">
        <v>56</v>
      </c>
      <c r="E691">
        <v>303</v>
      </c>
      <c r="F691">
        <v>44</v>
      </c>
      <c r="G691">
        <v>38</v>
      </c>
      <c r="H691">
        <v>39</v>
      </c>
      <c r="I691">
        <v>61</v>
      </c>
      <c r="J691">
        <v>79</v>
      </c>
      <c r="K691">
        <v>42</v>
      </c>
      <c r="L691">
        <v>6</v>
      </c>
      <c r="M691" t="b">
        <v>0</v>
      </c>
    </row>
    <row r="692" spans="1:13">
      <c r="A692">
        <v>670</v>
      </c>
      <c r="B692" t="s">
        <v>718</v>
      </c>
      <c r="C692" t="s">
        <v>56</v>
      </c>
      <c r="E692">
        <v>371</v>
      </c>
      <c r="F692">
        <v>54</v>
      </c>
      <c r="G692">
        <v>45</v>
      </c>
      <c r="H692">
        <v>47</v>
      </c>
      <c r="I692">
        <v>75</v>
      </c>
      <c r="J692">
        <v>98</v>
      </c>
      <c r="K692">
        <v>52</v>
      </c>
      <c r="L692">
        <v>6</v>
      </c>
      <c r="M692" t="b">
        <v>0</v>
      </c>
    </row>
    <row r="693" spans="1:13">
      <c r="A693">
        <v>671</v>
      </c>
      <c r="B693" t="s">
        <v>719</v>
      </c>
      <c r="C693" t="s">
        <v>56</v>
      </c>
      <c r="E693">
        <v>552</v>
      </c>
      <c r="F693">
        <v>78</v>
      </c>
      <c r="G693">
        <v>65</v>
      </c>
      <c r="H693">
        <v>68</v>
      </c>
      <c r="I693">
        <v>112</v>
      </c>
      <c r="J693">
        <v>154</v>
      </c>
      <c r="K693">
        <v>75</v>
      </c>
      <c r="L693">
        <v>6</v>
      </c>
      <c r="M693" t="b">
        <v>0</v>
      </c>
    </row>
    <row r="694" spans="1:13">
      <c r="A694">
        <v>672</v>
      </c>
      <c r="B694" t="s">
        <v>720</v>
      </c>
      <c r="C694" t="s">
        <v>14</v>
      </c>
      <c r="E694">
        <v>350</v>
      </c>
      <c r="F694">
        <v>66</v>
      </c>
      <c r="G694">
        <v>65</v>
      </c>
      <c r="H694">
        <v>48</v>
      </c>
      <c r="I694">
        <v>62</v>
      </c>
      <c r="J694">
        <v>57</v>
      </c>
      <c r="K694">
        <v>52</v>
      </c>
      <c r="L694">
        <v>6</v>
      </c>
      <c r="M694" t="b">
        <v>0</v>
      </c>
    </row>
    <row r="695" spans="1:13">
      <c r="A695">
        <v>673</v>
      </c>
      <c r="B695" t="s">
        <v>721</v>
      </c>
      <c r="C695" t="s">
        <v>14</v>
      </c>
      <c r="E695">
        <v>531</v>
      </c>
      <c r="F695">
        <v>123</v>
      </c>
      <c r="G695">
        <v>100</v>
      </c>
      <c r="H695">
        <v>62</v>
      </c>
      <c r="I695">
        <v>97</v>
      </c>
      <c r="J695">
        <v>81</v>
      </c>
      <c r="K695">
        <v>68</v>
      </c>
      <c r="L695">
        <v>6</v>
      </c>
      <c r="M695" t="b">
        <v>0</v>
      </c>
    </row>
    <row r="696" spans="1:13">
      <c r="A696">
        <v>674</v>
      </c>
      <c r="B696" t="s">
        <v>722</v>
      </c>
      <c r="C696" t="s">
        <v>78</v>
      </c>
      <c r="E696">
        <v>348</v>
      </c>
      <c r="F696">
        <v>67</v>
      </c>
      <c r="G696">
        <v>82</v>
      </c>
      <c r="H696">
        <v>62</v>
      </c>
      <c r="I696">
        <v>46</v>
      </c>
      <c r="J696">
        <v>48</v>
      </c>
      <c r="K696">
        <v>43</v>
      </c>
      <c r="L696">
        <v>6</v>
      </c>
      <c r="M696" t="b">
        <v>0</v>
      </c>
    </row>
    <row r="697" spans="1:13">
      <c r="A697">
        <v>675</v>
      </c>
      <c r="B697" t="s">
        <v>723</v>
      </c>
      <c r="C697" t="s">
        <v>78</v>
      </c>
      <c r="D697" t="s">
        <v>158</v>
      </c>
      <c r="E697">
        <v>495</v>
      </c>
      <c r="F697">
        <v>95</v>
      </c>
      <c r="G697">
        <v>124</v>
      </c>
      <c r="H697">
        <v>78</v>
      </c>
      <c r="I697">
        <v>69</v>
      </c>
      <c r="J697">
        <v>71</v>
      </c>
      <c r="K697">
        <v>58</v>
      </c>
      <c r="L697">
        <v>6</v>
      </c>
      <c r="M697" t="b">
        <v>0</v>
      </c>
    </row>
    <row r="698" spans="1:13">
      <c r="A698">
        <v>676</v>
      </c>
      <c r="B698" t="s">
        <v>724</v>
      </c>
      <c r="C698" t="s">
        <v>36</v>
      </c>
      <c r="E698">
        <v>472</v>
      </c>
      <c r="F698">
        <v>75</v>
      </c>
      <c r="G698">
        <v>80</v>
      </c>
      <c r="H698">
        <v>60</v>
      </c>
      <c r="I698">
        <v>65</v>
      </c>
      <c r="J698">
        <v>90</v>
      </c>
      <c r="K698">
        <v>102</v>
      </c>
      <c r="L698">
        <v>6</v>
      </c>
      <c r="M698" t="b">
        <v>0</v>
      </c>
    </row>
    <row r="699" spans="1:13">
      <c r="A699">
        <v>677</v>
      </c>
      <c r="B699" t="s">
        <v>725</v>
      </c>
      <c r="C699" t="s">
        <v>86</v>
      </c>
      <c r="E699">
        <v>355</v>
      </c>
      <c r="F699">
        <v>62</v>
      </c>
      <c r="G699">
        <v>48</v>
      </c>
      <c r="H699">
        <v>54</v>
      </c>
      <c r="I699">
        <v>63</v>
      </c>
      <c r="J699">
        <v>60</v>
      </c>
      <c r="K699">
        <v>68</v>
      </c>
      <c r="L699">
        <v>6</v>
      </c>
      <c r="M699" t="b">
        <v>0</v>
      </c>
    </row>
    <row r="700" spans="1:13">
      <c r="A700">
        <v>678</v>
      </c>
      <c r="B700" t="s">
        <v>726</v>
      </c>
      <c r="C700" t="s">
        <v>86</v>
      </c>
      <c r="E700">
        <v>466</v>
      </c>
      <c r="F700">
        <v>74</v>
      </c>
      <c r="G700">
        <v>48</v>
      </c>
      <c r="H700">
        <v>76</v>
      </c>
      <c r="I700">
        <v>83</v>
      </c>
      <c r="J700">
        <v>81</v>
      </c>
      <c r="K700">
        <v>104</v>
      </c>
      <c r="L700">
        <v>6</v>
      </c>
      <c r="M700" t="b">
        <v>0</v>
      </c>
    </row>
    <row r="701" spans="1:13">
      <c r="A701">
        <v>678</v>
      </c>
      <c r="B701" t="s">
        <v>727</v>
      </c>
      <c r="C701" t="s">
        <v>86</v>
      </c>
      <c r="E701">
        <v>466</v>
      </c>
      <c r="F701">
        <v>74</v>
      </c>
      <c r="G701">
        <v>48</v>
      </c>
      <c r="H701">
        <v>76</v>
      </c>
      <c r="I701">
        <v>83</v>
      </c>
      <c r="J701">
        <v>81</v>
      </c>
      <c r="K701">
        <v>104</v>
      </c>
      <c r="L701">
        <v>6</v>
      </c>
      <c r="M701" t="b">
        <v>0</v>
      </c>
    </row>
    <row r="702" spans="1:13">
      <c r="A702">
        <v>679</v>
      </c>
      <c r="B702" t="s">
        <v>728</v>
      </c>
      <c r="C702" t="s">
        <v>106</v>
      </c>
      <c r="D702" t="s">
        <v>119</v>
      </c>
      <c r="E702">
        <v>325</v>
      </c>
      <c r="F702">
        <v>45</v>
      </c>
      <c r="G702">
        <v>80</v>
      </c>
      <c r="H702">
        <v>100</v>
      </c>
      <c r="I702">
        <v>35</v>
      </c>
      <c r="J702">
        <v>37</v>
      </c>
      <c r="K702">
        <v>28</v>
      </c>
      <c r="L702">
        <v>6</v>
      </c>
      <c r="M702" t="b">
        <v>0</v>
      </c>
    </row>
    <row r="703" spans="1:13">
      <c r="A703">
        <v>680</v>
      </c>
      <c r="B703" t="s">
        <v>729</v>
      </c>
      <c r="C703" t="s">
        <v>106</v>
      </c>
      <c r="D703" t="s">
        <v>119</v>
      </c>
      <c r="E703">
        <v>448</v>
      </c>
      <c r="F703">
        <v>59</v>
      </c>
      <c r="G703">
        <v>110</v>
      </c>
      <c r="H703">
        <v>150</v>
      </c>
      <c r="I703">
        <v>45</v>
      </c>
      <c r="J703">
        <v>49</v>
      </c>
      <c r="K703">
        <v>35</v>
      </c>
      <c r="L703">
        <v>6</v>
      </c>
      <c r="M703" t="b">
        <v>0</v>
      </c>
    </row>
    <row r="704" spans="1:13">
      <c r="A704">
        <v>681</v>
      </c>
      <c r="B704" t="s">
        <v>730</v>
      </c>
      <c r="C704" t="s">
        <v>106</v>
      </c>
      <c r="D704" t="s">
        <v>119</v>
      </c>
      <c r="E704">
        <v>520</v>
      </c>
      <c r="F704">
        <v>60</v>
      </c>
      <c r="G704">
        <v>150</v>
      </c>
      <c r="H704">
        <v>50</v>
      </c>
      <c r="I704">
        <v>150</v>
      </c>
      <c r="J704">
        <v>50</v>
      </c>
      <c r="K704">
        <v>60</v>
      </c>
      <c r="L704">
        <v>6</v>
      </c>
      <c r="M704" t="b">
        <v>0</v>
      </c>
    </row>
    <row r="705" spans="1:13">
      <c r="A705">
        <v>681</v>
      </c>
      <c r="B705" t="s">
        <v>731</v>
      </c>
      <c r="C705" t="s">
        <v>106</v>
      </c>
      <c r="D705" t="s">
        <v>119</v>
      </c>
      <c r="E705">
        <v>520</v>
      </c>
      <c r="F705">
        <v>60</v>
      </c>
      <c r="G705">
        <v>50</v>
      </c>
      <c r="H705">
        <v>150</v>
      </c>
      <c r="I705">
        <v>50</v>
      </c>
      <c r="J705">
        <v>150</v>
      </c>
      <c r="K705">
        <v>60</v>
      </c>
      <c r="L705">
        <v>6</v>
      </c>
      <c r="M705" t="b">
        <v>0</v>
      </c>
    </row>
    <row r="706" spans="1:13">
      <c r="A706">
        <v>682</v>
      </c>
      <c r="B706" t="s">
        <v>732</v>
      </c>
      <c r="C706" t="s">
        <v>56</v>
      </c>
      <c r="E706">
        <v>341</v>
      </c>
      <c r="F706">
        <v>78</v>
      </c>
      <c r="G706">
        <v>52</v>
      </c>
      <c r="H706">
        <v>60</v>
      </c>
      <c r="I706">
        <v>63</v>
      </c>
      <c r="J706">
        <v>65</v>
      </c>
      <c r="K706">
        <v>23</v>
      </c>
      <c r="L706">
        <v>6</v>
      </c>
      <c r="M706" t="b">
        <v>0</v>
      </c>
    </row>
    <row r="707" spans="1:13">
      <c r="A707">
        <v>683</v>
      </c>
      <c r="B707" t="s">
        <v>733</v>
      </c>
      <c r="C707" t="s">
        <v>56</v>
      </c>
      <c r="E707">
        <v>462</v>
      </c>
      <c r="F707">
        <v>101</v>
      </c>
      <c r="G707">
        <v>72</v>
      </c>
      <c r="H707">
        <v>72</v>
      </c>
      <c r="I707">
        <v>99</v>
      </c>
      <c r="J707">
        <v>89</v>
      </c>
      <c r="K707">
        <v>29</v>
      </c>
      <c r="L707">
        <v>6</v>
      </c>
      <c r="M707" t="b">
        <v>0</v>
      </c>
    </row>
    <row r="708" spans="1:13">
      <c r="A708">
        <v>684</v>
      </c>
      <c r="B708" t="s">
        <v>734</v>
      </c>
      <c r="C708" t="s">
        <v>56</v>
      </c>
      <c r="E708">
        <v>341</v>
      </c>
      <c r="F708">
        <v>62</v>
      </c>
      <c r="G708">
        <v>48</v>
      </c>
      <c r="H708">
        <v>66</v>
      </c>
      <c r="I708">
        <v>59</v>
      </c>
      <c r="J708">
        <v>57</v>
      </c>
      <c r="K708">
        <v>49</v>
      </c>
      <c r="L708">
        <v>6</v>
      </c>
      <c r="M708" t="b">
        <v>0</v>
      </c>
    </row>
    <row r="709" spans="1:13">
      <c r="A709">
        <v>685</v>
      </c>
      <c r="B709" t="s">
        <v>735</v>
      </c>
      <c r="C709" t="s">
        <v>56</v>
      </c>
      <c r="E709">
        <v>480</v>
      </c>
      <c r="F709">
        <v>82</v>
      </c>
      <c r="G709">
        <v>80</v>
      </c>
      <c r="H709">
        <v>86</v>
      </c>
      <c r="I709">
        <v>85</v>
      </c>
      <c r="J709">
        <v>75</v>
      </c>
      <c r="K709">
        <v>72</v>
      </c>
      <c r="L709">
        <v>6</v>
      </c>
      <c r="M709" t="b">
        <v>0</v>
      </c>
    </row>
    <row r="710" spans="1:13">
      <c r="A710">
        <v>686</v>
      </c>
      <c r="B710" t="s">
        <v>736</v>
      </c>
      <c r="C710" t="s">
        <v>158</v>
      </c>
      <c r="D710" t="s">
        <v>86</v>
      </c>
      <c r="E710">
        <v>288</v>
      </c>
      <c r="F710">
        <v>53</v>
      </c>
      <c r="G710">
        <v>54</v>
      </c>
      <c r="H710">
        <v>53</v>
      </c>
      <c r="I710">
        <v>37</v>
      </c>
      <c r="J710">
        <v>46</v>
      </c>
      <c r="K710">
        <v>45</v>
      </c>
      <c r="L710">
        <v>6</v>
      </c>
      <c r="M710" t="b">
        <v>0</v>
      </c>
    </row>
    <row r="711" spans="1:13">
      <c r="A711">
        <v>687</v>
      </c>
      <c r="B711" t="s">
        <v>737</v>
      </c>
      <c r="C711" t="s">
        <v>158</v>
      </c>
      <c r="D711" t="s">
        <v>86</v>
      </c>
      <c r="E711">
        <v>482</v>
      </c>
      <c r="F711">
        <v>86</v>
      </c>
      <c r="G711">
        <v>92</v>
      </c>
      <c r="H711">
        <v>88</v>
      </c>
      <c r="I711">
        <v>68</v>
      </c>
      <c r="J711">
        <v>75</v>
      </c>
      <c r="K711">
        <v>73</v>
      </c>
      <c r="L711">
        <v>6</v>
      </c>
      <c r="M711" t="b">
        <v>0</v>
      </c>
    </row>
    <row r="712" spans="1:13">
      <c r="A712">
        <v>688</v>
      </c>
      <c r="B712" t="s">
        <v>738</v>
      </c>
      <c r="C712" t="s">
        <v>98</v>
      </c>
      <c r="D712" t="s">
        <v>25</v>
      </c>
      <c r="E712">
        <v>306</v>
      </c>
      <c r="F712">
        <v>42</v>
      </c>
      <c r="G712">
        <v>52</v>
      </c>
      <c r="H712">
        <v>67</v>
      </c>
      <c r="I712">
        <v>39</v>
      </c>
      <c r="J712">
        <v>56</v>
      </c>
      <c r="K712">
        <v>50</v>
      </c>
      <c r="L712">
        <v>6</v>
      </c>
      <c r="M712" t="b">
        <v>0</v>
      </c>
    </row>
    <row r="713" spans="1:13">
      <c r="A713">
        <v>689</v>
      </c>
      <c r="B713" t="s">
        <v>739</v>
      </c>
      <c r="C713" t="s">
        <v>98</v>
      </c>
      <c r="D713" t="s">
        <v>25</v>
      </c>
      <c r="E713">
        <v>500</v>
      </c>
      <c r="F713">
        <v>72</v>
      </c>
      <c r="G713">
        <v>105</v>
      </c>
      <c r="H713">
        <v>115</v>
      </c>
      <c r="I713">
        <v>54</v>
      </c>
      <c r="J713">
        <v>86</v>
      </c>
      <c r="K713">
        <v>68</v>
      </c>
      <c r="L713">
        <v>6</v>
      </c>
      <c r="M713" t="b">
        <v>0</v>
      </c>
    </row>
    <row r="714" spans="1:13">
      <c r="A714">
        <v>690</v>
      </c>
      <c r="B714" t="s">
        <v>740</v>
      </c>
      <c r="C714" t="s">
        <v>15</v>
      </c>
      <c r="D714" t="s">
        <v>25</v>
      </c>
      <c r="E714">
        <v>320</v>
      </c>
      <c r="F714">
        <v>50</v>
      </c>
      <c r="G714">
        <v>60</v>
      </c>
      <c r="H714">
        <v>60</v>
      </c>
      <c r="I714">
        <v>60</v>
      </c>
      <c r="J714">
        <v>60</v>
      </c>
      <c r="K714">
        <v>30</v>
      </c>
      <c r="L714">
        <v>6</v>
      </c>
      <c r="M714" t="b">
        <v>0</v>
      </c>
    </row>
    <row r="715" spans="1:13">
      <c r="A715">
        <v>691</v>
      </c>
      <c r="B715" t="s">
        <v>741</v>
      </c>
      <c r="C715" t="s">
        <v>15</v>
      </c>
      <c r="D715" t="s">
        <v>23</v>
      </c>
      <c r="E715">
        <v>494</v>
      </c>
      <c r="F715">
        <v>65</v>
      </c>
      <c r="G715">
        <v>75</v>
      </c>
      <c r="H715">
        <v>90</v>
      </c>
      <c r="I715">
        <v>97</v>
      </c>
      <c r="J715">
        <v>123</v>
      </c>
      <c r="K715">
        <v>44</v>
      </c>
      <c r="L715">
        <v>6</v>
      </c>
      <c r="M715" t="b">
        <v>0</v>
      </c>
    </row>
    <row r="716" spans="1:13">
      <c r="A716">
        <v>692</v>
      </c>
      <c r="B716" t="s">
        <v>742</v>
      </c>
      <c r="C716" t="s">
        <v>25</v>
      </c>
      <c r="E716">
        <v>330</v>
      </c>
      <c r="F716">
        <v>50</v>
      </c>
      <c r="G716">
        <v>53</v>
      </c>
      <c r="H716">
        <v>62</v>
      </c>
      <c r="I716">
        <v>58</v>
      </c>
      <c r="J716">
        <v>63</v>
      </c>
      <c r="K716">
        <v>44</v>
      </c>
      <c r="L716">
        <v>6</v>
      </c>
      <c r="M716" t="b">
        <v>0</v>
      </c>
    </row>
    <row r="717" spans="1:13">
      <c r="A717">
        <v>693</v>
      </c>
      <c r="B717" t="s">
        <v>743</v>
      </c>
      <c r="C717" t="s">
        <v>25</v>
      </c>
      <c r="E717">
        <v>500</v>
      </c>
      <c r="F717">
        <v>71</v>
      </c>
      <c r="G717">
        <v>73</v>
      </c>
      <c r="H717">
        <v>88</v>
      </c>
      <c r="I717">
        <v>120</v>
      </c>
      <c r="J717">
        <v>89</v>
      </c>
      <c r="K717">
        <v>59</v>
      </c>
      <c r="L717">
        <v>6</v>
      </c>
      <c r="M717" t="b">
        <v>0</v>
      </c>
    </row>
    <row r="718" spans="1:13">
      <c r="A718">
        <v>694</v>
      </c>
      <c r="B718" t="s">
        <v>744</v>
      </c>
      <c r="C718" t="s">
        <v>46</v>
      </c>
      <c r="D718" t="s">
        <v>36</v>
      </c>
      <c r="E718">
        <v>289</v>
      </c>
      <c r="F718">
        <v>44</v>
      </c>
      <c r="G718">
        <v>38</v>
      </c>
      <c r="H718">
        <v>33</v>
      </c>
      <c r="I718">
        <v>61</v>
      </c>
      <c r="J718">
        <v>43</v>
      </c>
      <c r="K718">
        <v>70</v>
      </c>
      <c r="L718">
        <v>6</v>
      </c>
      <c r="M718" t="b">
        <v>0</v>
      </c>
    </row>
    <row r="719" spans="1:13">
      <c r="A719">
        <v>695</v>
      </c>
      <c r="B719" t="s">
        <v>745</v>
      </c>
      <c r="C719" t="s">
        <v>46</v>
      </c>
      <c r="D719" t="s">
        <v>36</v>
      </c>
      <c r="E719">
        <v>481</v>
      </c>
      <c r="F719">
        <v>62</v>
      </c>
      <c r="G719">
        <v>55</v>
      </c>
      <c r="H719">
        <v>52</v>
      </c>
      <c r="I719">
        <v>109</v>
      </c>
      <c r="J719">
        <v>94</v>
      </c>
      <c r="K719">
        <v>109</v>
      </c>
      <c r="L719">
        <v>6</v>
      </c>
      <c r="M719" t="b">
        <v>0</v>
      </c>
    </row>
    <row r="720" spans="1:13">
      <c r="A720">
        <v>696</v>
      </c>
      <c r="B720" t="s">
        <v>746</v>
      </c>
      <c r="C720" t="s">
        <v>98</v>
      </c>
      <c r="D720" t="s">
        <v>23</v>
      </c>
      <c r="E720">
        <v>362</v>
      </c>
      <c r="F720">
        <v>58</v>
      </c>
      <c r="G720">
        <v>89</v>
      </c>
      <c r="H720">
        <v>77</v>
      </c>
      <c r="I720">
        <v>45</v>
      </c>
      <c r="J720">
        <v>45</v>
      </c>
      <c r="K720">
        <v>48</v>
      </c>
      <c r="L720">
        <v>6</v>
      </c>
      <c r="M720" t="b">
        <v>0</v>
      </c>
    </row>
    <row r="721" spans="1:13">
      <c r="A721">
        <v>697</v>
      </c>
      <c r="B721" t="s">
        <v>747</v>
      </c>
      <c r="C721" t="s">
        <v>98</v>
      </c>
      <c r="D721" t="s">
        <v>23</v>
      </c>
      <c r="E721">
        <v>521</v>
      </c>
      <c r="F721">
        <v>82</v>
      </c>
      <c r="G721">
        <v>121</v>
      </c>
      <c r="H721">
        <v>119</v>
      </c>
      <c r="I721">
        <v>69</v>
      </c>
      <c r="J721">
        <v>59</v>
      </c>
      <c r="K721">
        <v>71</v>
      </c>
      <c r="L721">
        <v>6</v>
      </c>
      <c r="M721" t="b">
        <v>0</v>
      </c>
    </row>
    <row r="722" spans="1:13">
      <c r="A722">
        <v>698</v>
      </c>
      <c r="B722" t="s">
        <v>748</v>
      </c>
      <c r="C722" t="s">
        <v>98</v>
      </c>
      <c r="D722" t="s">
        <v>113</v>
      </c>
      <c r="E722">
        <v>362</v>
      </c>
      <c r="F722">
        <v>77</v>
      </c>
      <c r="G722">
        <v>59</v>
      </c>
      <c r="H722">
        <v>50</v>
      </c>
      <c r="I722">
        <v>67</v>
      </c>
      <c r="J722">
        <v>63</v>
      </c>
      <c r="K722">
        <v>46</v>
      </c>
      <c r="L722">
        <v>6</v>
      </c>
      <c r="M722" t="b">
        <v>0</v>
      </c>
    </row>
    <row r="723" spans="1:13">
      <c r="A723">
        <v>699</v>
      </c>
      <c r="B723" t="s">
        <v>749</v>
      </c>
      <c r="C723" t="s">
        <v>98</v>
      </c>
      <c r="D723" t="s">
        <v>113</v>
      </c>
      <c r="E723">
        <v>521</v>
      </c>
      <c r="F723">
        <v>123</v>
      </c>
      <c r="G723">
        <v>77</v>
      </c>
      <c r="H723">
        <v>72</v>
      </c>
      <c r="I723">
        <v>99</v>
      </c>
      <c r="J723">
        <v>92</v>
      </c>
      <c r="K723">
        <v>58</v>
      </c>
      <c r="L723">
        <v>6</v>
      </c>
      <c r="M723" t="b">
        <v>0</v>
      </c>
    </row>
    <row r="724" spans="1:13">
      <c r="A724">
        <v>700</v>
      </c>
      <c r="B724" t="s">
        <v>750</v>
      </c>
      <c r="C724" t="s">
        <v>56</v>
      </c>
      <c r="E724">
        <v>525</v>
      </c>
      <c r="F724">
        <v>95</v>
      </c>
      <c r="G724">
        <v>65</v>
      </c>
      <c r="H724">
        <v>65</v>
      </c>
      <c r="I724">
        <v>110</v>
      </c>
      <c r="J724">
        <v>130</v>
      </c>
      <c r="K724">
        <v>60</v>
      </c>
      <c r="L724">
        <v>6</v>
      </c>
      <c r="M724" t="b">
        <v>0</v>
      </c>
    </row>
    <row r="725" spans="1:13">
      <c r="A725">
        <v>701</v>
      </c>
      <c r="B725" t="s">
        <v>751</v>
      </c>
      <c r="C725" t="s">
        <v>78</v>
      </c>
      <c r="D725" t="s">
        <v>22</v>
      </c>
      <c r="E725">
        <v>500</v>
      </c>
      <c r="F725">
        <v>78</v>
      </c>
      <c r="G725">
        <v>92</v>
      </c>
      <c r="H725">
        <v>75</v>
      </c>
      <c r="I725">
        <v>74</v>
      </c>
      <c r="J725">
        <v>63</v>
      </c>
      <c r="K725">
        <v>118</v>
      </c>
      <c r="L725">
        <v>6</v>
      </c>
      <c r="M725" t="b">
        <v>0</v>
      </c>
    </row>
    <row r="726" spans="1:13">
      <c r="A726">
        <v>702</v>
      </c>
      <c r="B726" t="s">
        <v>752</v>
      </c>
      <c r="C726" t="s">
        <v>46</v>
      </c>
      <c r="D726" t="s">
        <v>56</v>
      </c>
      <c r="E726">
        <v>431</v>
      </c>
      <c r="F726">
        <v>67</v>
      </c>
      <c r="G726">
        <v>58</v>
      </c>
      <c r="H726">
        <v>57</v>
      </c>
      <c r="I726">
        <v>81</v>
      </c>
      <c r="J726">
        <v>67</v>
      </c>
      <c r="K726">
        <v>101</v>
      </c>
      <c r="L726">
        <v>6</v>
      </c>
      <c r="M726" t="b">
        <v>0</v>
      </c>
    </row>
    <row r="727" spans="1:13">
      <c r="A727">
        <v>703</v>
      </c>
      <c r="B727" t="s">
        <v>753</v>
      </c>
      <c r="C727" t="s">
        <v>98</v>
      </c>
      <c r="D727" t="s">
        <v>56</v>
      </c>
      <c r="E727">
        <v>500</v>
      </c>
      <c r="F727">
        <v>50</v>
      </c>
      <c r="G727">
        <v>50</v>
      </c>
      <c r="H727">
        <v>150</v>
      </c>
      <c r="I727">
        <v>50</v>
      </c>
      <c r="J727">
        <v>150</v>
      </c>
      <c r="K727">
        <v>50</v>
      </c>
      <c r="L727">
        <v>6</v>
      </c>
      <c r="M727" t="b">
        <v>0</v>
      </c>
    </row>
    <row r="728" spans="1:13">
      <c r="A728">
        <v>704</v>
      </c>
      <c r="B728" t="s">
        <v>754</v>
      </c>
      <c r="C728" t="s">
        <v>23</v>
      </c>
      <c r="E728">
        <v>300</v>
      </c>
      <c r="F728">
        <v>45</v>
      </c>
      <c r="G728">
        <v>50</v>
      </c>
      <c r="H728">
        <v>35</v>
      </c>
      <c r="I728">
        <v>55</v>
      </c>
      <c r="J728">
        <v>75</v>
      </c>
      <c r="K728">
        <v>40</v>
      </c>
      <c r="L728">
        <v>6</v>
      </c>
      <c r="M728" t="b">
        <v>0</v>
      </c>
    </row>
    <row r="729" spans="1:13">
      <c r="A729">
        <v>705</v>
      </c>
      <c r="B729" t="s">
        <v>755</v>
      </c>
      <c r="C729" t="s">
        <v>23</v>
      </c>
      <c r="E729">
        <v>452</v>
      </c>
      <c r="F729">
        <v>68</v>
      </c>
      <c r="G729">
        <v>75</v>
      </c>
      <c r="H729">
        <v>53</v>
      </c>
      <c r="I729">
        <v>83</v>
      </c>
      <c r="J729">
        <v>113</v>
      </c>
      <c r="K729">
        <v>60</v>
      </c>
      <c r="L729">
        <v>6</v>
      </c>
      <c r="M729" t="b">
        <v>0</v>
      </c>
    </row>
    <row r="730" spans="1:13">
      <c r="A730">
        <v>706</v>
      </c>
      <c r="B730" t="s">
        <v>756</v>
      </c>
      <c r="C730" t="s">
        <v>23</v>
      </c>
      <c r="E730">
        <v>600</v>
      </c>
      <c r="F730">
        <v>90</v>
      </c>
      <c r="G730">
        <v>100</v>
      </c>
      <c r="H730">
        <v>70</v>
      </c>
      <c r="I730">
        <v>110</v>
      </c>
      <c r="J730">
        <v>150</v>
      </c>
      <c r="K730">
        <v>80</v>
      </c>
      <c r="L730">
        <v>6</v>
      </c>
      <c r="M730" t="b">
        <v>0</v>
      </c>
    </row>
    <row r="731" spans="1:13">
      <c r="A731">
        <v>707</v>
      </c>
      <c r="B731" t="s">
        <v>757</v>
      </c>
      <c r="C731" t="s">
        <v>106</v>
      </c>
      <c r="D731" t="s">
        <v>56</v>
      </c>
      <c r="E731">
        <v>470</v>
      </c>
      <c r="F731">
        <v>57</v>
      </c>
      <c r="G731">
        <v>80</v>
      </c>
      <c r="H731">
        <v>91</v>
      </c>
      <c r="I731">
        <v>80</v>
      </c>
      <c r="J731">
        <v>87</v>
      </c>
      <c r="K731">
        <v>75</v>
      </c>
      <c r="L731">
        <v>6</v>
      </c>
      <c r="M731" t="b">
        <v>0</v>
      </c>
    </row>
    <row r="732" spans="1:13">
      <c r="A732">
        <v>708</v>
      </c>
      <c r="B732" t="s">
        <v>758</v>
      </c>
      <c r="C732" t="s">
        <v>119</v>
      </c>
      <c r="D732" t="s">
        <v>14</v>
      </c>
      <c r="E732">
        <v>309</v>
      </c>
      <c r="F732">
        <v>43</v>
      </c>
      <c r="G732">
        <v>70</v>
      </c>
      <c r="H732">
        <v>48</v>
      </c>
      <c r="I732">
        <v>50</v>
      </c>
      <c r="J732">
        <v>60</v>
      </c>
      <c r="K732">
        <v>38</v>
      </c>
      <c r="L732">
        <v>6</v>
      </c>
      <c r="M732" t="b">
        <v>0</v>
      </c>
    </row>
    <row r="733" spans="1:13">
      <c r="A733">
        <v>709</v>
      </c>
      <c r="B733" t="s">
        <v>759</v>
      </c>
      <c r="C733" t="s">
        <v>119</v>
      </c>
      <c r="D733" t="s">
        <v>14</v>
      </c>
      <c r="E733">
        <v>474</v>
      </c>
      <c r="F733">
        <v>85</v>
      </c>
      <c r="G733">
        <v>110</v>
      </c>
      <c r="H733">
        <v>76</v>
      </c>
      <c r="I733">
        <v>65</v>
      </c>
      <c r="J733">
        <v>82</v>
      </c>
      <c r="K733">
        <v>56</v>
      </c>
      <c r="L733">
        <v>6</v>
      </c>
      <c r="M733" t="b">
        <v>0</v>
      </c>
    </row>
    <row r="734" spans="1:13">
      <c r="A734">
        <v>710</v>
      </c>
      <c r="B734" t="s">
        <v>2720</v>
      </c>
      <c r="C734" t="s">
        <v>119</v>
      </c>
      <c r="D734" t="s">
        <v>14</v>
      </c>
      <c r="E734">
        <v>335</v>
      </c>
      <c r="F734">
        <v>49</v>
      </c>
      <c r="G734">
        <v>66</v>
      </c>
      <c r="H734">
        <v>70</v>
      </c>
      <c r="I734">
        <v>44</v>
      </c>
      <c r="J734">
        <v>55</v>
      </c>
      <c r="K734">
        <v>51</v>
      </c>
      <c r="L734">
        <v>6</v>
      </c>
      <c r="M734" t="b">
        <v>0</v>
      </c>
    </row>
    <row r="735" spans="1:13">
      <c r="A735">
        <v>710</v>
      </c>
      <c r="B735" t="s">
        <v>2721</v>
      </c>
      <c r="C735" t="s">
        <v>119</v>
      </c>
      <c r="D735" t="s">
        <v>14</v>
      </c>
      <c r="E735">
        <v>335</v>
      </c>
      <c r="F735">
        <v>44</v>
      </c>
      <c r="G735">
        <v>66</v>
      </c>
      <c r="H735">
        <v>70</v>
      </c>
      <c r="I735">
        <v>44</v>
      </c>
      <c r="J735">
        <v>55</v>
      </c>
      <c r="K735">
        <v>56</v>
      </c>
      <c r="L735">
        <v>6</v>
      </c>
      <c r="M735" t="b">
        <v>0</v>
      </c>
    </row>
    <row r="736" spans="1:13">
      <c r="A736">
        <v>710</v>
      </c>
      <c r="B736" t="s">
        <v>2722</v>
      </c>
      <c r="C736" t="s">
        <v>119</v>
      </c>
      <c r="D736" t="s">
        <v>14</v>
      </c>
      <c r="E736">
        <v>335</v>
      </c>
      <c r="F736">
        <v>54</v>
      </c>
      <c r="G736">
        <v>66</v>
      </c>
      <c r="H736">
        <v>70</v>
      </c>
      <c r="I736">
        <v>44</v>
      </c>
      <c r="J736">
        <v>55</v>
      </c>
      <c r="K736">
        <v>46</v>
      </c>
      <c r="L736">
        <v>6</v>
      </c>
      <c r="M736" t="b">
        <v>0</v>
      </c>
    </row>
    <row r="737" spans="1:13">
      <c r="A737">
        <v>710</v>
      </c>
      <c r="B737" t="s">
        <v>2723</v>
      </c>
      <c r="C737" t="s">
        <v>119</v>
      </c>
      <c r="D737" t="s">
        <v>14</v>
      </c>
      <c r="E737">
        <v>335</v>
      </c>
      <c r="F737">
        <v>59</v>
      </c>
      <c r="G737">
        <v>66</v>
      </c>
      <c r="H737">
        <v>70</v>
      </c>
      <c r="I737">
        <v>44</v>
      </c>
      <c r="J737">
        <v>55</v>
      </c>
      <c r="K737">
        <v>41</v>
      </c>
      <c r="L737">
        <v>6</v>
      </c>
      <c r="M737" t="b">
        <v>0</v>
      </c>
    </row>
    <row r="738" spans="1:13">
      <c r="A738">
        <v>711</v>
      </c>
      <c r="B738" t="s">
        <v>2724</v>
      </c>
      <c r="C738" t="s">
        <v>119</v>
      </c>
      <c r="D738" t="s">
        <v>14</v>
      </c>
      <c r="E738">
        <v>494</v>
      </c>
      <c r="F738">
        <v>65</v>
      </c>
      <c r="G738">
        <v>90</v>
      </c>
      <c r="H738">
        <v>122</v>
      </c>
      <c r="I738">
        <v>58</v>
      </c>
      <c r="J738">
        <v>75</v>
      </c>
      <c r="K738">
        <v>84</v>
      </c>
      <c r="L738">
        <v>6</v>
      </c>
      <c r="M738" t="b">
        <v>0</v>
      </c>
    </row>
    <row r="739" spans="1:13">
      <c r="A739">
        <v>711</v>
      </c>
      <c r="B739" t="s">
        <v>2725</v>
      </c>
      <c r="C739" t="s">
        <v>119</v>
      </c>
      <c r="D739" t="s">
        <v>14</v>
      </c>
      <c r="E739">
        <v>494</v>
      </c>
      <c r="F739">
        <v>55</v>
      </c>
      <c r="G739">
        <v>85</v>
      </c>
      <c r="H739">
        <v>122</v>
      </c>
      <c r="I739">
        <v>58</v>
      </c>
      <c r="J739">
        <v>75</v>
      </c>
      <c r="K739">
        <v>99</v>
      </c>
      <c r="L739">
        <v>6</v>
      </c>
      <c r="M739" t="b">
        <v>0</v>
      </c>
    </row>
    <row r="740" spans="1:13">
      <c r="A740">
        <v>711</v>
      </c>
      <c r="B740" t="s">
        <v>2726</v>
      </c>
      <c r="C740" t="s">
        <v>119</v>
      </c>
      <c r="D740" t="s">
        <v>14</v>
      </c>
      <c r="E740">
        <v>494</v>
      </c>
      <c r="F740">
        <v>75</v>
      </c>
      <c r="G740">
        <v>95</v>
      </c>
      <c r="H740">
        <v>122</v>
      </c>
      <c r="I740">
        <v>58</v>
      </c>
      <c r="J740">
        <v>75</v>
      </c>
      <c r="K740">
        <v>69</v>
      </c>
      <c r="L740">
        <v>6</v>
      </c>
      <c r="M740" t="b">
        <v>0</v>
      </c>
    </row>
    <row r="741" spans="1:13">
      <c r="A741">
        <v>711</v>
      </c>
      <c r="B741" t="s">
        <v>2727</v>
      </c>
      <c r="C741" t="s">
        <v>119</v>
      </c>
      <c r="D741" t="s">
        <v>14</v>
      </c>
      <c r="E741">
        <v>494</v>
      </c>
      <c r="F741">
        <v>85</v>
      </c>
      <c r="G741">
        <v>100</v>
      </c>
      <c r="H741">
        <v>122</v>
      </c>
      <c r="I741">
        <v>58</v>
      </c>
      <c r="J741">
        <v>75</v>
      </c>
      <c r="K741">
        <v>54</v>
      </c>
      <c r="L741">
        <v>6</v>
      </c>
      <c r="M741" t="b">
        <v>0</v>
      </c>
    </row>
    <row r="742" spans="1:13">
      <c r="A742">
        <v>712</v>
      </c>
      <c r="B742" t="s">
        <v>760</v>
      </c>
      <c r="C742" t="s">
        <v>113</v>
      </c>
      <c r="E742">
        <v>304</v>
      </c>
      <c r="F742">
        <v>55</v>
      </c>
      <c r="G742">
        <v>69</v>
      </c>
      <c r="H742">
        <v>85</v>
      </c>
      <c r="I742">
        <v>32</v>
      </c>
      <c r="J742">
        <v>35</v>
      </c>
      <c r="K742">
        <v>28</v>
      </c>
      <c r="L742">
        <v>6</v>
      </c>
      <c r="M742" t="b">
        <v>0</v>
      </c>
    </row>
    <row r="743" spans="1:13">
      <c r="A743">
        <v>713</v>
      </c>
      <c r="B743" t="s">
        <v>761</v>
      </c>
      <c r="C743" t="s">
        <v>113</v>
      </c>
      <c r="E743">
        <v>514</v>
      </c>
      <c r="F743">
        <v>95</v>
      </c>
      <c r="G743">
        <v>117</v>
      </c>
      <c r="H743">
        <v>184</v>
      </c>
      <c r="I743">
        <v>44</v>
      </c>
      <c r="J743">
        <v>46</v>
      </c>
      <c r="K743">
        <v>28</v>
      </c>
      <c r="L743">
        <v>6</v>
      </c>
      <c r="M743" t="b">
        <v>0</v>
      </c>
    </row>
    <row r="744" spans="1:13">
      <c r="A744">
        <v>714</v>
      </c>
      <c r="B744" t="s">
        <v>762</v>
      </c>
      <c r="C744" t="s">
        <v>22</v>
      </c>
      <c r="D744" t="s">
        <v>23</v>
      </c>
      <c r="E744">
        <v>245</v>
      </c>
      <c r="F744">
        <v>40</v>
      </c>
      <c r="G744">
        <v>30</v>
      </c>
      <c r="H744">
        <v>35</v>
      </c>
      <c r="I744">
        <v>45</v>
      </c>
      <c r="J744">
        <v>40</v>
      </c>
      <c r="K744">
        <v>55</v>
      </c>
      <c r="L744">
        <v>6</v>
      </c>
      <c r="M744" t="b">
        <v>0</v>
      </c>
    </row>
    <row r="745" spans="1:13">
      <c r="A745">
        <v>715</v>
      </c>
      <c r="B745" t="s">
        <v>763</v>
      </c>
      <c r="C745" t="s">
        <v>22</v>
      </c>
      <c r="D745" t="s">
        <v>23</v>
      </c>
      <c r="E745">
        <v>535</v>
      </c>
      <c r="F745">
        <v>85</v>
      </c>
      <c r="G745">
        <v>70</v>
      </c>
      <c r="H745">
        <v>80</v>
      </c>
      <c r="I745">
        <v>97</v>
      </c>
      <c r="J745">
        <v>80</v>
      </c>
      <c r="K745">
        <v>123</v>
      </c>
      <c r="L745">
        <v>6</v>
      </c>
      <c r="M745" t="b">
        <v>0</v>
      </c>
    </row>
    <row r="746" spans="1:13">
      <c r="A746">
        <v>716</v>
      </c>
      <c r="B746" t="s">
        <v>764</v>
      </c>
      <c r="C746" t="s">
        <v>56</v>
      </c>
      <c r="E746">
        <v>680</v>
      </c>
      <c r="F746">
        <v>126</v>
      </c>
      <c r="G746">
        <v>131</v>
      </c>
      <c r="H746">
        <v>95</v>
      </c>
      <c r="I746">
        <v>131</v>
      </c>
      <c r="J746">
        <v>98</v>
      </c>
      <c r="K746">
        <v>99</v>
      </c>
      <c r="L746">
        <v>6</v>
      </c>
      <c r="M746" t="b">
        <v>1</v>
      </c>
    </row>
    <row r="747" spans="1:13">
      <c r="A747">
        <v>717</v>
      </c>
      <c r="B747" t="s">
        <v>765</v>
      </c>
      <c r="C747" t="s">
        <v>158</v>
      </c>
      <c r="D747" t="s">
        <v>22</v>
      </c>
      <c r="E747">
        <v>680</v>
      </c>
      <c r="F747">
        <v>126</v>
      </c>
      <c r="G747">
        <v>131</v>
      </c>
      <c r="H747">
        <v>95</v>
      </c>
      <c r="I747">
        <v>131</v>
      </c>
      <c r="J747">
        <v>98</v>
      </c>
      <c r="K747">
        <v>99</v>
      </c>
      <c r="L747">
        <v>6</v>
      </c>
      <c r="M747" t="b">
        <v>1</v>
      </c>
    </row>
    <row r="748" spans="1:13">
      <c r="A748">
        <v>718</v>
      </c>
      <c r="B748" t="s">
        <v>2717</v>
      </c>
      <c r="C748" t="s">
        <v>23</v>
      </c>
      <c r="D748" t="s">
        <v>49</v>
      </c>
      <c r="E748">
        <v>600</v>
      </c>
      <c r="F748">
        <v>108</v>
      </c>
      <c r="G748">
        <v>100</v>
      </c>
      <c r="H748">
        <v>121</v>
      </c>
      <c r="I748">
        <v>81</v>
      </c>
      <c r="J748">
        <v>95</v>
      </c>
      <c r="K748">
        <v>95</v>
      </c>
      <c r="L748">
        <v>6</v>
      </c>
      <c r="M748" t="b">
        <v>1</v>
      </c>
    </row>
    <row r="749" spans="1:13">
      <c r="A749">
        <v>719</v>
      </c>
      <c r="B749" t="s">
        <v>766</v>
      </c>
      <c r="C749" t="s">
        <v>98</v>
      </c>
      <c r="D749" t="s">
        <v>56</v>
      </c>
      <c r="E749">
        <v>600</v>
      </c>
      <c r="F749">
        <v>50</v>
      </c>
      <c r="G749">
        <v>100</v>
      </c>
      <c r="H749">
        <v>150</v>
      </c>
      <c r="I749">
        <v>100</v>
      </c>
      <c r="J749">
        <v>150</v>
      </c>
      <c r="K749">
        <v>50</v>
      </c>
      <c r="L749">
        <v>6</v>
      </c>
      <c r="M749" t="b">
        <v>1</v>
      </c>
    </row>
    <row r="750" spans="1:13">
      <c r="A750">
        <v>720</v>
      </c>
      <c r="B750" t="s">
        <v>2718</v>
      </c>
      <c r="C750" t="s">
        <v>86</v>
      </c>
      <c r="D750" t="s">
        <v>119</v>
      </c>
      <c r="E750">
        <v>600</v>
      </c>
      <c r="F750">
        <v>80</v>
      </c>
      <c r="G750">
        <v>110</v>
      </c>
      <c r="H750">
        <v>60</v>
      </c>
      <c r="I750">
        <v>150</v>
      </c>
      <c r="J750">
        <v>130</v>
      </c>
      <c r="K750">
        <v>70</v>
      </c>
      <c r="L750">
        <v>6</v>
      </c>
      <c r="M750" t="b">
        <v>1</v>
      </c>
    </row>
    <row r="751" spans="1:13">
      <c r="A751">
        <v>720</v>
      </c>
      <c r="B751" t="s">
        <v>2719</v>
      </c>
      <c r="C751" t="s">
        <v>86</v>
      </c>
      <c r="D751" t="s">
        <v>158</v>
      </c>
      <c r="E751">
        <v>680</v>
      </c>
      <c r="F751">
        <v>80</v>
      </c>
      <c r="G751">
        <v>160</v>
      </c>
      <c r="H751">
        <v>60</v>
      </c>
      <c r="I751">
        <v>170</v>
      </c>
      <c r="J751">
        <v>130</v>
      </c>
      <c r="K751">
        <v>80</v>
      </c>
      <c r="L751">
        <v>6</v>
      </c>
      <c r="M751" t="b">
        <v>1</v>
      </c>
    </row>
    <row r="752" spans="1:13">
      <c r="A752">
        <v>721</v>
      </c>
      <c r="B752" t="s">
        <v>767</v>
      </c>
      <c r="C752" t="s">
        <v>19</v>
      </c>
      <c r="D752" t="s">
        <v>25</v>
      </c>
      <c r="E752">
        <v>600</v>
      </c>
      <c r="F752">
        <v>80</v>
      </c>
      <c r="G752">
        <v>110</v>
      </c>
      <c r="H752">
        <v>120</v>
      </c>
      <c r="I752">
        <v>130</v>
      </c>
      <c r="J752">
        <v>90</v>
      </c>
      <c r="K752">
        <v>70</v>
      </c>
      <c r="L752">
        <v>6</v>
      </c>
      <c r="M752" t="b">
        <v>1</v>
      </c>
    </row>
    <row r="753" spans="1:4">
      <c r="A753">
        <v>1</v>
      </c>
      <c r="B753" t="s">
        <v>13</v>
      </c>
      <c r="C753" t="s">
        <v>14</v>
      </c>
      <c r="D753" t="s">
        <v>15</v>
      </c>
    </row>
    <row r="754" spans="1:4">
      <c r="A754">
        <v>2</v>
      </c>
      <c r="B754" t="s">
        <v>16</v>
      </c>
      <c r="C754" t="s">
        <v>14</v>
      </c>
      <c r="D754" t="s">
        <v>15</v>
      </c>
    </row>
    <row r="755" spans="1:4">
      <c r="A755">
        <v>3</v>
      </c>
      <c r="B755" t="s">
        <v>17</v>
      </c>
      <c r="C755" t="s">
        <v>14</v>
      </c>
      <c r="D755" t="s">
        <v>15</v>
      </c>
    </row>
    <row r="756" spans="1:4">
      <c r="A756">
        <v>4</v>
      </c>
      <c r="B756" t="s">
        <v>18</v>
      </c>
      <c r="C756" t="s">
        <v>19</v>
      </c>
    </row>
    <row r="757" spans="1:4">
      <c r="A757">
        <v>5</v>
      </c>
      <c r="B757" t="s">
        <v>20</v>
      </c>
      <c r="C757" t="s">
        <v>19</v>
      </c>
    </row>
    <row r="758" spans="1:4">
      <c r="A758">
        <v>6</v>
      </c>
      <c r="B758" t="s">
        <v>21</v>
      </c>
      <c r="C758" t="s">
        <v>19</v>
      </c>
      <c r="D758" t="s">
        <v>22</v>
      </c>
    </row>
    <row r="759" spans="1:4">
      <c r="A759">
        <v>7</v>
      </c>
      <c r="B759" t="s">
        <v>24</v>
      </c>
      <c r="C759" t="s">
        <v>25</v>
      </c>
    </row>
    <row r="760" spans="1:4">
      <c r="A760">
        <v>8</v>
      </c>
      <c r="B760" t="s">
        <v>26</v>
      </c>
      <c r="C760" t="s">
        <v>25</v>
      </c>
    </row>
    <row r="761" spans="1:4">
      <c r="A761">
        <v>9</v>
      </c>
      <c r="B761" t="s">
        <v>27</v>
      </c>
      <c r="C761" t="s">
        <v>25</v>
      </c>
    </row>
    <row r="762" spans="1:4">
      <c r="A762" t="s">
        <v>3974</v>
      </c>
      <c r="B762" t="s">
        <v>28</v>
      </c>
      <c r="C762" t="s">
        <v>29</v>
      </c>
    </row>
    <row r="763" spans="1:4">
      <c r="A763" t="s">
        <v>3975</v>
      </c>
      <c r="B763" t="s">
        <v>30</v>
      </c>
      <c r="C763" t="s">
        <v>29</v>
      </c>
    </row>
    <row r="764" spans="1:4">
      <c r="A764" t="s">
        <v>3976</v>
      </c>
      <c r="B764" t="s">
        <v>31</v>
      </c>
      <c r="C764" t="s">
        <v>29</v>
      </c>
      <c r="D764" t="s">
        <v>22</v>
      </c>
    </row>
    <row r="765" spans="1:4">
      <c r="A765">
        <v>19</v>
      </c>
      <c r="B765" t="s">
        <v>45</v>
      </c>
      <c r="C765" t="s">
        <v>46</v>
      </c>
    </row>
    <row r="766" spans="1:4">
      <c r="A766" t="s">
        <v>3977</v>
      </c>
      <c r="B766" t="s">
        <v>47</v>
      </c>
      <c r="C766" t="s">
        <v>46</v>
      </c>
    </row>
    <row r="767" spans="1:4">
      <c r="A767" t="s">
        <v>3978</v>
      </c>
      <c r="B767" t="s">
        <v>48</v>
      </c>
      <c r="C767" t="s">
        <v>49</v>
      </c>
    </row>
    <row r="768" spans="1:4">
      <c r="A768" t="s">
        <v>3979</v>
      </c>
      <c r="B768" t="s">
        <v>50</v>
      </c>
      <c r="C768" t="s">
        <v>49</v>
      </c>
    </row>
    <row r="769" spans="1:4">
      <c r="A769" t="s">
        <v>3980</v>
      </c>
      <c r="B769" t="s">
        <v>2131</v>
      </c>
      <c r="C769" t="s">
        <v>15</v>
      </c>
    </row>
    <row r="770" spans="1:4">
      <c r="A770" t="s">
        <v>3981</v>
      </c>
      <c r="B770" t="s">
        <v>51</v>
      </c>
      <c r="C770" t="s">
        <v>15</v>
      </c>
    </row>
    <row r="771" spans="1:4">
      <c r="A771" t="s">
        <v>3982</v>
      </c>
      <c r="B771" t="s">
        <v>52</v>
      </c>
      <c r="C771" t="s">
        <v>15</v>
      </c>
      <c r="D771" t="s">
        <v>49</v>
      </c>
    </row>
    <row r="772" spans="1:4">
      <c r="A772">
        <v>20</v>
      </c>
      <c r="B772" t="s">
        <v>2132</v>
      </c>
      <c r="C772" t="s">
        <v>15</v>
      </c>
    </row>
    <row r="773" spans="1:4">
      <c r="A773">
        <v>21</v>
      </c>
      <c r="B773" t="s">
        <v>53</v>
      </c>
      <c r="C773" t="s">
        <v>15</v>
      </c>
    </row>
    <row r="774" spans="1:4">
      <c r="A774">
        <v>22</v>
      </c>
      <c r="B774" t="s">
        <v>54</v>
      </c>
      <c r="C774" t="s">
        <v>15</v>
      </c>
      <c r="D774" t="s">
        <v>49</v>
      </c>
    </row>
    <row r="775" spans="1:4">
      <c r="A775">
        <v>23</v>
      </c>
      <c r="B775" t="s">
        <v>55</v>
      </c>
      <c r="C775" t="s">
        <v>56</v>
      </c>
    </row>
    <row r="776" spans="1:4">
      <c r="A776">
        <v>24</v>
      </c>
      <c r="B776" t="s">
        <v>57</v>
      </c>
      <c r="C776" t="s">
        <v>56</v>
      </c>
    </row>
    <row r="777" spans="1:4">
      <c r="A777">
        <v>25</v>
      </c>
      <c r="B777" t="s">
        <v>58</v>
      </c>
      <c r="C777" t="s">
        <v>19</v>
      </c>
    </row>
    <row r="778" spans="1:4">
      <c r="A778">
        <v>26</v>
      </c>
      <c r="B778" t="s">
        <v>59</v>
      </c>
      <c r="C778" t="s">
        <v>19</v>
      </c>
    </row>
    <row r="779" spans="1:4">
      <c r="A779">
        <v>27</v>
      </c>
      <c r="B779" t="s">
        <v>60</v>
      </c>
      <c r="C779" t="s">
        <v>36</v>
      </c>
      <c r="D779" t="s">
        <v>56</v>
      </c>
    </row>
    <row r="780" spans="1:4">
      <c r="A780">
        <v>28</v>
      </c>
      <c r="B780" t="s">
        <v>61</v>
      </c>
      <c r="C780" t="s">
        <v>36</v>
      </c>
      <c r="D780" t="s">
        <v>56</v>
      </c>
    </row>
    <row r="781" spans="1:4">
      <c r="A781">
        <v>29</v>
      </c>
      <c r="B781" t="s">
        <v>62</v>
      </c>
      <c r="C781" t="s">
        <v>15</v>
      </c>
      <c r="D781" t="s">
        <v>22</v>
      </c>
    </row>
    <row r="782" spans="1:4">
      <c r="A782" t="s">
        <v>3983</v>
      </c>
      <c r="B782" t="s">
        <v>63</v>
      </c>
      <c r="C782" t="s">
        <v>15</v>
      </c>
      <c r="D782" t="s">
        <v>22</v>
      </c>
    </row>
    <row r="783" spans="1:4">
      <c r="A783" t="s">
        <v>3984</v>
      </c>
      <c r="B783" t="s">
        <v>64</v>
      </c>
      <c r="C783" t="s">
        <v>14</v>
      </c>
      <c r="D783" t="s">
        <v>15</v>
      </c>
    </row>
    <row r="784" spans="1:4">
      <c r="A784" t="s">
        <v>3985</v>
      </c>
      <c r="B784" t="s">
        <v>65</v>
      </c>
      <c r="C784" t="s">
        <v>14</v>
      </c>
      <c r="D784" t="s">
        <v>15</v>
      </c>
    </row>
    <row r="785" spans="1:4">
      <c r="A785" t="s">
        <v>3986</v>
      </c>
      <c r="B785" t="s">
        <v>66</v>
      </c>
      <c r="C785" t="s">
        <v>14</v>
      </c>
      <c r="D785" t="s">
        <v>15</v>
      </c>
    </row>
    <row r="786" spans="1:4">
      <c r="A786">
        <v>32</v>
      </c>
      <c r="B786" t="s">
        <v>71</v>
      </c>
      <c r="C786" t="s">
        <v>49</v>
      </c>
    </row>
    <row r="787" spans="1:4">
      <c r="A787">
        <v>33</v>
      </c>
      <c r="B787" t="s">
        <v>72</v>
      </c>
      <c r="C787" t="s">
        <v>49</v>
      </c>
    </row>
    <row r="788" spans="1:4">
      <c r="A788">
        <v>34</v>
      </c>
      <c r="B788" t="s">
        <v>73</v>
      </c>
      <c r="C788" t="s">
        <v>36</v>
      </c>
    </row>
    <row r="789" spans="1:4">
      <c r="A789">
        <v>35</v>
      </c>
      <c r="B789" t="s">
        <v>74</v>
      </c>
      <c r="C789" t="s">
        <v>36</v>
      </c>
    </row>
    <row r="790" spans="1:4">
      <c r="A790">
        <v>36</v>
      </c>
      <c r="B790" t="s">
        <v>75</v>
      </c>
      <c r="C790" t="s">
        <v>25</v>
      </c>
    </row>
    <row r="791" spans="1:4">
      <c r="A791">
        <v>37</v>
      </c>
      <c r="B791" t="s">
        <v>76</v>
      </c>
      <c r="C791" t="s">
        <v>25</v>
      </c>
    </row>
    <row r="792" spans="1:4">
      <c r="A792" t="s">
        <v>3987</v>
      </c>
      <c r="B792" t="s">
        <v>80</v>
      </c>
      <c r="C792" t="s">
        <v>19</v>
      </c>
    </row>
    <row r="793" spans="1:4">
      <c r="A793" t="s">
        <v>3988</v>
      </c>
      <c r="B793" t="s">
        <v>81</v>
      </c>
      <c r="C793" t="s">
        <v>19</v>
      </c>
    </row>
    <row r="794" spans="1:4">
      <c r="A794" t="s">
        <v>3989</v>
      </c>
      <c r="B794" t="s">
        <v>82</v>
      </c>
      <c r="C794" t="s">
        <v>25</v>
      </c>
    </row>
    <row r="795" spans="1:4">
      <c r="A795" t="s">
        <v>3990</v>
      </c>
      <c r="B795" t="s">
        <v>83</v>
      </c>
      <c r="C795" t="s">
        <v>25</v>
      </c>
    </row>
    <row r="796" spans="1:4">
      <c r="A796" t="s">
        <v>3991</v>
      </c>
      <c r="B796" t="s">
        <v>84</v>
      </c>
      <c r="C796" t="s">
        <v>25</v>
      </c>
      <c r="D796" t="s">
        <v>78</v>
      </c>
    </row>
    <row r="797" spans="1:4">
      <c r="A797" t="s">
        <v>3992</v>
      </c>
      <c r="B797" t="s">
        <v>85</v>
      </c>
      <c r="C797" t="s">
        <v>86</v>
      </c>
    </row>
    <row r="798" spans="1:4">
      <c r="A798">
        <v>40</v>
      </c>
      <c r="B798" t="s">
        <v>87</v>
      </c>
      <c r="C798" t="s">
        <v>86</v>
      </c>
    </row>
    <row r="799" spans="1:4">
      <c r="A799">
        <v>41</v>
      </c>
      <c r="B799" t="s">
        <v>88</v>
      </c>
      <c r="C799" t="s">
        <v>86</v>
      </c>
    </row>
    <row r="800" spans="1:4">
      <c r="A800">
        <v>42</v>
      </c>
      <c r="B800" t="s">
        <v>89</v>
      </c>
      <c r="C800" t="s">
        <v>78</v>
      </c>
    </row>
    <row r="801" spans="1:4">
      <c r="A801">
        <v>43</v>
      </c>
      <c r="B801" t="s">
        <v>90</v>
      </c>
      <c r="C801" t="s">
        <v>78</v>
      </c>
    </row>
    <row r="802" spans="1:4">
      <c r="A802">
        <v>44</v>
      </c>
      <c r="B802" t="s">
        <v>91</v>
      </c>
      <c r="C802" t="s">
        <v>78</v>
      </c>
    </row>
    <row r="803" spans="1:4">
      <c r="A803">
        <v>48</v>
      </c>
      <c r="B803" t="s">
        <v>95</v>
      </c>
      <c r="C803" t="s">
        <v>25</v>
      </c>
      <c r="D803" t="s">
        <v>15</v>
      </c>
    </row>
    <row r="804" spans="1:4">
      <c r="A804">
        <v>49</v>
      </c>
      <c r="B804" t="s">
        <v>96</v>
      </c>
      <c r="C804" t="s">
        <v>25</v>
      </c>
      <c r="D804" t="s">
        <v>15</v>
      </c>
    </row>
    <row r="805" spans="1:4">
      <c r="A805" t="s">
        <v>3993</v>
      </c>
      <c r="B805" t="s">
        <v>101</v>
      </c>
      <c r="C805" t="s">
        <v>19</v>
      </c>
    </row>
    <row r="806" spans="1:4">
      <c r="A806" t="s">
        <v>3994</v>
      </c>
      <c r="B806" t="s">
        <v>102</v>
      </c>
      <c r="C806" t="s">
        <v>19</v>
      </c>
    </row>
    <row r="807" spans="1:4">
      <c r="A807" t="s">
        <v>3995</v>
      </c>
      <c r="B807" t="s">
        <v>103</v>
      </c>
      <c r="C807" t="s">
        <v>25</v>
      </c>
      <c r="D807" t="s">
        <v>86</v>
      </c>
    </row>
    <row r="808" spans="1:4">
      <c r="A808">
        <v>50</v>
      </c>
      <c r="B808" t="s">
        <v>104</v>
      </c>
      <c r="C808" t="s">
        <v>25</v>
      </c>
      <c r="D808" t="s">
        <v>86</v>
      </c>
    </row>
    <row r="809" spans="1:4">
      <c r="A809">
        <v>51</v>
      </c>
      <c r="B809" t="s">
        <v>105</v>
      </c>
      <c r="C809" t="s">
        <v>46</v>
      </c>
      <c r="D809" t="s">
        <v>106</v>
      </c>
    </row>
    <row r="810" spans="1:4">
      <c r="A810">
        <v>52</v>
      </c>
      <c r="B810" t="s">
        <v>107</v>
      </c>
      <c r="C810" t="s">
        <v>46</v>
      </c>
      <c r="D810" t="s">
        <v>106</v>
      </c>
    </row>
    <row r="811" spans="1:4">
      <c r="A811">
        <v>53</v>
      </c>
      <c r="B811" t="s">
        <v>108</v>
      </c>
      <c r="C811" t="s">
        <v>36</v>
      </c>
      <c r="D811" t="s">
        <v>22</v>
      </c>
    </row>
    <row r="812" spans="1:4">
      <c r="A812" t="s">
        <v>3996</v>
      </c>
      <c r="B812" t="s">
        <v>116</v>
      </c>
      <c r="C812" t="s">
        <v>25</v>
      </c>
    </row>
    <row r="813" spans="1:4">
      <c r="A813" t="s">
        <v>3997</v>
      </c>
      <c r="B813" t="s">
        <v>117</v>
      </c>
      <c r="C813" t="s">
        <v>25</v>
      </c>
      <c r="D813" t="s">
        <v>113</v>
      </c>
    </row>
    <row r="814" spans="1:4">
      <c r="A814" t="s">
        <v>3998</v>
      </c>
      <c r="B814" t="s">
        <v>118</v>
      </c>
      <c r="C814" t="s">
        <v>119</v>
      </c>
      <c r="D814" t="s">
        <v>15</v>
      </c>
    </row>
    <row r="815" spans="1:4">
      <c r="A815" t="s">
        <v>3999</v>
      </c>
      <c r="B815" t="s">
        <v>120</v>
      </c>
      <c r="C815" t="s">
        <v>119</v>
      </c>
      <c r="D815" t="s">
        <v>15</v>
      </c>
    </row>
    <row r="816" spans="1:4">
      <c r="A816" t="s">
        <v>4000</v>
      </c>
      <c r="B816" t="s">
        <v>121</v>
      </c>
      <c r="C816" t="s">
        <v>119</v>
      </c>
      <c r="D816" t="s">
        <v>15</v>
      </c>
    </row>
    <row r="817" spans="1:4">
      <c r="A817" t="s">
        <v>4001</v>
      </c>
      <c r="B817" t="s">
        <v>122</v>
      </c>
      <c r="C817" t="s">
        <v>98</v>
      </c>
      <c r="D817" t="s">
        <v>49</v>
      </c>
    </row>
    <row r="818" spans="1:4">
      <c r="A818">
        <v>62</v>
      </c>
      <c r="B818" t="s">
        <v>125</v>
      </c>
      <c r="C818" t="s">
        <v>25</v>
      </c>
    </row>
    <row r="819" spans="1:4">
      <c r="A819">
        <v>63</v>
      </c>
      <c r="B819" t="s">
        <v>126</v>
      </c>
      <c r="C819" t="s">
        <v>25</v>
      </c>
    </row>
    <row r="820" spans="1:4">
      <c r="A820">
        <v>66</v>
      </c>
      <c r="B820" t="s">
        <v>129</v>
      </c>
      <c r="C820" t="s">
        <v>14</v>
      </c>
      <c r="D820" t="s">
        <v>86</v>
      </c>
    </row>
    <row r="821" spans="1:4">
      <c r="A821">
        <v>67</v>
      </c>
      <c r="B821" t="s">
        <v>130</v>
      </c>
      <c r="C821" t="s">
        <v>14</v>
      </c>
      <c r="D821" t="s">
        <v>86</v>
      </c>
    </row>
    <row r="822" spans="1:4">
      <c r="A822">
        <v>68</v>
      </c>
      <c r="B822" t="s">
        <v>131</v>
      </c>
      <c r="C822" t="s">
        <v>49</v>
      </c>
    </row>
    <row r="823" spans="1:4">
      <c r="A823">
        <v>69</v>
      </c>
      <c r="B823" t="s">
        <v>132</v>
      </c>
      <c r="C823" t="s">
        <v>49</v>
      </c>
    </row>
    <row r="824" spans="1:4">
      <c r="A824" t="s">
        <v>4002</v>
      </c>
      <c r="B824" t="s">
        <v>133</v>
      </c>
      <c r="C824" t="s">
        <v>78</v>
      </c>
    </row>
    <row r="825" spans="1:4">
      <c r="A825" t="s">
        <v>4003</v>
      </c>
      <c r="B825" t="s">
        <v>134</v>
      </c>
      <c r="C825" t="s">
        <v>78</v>
      </c>
    </row>
    <row r="826" spans="1:4">
      <c r="A826" t="s">
        <v>4004</v>
      </c>
      <c r="B826" t="s">
        <v>135</v>
      </c>
      <c r="C826" t="s">
        <v>36</v>
      </c>
    </row>
    <row r="827" spans="1:4">
      <c r="A827" t="s">
        <v>4005</v>
      </c>
      <c r="B827" t="s">
        <v>136</v>
      </c>
      <c r="C827" t="s">
        <v>15</v>
      </c>
    </row>
    <row r="828" spans="1:4">
      <c r="A828" t="s">
        <v>4006</v>
      </c>
      <c r="B828" t="s">
        <v>137</v>
      </c>
      <c r="C828" t="s">
        <v>15</v>
      </c>
    </row>
    <row r="829" spans="1:4">
      <c r="A829" t="s">
        <v>4007</v>
      </c>
      <c r="B829" t="s">
        <v>138</v>
      </c>
      <c r="C829" t="s">
        <v>49</v>
      </c>
      <c r="D829" t="s">
        <v>98</v>
      </c>
    </row>
    <row r="830" spans="1:4">
      <c r="A830">
        <v>70</v>
      </c>
      <c r="B830" t="s">
        <v>139</v>
      </c>
      <c r="C830" t="s">
        <v>49</v>
      </c>
      <c r="D830" t="s">
        <v>98</v>
      </c>
    </row>
    <row r="831" spans="1:4">
      <c r="A831">
        <v>71</v>
      </c>
      <c r="B831" t="s">
        <v>140</v>
      </c>
      <c r="C831" t="s">
        <v>36</v>
      </c>
    </row>
    <row r="832" spans="1:4">
      <c r="A832">
        <v>72</v>
      </c>
      <c r="B832" t="s">
        <v>141</v>
      </c>
      <c r="C832" t="s">
        <v>14</v>
      </c>
    </row>
    <row r="833" spans="1:4">
      <c r="A833">
        <v>73</v>
      </c>
      <c r="B833" t="s">
        <v>142</v>
      </c>
      <c r="C833" t="s">
        <v>36</v>
      </c>
    </row>
    <row r="834" spans="1:4">
      <c r="A834">
        <v>74</v>
      </c>
      <c r="B834" t="s">
        <v>143</v>
      </c>
      <c r="C834" t="s">
        <v>25</v>
      </c>
    </row>
    <row r="835" spans="1:4">
      <c r="A835">
        <v>75</v>
      </c>
      <c r="B835" t="s">
        <v>144</v>
      </c>
      <c r="C835" t="s">
        <v>25</v>
      </c>
    </row>
    <row r="836" spans="1:4">
      <c r="A836">
        <v>76</v>
      </c>
      <c r="B836" t="s">
        <v>145</v>
      </c>
      <c r="C836" t="s">
        <v>25</v>
      </c>
    </row>
    <row r="837" spans="1:4">
      <c r="A837">
        <v>77</v>
      </c>
      <c r="B837" t="s">
        <v>146</v>
      </c>
      <c r="C837" t="s">
        <v>25</v>
      </c>
    </row>
    <row r="838" spans="1:4">
      <c r="A838">
        <v>78</v>
      </c>
      <c r="B838" t="s">
        <v>147</v>
      </c>
      <c r="C838" t="s">
        <v>25</v>
      </c>
    </row>
    <row r="839" spans="1:4">
      <c r="A839">
        <v>79</v>
      </c>
      <c r="B839" t="s">
        <v>148</v>
      </c>
      <c r="C839" t="s">
        <v>25</v>
      </c>
      <c r="D839" t="s">
        <v>86</v>
      </c>
    </row>
    <row r="840" spans="1:4">
      <c r="A840" t="s">
        <v>4008</v>
      </c>
      <c r="B840" t="s">
        <v>149</v>
      </c>
      <c r="C840" t="s">
        <v>86</v>
      </c>
      <c r="D840" t="s">
        <v>56</v>
      </c>
    </row>
    <row r="841" spans="1:4">
      <c r="A841" t="s">
        <v>4009</v>
      </c>
      <c r="B841" t="s">
        <v>150</v>
      </c>
      <c r="C841" t="s">
        <v>29</v>
      </c>
      <c r="D841" t="s">
        <v>22</v>
      </c>
    </row>
    <row r="842" spans="1:4">
      <c r="A842" t="s">
        <v>4010</v>
      </c>
      <c r="B842" t="s">
        <v>151</v>
      </c>
      <c r="C842" t="s">
        <v>113</v>
      </c>
      <c r="D842" t="s">
        <v>86</v>
      </c>
    </row>
    <row r="843" spans="1:4">
      <c r="A843" t="s">
        <v>4011</v>
      </c>
      <c r="B843" t="s">
        <v>152</v>
      </c>
      <c r="C843" t="s">
        <v>46</v>
      </c>
    </row>
    <row r="844" spans="1:4">
      <c r="A844" t="s">
        <v>4012</v>
      </c>
      <c r="B844" t="s">
        <v>153</v>
      </c>
      <c r="C844" t="s">
        <v>19</v>
      </c>
    </row>
    <row r="845" spans="1:4">
      <c r="A845" t="s">
        <v>4013</v>
      </c>
      <c r="B845" t="s">
        <v>154</v>
      </c>
      <c r="C845" t="s">
        <v>29</v>
      </c>
    </row>
    <row r="846" spans="1:4">
      <c r="A846">
        <v>80</v>
      </c>
      <c r="B846" t="s">
        <v>155</v>
      </c>
      <c r="C846" t="s">
        <v>36</v>
      </c>
    </row>
    <row r="847" spans="1:4">
      <c r="A847">
        <v>81</v>
      </c>
      <c r="B847" t="s">
        <v>156</v>
      </c>
      <c r="C847" t="s">
        <v>25</v>
      </c>
    </row>
    <row r="848" spans="1:4">
      <c r="A848">
        <v>82</v>
      </c>
      <c r="B848" t="s">
        <v>157</v>
      </c>
      <c r="C848" t="s">
        <v>25</v>
      </c>
      <c r="D848" t="s">
        <v>22</v>
      </c>
    </row>
    <row r="849" spans="1:4">
      <c r="A849">
        <v>83</v>
      </c>
      <c r="B849" t="s">
        <v>159</v>
      </c>
      <c r="C849" t="s">
        <v>25</v>
      </c>
      <c r="D849" t="s">
        <v>113</v>
      </c>
    </row>
    <row r="850" spans="1:4">
      <c r="A850">
        <v>84</v>
      </c>
      <c r="B850" t="s">
        <v>160</v>
      </c>
      <c r="C850" t="s">
        <v>36</v>
      </c>
    </row>
    <row r="851" spans="1:4">
      <c r="A851">
        <v>85</v>
      </c>
      <c r="B851" t="s">
        <v>161</v>
      </c>
      <c r="C851" t="s">
        <v>36</v>
      </c>
    </row>
    <row r="852" spans="1:4">
      <c r="A852">
        <v>86</v>
      </c>
      <c r="B852" t="s">
        <v>162</v>
      </c>
      <c r="C852" t="s">
        <v>25</v>
      </c>
    </row>
    <row r="853" spans="1:4">
      <c r="A853">
        <v>87</v>
      </c>
      <c r="B853" t="s">
        <v>163</v>
      </c>
      <c r="C853" t="s">
        <v>46</v>
      </c>
    </row>
    <row r="854" spans="1:4">
      <c r="A854">
        <v>88</v>
      </c>
      <c r="B854" t="s">
        <v>164</v>
      </c>
      <c r="C854" t="s">
        <v>19</v>
      </c>
    </row>
    <row r="855" spans="1:4">
      <c r="A855">
        <v>89</v>
      </c>
      <c r="B855" t="s">
        <v>165</v>
      </c>
      <c r="C855" t="s">
        <v>36</v>
      </c>
    </row>
    <row r="856" spans="1:4">
      <c r="A856" t="s">
        <v>4014</v>
      </c>
      <c r="B856" t="s">
        <v>166</v>
      </c>
      <c r="C856" t="s">
        <v>98</v>
      </c>
      <c r="D856" t="s">
        <v>25</v>
      </c>
    </row>
    <row r="857" spans="1:4">
      <c r="A857" t="s">
        <v>4015</v>
      </c>
      <c r="B857" t="s">
        <v>167</v>
      </c>
      <c r="C857" t="s">
        <v>98</v>
      </c>
      <c r="D857" t="s">
        <v>25</v>
      </c>
    </row>
    <row r="858" spans="1:4">
      <c r="A858" t="s">
        <v>4016</v>
      </c>
      <c r="B858" t="s">
        <v>168</v>
      </c>
      <c r="C858" t="s">
        <v>98</v>
      </c>
      <c r="D858" t="s">
        <v>25</v>
      </c>
    </row>
    <row r="859" spans="1:4">
      <c r="A859" t="s">
        <v>4017</v>
      </c>
      <c r="B859" t="s">
        <v>169</v>
      </c>
      <c r="C859" t="s">
        <v>98</v>
      </c>
      <c r="D859" t="s">
        <v>25</v>
      </c>
    </row>
    <row r="860" spans="1:4">
      <c r="A860" t="s">
        <v>4018</v>
      </c>
      <c r="B860" t="s">
        <v>170</v>
      </c>
      <c r="C860" t="s">
        <v>98</v>
      </c>
      <c r="D860" t="s">
        <v>22</v>
      </c>
    </row>
    <row r="861" spans="1:4">
      <c r="A861" t="s">
        <v>4019</v>
      </c>
      <c r="B861" t="s">
        <v>171</v>
      </c>
      <c r="C861" t="s">
        <v>36</v>
      </c>
    </row>
    <row r="862" spans="1:4">
      <c r="A862">
        <v>90</v>
      </c>
      <c r="B862" t="s">
        <v>172</v>
      </c>
      <c r="C862" t="s">
        <v>113</v>
      </c>
      <c r="D862" t="s">
        <v>22</v>
      </c>
    </row>
    <row r="863" spans="1:4">
      <c r="A863">
        <v>91</v>
      </c>
      <c r="B863" t="s">
        <v>173</v>
      </c>
      <c r="C863" t="s">
        <v>46</v>
      </c>
      <c r="D863" t="s">
        <v>22</v>
      </c>
    </row>
    <row r="864" spans="1:4">
      <c r="A864">
        <v>92</v>
      </c>
      <c r="B864" t="s">
        <v>174</v>
      </c>
      <c r="C864" t="s">
        <v>19</v>
      </c>
      <c r="D864" t="s">
        <v>22</v>
      </c>
    </row>
    <row r="865" spans="1:4">
      <c r="A865">
        <v>93</v>
      </c>
      <c r="B865" t="s">
        <v>175</v>
      </c>
      <c r="C865" t="s">
        <v>23</v>
      </c>
    </row>
    <row r="866" spans="1:4">
      <c r="A866">
        <v>94</v>
      </c>
      <c r="B866" t="s">
        <v>176</v>
      </c>
      <c r="C866" t="s">
        <v>23</v>
      </c>
    </row>
    <row r="867" spans="1:4">
      <c r="A867">
        <v>95</v>
      </c>
      <c r="B867" t="s">
        <v>177</v>
      </c>
      <c r="C867" t="s">
        <v>23</v>
      </c>
      <c r="D867" t="s">
        <v>22</v>
      </c>
    </row>
    <row r="868" spans="1:4">
      <c r="A868">
        <v>96</v>
      </c>
      <c r="B868" t="s">
        <v>178</v>
      </c>
      <c r="C868" t="s">
        <v>86</v>
      </c>
    </row>
    <row r="869" spans="1:4">
      <c r="A869">
        <v>97</v>
      </c>
      <c r="B869" t="s">
        <v>179</v>
      </c>
      <c r="C869" t="s">
        <v>86</v>
      </c>
    </row>
    <row r="870" spans="1:4">
      <c r="A870" t="s">
        <v>4020</v>
      </c>
      <c r="B870" t="s">
        <v>190</v>
      </c>
      <c r="C870" t="s">
        <v>36</v>
      </c>
      <c r="D870" t="s">
        <v>22</v>
      </c>
    </row>
    <row r="871" spans="1:4">
      <c r="A871" t="s">
        <v>4021</v>
      </c>
      <c r="B871" t="s">
        <v>191</v>
      </c>
      <c r="C871" t="s">
        <v>36</v>
      </c>
      <c r="D871" t="s">
        <v>22</v>
      </c>
    </row>
    <row r="872" spans="1:4">
      <c r="A872" t="s">
        <v>4022</v>
      </c>
      <c r="B872" t="s">
        <v>196</v>
      </c>
      <c r="C872" t="s">
        <v>15</v>
      </c>
      <c r="D872" t="s">
        <v>22</v>
      </c>
    </row>
    <row r="873" spans="1:4">
      <c r="A873" t="s">
        <v>4023</v>
      </c>
      <c r="B873" t="s">
        <v>197</v>
      </c>
      <c r="C873" t="s">
        <v>25</v>
      </c>
      <c r="D873" t="s">
        <v>46</v>
      </c>
    </row>
    <row r="874" spans="1:4">
      <c r="A874" t="s">
        <v>4024</v>
      </c>
      <c r="B874" t="s">
        <v>198</v>
      </c>
      <c r="C874" t="s">
        <v>25</v>
      </c>
      <c r="D874" t="s">
        <v>46</v>
      </c>
    </row>
    <row r="875" spans="1:4">
      <c r="A875" t="s">
        <v>4025</v>
      </c>
      <c r="B875" t="s">
        <v>199</v>
      </c>
      <c r="C875" t="s">
        <v>46</v>
      </c>
    </row>
    <row r="876" spans="1:4">
      <c r="A876" t="s">
        <v>4026</v>
      </c>
      <c r="B876" t="s">
        <v>200</v>
      </c>
      <c r="C876" t="s">
        <v>56</v>
      </c>
    </row>
    <row r="877" spans="1:4">
      <c r="A877" t="s">
        <v>4027</v>
      </c>
      <c r="B877" t="s">
        <v>201</v>
      </c>
      <c r="C877" t="s">
        <v>36</v>
      </c>
      <c r="D877" t="s">
        <v>56</v>
      </c>
    </row>
    <row r="878" spans="1:4">
      <c r="A878" t="s">
        <v>4028</v>
      </c>
      <c r="B878" t="s">
        <v>202</v>
      </c>
      <c r="C878" t="s">
        <v>56</v>
      </c>
    </row>
    <row r="879" spans="1:4">
      <c r="A879" t="s">
        <v>4029</v>
      </c>
      <c r="B879" t="s">
        <v>203</v>
      </c>
      <c r="C879" t="s">
        <v>56</v>
      </c>
      <c r="D879" t="s">
        <v>22</v>
      </c>
    </row>
    <row r="880" spans="1:4">
      <c r="A880" t="s">
        <v>4030</v>
      </c>
      <c r="B880" t="s">
        <v>204</v>
      </c>
      <c r="C880" t="s">
        <v>86</v>
      </c>
      <c r="D880" t="s">
        <v>22</v>
      </c>
    </row>
    <row r="881" spans="1:4">
      <c r="A881" t="s">
        <v>4031</v>
      </c>
      <c r="B881" t="s">
        <v>205</v>
      </c>
      <c r="C881" t="s">
        <v>86</v>
      </c>
      <c r="D881" t="s">
        <v>22</v>
      </c>
    </row>
    <row r="882" spans="1:4">
      <c r="A882" t="s">
        <v>4032</v>
      </c>
      <c r="B882" t="s">
        <v>209</v>
      </c>
      <c r="C882" t="s">
        <v>14</v>
      </c>
    </row>
    <row r="883" spans="1:4">
      <c r="A883" t="s">
        <v>4033</v>
      </c>
      <c r="B883" t="s">
        <v>210</v>
      </c>
      <c r="C883" t="s">
        <v>25</v>
      </c>
      <c r="D883" t="s">
        <v>56</v>
      </c>
    </row>
    <row r="884" spans="1:4">
      <c r="A884" t="s">
        <v>4034</v>
      </c>
      <c r="B884" t="s">
        <v>211</v>
      </c>
      <c r="C884" t="s">
        <v>25</v>
      </c>
      <c r="D884" t="s">
        <v>56</v>
      </c>
    </row>
    <row r="885" spans="1:4">
      <c r="A885" t="s">
        <v>4035</v>
      </c>
      <c r="B885" t="s">
        <v>212</v>
      </c>
      <c r="C885" t="s">
        <v>98</v>
      </c>
    </row>
    <row r="886" spans="1:4">
      <c r="A886" t="s">
        <v>4036</v>
      </c>
      <c r="B886" t="s">
        <v>213</v>
      </c>
      <c r="C886" t="s">
        <v>25</v>
      </c>
    </row>
    <row r="887" spans="1:4">
      <c r="A887" t="s">
        <v>4037</v>
      </c>
      <c r="B887" t="s">
        <v>221</v>
      </c>
      <c r="C887" t="s">
        <v>25</v>
      </c>
      <c r="D887" t="s">
        <v>49</v>
      </c>
    </row>
    <row r="888" spans="1:4">
      <c r="A888" t="s">
        <v>4038</v>
      </c>
      <c r="B888" t="s">
        <v>222</v>
      </c>
      <c r="C888" t="s">
        <v>25</v>
      </c>
      <c r="D888" t="s">
        <v>49</v>
      </c>
    </row>
    <row r="889" spans="1:4">
      <c r="A889" t="s">
        <v>4039</v>
      </c>
      <c r="B889" t="s">
        <v>223</v>
      </c>
      <c r="C889" t="s">
        <v>86</v>
      </c>
    </row>
    <row r="890" spans="1:4">
      <c r="A890" t="s">
        <v>4040</v>
      </c>
      <c r="B890" t="s">
        <v>224</v>
      </c>
      <c r="C890" t="s">
        <v>158</v>
      </c>
    </row>
    <row r="891" spans="1:4">
      <c r="A891" t="s">
        <v>4041</v>
      </c>
      <c r="B891" t="s">
        <v>226</v>
      </c>
      <c r="C891" t="s">
        <v>25</v>
      </c>
      <c r="D891" t="s">
        <v>86</v>
      </c>
    </row>
    <row r="892" spans="1:4">
      <c r="A892" t="s">
        <v>4042</v>
      </c>
      <c r="B892" t="s">
        <v>229</v>
      </c>
      <c r="C892" t="s">
        <v>86</v>
      </c>
    </row>
    <row r="893" spans="1:4">
      <c r="A893" t="s">
        <v>4043</v>
      </c>
      <c r="B893" t="s">
        <v>233</v>
      </c>
      <c r="C893" t="s">
        <v>36</v>
      </c>
    </row>
    <row r="894" spans="1:4">
      <c r="A894" t="s">
        <v>4044</v>
      </c>
      <c r="B894" t="s">
        <v>235</v>
      </c>
      <c r="C894" t="s">
        <v>106</v>
      </c>
      <c r="D894" t="s">
        <v>49</v>
      </c>
    </row>
    <row r="895" spans="1:4">
      <c r="A895" t="s">
        <v>4045</v>
      </c>
      <c r="B895" t="s">
        <v>238</v>
      </c>
      <c r="C895" t="s">
        <v>25</v>
      </c>
      <c r="D895" t="s">
        <v>15</v>
      </c>
    </row>
    <row r="896" spans="1:4">
      <c r="A896" t="s">
        <v>4046</v>
      </c>
      <c r="B896" t="s">
        <v>239</v>
      </c>
      <c r="C896" t="s">
        <v>29</v>
      </c>
      <c r="D896" t="s">
        <v>106</v>
      </c>
    </row>
    <row r="897" spans="1:4">
      <c r="A897" t="s">
        <v>4047</v>
      </c>
      <c r="B897" t="s">
        <v>240</v>
      </c>
      <c r="C897" t="s">
        <v>29</v>
      </c>
      <c r="D897" t="s">
        <v>98</v>
      </c>
    </row>
    <row r="898" spans="1:4">
      <c r="A898" t="s">
        <v>4048</v>
      </c>
      <c r="B898" t="s">
        <v>241</v>
      </c>
      <c r="C898" t="s">
        <v>29</v>
      </c>
      <c r="D898" t="s">
        <v>78</v>
      </c>
    </row>
    <row r="899" spans="1:4">
      <c r="A899" t="s">
        <v>4049</v>
      </c>
      <c r="B899" t="s">
        <v>242</v>
      </c>
      <c r="C899" t="s">
        <v>158</v>
      </c>
      <c r="D899" t="s">
        <v>113</v>
      </c>
    </row>
    <row r="900" spans="1:4">
      <c r="A900" t="s">
        <v>4050</v>
      </c>
      <c r="B900" t="s">
        <v>247</v>
      </c>
      <c r="C900" t="s">
        <v>113</v>
      </c>
      <c r="D900" t="s">
        <v>49</v>
      </c>
    </row>
    <row r="901" spans="1:4">
      <c r="A901" t="s">
        <v>4051</v>
      </c>
      <c r="B901" t="s">
        <v>248</v>
      </c>
      <c r="C901" t="s">
        <v>113</v>
      </c>
      <c r="D901" t="s">
        <v>49</v>
      </c>
    </row>
    <row r="902" spans="1:4">
      <c r="A902" t="s">
        <v>4052</v>
      </c>
      <c r="B902" t="s">
        <v>249</v>
      </c>
      <c r="C902" t="s">
        <v>25</v>
      </c>
      <c r="D902" t="s">
        <v>98</v>
      </c>
    </row>
    <row r="903" spans="1:4">
      <c r="A903" t="s">
        <v>4053</v>
      </c>
      <c r="B903" t="s">
        <v>250</v>
      </c>
      <c r="C903" t="s">
        <v>25</v>
      </c>
    </row>
    <row r="904" spans="1:4">
      <c r="A904" s="135">
        <v>0</v>
      </c>
      <c r="B904" t="s">
        <v>251</v>
      </c>
      <c r="C904" t="s">
        <v>25</v>
      </c>
    </row>
    <row r="905" spans="1:4">
      <c r="A905" s="135">
        <v>0</v>
      </c>
      <c r="B905" t="s">
        <v>252</v>
      </c>
      <c r="C905" t="s">
        <v>113</v>
      </c>
      <c r="D905" t="s">
        <v>22</v>
      </c>
    </row>
    <row r="906" spans="1:4">
      <c r="A906" s="135">
        <v>0</v>
      </c>
      <c r="B906" t="s">
        <v>253</v>
      </c>
      <c r="C906" t="s">
        <v>25</v>
      </c>
      <c r="D906" t="s">
        <v>22</v>
      </c>
    </row>
    <row r="907" spans="1:4">
      <c r="A907" s="135">
        <v>0</v>
      </c>
      <c r="B907" t="s">
        <v>254</v>
      </c>
      <c r="C907" t="s">
        <v>106</v>
      </c>
      <c r="D907" t="s">
        <v>22</v>
      </c>
    </row>
    <row r="908" spans="1:4">
      <c r="A908" s="135">
        <v>0</v>
      </c>
      <c r="B908" t="s">
        <v>257</v>
      </c>
      <c r="C908" t="s">
        <v>25</v>
      </c>
      <c r="D908" t="s">
        <v>23</v>
      </c>
    </row>
    <row r="909" spans="1:4">
      <c r="A909" s="135">
        <v>0</v>
      </c>
      <c r="B909" t="s">
        <v>260</v>
      </c>
      <c r="C909" t="s">
        <v>36</v>
      </c>
    </row>
    <row r="910" spans="1:4">
      <c r="A910" t="s">
        <v>4054</v>
      </c>
      <c r="B910" t="s">
        <v>263</v>
      </c>
      <c r="C910" t="s">
        <v>78</v>
      </c>
    </row>
    <row r="911" spans="1:4">
      <c r="A911" t="s">
        <v>4055</v>
      </c>
      <c r="B911" t="s">
        <v>264</v>
      </c>
      <c r="C911" t="s">
        <v>78</v>
      </c>
    </row>
    <row r="912" spans="1:4">
      <c r="A912" t="s">
        <v>4056</v>
      </c>
      <c r="B912" t="s">
        <v>265</v>
      </c>
      <c r="C912" t="s">
        <v>113</v>
      </c>
      <c r="D912" t="s">
        <v>86</v>
      </c>
    </row>
    <row r="913" spans="1:4">
      <c r="A913" t="s">
        <v>4057</v>
      </c>
      <c r="B913" t="s">
        <v>266</v>
      </c>
      <c r="C913" t="s">
        <v>46</v>
      </c>
    </row>
    <row r="914" spans="1:4">
      <c r="A914" t="s">
        <v>4058</v>
      </c>
      <c r="B914" t="s">
        <v>267</v>
      </c>
      <c r="C914" t="s">
        <v>19</v>
      </c>
    </row>
    <row r="915" spans="1:4">
      <c r="A915" t="s">
        <v>4059</v>
      </c>
      <c r="B915" t="s">
        <v>268</v>
      </c>
      <c r="C915" t="s">
        <v>36</v>
      </c>
    </row>
    <row r="916" spans="1:4">
      <c r="A916" t="s">
        <v>4060</v>
      </c>
      <c r="B916" t="s">
        <v>269</v>
      </c>
      <c r="C916" t="s">
        <v>36</v>
      </c>
    </row>
    <row r="917" spans="1:4">
      <c r="A917" t="s">
        <v>4061</v>
      </c>
      <c r="B917" t="s">
        <v>270</v>
      </c>
      <c r="C917" t="s">
        <v>46</v>
      </c>
    </row>
    <row r="918" spans="1:4">
      <c r="A918" t="s">
        <v>4062</v>
      </c>
      <c r="B918" t="s">
        <v>271</v>
      </c>
      <c r="C918" t="s">
        <v>19</v>
      </c>
    </row>
    <row r="919" spans="1:4">
      <c r="A919" t="s">
        <v>4063</v>
      </c>
      <c r="B919" t="s">
        <v>272</v>
      </c>
      <c r="C919" t="s">
        <v>25</v>
      </c>
    </row>
    <row r="920" spans="1:4">
      <c r="A920" t="s">
        <v>4064</v>
      </c>
      <c r="B920" t="s">
        <v>273</v>
      </c>
      <c r="C920" t="s">
        <v>98</v>
      </c>
      <c r="D920" t="s">
        <v>49</v>
      </c>
    </row>
    <row r="921" spans="1:4">
      <c r="A921" t="s">
        <v>4065</v>
      </c>
      <c r="B921" t="s">
        <v>274</v>
      </c>
      <c r="C921" t="s">
        <v>98</v>
      </c>
      <c r="D921" t="s">
        <v>49</v>
      </c>
    </row>
    <row r="922" spans="1:4">
      <c r="A922" t="s">
        <v>4066</v>
      </c>
      <c r="B922" t="s">
        <v>275</v>
      </c>
      <c r="C922" t="s">
        <v>98</v>
      </c>
      <c r="D922" t="s">
        <v>158</v>
      </c>
    </row>
    <row r="923" spans="1:4">
      <c r="A923" t="s">
        <v>4067</v>
      </c>
      <c r="B923" t="s">
        <v>276</v>
      </c>
      <c r="C923" t="s">
        <v>86</v>
      </c>
      <c r="D923" t="s">
        <v>22</v>
      </c>
    </row>
    <row r="924" spans="1:4">
      <c r="A924" t="s">
        <v>4068</v>
      </c>
      <c r="B924" t="s">
        <v>1489</v>
      </c>
      <c r="C924" t="s">
        <v>19</v>
      </c>
      <c r="D924" t="s">
        <v>22</v>
      </c>
    </row>
    <row r="925" spans="1:4">
      <c r="A925" t="s">
        <v>4069</v>
      </c>
      <c r="B925" t="s">
        <v>278</v>
      </c>
      <c r="C925" t="s">
        <v>86</v>
      </c>
      <c r="D925" t="s">
        <v>14</v>
      </c>
    </row>
    <row r="926" spans="1:4">
      <c r="A926" t="s">
        <v>4070</v>
      </c>
      <c r="B926" t="s">
        <v>279</v>
      </c>
      <c r="C926" t="s">
        <v>14</v>
      </c>
    </row>
    <row r="927" spans="1:4">
      <c r="A927" t="s">
        <v>4071</v>
      </c>
      <c r="B927" t="s">
        <v>280</v>
      </c>
      <c r="C927" t="s">
        <v>14</v>
      </c>
    </row>
    <row r="928" spans="1:4">
      <c r="A928" t="s">
        <v>4072</v>
      </c>
      <c r="B928" t="s">
        <v>281</v>
      </c>
      <c r="C928" t="s">
        <v>14</v>
      </c>
    </row>
    <row r="929" spans="1:4">
      <c r="A929" t="s">
        <v>4073</v>
      </c>
      <c r="B929" t="s">
        <v>282</v>
      </c>
      <c r="C929" t="s">
        <v>19</v>
      </c>
    </row>
    <row r="930" spans="1:4">
      <c r="A930">
        <v>100</v>
      </c>
      <c r="B930" t="s">
        <v>283</v>
      </c>
      <c r="C930" t="s">
        <v>19</v>
      </c>
      <c r="D930" t="s">
        <v>78</v>
      </c>
    </row>
    <row r="931" spans="1:4">
      <c r="A931">
        <v>101</v>
      </c>
      <c r="B931" t="s">
        <v>284</v>
      </c>
      <c r="C931" t="s">
        <v>19</v>
      </c>
      <c r="D931" t="s">
        <v>78</v>
      </c>
    </row>
    <row r="932" spans="1:4">
      <c r="A932">
        <v>102</v>
      </c>
      <c r="B932" t="s">
        <v>285</v>
      </c>
      <c r="C932" t="s">
        <v>25</v>
      </c>
    </row>
    <row r="933" spans="1:4">
      <c r="A933">
        <v>103</v>
      </c>
      <c r="B933" t="s">
        <v>286</v>
      </c>
      <c r="C933" t="s">
        <v>25</v>
      </c>
      <c r="D933" t="s">
        <v>49</v>
      </c>
    </row>
    <row r="934" spans="1:4">
      <c r="A934">
        <v>104</v>
      </c>
      <c r="B934" t="s">
        <v>287</v>
      </c>
      <c r="C934" t="s">
        <v>25</v>
      </c>
      <c r="D934" t="s">
        <v>49</v>
      </c>
    </row>
    <row r="935" spans="1:4">
      <c r="A935">
        <v>107</v>
      </c>
      <c r="B935" t="s">
        <v>290</v>
      </c>
      <c r="C935" t="s">
        <v>36</v>
      </c>
    </row>
    <row r="936" spans="1:4">
      <c r="A936">
        <v>108</v>
      </c>
      <c r="B936" t="s">
        <v>291</v>
      </c>
      <c r="C936" t="s">
        <v>36</v>
      </c>
    </row>
    <row r="937" spans="1:4">
      <c r="A937" t="s">
        <v>4074</v>
      </c>
      <c r="B937" t="s">
        <v>297</v>
      </c>
      <c r="C937" t="s">
        <v>25</v>
      </c>
      <c r="D937" t="s">
        <v>14</v>
      </c>
    </row>
    <row r="938" spans="1:4">
      <c r="A938" t="s">
        <v>4075</v>
      </c>
      <c r="B938" t="s">
        <v>298</v>
      </c>
      <c r="C938" t="s">
        <v>25</v>
      </c>
      <c r="D938" t="s">
        <v>14</v>
      </c>
    </row>
    <row r="939" spans="1:4">
      <c r="A939">
        <v>110</v>
      </c>
      <c r="B939" t="s">
        <v>299</v>
      </c>
      <c r="C939" t="s">
        <v>25</v>
      </c>
      <c r="D939" t="s">
        <v>14</v>
      </c>
    </row>
    <row r="940" spans="1:4">
      <c r="A940">
        <v>111</v>
      </c>
      <c r="B940" t="s">
        <v>300</v>
      </c>
      <c r="C940" t="s">
        <v>14</v>
      </c>
    </row>
    <row r="941" spans="1:4">
      <c r="A941">
        <v>112</v>
      </c>
      <c r="B941" t="s">
        <v>301</v>
      </c>
      <c r="C941" t="s">
        <v>14</v>
      </c>
      <c r="D941" t="s">
        <v>158</v>
      </c>
    </row>
    <row r="942" spans="1:4">
      <c r="A942">
        <v>113</v>
      </c>
      <c r="B942" t="s">
        <v>302</v>
      </c>
      <c r="C942" t="s">
        <v>14</v>
      </c>
      <c r="D942" t="s">
        <v>158</v>
      </c>
    </row>
    <row r="943" spans="1:4">
      <c r="A943">
        <v>116</v>
      </c>
      <c r="B943" t="s">
        <v>305</v>
      </c>
      <c r="C943" t="s">
        <v>25</v>
      </c>
      <c r="D943" t="s">
        <v>22</v>
      </c>
    </row>
    <row r="944" spans="1:4">
      <c r="A944">
        <v>117</v>
      </c>
      <c r="B944" t="s">
        <v>306</v>
      </c>
      <c r="C944" t="s">
        <v>25</v>
      </c>
      <c r="D944" t="s">
        <v>22</v>
      </c>
    </row>
    <row r="945" spans="1:4">
      <c r="A945">
        <v>118</v>
      </c>
      <c r="B945" t="s">
        <v>307</v>
      </c>
      <c r="C945" t="s">
        <v>86</v>
      </c>
      <c r="D945" t="s">
        <v>56</v>
      </c>
    </row>
    <row r="946" spans="1:4">
      <c r="A946">
        <v>119</v>
      </c>
      <c r="B946" t="s">
        <v>308</v>
      </c>
      <c r="C946" t="s">
        <v>86</v>
      </c>
      <c r="D946" t="s">
        <v>56</v>
      </c>
    </row>
    <row r="947" spans="1:4">
      <c r="A947" t="s">
        <v>4076</v>
      </c>
      <c r="B947" t="s">
        <v>309</v>
      </c>
      <c r="C947" t="s">
        <v>86</v>
      </c>
      <c r="D947" t="s">
        <v>56</v>
      </c>
    </row>
    <row r="948" spans="1:4">
      <c r="A948">
        <v>122</v>
      </c>
      <c r="B948" t="s">
        <v>317</v>
      </c>
      <c r="C948" t="s">
        <v>29</v>
      </c>
      <c r="D948" t="s">
        <v>49</v>
      </c>
    </row>
    <row r="949" spans="1:4">
      <c r="A949">
        <v>123</v>
      </c>
      <c r="B949" t="s">
        <v>318</v>
      </c>
      <c r="C949" t="s">
        <v>29</v>
      </c>
      <c r="D949" t="s">
        <v>22</v>
      </c>
    </row>
    <row r="950" spans="1:4">
      <c r="A950">
        <v>124</v>
      </c>
      <c r="B950" t="s">
        <v>319</v>
      </c>
      <c r="C950" t="s">
        <v>29</v>
      </c>
      <c r="D950" t="s">
        <v>119</v>
      </c>
    </row>
    <row r="951" spans="1:4">
      <c r="A951">
        <v>125</v>
      </c>
      <c r="B951" t="s">
        <v>320</v>
      </c>
      <c r="C951" t="s">
        <v>36</v>
      </c>
    </row>
    <row r="952" spans="1:4">
      <c r="A952">
        <v>126</v>
      </c>
      <c r="B952" t="s">
        <v>321</v>
      </c>
      <c r="C952" t="s">
        <v>36</v>
      </c>
    </row>
    <row r="953" spans="1:4">
      <c r="A953">
        <v>127</v>
      </c>
      <c r="B953" t="s">
        <v>322</v>
      </c>
      <c r="C953" t="s">
        <v>36</v>
      </c>
    </row>
    <row r="954" spans="1:4">
      <c r="A954" t="s">
        <v>4077</v>
      </c>
      <c r="B954" t="s">
        <v>325</v>
      </c>
      <c r="C954" t="s">
        <v>36</v>
      </c>
      <c r="D954" t="s">
        <v>56</v>
      </c>
    </row>
    <row r="955" spans="1:4">
      <c r="A955" t="s">
        <v>4078</v>
      </c>
      <c r="B955" t="s">
        <v>329</v>
      </c>
      <c r="C955" t="s">
        <v>158</v>
      </c>
      <c r="D955" t="s">
        <v>119</v>
      </c>
    </row>
    <row r="956" spans="1:4">
      <c r="A956" t="s">
        <v>4079</v>
      </c>
      <c r="B956" t="s">
        <v>330</v>
      </c>
      <c r="C956" t="s">
        <v>106</v>
      </c>
      <c r="D956" t="s">
        <v>56</v>
      </c>
    </row>
    <row r="957" spans="1:4">
      <c r="A957">
        <v>130</v>
      </c>
      <c r="B957" t="s">
        <v>331</v>
      </c>
      <c r="C957" t="s">
        <v>106</v>
      </c>
      <c r="D957" t="s">
        <v>98</v>
      </c>
    </row>
    <row r="958" spans="1:4">
      <c r="A958">
        <v>131</v>
      </c>
      <c r="B958" t="s">
        <v>332</v>
      </c>
      <c r="C958" t="s">
        <v>106</v>
      </c>
      <c r="D958" t="s">
        <v>98</v>
      </c>
    </row>
    <row r="959" spans="1:4">
      <c r="A959">
        <v>132</v>
      </c>
      <c r="B959" t="s">
        <v>333</v>
      </c>
      <c r="C959" t="s">
        <v>106</v>
      </c>
      <c r="D959" t="s">
        <v>98</v>
      </c>
    </row>
    <row r="960" spans="1:4">
      <c r="A960">
        <v>135</v>
      </c>
      <c r="B960" t="s">
        <v>336</v>
      </c>
      <c r="C960" t="s">
        <v>46</v>
      </c>
    </row>
    <row r="961" spans="1:4">
      <c r="A961">
        <v>136</v>
      </c>
      <c r="B961" t="s">
        <v>337</v>
      </c>
      <c r="C961" t="s">
        <v>46</v>
      </c>
    </row>
    <row r="962" spans="1:4">
      <c r="A962" t="s">
        <v>4080</v>
      </c>
      <c r="B962" t="s">
        <v>342</v>
      </c>
      <c r="C962" t="s">
        <v>14</v>
      </c>
      <c r="D962" t="s">
        <v>15</v>
      </c>
    </row>
    <row r="963" spans="1:4">
      <c r="A963" t="s">
        <v>4081</v>
      </c>
      <c r="B963" t="s">
        <v>345</v>
      </c>
      <c r="C963" t="s">
        <v>25</v>
      </c>
      <c r="D963" t="s">
        <v>158</v>
      </c>
    </row>
    <row r="964" spans="1:4">
      <c r="A964" t="s">
        <v>4082</v>
      </c>
      <c r="B964" t="s">
        <v>346</v>
      </c>
      <c r="C964" t="s">
        <v>25</v>
      </c>
      <c r="D964" t="s">
        <v>158</v>
      </c>
    </row>
    <row r="965" spans="1:4">
      <c r="A965">
        <v>140</v>
      </c>
      <c r="B965" t="s">
        <v>347</v>
      </c>
      <c r="C965" t="s">
        <v>25</v>
      </c>
    </row>
    <row r="966" spans="1:4">
      <c r="A966">
        <v>141</v>
      </c>
      <c r="B966" t="s">
        <v>348</v>
      </c>
      <c r="C966" t="s">
        <v>25</v>
      </c>
    </row>
    <row r="967" spans="1:4">
      <c r="A967">
        <v>144</v>
      </c>
      <c r="B967" t="s">
        <v>351</v>
      </c>
      <c r="C967" t="s">
        <v>19</v>
      </c>
    </row>
    <row r="968" spans="1:4">
      <c r="A968">
        <v>148</v>
      </c>
      <c r="B968" t="s">
        <v>355</v>
      </c>
      <c r="C968" t="s">
        <v>49</v>
      </c>
    </row>
    <row r="969" spans="1:4">
      <c r="A969">
        <v>149</v>
      </c>
      <c r="B969" t="s">
        <v>356</v>
      </c>
      <c r="C969" t="s">
        <v>49</v>
      </c>
      <c r="D969" t="s">
        <v>23</v>
      </c>
    </row>
    <row r="970" spans="1:4">
      <c r="A970" t="s">
        <v>4083</v>
      </c>
      <c r="B970" t="s">
        <v>357</v>
      </c>
      <c r="C970" t="s">
        <v>49</v>
      </c>
      <c r="D970" t="s">
        <v>23</v>
      </c>
    </row>
    <row r="971" spans="1:4">
      <c r="A971" t="s">
        <v>4084</v>
      </c>
      <c r="B971" t="s">
        <v>360</v>
      </c>
      <c r="C971" t="s">
        <v>36</v>
      </c>
      <c r="D971" t="s">
        <v>22</v>
      </c>
    </row>
    <row r="972" spans="1:4">
      <c r="A972" t="s">
        <v>4085</v>
      </c>
      <c r="B972" t="s">
        <v>361</v>
      </c>
      <c r="C972" t="s">
        <v>23</v>
      </c>
      <c r="D972" t="s">
        <v>22</v>
      </c>
    </row>
    <row r="973" spans="1:4">
      <c r="A973">
        <v>151</v>
      </c>
      <c r="B973" t="s">
        <v>364</v>
      </c>
      <c r="C973" t="s">
        <v>98</v>
      </c>
      <c r="D973" t="s">
        <v>86</v>
      </c>
    </row>
    <row r="974" spans="1:4">
      <c r="A974">
        <v>152</v>
      </c>
      <c r="B974" t="s">
        <v>365</v>
      </c>
      <c r="C974" t="s">
        <v>98</v>
      </c>
      <c r="D974" t="s">
        <v>86</v>
      </c>
    </row>
    <row r="975" spans="1:4">
      <c r="A975">
        <v>153</v>
      </c>
      <c r="B975" t="s">
        <v>366</v>
      </c>
      <c r="C975" t="s">
        <v>25</v>
      </c>
      <c r="D975" t="s">
        <v>49</v>
      </c>
    </row>
    <row r="976" spans="1:4">
      <c r="A976">
        <v>154</v>
      </c>
      <c r="B976" t="s">
        <v>367</v>
      </c>
      <c r="C976" t="s">
        <v>25</v>
      </c>
      <c r="D976" t="s">
        <v>49</v>
      </c>
    </row>
    <row r="977" spans="1:4">
      <c r="A977">
        <v>155</v>
      </c>
      <c r="B977" t="s">
        <v>368</v>
      </c>
      <c r="C977" t="s">
        <v>25</v>
      </c>
    </row>
    <row r="978" spans="1:4">
      <c r="A978">
        <v>156</v>
      </c>
      <c r="B978" t="s">
        <v>369</v>
      </c>
      <c r="C978" t="s">
        <v>25</v>
      </c>
      <c r="D978" t="s">
        <v>158</v>
      </c>
    </row>
    <row r="979" spans="1:4">
      <c r="A979">
        <v>157</v>
      </c>
      <c r="B979" t="s">
        <v>370</v>
      </c>
      <c r="C979" t="s">
        <v>49</v>
      </c>
      <c r="D979" t="s">
        <v>86</v>
      </c>
    </row>
    <row r="980" spans="1:4">
      <c r="A980">
        <v>158</v>
      </c>
      <c r="B980" t="s">
        <v>371</v>
      </c>
      <c r="C980" t="s">
        <v>49</v>
      </c>
      <c r="D980" t="s">
        <v>86</v>
      </c>
    </row>
    <row r="981" spans="1:4">
      <c r="A981">
        <v>159</v>
      </c>
      <c r="B981" t="s">
        <v>372</v>
      </c>
      <c r="C981" t="s">
        <v>98</v>
      </c>
      <c r="D981" t="s">
        <v>14</v>
      </c>
    </row>
    <row r="982" spans="1:4">
      <c r="A982" t="s">
        <v>4086</v>
      </c>
      <c r="B982" t="s">
        <v>373</v>
      </c>
      <c r="C982" t="s">
        <v>98</v>
      </c>
      <c r="D982" t="s">
        <v>14</v>
      </c>
    </row>
    <row r="983" spans="1:4">
      <c r="A983" t="s">
        <v>4087</v>
      </c>
      <c r="B983" t="s">
        <v>374</v>
      </c>
      <c r="C983" t="s">
        <v>98</v>
      </c>
      <c r="D983" t="s">
        <v>29</v>
      </c>
    </row>
    <row r="984" spans="1:4">
      <c r="A984" t="s">
        <v>4088</v>
      </c>
      <c r="B984" t="s">
        <v>375</v>
      </c>
      <c r="C984" t="s">
        <v>98</v>
      </c>
      <c r="D984" t="s">
        <v>29</v>
      </c>
    </row>
    <row r="985" spans="1:4">
      <c r="A985" t="s">
        <v>4089</v>
      </c>
      <c r="B985" t="s">
        <v>376</v>
      </c>
      <c r="C985" t="s">
        <v>25</v>
      </c>
    </row>
    <row r="986" spans="1:4">
      <c r="A986" t="s">
        <v>4090</v>
      </c>
      <c r="B986" t="s">
        <v>377</v>
      </c>
      <c r="C986" t="s">
        <v>25</v>
      </c>
    </row>
    <row r="987" spans="1:4">
      <c r="A987">
        <v>163</v>
      </c>
      <c r="B987" t="s">
        <v>382</v>
      </c>
      <c r="C987" t="s">
        <v>119</v>
      </c>
    </row>
    <row r="988" spans="1:4">
      <c r="A988">
        <v>164</v>
      </c>
      <c r="B988" t="s">
        <v>383</v>
      </c>
      <c r="C988" t="s">
        <v>119</v>
      </c>
    </row>
    <row r="989" spans="1:4">
      <c r="A989">
        <v>167</v>
      </c>
      <c r="B989" t="s">
        <v>386</v>
      </c>
      <c r="C989" t="s">
        <v>158</v>
      </c>
    </row>
    <row r="990" spans="1:4">
      <c r="A990">
        <v>168</v>
      </c>
      <c r="B990" t="s">
        <v>387</v>
      </c>
      <c r="C990" t="s">
        <v>86</v>
      </c>
    </row>
    <row r="991" spans="1:4">
      <c r="A991">
        <v>169</v>
      </c>
      <c r="B991" t="s">
        <v>388</v>
      </c>
      <c r="C991" t="s">
        <v>113</v>
      </c>
    </row>
    <row r="992" spans="1:4">
      <c r="A992" t="s">
        <v>4091</v>
      </c>
      <c r="B992" t="s">
        <v>389</v>
      </c>
      <c r="C992" t="s">
        <v>113</v>
      </c>
    </row>
    <row r="993" spans="1:4">
      <c r="A993" t="s">
        <v>4092</v>
      </c>
      <c r="B993" t="s">
        <v>390</v>
      </c>
      <c r="C993" t="s">
        <v>113</v>
      </c>
      <c r="D993" t="s">
        <v>25</v>
      </c>
    </row>
    <row r="994" spans="1:4">
      <c r="A994" t="s">
        <v>4093</v>
      </c>
      <c r="B994" t="s">
        <v>391</v>
      </c>
      <c r="C994" t="s">
        <v>113</v>
      </c>
      <c r="D994" t="s">
        <v>25</v>
      </c>
    </row>
    <row r="995" spans="1:4">
      <c r="A995" t="s">
        <v>4094</v>
      </c>
      <c r="B995" t="s">
        <v>392</v>
      </c>
      <c r="C995" t="s">
        <v>113</v>
      </c>
      <c r="D995" t="s">
        <v>25</v>
      </c>
    </row>
    <row r="996" spans="1:4">
      <c r="A996">
        <v>171</v>
      </c>
      <c r="B996" t="s">
        <v>396</v>
      </c>
      <c r="C996" t="s">
        <v>25</v>
      </c>
      <c r="D996" t="s">
        <v>98</v>
      </c>
    </row>
    <row r="997" spans="1:4">
      <c r="A997">
        <v>173</v>
      </c>
      <c r="B997" t="s">
        <v>398</v>
      </c>
      <c r="C997" t="s">
        <v>23</v>
      </c>
    </row>
    <row r="998" spans="1:4">
      <c r="A998">
        <v>174</v>
      </c>
      <c r="B998" t="s">
        <v>399</v>
      </c>
      <c r="C998" t="s">
        <v>23</v>
      </c>
    </row>
    <row r="999" spans="1:4">
      <c r="A999">
        <v>175</v>
      </c>
      <c r="B999" t="s">
        <v>400</v>
      </c>
      <c r="C999" t="s">
        <v>23</v>
      </c>
      <c r="D999" t="s">
        <v>22</v>
      </c>
    </row>
    <row r="1000" spans="1:4">
      <c r="A1000">
        <v>176</v>
      </c>
      <c r="B1000" t="s">
        <v>401</v>
      </c>
      <c r="C1000" t="s">
        <v>106</v>
      </c>
      <c r="D1000" t="s">
        <v>86</v>
      </c>
    </row>
    <row r="1001" spans="1:4">
      <c r="A1001">
        <v>177</v>
      </c>
      <c r="B1001" t="s">
        <v>402</v>
      </c>
      <c r="C1001" t="s">
        <v>106</v>
      </c>
      <c r="D1001" t="s">
        <v>86</v>
      </c>
    </row>
    <row r="1002" spans="1:4">
      <c r="A1002">
        <v>178</v>
      </c>
      <c r="B1002" t="s">
        <v>403</v>
      </c>
      <c r="C1002" t="s">
        <v>106</v>
      </c>
      <c r="D1002" t="s">
        <v>86</v>
      </c>
    </row>
    <row r="1003" spans="1:4">
      <c r="A1003">
        <v>179</v>
      </c>
      <c r="B1003" t="s">
        <v>404</v>
      </c>
      <c r="C1003" t="s">
        <v>98</v>
      </c>
    </row>
    <row r="1004" spans="1:4">
      <c r="A1004" t="s">
        <v>4095</v>
      </c>
      <c r="B1004" t="s">
        <v>405</v>
      </c>
      <c r="C1004" t="s">
        <v>113</v>
      </c>
    </row>
    <row r="1005" spans="1:4">
      <c r="A1005" t="s">
        <v>4096</v>
      </c>
      <c r="B1005" t="s">
        <v>406</v>
      </c>
      <c r="C1005" t="s">
        <v>106</v>
      </c>
    </row>
    <row r="1006" spans="1:4">
      <c r="A1006" t="s">
        <v>4097</v>
      </c>
      <c r="B1006" t="s">
        <v>407</v>
      </c>
      <c r="C1006" t="s">
        <v>23</v>
      </c>
      <c r="D1006" t="s">
        <v>86</v>
      </c>
    </row>
    <row r="1007" spans="1:4">
      <c r="A1007" t="s">
        <v>4098</v>
      </c>
      <c r="B1007" t="s">
        <v>408</v>
      </c>
      <c r="C1007" t="s">
        <v>23</v>
      </c>
      <c r="D1007" t="s">
        <v>86</v>
      </c>
    </row>
    <row r="1008" spans="1:4">
      <c r="A1008" t="s">
        <v>4099</v>
      </c>
      <c r="B1008" t="s">
        <v>409</v>
      </c>
      <c r="C1008" t="s">
        <v>25</v>
      </c>
    </row>
    <row r="1009" spans="1:4">
      <c r="A1009" t="s">
        <v>4100</v>
      </c>
      <c r="B1009" t="s">
        <v>411</v>
      </c>
      <c r="C1009" t="s">
        <v>49</v>
      </c>
    </row>
    <row r="1010" spans="1:4">
      <c r="A1010">
        <v>180</v>
      </c>
      <c r="B1010" t="s">
        <v>413</v>
      </c>
      <c r="C1010" t="s">
        <v>23</v>
      </c>
      <c r="D1010" t="s">
        <v>22</v>
      </c>
    </row>
    <row r="1011" spans="1:4">
      <c r="A1011">
        <v>181</v>
      </c>
      <c r="B1011" t="s">
        <v>414</v>
      </c>
      <c r="C1011" t="s">
        <v>106</v>
      </c>
      <c r="D1011" t="s">
        <v>86</v>
      </c>
    </row>
    <row r="1012" spans="1:4">
      <c r="A1012">
        <v>193</v>
      </c>
      <c r="B1012" t="s">
        <v>435</v>
      </c>
      <c r="C1012" t="s">
        <v>46</v>
      </c>
    </row>
    <row r="1013" spans="1:4">
      <c r="A1013">
        <v>194</v>
      </c>
      <c r="B1013" t="s">
        <v>436</v>
      </c>
      <c r="C1013" t="s">
        <v>46</v>
      </c>
    </row>
    <row r="1014" spans="1:4">
      <c r="A1014">
        <v>195</v>
      </c>
      <c r="B1014" t="s">
        <v>437</v>
      </c>
      <c r="C1014" t="s">
        <v>46</v>
      </c>
    </row>
    <row r="1015" spans="1:4">
      <c r="A1015">
        <v>196</v>
      </c>
      <c r="B1015" t="s">
        <v>438</v>
      </c>
      <c r="C1015" t="s">
        <v>14</v>
      </c>
      <c r="D1015" t="s">
        <v>15</v>
      </c>
    </row>
    <row r="1016" spans="1:4">
      <c r="A1016">
        <v>197</v>
      </c>
      <c r="B1016" t="s">
        <v>439</v>
      </c>
      <c r="C1016" t="s">
        <v>14</v>
      </c>
      <c r="D1016" t="s">
        <v>15</v>
      </c>
    </row>
    <row r="1017" spans="1:4">
      <c r="A1017" t="s">
        <v>4101</v>
      </c>
      <c r="B1017" t="s">
        <v>449</v>
      </c>
      <c r="C1017" t="s">
        <v>29</v>
      </c>
      <c r="D1017" t="s">
        <v>22</v>
      </c>
    </row>
    <row r="1018" spans="1:4">
      <c r="A1018" t="s">
        <v>4102</v>
      </c>
      <c r="B1018" t="s">
        <v>450</v>
      </c>
      <c r="C1018" t="s">
        <v>29</v>
      </c>
      <c r="D1018" t="s">
        <v>22</v>
      </c>
    </row>
    <row r="1019" spans="1:4">
      <c r="A1019" t="s">
        <v>4103</v>
      </c>
      <c r="B1019" t="s">
        <v>454</v>
      </c>
      <c r="C1019" t="s">
        <v>14</v>
      </c>
    </row>
    <row r="1020" spans="1:4">
      <c r="A1020" t="s">
        <v>4104</v>
      </c>
      <c r="B1020" t="s">
        <v>455</v>
      </c>
      <c r="C1020" t="s">
        <v>14</v>
      </c>
    </row>
    <row r="1021" spans="1:4">
      <c r="A1021" t="s">
        <v>4105</v>
      </c>
      <c r="B1021" t="s">
        <v>456</v>
      </c>
      <c r="C1021" t="s">
        <v>25</v>
      </c>
    </row>
    <row r="1022" spans="1:4">
      <c r="A1022" t="s">
        <v>4106</v>
      </c>
      <c r="B1022" t="s">
        <v>457</v>
      </c>
      <c r="C1022" t="s">
        <v>25</v>
      </c>
      <c r="D1022" t="s">
        <v>49</v>
      </c>
    </row>
    <row r="1023" spans="1:4">
      <c r="A1023" t="s">
        <v>4107</v>
      </c>
      <c r="B1023" t="s">
        <v>459</v>
      </c>
      <c r="C1023" t="s">
        <v>119</v>
      </c>
      <c r="D1023" t="s">
        <v>22</v>
      </c>
    </row>
    <row r="1024" spans="1:4">
      <c r="A1024" t="s">
        <v>4108</v>
      </c>
      <c r="B1024" t="s">
        <v>460</v>
      </c>
      <c r="C1024" t="s">
        <v>119</v>
      </c>
      <c r="D1024" t="s">
        <v>22</v>
      </c>
    </row>
    <row r="1025" spans="1:4">
      <c r="A1025" t="s">
        <v>4109</v>
      </c>
      <c r="B1025" t="s">
        <v>461</v>
      </c>
      <c r="C1025" t="s">
        <v>36</v>
      </c>
    </row>
    <row r="1026" spans="1:4">
      <c r="A1026" t="s">
        <v>4110</v>
      </c>
      <c r="B1026" t="s">
        <v>462</v>
      </c>
      <c r="C1026" t="s">
        <v>36</v>
      </c>
    </row>
    <row r="1027" spans="1:4">
      <c r="A1027" t="s">
        <v>4111</v>
      </c>
      <c r="B1027" t="s">
        <v>468</v>
      </c>
      <c r="C1027" t="s">
        <v>15</v>
      </c>
      <c r="D1027" t="s">
        <v>158</v>
      </c>
    </row>
    <row r="1028" spans="1:4">
      <c r="A1028" t="s">
        <v>4112</v>
      </c>
      <c r="B1028" t="s">
        <v>469</v>
      </c>
      <c r="C1028" t="s">
        <v>15</v>
      </c>
      <c r="D1028" t="s">
        <v>158</v>
      </c>
    </row>
    <row r="1029" spans="1:4">
      <c r="A1029" t="s">
        <v>4113</v>
      </c>
      <c r="B1029" t="s">
        <v>470</v>
      </c>
      <c r="C1029" t="s">
        <v>106</v>
      </c>
      <c r="D1029" t="s">
        <v>86</v>
      </c>
    </row>
    <row r="1030" spans="1:4">
      <c r="A1030" t="s">
        <v>4114</v>
      </c>
      <c r="B1030" t="s">
        <v>471</v>
      </c>
      <c r="C1030" t="s">
        <v>106</v>
      </c>
      <c r="D1030" t="s">
        <v>86</v>
      </c>
    </row>
    <row r="1031" spans="1:4">
      <c r="A1031" t="s">
        <v>4115</v>
      </c>
      <c r="B1031" t="s">
        <v>472</v>
      </c>
      <c r="C1031" t="s">
        <v>98</v>
      </c>
    </row>
    <row r="1032" spans="1:4">
      <c r="A1032" t="s">
        <v>4116</v>
      </c>
      <c r="B1032" t="s">
        <v>473</v>
      </c>
      <c r="C1032" t="s">
        <v>86</v>
      </c>
      <c r="D1032" t="s">
        <v>56</v>
      </c>
    </row>
    <row r="1033" spans="1:4">
      <c r="A1033" t="s">
        <v>4117</v>
      </c>
      <c r="B1033" t="s">
        <v>474</v>
      </c>
      <c r="C1033" t="s">
        <v>36</v>
      </c>
    </row>
    <row r="1034" spans="1:4">
      <c r="A1034" t="s">
        <v>4118</v>
      </c>
      <c r="B1034" t="s">
        <v>476</v>
      </c>
      <c r="C1034" t="s">
        <v>119</v>
      </c>
      <c r="D1034" t="s">
        <v>158</v>
      </c>
    </row>
    <row r="1035" spans="1:4">
      <c r="A1035" t="s">
        <v>4119</v>
      </c>
      <c r="B1035" t="s">
        <v>477</v>
      </c>
      <c r="C1035" t="s">
        <v>23</v>
      </c>
      <c r="D1035" t="s">
        <v>49</v>
      </c>
    </row>
    <row r="1036" spans="1:4">
      <c r="A1036" t="s">
        <v>4120</v>
      </c>
      <c r="B1036" t="s">
        <v>478</v>
      </c>
      <c r="C1036" t="s">
        <v>23</v>
      </c>
      <c r="D1036" t="s">
        <v>49</v>
      </c>
    </row>
    <row r="1037" spans="1:4">
      <c r="A1037" t="s">
        <v>4121</v>
      </c>
      <c r="B1037" t="s">
        <v>479</v>
      </c>
      <c r="C1037" t="s">
        <v>23</v>
      </c>
      <c r="D1037" t="s">
        <v>49</v>
      </c>
    </row>
    <row r="1038" spans="1:4">
      <c r="A1038" t="s">
        <v>4122</v>
      </c>
      <c r="B1038" t="s">
        <v>480</v>
      </c>
      <c r="C1038" t="s">
        <v>36</v>
      </c>
    </row>
    <row r="1039" spans="1:4">
      <c r="A1039" t="s">
        <v>4123</v>
      </c>
      <c r="B1039" t="s">
        <v>481</v>
      </c>
      <c r="C1039" t="s">
        <v>78</v>
      </c>
    </row>
    <row r="1040" spans="1:4">
      <c r="A1040" t="s">
        <v>4124</v>
      </c>
      <c r="B1040" t="s">
        <v>482</v>
      </c>
      <c r="C1040" t="s">
        <v>78</v>
      </c>
      <c r="D1040" t="s">
        <v>106</v>
      </c>
    </row>
    <row r="1041" spans="1:4">
      <c r="A1041" t="s">
        <v>4125</v>
      </c>
      <c r="B1041" t="s">
        <v>483</v>
      </c>
      <c r="C1041" t="s">
        <v>49</v>
      </c>
    </row>
    <row r="1042" spans="1:4">
      <c r="A1042" t="s">
        <v>4126</v>
      </c>
      <c r="B1042" t="s">
        <v>484</v>
      </c>
      <c r="C1042" t="s">
        <v>49</v>
      </c>
    </row>
    <row r="1043" spans="1:4">
      <c r="A1043" t="s">
        <v>4127</v>
      </c>
      <c r="B1043" t="s">
        <v>485</v>
      </c>
      <c r="C1043" t="s">
        <v>15</v>
      </c>
      <c r="D1043" t="s">
        <v>29</v>
      </c>
    </row>
    <row r="1044" spans="1:4">
      <c r="A1044" t="s">
        <v>4128</v>
      </c>
      <c r="B1044" t="s">
        <v>486</v>
      </c>
      <c r="C1044" t="s">
        <v>15</v>
      </c>
      <c r="D1044" t="s">
        <v>158</v>
      </c>
    </row>
    <row r="1045" spans="1:4">
      <c r="A1045" t="s">
        <v>4129</v>
      </c>
      <c r="B1045" t="s">
        <v>487</v>
      </c>
      <c r="C1045" t="s">
        <v>15</v>
      </c>
      <c r="D1045" t="s">
        <v>78</v>
      </c>
    </row>
    <row r="1046" spans="1:4">
      <c r="A1046" t="s">
        <v>4130</v>
      </c>
      <c r="B1046" t="s">
        <v>488</v>
      </c>
      <c r="C1046" t="s">
        <v>15</v>
      </c>
      <c r="D1046" t="s">
        <v>78</v>
      </c>
    </row>
    <row r="1047" spans="1:4">
      <c r="A1047" t="s">
        <v>4131</v>
      </c>
      <c r="B1047" t="s">
        <v>492</v>
      </c>
      <c r="C1047" t="s">
        <v>25</v>
      </c>
      <c r="D1047" t="s">
        <v>22</v>
      </c>
    </row>
    <row r="1048" spans="1:4">
      <c r="A1048" t="s">
        <v>4132</v>
      </c>
      <c r="B1048" t="s">
        <v>493</v>
      </c>
      <c r="C1048" t="s">
        <v>14</v>
      </c>
      <c r="D1048" t="s">
        <v>113</v>
      </c>
    </row>
    <row r="1049" spans="1:4">
      <c r="A1049" t="s">
        <v>4133</v>
      </c>
      <c r="B1049" t="s">
        <v>494</v>
      </c>
      <c r="C1049" t="s">
        <v>14</v>
      </c>
      <c r="D1049" t="s">
        <v>113</v>
      </c>
    </row>
    <row r="1050" spans="1:4">
      <c r="A1050" t="s">
        <v>4134</v>
      </c>
      <c r="B1050" t="s">
        <v>495</v>
      </c>
      <c r="C1050" t="s">
        <v>158</v>
      </c>
      <c r="D1050" t="s">
        <v>113</v>
      </c>
    </row>
    <row r="1051" spans="1:4">
      <c r="A1051" t="s">
        <v>4135</v>
      </c>
      <c r="B1051" t="s">
        <v>496</v>
      </c>
      <c r="C1051" t="s">
        <v>46</v>
      </c>
      <c r="D1051" t="s">
        <v>106</v>
      </c>
    </row>
    <row r="1052" spans="1:4">
      <c r="A1052" t="s">
        <v>4136</v>
      </c>
      <c r="B1052" t="s">
        <v>497</v>
      </c>
      <c r="C1052" t="s">
        <v>36</v>
      </c>
    </row>
    <row r="1053" spans="1:4">
      <c r="A1053" t="s">
        <v>4137</v>
      </c>
      <c r="B1053" t="s">
        <v>498</v>
      </c>
      <c r="C1053" t="s">
        <v>49</v>
      </c>
      <c r="D1053" t="s">
        <v>98</v>
      </c>
    </row>
    <row r="1054" spans="1:4">
      <c r="A1054" t="s">
        <v>4138</v>
      </c>
      <c r="B1054" t="s">
        <v>499</v>
      </c>
      <c r="C1054" t="s">
        <v>14</v>
      </c>
    </row>
    <row r="1055" spans="1:4">
      <c r="A1055" t="s">
        <v>4139</v>
      </c>
      <c r="B1055" t="s">
        <v>500</v>
      </c>
      <c r="C1055" t="s">
        <v>46</v>
      </c>
    </row>
    <row r="1056" spans="1:4">
      <c r="A1056" t="s">
        <v>4140</v>
      </c>
      <c r="B1056" t="s">
        <v>501</v>
      </c>
      <c r="C1056" t="s">
        <v>19</v>
      </c>
    </row>
    <row r="1057" spans="1:4">
      <c r="A1057" t="s">
        <v>4141</v>
      </c>
      <c r="B1057" t="s">
        <v>502</v>
      </c>
      <c r="C1057" t="s">
        <v>56</v>
      </c>
      <c r="D1057" t="s">
        <v>22</v>
      </c>
    </row>
    <row r="1058" spans="1:4">
      <c r="A1058" t="s">
        <v>4142</v>
      </c>
      <c r="B1058" t="s">
        <v>503</v>
      </c>
      <c r="C1058" t="s">
        <v>14</v>
      </c>
    </row>
    <row r="1059" spans="1:4">
      <c r="A1059" t="s">
        <v>4143</v>
      </c>
      <c r="B1059" t="s">
        <v>504</v>
      </c>
      <c r="C1059" t="s">
        <v>113</v>
      </c>
    </row>
    <row r="1060" spans="1:4">
      <c r="A1060" t="s">
        <v>4144</v>
      </c>
      <c r="B1060" t="s">
        <v>506</v>
      </c>
      <c r="C1060" t="s">
        <v>113</v>
      </c>
      <c r="D1060" t="s">
        <v>49</v>
      </c>
    </row>
    <row r="1061" spans="1:4">
      <c r="A1061" t="s">
        <v>4145</v>
      </c>
      <c r="B1061" t="s">
        <v>507</v>
      </c>
      <c r="C1061" t="s">
        <v>36</v>
      </c>
    </row>
    <row r="1062" spans="1:4">
      <c r="A1062" t="s">
        <v>4146</v>
      </c>
      <c r="B1062" t="s">
        <v>508</v>
      </c>
      <c r="C1062" t="s">
        <v>86</v>
      </c>
      <c r="D1062" t="s">
        <v>78</v>
      </c>
    </row>
    <row r="1063" spans="1:4">
      <c r="A1063" t="s">
        <v>4147</v>
      </c>
      <c r="B1063" t="s">
        <v>510</v>
      </c>
      <c r="C1063" t="s">
        <v>119</v>
      </c>
    </row>
    <row r="1064" spans="1:4">
      <c r="A1064" t="s">
        <v>4148</v>
      </c>
      <c r="B1064" t="s">
        <v>511</v>
      </c>
      <c r="C1064" t="s">
        <v>113</v>
      </c>
      <c r="D1064" t="s">
        <v>119</v>
      </c>
    </row>
    <row r="1065" spans="1:4">
      <c r="A1065" t="s">
        <v>4149</v>
      </c>
      <c r="B1065" t="s">
        <v>512</v>
      </c>
      <c r="C1065" t="s">
        <v>46</v>
      </c>
      <c r="D1065" t="s">
        <v>119</v>
      </c>
    </row>
    <row r="1066" spans="1:4">
      <c r="A1066" s="135">
        <v>1</v>
      </c>
      <c r="B1066" t="s">
        <v>518</v>
      </c>
      <c r="C1066" t="s">
        <v>86</v>
      </c>
    </row>
    <row r="1067" spans="1:4">
      <c r="A1067" s="135">
        <v>10</v>
      </c>
      <c r="B1067" t="s">
        <v>519</v>
      </c>
      <c r="C1067" t="s">
        <v>86</v>
      </c>
    </row>
    <row r="1068" spans="1:4">
      <c r="A1068" s="135">
        <v>100</v>
      </c>
      <c r="B1068" t="s">
        <v>520</v>
      </c>
      <c r="C1068" t="s">
        <v>86</v>
      </c>
    </row>
    <row r="1069" spans="1:4">
      <c r="A1069" s="135">
        <v>1000</v>
      </c>
      <c r="B1069" t="s">
        <v>521</v>
      </c>
      <c r="C1069" t="s">
        <v>106</v>
      </c>
      <c r="D1069" t="s">
        <v>23</v>
      </c>
    </row>
    <row r="1070" spans="1:4">
      <c r="A1070" s="135">
        <v>10000</v>
      </c>
      <c r="B1070" t="s">
        <v>522</v>
      </c>
      <c r="C1070" t="s">
        <v>25</v>
      </c>
      <c r="D1070" t="s">
        <v>23</v>
      </c>
    </row>
    <row r="1071" spans="1:4">
      <c r="A1071" s="135">
        <v>100000</v>
      </c>
      <c r="B1071" t="s">
        <v>523</v>
      </c>
      <c r="C1071" t="s">
        <v>19</v>
      </c>
      <c r="D1071" t="s">
        <v>106</v>
      </c>
    </row>
    <row r="1072" spans="1:4">
      <c r="A1072" s="135">
        <v>1000000</v>
      </c>
      <c r="B1072" t="s">
        <v>524</v>
      </c>
      <c r="C1072" t="s">
        <v>36</v>
      </c>
    </row>
    <row r="1073" spans="1:4">
      <c r="A1073" s="135">
        <v>10000000</v>
      </c>
      <c r="B1073" t="s">
        <v>2139</v>
      </c>
      <c r="C1073" t="s">
        <v>119</v>
      </c>
      <c r="D1073" t="s">
        <v>23</v>
      </c>
    </row>
    <row r="1074" spans="1:4">
      <c r="A1074" s="135">
        <v>100000000</v>
      </c>
      <c r="B1074" t="s">
        <v>527</v>
      </c>
      <c r="C1074" t="s">
        <v>86</v>
      </c>
    </row>
    <row r="1075" spans="1:4">
      <c r="A1075" t="s">
        <v>4150</v>
      </c>
      <c r="B1075" t="s">
        <v>534</v>
      </c>
      <c r="C1075" t="s">
        <v>86</v>
      </c>
      <c r="D1075" t="s">
        <v>19</v>
      </c>
    </row>
    <row r="1076" spans="1:4">
      <c r="A1076" t="s">
        <v>4151</v>
      </c>
      <c r="B1076" t="s">
        <v>546</v>
      </c>
      <c r="C1076" t="s">
        <v>36</v>
      </c>
    </row>
    <row r="1077" spans="1:4">
      <c r="A1077" t="s">
        <v>4152</v>
      </c>
      <c r="B1077" t="s">
        <v>547</v>
      </c>
      <c r="C1077" t="s">
        <v>36</v>
      </c>
    </row>
    <row r="1078" spans="1:4">
      <c r="A1078" t="s">
        <v>4153</v>
      </c>
      <c r="B1078" t="s">
        <v>548</v>
      </c>
      <c r="C1078" t="s">
        <v>36</v>
      </c>
    </row>
    <row r="1079" spans="1:4">
      <c r="A1079" t="s">
        <v>4154</v>
      </c>
      <c r="B1079" t="s">
        <v>549</v>
      </c>
      <c r="C1079" t="s">
        <v>158</v>
      </c>
    </row>
    <row r="1080" spans="1:4">
      <c r="A1080" t="s">
        <v>4155</v>
      </c>
      <c r="B1080" t="s">
        <v>550</v>
      </c>
      <c r="C1080" t="s">
        <v>158</v>
      </c>
    </row>
    <row r="1081" spans="1:4">
      <c r="A1081">
        <v>205</v>
      </c>
      <c r="B1081" t="s">
        <v>557</v>
      </c>
      <c r="C1081" t="s">
        <v>86</v>
      </c>
    </row>
    <row r="1082" spans="1:4">
      <c r="A1082">
        <v>206</v>
      </c>
      <c r="B1082" t="s">
        <v>558</v>
      </c>
      <c r="C1082" t="s">
        <v>86</v>
      </c>
    </row>
    <row r="1083" spans="1:4">
      <c r="A1083">
        <v>207</v>
      </c>
      <c r="B1083" t="s">
        <v>559</v>
      </c>
      <c r="C1083" t="s">
        <v>36</v>
      </c>
      <c r="D1083" t="s">
        <v>22</v>
      </c>
    </row>
    <row r="1084" spans="1:4">
      <c r="A1084">
        <v>208</v>
      </c>
      <c r="B1084" t="s">
        <v>560</v>
      </c>
      <c r="C1084" t="s">
        <v>36</v>
      </c>
      <c r="D1084" t="s">
        <v>22</v>
      </c>
    </row>
    <row r="1085" spans="1:4">
      <c r="A1085">
        <v>209</v>
      </c>
      <c r="B1085" t="s">
        <v>561</v>
      </c>
      <c r="C1085" t="s">
        <v>36</v>
      </c>
      <c r="D1085" t="s">
        <v>22</v>
      </c>
    </row>
    <row r="1086" spans="1:4">
      <c r="A1086" t="s">
        <v>4156</v>
      </c>
      <c r="B1086" t="s">
        <v>564</v>
      </c>
      <c r="C1086" t="s">
        <v>98</v>
      </c>
    </row>
    <row r="1087" spans="1:4">
      <c r="A1087" t="s">
        <v>4157</v>
      </c>
      <c r="B1087" t="s">
        <v>565</v>
      </c>
      <c r="C1087" t="s">
        <v>98</v>
      </c>
    </row>
    <row r="1088" spans="1:4">
      <c r="A1088" t="s">
        <v>4158</v>
      </c>
      <c r="B1088" t="s">
        <v>566</v>
      </c>
      <c r="C1088" t="s">
        <v>98</v>
      </c>
    </row>
    <row r="1089" spans="1:4">
      <c r="A1089" t="s">
        <v>4159</v>
      </c>
      <c r="B1089" t="s">
        <v>567</v>
      </c>
      <c r="C1089" t="s">
        <v>86</v>
      </c>
      <c r="D1089" t="s">
        <v>22</v>
      </c>
    </row>
    <row r="1090" spans="1:4">
      <c r="A1090">
        <v>210</v>
      </c>
      <c r="B1090" t="s">
        <v>568</v>
      </c>
      <c r="C1090" t="s">
        <v>86</v>
      </c>
      <c r="D1090" t="s">
        <v>22</v>
      </c>
    </row>
    <row r="1091" spans="1:4">
      <c r="A1091">
        <v>211</v>
      </c>
      <c r="B1091" t="s">
        <v>569</v>
      </c>
      <c r="C1091" t="s">
        <v>49</v>
      </c>
    </row>
    <row r="1092" spans="1:4">
      <c r="A1092">
        <v>212</v>
      </c>
      <c r="B1092" t="s">
        <v>570</v>
      </c>
      <c r="C1092" t="s">
        <v>49</v>
      </c>
      <c r="D1092" t="s">
        <v>106</v>
      </c>
    </row>
    <row r="1093" spans="1:4">
      <c r="A1093">
        <v>213</v>
      </c>
      <c r="B1093" t="s">
        <v>571</v>
      </c>
      <c r="C1093" t="s">
        <v>36</v>
      </c>
    </row>
    <row r="1094" spans="1:4">
      <c r="A1094">
        <v>214</v>
      </c>
      <c r="B1094" t="s">
        <v>572</v>
      </c>
      <c r="C1094" t="s">
        <v>78</v>
      </c>
    </row>
    <row r="1095" spans="1:4">
      <c r="A1095">
        <v>215</v>
      </c>
      <c r="B1095" t="s">
        <v>573</v>
      </c>
      <c r="C1095" t="s">
        <v>78</v>
      </c>
    </row>
    <row r="1096" spans="1:4">
      <c r="A1096">
        <v>216</v>
      </c>
      <c r="B1096" t="s">
        <v>574</v>
      </c>
      <c r="C1096" t="s">
        <v>78</v>
      </c>
    </row>
    <row r="1097" spans="1:4">
      <c r="A1097">
        <v>217</v>
      </c>
      <c r="B1097" t="s">
        <v>575</v>
      </c>
      <c r="C1097" t="s">
        <v>25</v>
      </c>
    </row>
    <row r="1098" spans="1:4">
      <c r="A1098">
        <v>218</v>
      </c>
      <c r="B1098" t="s">
        <v>576</v>
      </c>
      <c r="C1098" t="s">
        <v>25</v>
      </c>
      <c r="D1098" t="s">
        <v>49</v>
      </c>
    </row>
    <row r="1099" spans="1:4">
      <c r="A1099">
        <v>219</v>
      </c>
      <c r="B1099" t="s">
        <v>577</v>
      </c>
      <c r="C1099" t="s">
        <v>25</v>
      </c>
      <c r="D1099" t="s">
        <v>49</v>
      </c>
    </row>
    <row r="1100" spans="1:4">
      <c r="A1100" t="s">
        <v>4160</v>
      </c>
      <c r="B1100" t="s">
        <v>578</v>
      </c>
      <c r="C1100" t="s">
        <v>78</v>
      </c>
    </row>
    <row r="1101" spans="1:4">
      <c r="A1101" t="s">
        <v>4161</v>
      </c>
      <c r="B1101" t="s">
        <v>579</v>
      </c>
      <c r="C1101" t="s">
        <v>78</v>
      </c>
    </row>
    <row r="1102" spans="1:4">
      <c r="A1102" t="s">
        <v>4162</v>
      </c>
      <c r="B1102" t="s">
        <v>583</v>
      </c>
      <c r="C1102" t="s">
        <v>29</v>
      </c>
      <c r="D1102" t="s">
        <v>15</v>
      </c>
    </row>
    <row r="1103" spans="1:4">
      <c r="A1103">
        <v>220</v>
      </c>
      <c r="B1103" t="s">
        <v>584</v>
      </c>
      <c r="C1103" t="s">
        <v>29</v>
      </c>
      <c r="D1103" t="s">
        <v>15</v>
      </c>
    </row>
    <row r="1104" spans="1:4">
      <c r="A1104">
        <v>221</v>
      </c>
      <c r="B1104" t="s">
        <v>585</v>
      </c>
      <c r="C1104" t="s">
        <v>29</v>
      </c>
      <c r="D1104" t="s">
        <v>15</v>
      </c>
    </row>
    <row r="1105" spans="1:4">
      <c r="A1105">
        <v>222</v>
      </c>
      <c r="B1105" t="s">
        <v>586</v>
      </c>
      <c r="C1105" t="s">
        <v>14</v>
      </c>
      <c r="D1105" t="s">
        <v>56</v>
      </c>
    </row>
    <row r="1106" spans="1:4">
      <c r="A1106">
        <v>223</v>
      </c>
      <c r="B1106" t="s">
        <v>587</v>
      </c>
      <c r="C1106" t="s">
        <v>14</v>
      </c>
      <c r="D1106" t="s">
        <v>56</v>
      </c>
    </row>
    <row r="1107" spans="1:4">
      <c r="A1107">
        <v>224</v>
      </c>
      <c r="B1107" t="s">
        <v>588</v>
      </c>
      <c r="C1107" t="s">
        <v>14</v>
      </c>
    </row>
    <row r="1108" spans="1:4">
      <c r="A1108">
        <v>225</v>
      </c>
      <c r="B1108" t="s">
        <v>589</v>
      </c>
      <c r="C1108" t="s">
        <v>14</v>
      </c>
    </row>
    <row r="1109" spans="1:4">
      <c r="A1109">
        <v>226</v>
      </c>
      <c r="B1109" t="s">
        <v>590</v>
      </c>
      <c r="C1109" t="s">
        <v>25</v>
      </c>
    </row>
    <row r="1110" spans="1:4">
      <c r="A1110">
        <v>227</v>
      </c>
      <c r="B1110" t="s">
        <v>591</v>
      </c>
      <c r="C1110" t="s">
        <v>49</v>
      </c>
      <c r="D1110" t="s">
        <v>158</v>
      </c>
    </row>
    <row r="1111" spans="1:4">
      <c r="A1111">
        <v>228</v>
      </c>
      <c r="B1111" t="s">
        <v>592</v>
      </c>
      <c r="C1111" t="s">
        <v>49</v>
      </c>
      <c r="D1111" t="s">
        <v>158</v>
      </c>
    </row>
    <row r="1112" spans="1:4">
      <c r="A1112">
        <v>229</v>
      </c>
      <c r="B1112" t="s">
        <v>593</v>
      </c>
      <c r="C1112" t="s">
        <v>49</v>
      </c>
      <c r="D1112" t="s">
        <v>158</v>
      </c>
    </row>
    <row r="1113" spans="1:4">
      <c r="A1113" t="s">
        <v>4163</v>
      </c>
      <c r="B1113" t="s">
        <v>594</v>
      </c>
      <c r="C1113" t="s">
        <v>19</v>
      </c>
    </row>
    <row r="1114" spans="1:4">
      <c r="A1114" t="s">
        <v>4164</v>
      </c>
      <c r="B1114" t="s">
        <v>2122</v>
      </c>
      <c r="C1114" t="s">
        <v>19</v>
      </c>
    </row>
    <row r="1115" spans="1:4">
      <c r="A1115" t="s">
        <v>4165</v>
      </c>
      <c r="B1115" t="s">
        <v>597</v>
      </c>
      <c r="C1115" t="s">
        <v>14</v>
      </c>
    </row>
    <row r="1116" spans="1:4">
      <c r="A1116" t="s">
        <v>4166</v>
      </c>
      <c r="B1116" t="s">
        <v>598</v>
      </c>
      <c r="C1116" t="s">
        <v>29</v>
      </c>
      <c r="D1116" t="s">
        <v>98</v>
      </c>
    </row>
    <row r="1117" spans="1:4">
      <c r="A1117" t="s">
        <v>4167</v>
      </c>
      <c r="B1117" t="s">
        <v>599</v>
      </c>
      <c r="C1117" t="s">
        <v>29</v>
      </c>
      <c r="D1117" t="s">
        <v>98</v>
      </c>
    </row>
    <row r="1118" spans="1:4">
      <c r="A1118" t="s">
        <v>4168</v>
      </c>
      <c r="B1118" t="s">
        <v>600</v>
      </c>
      <c r="C1118" t="s">
        <v>158</v>
      </c>
      <c r="D1118" t="s">
        <v>78</v>
      </c>
    </row>
    <row r="1119" spans="1:4">
      <c r="A1119">
        <v>230</v>
      </c>
      <c r="B1119" t="s">
        <v>601</v>
      </c>
      <c r="C1119" t="s">
        <v>158</v>
      </c>
      <c r="D1119" t="s">
        <v>78</v>
      </c>
    </row>
    <row r="1120" spans="1:4">
      <c r="A1120">
        <v>231</v>
      </c>
      <c r="B1120" t="s">
        <v>602</v>
      </c>
      <c r="C1120" t="s">
        <v>86</v>
      </c>
      <c r="D1120" t="s">
        <v>22</v>
      </c>
    </row>
    <row r="1121" spans="1:4">
      <c r="A1121">
        <v>232</v>
      </c>
      <c r="B1121" t="s">
        <v>603</v>
      </c>
      <c r="C1121" t="s">
        <v>119</v>
      </c>
    </row>
    <row r="1122" spans="1:4">
      <c r="A1122">
        <v>233</v>
      </c>
      <c r="B1122" t="s">
        <v>604</v>
      </c>
      <c r="C1122" t="s">
        <v>119</v>
      </c>
    </row>
    <row r="1123" spans="1:4">
      <c r="A1123">
        <v>234</v>
      </c>
      <c r="B1123" t="s">
        <v>605</v>
      </c>
      <c r="C1123" t="s">
        <v>25</v>
      </c>
      <c r="D1123" t="s">
        <v>98</v>
      </c>
    </row>
    <row r="1124" spans="1:4">
      <c r="A1124">
        <v>235</v>
      </c>
      <c r="B1124" t="s">
        <v>606</v>
      </c>
      <c r="C1124" t="s">
        <v>25</v>
      </c>
      <c r="D1124" t="s">
        <v>98</v>
      </c>
    </row>
    <row r="1125" spans="1:4">
      <c r="A1125">
        <v>236</v>
      </c>
      <c r="B1125" t="s">
        <v>607</v>
      </c>
      <c r="C1125" t="s">
        <v>98</v>
      </c>
      <c r="D1125" t="s">
        <v>22</v>
      </c>
    </row>
    <row r="1126" spans="1:4">
      <c r="A1126">
        <v>237</v>
      </c>
      <c r="B1126" t="s">
        <v>608</v>
      </c>
      <c r="C1126" t="s">
        <v>98</v>
      </c>
      <c r="D1126" t="s">
        <v>22</v>
      </c>
    </row>
    <row r="1127" spans="1:4">
      <c r="A1127">
        <v>238</v>
      </c>
      <c r="B1127" t="s">
        <v>609</v>
      </c>
      <c r="C1127" t="s">
        <v>15</v>
      </c>
    </row>
    <row r="1128" spans="1:4">
      <c r="A1128">
        <v>239</v>
      </c>
      <c r="B1128" t="s">
        <v>610</v>
      </c>
      <c r="C1128" t="s">
        <v>15</v>
      </c>
    </row>
    <row r="1129" spans="1:4">
      <c r="A1129" t="s">
        <v>4169</v>
      </c>
      <c r="B1129" t="s">
        <v>611</v>
      </c>
      <c r="C1129" t="s">
        <v>158</v>
      </c>
    </row>
    <row r="1130" spans="1:4">
      <c r="A1130" t="s">
        <v>4170</v>
      </c>
      <c r="B1130" t="s">
        <v>612</v>
      </c>
      <c r="C1130" t="s">
        <v>158</v>
      </c>
    </row>
    <row r="1131" spans="1:4">
      <c r="A1131" t="s">
        <v>4171</v>
      </c>
      <c r="B1131" t="s">
        <v>613</v>
      </c>
      <c r="C1131" t="s">
        <v>36</v>
      </c>
    </row>
    <row r="1132" spans="1:4">
      <c r="A1132" t="s">
        <v>4172</v>
      </c>
      <c r="B1132" t="s">
        <v>614</v>
      </c>
      <c r="C1132" t="s">
        <v>36</v>
      </c>
    </row>
    <row r="1133" spans="1:4">
      <c r="A1133" t="s">
        <v>4173</v>
      </c>
      <c r="B1133" t="s">
        <v>615</v>
      </c>
      <c r="C1133" t="s">
        <v>86</v>
      </c>
    </row>
    <row r="1134" spans="1:4">
      <c r="A1134" t="s">
        <v>4174</v>
      </c>
      <c r="B1134" t="s">
        <v>616</v>
      </c>
      <c r="C1134" t="s">
        <v>86</v>
      </c>
    </row>
    <row r="1135" spans="1:4">
      <c r="A1135">
        <v>240</v>
      </c>
      <c r="B1135" t="s">
        <v>617</v>
      </c>
      <c r="C1135" t="s">
        <v>86</v>
      </c>
    </row>
    <row r="1136" spans="1:4">
      <c r="A1136">
        <v>241</v>
      </c>
      <c r="B1136" t="s">
        <v>618</v>
      </c>
      <c r="C1136" t="s">
        <v>86</v>
      </c>
    </row>
    <row r="1137" spans="1:4">
      <c r="A1137">
        <v>242</v>
      </c>
      <c r="B1137" t="s">
        <v>619</v>
      </c>
      <c r="C1137" t="s">
        <v>86</v>
      </c>
    </row>
    <row r="1138" spans="1:4">
      <c r="A1138">
        <v>243</v>
      </c>
      <c r="B1138" t="s">
        <v>620</v>
      </c>
      <c r="C1138" t="s">
        <v>86</v>
      </c>
    </row>
    <row r="1139" spans="1:4">
      <c r="A1139">
        <v>246</v>
      </c>
      <c r="B1139" t="s">
        <v>623</v>
      </c>
      <c r="C1139" t="s">
        <v>113</v>
      </c>
    </row>
    <row r="1140" spans="1:4">
      <c r="A1140">
        <v>247</v>
      </c>
      <c r="B1140" t="s">
        <v>624</v>
      </c>
      <c r="C1140" t="s">
        <v>113</v>
      </c>
    </row>
    <row r="1141" spans="1:4">
      <c r="A1141">
        <v>248</v>
      </c>
      <c r="B1141" t="s">
        <v>625</v>
      </c>
      <c r="C1141" t="s">
        <v>113</v>
      </c>
    </row>
    <row r="1142" spans="1:4">
      <c r="A1142" t="s">
        <v>4175</v>
      </c>
      <c r="B1142" t="s">
        <v>628</v>
      </c>
      <c r="C1142" t="s">
        <v>46</v>
      </c>
      <c r="D1142" t="s">
        <v>22</v>
      </c>
    </row>
    <row r="1143" spans="1:4">
      <c r="A1143" t="s">
        <v>4176</v>
      </c>
      <c r="B1143" t="s">
        <v>629</v>
      </c>
      <c r="C1143" t="s">
        <v>29</v>
      </c>
    </row>
    <row r="1144" spans="1:4">
      <c r="A1144" t="s">
        <v>4177</v>
      </c>
      <c r="B1144" t="s">
        <v>630</v>
      </c>
      <c r="C1144" t="s">
        <v>29</v>
      </c>
      <c r="D1144" t="s">
        <v>106</v>
      </c>
    </row>
    <row r="1145" spans="1:4">
      <c r="A1145" t="s">
        <v>4178</v>
      </c>
      <c r="B1145" t="s">
        <v>631</v>
      </c>
      <c r="C1145" t="s">
        <v>14</v>
      </c>
      <c r="D1145" t="s">
        <v>15</v>
      </c>
    </row>
    <row r="1146" spans="1:4">
      <c r="A1146" t="s">
        <v>4179</v>
      </c>
      <c r="B1146" t="s">
        <v>632</v>
      </c>
      <c r="C1146" t="s">
        <v>14</v>
      </c>
      <c r="D1146" t="s">
        <v>15</v>
      </c>
    </row>
    <row r="1147" spans="1:4">
      <c r="A1147">
        <v>250</v>
      </c>
      <c r="B1147" t="s">
        <v>633</v>
      </c>
      <c r="C1147" t="s">
        <v>25</v>
      </c>
      <c r="D1147" t="s">
        <v>119</v>
      </c>
    </row>
    <row r="1148" spans="1:4">
      <c r="A1148">
        <v>251</v>
      </c>
      <c r="B1148" t="s">
        <v>634</v>
      </c>
      <c r="C1148" t="s">
        <v>25</v>
      </c>
      <c r="D1148" t="s">
        <v>119</v>
      </c>
    </row>
    <row r="1149" spans="1:4">
      <c r="A1149">
        <v>253</v>
      </c>
      <c r="B1149" t="s">
        <v>636</v>
      </c>
      <c r="C1149" t="s">
        <v>29</v>
      </c>
      <c r="D1149" t="s">
        <v>46</v>
      </c>
    </row>
    <row r="1150" spans="1:4">
      <c r="A1150">
        <v>254</v>
      </c>
      <c r="B1150" t="s">
        <v>637</v>
      </c>
      <c r="C1150" t="s">
        <v>29</v>
      </c>
      <c r="D1150" t="s">
        <v>46</v>
      </c>
    </row>
    <row r="1151" spans="1:4">
      <c r="A1151">
        <v>255</v>
      </c>
      <c r="B1151" t="s">
        <v>638</v>
      </c>
      <c r="C1151" t="s">
        <v>14</v>
      </c>
      <c r="D1151" t="s">
        <v>106</v>
      </c>
    </row>
    <row r="1152" spans="1:4">
      <c r="A1152">
        <v>256</v>
      </c>
      <c r="B1152" t="s">
        <v>639</v>
      </c>
      <c r="C1152" t="s">
        <v>14</v>
      </c>
      <c r="D1152" t="s">
        <v>106</v>
      </c>
    </row>
    <row r="1153" spans="1:4">
      <c r="A1153">
        <v>257</v>
      </c>
      <c r="B1153" t="s">
        <v>640</v>
      </c>
      <c r="C1153" t="s">
        <v>106</v>
      </c>
    </row>
    <row r="1154" spans="1:4">
      <c r="A1154">
        <v>258</v>
      </c>
      <c r="B1154" t="s">
        <v>641</v>
      </c>
      <c r="C1154" t="s">
        <v>106</v>
      </c>
    </row>
    <row r="1155" spans="1:4">
      <c r="A1155">
        <v>259</v>
      </c>
      <c r="B1155" t="s">
        <v>642</v>
      </c>
      <c r="C1155" t="s">
        <v>106</v>
      </c>
    </row>
    <row r="1156" spans="1:4">
      <c r="A1156" t="s">
        <v>4180</v>
      </c>
      <c r="B1156" t="s">
        <v>646</v>
      </c>
      <c r="C1156" t="s">
        <v>86</v>
      </c>
    </row>
    <row r="1157" spans="1:4">
      <c r="A1157" t="s">
        <v>4181</v>
      </c>
      <c r="B1157" t="s">
        <v>647</v>
      </c>
      <c r="C1157" t="s">
        <v>86</v>
      </c>
    </row>
    <row r="1158" spans="1:4">
      <c r="A1158" t="s">
        <v>4182</v>
      </c>
      <c r="B1158" t="s">
        <v>648</v>
      </c>
      <c r="C1158" t="s">
        <v>119</v>
      </c>
      <c r="D1158" t="s">
        <v>19</v>
      </c>
    </row>
    <row r="1159" spans="1:4">
      <c r="A1159">
        <v>260</v>
      </c>
      <c r="B1159" t="s">
        <v>649</v>
      </c>
      <c r="C1159" t="s">
        <v>119</v>
      </c>
      <c r="D1159" t="s">
        <v>19</v>
      </c>
    </row>
    <row r="1160" spans="1:4">
      <c r="A1160">
        <v>261</v>
      </c>
      <c r="B1160" t="s">
        <v>650</v>
      </c>
      <c r="C1160" t="s">
        <v>119</v>
      </c>
      <c r="D1160" t="s">
        <v>19</v>
      </c>
    </row>
    <row r="1161" spans="1:4">
      <c r="A1161">
        <v>262</v>
      </c>
      <c r="B1161" t="s">
        <v>651</v>
      </c>
      <c r="C1161" t="s">
        <v>23</v>
      </c>
    </row>
    <row r="1162" spans="1:4">
      <c r="A1162">
        <v>263</v>
      </c>
      <c r="B1162" t="s">
        <v>652</v>
      </c>
      <c r="C1162" t="s">
        <v>23</v>
      </c>
    </row>
    <row r="1163" spans="1:4">
      <c r="A1163">
        <v>264</v>
      </c>
      <c r="B1163" t="s">
        <v>653</v>
      </c>
      <c r="C1163" t="s">
        <v>23</v>
      </c>
    </row>
    <row r="1164" spans="1:4">
      <c r="A1164">
        <v>265</v>
      </c>
      <c r="B1164" t="s">
        <v>654</v>
      </c>
      <c r="C1164" t="s">
        <v>113</v>
      </c>
    </row>
    <row r="1165" spans="1:4">
      <c r="A1165">
        <v>266</v>
      </c>
      <c r="B1165" t="s">
        <v>655</v>
      </c>
      <c r="C1165" t="s">
        <v>113</v>
      </c>
    </row>
    <row r="1166" spans="1:4">
      <c r="A1166">
        <v>267</v>
      </c>
      <c r="B1166" t="s">
        <v>656</v>
      </c>
      <c r="C1166" t="s">
        <v>113</v>
      </c>
    </row>
    <row r="1167" spans="1:4">
      <c r="A1167">
        <v>268</v>
      </c>
      <c r="B1167" t="s">
        <v>657</v>
      </c>
      <c r="C1167" t="s">
        <v>29</v>
      </c>
    </row>
    <row r="1168" spans="1:4">
      <c r="A1168">
        <v>269</v>
      </c>
      <c r="B1168" t="s">
        <v>658</v>
      </c>
      <c r="C1168" t="s">
        <v>29</v>
      </c>
    </row>
    <row r="1169" spans="1:4">
      <c r="A1169" t="s">
        <v>4183</v>
      </c>
      <c r="B1169" t="s">
        <v>659</v>
      </c>
      <c r="C1169" t="s">
        <v>49</v>
      </c>
      <c r="D1169" t="s">
        <v>46</v>
      </c>
    </row>
    <row r="1170" spans="1:4">
      <c r="A1170" t="s">
        <v>4184</v>
      </c>
      <c r="B1170" t="s">
        <v>660</v>
      </c>
      <c r="C1170" t="s">
        <v>78</v>
      </c>
    </row>
    <row r="1171" spans="1:4">
      <c r="A1171" t="s">
        <v>4185</v>
      </c>
      <c r="B1171" t="s">
        <v>661</v>
      </c>
      <c r="C1171" t="s">
        <v>78</v>
      </c>
    </row>
    <row r="1172" spans="1:4">
      <c r="A1172" t="s">
        <v>4186</v>
      </c>
      <c r="B1172" t="s">
        <v>662</v>
      </c>
      <c r="C1172" t="s">
        <v>23</v>
      </c>
    </row>
    <row r="1173" spans="1:4">
      <c r="A1173" t="s">
        <v>4187</v>
      </c>
      <c r="B1173" t="s">
        <v>663</v>
      </c>
      <c r="C1173" t="s">
        <v>49</v>
      </c>
      <c r="D1173" t="s">
        <v>119</v>
      </c>
    </row>
    <row r="1174" spans="1:4">
      <c r="A1174" t="s">
        <v>4188</v>
      </c>
      <c r="B1174" t="s">
        <v>664</v>
      </c>
      <c r="C1174" t="s">
        <v>49</v>
      </c>
      <c r="D1174" t="s">
        <v>119</v>
      </c>
    </row>
    <row r="1175" spans="1:4">
      <c r="A1175">
        <v>270</v>
      </c>
      <c r="B1175" t="s">
        <v>665</v>
      </c>
      <c r="C1175" t="s">
        <v>158</v>
      </c>
      <c r="D1175" t="s">
        <v>106</v>
      </c>
    </row>
    <row r="1176" spans="1:4">
      <c r="A1176">
        <v>271</v>
      </c>
      <c r="B1176" t="s">
        <v>666</v>
      </c>
      <c r="C1176" t="s">
        <v>158</v>
      </c>
      <c r="D1176" t="s">
        <v>106</v>
      </c>
    </row>
    <row r="1177" spans="1:4">
      <c r="A1177">
        <v>272</v>
      </c>
      <c r="B1177" t="s">
        <v>667</v>
      </c>
      <c r="C1177" t="s">
        <v>36</v>
      </c>
    </row>
    <row r="1178" spans="1:4">
      <c r="A1178">
        <v>273</v>
      </c>
      <c r="B1178" t="s">
        <v>668</v>
      </c>
      <c r="C1178" t="s">
        <v>36</v>
      </c>
      <c r="D1178" t="s">
        <v>22</v>
      </c>
    </row>
    <row r="1179" spans="1:4">
      <c r="A1179">
        <v>274</v>
      </c>
      <c r="B1179" t="s">
        <v>669</v>
      </c>
      <c r="C1179" t="s">
        <v>36</v>
      </c>
      <c r="D1179" t="s">
        <v>22</v>
      </c>
    </row>
    <row r="1180" spans="1:4">
      <c r="A1180">
        <v>275</v>
      </c>
      <c r="B1180" t="s">
        <v>670</v>
      </c>
      <c r="C1180" t="s">
        <v>158</v>
      </c>
      <c r="D1180" t="s">
        <v>22</v>
      </c>
    </row>
    <row r="1181" spans="1:4">
      <c r="A1181">
        <v>276</v>
      </c>
      <c r="B1181" t="s">
        <v>671</v>
      </c>
      <c r="C1181" t="s">
        <v>158</v>
      </c>
      <c r="D1181" t="s">
        <v>22</v>
      </c>
    </row>
    <row r="1182" spans="1:4">
      <c r="A1182">
        <v>277</v>
      </c>
      <c r="B1182" t="s">
        <v>672</v>
      </c>
      <c r="C1182" t="s">
        <v>19</v>
      </c>
    </row>
    <row r="1183" spans="1:4">
      <c r="A1183">
        <v>278</v>
      </c>
      <c r="B1183" t="s">
        <v>673</v>
      </c>
      <c r="C1183" t="s">
        <v>29</v>
      </c>
      <c r="D1183" t="s">
        <v>106</v>
      </c>
    </row>
    <row r="1184" spans="1:4">
      <c r="A1184">
        <v>279</v>
      </c>
      <c r="B1184" t="s">
        <v>674</v>
      </c>
      <c r="C1184" t="s">
        <v>158</v>
      </c>
      <c r="D1184" t="s">
        <v>23</v>
      </c>
    </row>
    <row r="1185" spans="1:4">
      <c r="A1185" t="s">
        <v>4189</v>
      </c>
      <c r="B1185" t="s">
        <v>675</v>
      </c>
      <c r="C1185" t="s">
        <v>158</v>
      </c>
      <c r="D1185" t="s">
        <v>23</v>
      </c>
    </row>
    <row r="1186" spans="1:4">
      <c r="A1186" t="s">
        <v>4190</v>
      </c>
      <c r="B1186" t="s">
        <v>676</v>
      </c>
      <c r="C1186" t="s">
        <v>158</v>
      </c>
      <c r="D1186" t="s">
        <v>23</v>
      </c>
    </row>
    <row r="1187" spans="1:4">
      <c r="A1187" t="s">
        <v>4191</v>
      </c>
      <c r="B1187" t="s">
        <v>677</v>
      </c>
      <c r="C1187" t="s">
        <v>29</v>
      </c>
      <c r="D1187" t="s">
        <v>19</v>
      </c>
    </row>
    <row r="1188" spans="1:4">
      <c r="A1188" t="s">
        <v>4192</v>
      </c>
      <c r="B1188" t="s">
        <v>678</v>
      </c>
      <c r="C1188" t="s">
        <v>29</v>
      </c>
      <c r="D1188" t="s">
        <v>19</v>
      </c>
    </row>
    <row r="1189" spans="1:4">
      <c r="A1189" t="s">
        <v>4193</v>
      </c>
      <c r="B1189" t="s">
        <v>679</v>
      </c>
      <c r="C1189" t="s">
        <v>106</v>
      </c>
      <c r="D1189" t="s">
        <v>78</v>
      </c>
    </row>
    <row r="1190" spans="1:4">
      <c r="A1190" t="s">
        <v>4194</v>
      </c>
      <c r="B1190" t="s">
        <v>680</v>
      </c>
      <c r="C1190" t="s">
        <v>98</v>
      </c>
      <c r="D1190" t="s">
        <v>78</v>
      </c>
    </row>
    <row r="1191" spans="1:4">
      <c r="A1191">
        <v>280</v>
      </c>
      <c r="B1191" t="s">
        <v>681</v>
      </c>
      <c r="C1191" t="s">
        <v>14</v>
      </c>
      <c r="D1191" t="s">
        <v>78</v>
      </c>
    </row>
    <row r="1192" spans="1:4">
      <c r="A1192">
        <v>281</v>
      </c>
      <c r="B1192" t="s">
        <v>2137</v>
      </c>
      <c r="C1192" t="s">
        <v>22</v>
      </c>
    </row>
    <row r="1193" spans="1:4">
      <c r="A1193">
        <v>282</v>
      </c>
      <c r="B1193" t="s">
        <v>2136</v>
      </c>
      <c r="C1193" t="s">
        <v>46</v>
      </c>
      <c r="D1193" t="s">
        <v>22</v>
      </c>
    </row>
    <row r="1194" spans="1:4">
      <c r="A1194">
        <v>283</v>
      </c>
      <c r="B1194" t="s">
        <v>686</v>
      </c>
      <c r="C1194" t="s">
        <v>23</v>
      </c>
      <c r="D1194" t="s">
        <v>19</v>
      </c>
    </row>
    <row r="1195" spans="1:4">
      <c r="A1195">
        <v>284</v>
      </c>
      <c r="B1195" t="s">
        <v>687</v>
      </c>
      <c r="C1195" t="s">
        <v>23</v>
      </c>
      <c r="D1195" t="s">
        <v>46</v>
      </c>
    </row>
    <row r="1196" spans="1:4">
      <c r="A1196">
        <v>285</v>
      </c>
      <c r="B1196" t="s">
        <v>2135</v>
      </c>
      <c r="C1196" t="s">
        <v>49</v>
      </c>
      <c r="D1196" t="s">
        <v>22</v>
      </c>
    </row>
    <row r="1197" spans="1:4">
      <c r="A1197">
        <v>286</v>
      </c>
      <c r="B1197" t="s">
        <v>690</v>
      </c>
      <c r="C1197" t="s">
        <v>23</v>
      </c>
      <c r="D1197" t="s">
        <v>113</v>
      </c>
    </row>
    <row r="1198" spans="1:4">
      <c r="A1198">
        <v>287</v>
      </c>
      <c r="B1198" t="s">
        <v>2123</v>
      </c>
      <c r="C1198" t="s">
        <v>25</v>
      </c>
      <c r="D1198" t="s">
        <v>78</v>
      </c>
    </row>
    <row r="1199" spans="1:4">
      <c r="A1199">
        <v>289</v>
      </c>
      <c r="B1199" t="s">
        <v>697</v>
      </c>
      <c r="C1199" t="s">
        <v>29</v>
      </c>
      <c r="D1199" t="s">
        <v>106</v>
      </c>
    </row>
    <row r="1200" spans="1:4">
      <c r="A1200">
        <v>293</v>
      </c>
      <c r="B1200" t="s">
        <v>707</v>
      </c>
      <c r="C1200" t="s">
        <v>36</v>
      </c>
    </row>
    <row r="1201" spans="1:4">
      <c r="A1201">
        <v>294</v>
      </c>
      <c r="B1201" t="s">
        <v>708</v>
      </c>
      <c r="C1201" t="s">
        <v>36</v>
      </c>
      <c r="D1201" t="s">
        <v>49</v>
      </c>
    </row>
    <row r="1202" spans="1:4">
      <c r="A1202">
        <v>295</v>
      </c>
      <c r="B1202" t="s">
        <v>709</v>
      </c>
      <c r="C1202" t="s">
        <v>36</v>
      </c>
      <c r="D1202" t="s">
        <v>22</v>
      </c>
    </row>
    <row r="1203" spans="1:4">
      <c r="A1203">
        <v>296</v>
      </c>
      <c r="B1203" t="s">
        <v>710</v>
      </c>
      <c r="C1203" t="s">
        <v>19</v>
      </c>
      <c r="D1203" t="s">
        <v>22</v>
      </c>
    </row>
    <row r="1204" spans="1:4">
      <c r="A1204">
        <v>297</v>
      </c>
      <c r="B1204" t="s">
        <v>711</v>
      </c>
      <c r="C1204" t="s">
        <v>19</v>
      </c>
      <c r="D1204" t="s">
        <v>22</v>
      </c>
    </row>
    <row r="1205" spans="1:4">
      <c r="A1205" t="s">
        <v>4195</v>
      </c>
      <c r="B1205" t="s">
        <v>722</v>
      </c>
      <c r="C1205" t="s">
        <v>78</v>
      </c>
    </row>
    <row r="1206" spans="1:4">
      <c r="A1206" t="s">
        <v>4196</v>
      </c>
      <c r="B1206" t="s">
        <v>723</v>
      </c>
      <c r="C1206" t="s">
        <v>78</v>
      </c>
      <c r="D1206" t="s">
        <v>158</v>
      </c>
    </row>
    <row r="1207" spans="1:4">
      <c r="A1207" t="s">
        <v>4197</v>
      </c>
      <c r="B1207" t="s">
        <v>725</v>
      </c>
      <c r="C1207" t="s">
        <v>86</v>
      </c>
    </row>
    <row r="1208" spans="1:4">
      <c r="A1208" t="s">
        <v>4198</v>
      </c>
      <c r="B1208" t="s">
        <v>2168</v>
      </c>
      <c r="C1208" t="s">
        <v>86</v>
      </c>
    </row>
    <row r="1209" spans="1:4">
      <c r="A1209" t="s">
        <v>4199</v>
      </c>
      <c r="B1209" t="s">
        <v>728</v>
      </c>
      <c r="C1209" t="s">
        <v>106</v>
      </c>
      <c r="D1209" t="s">
        <v>119</v>
      </c>
    </row>
    <row r="1210" spans="1:4">
      <c r="A1210" t="s">
        <v>4200</v>
      </c>
      <c r="B1210" t="s">
        <v>729</v>
      </c>
      <c r="C1210" t="s">
        <v>106</v>
      </c>
      <c r="D1210" t="s">
        <v>119</v>
      </c>
    </row>
    <row r="1211" spans="1:4">
      <c r="A1211" t="s">
        <v>4201</v>
      </c>
      <c r="B1211" t="s">
        <v>2169</v>
      </c>
      <c r="C1211" t="s">
        <v>106</v>
      </c>
      <c r="D1211" t="s">
        <v>119</v>
      </c>
    </row>
    <row r="1212" spans="1:4">
      <c r="A1212" t="s">
        <v>4202</v>
      </c>
      <c r="B1212" t="s">
        <v>732</v>
      </c>
      <c r="C1212" t="s">
        <v>56</v>
      </c>
    </row>
    <row r="1213" spans="1:4">
      <c r="A1213" t="s">
        <v>4203</v>
      </c>
      <c r="B1213" t="s">
        <v>733</v>
      </c>
      <c r="C1213" t="s">
        <v>56</v>
      </c>
    </row>
    <row r="1214" spans="1:4">
      <c r="A1214" t="s">
        <v>4204</v>
      </c>
      <c r="B1214" t="s">
        <v>734</v>
      </c>
      <c r="C1214" t="s">
        <v>56</v>
      </c>
    </row>
    <row r="1215" spans="1:4">
      <c r="A1215" t="s">
        <v>4205</v>
      </c>
      <c r="B1215" t="s">
        <v>735</v>
      </c>
      <c r="C1215" t="s">
        <v>56</v>
      </c>
    </row>
    <row r="1216" spans="1:4">
      <c r="A1216" t="s">
        <v>4206</v>
      </c>
      <c r="B1216" t="s">
        <v>736</v>
      </c>
      <c r="C1216" t="s">
        <v>158</v>
      </c>
      <c r="D1216" t="s">
        <v>86</v>
      </c>
    </row>
    <row r="1217" spans="1:4">
      <c r="A1217" t="s">
        <v>4207</v>
      </c>
      <c r="B1217" t="s">
        <v>737</v>
      </c>
      <c r="C1217" t="s">
        <v>158</v>
      </c>
      <c r="D1217" t="s">
        <v>86</v>
      </c>
    </row>
    <row r="1218" spans="1:4">
      <c r="A1218" t="s">
        <v>4208</v>
      </c>
      <c r="B1218" t="s">
        <v>738</v>
      </c>
      <c r="C1218" t="s">
        <v>98</v>
      </c>
      <c r="D1218" t="s">
        <v>25</v>
      </c>
    </row>
    <row r="1219" spans="1:4">
      <c r="A1219" t="s">
        <v>4209</v>
      </c>
      <c r="B1219" t="s">
        <v>739</v>
      </c>
      <c r="C1219" t="s">
        <v>98</v>
      </c>
      <c r="D1219" t="s">
        <v>25</v>
      </c>
    </row>
    <row r="1220" spans="1:4">
      <c r="A1220" t="s">
        <v>4210</v>
      </c>
      <c r="B1220" t="s">
        <v>740</v>
      </c>
      <c r="C1220" t="s">
        <v>15</v>
      </c>
      <c r="D1220" t="s">
        <v>25</v>
      </c>
    </row>
    <row r="1221" spans="1:4">
      <c r="A1221" t="s">
        <v>4211</v>
      </c>
      <c r="B1221" t="s">
        <v>741</v>
      </c>
      <c r="C1221" t="s">
        <v>15</v>
      </c>
      <c r="D1221" t="s">
        <v>23</v>
      </c>
    </row>
    <row r="1222" spans="1:4">
      <c r="A1222" t="s">
        <v>4212</v>
      </c>
      <c r="B1222" t="s">
        <v>742</v>
      </c>
      <c r="C1222" t="s">
        <v>25</v>
      </c>
    </row>
    <row r="1223" spans="1:4">
      <c r="A1223" t="s">
        <v>4213</v>
      </c>
      <c r="B1223" t="s">
        <v>743</v>
      </c>
      <c r="C1223" t="s">
        <v>25</v>
      </c>
    </row>
    <row r="1224" spans="1:4">
      <c r="A1224" t="s">
        <v>4214</v>
      </c>
      <c r="B1224" t="s">
        <v>744</v>
      </c>
      <c r="C1224" t="s">
        <v>46</v>
      </c>
      <c r="D1224" t="s">
        <v>36</v>
      </c>
    </row>
    <row r="1225" spans="1:4">
      <c r="A1225" t="s">
        <v>4215</v>
      </c>
      <c r="B1225" t="s">
        <v>745</v>
      </c>
      <c r="C1225" t="s">
        <v>46</v>
      </c>
      <c r="D1225" t="s">
        <v>36</v>
      </c>
    </row>
    <row r="1226" spans="1:4">
      <c r="A1226" t="s">
        <v>4216</v>
      </c>
      <c r="B1226" t="s">
        <v>746</v>
      </c>
      <c r="C1226" t="s">
        <v>98</v>
      </c>
      <c r="D1226" t="s">
        <v>23</v>
      </c>
    </row>
    <row r="1227" spans="1:4">
      <c r="A1227" t="s">
        <v>4217</v>
      </c>
      <c r="B1227" t="s">
        <v>747</v>
      </c>
      <c r="C1227" t="s">
        <v>98</v>
      </c>
      <c r="D1227" t="s">
        <v>23</v>
      </c>
    </row>
    <row r="1228" spans="1:4">
      <c r="A1228" t="s">
        <v>4218</v>
      </c>
      <c r="B1228" t="s">
        <v>748</v>
      </c>
      <c r="C1228" t="s">
        <v>98</v>
      </c>
      <c r="D1228" t="s">
        <v>113</v>
      </c>
    </row>
    <row r="1229" spans="1:4">
      <c r="A1229" t="s">
        <v>4219</v>
      </c>
      <c r="B1229" t="s">
        <v>749</v>
      </c>
      <c r="C1229" t="s">
        <v>98</v>
      </c>
      <c r="D1229" t="s">
        <v>113</v>
      </c>
    </row>
    <row r="1230" spans="1:4">
      <c r="A1230" t="s">
        <v>4220</v>
      </c>
      <c r="B1230" t="s">
        <v>750</v>
      </c>
      <c r="C1230" t="s">
        <v>56</v>
      </c>
    </row>
    <row r="1231" spans="1:4">
      <c r="A1231" t="s">
        <v>4221</v>
      </c>
      <c r="B1231" t="s">
        <v>751</v>
      </c>
      <c r="C1231" t="s">
        <v>78</v>
      </c>
      <c r="D1231" t="s">
        <v>22</v>
      </c>
    </row>
    <row r="1232" spans="1:4">
      <c r="A1232" t="s">
        <v>4222</v>
      </c>
      <c r="B1232" t="s">
        <v>752</v>
      </c>
      <c r="C1232" t="s">
        <v>46</v>
      </c>
      <c r="D1232" t="s">
        <v>56</v>
      </c>
    </row>
    <row r="1233" spans="1:4">
      <c r="A1233" t="s">
        <v>4223</v>
      </c>
      <c r="B1233" t="s">
        <v>753</v>
      </c>
      <c r="C1233" t="s">
        <v>98</v>
      </c>
      <c r="D1233" t="s">
        <v>56</v>
      </c>
    </row>
    <row r="1234" spans="1:4">
      <c r="A1234" t="s">
        <v>4224</v>
      </c>
      <c r="B1234" t="s">
        <v>754</v>
      </c>
      <c r="C1234" t="s">
        <v>23</v>
      </c>
    </row>
    <row r="1235" spans="1:4">
      <c r="A1235" t="s">
        <v>4225</v>
      </c>
      <c r="B1235" t="s">
        <v>755</v>
      </c>
      <c r="C1235" t="s">
        <v>23</v>
      </c>
    </row>
    <row r="1236" spans="1:4">
      <c r="A1236" t="s">
        <v>4226</v>
      </c>
      <c r="B1236" t="s">
        <v>756</v>
      </c>
      <c r="C1236" t="s">
        <v>23</v>
      </c>
    </row>
    <row r="1237" spans="1:4">
      <c r="A1237" t="s">
        <v>4227</v>
      </c>
      <c r="B1237" t="s">
        <v>757</v>
      </c>
      <c r="C1237" t="s">
        <v>106</v>
      </c>
      <c r="D1237" t="s">
        <v>56</v>
      </c>
    </row>
    <row r="1238" spans="1:4">
      <c r="A1238" t="s">
        <v>4228</v>
      </c>
      <c r="B1238" t="s">
        <v>758</v>
      </c>
      <c r="C1238" t="s">
        <v>119</v>
      </c>
      <c r="D1238" t="s">
        <v>14</v>
      </c>
    </row>
    <row r="1239" spans="1:4">
      <c r="A1239" t="s">
        <v>4229</v>
      </c>
      <c r="B1239" t="s">
        <v>759</v>
      </c>
      <c r="C1239" t="s">
        <v>119</v>
      </c>
      <c r="D1239" t="s">
        <v>14</v>
      </c>
    </row>
    <row r="1240" spans="1:4">
      <c r="A1240" t="s">
        <v>4230</v>
      </c>
      <c r="B1240" t="s">
        <v>2170</v>
      </c>
      <c r="C1240" t="s">
        <v>119</v>
      </c>
      <c r="D1240" t="s">
        <v>14</v>
      </c>
    </row>
    <row r="1241" spans="1:4">
      <c r="A1241" t="s">
        <v>4231</v>
      </c>
      <c r="B1241" t="s">
        <v>2171</v>
      </c>
      <c r="C1241" t="s">
        <v>119</v>
      </c>
      <c r="D1241" t="s">
        <v>14</v>
      </c>
    </row>
    <row r="1242" spans="1:4">
      <c r="A1242" t="s">
        <v>4232</v>
      </c>
      <c r="B1242" t="s">
        <v>760</v>
      </c>
      <c r="C1242" t="s">
        <v>113</v>
      </c>
    </row>
    <row r="1243" spans="1:4">
      <c r="A1243" t="s">
        <v>4233</v>
      </c>
      <c r="B1243" t="s">
        <v>761</v>
      </c>
      <c r="C1243" t="s">
        <v>113</v>
      </c>
    </row>
    <row r="1244" spans="1:4">
      <c r="A1244" t="s">
        <v>4234</v>
      </c>
      <c r="B1244" t="s">
        <v>762</v>
      </c>
      <c r="C1244" t="s">
        <v>22</v>
      </c>
      <c r="D1244" t="s">
        <v>23</v>
      </c>
    </row>
    <row r="1245" spans="1:4">
      <c r="A1245" t="s">
        <v>4235</v>
      </c>
      <c r="B1245" t="s">
        <v>763</v>
      </c>
      <c r="C1245" t="s">
        <v>22</v>
      </c>
      <c r="D1245" t="s">
        <v>23</v>
      </c>
    </row>
    <row r="1246" spans="1:4">
      <c r="A1246" t="s">
        <v>4236</v>
      </c>
      <c r="B1246" t="s">
        <v>764</v>
      </c>
      <c r="C1246" t="s">
        <v>56</v>
      </c>
    </row>
    <row r="1247" spans="1:4">
      <c r="A1247" t="s">
        <v>4237</v>
      </c>
      <c r="B1247" t="s">
        <v>765</v>
      </c>
      <c r="C1247" t="s">
        <v>158</v>
      </c>
      <c r="D1247" t="s">
        <v>22</v>
      </c>
    </row>
    <row r="1248" spans="1:4">
      <c r="A1248" t="s">
        <v>4238</v>
      </c>
      <c r="B1248" t="s">
        <v>2288</v>
      </c>
      <c r="C1248" t="s">
        <v>23</v>
      </c>
      <c r="D1248" t="s">
        <v>49</v>
      </c>
    </row>
    <row r="1249" spans="1:4">
      <c r="A1249" t="s">
        <v>4239</v>
      </c>
      <c r="B1249" t="s">
        <v>766</v>
      </c>
      <c r="C1249" t="s">
        <v>98</v>
      </c>
      <c r="D1249" t="s">
        <v>56</v>
      </c>
    </row>
    <row r="1250" spans="1:4">
      <c r="A1250" t="s">
        <v>4240</v>
      </c>
      <c r="B1250" t="s">
        <v>767</v>
      </c>
      <c r="C1250" t="s">
        <v>19</v>
      </c>
      <c r="D1250" t="s">
        <v>25</v>
      </c>
    </row>
    <row r="1251" spans="1:4">
      <c r="A1251" t="s">
        <v>4241</v>
      </c>
      <c r="B1251" t="s">
        <v>2147</v>
      </c>
      <c r="C1251" t="s">
        <v>14</v>
      </c>
      <c r="D1251" t="s">
        <v>22</v>
      </c>
    </row>
    <row r="1252" spans="1:4">
      <c r="A1252" t="s">
        <v>4242</v>
      </c>
      <c r="B1252" t="s">
        <v>2148</v>
      </c>
      <c r="C1252" t="s">
        <v>14</v>
      </c>
      <c r="D1252" t="s">
        <v>22</v>
      </c>
    </row>
    <row r="1253" spans="1:4">
      <c r="A1253" t="s">
        <v>4243</v>
      </c>
      <c r="B1253" t="s">
        <v>2149</v>
      </c>
      <c r="C1253" t="s">
        <v>14</v>
      </c>
      <c r="D1253" t="s">
        <v>119</v>
      </c>
    </row>
    <row r="1254" spans="1:4">
      <c r="A1254" t="s">
        <v>4244</v>
      </c>
      <c r="B1254" t="s">
        <v>2150</v>
      </c>
      <c r="C1254" t="s">
        <v>19</v>
      </c>
    </row>
    <row r="1255" spans="1:4">
      <c r="A1255" t="s">
        <v>4245</v>
      </c>
      <c r="B1255" t="s">
        <v>2151</v>
      </c>
      <c r="C1255" t="s">
        <v>19</v>
      </c>
    </row>
    <row r="1256" spans="1:4">
      <c r="A1256" t="s">
        <v>4246</v>
      </c>
      <c r="B1256" t="s">
        <v>2152</v>
      </c>
      <c r="C1256" t="s">
        <v>19</v>
      </c>
      <c r="D1256" t="s">
        <v>158</v>
      </c>
    </row>
    <row r="1257" spans="1:4">
      <c r="A1257" t="s">
        <v>4247</v>
      </c>
      <c r="B1257" t="s">
        <v>2153</v>
      </c>
      <c r="C1257" t="s">
        <v>25</v>
      </c>
    </row>
    <row r="1258" spans="1:4">
      <c r="A1258" t="s">
        <v>4248</v>
      </c>
      <c r="B1258" t="s">
        <v>2154</v>
      </c>
      <c r="C1258" t="s">
        <v>25</v>
      </c>
    </row>
    <row r="1259" spans="1:4">
      <c r="A1259" t="s">
        <v>4249</v>
      </c>
      <c r="B1259" t="s">
        <v>2155</v>
      </c>
      <c r="C1259" t="s">
        <v>25</v>
      </c>
      <c r="D1259" t="s">
        <v>56</v>
      </c>
    </row>
    <row r="1260" spans="1:4">
      <c r="A1260" s="135">
        <v>2</v>
      </c>
      <c r="B1260" t="s">
        <v>2177</v>
      </c>
      <c r="C1260" t="s">
        <v>29</v>
      </c>
    </row>
    <row r="1261" spans="1:4">
      <c r="A1261" s="135">
        <v>20</v>
      </c>
      <c r="B1261" t="s">
        <v>2178</v>
      </c>
      <c r="C1261" t="s">
        <v>29</v>
      </c>
      <c r="D1261" t="s">
        <v>46</v>
      </c>
    </row>
    <row r="1262" spans="1:4">
      <c r="A1262" s="135">
        <v>200</v>
      </c>
      <c r="B1262" t="s">
        <v>2179</v>
      </c>
      <c r="C1262" t="s">
        <v>29</v>
      </c>
      <c r="D1262" t="s">
        <v>46</v>
      </c>
    </row>
    <row r="1263" spans="1:4">
      <c r="A1263" s="135">
        <v>2000000</v>
      </c>
      <c r="B1263" t="s">
        <v>2182</v>
      </c>
      <c r="C1263" t="s">
        <v>29</v>
      </c>
      <c r="D1263" t="s">
        <v>56</v>
      </c>
    </row>
    <row r="1264" spans="1:4">
      <c r="A1264" s="135">
        <v>20000000</v>
      </c>
      <c r="B1264" t="s">
        <v>2183</v>
      </c>
      <c r="C1264" t="s">
        <v>29</v>
      </c>
      <c r="D1264" t="s">
        <v>56</v>
      </c>
    </row>
    <row r="1265" spans="1:4">
      <c r="A1265" s="135">
        <v>200000000</v>
      </c>
      <c r="B1265" t="s">
        <v>2184</v>
      </c>
      <c r="C1265" t="s">
        <v>98</v>
      </c>
    </row>
    <row r="1266" spans="1:4">
      <c r="A1266" s="135">
        <v>2000000000</v>
      </c>
      <c r="B1266" t="s">
        <v>2185</v>
      </c>
      <c r="C1266" t="s">
        <v>98</v>
      </c>
    </row>
    <row r="1267" spans="1:4">
      <c r="A1267" t="s">
        <v>4250</v>
      </c>
      <c r="B1267" t="s">
        <v>2186</v>
      </c>
      <c r="C1267" t="s">
        <v>25</v>
      </c>
    </row>
    <row r="1268" spans="1:4">
      <c r="A1268" t="s">
        <v>4251</v>
      </c>
      <c r="B1268" t="s">
        <v>2187</v>
      </c>
      <c r="C1268" t="s">
        <v>15</v>
      </c>
      <c r="D1268" t="s">
        <v>25</v>
      </c>
    </row>
    <row r="1269" spans="1:4">
      <c r="A1269" t="s">
        <v>4252</v>
      </c>
      <c r="B1269" t="s">
        <v>2188</v>
      </c>
      <c r="C1269" t="s">
        <v>15</v>
      </c>
      <c r="D1269" t="s">
        <v>25</v>
      </c>
    </row>
    <row r="1270" spans="1:4">
      <c r="A1270" t="s">
        <v>4253</v>
      </c>
      <c r="B1270" t="s">
        <v>2189</v>
      </c>
      <c r="C1270" t="s">
        <v>49</v>
      </c>
    </row>
    <row r="1271" spans="1:4">
      <c r="A1271" t="s">
        <v>4254</v>
      </c>
      <c r="B1271" t="s">
        <v>2190</v>
      </c>
      <c r="C1271" t="s">
        <v>49</v>
      </c>
    </row>
    <row r="1272" spans="1:4">
      <c r="A1272" t="s">
        <v>4255</v>
      </c>
      <c r="B1272" t="s">
        <v>2191</v>
      </c>
      <c r="C1272" t="s">
        <v>25</v>
      </c>
      <c r="D1272" t="s">
        <v>29</v>
      </c>
    </row>
    <row r="1273" spans="1:4">
      <c r="A1273" t="s">
        <v>4256</v>
      </c>
      <c r="B1273" t="s">
        <v>2192</v>
      </c>
      <c r="C1273" t="s">
        <v>25</v>
      </c>
      <c r="D1273" t="s">
        <v>29</v>
      </c>
    </row>
    <row r="1274" spans="1:4">
      <c r="A1274" t="s">
        <v>4257</v>
      </c>
      <c r="B1274" t="s">
        <v>2193</v>
      </c>
      <c r="C1274" t="s">
        <v>14</v>
      </c>
    </row>
    <row r="1275" spans="1:4">
      <c r="A1275" t="s">
        <v>4258</v>
      </c>
      <c r="B1275" t="s">
        <v>2194</v>
      </c>
      <c r="C1275" t="s">
        <v>14</v>
      </c>
    </row>
    <row r="1276" spans="1:4">
      <c r="A1276" t="s">
        <v>4259</v>
      </c>
      <c r="B1276" t="s">
        <v>2195</v>
      </c>
      <c r="C1276" t="s">
        <v>14</v>
      </c>
      <c r="D1276" t="s">
        <v>56</v>
      </c>
    </row>
    <row r="1277" spans="1:4">
      <c r="A1277" t="s">
        <v>4260</v>
      </c>
      <c r="B1277" t="s">
        <v>2196</v>
      </c>
      <c r="C1277" t="s">
        <v>14</v>
      </c>
      <c r="D1277" t="s">
        <v>56</v>
      </c>
    </row>
    <row r="1278" spans="1:4">
      <c r="A1278" t="s">
        <v>4261</v>
      </c>
      <c r="B1278" t="s">
        <v>2156</v>
      </c>
      <c r="C1278" t="s">
        <v>15</v>
      </c>
      <c r="D1278" t="s">
        <v>19</v>
      </c>
    </row>
    <row r="1279" spans="1:4">
      <c r="A1279" t="s">
        <v>4262</v>
      </c>
      <c r="B1279" t="s">
        <v>2273</v>
      </c>
      <c r="C1279" t="s">
        <v>15</v>
      </c>
      <c r="D1279" t="s">
        <v>19</v>
      </c>
    </row>
    <row r="1280" spans="1:4">
      <c r="A1280" t="s">
        <v>4263</v>
      </c>
      <c r="B1280" t="s">
        <v>2197</v>
      </c>
      <c r="C1280" t="s">
        <v>36</v>
      </c>
      <c r="D1280" t="s">
        <v>78</v>
      </c>
    </row>
    <row r="1281" spans="1:4">
      <c r="A1281" t="s">
        <v>4264</v>
      </c>
      <c r="B1281" t="s">
        <v>2198</v>
      </c>
      <c r="C1281" t="s">
        <v>36</v>
      </c>
      <c r="D1281" t="s">
        <v>78</v>
      </c>
    </row>
    <row r="1282" spans="1:4">
      <c r="A1282" t="s">
        <v>4265</v>
      </c>
      <c r="B1282" t="s">
        <v>2274</v>
      </c>
      <c r="C1282" t="s">
        <v>14</v>
      </c>
    </row>
    <row r="1283" spans="1:4">
      <c r="A1283" t="s">
        <v>4266</v>
      </c>
      <c r="B1283" t="s">
        <v>2275</v>
      </c>
      <c r="C1283" t="s">
        <v>14</v>
      </c>
    </row>
    <row r="1284" spans="1:4">
      <c r="A1284" t="s">
        <v>4267</v>
      </c>
      <c r="B1284" t="s">
        <v>2276</v>
      </c>
      <c r="C1284" t="s">
        <v>14</v>
      </c>
    </row>
    <row r="1285" spans="1:4">
      <c r="A1285" t="s">
        <v>4268</v>
      </c>
      <c r="B1285" t="s">
        <v>2269</v>
      </c>
      <c r="C1285" t="s">
        <v>56</v>
      </c>
    </row>
    <row r="1286" spans="1:4">
      <c r="A1286" t="s">
        <v>4269</v>
      </c>
      <c r="B1286" t="s">
        <v>2199</v>
      </c>
      <c r="C1286" t="s">
        <v>36</v>
      </c>
      <c r="D1286" t="s">
        <v>86</v>
      </c>
    </row>
    <row r="1287" spans="1:4">
      <c r="A1287" t="s">
        <v>4270</v>
      </c>
      <c r="B1287" t="s">
        <v>2200</v>
      </c>
      <c r="C1287" t="s">
        <v>78</v>
      </c>
    </row>
    <row r="1288" spans="1:4">
      <c r="A1288" t="s">
        <v>4271</v>
      </c>
      <c r="B1288" t="s">
        <v>2201</v>
      </c>
      <c r="C1288" t="s">
        <v>29</v>
      </c>
      <c r="D1288" t="s">
        <v>25</v>
      </c>
    </row>
    <row r="1289" spans="1:4">
      <c r="A1289">
        <v>300</v>
      </c>
      <c r="B1289" t="s">
        <v>2202</v>
      </c>
      <c r="C1289" t="s">
        <v>29</v>
      </c>
      <c r="D1289" t="s">
        <v>25</v>
      </c>
    </row>
    <row r="1290" spans="1:4">
      <c r="A1290">
        <v>301</v>
      </c>
      <c r="B1290" t="s">
        <v>2203</v>
      </c>
      <c r="C1290" t="s">
        <v>119</v>
      </c>
      <c r="D1290" t="s">
        <v>49</v>
      </c>
    </row>
    <row r="1291" spans="1:4">
      <c r="A1291">
        <v>302</v>
      </c>
      <c r="B1291" t="s">
        <v>2204</v>
      </c>
      <c r="C1291" t="s">
        <v>119</v>
      </c>
      <c r="D1291" t="s">
        <v>49</v>
      </c>
    </row>
    <row r="1292" spans="1:4">
      <c r="A1292">
        <v>303</v>
      </c>
      <c r="B1292" t="s">
        <v>2205</v>
      </c>
      <c r="C1292" t="s">
        <v>25</v>
      </c>
    </row>
    <row r="1293" spans="1:4">
      <c r="A1293">
        <v>304</v>
      </c>
      <c r="B1293" t="s">
        <v>2290</v>
      </c>
      <c r="C1293" t="s">
        <v>36</v>
      </c>
    </row>
    <row r="1294" spans="1:4">
      <c r="A1294">
        <v>305</v>
      </c>
      <c r="B1294" t="s">
        <v>2291</v>
      </c>
      <c r="C1294" t="s">
        <v>36</v>
      </c>
    </row>
    <row r="1295" spans="1:4">
      <c r="A1295">
        <v>308</v>
      </c>
      <c r="B1295" t="s">
        <v>2207</v>
      </c>
      <c r="C1295" t="s">
        <v>19</v>
      </c>
      <c r="D1295" t="s">
        <v>23</v>
      </c>
    </row>
    <row r="1296" spans="1:4">
      <c r="A1296">
        <v>309</v>
      </c>
      <c r="B1296" t="s">
        <v>2208</v>
      </c>
      <c r="C1296" t="s">
        <v>46</v>
      </c>
      <c r="D1296" t="s">
        <v>106</v>
      </c>
    </row>
    <row r="1297" spans="1:4">
      <c r="A1297" t="s">
        <v>4272</v>
      </c>
      <c r="B1297" t="s">
        <v>2209</v>
      </c>
      <c r="C1297" t="s">
        <v>119</v>
      </c>
      <c r="D1297" t="s">
        <v>56</v>
      </c>
    </row>
    <row r="1298" spans="1:4">
      <c r="A1298" t="s">
        <v>4273</v>
      </c>
      <c r="B1298" t="s">
        <v>2211</v>
      </c>
      <c r="C1298" t="s">
        <v>36</v>
      </c>
      <c r="D1298" t="s">
        <v>23</v>
      </c>
    </row>
    <row r="1299" spans="1:4">
      <c r="A1299" t="s">
        <v>4274</v>
      </c>
      <c r="B1299" t="s">
        <v>2283</v>
      </c>
      <c r="C1299" t="s">
        <v>119</v>
      </c>
      <c r="D1299" t="s">
        <v>14</v>
      </c>
    </row>
    <row r="1300" spans="1:4">
      <c r="A1300" t="s">
        <v>4275</v>
      </c>
      <c r="B1300" t="s">
        <v>2212</v>
      </c>
      <c r="C1300" t="s">
        <v>23</v>
      </c>
    </row>
    <row r="1301" spans="1:4">
      <c r="A1301" t="s">
        <v>4276</v>
      </c>
      <c r="B1301" t="s">
        <v>2213</v>
      </c>
      <c r="C1301" t="s">
        <v>23</v>
      </c>
      <c r="D1301" t="s">
        <v>78</v>
      </c>
    </row>
    <row r="1302" spans="1:4">
      <c r="A1302">
        <v>310</v>
      </c>
      <c r="B1302" t="s">
        <v>2214</v>
      </c>
      <c r="C1302" t="s">
        <v>23</v>
      </c>
      <c r="D1302" t="s">
        <v>78</v>
      </c>
    </row>
    <row r="1303" spans="1:4">
      <c r="A1303">
        <v>311</v>
      </c>
      <c r="B1303" t="s">
        <v>2292</v>
      </c>
      <c r="C1303" t="s">
        <v>46</v>
      </c>
      <c r="D1303" t="s">
        <v>56</v>
      </c>
    </row>
    <row r="1304" spans="1:4">
      <c r="A1304">
        <v>312</v>
      </c>
      <c r="B1304" t="s">
        <v>2293</v>
      </c>
      <c r="C1304" t="s">
        <v>86</v>
      </c>
      <c r="D1304" t="s">
        <v>56</v>
      </c>
    </row>
    <row r="1305" spans="1:4">
      <c r="A1305">
        <v>313</v>
      </c>
      <c r="B1305" t="s">
        <v>2294</v>
      </c>
      <c r="C1305" t="s">
        <v>14</v>
      </c>
      <c r="D1305" t="s">
        <v>56</v>
      </c>
    </row>
    <row r="1306" spans="1:4">
      <c r="A1306">
        <v>314</v>
      </c>
      <c r="B1306" t="s">
        <v>2295</v>
      </c>
      <c r="C1306" t="s">
        <v>25</v>
      </c>
      <c r="D1306" t="s">
        <v>56</v>
      </c>
    </row>
    <row r="1307" spans="1:4">
      <c r="A1307">
        <v>315</v>
      </c>
      <c r="B1307" t="s">
        <v>2296</v>
      </c>
      <c r="C1307" t="s">
        <v>86</v>
      </c>
    </row>
    <row r="1308" spans="1:4">
      <c r="A1308">
        <v>316</v>
      </c>
      <c r="B1308" t="s">
        <v>2297</v>
      </c>
      <c r="C1308" t="s">
        <v>86</v>
      </c>
    </row>
    <row r="1309" spans="1:4">
      <c r="A1309">
        <v>317</v>
      </c>
      <c r="B1309" t="s">
        <v>2298</v>
      </c>
      <c r="C1309" t="s">
        <v>86</v>
      </c>
      <c r="D1309" t="s">
        <v>106</v>
      </c>
    </row>
    <row r="1310" spans="1:4">
      <c r="A1310">
        <v>318</v>
      </c>
      <c r="B1310" t="s">
        <v>2299</v>
      </c>
      <c r="C1310" t="s">
        <v>86</v>
      </c>
      <c r="D1310" t="s">
        <v>119</v>
      </c>
    </row>
    <row r="1311" spans="1:4">
      <c r="A1311">
        <v>319</v>
      </c>
      <c r="B1311" t="s">
        <v>2300</v>
      </c>
      <c r="C1311" t="s">
        <v>98</v>
      </c>
      <c r="D1311" t="s">
        <v>15</v>
      </c>
    </row>
    <row r="1312" spans="1:4">
      <c r="A1312" t="s">
        <v>4277</v>
      </c>
      <c r="B1312" t="s">
        <v>2301</v>
      </c>
      <c r="C1312" t="s">
        <v>29</v>
      </c>
      <c r="D1312" t="s">
        <v>78</v>
      </c>
    </row>
    <row r="1313" spans="1:4">
      <c r="A1313" t="s">
        <v>4278</v>
      </c>
      <c r="B1313" t="s">
        <v>2302</v>
      </c>
      <c r="C1313" t="s">
        <v>29</v>
      </c>
      <c r="D1313" t="s">
        <v>78</v>
      </c>
    </row>
    <row r="1314" spans="1:4">
      <c r="A1314" t="s">
        <v>4279</v>
      </c>
      <c r="B1314" t="s">
        <v>2303</v>
      </c>
      <c r="C1314" t="s">
        <v>46</v>
      </c>
    </row>
    <row r="1315" spans="1:4">
      <c r="A1315" t="s">
        <v>4280</v>
      </c>
      <c r="B1315" t="s">
        <v>2304</v>
      </c>
      <c r="C1315" t="s">
        <v>106</v>
      </c>
      <c r="D1315" t="s">
        <v>22</v>
      </c>
    </row>
    <row r="1316" spans="1:4">
      <c r="A1316" t="s">
        <v>4281</v>
      </c>
      <c r="B1316" t="s">
        <v>2305</v>
      </c>
      <c r="C1316" t="s">
        <v>14</v>
      </c>
      <c r="D1316" t="s">
        <v>106</v>
      </c>
    </row>
    <row r="1317" spans="1:4">
      <c r="A1317" t="s">
        <v>4282</v>
      </c>
      <c r="B1317" t="s">
        <v>2306</v>
      </c>
      <c r="C1317" t="s">
        <v>158</v>
      </c>
      <c r="D1317" t="s">
        <v>23</v>
      </c>
    </row>
    <row r="1318" spans="1:4">
      <c r="A1318">
        <v>320</v>
      </c>
      <c r="B1318" t="s">
        <v>2307</v>
      </c>
      <c r="C1318" t="s">
        <v>86</v>
      </c>
    </row>
    <row r="1319" spans="1:4">
      <c r="A1319">
        <v>321</v>
      </c>
      <c r="B1319" t="s">
        <v>2308</v>
      </c>
      <c r="C1319" t="s">
        <v>106</v>
      </c>
      <c r="D1319" t="s">
        <v>56</v>
      </c>
    </row>
    <row r="1320" spans="1:4">
      <c r="A1320">
        <v>322</v>
      </c>
      <c r="B1320" t="s">
        <v>2309</v>
      </c>
      <c r="C1320" t="s">
        <v>78</v>
      </c>
      <c r="D1320" t="s">
        <v>119</v>
      </c>
    </row>
    <row r="1321" spans="1:4">
      <c r="A1321">
        <v>323</v>
      </c>
      <c r="B1321" t="s">
        <v>2310</v>
      </c>
      <c r="C1321" t="s">
        <v>15</v>
      </c>
    </row>
    <row r="1322" spans="1:4">
      <c r="A1322">
        <v>324</v>
      </c>
      <c r="B1322" t="s">
        <v>2311</v>
      </c>
      <c r="C1322" t="s">
        <v>15</v>
      </c>
      <c r="D1322" t="s">
        <v>23</v>
      </c>
    </row>
    <row r="1323" spans="1:4">
      <c r="A1323">
        <v>325</v>
      </c>
      <c r="B1323" t="s">
        <v>2312</v>
      </c>
      <c r="C1323" t="s">
        <v>98</v>
      </c>
      <c r="D1323" t="s">
        <v>106</v>
      </c>
    </row>
    <row r="1324" spans="1:4">
      <c r="A1324">
        <v>326</v>
      </c>
      <c r="B1324" t="s">
        <v>2313</v>
      </c>
      <c r="C1324" t="s">
        <v>19</v>
      </c>
      <c r="D1324" t="s">
        <v>119</v>
      </c>
    </row>
    <row r="1325" spans="1:4">
      <c r="A1325">
        <v>327</v>
      </c>
      <c r="B1325" t="s">
        <v>2314</v>
      </c>
      <c r="C1325" t="s">
        <v>46</v>
      </c>
    </row>
    <row r="1326" spans="1:4">
      <c r="A1326">
        <v>328</v>
      </c>
      <c r="B1326" t="s">
        <v>2315</v>
      </c>
      <c r="C1326" t="s">
        <v>106</v>
      </c>
    </row>
    <row r="1327" spans="1:4">
      <c r="A1327">
        <v>329</v>
      </c>
      <c r="B1327" t="s">
        <v>2316</v>
      </c>
      <c r="C1327" t="s">
        <v>106</v>
      </c>
    </row>
    <row r="1328" spans="1:4">
      <c r="A1328" t="s">
        <v>4283</v>
      </c>
      <c r="B1328" t="s">
        <v>2157</v>
      </c>
      <c r="C1328" t="s">
        <v>14</v>
      </c>
    </row>
    <row r="1329" spans="1:4">
      <c r="A1329" t="s">
        <v>4284</v>
      </c>
      <c r="B1329" t="s">
        <v>2158</v>
      </c>
      <c r="C1329" t="s">
        <v>14</v>
      </c>
    </row>
    <row r="1330" spans="1:4">
      <c r="A1330" t="s">
        <v>4285</v>
      </c>
      <c r="B1330" t="s">
        <v>2159</v>
      </c>
      <c r="C1330" t="s">
        <v>14</v>
      </c>
    </row>
    <row r="1331" spans="1:4">
      <c r="A1331" t="s">
        <v>4286</v>
      </c>
      <c r="B1331" t="s">
        <v>2160</v>
      </c>
      <c r="C1331" t="s">
        <v>19</v>
      </c>
    </row>
    <row r="1332" spans="1:4">
      <c r="A1332" t="s">
        <v>4287</v>
      </c>
      <c r="B1332" t="s">
        <v>2161</v>
      </c>
      <c r="C1332" t="s">
        <v>19</v>
      </c>
    </row>
    <row r="1333" spans="1:4">
      <c r="A1333" t="s">
        <v>4288</v>
      </c>
      <c r="B1333" t="s">
        <v>2162</v>
      </c>
      <c r="C1333" t="s">
        <v>19</v>
      </c>
    </row>
    <row r="1334" spans="1:4">
      <c r="A1334">
        <v>330</v>
      </c>
      <c r="B1334" t="s">
        <v>2163</v>
      </c>
      <c r="C1334" t="s">
        <v>25</v>
      </c>
    </row>
    <row r="1335" spans="1:4">
      <c r="A1335">
        <v>331</v>
      </c>
      <c r="B1335" t="s">
        <v>2164</v>
      </c>
      <c r="C1335" t="s">
        <v>25</v>
      </c>
    </row>
    <row r="1336" spans="1:4">
      <c r="A1336">
        <v>332</v>
      </c>
      <c r="B1336" t="s">
        <v>2165</v>
      </c>
      <c r="C1336" t="s">
        <v>25</v>
      </c>
    </row>
    <row r="1337" spans="1:4">
      <c r="A1337">
        <v>333</v>
      </c>
      <c r="B1337" t="s">
        <v>2215</v>
      </c>
      <c r="C1337" t="s">
        <v>36</v>
      </c>
    </row>
    <row r="1338" spans="1:4">
      <c r="A1338">
        <v>334</v>
      </c>
      <c r="B1338" t="s">
        <v>2216</v>
      </c>
      <c r="C1338" t="s">
        <v>36</v>
      </c>
    </row>
    <row r="1339" spans="1:4">
      <c r="A1339">
        <v>335</v>
      </c>
      <c r="B1339" t="s">
        <v>2217</v>
      </c>
      <c r="C1339" t="s">
        <v>22</v>
      </c>
    </row>
    <row r="1340" spans="1:4">
      <c r="A1340">
        <v>336</v>
      </c>
      <c r="B1340" t="s">
        <v>2218</v>
      </c>
      <c r="C1340" t="s">
        <v>22</v>
      </c>
    </row>
    <row r="1341" spans="1:4">
      <c r="A1341">
        <v>337</v>
      </c>
      <c r="B1341" t="s">
        <v>2219</v>
      </c>
      <c r="C1341" t="s">
        <v>22</v>
      </c>
      <c r="D1341" t="s">
        <v>106</v>
      </c>
    </row>
    <row r="1342" spans="1:4">
      <c r="A1342">
        <v>338</v>
      </c>
      <c r="B1342" t="s">
        <v>2220</v>
      </c>
      <c r="C1342" t="s">
        <v>29</v>
      </c>
    </row>
    <row r="1343" spans="1:4">
      <c r="A1343">
        <v>339</v>
      </c>
      <c r="B1343" t="s">
        <v>2221</v>
      </c>
      <c r="C1343" t="s">
        <v>29</v>
      </c>
      <c r="D1343" t="s">
        <v>86</v>
      </c>
    </row>
    <row r="1344" spans="1:4">
      <c r="A1344" t="s">
        <v>4289</v>
      </c>
      <c r="B1344" t="s">
        <v>2222</v>
      </c>
      <c r="C1344" t="s">
        <v>29</v>
      </c>
      <c r="D1344" t="s">
        <v>86</v>
      </c>
    </row>
    <row r="1345" spans="1:4">
      <c r="A1345" t="s">
        <v>4290</v>
      </c>
      <c r="B1345" t="s">
        <v>2223</v>
      </c>
      <c r="C1345" t="s">
        <v>158</v>
      </c>
    </row>
    <row r="1346" spans="1:4">
      <c r="A1346" t="s">
        <v>4291</v>
      </c>
      <c r="B1346" t="s">
        <v>2224</v>
      </c>
      <c r="C1346" t="s">
        <v>158</v>
      </c>
    </row>
    <row r="1347" spans="1:4">
      <c r="A1347" t="s">
        <v>4292</v>
      </c>
      <c r="B1347" t="s">
        <v>2225</v>
      </c>
      <c r="C1347" t="s">
        <v>14</v>
      </c>
    </row>
    <row r="1348" spans="1:4">
      <c r="A1348" t="s">
        <v>4293</v>
      </c>
      <c r="B1348" t="s">
        <v>2226</v>
      </c>
      <c r="C1348" t="s">
        <v>14</v>
      </c>
    </row>
    <row r="1349" spans="1:4">
      <c r="A1349" t="s">
        <v>4294</v>
      </c>
      <c r="B1349" t="s">
        <v>2227</v>
      </c>
      <c r="C1349" t="s">
        <v>36</v>
      </c>
    </row>
    <row r="1350" spans="1:4">
      <c r="A1350">
        <v>340</v>
      </c>
      <c r="B1350" t="s">
        <v>2228</v>
      </c>
      <c r="C1350" t="s">
        <v>36</v>
      </c>
    </row>
    <row r="1351" spans="1:4">
      <c r="A1351">
        <v>341</v>
      </c>
      <c r="B1351" t="s">
        <v>2229</v>
      </c>
      <c r="C1351" t="s">
        <v>25</v>
      </c>
    </row>
    <row r="1352" spans="1:4">
      <c r="A1352">
        <v>342</v>
      </c>
      <c r="B1352" t="s">
        <v>2230</v>
      </c>
      <c r="C1352" t="s">
        <v>25</v>
      </c>
      <c r="D1352" t="s">
        <v>98</v>
      </c>
    </row>
    <row r="1353" spans="1:4">
      <c r="A1353">
        <v>343</v>
      </c>
      <c r="B1353" t="s">
        <v>2231</v>
      </c>
      <c r="C1353" t="s">
        <v>46</v>
      </c>
    </row>
    <row r="1354" spans="1:4">
      <c r="A1354">
        <v>344</v>
      </c>
      <c r="B1354" t="s">
        <v>2232</v>
      </c>
      <c r="C1354" t="s">
        <v>46</v>
      </c>
    </row>
    <row r="1355" spans="1:4">
      <c r="A1355">
        <v>345</v>
      </c>
      <c r="B1355" t="s">
        <v>2233</v>
      </c>
      <c r="C1355" t="s">
        <v>98</v>
      </c>
    </row>
    <row r="1356" spans="1:4">
      <c r="A1356">
        <v>346</v>
      </c>
      <c r="B1356" t="s">
        <v>2234</v>
      </c>
      <c r="C1356" t="s">
        <v>98</v>
      </c>
      <c r="D1356" t="s">
        <v>19</v>
      </c>
    </row>
    <row r="1357" spans="1:4">
      <c r="A1357">
        <v>347</v>
      </c>
      <c r="B1357" t="s">
        <v>2235</v>
      </c>
      <c r="C1357" t="s">
        <v>98</v>
      </c>
      <c r="D1357" t="s">
        <v>19</v>
      </c>
    </row>
    <row r="1358" spans="1:4">
      <c r="A1358">
        <v>348</v>
      </c>
      <c r="B1358" t="s">
        <v>2236</v>
      </c>
      <c r="C1358" t="s">
        <v>14</v>
      </c>
      <c r="D1358" t="s">
        <v>23</v>
      </c>
    </row>
    <row r="1359" spans="1:4">
      <c r="A1359">
        <v>349</v>
      </c>
      <c r="B1359" t="s">
        <v>2237</v>
      </c>
      <c r="C1359" t="s">
        <v>14</v>
      </c>
      <c r="D1359" t="s">
        <v>23</v>
      </c>
    </row>
    <row r="1360" spans="1:4">
      <c r="A1360" t="s">
        <v>4295</v>
      </c>
      <c r="B1360" t="s">
        <v>2238</v>
      </c>
      <c r="C1360" t="s">
        <v>14</v>
      </c>
      <c r="D1360" t="s">
        <v>23</v>
      </c>
    </row>
    <row r="1361" spans="1:4">
      <c r="A1361" t="s">
        <v>4296</v>
      </c>
      <c r="B1361" t="s">
        <v>2239</v>
      </c>
      <c r="C1361" t="s">
        <v>49</v>
      </c>
    </row>
    <row r="1362" spans="1:4">
      <c r="A1362" t="s">
        <v>4297</v>
      </c>
      <c r="B1362" t="s">
        <v>2240</v>
      </c>
      <c r="C1362" t="s">
        <v>49</v>
      </c>
    </row>
    <row r="1363" spans="1:4">
      <c r="A1363" t="s">
        <v>4298</v>
      </c>
      <c r="B1363" t="s">
        <v>2241</v>
      </c>
      <c r="C1363" t="s">
        <v>22</v>
      </c>
      <c r="D1363" t="s">
        <v>25</v>
      </c>
    </row>
    <row r="1364" spans="1:4">
      <c r="A1364" t="s">
        <v>4299</v>
      </c>
      <c r="B1364" t="s">
        <v>2242</v>
      </c>
      <c r="C1364" t="s">
        <v>25</v>
      </c>
    </row>
    <row r="1365" spans="1:4">
      <c r="A1365" t="s">
        <v>4300</v>
      </c>
      <c r="B1365" t="s">
        <v>2243</v>
      </c>
      <c r="C1365" t="s">
        <v>25</v>
      </c>
    </row>
    <row r="1366" spans="1:4">
      <c r="A1366">
        <v>350</v>
      </c>
      <c r="B1366" t="s">
        <v>2267</v>
      </c>
      <c r="C1366" t="s">
        <v>46</v>
      </c>
      <c r="D1366" t="s">
        <v>15</v>
      </c>
    </row>
    <row r="1367" spans="1:4">
      <c r="A1367">
        <v>351</v>
      </c>
      <c r="B1367" t="s">
        <v>2244</v>
      </c>
      <c r="C1367" t="s">
        <v>46</v>
      </c>
      <c r="D1367" t="s">
        <v>15</v>
      </c>
    </row>
    <row r="1368" spans="1:4">
      <c r="A1368">
        <v>352</v>
      </c>
      <c r="B1368" t="s">
        <v>2245</v>
      </c>
      <c r="C1368" t="s">
        <v>19</v>
      </c>
      <c r="D1368" t="s">
        <v>29</v>
      </c>
    </row>
    <row r="1369" spans="1:4">
      <c r="A1369">
        <v>353</v>
      </c>
      <c r="B1369" t="s">
        <v>2246</v>
      </c>
      <c r="C1369" t="s">
        <v>19</v>
      </c>
      <c r="D1369" t="s">
        <v>29</v>
      </c>
    </row>
    <row r="1370" spans="1:4">
      <c r="A1370">
        <v>354</v>
      </c>
      <c r="B1370" t="s">
        <v>2247</v>
      </c>
      <c r="C1370" t="s">
        <v>78</v>
      </c>
    </row>
    <row r="1371" spans="1:4">
      <c r="A1371">
        <v>355</v>
      </c>
      <c r="B1371" t="s">
        <v>2248</v>
      </c>
      <c r="C1371" t="s">
        <v>78</v>
      </c>
    </row>
    <row r="1372" spans="1:4">
      <c r="A1372">
        <v>356</v>
      </c>
      <c r="B1372" t="s">
        <v>2284</v>
      </c>
      <c r="C1372" t="s">
        <v>119</v>
      </c>
    </row>
    <row r="1373" spans="1:4">
      <c r="A1373">
        <v>357</v>
      </c>
      <c r="B1373" t="s">
        <v>2285</v>
      </c>
      <c r="C1373" t="s">
        <v>119</v>
      </c>
    </row>
    <row r="1374" spans="1:4">
      <c r="A1374">
        <v>358</v>
      </c>
      <c r="B1374" t="s">
        <v>2277</v>
      </c>
      <c r="C1374" t="s">
        <v>86</v>
      </c>
    </row>
    <row r="1375" spans="1:4">
      <c r="A1375">
        <v>359</v>
      </c>
      <c r="B1375" t="s">
        <v>2278</v>
      </c>
      <c r="C1375" t="s">
        <v>86</v>
      </c>
    </row>
    <row r="1376" spans="1:4">
      <c r="A1376" t="s">
        <v>4301</v>
      </c>
      <c r="B1376" t="s">
        <v>2279</v>
      </c>
      <c r="C1376" t="s">
        <v>86</v>
      </c>
      <c r="D1376" t="s">
        <v>56</v>
      </c>
    </row>
    <row r="1377" spans="1:4">
      <c r="A1377" t="s">
        <v>4302</v>
      </c>
      <c r="B1377" t="s">
        <v>2144</v>
      </c>
      <c r="C1377" t="s">
        <v>158</v>
      </c>
      <c r="D1377" t="s">
        <v>56</v>
      </c>
    </row>
    <row r="1378" spans="1:4">
      <c r="A1378" t="s">
        <v>4303</v>
      </c>
      <c r="B1378" t="s">
        <v>2145</v>
      </c>
      <c r="C1378" t="s">
        <v>158</v>
      </c>
      <c r="D1378" t="s">
        <v>56</v>
      </c>
    </row>
    <row r="1379" spans="1:4">
      <c r="A1379" t="s">
        <v>4304</v>
      </c>
      <c r="B1379" t="s">
        <v>2146</v>
      </c>
      <c r="C1379" t="s">
        <v>158</v>
      </c>
      <c r="D1379" t="s">
        <v>56</v>
      </c>
    </row>
    <row r="1380" spans="1:4">
      <c r="A1380" t="s">
        <v>4305</v>
      </c>
      <c r="B1380" t="s">
        <v>2249</v>
      </c>
      <c r="C1380" t="s">
        <v>158</v>
      </c>
      <c r="D1380" t="s">
        <v>36</v>
      </c>
    </row>
    <row r="1381" spans="1:4">
      <c r="A1381" t="s">
        <v>4306</v>
      </c>
      <c r="B1381" t="s">
        <v>2250</v>
      </c>
      <c r="C1381" t="s">
        <v>106</v>
      </c>
    </row>
    <row r="1382" spans="1:4">
      <c r="A1382">
        <v>360</v>
      </c>
      <c r="B1382" t="s">
        <v>2270</v>
      </c>
      <c r="C1382" t="s">
        <v>119</v>
      </c>
    </row>
    <row r="1383" spans="1:4">
      <c r="A1383">
        <v>361</v>
      </c>
      <c r="B1383" t="s">
        <v>2251</v>
      </c>
      <c r="C1383" t="s">
        <v>78</v>
      </c>
    </row>
    <row r="1384" spans="1:4">
      <c r="A1384">
        <v>362</v>
      </c>
      <c r="B1384" t="s">
        <v>2252</v>
      </c>
      <c r="C1384" t="s">
        <v>113</v>
      </c>
      <c r="D1384" t="s">
        <v>86</v>
      </c>
    </row>
    <row r="1385" spans="1:4">
      <c r="A1385">
        <v>363</v>
      </c>
      <c r="B1385" t="s">
        <v>2253</v>
      </c>
      <c r="C1385" t="s">
        <v>49</v>
      </c>
      <c r="D1385" t="s">
        <v>119</v>
      </c>
    </row>
    <row r="1386" spans="1:4">
      <c r="A1386">
        <v>364</v>
      </c>
      <c r="B1386" t="s">
        <v>2280</v>
      </c>
      <c r="C1386" t="s">
        <v>56</v>
      </c>
    </row>
    <row r="1387" spans="1:4">
      <c r="A1387">
        <v>365</v>
      </c>
      <c r="B1387" t="s">
        <v>2281</v>
      </c>
      <c r="C1387" t="s">
        <v>56</v>
      </c>
    </row>
    <row r="1388" spans="1:4">
      <c r="A1388">
        <v>366</v>
      </c>
      <c r="B1388" t="s">
        <v>2286</v>
      </c>
      <c r="C1388" t="s">
        <v>78</v>
      </c>
    </row>
    <row r="1389" spans="1:4">
      <c r="A1389">
        <v>367</v>
      </c>
      <c r="B1389" t="s">
        <v>2254</v>
      </c>
      <c r="C1389" t="s">
        <v>46</v>
      </c>
    </row>
    <row r="1390" spans="1:4">
      <c r="A1390">
        <v>368</v>
      </c>
      <c r="B1390" t="s">
        <v>2255</v>
      </c>
      <c r="C1390" t="s">
        <v>113</v>
      </c>
      <c r="D1390" t="s">
        <v>29</v>
      </c>
    </row>
    <row r="1391" spans="1:4">
      <c r="A1391">
        <v>369</v>
      </c>
      <c r="B1391" t="s">
        <v>2256</v>
      </c>
      <c r="C1391" t="s">
        <v>113</v>
      </c>
      <c r="D1391" t="s">
        <v>29</v>
      </c>
    </row>
    <row r="1392" spans="1:4">
      <c r="A1392" t="s">
        <v>4307</v>
      </c>
      <c r="B1392" t="s">
        <v>2257</v>
      </c>
      <c r="C1392" t="s">
        <v>98</v>
      </c>
    </row>
    <row r="1393" spans="1:4">
      <c r="A1393" t="s">
        <v>4308</v>
      </c>
      <c r="B1393" t="s">
        <v>2258</v>
      </c>
      <c r="C1393" t="s">
        <v>113</v>
      </c>
    </row>
    <row r="1394" spans="1:4">
      <c r="A1394" t="s">
        <v>4309</v>
      </c>
      <c r="B1394" t="s">
        <v>2259</v>
      </c>
      <c r="C1394" t="s">
        <v>86</v>
      </c>
      <c r="D1394" t="s">
        <v>36</v>
      </c>
    </row>
    <row r="1395" spans="1:4">
      <c r="A1395" t="s">
        <v>4310</v>
      </c>
      <c r="B1395" t="s">
        <v>2260</v>
      </c>
      <c r="C1395" t="s">
        <v>46</v>
      </c>
      <c r="D1395" t="s">
        <v>158</v>
      </c>
    </row>
    <row r="1396" spans="1:4">
      <c r="A1396" t="s">
        <v>4311</v>
      </c>
      <c r="B1396" t="s">
        <v>2261</v>
      </c>
      <c r="C1396" t="s">
        <v>106</v>
      </c>
    </row>
    <row r="1397" spans="1:4">
      <c r="A1397" t="s">
        <v>4312</v>
      </c>
      <c r="B1397" t="s">
        <v>2262</v>
      </c>
      <c r="C1397" t="s">
        <v>106</v>
      </c>
    </row>
    <row r="1398" spans="1:4">
      <c r="A1398">
        <v>370</v>
      </c>
      <c r="B1398" t="s">
        <v>2317</v>
      </c>
      <c r="C1398" t="s">
        <v>46</v>
      </c>
      <c r="D1398" t="s">
        <v>23</v>
      </c>
    </row>
    <row r="1399" spans="1:4">
      <c r="A1399">
        <v>371</v>
      </c>
      <c r="B1399" t="s">
        <v>2318</v>
      </c>
      <c r="C1399" t="s">
        <v>46</v>
      </c>
      <c r="D1399" t="s">
        <v>113</v>
      </c>
    </row>
    <row r="1400" spans="1:4">
      <c r="A1400">
        <v>372</v>
      </c>
      <c r="B1400" t="s">
        <v>2319</v>
      </c>
      <c r="C1400" t="s">
        <v>25</v>
      </c>
      <c r="D1400" t="s">
        <v>23</v>
      </c>
    </row>
    <row r="1401" spans="1:4">
      <c r="A1401">
        <v>373</v>
      </c>
      <c r="B1401" t="s">
        <v>2320</v>
      </c>
      <c r="C1401" t="s">
        <v>25</v>
      </c>
      <c r="D1401" t="s">
        <v>113</v>
      </c>
    </row>
    <row r="1402" spans="1:4">
      <c r="A1402">
        <v>374</v>
      </c>
      <c r="B1402" t="s">
        <v>2263</v>
      </c>
      <c r="C1402" t="s">
        <v>106</v>
      </c>
      <c r="D1402" t="s">
        <v>23</v>
      </c>
    </row>
    <row r="1403" spans="1:4">
      <c r="A1403">
        <v>375</v>
      </c>
      <c r="B1403" t="s">
        <v>2264</v>
      </c>
      <c r="C1403" t="s">
        <v>23</v>
      </c>
      <c r="D1403" t="s">
        <v>119</v>
      </c>
    </row>
    <row r="1404" spans="1:4">
      <c r="A1404">
        <v>376</v>
      </c>
      <c r="B1404" t="s">
        <v>2265</v>
      </c>
      <c r="C1404" t="s">
        <v>23</v>
      </c>
      <c r="D1404" t="s">
        <v>119</v>
      </c>
    </row>
    <row r="1405" spans="1:4">
      <c r="A1405">
        <v>377</v>
      </c>
      <c r="B1405" t="s">
        <v>2266</v>
      </c>
      <c r="C1405" t="s">
        <v>23</v>
      </c>
      <c r="D1405" t="s">
        <v>119</v>
      </c>
    </row>
    <row r="1406" spans="1:4">
      <c r="A1406">
        <v>378</v>
      </c>
      <c r="B1406" t="s">
        <v>2321</v>
      </c>
      <c r="C1406" t="s">
        <v>56</v>
      </c>
    </row>
    <row r="1407" spans="1:4">
      <c r="A1407">
        <v>379</v>
      </c>
      <c r="B1407" t="s">
        <v>2322</v>
      </c>
      <c r="C1407" t="s">
        <v>78</v>
      </c>
    </row>
    <row r="1408" spans="1:4">
      <c r="A1408" t="s">
        <v>4313</v>
      </c>
      <c r="B1408" t="s">
        <v>2323</v>
      </c>
      <c r="C1408" t="s">
        <v>15</v>
      </c>
      <c r="D1408" t="s">
        <v>23</v>
      </c>
    </row>
    <row r="1409" spans="1:4">
      <c r="A1409" t="s">
        <v>4314</v>
      </c>
      <c r="B1409" t="s">
        <v>2166</v>
      </c>
      <c r="C1409" t="s">
        <v>78</v>
      </c>
    </row>
    <row r="1410" spans="1:4">
      <c r="A1410" t="s">
        <v>4315</v>
      </c>
      <c r="B1410" t="s">
        <v>2167</v>
      </c>
      <c r="C1410" t="s">
        <v>78</v>
      </c>
      <c r="D1410" t="s">
        <v>158</v>
      </c>
    </row>
    <row r="1411" spans="1:4">
      <c r="A1411" t="s">
        <v>4316</v>
      </c>
      <c r="B1411" t="s">
        <v>2324</v>
      </c>
      <c r="C1411" t="s">
        <v>158</v>
      </c>
      <c r="D1411" t="s">
        <v>14</v>
      </c>
    </row>
    <row r="1412" spans="1:4">
      <c r="A1412" t="s">
        <v>4317</v>
      </c>
      <c r="B1412" t="s">
        <v>2325</v>
      </c>
      <c r="C1412" t="s">
        <v>46</v>
      </c>
    </row>
    <row r="1413" spans="1:4">
      <c r="A1413" t="s">
        <v>4318</v>
      </c>
      <c r="B1413" t="s">
        <v>2326</v>
      </c>
      <c r="C1413" t="s">
        <v>23</v>
      </c>
    </row>
    <row r="1414" spans="1:4">
      <c r="A1414">
        <v>380</v>
      </c>
      <c r="B1414" t="s">
        <v>2327</v>
      </c>
      <c r="C1414" t="s">
        <v>113</v>
      </c>
    </row>
    <row r="1415" spans="1:4">
      <c r="A1415">
        <v>381</v>
      </c>
      <c r="B1415" t="s">
        <v>2328</v>
      </c>
      <c r="C1415" t="s">
        <v>119</v>
      </c>
    </row>
    <row r="1416" spans="1:4">
      <c r="A1416">
        <v>382</v>
      </c>
      <c r="B1416" t="s">
        <v>2329</v>
      </c>
      <c r="C1416" t="s">
        <v>86</v>
      </c>
      <c r="D1416" t="s">
        <v>14</v>
      </c>
    </row>
  </sheetData>
  <autoFilter ref="A1:M752" xr:uid="{00000000-0009-0000-0000-000000000000}">
    <sortState xmlns:xlrd2="http://schemas.microsoft.com/office/spreadsheetml/2017/richdata2" ref="A2:M752">
      <sortCondition ref="A1:A752"/>
    </sortState>
  </autoFilter>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5CC9-F410-1441-82EF-B2A871AFD25D}">
  <dimension ref="A1:L1065"/>
  <sheetViews>
    <sheetView topLeftCell="A1060" zoomScale="104" zoomScaleNormal="104" workbookViewId="0">
      <selection activeCell="E1065" sqref="E1065"/>
    </sheetView>
  </sheetViews>
  <sheetFormatPr baseColWidth="10" defaultRowHeight="15"/>
  <cols>
    <col min="1" max="1" width="4.1640625" bestFit="1" customWidth="1"/>
    <col min="2" max="2" width="7" style="4" bestFit="1" customWidth="1"/>
    <col min="3" max="3" width="30.1640625" bestFit="1" customWidth="1"/>
  </cols>
  <sheetData>
    <row r="1" spans="1:12">
      <c r="A1" t="s">
        <v>0</v>
      </c>
      <c r="B1" t="s">
        <v>3051</v>
      </c>
      <c r="C1" t="s">
        <v>3047</v>
      </c>
      <c r="D1" t="s">
        <v>5</v>
      </c>
      <c r="E1" t="s">
        <v>6</v>
      </c>
      <c r="F1" t="s">
        <v>7</v>
      </c>
      <c r="G1" t="s">
        <v>3048</v>
      </c>
      <c r="H1" t="s">
        <v>3049</v>
      </c>
      <c r="I1" t="s">
        <v>10</v>
      </c>
      <c r="J1" t="s">
        <v>4</v>
      </c>
      <c r="K1" t="s">
        <v>3050</v>
      </c>
    </row>
    <row r="2" spans="1:12">
      <c r="A2">
        <v>1</v>
      </c>
      <c r="B2" s="4" t="s">
        <v>3052</v>
      </c>
      <c r="C2" t="s">
        <v>13</v>
      </c>
      <c r="D2">
        <v>45</v>
      </c>
      <c r="E2">
        <v>49</v>
      </c>
      <c r="F2">
        <v>49</v>
      </c>
      <c r="G2">
        <v>65</v>
      </c>
      <c r="H2">
        <v>65</v>
      </c>
      <c r="I2">
        <v>45</v>
      </c>
      <c r="J2">
        <v>318</v>
      </c>
      <c r="K2">
        <v>53</v>
      </c>
      <c r="L2">
        <f>LEN(B2)</f>
        <v>4</v>
      </c>
    </row>
    <row r="3" spans="1:12">
      <c r="A3">
        <v>2</v>
      </c>
      <c r="B3" s="4" t="s">
        <v>3057</v>
      </c>
      <c r="C3" t="s">
        <v>16</v>
      </c>
      <c r="D3">
        <v>60</v>
      </c>
      <c r="E3">
        <v>62</v>
      </c>
      <c r="F3">
        <v>63</v>
      </c>
      <c r="G3">
        <v>80</v>
      </c>
      <c r="H3">
        <v>80</v>
      </c>
      <c r="I3">
        <v>60</v>
      </c>
      <c r="J3">
        <v>405</v>
      </c>
      <c r="K3">
        <v>67.5</v>
      </c>
      <c r="L3">
        <f t="shared" ref="L3:L66" si="0">LEN(B3)</f>
        <v>4</v>
      </c>
    </row>
    <row r="4" spans="1:12">
      <c r="A4">
        <v>3</v>
      </c>
      <c r="B4" s="4" t="s">
        <v>3058</v>
      </c>
      <c r="C4" t="s">
        <v>17</v>
      </c>
      <c r="D4">
        <v>80</v>
      </c>
      <c r="E4">
        <v>82</v>
      </c>
      <c r="F4">
        <v>83</v>
      </c>
      <c r="G4">
        <v>100</v>
      </c>
      <c r="H4">
        <v>100</v>
      </c>
      <c r="I4">
        <v>80</v>
      </c>
      <c r="J4">
        <v>525</v>
      </c>
      <c r="K4">
        <v>87.5</v>
      </c>
      <c r="L4">
        <f t="shared" si="0"/>
        <v>4</v>
      </c>
    </row>
    <row r="5" spans="1:12">
      <c r="A5">
        <v>3</v>
      </c>
      <c r="B5" s="131" t="s">
        <v>2782</v>
      </c>
      <c r="C5" t="s">
        <v>2783</v>
      </c>
      <c r="D5">
        <v>80</v>
      </c>
      <c r="E5">
        <v>100</v>
      </c>
      <c r="F5">
        <v>123</v>
      </c>
      <c r="G5">
        <v>122</v>
      </c>
      <c r="H5">
        <v>120</v>
      </c>
      <c r="I5">
        <v>80</v>
      </c>
      <c r="J5">
        <v>625</v>
      </c>
      <c r="K5">
        <v>104.17</v>
      </c>
      <c r="L5">
        <f t="shared" si="0"/>
        <v>4</v>
      </c>
    </row>
    <row r="6" spans="1:12">
      <c r="A6">
        <v>4</v>
      </c>
      <c r="B6" s="4" t="s">
        <v>3059</v>
      </c>
      <c r="C6" t="s">
        <v>18</v>
      </c>
      <c r="D6">
        <v>39</v>
      </c>
      <c r="E6">
        <v>52</v>
      </c>
      <c r="F6">
        <v>43</v>
      </c>
      <c r="G6">
        <v>60</v>
      </c>
      <c r="H6">
        <v>50</v>
      </c>
      <c r="I6">
        <v>65</v>
      </c>
      <c r="J6">
        <v>309</v>
      </c>
      <c r="K6">
        <v>51.5</v>
      </c>
      <c r="L6">
        <f t="shared" si="0"/>
        <v>4</v>
      </c>
    </row>
    <row r="7" spans="1:12">
      <c r="A7">
        <v>5</v>
      </c>
      <c r="B7" s="4" t="s">
        <v>3060</v>
      </c>
      <c r="C7" t="s">
        <v>20</v>
      </c>
      <c r="D7">
        <v>58</v>
      </c>
      <c r="E7">
        <v>64</v>
      </c>
      <c r="F7">
        <v>58</v>
      </c>
      <c r="G7">
        <v>80</v>
      </c>
      <c r="H7">
        <v>65</v>
      </c>
      <c r="I7">
        <v>80</v>
      </c>
      <c r="J7">
        <v>405</v>
      </c>
      <c r="K7">
        <v>67.5</v>
      </c>
      <c r="L7">
        <f t="shared" si="0"/>
        <v>4</v>
      </c>
    </row>
    <row r="8" spans="1:12">
      <c r="A8">
        <v>6</v>
      </c>
      <c r="B8" s="4" t="s">
        <v>3061</v>
      </c>
      <c r="C8" t="s">
        <v>21</v>
      </c>
      <c r="D8">
        <v>78</v>
      </c>
      <c r="E8">
        <v>84</v>
      </c>
      <c r="F8">
        <v>78</v>
      </c>
      <c r="G8">
        <v>109</v>
      </c>
      <c r="H8">
        <v>85</v>
      </c>
      <c r="I8">
        <v>100</v>
      </c>
      <c r="J8">
        <v>534</v>
      </c>
      <c r="K8">
        <v>89</v>
      </c>
      <c r="L8">
        <f t="shared" si="0"/>
        <v>4</v>
      </c>
    </row>
    <row r="9" spans="1:12">
      <c r="A9">
        <v>6</v>
      </c>
      <c r="B9" s="131" t="s">
        <v>3966</v>
      </c>
      <c r="C9" t="s">
        <v>2784</v>
      </c>
      <c r="D9">
        <v>78</v>
      </c>
      <c r="E9">
        <v>130</v>
      </c>
      <c r="F9">
        <v>111</v>
      </c>
      <c r="G9">
        <v>130</v>
      </c>
      <c r="H9">
        <v>85</v>
      </c>
      <c r="I9">
        <v>100</v>
      </c>
      <c r="J9">
        <v>634</v>
      </c>
      <c r="K9">
        <v>105.67</v>
      </c>
      <c r="L9">
        <f t="shared" si="0"/>
        <v>4</v>
      </c>
    </row>
    <row r="10" spans="1:12">
      <c r="A10">
        <v>6</v>
      </c>
      <c r="B10" s="131" t="s">
        <v>3967</v>
      </c>
      <c r="C10" t="s">
        <v>2785</v>
      </c>
      <c r="D10">
        <v>78</v>
      </c>
      <c r="E10">
        <v>104</v>
      </c>
      <c r="F10">
        <v>78</v>
      </c>
      <c r="G10">
        <v>159</v>
      </c>
      <c r="H10">
        <v>115</v>
      </c>
      <c r="I10">
        <v>100</v>
      </c>
      <c r="J10">
        <v>634</v>
      </c>
      <c r="K10">
        <v>105.67</v>
      </c>
      <c r="L10">
        <f t="shared" si="0"/>
        <v>4</v>
      </c>
    </row>
    <row r="11" spans="1:12">
      <c r="A11">
        <v>7</v>
      </c>
      <c r="B11" s="4" t="s">
        <v>3062</v>
      </c>
      <c r="C11" t="s">
        <v>24</v>
      </c>
      <c r="D11">
        <v>44</v>
      </c>
      <c r="E11">
        <v>48</v>
      </c>
      <c r="F11">
        <v>65</v>
      </c>
      <c r="G11">
        <v>50</v>
      </c>
      <c r="H11">
        <v>64</v>
      </c>
      <c r="I11">
        <v>43</v>
      </c>
      <c r="J11">
        <v>314</v>
      </c>
      <c r="K11">
        <v>52.33</v>
      </c>
      <c r="L11">
        <f t="shared" si="0"/>
        <v>4</v>
      </c>
    </row>
    <row r="12" spans="1:12">
      <c r="A12">
        <v>8</v>
      </c>
      <c r="B12" s="4" t="s">
        <v>3063</v>
      </c>
      <c r="C12" t="s">
        <v>26</v>
      </c>
      <c r="D12">
        <v>59</v>
      </c>
      <c r="E12">
        <v>63</v>
      </c>
      <c r="F12">
        <v>80</v>
      </c>
      <c r="G12">
        <v>65</v>
      </c>
      <c r="H12">
        <v>80</v>
      </c>
      <c r="I12">
        <v>58</v>
      </c>
      <c r="J12">
        <v>405</v>
      </c>
      <c r="K12">
        <v>67.5</v>
      </c>
      <c r="L12">
        <f t="shared" si="0"/>
        <v>4</v>
      </c>
    </row>
    <row r="13" spans="1:12">
      <c r="A13">
        <v>9</v>
      </c>
      <c r="B13" s="4" t="s">
        <v>3064</v>
      </c>
      <c r="C13" t="s">
        <v>27</v>
      </c>
      <c r="D13">
        <v>79</v>
      </c>
      <c r="E13">
        <v>83</v>
      </c>
      <c r="F13">
        <v>100</v>
      </c>
      <c r="G13">
        <v>85</v>
      </c>
      <c r="H13">
        <v>105</v>
      </c>
      <c r="I13">
        <v>78</v>
      </c>
      <c r="J13">
        <v>530</v>
      </c>
      <c r="K13">
        <v>88.33</v>
      </c>
      <c r="L13">
        <f t="shared" si="0"/>
        <v>4</v>
      </c>
    </row>
    <row r="14" spans="1:12">
      <c r="A14">
        <v>9</v>
      </c>
      <c r="B14" s="131" t="s">
        <v>2786</v>
      </c>
      <c r="C14" t="s">
        <v>2787</v>
      </c>
      <c r="D14">
        <v>79</v>
      </c>
      <c r="E14">
        <v>103</v>
      </c>
      <c r="F14">
        <v>120</v>
      </c>
      <c r="G14">
        <v>135</v>
      </c>
      <c r="H14">
        <v>115</v>
      </c>
      <c r="I14">
        <v>78</v>
      </c>
      <c r="J14">
        <v>630</v>
      </c>
      <c r="K14">
        <v>105</v>
      </c>
      <c r="L14">
        <f t="shared" si="0"/>
        <v>4</v>
      </c>
    </row>
    <row r="15" spans="1:12">
      <c r="A15">
        <v>10</v>
      </c>
      <c r="B15" s="4" t="s">
        <v>3065</v>
      </c>
      <c r="C15" t="s">
        <v>28</v>
      </c>
      <c r="D15">
        <v>45</v>
      </c>
      <c r="E15">
        <v>30</v>
      </c>
      <c r="F15">
        <v>35</v>
      </c>
      <c r="G15">
        <v>20</v>
      </c>
      <c r="H15">
        <v>20</v>
      </c>
      <c r="I15">
        <v>45</v>
      </c>
      <c r="J15">
        <v>195</v>
      </c>
      <c r="K15">
        <v>32.5</v>
      </c>
      <c r="L15">
        <f t="shared" si="0"/>
        <v>4</v>
      </c>
    </row>
    <row r="16" spans="1:12">
      <c r="A16">
        <v>11</v>
      </c>
      <c r="B16" s="4" t="s">
        <v>3066</v>
      </c>
      <c r="C16" t="s">
        <v>30</v>
      </c>
      <c r="D16">
        <v>50</v>
      </c>
      <c r="E16">
        <v>20</v>
      </c>
      <c r="F16">
        <v>55</v>
      </c>
      <c r="G16">
        <v>25</v>
      </c>
      <c r="H16">
        <v>25</v>
      </c>
      <c r="I16">
        <v>30</v>
      </c>
      <c r="J16">
        <v>205</v>
      </c>
      <c r="K16">
        <v>34.17</v>
      </c>
      <c r="L16">
        <f t="shared" si="0"/>
        <v>4</v>
      </c>
    </row>
    <row r="17" spans="1:12">
      <c r="A17">
        <v>12</v>
      </c>
      <c r="B17" s="4" t="s">
        <v>3067</v>
      </c>
      <c r="C17" t="s">
        <v>31</v>
      </c>
      <c r="D17">
        <v>60</v>
      </c>
      <c r="E17">
        <v>45</v>
      </c>
      <c r="F17">
        <v>50</v>
      </c>
      <c r="G17">
        <v>90</v>
      </c>
      <c r="H17">
        <v>80</v>
      </c>
      <c r="I17">
        <v>70</v>
      </c>
      <c r="J17">
        <v>395</v>
      </c>
      <c r="K17">
        <v>65.83</v>
      </c>
      <c r="L17">
        <f t="shared" si="0"/>
        <v>4</v>
      </c>
    </row>
    <row r="18" spans="1:12">
      <c r="A18">
        <v>13</v>
      </c>
      <c r="B18" s="4" t="s">
        <v>3068</v>
      </c>
      <c r="C18" t="s">
        <v>32</v>
      </c>
      <c r="D18">
        <v>40</v>
      </c>
      <c r="E18">
        <v>35</v>
      </c>
      <c r="F18">
        <v>30</v>
      </c>
      <c r="G18">
        <v>20</v>
      </c>
      <c r="H18">
        <v>20</v>
      </c>
      <c r="I18">
        <v>50</v>
      </c>
      <c r="J18">
        <v>195</v>
      </c>
      <c r="K18">
        <v>32.5</v>
      </c>
      <c r="L18">
        <f t="shared" si="0"/>
        <v>4</v>
      </c>
    </row>
    <row r="19" spans="1:12">
      <c r="A19">
        <v>14</v>
      </c>
      <c r="B19" s="4" t="s">
        <v>3069</v>
      </c>
      <c r="C19" t="s">
        <v>33</v>
      </c>
      <c r="D19">
        <v>45</v>
      </c>
      <c r="E19">
        <v>25</v>
      </c>
      <c r="F19">
        <v>50</v>
      </c>
      <c r="G19">
        <v>25</v>
      </c>
      <c r="H19">
        <v>25</v>
      </c>
      <c r="I19">
        <v>35</v>
      </c>
      <c r="J19">
        <v>205</v>
      </c>
      <c r="K19">
        <v>34.17</v>
      </c>
      <c r="L19">
        <f t="shared" si="0"/>
        <v>4</v>
      </c>
    </row>
    <row r="20" spans="1:12">
      <c r="A20">
        <v>15</v>
      </c>
      <c r="B20" s="4" t="s">
        <v>3070</v>
      </c>
      <c r="C20" t="s">
        <v>34</v>
      </c>
      <c r="D20">
        <v>65</v>
      </c>
      <c r="E20">
        <v>90</v>
      </c>
      <c r="F20">
        <v>40</v>
      </c>
      <c r="G20">
        <v>45</v>
      </c>
      <c r="H20">
        <v>80</v>
      </c>
      <c r="I20">
        <v>75</v>
      </c>
      <c r="J20">
        <v>395</v>
      </c>
      <c r="K20">
        <v>65.83</v>
      </c>
      <c r="L20">
        <f t="shared" si="0"/>
        <v>4</v>
      </c>
    </row>
    <row r="21" spans="1:12" ht="15" customHeight="1">
      <c r="A21">
        <v>15</v>
      </c>
      <c r="B21" s="131" t="s">
        <v>2788</v>
      </c>
      <c r="C21" t="s">
        <v>2789</v>
      </c>
      <c r="D21">
        <v>65</v>
      </c>
      <c r="E21">
        <v>150</v>
      </c>
      <c r="F21">
        <v>40</v>
      </c>
      <c r="G21">
        <v>15</v>
      </c>
      <c r="H21">
        <v>80</v>
      </c>
      <c r="I21">
        <v>145</v>
      </c>
      <c r="J21">
        <v>495</v>
      </c>
      <c r="K21">
        <v>82.5</v>
      </c>
      <c r="L21">
        <f t="shared" si="0"/>
        <v>4</v>
      </c>
    </row>
    <row r="22" spans="1:12">
      <c r="A22">
        <v>16</v>
      </c>
      <c r="B22" s="4" t="s">
        <v>3071</v>
      </c>
      <c r="C22" t="s">
        <v>35</v>
      </c>
      <c r="D22">
        <v>40</v>
      </c>
      <c r="E22">
        <v>45</v>
      </c>
      <c r="F22">
        <v>40</v>
      </c>
      <c r="G22">
        <v>35</v>
      </c>
      <c r="H22">
        <v>35</v>
      </c>
      <c r="I22">
        <v>56</v>
      </c>
      <c r="J22">
        <v>251</v>
      </c>
      <c r="K22">
        <v>41.83</v>
      </c>
      <c r="L22">
        <f t="shared" si="0"/>
        <v>4</v>
      </c>
    </row>
    <row r="23" spans="1:12">
      <c r="A23">
        <v>17</v>
      </c>
      <c r="B23" s="4" t="s">
        <v>3072</v>
      </c>
      <c r="C23" t="s">
        <v>37</v>
      </c>
      <c r="D23">
        <v>63</v>
      </c>
      <c r="E23">
        <v>60</v>
      </c>
      <c r="F23">
        <v>55</v>
      </c>
      <c r="G23">
        <v>50</v>
      </c>
      <c r="H23">
        <v>50</v>
      </c>
      <c r="I23">
        <v>71</v>
      </c>
      <c r="J23">
        <v>349</v>
      </c>
      <c r="K23">
        <v>58.17</v>
      </c>
      <c r="L23">
        <f t="shared" si="0"/>
        <v>4</v>
      </c>
    </row>
    <row r="24" spans="1:12">
      <c r="A24">
        <v>18</v>
      </c>
      <c r="B24" s="4" t="s">
        <v>3073</v>
      </c>
      <c r="C24" t="s">
        <v>38</v>
      </c>
      <c r="D24">
        <v>83</v>
      </c>
      <c r="E24">
        <v>80</v>
      </c>
      <c r="F24">
        <v>75</v>
      </c>
      <c r="G24">
        <v>70</v>
      </c>
      <c r="H24">
        <v>70</v>
      </c>
      <c r="I24">
        <v>101</v>
      </c>
      <c r="J24">
        <v>479</v>
      </c>
      <c r="K24">
        <v>79.83</v>
      </c>
      <c r="L24">
        <f t="shared" si="0"/>
        <v>4</v>
      </c>
    </row>
    <row r="25" spans="1:12" ht="15" customHeight="1">
      <c r="A25">
        <v>18</v>
      </c>
      <c r="B25" s="131" t="s">
        <v>2790</v>
      </c>
      <c r="C25" t="s">
        <v>2791</v>
      </c>
      <c r="D25">
        <v>83</v>
      </c>
      <c r="E25">
        <v>80</v>
      </c>
      <c r="F25">
        <v>80</v>
      </c>
      <c r="G25">
        <v>135</v>
      </c>
      <c r="H25">
        <v>80</v>
      </c>
      <c r="I25">
        <v>121</v>
      </c>
      <c r="J25">
        <v>579</v>
      </c>
      <c r="K25">
        <v>96.5</v>
      </c>
      <c r="L25">
        <f t="shared" si="0"/>
        <v>4</v>
      </c>
    </row>
    <row r="26" spans="1:12">
      <c r="A26">
        <v>19</v>
      </c>
      <c r="B26" s="4" t="s">
        <v>3074</v>
      </c>
      <c r="C26" t="s">
        <v>39</v>
      </c>
      <c r="D26">
        <v>30</v>
      </c>
      <c r="E26">
        <v>56</v>
      </c>
      <c r="F26">
        <v>35</v>
      </c>
      <c r="G26">
        <v>25</v>
      </c>
      <c r="H26">
        <v>35</v>
      </c>
      <c r="I26">
        <v>72</v>
      </c>
      <c r="J26">
        <v>253</v>
      </c>
      <c r="K26">
        <v>42.17</v>
      </c>
      <c r="L26">
        <f t="shared" si="0"/>
        <v>4</v>
      </c>
    </row>
    <row r="27" spans="1:12" ht="15" customHeight="1">
      <c r="A27">
        <v>19</v>
      </c>
      <c r="B27" s="131" t="s">
        <v>2792</v>
      </c>
      <c r="C27" t="s">
        <v>2793</v>
      </c>
      <c r="D27">
        <v>30</v>
      </c>
      <c r="E27">
        <v>56</v>
      </c>
      <c r="F27">
        <v>35</v>
      </c>
      <c r="G27">
        <v>25</v>
      </c>
      <c r="H27">
        <v>35</v>
      </c>
      <c r="I27">
        <v>72</v>
      </c>
      <c r="J27">
        <v>253</v>
      </c>
      <c r="K27">
        <v>42.17</v>
      </c>
      <c r="L27">
        <f t="shared" si="0"/>
        <v>4</v>
      </c>
    </row>
    <row r="28" spans="1:12">
      <c r="A28">
        <v>20</v>
      </c>
      <c r="B28" s="4" t="s">
        <v>3075</v>
      </c>
      <c r="C28" t="s">
        <v>40</v>
      </c>
      <c r="D28">
        <v>55</v>
      </c>
      <c r="E28">
        <v>81</v>
      </c>
      <c r="F28">
        <v>60</v>
      </c>
      <c r="G28">
        <v>50</v>
      </c>
      <c r="H28">
        <v>70</v>
      </c>
      <c r="I28">
        <v>97</v>
      </c>
      <c r="J28">
        <v>413</v>
      </c>
      <c r="K28">
        <v>68.83</v>
      </c>
      <c r="L28">
        <f t="shared" si="0"/>
        <v>4</v>
      </c>
    </row>
    <row r="29" spans="1:12" ht="15" customHeight="1">
      <c r="A29">
        <v>20</v>
      </c>
      <c r="B29" s="131" t="s">
        <v>2794</v>
      </c>
      <c r="C29" t="s">
        <v>2795</v>
      </c>
      <c r="D29">
        <v>75</v>
      </c>
      <c r="E29">
        <v>71</v>
      </c>
      <c r="F29">
        <v>70</v>
      </c>
      <c r="G29">
        <v>40</v>
      </c>
      <c r="H29">
        <v>80</v>
      </c>
      <c r="I29">
        <v>77</v>
      </c>
      <c r="J29">
        <v>413</v>
      </c>
      <c r="K29">
        <v>68.83</v>
      </c>
      <c r="L29">
        <f t="shared" si="0"/>
        <v>4</v>
      </c>
    </row>
    <row r="30" spans="1:12">
      <c r="A30">
        <v>21</v>
      </c>
      <c r="B30" s="4" t="s">
        <v>3076</v>
      </c>
      <c r="C30" t="s">
        <v>41</v>
      </c>
      <c r="D30">
        <v>40</v>
      </c>
      <c r="E30">
        <v>60</v>
      </c>
      <c r="F30">
        <v>30</v>
      </c>
      <c r="G30">
        <v>31</v>
      </c>
      <c r="H30">
        <v>31</v>
      </c>
      <c r="I30">
        <v>70</v>
      </c>
      <c r="J30">
        <v>262</v>
      </c>
      <c r="K30">
        <v>43.67</v>
      </c>
      <c r="L30">
        <f t="shared" si="0"/>
        <v>4</v>
      </c>
    </row>
    <row r="31" spans="1:12">
      <c r="A31">
        <v>22</v>
      </c>
      <c r="B31" s="4" t="s">
        <v>3077</v>
      </c>
      <c r="C31" t="s">
        <v>42</v>
      </c>
      <c r="D31">
        <v>65</v>
      </c>
      <c r="E31">
        <v>90</v>
      </c>
      <c r="F31">
        <v>65</v>
      </c>
      <c r="G31">
        <v>61</v>
      </c>
      <c r="H31">
        <v>61</v>
      </c>
      <c r="I31">
        <v>100</v>
      </c>
      <c r="J31">
        <v>442</v>
      </c>
      <c r="K31">
        <v>73.67</v>
      </c>
      <c r="L31">
        <f t="shared" si="0"/>
        <v>4</v>
      </c>
    </row>
    <row r="32" spans="1:12">
      <c r="A32">
        <v>23</v>
      </c>
      <c r="B32" s="4" t="s">
        <v>3078</v>
      </c>
      <c r="C32" t="s">
        <v>43</v>
      </c>
      <c r="D32">
        <v>35</v>
      </c>
      <c r="E32">
        <v>60</v>
      </c>
      <c r="F32">
        <v>44</v>
      </c>
      <c r="G32">
        <v>40</v>
      </c>
      <c r="H32">
        <v>54</v>
      </c>
      <c r="I32">
        <v>55</v>
      </c>
      <c r="J32">
        <v>288</v>
      </c>
      <c r="K32">
        <v>48</v>
      </c>
      <c r="L32">
        <f t="shared" si="0"/>
        <v>4</v>
      </c>
    </row>
    <row r="33" spans="1:12">
      <c r="A33">
        <v>24</v>
      </c>
      <c r="B33" s="4" t="s">
        <v>3079</v>
      </c>
      <c r="C33" t="s">
        <v>44</v>
      </c>
      <c r="D33">
        <v>60</v>
      </c>
      <c r="E33">
        <v>95</v>
      </c>
      <c r="F33">
        <v>69</v>
      </c>
      <c r="G33">
        <v>65</v>
      </c>
      <c r="H33">
        <v>79</v>
      </c>
      <c r="I33">
        <v>80</v>
      </c>
      <c r="J33">
        <v>448</v>
      </c>
      <c r="K33">
        <v>74.67</v>
      </c>
      <c r="L33">
        <f t="shared" si="0"/>
        <v>4</v>
      </c>
    </row>
    <row r="34" spans="1:12">
      <c r="A34">
        <v>25</v>
      </c>
      <c r="B34" s="4" t="s">
        <v>3080</v>
      </c>
      <c r="C34" t="s">
        <v>45</v>
      </c>
      <c r="D34">
        <v>35</v>
      </c>
      <c r="E34">
        <v>55</v>
      </c>
      <c r="F34">
        <v>40</v>
      </c>
      <c r="G34">
        <v>50</v>
      </c>
      <c r="H34">
        <v>50</v>
      </c>
      <c r="I34">
        <v>90</v>
      </c>
      <c r="J34">
        <v>320</v>
      </c>
      <c r="K34">
        <v>53.33</v>
      </c>
      <c r="L34">
        <f t="shared" si="0"/>
        <v>4</v>
      </c>
    </row>
    <row r="35" spans="1:12" ht="15" customHeight="1">
      <c r="A35">
        <v>25</v>
      </c>
      <c r="B35" s="131" t="s">
        <v>3957</v>
      </c>
      <c r="C35" t="s">
        <v>2796</v>
      </c>
      <c r="D35">
        <v>45</v>
      </c>
      <c r="E35">
        <v>80</v>
      </c>
      <c r="F35">
        <v>50</v>
      </c>
      <c r="G35">
        <v>75</v>
      </c>
      <c r="H35">
        <v>60</v>
      </c>
      <c r="I35">
        <v>120</v>
      </c>
      <c r="J35">
        <v>430</v>
      </c>
      <c r="K35">
        <v>71.67</v>
      </c>
      <c r="L35">
        <f t="shared" si="0"/>
        <v>4</v>
      </c>
    </row>
    <row r="36" spans="1:12">
      <c r="A36">
        <v>26</v>
      </c>
      <c r="B36" s="4" t="s">
        <v>3081</v>
      </c>
      <c r="C36" t="s">
        <v>47</v>
      </c>
      <c r="D36">
        <v>60</v>
      </c>
      <c r="E36">
        <v>90</v>
      </c>
      <c r="F36">
        <v>55</v>
      </c>
      <c r="G36">
        <v>90</v>
      </c>
      <c r="H36">
        <v>80</v>
      </c>
      <c r="I36">
        <v>110</v>
      </c>
      <c r="J36">
        <v>485</v>
      </c>
      <c r="K36">
        <v>80.83</v>
      </c>
      <c r="L36">
        <f t="shared" si="0"/>
        <v>4</v>
      </c>
    </row>
    <row r="37" spans="1:12" ht="15" customHeight="1">
      <c r="A37">
        <v>26</v>
      </c>
      <c r="B37" s="131" t="s">
        <v>2797</v>
      </c>
      <c r="C37" t="s">
        <v>2798</v>
      </c>
      <c r="D37">
        <v>60</v>
      </c>
      <c r="E37">
        <v>85</v>
      </c>
      <c r="F37">
        <v>50</v>
      </c>
      <c r="G37">
        <v>95</v>
      </c>
      <c r="H37">
        <v>85</v>
      </c>
      <c r="I37">
        <v>110</v>
      </c>
      <c r="J37">
        <v>485</v>
      </c>
      <c r="K37">
        <v>80.83</v>
      </c>
      <c r="L37">
        <f t="shared" si="0"/>
        <v>4</v>
      </c>
    </row>
    <row r="38" spans="1:12">
      <c r="A38">
        <v>27</v>
      </c>
      <c r="B38" s="4" t="s">
        <v>3082</v>
      </c>
      <c r="C38" t="s">
        <v>48</v>
      </c>
      <c r="D38">
        <v>50</v>
      </c>
      <c r="E38">
        <v>75</v>
      </c>
      <c r="F38">
        <v>85</v>
      </c>
      <c r="G38">
        <v>20</v>
      </c>
      <c r="H38">
        <v>30</v>
      </c>
      <c r="I38">
        <v>40</v>
      </c>
      <c r="J38">
        <v>300</v>
      </c>
      <c r="K38">
        <v>50</v>
      </c>
      <c r="L38">
        <f t="shared" si="0"/>
        <v>4</v>
      </c>
    </row>
    <row r="39" spans="1:12" ht="15" customHeight="1">
      <c r="A39">
        <v>27</v>
      </c>
      <c r="B39" s="131" t="s">
        <v>2799</v>
      </c>
      <c r="C39" t="s">
        <v>2800</v>
      </c>
      <c r="D39">
        <v>50</v>
      </c>
      <c r="E39">
        <v>75</v>
      </c>
      <c r="F39">
        <v>90</v>
      </c>
      <c r="G39">
        <v>10</v>
      </c>
      <c r="H39">
        <v>35</v>
      </c>
      <c r="I39">
        <v>40</v>
      </c>
      <c r="J39">
        <v>300</v>
      </c>
      <c r="K39">
        <v>50</v>
      </c>
      <c r="L39">
        <f t="shared" si="0"/>
        <v>4</v>
      </c>
    </row>
    <row r="40" spans="1:12">
      <c r="A40">
        <v>28</v>
      </c>
      <c r="B40" s="4" t="s">
        <v>3083</v>
      </c>
      <c r="C40" t="s">
        <v>50</v>
      </c>
      <c r="D40">
        <v>75</v>
      </c>
      <c r="E40">
        <v>100</v>
      </c>
      <c r="F40">
        <v>110</v>
      </c>
      <c r="G40">
        <v>45</v>
      </c>
      <c r="H40">
        <v>55</v>
      </c>
      <c r="I40">
        <v>65</v>
      </c>
      <c r="J40">
        <v>450</v>
      </c>
      <c r="K40">
        <v>75</v>
      </c>
      <c r="L40">
        <f t="shared" si="0"/>
        <v>4</v>
      </c>
    </row>
    <row r="41" spans="1:12" ht="15" customHeight="1">
      <c r="A41">
        <v>28</v>
      </c>
      <c r="B41" s="131" t="s">
        <v>2801</v>
      </c>
      <c r="C41" t="s">
        <v>2802</v>
      </c>
      <c r="D41">
        <v>75</v>
      </c>
      <c r="E41">
        <v>100</v>
      </c>
      <c r="F41">
        <v>120</v>
      </c>
      <c r="G41">
        <v>25</v>
      </c>
      <c r="H41">
        <v>65</v>
      </c>
      <c r="I41">
        <v>65</v>
      </c>
      <c r="J41">
        <v>450</v>
      </c>
      <c r="K41">
        <v>75</v>
      </c>
      <c r="L41">
        <f t="shared" si="0"/>
        <v>4</v>
      </c>
    </row>
    <row r="42" spans="1:12">
      <c r="A42">
        <v>29</v>
      </c>
      <c r="B42" s="4" t="s">
        <v>3084</v>
      </c>
      <c r="C42" t="s">
        <v>2131</v>
      </c>
      <c r="D42">
        <v>55</v>
      </c>
      <c r="E42">
        <v>47</v>
      </c>
      <c r="F42">
        <v>52</v>
      </c>
      <c r="G42">
        <v>40</v>
      </c>
      <c r="H42">
        <v>40</v>
      </c>
      <c r="I42">
        <v>41</v>
      </c>
      <c r="J42">
        <v>275</v>
      </c>
      <c r="K42">
        <v>45.83</v>
      </c>
      <c r="L42">
        <f t="shared" si="0"/>
        <v>4</v>
      </c>
    </row>
    <row r="43" spans="1:12">
      <c r="A43">
        <v>30</v>
      </c>
      <c r="B43" s="4" t="s">
        <v>3085</v>
      </c>
      <c r="C43" t="s">
        <v>51</v>
      </c>
      <c r="D43">
        <v>70</v>
      </c>
      <c r="E43">
        <v>62</v>
      </c>
      <c r="F43">
        <v>67</v>
      </c>
      <c r="G43">
        <v>55</v>
      </c>
      <c r="H43">
        <v>55</v>
      </c>
      <c r="I43">
        <v>56</v>
      </c>
      <c r="J43">
        <v>365</v>
      </c>
      <c r="K43">
        <v>60.83</v>
      </c>
      <c r="L43">
        <f t="shared" si="0"/>
        <v>4</v>
      </c>
    </row>
    <row r="44" spans="1:12">
      <c r="A44">
        <v>31</v>
      </c>
      <c r="B44" s="4" t="s">
        <v>3086</v>
      </c>
      <c r="C44" t="s">
        <v>52</v>
      </c>
      <c r="D44">
        <v>90</v>
      </c>
      <c r="E44">
        <v>92</v>
      </c>
      <c r="F44">
        <v>87</v>
      </c>
      <c r="G44">
        <v>75</v>
      </c>
      <c r="H44">
        <v>85</v>
      </c>
      <c r="I44">
        <v>76</v>
      </c>
      <c r="J44">
        <v>505</v>
      </c>
      <c r="K44">
        <v>84.17</v>
      </c>
      <c r="L44">
        <f t="shared" si="0"/>
        <v>4</v>
      </c>
    </row>
    <row r="45" spans="1:12">
      <c r="A45">
        <v>32</v>
      </c>
      <c r="B45" s="4" t="s">
        <v>3087</v>
      </c>
      <c r="C45" t="s">
        <v>2132</v>
      </c>
      <c r="D45">
        <v>46</v>
      </c>
      <c r="E45">
        <v>57</v>
      </c>
      <c r="F45">
        <v>40</v>
      </c>
      <c r="G45">
        <v>40</v>
      </c>
      <c r="H45">
        <v>40</v>
      </c>
      <c r="I45">
        <v>50</v>
      </c>
      <c r="J45">
        <v>273</v>
      </c>
      <c r="K45">
        <v>45.5</v>
      </c>
      <c r="L45">
        <f t="shared" si="0"/>
        <v>4</v>
      </c>
    </row>
    <row r="46" spans="1:12">
      <c r="A46">
        <v>33</v>
      </c>
      <c r="B46" s="4" t="s">
        <v>3088</v>
      </c>
      <c r="C46" t="s">
        <v>53</v>
      </c>
      <c r="D46">
        <v>61</v>
      </c>
      <c r="E46">
        <v>72</v>
      </c>
      <c r="F46">
        <v>57</v>
      </c>
      <c r="G46">
        <v>55</v>
      </c>
      <c r="H46">
        <v>55</v>
      </c>
      <c r="I46">
        <v>65</v>
      </c>
      <c r="J46">
        <v>365</v>
      </c>
      <c r="K46">
        <v>60.83</v>
      </c>
      <c r="L46">
        <f t="shared" si="0"/>
        <v>4</v>
      </c>
    </row>
    <row r="47" spans="1:12">
      <c r="A47">
        <v>34</v>
      </c>
      <c r="B47" s="4" t="s">
        <v>3089</v>
      </c>
      <c r="C47" t="s">
        <v>54</v>
      </c>
      <c r="D47">
        <v>81</v>
      </c>
      <c r="E47">
        <v>102</v>
      </c>
      <c r="F47">
        <v>77</v>
      </c>
      <c r="G47">
        <v>85</v>
      </c>
      <c r="H47">
        <v>75</v>
      </c>
      <c r="I47">
        <v>85</v>
      </c>
      <c r="J47">
        <v>505</v>
      </c>
      <c r="K47">
        <v>84.17</v>
      </c>
      <c r="L47">
        <f t="shared" si="0"/>
        <v>4</v>
      </c>
    </row>
    <row r="48" spans="1:12">
      <c r="A48">
        <v>35</v>
      </c>
      <c r="B48" s="4" t="s">
        <v>3090</v>
      </c>
      <c r="C48" t="s">
        <v>55</v>
      </c>
      <c r="D48">
        <v>70</v>
      </c>
      <c r="E48">
        <v>45</v>
      </c>
      <c r="F48">
        <v>48</v>
      </c>
      <c r="G48">
        <v>60</v>
      </c>
      <c r="H48">
        <v>65</v>
      </c>
      <c r="I48">
        <v>35</v>
      </c>
      <c r="J48">
        <v>323</v>
      </c>
      <c r="K48">
        <v>53.83</v>
      </c>
      <c r="L48">
        <f t="shared" si="0"/>
        <v>4</v>
      </c>
    </row>
    <row r="49" spans="1:12">
      <c r="A49">
        <v>36</v>
      </c>
      <c r="B49" s="4" t="s">
        <v>3091</v>
      </c>
      <c r="C49" t="s">
        <v>57</v>
      </c>
      <c r="D49">
        <v>95</v>
      </c>
      <c r="E49">
        <v>70</v>
      </c>
      <c r="F49">
        <v>73</v>
      </c>
      <c r="G49">
        <v>95</v>
      </c>
      <c r="H49">
        <v>90</v>
      </c>
      <c r="I49">
        <v>60</v>
      </c>
      <c r="J49">
        <v>483</v>
      </c>
      <c r="K49">
        <v>80.5</v>
      </c>
      <c r="L49">
        <f t="shared" si="0"/>
        <v>4</v>
      </c>
    </row>
    <row r="50" spans="1:12">
      <c r="A50">
        <v>37</v>
      </c>
      <c r="B50" s="4" t="s">
        <v>3092</v>
      </c>
      <c r="C50" t="s">
        <v>58</v>
      </c>
      <c r="D50">
        <v>38</v>
      </c>
      <c r="E50">
        <v>41</v>
      </c>
      <c r="F50">
        <v>40</v>
      </c>
      <c r="G50">
        <v>50</v>
      </c>
      <c r="H50">
        <v>65</v>
      </c>
      <c r="I50">
        <v>65</v>
      </c>
      <c r="J50">
        <v>299</v>
      </c>
      <c r="K50">
        <v>49.83</v>
      </c>
      <c r="L50">
        <f t="shared" si="0"/>
        <v>4</v>
      </c>
    </row>
    <row r="51" spans="1:12" ht="15" customHeight="1">
      <c r="A51">
        <v>37</v>
      </c>
      <c r="B51" s="131" t="s">
        <v>2803</v>
      </c>
      <c r="C51" t="s">
        <v>2804</v>
      </c>
      <c r="D51">
        <v>38</v>
      </c>
      <c r="E51">
        <v>41</v>
      </c>
      <c r="F51">
        <v>40</v>
      </c>
      <c r="G51">
        <v>50</v>
      </c>
      <c r="H51">
        <v>65</v>
      </c>
      <c r="I51">
        <v>65</v>
      </c>
      <c r="J51">
        <v>299</v>
      </c>
      <c r="K51">
        <v>49.83</v>
      </c>
      <c r="L51">
        <f t="shared" si="0"/>
        <v>4</v>
      </c>
    </row>
    <row r="52" spans="1:12">
      <c r="A52">
        <v>38</v>
      </c>
      <c r="B52" s="4" t="s">
        <v>3093</v>
      </c>
      <c r="C52" t="s">
        <v>59</v>
      </c>
      <c r="D52">
        <v>73</v>
      </c>
      <c r="E52">
        <v>76</v>
      </c>
      <c r="F52">
        <v>75</v>
      </c>
      <c r="G52">
        <v>81</v>
      </c>
      <c r="H52">
        <v>100</v>
      </c>
      <c r="I52">
        <v>100</v>
      </c>
      <c r="J52">
        <v>505</v>
      </c>
      <c r="K52">
        <v>84.17</v>
      </c>
      <c r="L52">
        <f t="shared" si="0"/>
        <v>4</v>
      </c>
    </row>
    <row r="53" spans="1:12" ht="15" customHeight="1">
      <c r="A53">
        <v>38</v>
      </c>
      <c r="B53" s="131" t="s">
        <v>2805</v>
      </c>
      <c r="C53" t="s">
        <v>2806</v>
      </c>
      <c r="D53">
        <v>73</v>
      </c>
      <c r="E53">
        <v>67</v>
      </c>
      <c r="F53">
        <v>75</v>
      </c>
      <c r="G53">
        <v>81</v>
      </c>
      <c r="H53">
        <v>100</v>
      </c>
      <c r="I53">
        <v>109</v>
      </c>
      <c r="J53">
        <v>505</v>
      </c>
      <c r="K53">
        <v>84.17</v>
      </c>
      <c r="L53">
        <f t="shared" si="0"/>
        <v>4</v>
      </c>
    </row>
    <row r="54" spans="1:12">
      <c r="A54">
        <v>39</v>
      </c>
      <c r="B54" s="4" t="s">
        <v>3094</v>
      </c>
      <c r="C54" t="s">
        <v>60</v>
      </c>
      <c r="D54">
        <v>115</v>
      </c>
      <c r="E54">
        <v>45</v>
      </c>
      <c r="F54">
        <v>20</v>
      </c>
      <c r="G54">
        <v>45</v>
      </c>
      <c r="H54">
        <v>25</v>
      </c>
      <c r="I54">
        <v>20</v>
      </c>
      <c r="J54">
        <v>270</v>
      </c>
      <c r="K54">
        <v>45</v>
      </c>
      <c r="L54">
        <f t="shared" si="0"/>
        <v>4</v>
      </c>
    </row>
    <row r="55" spans="1:12">
      <c r="A55">
        <v>40</v>
      </c>
      <c r="B55" s="4" t="s">
        <v>3095</v>
      </c>
      <c r="C55" t="s">
        <v>61</v>
      </c>
      <c r="D55">
        <v>140</v>
      </c>
      <c r="E55">
        <v>70</v>
      </c>
      <c r="F55">
        <v>45</v>
      </c>
      <c r="G55">
        <v>85</v>
      </c>
      <c r="H55">
        <v>50</v>
      </c>
      <c r="I55">
        <v>45</v>
      </c>
      <c r="J55">
        <v>435</v>
      </c>
      <c r="K55">
        <v>72.5</v>
      </c>
      <c r="L55">
        <f t="shared" si="0"/>
        <v>4</v>
      </c>
    </row>
    <row r="56" spans="1:12">
      <c r="A56">
        <v>41</v>
      </c>
      <c r="B56" s="4" t="s">
        <v>3096</v>
      </c>
      <c r="C56" t="s">
        <v>62</v>
      </c>
      <c r="D56">
        <v>40</v>
      </c>
      <c r="E56">
        <v>45</v>
      </c>
      <c r="F56">
        <v>35</v>
      </c>
      <c r="G56">
        <v>30</v>
      </c>
      <c r="H56">
        <v>40</v>
      </c>
      <c r="I56">
        <v>55</v>
      </c>
      <c r="J56">
        <v>245</v>
      </c>
      <c r="K56">
        <v>40.83</v>
      </c>
      <c r="L56">
        <f t="shared" si="0"/>
        <v>4</v>
      </c>
    </row>
    <row r="57" spans="1:12">
      <c r="A57">
        <v>42</v>
      </c>
      <c r="B57" s="4" t="s">
        <v>3097</v>
      </c>
      <c r="C57" t="s">
        <v>63</v>
      </c>
      <c r="D57">
        <v>75</v>
      </c>
      <c r="E57">
        <v>80</v>
      </c>
      <c r="F57">
        <v>70</v>
      </c>
      <c r="G57">
        <v>65</v>
      </c>
      <c r="H57">
        <v>75</v>
      </c>
      <c r="I57">
        <v>90</v>
      </c>
      <c r="J57">
        <v>455</v>
      </c>
      <c r="K57">
        <v>75.83</v>
      </c>
      <c r="L57">
        <f t="shared" si="0"/>
        <v>4</v>
      </c>
    </row>
    <row r="58" spans="1:12">
      <c r="A58">
        <v>43</v>
      </c>
      <c r="B58" s="4" t="s">
        <v>3098</v>
      </c>
      <c r="C58" t="s">
        <v>64</v>
      </c>
      <c r="D58">
        <v>45</v>
      </c>
      <c r="E58">
        <v>50</v>
      </c>
      <c r="F58">
        <v>55</v>
      </c>
      <c r="G58">
        <v>75</v>
      </c>
      <c r="H58">
        <v>65</v>
      </c>
      <c r="I58">
        <v>30</v>
      </c>
      <c r="J58">
        <v>320</v>
      </c>
      <c r="K58">
        <v>53.33</v>
      </c>
      <c r="L58">
        <f t="shared" si="0"/>
        <v>4</v>
      </c>
    </row>
    <row r="59" spans="1:12">
      <c r="A59">
        <v>44</v>
      </c>
      <c r="B59" s="4" t="s">
        <v>3099</v>
      </c>
      <c r="C59" t="s">
        <v>65</v>
      </c>
      <c r="D59">
        <v>60</v>
      </c>
      <c r="E59">
        <v>65</v>
      </c>
      <c r="F59">
        <v>70</v>
      </c>
      <c r="G59">
        <v>85</v>
      </c>
      <c r="H59">
        <v>75</v>
      </c>
      <c r="I59">
        <v>40</v>
      </c>
      <c r="J59">
        <v>395</v>
      </c>
      <c r="K59">
        <v>65.83</v>
      </c>
      <c r="L59">
        <f t="shared" si="0"/>
        <v>4</v>
      </c>
    </row>
    <row r="60" spans="1:12">
      <c r="A60">
        <v>45</v>
      </c>
      <c r="B60" s="4" t="s">
        <v>3100</v>
      </c>
      <c r="C60" t="s">
        <v>66</v>
      </c>
      <c r="D60">
        <v>75</v>
      </c>
      <c r="E60">
        <v>80</v>
      </c>
      <c r="F60">
        <v>85</v>
      </c>
      <c r="G60">
        <v>110</v>
      </c>
      <c r="H60">
        <v>90</v>
      </c>
      <c r="I60">
        <v>50</v>
      </c>
      <c r="J60">
        <v>490</v>
      </c>
      <c r="K60">
        <v>81.67</v>
      </c>
      <c r="L60">
        <f t="shared" si="0"/>
        <v>4</v>
      </c>
    </row>
    <row r="61" spans="1:12">
      <c r="A61">
        <v>46</v>
      </c>
      <c r="B61" s="4" t="s">
        <v>3101</v>
      </c>
      <c r="C61" t="s">
        <v>67</v>
      </c>
      <c r="D61">
        <v>35</v>
      </c>
      <c r="E61">
        <v>70</v>
      </c>
      <c r="F61">
        <v>55</v>
      </c>
      <c r="G61">
        <v>45</v>
      </c>
      <c r="H61">
        <v>55</v>
      </c>
      <c r="I61">
        <v>25</v>
      </c>
      <c r="J61">
        <v>285</v>
      </c>
      <c r="K61">
        <v>47.5</v>
      </c>
      <c r="L61">
        <f t="shared" si="0"/>
        <v>4</v>
      </c>
    </row>
    <row r="62" spans="1:12">
      <c r="A62">
        <v>47</v>
      </c>
      <c r="B62" s="4" t="s">
        <v>3102</v>
      </c>
      <c r="C62" t="s">
        <v>68</v>
      </c>
      <c r="D62">
        <v>60</v>
      </c>
      <c r="E62">
        <v>95</v>
      </c>
      <c r="F62">
        <v>80</v>
      </c>
      <c r="G62">
        <v>60</v>
      </c>
      <c r="H62">
        <v>80</v>
      </c>
      <c r="I62">
        <v>30</v>
      </c>
      <c r="J62">
        <v>405</v>
      </c>
      <c r="K62">
        <v>67.5</v>
      </c>
      <c r="L62">
        <f t="shared" si="0"/>
        <v>4</v>
      </c>
    </row>
    <row r="63" spans="1:12">
      <c r="A63">
        <v>48</v>
      </c>
      <c r="B63" s="4" t="s">
        <v>3103</v>
      </c>
      <c r="C63" t="s">
        <v>69</v>
      </c>
      <c r="D63">
        <v>60</v>
      </c>
      <c r="E63">
        <v>55</v>
      </c>
      <c r="F63">
        <v>50</v>
      </c>
      <c r="G63">
        <v>40</v>
      </c>
      <c r="H63">
        <v>55</v>
      </c>
      <c r="I63">
        <v>45</v>
      </c>
      <c r="J63">
        <v>305</v>
      </c>
      <c r="K63">
        <v>50.83</v>
      </c>
      <c r="L63">
        <f t="shared" si="0"/>
        <v>4</v>
      </c>
    </row>
    <row r="64" spans="1:12">
      <c r="A64">
        <v>49</v>
      </c>
      <c r="B64" s="4" t="s">
        <v>3104</v>
      </c>
      <c r="C64" t="s">
        <v>70</v>
      </c>
      <c r="D64">
        <v>70</v>
      </c>
      <c r="E64">
        <v>65</v>
      </c>
      <c r="F64">
        <v>60</v>
      </c>
      <c r="G64">
        <v>90</v>
      </c>
      <c r="H64">
        <v>75</v>
      </c>
      <c r="I64">
        <v>90</v>
      </c>
      <c r="J64">
        <v>450</v>
      </c>
      <c r="K64">
        <v>75</v>
      </c>
      <c r="L64">
        <f t="shared" si="0"/>
        <v>4</v>
      </c>
    </row>
    <row r="65" spans="1:12">
      <c r="A65">
        <v>50</v>
      </c>
      <c r="B65" s="4" t="s">
        <v>3105</v>
      </c>
      <c r="C65" t="s">
        <v>71</v>
      </c>
      <c r="D65">
        <v>10</v>
      </c>
      <c r="E65">
        <v>55</v>
      </c>
      <c r="F65">
        <v>25</v>
      </c>
      <c r="G65">
        <v>35</v>
      </c>
      <c r="H65">
        <v>45</v>
      </c>
      <c r="I65">
        <v>95</v>
      </c>
      <c r="J65">
        <v>265</v>
      </c>
      <c r="K65">
        <v>44.17</v>
      </c>
      <c r="L65">
        <f t="shared" si="0"/>
        <v>4</v>
      </c>
    </row>
    <row r="66" spans="1:12" ht="15" customHeight="1">
      <c r="A66">
        <v>50</v>
      </c>
      <c r="B66" s="131" t="s">
        <v>2807</v>
      </c>
      <c r="C66" t="s">
        <v>2808</v>
      </c>
      <c r="D66">
        <v>10</v>
      </c>
      <c r="E66">
        <v>55</v>
      </c>
      <c r="F66">
        <v>30</v>
      </c>
      <c r="G66">
        <v>35</v>
      </c>
      <c r="H66">
        <v>45</v>
      </c>
      <c r="I66">
        <v>90</v>
      </c>
      <c r="J66">
        <v>265</v>
      </c>
      <c r="K66">
        <v>44.17</v>
      </c>
      <c r="L66">
        <f t="shared" si="0"/>
        <v>4</v>
      </c>
    </row>
    <row r="67" spans="1:12">
      <c r="A67">
        <v>51</v>
      </c>
      <c r="B67" s="4" t="s">
        <v>3106</v>
      </c>
      <c r="C67" t="s">
        <v>72</v>
      </c>
      <c r="D67">
        <v>35</v>
      </c>
      <c r="E67">
        <v>100</v>
      </c>
      <c r="F67">
        <v>50</v>
      </c>
      <c r="G67">
        <v>50</v>
      </c>
      <c r="H67">
        <v>70</v>
      </c>
      <c r="I67">
        <v>120</v>
      </c>
      <c r="J67">
        <v>425</v>
      </c>
      <c r="K67">
        <v>70.83</v>
      </c>
      <c r="L67">
        <f t="shared" ref="L67:L130" si="1">LEN(B67)</f>
        <v>4</v>
      </c>
    </row>
    <row r="68" spans="1:12" ht="15" customHeight="1">
      <c r="A68">
        <v>51</v>
      </c>
      <c r="B68" s="131" t="s">
        <v>2809</v>
      </c>
      <c r="C68" t="s">
        <v>2810</v>
      </c>
      <c r="D68">
        <v>35</v>
      </c>
      <c r="E68">
        <v>100</v>
      </c>
      <c r="F68">
        <v>60</v>
      </c>
      <c r="G68">
        <v>50</v>
      </c>
      <c r="H68">
        <v>70</v>
      </c>
      <c r="I68">
        <v>110</v>
      </c>
      <c r="J68">
        <v>425</v>
      </c>
      <c r="K68">
        <v>70.83</v>
      </c>
      <c r="L68">
        <f t="shared" si="1"/>
        <v>4</v>
      </c>
    </row>
    <row r="69" spans="1:12">
      <c r="A69">
        <v>52</v>
      </c>
      <c r="B69" s="4" t="s">
        <v>3107</v>
      </c>
      <c r="C69" t="s">
        <v>73</v>
      </c>
      <c r="D69">
        <v>40</v>
      </c>
      <c r="E69">
        <v>45</v>
      </c>
      <c r="F69">
        <v>35</v>
      </c>
      <c r="G69">
        <v>40</v>
      </c>
      <c r="H69">
        <v>40</v>
      </c>
      <c r="I69">
        <v>90</v>
      </c>
      <c r="J69">
        <v>290</v>
      </c>
      <c r="K69">
        <v>48.33</v>
      </c>
      <c r="L69">
        <f t="shared" si="1"/>
        <v>4</v>
      </c>
    </row>
    <row r="70" spans="1:12" ht="15" customHeight="1">
      <c r="A70">
        <v>52</v>
      </c>
      <c r="B70" s="131" t="s">
        <v>2811</v>
      </c>
      <c r="C70" t="s">
        <v>2812</v>
      </c>
      <c r="D70">
        <v>40</v>
      </c>
      <c r="E70">
        <v>35</v>
      </c>
      <c r="F70">
        <v>35</v>
      </c>
      <c r="G70">
        <v>50</v>
      </c>
      <c r="H70">
        <v>40</v>
      </c>
      <c r="I70">
        <v>90</v>
      </c>
      <c r="J70">
        <v>290</v>
      </c>
      <c r="K70">
        <v>48.33</v>
      </c>
      <c r="L70">
        <f t="shared" si="1"/>
        <v>4</v>
      </c>
    </row>
    <row r="71" spans="1:12" ht="15" customHeight="1">
      <c r="A71">
        <v>52</v>
      </c>
      <c r="B71" s="131" t="s">
        <v>2813</v>
      </c>
      <c r="C71" t="s">
        <v>2814</v>
      </c>
      <c r="D71">
        <v>50</v>
      </c>
      <c r="E71">
        <v>65</v>
      </c>
      <c r="F71">
        <v>55</v>
      </c>
      <c r="G71">
        <v>40</v>
      </c>
      <c r="H71">
        <v>40</v>
      </c>
      <c r="I71">
        <v>40</v>
      </c>
      <c r="J71">
        <v>290</v>
      </c>
      <c r="K71">
        <v>48.33</v>
      </c>
      <c r="L71">
        <f t="shared" si="1"/>
        <v>4</v>
      </c>
    </row>
    <row r="72" spans="1:12">
      <c r="A72">
        <v>53</v>
      </c>
      <c r="B72" s="4" t="s">
        <v>3108</v>
      </c>
      <c r="C72" t="s">
        <v>74</v>
      </c>
      <c r="D72">
        <v>65</v>
      </c>
      <c r="E72">
        <v>70</v>
      </c>
      <c r="F72">
        <v>60</v>
      </c>
      <c r="G72">
        <v>65</v>
      </c>
      <c r="H72">
        <v>65</v>
      </c>
      <c r="I72">
        <v>115</v>
      </c>
      <c r="J72">
        <v>440</v>
      </c>
      <c r="K72">
        <v>73.33</v>
      </c>
      <c r="L72">
        <f t="shared" si="1"/>
        <v>4</v>
      </c>
    </row>
    <row r="73" spans="1:12" ht="15" customHeight="1">
      <c r="A73">
        <v>53</v>
      </c>
      <c r="B73" s="131" t="s">
        <v>2815</v>
      </c>
      <c r="C73" t="s">
        <v>2816</v>
      </c>
      <c r="D73">
        <v>65</v>
      </c>
      <c r="E73">
        <v>60</v>
      </c>
      <c r="F73">
        <v>60</v>
      </c>
      <c r="G73">
        <v>75</v>
      </c>
      <c r="H73">
        <v>65</v>
      </c>
      <c r="I73">
        <v>115</v>
      </c>
      <c r="J73">
        <v>440</v>
      </c>
      <c r="K73">
        <v>73.33</v>
      </c>
      <c r="L73">
        <f t="shared" si="1"/>
        <v>4</v>
      </c>
    </row>
    <row r="74" spans="1:12">
      <c r="A74">
        <v>54</v>
      </c>
      <c r="B74" s="4" t="s">
        <v>3109</v>
      </c>
      <c r="C74" t="s">
        <v>75</v>
      </c>
      <c r="D74">
        <v>50</v>
      </c>
      <c r="E74">
        <v>52</v>
      </c>
      <c r="F74">
        <v>48</v>
      </c>
      <c r="G74">
        <v>65</v>
      </c>
      <c r="H74">
        <v>50</v>
      </c>
      <c r="I74">
        <v>55</v>
      </c>
      <c r="J74">
        <v>320</v>
      </c>
      <c r="K74">
        <v>53.33</v>
      </c>
      <c r="L74">
        <f t="shared" si="1"/>
        <v>4</v>
      </c>
    </row>
    <row r="75" spans="1:12">
      <c r="A75">
        <v>55</v>
      </c>
      <c r="B75" s="4" t="s">
        <v>3110</v>
      </c>
      <c r="C75" t="s">
        <v>76</v>
      </c>
      <c r="D75">
        <v>80</v>
      </c>
      <c r="E75">
        <v>82</v>
      </c>
      <c r="F75">
        <v>78</v>
      </c>
      <c r="G75">
        <v>95</v>
      </c>
      <c r="H75">
        <v>80</v>
      </c>
      <c r="I75">
        <v>85</v>
      </c>
      <c r="J75">
        <v>500</v>
      </c>
      <c r="K75">
        <v>83.33</v>
      </c>
      <c r="L75">
        <f t="shared" si="1"/>
        <v>4</v>
      </c>
    </row>
    <row r="76" spans="1:12">
      <c r="A76">
        <v>56</v>
      </c>
      <c r="B76" s="4" t="s">
        <v>3111</v>
      </c>
      <c r="C76" t="s">
        <v>77</v>
      </c>
      <c r="D76">
        <v>40</v>
      </c>
      <c r="E76">
        <v>80</v>
      </c>
      <c r="F76">
        <v>35</v>
      </c>
      <c r="G76">
        <v>35</v>
      </c>
      <c r="H76">
        <v>45</v>
      </c>
      <c r="I76">
        <v>70</v>
      </c>
      <c r="J76">
        <v>305</v>
      </c>
      <c r="K76">
        <v>50.83</v>
      </c>
      <c r="L76">
        <f t="shared" si="1"/>
        <v>4</v>
      </c>
    </row>
    <row r="77" spans="1:12">
      <c r="A77">
        <v>57</v>
      </c>
      <c r="B77" s="4" t="s">
        <v>3112</v>
      </c>
      <c r="C77" t="s">
        <v>79</v>
      </c>
      <c r="D77">
        <v>65</v>
      </c>
      <c r="E77">
        <v>105</v>
      </c>
      <c r="F77">
        <v>60</v>
      </c>
      <c r="G77">
        <v>60</v>
      </c>
      <c r="H77">
        <v>70</v>
      </c>
      <c r="I77">
        <v>95</v>
      </c>
      <c r="J77">
        <v>455</v>
      </c>
      <c r="K77">
        <v>75.83</v>
      </c>
      <c r="L77">
        <f t="shared" si="1"/>
        <v>4</v>
      </c>
    </row>
    <row r="78" spans="1:12">
      <c r="A78">
        <v>58</v>
      </c>
      <c r="B78" s="4" t="s">
        <v>3113</v>
      </c>
      <c r="C78" t="s">
        <v>80</v>
      </c>
      <c r="D78">
        <v>55</v>
      </c>
      <c r="E78">
        <v>70</v>
      </c>
      <c r="F78">
        <v>45</v>
      </c>
      <c r="G78">
        <v>70</v>
      </c>
      <c r="H78">
        <v>50</v>
      </c>
      <c r="I78">
        <v>60</v>
      </c>
      <c r="J78">
        <v>350</v>
      </c>
      <c r="K78">
        <v>58.33</v>
      </c>
      <c r="L78">
        <f t="shared" si="1"/>
        <v>4</v>
      </c>
    </row>
    <row r="79" spans="1:12" ht="15" customHeight="1">
      <c r="A79">
        <v>58</v>
      </c>
      <c r="B79" s="131" t="s">
        <v>2817</v>
      </c>
      <c r="C79" t="s">
        <v>2818</v>
      </c>
      <c r="D79">
        <v>60</v>
      </c>
      <c r="E79">
        <v>75</v>
      </c>
      <c r="F79">
        <v>45</v>
      </c>
      <c r="G79">
        <v>65</v>
      </c>
      <c r="H79">
        <v>50</v>
      </c>
      <c r="I79">
        <v>55</v>
      </c>
      <c r="J79">
        <v>350</v>
      </c>
      <c r="K79">
        <v>58.33</v>
      </c>
      <c r="L79">
        <f t="shared" si="1"/>
        <v>4</v>
      </c>
    </row>
    <row r="80" spans="1:12">
      <c r="A80">
        <v>59</v>
      </c>
      <c r="B80" s="4" t="s">
        <v>3114</v>
      </c>
      <c r="C80" t="s">
        <v>81</v>
      </c>
      <c r="D80">
        <v>90</v>
      </c>
      <c r="E80">
        <v>110</v>
      </c>
      <c r="F80">
        <v>80</v>
      </c>
      <c r="G80">
        <v>100</v>
      </c>
      <c r="H80">
        <v>80</v>
      </c>
      <c r="I80">
        <v>95</v>
      </c>
      <c r="J80">
        <v>555</v>
      </c>
      <c r="K80">
        <v>92.5</v>
      </c>
      <c r="L80">
        <f t="shared" si="1"/>
        <v>4</v>
      </c>
    </row>
    <row r="81" spans="1:12" ht="15" customHeight="1">
      <c r="A81">
        <v>59</v>
      </c>
      <c r="B81" s="131" t="s">
        <v>2819</v>
      </c>
      <c r="C81" t="s">
        <v>2820</v>
      </c>
      <c r="D81">
        <v>95</v>
      </c>
      <c r="E81">
        <v>115</v>
      </c>
      <c r="F81">
        <v>80</v>
      </c>
      <c r="G81">
        <v>95</v>
      </c>
      <c r="H81">
        <v>80</v>
      </c>
      <c r="I81">
        <v>90</v>
      </c>
      <c r="J81">
        <v>555</v>
      </c>
      <c r="K81">
        <v>92.5</v>
      </c>
      <c r="L81">
        <f t="shared" si="1"/>
        <v>4</v>
      </c>
    </row>
    <row r="82" spans="1:12">
      <c r="A82">
        <v>60</v>
      </c>
      <c r="B82" s="4" t="s">
        <v>3115</v>
      </c>
      <c r="C82" t="s">
        <v>82</v>
      </c>
      <c r="D82">
        <v>40</v>
      </c>
      <c r="E82">
        <v>50</v>
      </c>
      <c r="F82">
        <v>40</v>
      </c>
      <c r="G82">
        <v>40</v>
      </c>
      <c r="H82">
        <v>40</v>
      </c>
      <c r="I82">
        <v>90</v>
      </c>
      <c r="J82">
        <v>300</v>
      </c>
      <c r="K82">
        <v>50</v>
      </c>
      <c r="L82">
        <f t="shared" si="1"/>
        <v>4</v>
      </c>
    </row>
    <row r="83" spans="1:12">
      <c r="A83">
        <v>61</v>
      </c>
      <c r="B83" s="4" t="s">
        <v>3116</v>
      </c>
      <c r="C83" t="s">
        <v>83</v>
      </c>
      <c r="D83">
        <v>65</v>
      </c>
      <c r="E83">
        <v>65</v>
      </c>
      <c r="F83">
        <v>65</v>
      </c>
      <c r="G83">
        <v>50</v>
      </c>
      <c r="H83">
        <v>50</v>
      </c>
      <c r="I83">
        <v>90</v>
      </c>
      <c r="J83">
        <v>385</v>
      </c>
      <c r="K83">
        <v>64.17</v>
      </c>
      <c r="L83">
        <f t="shared" si="1"/>
        <v>4</v>
      </c>
    </row>
    <row r="84" spans="1:12">
      <c r="A84">
        <v>62</v>
      </c>
      <c r="B84" s="4" t="s">
        <v>3117</v>
      </c>
      <c r="C84" t="s">
        <v>84</v>
      </c>
      <c r="D84">
        <v>90</v>
      </c>
      <c r="E84">
        <v>95</v>
      </c>
      <c r="F84">
        <v>95</v>
      </c>
      <c r="G84">
        <v>70</v>
      </c>
      <c r="H84">
        <v>90</v>
      </c>
      <c r="I84">
        <v>70</v>
      </c>
      <c r="J84">
        <v>510</v>
      </c>
      <c r="K84">
        <v>85</v>
      </c>
      <c r="L84">
        <f t="shared" si="1"/>
        <v>4</v>
      </c>
    </row>
    <row r="85" spans="1:12">
      <c r="A85">
        <v>63</v>
      </c>
      <c r="B85" s="4" t="s">
        <v>3118</v>
      </c>
      <c r="C85" t="s">
        <v>85</v>
      </c>
      <c r="D85">
        <v>25</v>
      </c>
      <c r="E85">
        <v>20</v>
      </c>
      <c r="F85">
        <v>15</v>
      </c>
      <c r="G85">
        <v>105</v>
      </c>
      <c r="H85">
        <v>55</v>
      </c>
      <c r="I85">
        <v>90</v>
      </c>
      <c r="J85">
        <v>310</v>
      </c>
      <c r="K85">
        <v>51.67</v>
      </c>
      <c r="L85">
        <f t="shared" si="1"/>
        <v>4</v>
      </c>
    </row>
    <row r="86" spans="1:12">
      <c r="A86">
        <v>64</v>
      </c>
      <c r="B86" s="4" t="s">
        <v>3119</v>
      </c>
      <c r="C86" t="s">
        <v>87</v>
      </c>
      <c r="D86">
        <v>40</v>
      </c>
      <c r="E86">
        <v>35</v>
      </c>
      <c r="F86">
        <v>30</v>
      </c>
      <c r="G86">
        <v>120</v>
      </c>
      <c r="H86">
        <v>70</v>
      </c>
      <c r="I86">
        <v>105</v>
      </c>
      <c r="J86">
        <v>400</v>
      </c>
      <c r="K86">
        <v>66.67</v>
      </c>
      <c r="L86">
        <f t="shared" si="1"/>
        <v>4</v>
      </c>
    </row>
    <row r="87" spans="1:12">
      <c r="A87">
        <v>65</v>
      </c>
      <c r="B87" s="4" t="s">
        <v>3120</v>
      </c>
      <c r="C87" t="s">
        <v>88</v>
      </c>
      <c r="D87">
        <v>55</v>
      </c>
      <c r="E87">
        <v>50</v>
      </c>
      <c r="F87">
        <v>45</v>
      </c>
      <c r="G87">
        <v>135</v>
      </c>
      <c r="H87">
        <v>95</v>
      </c>
      <c r="I87">
        <v>120</v>
      </c>
      <c r="J87">
        <v>500</v>
      </c>
      <c r="K87">
        <v>83.33</v>
      </c>
      <c r="L87">
        <f t="shared" si="1"/>
        <v>4</v>
      </c>
    </row>
    <row r="88" spans="1:12" ht="15" customHeight="1">
      <c r="A88">
        <v>65</v>
      </c>
      <c r="B88" s="131" t="s">
        <v>2821</v>
      </c>
      <c r="C88" t="s">
        <v>2822</v>
      </c>
      <c r="D88">
        <v>55</v>
      </c>
      <c r="E88">
        <v>50</v>
      </c>
      <c r="F88">
        <v>65</v>
      </c>
      <c r="G88">
        <v>175</v>
      </c>
      <c r="H88">
        <v>105</v>
      </c>
      <c r="I88">
        <v>150</v>
      </c>
      <c r="J88">
        <v>600</v>
      </c>
      <c r="K88">
        <v>100</v>
      </c>
      <c r="L88">
        <f t="shared" si="1"/>
        <v>4</v>
      </c>
    </row>
    <row r="89" spans="1:12">
      <c r="A89">
        <v>66</v>
      </c>
      <c r="B89" s="4" t="s">
        <v>3121</v>
      </c>
      <c r="C89" t="s">
        <v>89</v>
      </c>
      <c r="D89">
        <v>70</v>
      </c>
      <c r="E89">
        <v>80</v>
      </c>
      <c r="F89">
        <v>50</v>
      </c>
      <c r="G89">
        <v>35</v>
      </c>
      <c r="H89">
        <v>35</v>
      </c>
      <c r="I89">
        <v>35</v>
      </c>
      <c r="J89">
        <v>305</v>
      </c>
      <c r="K89">
        <v>50.83</v>
      </c>
      <c r="L89">
        <f t="shared" si="1"/>
        <v>4</v>
      </c>
    </row>
    <row r="90" spans="1:12">
      <c r="A90">
        <v>67</v>
      </c>
      <c r="B90" s="4" t="s">
        <v>3122</v>
      </c>
      <c r="C90" t="s">
        <v>90</v>
      </c>
      <c r="D90">
        <v>80</v>
      </c>
      <c r="E90">
        <v>100</v>
      </c>
      <c r="F90">
        <v>70</v>
      </c>
      <c r="G90">
        <v>50</v>
      </c>
      <c r="H90">
        <v>60</v>
      </c>
      <c r="I90">
        <v>45</v>
      </c>
      <c r="J90">
        <v>405</v>
      </c>
      <c r="K90">
        <v>67.5</v>
      </c>
      <c r="L90">
        <f t="shared" si="1"/>
        <v>4</v>
      </c>
    </row>
    <row r="91" spans="1:12">
      <c r="A91">
        <v>68</v>
      </c>
      <c r="B91" s="4" t="s">
        <v>3123</v>
      </c>
      <c r="C91" t="s">
        <v>91</v>
      </c>
      <c r="D91">
        <v>90</v>
      </c>
      <c r="E91">
        <v>130</v>
      </c>
      <c r="F91">
        <v>80</v>
      </c>
      <c r="G91">
        <v>65</v>
      </c>
      <c r="H91">
        <v>85</v>
      </c>
      <c r="I91">
        <v>55</v>
      </c>
      <c r="J91">
        <v>505</v>
      </c>
      <c r="K91">
        <v>84.17</v>
      </c>
      <c r="L91">
        <f t="shared" si="1"/>
        <v>4</v>
      </c>
    </row>
    <row r="92" spans="1:12">
      <c r="A92">
        <v>69</v>
      </c>
      <c r="B92" s="4" t="s">
        <v>3124</v>
      </c>
      <c r="C92" t="s">
        <v>92</v>
      </c>
      <c r="D92">
        <v>50</v>
      </c>
      <c r="E92">
        <v>75</v>
      </c>
      <c r="F92">
        <v>35</v>
      </c>
      <c r="G92">
        <v>70</v>
      </c>
      <c r="H92">
        <v>30</v>
      </c>
      <c r="I92">
        <v>40</v>
      </c>
      <c r="J92">
        <v>300</v>
      </c>
      <c r="K92">
        <v>50</v>
      </c>
      <c r="L92">
        <f t="shared" si="1"/>
        <v>4</v>
      </c>
    </row>
    <row r="93" spans="1:12">
      <c r="A93">
        <v>70</v>
      </c>
      <c r="B93" s="4" t="s">
        <v>3125</v>
      </c>
      <c r="C93" t="s">
        <v>93</v>
      </c>
      <c r="D93">
        <v>65</v>
      </c>
      <c r="E93">
        <v>90</v>
      </c>
      <c r="F93">
        <v>50</v>
      </c>
      <c r="G93">
        <v>85</v>
      </c>
      <c r="H93">
        <v>45</v>
      </c>
      <c r="I93">
        <v>55</v>
      </c>
      <c r="J93">
        <v>390</v>
      </c>
      <c r="K93">
        <v>65</v>
      </c>
      <c r="L93">
        <f t="shared" si="1"/>
        <v>4</v>
      </c>
    </row>
    <row r="94" spans="1:12">
      <c r="A94">
        <v>71</v>
      </c>
      <c r="B94" s="4" t="s">
        <v>3126</v>
      </c>
      <c r="C94" t="s">
        <v>94</v>
      </c>
      <c r="D94">
        <v>80</v>
      </c>
      <c r="E94">
        <v>105</v>
      </c>
      <c r="F94">
        <v>65</v>
      </c>
      <c r="G94">
        <v>100</v>
      </c>
      <c r="H94">
        <v>70</v>
      </c>
      <c r="I94">
        <v>70</v>
      </c>
      <c r="J94">
        <v>490</v>
      </c>
      <c r="K94">
        <v>81.67</v>
      </c>
      <c r="L94">
        <f t="shared" si="1"/>
        <v>4</v>
      </c>
    </row>
    <row r="95" spans="1:12">
      <c r="A95">
        <v>72</v>
      </c>
      <c r="B95" s="4" t="s">
        <v>3127</v>
      </c>
      <c r="C95" t="s">
        <v>95</v>
      </c>
      <c r="D95">
        <v>40</v>
      </c>
      <c r="E95">
        <v>40</v>
      </c>
      <c r="F95">
        <v>35</v>
      </c>
      <c r="G95">
        <v>50</v>
      </c>
      <c r="H95">
        <v>100</v>
      </c>
      <c r="I95">
        <v>70</v>
      </c>
      <c r="J95">
        <v>335</v>
      </c>
      <c r="K95">
        <v>55.83</v>
      </c>
      <c r="L95">
        <f t="shared" si="1"/>
        <v>4</v>
      </c>
    </row>
    <row r="96" spans="1:12">
      <c r="A96">
        <v>73</v>
      </c>
      <c r="B96" s="4" t="s">
        <v>3128</v>
      </c>
      <c r="C96" t="s">
        <v>96</v>
      </c>
      <c r="D96">
        <v>80</v>
      </c>
      <c r="E96">
        <v>70</v>
      </c>
      <c r="F96">
        <v>65</v>
      </c>
      <c r="G96">
        <v>80</v>
      </c>
      <c r="H96">
        <v>120</v>
      </c>
      <c r="I96">
        <v>100</v>
      </c>
      <c r="J96">
        <v>515</v>
      </c>
      <c r="K96">
        <v>85.83</v>
      </c>
      <c r="L96">
        <f t="shared" si="1"/>
        <v>4</v>
      </c>
    </row>
    <row r="97" spans="1:12">
      <c r="A97">
        <v>74</v>
      </c>
      <c r="B97" s="4" t="s">
        <v>3129</v>
      </c>
      <c r="C97" t="s">
        <v>97</v>
      </c>
      <c r="D97">
        <v>40</v>
      </c>
      <c r="E97">
        <v>80</v>
      </c>
      <c r="F97">
        <v>100</v>
      </c>
      <c r="G97">
        <v>30</v>
      </c>
      <c r="H97">
        <v>30</v>
      </c>
      <c r="I97">
        <v>20</v>
      </c>
      <c r="J97">
        <v>300</v>
      </c>
      <c r="K97">
        <v>50</v>
      </c>
      <c r="L97">
        <f t="shared" si="1"/>
        <v>4</v>
      </c>
    </row>
    <row r="98" spans="1:12" ht="15" customHeight="1">
      <c r="A98">
        <v>74</v>
      </c>
      <c r="B98" s="131" t="s">
        <v>2823</v>
      </c>
      <c r="C98" t="s">
        <v>2824</v>
      </c>
      <c r="D98">
        <v>40</v>
      </c>
      <c r="E98">
        <v>80</v>
      </c>
      <c r="F98">
        <v>100</v>
      </c>
      <c r="G98">
        <v>30</v>
      </c>
      <c r="H98">
        <v>30</v>
      </c>
      <c r="I98">
        <v>20</v>
      </c>
      <c r="J98">
        <v>300</v>
      </c>
      <c r="K98">
        <v>50</v>
      </c>
      <c r="L98">
        <f t="shared" si="1"/>
        <v>4</v>
      </c>
    </row>
    <row r="99" spans="1:12">
      <c r="A99">
        <v>75</v>
      </c>
      <c r="B99" s="4" t="s">
        <v>3130</v>
      </c>
      <c r="C99" t="s">
        <v>99</v>
      </c>
      <c r="D99">
        <v>55</v>
      </c>
      <c r="E99">
        <v>95</v>
      </c>
      <c r="F99">
        <v>115</v>
      </c>
      <c r="G99">
        <v>45</v>
      </c>
      <c r="H99">
        <v>45</v>
      </c>
      <c r="I99">
        <v>35</v>
      </c>
      <c r="J99">
        <v>390</v>
      </c>
      <c r="K99">
        <v>65</v>
      </c>
      <c r="L99">
        <f t="shared" si="1"/>
        <v>4</v>
      </c>
    </row>
    <row r="100" spans="1:12" ht="15" customHeight="1">
      <c r="A100">
        <v>75</v>
      </c>
      <c r="B100" s="131" t="s">
        <v>2825</v>
      </c>
      <c r="C100" t="s">
        <v>2826</v>
      </c>
      <c r="D100">
        <v>55</v>
      </c>
      <c r="E100">
        <v>95</v>
      </c>
      <c r="F100">
        <v>115</v>
      </c>
      <c r="G100">
        <v>45</v>
      </c>
      <c r="H100">
        <v>45</v>
      </c>
      <c r="I100">
        <v>35</v>
      </c>
      <c r="J100">
        <v>390</v>
      </c>
      <c r="K100">
        <v>65</v>
      </c>
      <c r="L100">
        <f t="shared" si="1"/>
        <v>4</v>
      </c>
    </row>
    <row r="101" spans="1:12">
      <c r="A101">
        <v>76</v>
      </c>
      <c r="B101" s="4" t="s">
        <v>3131</v>
      </c>
      <c r="C101" t="s">
        <v>100</v>
      </c>
      <c r="D101">
        <v>80</v>
      </c>
      <c r="E101">
        <v>120</v>
      </c>
      <c r="F101">
        <v>130</v>
      </c>
      <c r="G101">
        <v>55</v>
      </c>
      <c r="H101">
        <v>65</v>
      </c>
      <c r="I101">
        <v>45</v>
      </c>
      <c r="J101">
        <v>495</v>
      </c>
      <c r="K101">
        <v>82.5</v>
      </c>
      <c r="L101">
        <f t="shared" si="1"/>
        <v>4</v>
      </c>
    </row>
    <row r="102" spans="1:12" ht="15" customHeight="1">
      <c r="A102">
        <v>76</v>
      </c>
      <c r="B102" s="131" t="s">
        <v>2827</v>
      </c>
      <c r="C102" t="s">
        <v>2828</v>
      </c>
      <c r="D102">
        <v>80</v>
      </c>
      <c r="E102">
        <v>120</v>
      </c>
      <c r="F102">
        <v>130</v>
      </c>
      <c r="G102">
        <v>55</v>
      </c>
      <c r="H102">
        <v>65</v>
      </c>
      <c r="I102">
        <v>45</v>
      </c>
      <c r="J102">
        <v>495</v>
      </c>
      <c r="K102">
        <v>82.5</v>
      </c>
      <c r="L102">
        <f t="shared" si="1"/>
        <v>4</v>
      </c>
    </row>
    <row r="103" spans="1:12">
      <c r="A103">
        <v>77</v>
      </c>
      <c r="B103" s="4" t="s">
        <v>3132</v>
      </c>
      <c r="C103" t="s">
        <v>101</v>
      </c>
      <c r="D103">
        <v>50</v>
      </c>
      <c r="E103">
        <v>85</v>
      </c>
      <c r="F103">
        <v>55</v>
      </c>
      <c r="G103">
        <v>65</v>
      </c>
      <c r="H103">
        <v>65</v>
      </c>
      <c r="I103">
        <v>90</v>
      </c>
      <c r="J103">
        <v>410</v>
      </c>
      <c r="K103">
        <v>68.33</v>
      </c>
      <c r="L103">
        <f t="shared" si="1"/>
        <v>4</v>
      </c>
    </row>
    <row r="104" spans="1:12" ht="15" customHeight="1">
      <c r="A104">
        <v>77</v>
      </c>
      <c r="B104" s="131" t="s">
        <v>2829</v>
      </c>
      <c r="C104" t="s">
        <v>2830</v>
      </c>
      <c r="D104">
        <v>50</v>
      </c>
      <c r="E104">
        <v>85</v>
      </c>
      <c r="F104">
        <v>55</v>
      </c>
      <c r="G104">
        <v>65</v>
      </c>
      <c r="H104">
        <v>65</v>
      </c>
      <c r="I104">
        <v>90</v>
      </c>
      <c r="J104">
        <v>410</v>
      </c>
      <c r="K104">
        <v>68.33</v>
      </c>
      <c r="L104">
        <f t="shared" si="1"/>
        <v>4</v>
      </c>
    </row>
    <row r="105" spans="1:12">
      <c r="A105">
        <v>78</v>
      </c>
      <c r="B105" s="4" t="s">
        <v>3133</v>
      </c>
      <c r="C105" t="s">
        <v>102</v>
      </c>
      <c r="D105">
        <v>65</v>
      </c>
      <c r="E105">
        <v>100</v>
      </c>
      <c r="F105">
        <v>70</v>
      </c>
      <c r="G105">
        <v>80</v>
      </c>
      <c r="H105">
        <v>80</v>
      </c>
      <c r="I105">
        <v>105</v>
      </c>
      <c r="J105">
        <v>500</v>
      </c>
      <c r="K105">
        <v>83.33</v>
      </c>
      <c r="L105">
        <f t="shared" si="1"/>
        <v>4</v>
      </c>
    </row>
    <row r="106" spans="1:12" ht="15" customHeight="1">
      <c r="A106">
        <v>78</v>
      </c>
      <c r="B106" s="131" t="s">
        <v>2831</v>
      </c>
      <c r="C106" t="s">
        <v>2832</v>
      </c>
      <c r="D106">
        <v>65</v>
      </c>
      <c r="E106">
        <v>100</v>
      </c>
      <c r="F106">
        <v>70</v>
      </c>
      <c r="G106">
        <v>80</v>
      </c>
      <c r="H106">
        <v>80</v>
      </c>
      <c r="I106">
        <v>105</v>
      </c>
      <c r="J106">
        <v>500</v>
      </c>
      <c r="K106">
        <v>83.33</v>
      </c>
      <c r="L106">
        <f t="shared" si="1"/>
        <v>4</v>
      </c>
    </row>
    <row r="107" spans="1:12">
      <c r="A107">
        <v>79</v>
      </c>
      <c r="B107" s="4" t="s">
        <v>3134</v>
      </c>
      <c r="C107" t="s">
        <v>103</v>
      </c>
      <c r="D107">
        <v>90</v>
      </c>
      <c r="E107">
        <v>65</v>
      </c>
      <c r="F107">
        <v>65</v>
      </c>
      <c r="G107">
        <v>40</v>
      </c>
      <c r="H107">
        <v>40</v>
      </c>
      <c r="I107">
        <v>15</v>
      </c>
      <c r="J107">
        <v>315</v>
      </c>
      <c r="K107">
        <v>52.5</v>
      </c>
      <c r="L107">
        <f t="shared" si="1"/>
        <v>4</v>
      </c>
    </row>
    <row r="108" spans="1:12" ht="15" customHeight="1">
      <c r="A108">
        <v>79</v>
      </c>
      <c r="B108" s="131" t="s">
        <v>2833</v>
      </c>
      <c r="C108" t="s">
        <v>2834</v>
      </c>
      <c r="D108">
        <v>90</v>
      </c>
      <c r="E108">
        <v>65</v>
      </c>
      <c r="F108">
        <v>65</v>
      </c>
      <c r="G108">
        <v>40</v>
      </c>
      <c r="H108">
        <v>40</v>
      </c>
      <c r="I108">
        <v>15</v>
      </c>
      <c r="J108">
        <v>315</v>
      </c>
      <c r="K108">
        <v>52.5</v>
      </c>
      <c r="L108">
        <f t="shared" si="1"/>
        <v>4</v>
      </c>
    </row>
    <row r="109" spans="1:12">
      <c r="A109">
        <v>80</v>
      </c>
      <c r="B109" s="4" t="s">
        <v>3135</v>
      </c>
      <c r="C109" t="s">
        <v>104</v>
      </c>
      <c r="D109">
        <v>95</v>
      </c>
      <c r="E109">
        <v>75</v>
      </c>
      <c r="F109">
        <v>110</v>
      </c>
      <c r="G109">
        <v>100</v>
      </c>
      <c r="H109">
        <v>80</v>
      </c>
      <c r="I109">
        <v>30</v>
      </c>
      <c r="J109">
        <v>490</v>
      </c>
      <c r="K109">
        <v>81.67</v>
      </c>
      <c r="L109">
        <f t="shared" si="1"/>
        <v>4</v>
      </c>
    </row>
    <row r="110" spans="1:12" ht="15" customHeight="1">
      <c r="A110">
        <v>80</v>
      </c>
      <c r="B110" s="131" t="s">
        <v>2835</v>
      </c>
      <c r="C110" t="s">
        <v>2836</v>
      </c>
      <c r="D110">
        <v>95</v>
      </c>
      <c r="E110">
        <v>75</v>
      </c>
      <c r="F110">
        <v>180</v>
      </c>
      <c r="G110">
        <v>130</v>
      </c>
      <c r="H110">
        <v>80</v>
      </c>
      <c r="I110">
        <v>30</v>
      </c>
      <c r="J110">
        <v>590</v>
      </c>
      <c r="K110">
        <v>98.33</v>
      </c>
      <c r="L110">
        <f t="shared" si="1"/>
        <v>4</v>
      </c>
    </row>
    <row r="111" spans="1:12" ht="15" customHeight="1">
      <c r="A111">
        <v>80</v>
      </c>
      <c r="B111" s="131" t="s">
        <v>2837</v>
      </c>
      <c r="C111" t="s">
        <v>2838</v>
      </c>
      <c r="D111">
        <v>95</v>
      </c>
      <c r="E111">
        <v>100</v>
      </c>
      <c r="F111">
        <v>95</v>
      </c>
      <c r="G111">
        <v>100</v>
      </c>
      <c r="H111">
        <v>70</v>
      </c>
      <c r="I111">
        <v>30</v>
      </c>
      <c r="J111">
        <v>490</v>
      </c>
      <c r="K111">
        <v>81.67</v>
      </c>
      <c r="L111">
        <f t="shared" si="1"/>
        <v>4</v>
      </c>
    </row>
    <row r="112" spans="1:12">
      <c r="A112">
        <v>81</v>
      </c>
      <c r="B112" s="4" t="s">
        <v>3136</v>
      </c>
      <c r="C112" t="s">
        <v>105</v>
      </c>
      <c r="D112">
        <v>25</v>
      </c>
      <c r="E112">
        <v>35</v>
      </c>
      <c r="F112">
        <v>70</v>
      </c>
      <c r="G112">
        <v>95</v>
      </c>
      <c r="H112">
        <v>55</v>
      </c>
      <c r="I112">
        <v>45</v>
      </c>
      <c r="J112">
        <v>325</v>
      </c>
      <c r="K112">
        <v>54.17</v>
      </c>
      <c r="L112">
        <f t="shared" si="1"/>
        <v>4</v>
      </c>
    </row>
    <row r="113" spans="1:12">
      <c r="A113">
        <v>82</v>
      </c>
      <c r="B113" s="4" t="s">
        <v>3137</v>
      </c>
      <c r="C113" t="s">
        <v>107</v>
      </c>
      <c r="D113">
        <v>50</v>
      </c>
      <c r="E113">
        <v>60</v>
      </c>
      <c r="F113">
        <v>95</v>
      </c>
      <c r="G113">
        <v>120</v>
      </c>
      <c r="H113">
        <v>70</v>
      </c>
      <c r="I113">
        <v>70</v>
      </c>
      <c r="J113">
        <v>465</v>
      </c>
      <c r="K113">
        <v>77.5</v>
      </c>
      <c r="L113">
        <f t="shared" si="1"/>
        <v>4</v>
      </c>
    </row>
    <row r="114" spans="1:12">
      <c r="A114">
        <v>83</v>
      </c>
      <c r="B114" s="4" t="s">
        <v>3138</v>
      </c>
      <c r="C114" t="s">
        <v>108</v>
      </c>
      <c r="D114">
        <v>52</v>
      </c>
      <c r="E114">
        <v>90</v>
      </c>
      <c r="F114">
        <v>55</v>
      </c>
      <c r="G114">
        <v>58</v>
      </c>
      <c r="H114">
        <v>62</v>
      </c>
      <c r="I114">
        <v>60</v>
      </c>
      <c r="J114">
        <v>377</v>
      </c>
      <c r="K114">
        <v>62.83</v>
      </c>
      <c r="L114">
        <f t="shared" si="1"/>
        <v>4</v>
      </c>
    </row>
    <row r="115" spans="1:12" ht="15" customHeight="1">
      <c r="A115">
        <v>83</v>
      </c>
      <c r="B115" s="131" t="s">
        <v>2839</v>
      </c>
      <c r="C115" t="s">
        <v>2840</v>
      </c>
      <c r="D115">
        <v>52</v>
      </c>
      <c r="E115">
        <v>95</v>
      </c>
      <c r="F115">
        <v>55</v>
      </c>
      <c r="G115">
        <v>58</v>
      </c>
      <c r="H115">
        <v>62</v>
      </c>
      <c r="I115">
        <v>55</v>
      </c>
      <c r="J115">
        <v>377</v>
      </c>
      <c r="K115">
        <v>62.83</v>
      </c>
      <c r="L115">
        <f t="shared" si="1"/>
        <v>4</v>
      </c>
    </row>
    <row r="116" spans="1:12">
      <c r="A116">
        <v>84</v>
      </c>
      <c r="B116" s="4" t="s">
        <v>3139</v>
      </c>
      <c r="C116" t="s">
        <v>109</v>
      </c>
      <c r="D116">
        <v>35</v>
      </c>
      <c r="E116">
        <v>85</v>
      </c>
      <c r="F116">
        <v>45</v>
      </c>
      <c r="G116">
        <v>35</v>
      </c>
      <c r="H116">
        <v>35</v>
      </c>
      <c r="I116">
        <v>75</v>
      </c>
      <c r="J116">
        <v>310</v>
      </c>
      <c r="K116">
        <v>51.67</v>
      </c>
      <c r="L116">
        <f t="shared" si="1"/>
        <v>4</v>
      </c>
    </row>
    <row r="117" spans="1:12">
      <c r="A117">
        <v>85</v>
      </c>
      <c r="B117" s="4" t="s">
        <v>3140</v>
      </c>
      <c r="C117" t="s">
        <v>110</v>
      </c>
      <c r="D117">
        <v>60</v>
      </c>
      <c r="E117">
        <v>110</v>
      </c>
      <c r="F117">
        <v>70</v>
      </c>
      <c r="G117">
        <v>60</v>
      </c>
      <c r="H117">
        <v>60</v>
      </c>
      <c r="I117">
        <v>110</v>
      </c>
      <c r="J117">
        <v>470</v>
      </c>
      <c r="K117">
        <v>78.33</v>
      </c>
      <c r="L117">
        <f t="shared" si="1"/>
        <v>4</v>
      </c>
    </row>
    <row r="118" spans="1:12">
      <c r="A118">
        <v>86</v>
      </c>
      <c r="B118" s="4" t="s">
        <v>3141</v>
      </c>
      <c r="C118" t="s">
        <v>111</v>
      </c>
      <c r="D118">
        <v>65</v>
      </c>
      <c r="E118">
        <v>45</v>
      </c>
      <c r="F118">
        <v>55</v>
      </c>
      <c r="G118">
        <v>45</v>
      </c>
      <c r="H118">
        <v>70</v>
      </c>
      <c r="I118">
        <v>45</v>
      </c>
      <c r="J118">
        <v>325</v>
      </c>
      <c r="K118">
        <v>54.17</v>
      </c>
      <c r="L118">
        <f t="shared" si="1"/>
        <v>4</v>
      </c>
    </row>
    <row r="119" spans="1:12">
      <c r="A119">
        <v>87</v>
      </c>
      <c r="B119" s="4" t="s">
        <v>3142</v>
      </c>
      <c r="C119" t="s">
        <v>112</v>
      </c>
      <c r="D119">
        <v>90</v>
      </c>
      <c r="E119">
        <v>70</v>
      </c>
      <c r="F119">
        <v>80</v>
      </c>
      <c r="G119">
        <v>70</v>
      </c>
      <c r="H119">
        <v>95</v>
      </c>
      <c r="I119">
        <v>70</v>
      </c>
      <c r="J119">
        <v>475</v>
      </c>
      <c r="K119">
        <v>79.17</v>
      </c>
      <c r="L119">
        <f t="shared" si="1"/>
        <v>4</v>
      </c>
    </row>
    <row r="120" spans="1:12">
      <c r="A120">
        <v>88</v>
      </c>
      <c r="B120" s="4" t="s">
        <v>3143</v>
      </c>
      <c r="C120" t="s">
        <v>114</v>
      </c>
      <c r="D120">
        <v>80</v>
      </c>
      <c r="E120">
        <v>80</v>
      </c>
      <c r="F120">
        <v>50</v>
      </c>
      <c r="G120">
        <v>40</v>
      </c>
      <c r="H120">
        <v>50</v>
      </c>
      <c r="I120">
        <v>25</v>
      </c>
      <c r="J120">
        <v>325</v>
      </c>
      <c r="K120">
        <v>54.17</v>
      </c>
      <c r="L120">
        <f t="shared" si="1"/>
        <v>4</v>
      </c>
    </row>
    <row r="121" spans="1:12" ht="15" customHeight="1">
      <c r="A121">
        <v>88</v>
      </c>
      <c r="B121" s="131" t="s">
        <v>2841</v>
      </c>
      <c r="C121" t="s">
        <v>2842</v>
      </c>
      <c r="D121">
        <v>80</v>
      </c>
      <c r="E121">
        <v>80</v>
      </c>
      <c r="F121">
        <v>50</v>
      </c>
      <c r="G121">
        <v>40</v>
      </c>
      <c r="H121">
        <v>50</v>
      </c>
      <c r="I121">
        <v>25</v>
      </c>
      <c r="J121">
        <v>325</v>
      </c>
      <c r="K121">
        <v>54.17</v>
      </c>
      <c r="L121">
        <f t="shared" si="1"/>
        <v>4</v>
      </c>
    </row>
    <row r="122" spans="1:12">
      <c r="A122">
        <v>89</v>
      </c>
      <c r="B122" s="4" t="s">
        <v>3144</v>
      </c>
      <c r="C122" t="s">
        <v>115</v>
      </c>
      <c r="D122">
        <v>105</v>
      </c>
      <c r="E122">
        <v>105</v>
      </c>
      <c r="F122">
        <v>75</v>
      </c>
      <c r="G122">
        <v>65</v>
      </c>
      <c r="H122">
        <v>100</v>
      </c>
      <c r="I122">
        <v>50</v>
      </c>
      <c r="J122">
        <v>500</v>
      </c>
      <c r="K122">
        <v>83.33</v>
      </c>
      <c r="L122">
        <f t="shared" si="1"/>
        <v>4</v>
      </c>
    </row>
    <row r="123" spans="1:12" ht="15" customHeight="1">
      <c r="A123">
        <v>89</v>
      </c>
      <c r="B123" s="131" t="s">
        <v>2843</v>
      </c>
      <c r="C123" t="s">
        <v>2844</v>
      </c>
      <c r="D123">
        <v>105</v>
      </c>
      <c r="E123">
        <v>105</v>
      </c>
      <c r="F123">
        <v>75</v>
      </c>
      <c r="G123">
        <v>65</v>
      </c>
      <c r="H123">
        <v>100</v>
      </c>
      <c r="I123">
        <v>50</v>
      </c>
      <c r="J123">
        <v>500</v>
      </c>
      <c r="K123">
        <v>83.33</v>
      </c>
      <c r="L123">
        <f t="shared" si="1"/>
        <v>4</v>
      </c>
    </row>
    <row r="124" spans="1:12">
      <c r="A124">
        <v>90</v>
      </c>
      <c r="B124" s="4" t="s">
        <v>3145</v>
      </c>
      <c r="C124" t="s">
        <v>116</v>
      </c>
      <c r="D124">
        <v>30</v>
      </c>
      <c r="E124">
        <v>65</v>
      </c>
      <c r="F124">
        <v>100</v>
      </c>
      <c r="G124">
        <v>45</v>
      </c>
      <c r="H124">
        <v>25</v>
      </c>
      <c r="I124">
        <v>40</v>
      </c>
      <c r="J124">
        <v>305</v>
      </c>
      <c r="K124">
        <v>50.83</v>
      </c>
      <c r="L124">
        <f t="shared" si="1"/>
        <v>4</v>
      </c>
    </row>
    <row r="125" spans="1:12">
      <c r="A125">
        <v>91</v>
      </c>
      <c r="B125" s="4" t="s">
        <v>3146</v>
      </c>
      <c r="C125" t="s">
        <v>117</v>
      </c>
      <c r="D125">
        <v>50</v>
      </c>
      <c r="E125">
        <v>95</v>
      </c>
      <c r="F125">
        <v>180</v>
      </c>
      <c r="G125">
        <v>85</v>
      </c>
      <c r="H125">
        <v>45</v>
      </c>
      <c r="I125">
        <v>70</v>
      </c>
      <c r="J125">
        <v>525</v>
      </c>
      <c r="K125">
        <v>87.5</v>
      </c>
      <c r="L125">
        <f t="shared" si="1"/>
        <v>4</v>
      </c>
    </row>
    <row r="126" spans="1:12">
      <c r="A126">
        <v>92</v>
      </c>
      <c r="B126" s="4" t="s">
        <v>3147</v>
      </c>
      <c r="C126" t="s">
        <v>118</v>
      </c>
      <c r="D126">
        <v>30</v>
      </c>
      <c r="E126">
        <v>35</v>
      </c>
      <c r="F126">
        <v>30</v>
      </c>
      <c r="G126">
        <v>100</v>
      </c>
      <c r="H126">
        <v>35</v>
      </c>
      <c r="I126">
        <v>80</v>
      </c>
      <c r="J126">
        <v>310</v>
      </c>
      <c r="K126">
        <v>51.67</v>
      </c>
      <c r="L126">
        <f t="shared" si="1"/>
        <v>4</v>
      </c>
    </row>
    <row r="127" spans="1:12">
      <c r="A127">
        <v>93</v>
      </c>
      <c r="B127" s="4" t="s">
        <v>3148</v>
      </c>
      <c r="C127" t="s">
        <v>120</v>
      </c>
      <c r="D127">
        <v>45</v>
      </c>
      <c r="E127">
        <v>50</v>
      </c>
      <c r="F127">
        <v>45</v>
      </c>
      <c r="G127">
        <v>115</v>
      </c>
      <c r="H127">
        <v>55</v>
      </c>
      <c r="I127">
        <v>95</v>
      </c>
      <c r="J127">
        <v>405</v>
      </c>
      <c r="K127">
        <v>67.5</v>
      </c>
      <c r="L127">
        <f t="shared" si="1"/>
        <v>4</v>
      </c>
    </row>
    <row r="128" spans="1:12">
      <c r="A128">
        <v>94</v>
      </c>
      <c r="B128" s="4" t="s">
        <v>3149</v>
      </c>
      <c r="C128" t="s">
        <v>121</v>
      </c>
      <c r="D128">
        <v>60</v>
      </c>
      <c r="E128">
        <v>65</v>
      </c>
      <c r="F128">
        <v>60</v>
      </c>
      <c r="G128">
        <v>130</v>
      </c>
      <c r="H128">
        <v>75</v>
      </c>
      <c r="I128">
        <v>110</v>
      </c>
      <c r="J128">
        <v>500</v>
      </c>
      <c r="K128">
        <v>83.33</v>
      </c>
      <c r="L128">
        <f t="shared" si="1"/>
        <v>4</v>
      </c>
    </row>
    <row r="129" spans="1:12" ht="15" customHeight="1">
      <c r="A129">
        <v>94</v>
      </c>
      <c r="B129" s="131" t="s">
        <v>2845</v>
      </c>
      <c r="C129" t="s">
        <v>2846</v>
      </c>
      <c r="D129">
        <v>60</v>
      </c>
      <c r="E129">
        <v>65</v>
      </c>
      <c r="F129">
        <v>80</v>
      </c>
      <c r="G129">
        <v>170</v>
      </c>
      <c r="H129">
        <v>95</v>
      </c>
      <c r="I129">
        <v>130</v>
      </c>
      <c r="J129">
        <v>600</v>
      </c>
      <c r="K129">
        <v>100</v>
      </c>
      <c r="L129">
        <f t="shared" si="1"/>
        <v>4</v>
      </c>
    </row>
    <row r="130" spans="1:12">
      <c r="A130">
        <v>95</v>
      </c>
      <c r="B130" s="4" t="s">
        <v>3150</v>
      </c>
      <c r="C130" t="s">
        <v>122</v>
      </c>
      <c r="D130">
        <v>35</v>
      </c>
      <c r="E130">
        <v>45</v>
      </c>
      <c r="F130">
        <v>160</v>
      </c>
      <c r="G130">
        <v>30</v>
      </c>
      <c r="H130">
        <v>45</v>
      </c>
      <c r="I130">
        <v>70</v>
      </c>
      <c r="J130">
        <v>385</v>
      </c>
      <c r="K130">
        <v>64.17</v>
      </c>
      <c r="L130">
        <f t="shared" si="1"/>
        <v>4</v>
      </c>
    </row>
    <row r="131" spans="1:12">
      <c r="A131">
        <v>96</v>
      </c>
      <c r="B131" s="4" t="s">
        <v>3151</v>
      </c>
      <c r="C131" t="s">
        <v>123</v>
      </c>
      <c r="D131">
        <v>60</v>
      </c>
      <c r="E131">
        <v>48</v>
      </c>
      <c r="F131">
        <v>45</v>
      </c>
      <c r="G131">
        <v>43</v>
      </c>
      <c r="H131">
        <v>90</v>
      </c>
      <c r="I131">
        <v>42</v>
      </c>
      <c r="J131">
        <v>328</v>
      </c>
      <c r="K131">
        <v>54.67</v>
      </c>
      <c r="L131">
        <f t="shared" ref="L131:L194" si="2">LEN(B131)</f>
        <v>4</v>
      </c>
    </row>
    <row r="132" spans="1:12">
      <c r="A132">
        <v>97</v>
      </c>
      <c r="B132" s="4" t="s">
        <v>3152</v>
      </c>
      <c r="C132" t="s">
        <v>124</v>
      </c>
      <c r="D132">
        <v>85</v>
      </c>
      <c r="E132">
        <v>73</v>
      </c>
      <c r="F132">
        <v>70</v>
      </c>
      <c r="G132">
        <v>73</v>
      </c>
      <c r="H132">
        <v>115</v>
      </c>
      <c r="I132">
        <v>67</v>
      </c>
      <c r="J132">
        <v>483</v>
      </c>
      <c r="K132">
        <v>80.5</v>
      </c>
      <c r="L132">
        <f t="shared" si="2"/>
        <v>4</v>
      </c>
    </row>
    <row r="133" spans="1:12">
      <c r="A133">
        <v>98</v>
      </c>
      <c r="B133" s="4" t="s">
        <v>3153</v>
      </c>
      <c r="C133" t="s">
        <v>125</v>
      </c>
      <c r="D133">
        <v>30</v>
      </c>
      <c r="E133">
        <v>105</v>
      </c>
      <c r="F133">
        <v>90</v>
      </c>
      <c r="G133">
        <v>25</v>
      </c>
      <c r="H133">
        <v>25</v>
      </c>
      <c r="I133">
        <v>50</v>
      </c>
      <c r="J133">
        <v>325</v>
      </c>
      <c r="K133">
        <v>54.17</v>
      </c>
      <c r="L133">
        <f t="shared" si="2"/>
        <v>4</v>
      </c>
    </row>
    <row r="134" spans="1:12">
      <c r="A134">
        <v>99</v>
      </c>
      <c r="B134" s="4" t="s">
        <v>3154</v>
      </c>
      <c r="C134" t="s">
        <v>126</v>
      </c>
      <c r="D134">
        <v>55</v>
      </c>
      <c r="E134">
        <v>130</v>
      </c>
      <c r="F134">
        <v>115</v>
      </c>
      <c r="G134">
        <v>50</v>
      </c>
      <c r="H134">
        <v>50</v>
      </c>
      <c r="I134">
        <v>75</v>
      </c>
      <c r="J134">
        <v>475</v>
      </c>
      <c r="K134">
        <v>79.17</v>
      </c>
      <c r="L134">
        <f t="shared" si="2"/>
        <v>4</v>
      </c>
    </row>
    <row r="135" spans="1:12">
      <c r="A135">
        <v>100</v>
      </c>
      <c r="B135" s="4" t="s">
        <v>3155</v>
      </c>
      <c r="C135" t="s">
        <v>127</v>
      </c>
      <c r="D135">
        <v>40</v>
      </c>
      <c r="E135">
        <v>30</v>
      </c>
      <c r="F135">
        <v>50</v>
      </c>
      <c r="G135">
        <v>55</v>
      </c>
      <c r="H135">
        <v>55</v>
      </c>
      <c r="I135">
        <v>100</v>
      </c>
      <c r="J135">
        <v>330</v>
      </c>
      <c r="K135">
        <v>55</v>
      </c>
      <c r="L135">
        <f t="shared" si="2"/>
        <v>4</v>
      </c>
    </row>
    <row r="136" spans="1:12">
      <c r="A136">
        <v>100</v>
      </c>
      <c r="B136" s="131" t="s">
        <v>2847</v>
      </c>
      <c r="C136" t="s">
        <v>2848</v>
      </c>
      <c r="D136">
        <v>40</v>
      </c>
      <c r="E136">
        <v>30</v>
      </c>
      <c r="F136">
        <v>50</v>
      </c>
      <c r="G136">
        <v>55</v>
      </c>
      <c r="H136">
        <v>55</v>
      </c>
      <c r="I136">
        <v>100</v>
      </c>
      <c r="J136">
        <v>330</v>
      </c>
      <c r="K136">
        <v>55</v>
      </c>
      <c r="L136">
        <f t="shared" si="2"/>
        <v>4</v>
      </c>
    </row>
    <row r="137" spans="1:12">
      <c r="A137">
        <v>101</v>
      </c>
      <c r="B137" s="4" t="s">
        <v>3156</v>
      </c>
      <c r="C137" t="s">
        <v>128</v>
      </c>
      <c r="D137">
        <v>60</v>
      </c>
      <c r="E137">
        <v>50</v>
      </c>
      <c r="F137">
        <v>70</v>
      </c>
      <c r="G137">
        <v>80</v>
      </c>
      <c r="H137">
        <v>80</v>
      </c>
      <c r="I137">
        <v>150</v>
      </c>
      <c r="J137">
        <v>490</v>
      </c>
      <c r="K137">
        <v>81.67</v>
      </c>
      <c r="L137">
        <f t="shared" si="2"/>
        <v>4</v>
      </c>
    </row>
    <row r="138" spans="1:12">
      <c r="A138">
        <v>101</v>
      </c>
      <c r="B138" s="131" t="s">
        <v>2849</v>
      </c>
      <c r="C138" t="s">
        <v>2850</v>
      </c>
      <c r="D138">
        <v>60</v>
      </c>
      <c r="E138">
        <v>50</v>
      </c>
      <c r="F138">
        <v>70</v>
      </c>
      <c r="G138">
        <v>80</v>
      </c>
      <c r="H138">
        <v>80</v>
      </c>
      <c r="I138">
        <v>150</v>
      </c>
      <c r="J138">
        <v>490</v>
      </c>
      <c r="K138">
        <v>81.67</v>
      </c>
      <c r="L138">
        <f t="shared" si="2"/>
        <v>4</v>
      </c>
    </row>
    <row r="139" spans="1:12">
      <c r="A139">
        <v>102</v>
      </c>
      <c r="B139" s="4" t="s">
        <v>3157</v>
      </c>
      <c r="C139" t="s">
        <v>129</v>
      </c>
      <c r="D139">
        <v>60</v>
      </c>
      <c r="E139">
        <v>40</v>
      </c>
      <c r="F139">
        <v>80</v>
      </c>
      <c r="G139">
        <v>60</v>
      </c>
      <c r="H139">
        <v>45</v>
      </c>
      <c r="I139">
        <v>40</v>
      </c>
      <c r="J139">
        <v>325</v>
      </c>
      <c r="K139">
        <v>54.17</v>
      </c>
      <c r="L139">
        <f t="shared" si="2"/>
        <v>4</v>
      </c>
    </row>
    <row r="140" spans="1:12">
      <c r="A140">
        <v>103</v>
      </c>
      <c r="B140" s="4" t="s">
        <v>3158</v>
      </c>
      <c r="C140" t="s">
        <v>130</v>
      </c>
      <c r="D140">
        <v>95</v>
      </c>
      <c r="E140">
        <v>95</v>
      </c>
      <c r="F140">
        <v>85</v>
      </c>
      <c r="G140">
        <v>125</v>
      </c>
      <c r="H140">
        <v>75</v>
      </c>
      <c r="I140">
        <v>55</v>
      </c>
      <c r="J140">
        <v>530</v>
      </c>
      <c r="K140">
        <v>88.33</v>
      </c>
      <c r="L140">
        <f t="shared" si="2"/>
        <v>4</v>
      </c>
    </row>
    <row r="141" spans="1:12">
      <c r="A141">
        <v>103</v>
      </c>
      <c r="B141" s="131" t="s">
        <v>2851</v>
      </c>
      <c r="C141" t="s">
        <v>2852</v>
      </c>
      <c r="D141">
        <v>95</v>
      </c>
      <c r="E141">
        <v>105</v>
      </c>
      <c r="F141">
        <v>85</v>
      </c>
      <c r="G141">
        <v>125</v>
      </c>
      <c r="H141">
        <v>75</v>
      </c>
      <c r="I141">
        <v>45</v>
      </c>
      <c r="J141">
        <v>530</v>
      </c>
      <c r="K141">
        <v>88.33</v>
      </c>
      <c r="L141">
        <f t="shared" si="2"/>
        <v>4</v>
      </c>
    </row>
    <row r="142" spans="1:12">
      <c r="A142">
        <v>104</v>
      </c>
      <c r="B142" s="4" t="s">
        <v>3159</v>
      </c>
      <c r="C142" t="s">
        <v>131</v>
      </c>
      <c r="D142">
        <v>50</v>
      </c>
      <c r="E142">
        <v>50</v>
      </c>
      <c r="F142">
        <v>95</v>
      </c>
      <c r="G142">
        <v>40</v>
      </c>
      <c r="H142">
        <v>50</v>
      </c>
      <c r="I142">
        <v>35</v>
      </c>
      <c r="J142">
        <v>320</v>
      </c>
      <c r="K142">
        <v>53.33</v>
      </c>
      <c r="L142">
        <f t="shared" si="2"/>
        <v>4</v>
      </c>
    </row>
    <row r="143" spans="1:12">
      <c r="A143">
        <v>105</v>
      </c>
      <c r="B143" s="4" t="s">
        <v>3160</v>
      </c>
      <c r="C143" t="s">
        <v>132</v>
      </c>
      <c r="D143">
        <v>60</v>
      </c>
      <c r="E143">
        <v>80</v>
      </c>
      <c r="F143">
        <v>110</v>
      </c>
      <c r="G143">
        <v>50</v>
      </c>
      <c r="H143">
        <v>80</v>
      </c>
      <c r="I143">
        <v>45</v>
      </c>
      <c r="J143">
        <v>425</v>
      </c>
      <c r="K143">
        <v>70.83</v>
      </c>
      <c r="L143">
        <f t="shared" si="2"/>
        <v>4</v>
      </c>
    </row>
    <row r="144" spans="1:12">
      <c r="A144">
        <v>105</v>
      </c>
      <c r="B144" s="131" t="s">
        <v>2853</v>
      </c>
      <c r="C144" t="s">
        <v>2854</v>
      </c>
      <c r="D144">
        <v>60</v>
      </c>
      <c r="E144">
        <v>80</v>
      </c>
      <c r="F144">
        <v>110</v>
      </c>
      <c r="G144">
        <v>50</v>
      </c>
      <c r="H144">
        <v>80</v>
      </c>
      <c r="I144">
        <v>45</v>
      </c>
      <c r="J144">
        <v>425</v>
      </c>
      <c r="K144">
        <v>70.83</v>
      </c>
      <c r="L144">
        <f t="shared" si="2"/>
        <v>4</v>
      </c>
    </row>
    <row r="145" spans="1:12">
      <c r="A145">
        <v>106</v>
      </c>
      <c r="B145" s="4" t="s">
        <v>3161</v>
      </c>
      <c r="C145" t="s">
        <v>133</v>
      </c>
      <c r="D145">
        <v>50</v>
      </c>
      <c r="E145">
        <v>120</v>
      </c>
      <c r="F145">
        <v>53</v>
      </c>
      <c r="G145">
        <v>35</v>
      </c>
      <c r="H145">
        <v>110</v>
      </c>
      <c r="I145">
        <v>87</v>
      </c>
      <c r="J145">
        <v>455</v>
      </c>
      <c r="K145">
        <v>75.83</v>
      </c>
      <c r="L145">
        <f t="shared" si="2"/>
        <v>4</v>
      </c>
    </row>
    <row r="146" spans="1:12">
      <c r="A146">
        <v>107</v>
      </c>
      <c r="B146" s="4" t="s">
        <v>3162</v>
      </c>
      <c r="C146" t="s">
        <v>134</v>
      </c>
      <c r="D146">
        <v>50</v>
      </c>
      <c r="E146">
        <v>105</v>
      </c>
      <c r="F146">
        <v>79</v>
      </c>
      <c r="G146">
        <v>35</v>
      </c>
      <c r="H146">
        <v>110</v>
      </c>
      <c r="I146">
        <v>76</v>
      </c>
      <c r="J146">
        <v>455</v>
      </c>
      <c r="K146">
        <v>75.83</v>
      </c>
      <c r="L146">
        <f t="shared" si="2"/>
        <v>4</v>
      </c>
    </row>
    <row r="147" spans="1:12">
      <c r="A147">
        <v>108</v>
      </c>
      <c r="B147" s="4" t="s">
        <v>3163</v>
      </c>
      <c r="C147" t="s">
        <v>135</v>
      </c>
      <c r="D147">
        <v>90</v>
      </c>
      <c r="E147">
        <v>55</v>
      </c>
      <c r="F147">
        <v>75</v>
      </c>
      <c r="G147">
        <v>60</v>
      </c>
      <c r="H147">
        <v>75</v>
      </c>
      <c r="I147">
        <v>30</v>
      </c>
      <c r="J147">
        <v>385</v>
      </c>
      <c r="K147">
        <v>64.17</v>
      </c>
      <c r="L147">
        <f t="shared" si="2"/>
        <v>4</v>
      </c>
    </row>
    <row r="148" spans="1:12">
      <c r="A148">
        <v>109</v>
      </c>
      <c r="B148" s="4" t="s">
        <v>3164</v>
      </c>
      <c r="C148" t="s">
        <v>136</v>
      </c>
      <c r="D148">
        <v>40</v>
      </c>
      <c r="E148">
        <v>65</v>
      </c>
      <c r="F148">
        <v>95</v>
      </c>
      <c r="G148">
        <v>60</v>
      </c>
      <c r="H148">
        <v>45</v>
      </c>
      <c r="I148">
        <v>35</v>
      </c>
      <c r="J148">
        <v>340</v>
      </c>
      <c r="K148">
        <v>56.67</v>
      </c>
      <c r="L148">
        <f t="shared" si="2"/>
        <v>4</v>
      </c>
    </row>
    <row r="149" spans="1:12">
      <c r="A149">
        <v>110</v>
      </c>
      <c r="B149" s="4" t="s">
        <v>3165</v>
      </c>
      <c r="C149" t="s">
        <v>137</v>
      </c>
      <c r="D149">
        <v>65</v>
      </c>
      <c r="E149">
        <v>90</v>
      </c>
      <c r="F149">
        <v>120</v>
      </c>
      <c r="G149">
        <v>85</v>
      </c>
      <c r="H149">
        <v>70</v>
      </c>
      <c r="I149">
        <v>60</v>
      </c>
      <c r="J149">
        <v>490</v>
      </c>
      <c r="K149">
        <v>81.67</v>
      </c>
      <c r="L149">
        <f t="shared" si="2"/>
        <v>4</v>
      </c>
    </row>
    <row r="150" spans="1:12">
      <c r="A150">
        <v>110</v>
      </c>
      <c r="B150" s="131" t="s">
        <v>2855</v>
      </c>
      <c r="C150" t="s">
        <v>2856</v>
      </c>
      <c r="D150">
        <v>65</v>
      </c>
      <c r="E150">
        <v>90</v>
      </c>
      <c r="F150">
        <v>120</v>
      </c>
      <c r="G150">
        <v>85</v>
      </c>
      <c r="H150">
        <v>70</v>
      </c>
      <c r="I150">
        <v>60</v>
      </c>
      <c r="J150">
        <v>490</v>
      </c>
      <c r="K150">
        <v>81.67</v>
      </c>
      <c r="L150">
        <f t="shared" si="2"/>
        <v>4</v>
      </c>
    </row>
    <row r="151" spans="1:12">
      <c r="A151">
        <v>111</v>
      </c>
      <c r="B151" s="4" t="s">
        <v>3166</v>
      </c>
      <c r="C151" t="s">
        <v>138</v>
      </c>
      <c r="D151">
        <v>80</v>
      </c>
      <c r="E151">
        <v>85</v>
      </c>
      <c r="F151">
        <v>95</v>
      </c>
      <c r="G151">
        <v>30</v>
      </c>
      <c r="H151">
        <v>30</v>
      </c>
      <c r="I151">
        <v>25</v>
      </c>
      <c r="J151">
        <v>345</v>
      </c>
      <c r="K151">
        <v>57.5</v>
      </c>
      <c r="L151">
        <f t="shared" si="2"/>
        <v>4</v>
      </c>
    </row>
    <row r="152" spans="1:12">
      <c r="A152">
        <v>112</v>
      </c>
      <c r="B152" s="4" t="s">
        <v>3167</v>
      </c>
      <c r="C152" t="s">
        <v>139</v>
      </c>
      <c r="D152">
        <v>105</v>
      </c>
      <c r="E152">
        <v>130</v>
      </c>
      <c r="F152">
        <v>120</v>
      </c>
      <c r="G152">
        <v>45</v>
      </c>
      <c r="H152">
        <v>45</v>
      </c>
      <c r="I152">
        <v>40</v>
      </c>
      <c r="J152">
        <v>485</v>
      </c>
      <c r="K152">
        <v>80.83</v>
      </c>
      <c r="L152">
        <f t="shared" si="2"/>
        <v>4</v>
      </c>
    </row>
    <row r="153" spans="1:12">
      <c r="A153">
        <v>113</v>
      </c>
      <c r="B153" s="4" t="s">
        <v>3168</v>
      </c>
      <c r="C153" t="s">
        <v>140</v>
      </c>
      <c r="D153">
        <v>250</v>
      </c>
      <c r="E153">
        <v>5</v>
      </c>
      <c r="F153">
        <v>5</v>
      </c>
      <c r="G153">
        <v>35</v>
      </c>
      <c r="H153">
        <v>105</v>
      </c>
      <c r="I153">
        <v>50</v>
      </c>
      <c r="J153">
        <v>450</v>
      </c>
      <c r="K153">
        <v>75</v>
      </c>
      <c r="L153">
        <f t="shared" si="2"/>
        <v>4</v>
      </c>
    </row>
    <row r="154" spans="1:12">
      <c r="A154">
        <v>114</v>
      </c>
      <c r="B154" s="4" t="s">
        <v>3169</v>
      </c>
      <c r="C154" t="s">
        <v>141</v>
      </c>
      <c r="D154">
        <v>65</v>
      </c>
      <c r="E154">
        <v>55</v>
      </c>
      <c r="F154">
        <v>115</v>
      </c>
      <c r="G154">
        <v>100</v>
      </c>
      <c r="H154">
        <v>40</v>
      </c>
      <c r="I154">
        <v>60</v>
      </c>
      <c r="J154">
        <v>435</v>
      </c>
      <c r="K154">
        <v>72.5</v>
      </c>
      <c r="L154">
        <f t="shared" si="2"/>
        <v>4</v>
      </c>
    </row>
    <row r="155" spans="1:12">
      <c r="A155">
        <v>115</v>
      </c>
      <c r="B155" s="4" t="s">
        <v>3170</v>
      </c>
      <c r="C155" t="s">
        <v>142</v>
      </c>
      <c r="D155">
        <v>105</v>
      </c>
      <c r="E155">
        <v>95</v>
      </c>
      <c r="F155">
        <v>80</v>
      </c>
      <c r="G155">
        <v>40</v>
      </c>
      <c r="H155">
        <v>80</v>
      </c>
      <c r="I155">
        <v>90</v>
      </c>
      <c r="J155">
        <v>490</v>
      </c>
      <c r="K155">
        <v>81.67</v>
      </c>
      <c r="L155">
        <f t="shared" si="2"/>
        <v>4</v>
      </c>
    </row>
    <row r="156" spans="1:12">
      <c r="A156">
        <v>115</v>
      </c>
      <c r="B156" s="131" t="s">
        <v>2857</v>
      </c>
      <c r="C156" t="s">
        <v>2858</v>
      </c>
      <c r="D156">
        <v>105</v>
      </c>
      <c r="E156">
        <v>125</v>
      </c>
      <c r="F156">
        <v>100</v>
      </c>
      <c r="G156">
        <v>60</v>
      </c>
      <c r="H156">
        <v>100</v>
      </c>
      <c r="I156">
        <v>100</v>
      </c>
      <c r="J156">
        <v>590</v>
      </c>
      <c r="K156">
        <v>98.33</v>
      </c>
      <c r="L156">
        <f t="shared" si="2"/>
        <v>4</v>
      </c>
    </row>
    <row r="157" spans="1:12">
      <c r="A157">
        <v>116</v>
      </c>
      <c r="B157" s="4" t="s">
        <v>3171</v>
      </c>
      <c r="C157" t="s">
        <v>143</v>
      </c>
      <c r="D157">
        <v>30</v>
      </c>
      <c r="E157">
        <v>40</v>
      </c>
      <c r="F157">
        <v>70</v>
      </c>
      <c r="G157">
        <v>70</v>
      </c>
      <c r="H157">
        <v>25</v>
      </c>
      <c r="I157">
        <v>60</v>
      </c>
      <c r="J157">
        <v>295</v>
      </c>
      <c r="K157">
        <v>49.17</v>
      </c>
      <c r="L157">
        <f t="shared" si="2"/>
        <v>4</v>
      </c>
    </row>
    <row r="158" spans="1:12">
      <c r="A158">
        <v>117</v>
      </c>
      <c r="B158" s="4" t="s">
        <v>3172</v>
      </c>
      <c r="C158" t="s">
        <v>144</v>
      </c>
      <c r="D158">
        <v>55</v>
      </c>
      <c r="E158">
        <v>65</v>
      </c>
      <c r="F158">
        <v>95</v>
      </c>
      <c r="G158">
        <v>95</v>
      </c>
      <c r="H158">
        <v>45</v>
      </c>
      <c r="I158">
        <v>85</v>
      </c>
      <c r="J158">
        <v>440</v>
      </c>
      <c r="K158">
        <v>73.33</v>
      </c>
      <c r="L158">
        <f t="shared" si="2"/>
        <v>4</v>
      </c>
    </row>
    <row r="159" spans="1:12">
      <c r="A159">
        <v>118</v>
      </c>
      <c r="B159" s="4" t="s">
        <v>3173</v>
      </c>
      <c r="C159" t="s">
        <v>145</v>
      </c>
      <c r="D159">
        <v>45</v>
      </c>
      <c r="E159">
        <v>67</v>
      </c>
      <c r="F159">
        <v>60</v>
      </c>
      <c r="G159">
        <v>35</v>
      </c>
      <c r="H159">
        <v>50</v>
      </c>
      <c r="I159">
        <v>63</v>
      </c>
      <c r="J159">
        <v>320</v>
      </c>
      <c r="K159">
        <v>53.33</v>
      </c>
      <c r="L159">
        <f t="shared" si="2"/>
        <v>4</v>
      </c>
    </row>
    <row r="160" spans="1:12">
      <c r="A160">
        <v>119</v>
      </c>
      <c r="B160" s="4" t="s">
        <v>3174</v>
      </c>
      <c r="C160" t="s">
        <v>146</v>
      </c>
      <c r="D160">
        <v>80</v>
      </c>
      <c r="E160">
        <v>92</v>
      </c>
      <c r="F160">
        <v>65</v>
      </c>
      <c r="G160">
        <v>65</v>
      </c>
      <c r="H160">
        <v>80</v>
      </c>
      <c r="I160">
        <v>68</v>
      </c>
      <c r="J160">
        <v>450</v>
      </c>
      <c r="K160">
        <v>75</v>
      </c>
      <c r="L160">
        <f t="shared" si="2"/>
        <v>4</v>
      </c>
    </row>
    <row r="161" spans="1:12">
      <c r="A161">
        <v>120</v>
      </c>
      <c r="B161" s="4" t="s">
        <v>3175</v>
      </c>
      <c r="C161" t="s">
        <v>147</v>
      </c>
      <c r="D161">
        <v>30</v>
      </c>
      <c r="E161">
        <v>45</v>
      </c>
      <c r="F161">
        <v>55</v>
      </c>
      <c r="G161">
        <v>70</v>
      </c>
      <c r="H161">
        <v>55</v>
      </c>
      <c r="I161">
        <v>85</v>
      </c>
      <c r="J161">
        <v>340</v>
      </c>
      <c r="K161">
        <v>56.67</v>
      </c>
      <c r="L161">
        <f t="shared" si="2"/>
        <v>4</v>
      </c>
    </row>
    <row r="162" spans="1:12">
      <c r="A162">
        <v>121</v>
      </c>
      <c r="B162" s="4" t="s">
        <v>3176</v>
      </c>
      <c r="C162" t="s">
        <v>148</v>
      </c>
      <c r="D162">
        <v>60</v>
      </c>
      <c r="E162">
        <v>75</v>
      </c>
      <c r="F162">
        <v>85</v>
      </c>
      <c r="G162">
        <v>100</v>
      </c>
      <c r="H162">
        <v>85</v>
      </c>
      <c r="I162">
        <v>115</v>
      </c>
      <c r="J162">
        <v>520</v>
      </c>
      <c r="K162">
        <v>86.67</v>
      </c>
      <c r="L162">
        <f t="shared" si="2"/>
        <v>4</v>
      </c>
    </row>
    <row r="163" spans="1:12">
      <c r="A163">
        <v>122</v>
      </c>
      <c r="B163" s="4" t="s">
        <v>3177</v>
      </c>
      <c r="C163" t="s">
        <v>149</v>
      </c>
      <c r="D163">
        <v>40</v>
      </c>
      <c r="E163">
        <v>45</v>
      </c>
      <c r="F163">
        <v>65</v>
      </c>
      <c r="G163">
        <v>100</v>
      </c>
      <c r="H163">
        <v>120</v>
      </c>
      <c r="I163">
        <v>90</v>
      </c>
      <c r="J163">
        <v>460</v>
      </c>
      <c r="K163">
        <v>76.67</v>
      </c>
      <c r="L163">
        <f t="shared" si="2"/>
        <v>4</v>
      </c>
    </row>
    <row r="164" spans="1:12">
      <c r="A164">
        <v>122</v>
      </c>
      <c r="B164" s="131" t="s">
        <v>2859</v>
      </c>
      <c r="C164" t="s">
        <v>2860</v>
      </c>
      <c r="D164">
        <v>50</v>
      </c>
      <c r="E164">
        <v>65</v>
      </c>
      <c r="F164">
        <v>65</v>
      </c>
      <c r="G164">
        <v>90</v>
      </c>
      <c r="H164">
        <v>90</v>
      </c>
      <c r="I164">
        <v>100</v>
      </c>
      <c r="J164">
        <v>460</v>
      </c>
      <c r="K164">
        <v>76.67</v>
      </c>
      <c r="L164">
        <f t="shared" si="2"/>
        <v>4</v>
      </c>
    </row>
    <row r="165" spans="1:12">
      <c r="A165">
        <v>123</v>
      </c>
      <c r="B165" s="4" t="s">
        <v>3178</v>
      </c>
      <c r="C165" t="s">
        <v>150</v>
      </c>
      <c r="D165">
        <v>70</v>
      </c>
      <c r="E165">
        <v>110</v>
      </c>
      <c r="F165">
        <v>80</v>
      </c>
      <c r="G165">
        <v>55</v>
      </c>
      <c r="H165">
        <v>80</v>
      </c>
      <c r="I165">
        <v>105</v>
      </c>
      <c r="J165">
        <v>500</v>
      </c>
      <c r="K165">
        <v>83.33</v>
      </c>
      <c r="L165">
        <f t="shared" si="2"/>
        <v>4</v>
      </c>
    </row>
    <row r="166" spans="1:12">
      <c r="A166">
        <v>124</v>
      </c>
      <c r="B166" s="4" t="s">
        <v>3179</v>
      </c>
      <c r="C166" t="s">
        <v>151</v>
      </c>
      <c r="D166">
        <v>65</v>
      </c>
      <c r="E166">
        <v>50</v>
      </c>
      <c r="F166">
        <v>35</v>
      </c>
      <c r="G166">
        <v>115</v>
      </c>
      <c r="H166">
        <v>95</v>
      </c>
      <c r="I166">
        <v>95</v>
      </c>
      <c r="J166">
        <v>455</v>
      </c>
      <c r="K166">
        <v>75.83</v>
      </c>
      <c r="L166">
        <f t="shared" si="2"/>
        <v>4</v>
      </c>
    </row>
    <row r="167" spans="1:12">
      <c r="A167">
        <v>125</v>
      </c>
      <c r="B167" s="4" t="s">
        <v>3180</v>
      </c>
      <c r="C167" t="s">
        <v>152</v>
      </c>
      <c r="D167">
        <v>65</v>
      </c>
      <c r="E167">
        <v>83</v>
      </c>
      <c r="F167">
        <v>57</v>
      </c>
      <c r="G167">
        <v>95</v>
      </c>
      <c r="H167">
        <v>85</v>
      </c>
      <c r="I167">
        <v>105</v>
      </c>
      <c r="J167">
        <v>490</v>
      </c>
      <c r="K167">
        <v>81.67</v>
      </c>
      <c r="L167">
        <f t="shared" si="2"/>
        <v>4</v>
      </c>
    </row>
    <row r="168" spans="1:12">
      <c r="A168">
        <v>126</v>
      </c>
      <c r="B168" s="4" t="s">
        <v>3181</v>
      </c>
      <c r="C168" t="s">
        <v>153</v>
      </c>
      <c r="D168">
        <v>65</v>
      </c>
      <c r="E168">
        <v>95</v>
      </c>
      <c r="F168">
        <v>57</v>
      </c>
      <c r="G168">
        <v>100</v>
      </c>
      <c r="H168">
        <v>85</v>
      </c>
      <c r="I168">
        <v>93</v>
      </c>
      <c r="J168">
        <v>495</v>
      </c>
      <c r="K168">
        <v>82.5</v>
      </c>
      <c r="L168">
        <f t="shared" si="2"/>
        <v>4</v>
      </c>
    </row>
    <row r="169" spans="1:12">
      <c r="A169">
        <v>127</v>
      </c>
      <c r="B169" s="4" t="s">
        <v>3182</v>
      </c>
      <c r="C169" t="s">
        <v>154</v>
      </c>
      <c r="D169">
        <v>65</v>
      </c>
      <c r="E169">
        <v>125</v>
      </c>
      <c r="F169">
        <v>100</v>
      </c>
      <c r="G169">
        <v>55</v>
      </c>
      <c r="H169">
        <v>70</v>
      </c>
      <c r="I169">
        <v>85</v>
      </c>
      <c r="J169">
        <v>500</v>
      </c>
      <c r="K169">
        <v>83.33</v>
      </c>
      <c r="L169">
        <f t="shared" si="2"/>
        <v>4</v>
      </c>
    </row>
    <row r="170" spans="1:12">
      <c r="A170">
        <v>127</v>
      </c>
      <c r="B170" s="131" t="s">
        <v>2861</v>
      </c>
      <c r="C170" t="s">
        <v>2862</v>
      </c>
      <c r="D170">
        <v>65</v>
      </c>
      <c r="E170">
        <v>155</v>
      </c>
      <c r="F170">
        <v>120</v>
      </c>
      <c r="G170">
        <v>65</v>
      </c>
      <c r="H170">
        <v>90</v>
      </c>
      <c r="I170">
        <v>105</v>
      </c>
      <c r="J170">
        <v>600</v>
      </c>
      <c r="K170">
        <v>100</v>
      </c>
      <c r="L170">
        <f t="shared" si="2"/>
        <v>4</v>
      </c>
    </row>
    <row r="171" spans="1:12">
      <c r="A171">
        <v>128</v>
      </c>
      <c r="B171" s="4" t="s">
        <v>3183</v>
      </c>
      <c r="C171" t="s">
        <v>155</v>
      </c>
      <c r="D171">
        <v>75</v>
      </c>
      <c r="E171">
        <v>100</v>
      </c>
      <c r="F171">
        <v>95</v>
      </c>
      <c r="G171">
        <v>40</v>
      </c>
      <c r="H171">
        <v>70</v>
      </c>
      <c r="I171">
        <v>110</v>
      </c>
      <c r="J171">
        <v>490</v>
      </c>
      <c r="K171">
        <v>81.67</v>
      </c>
      <c r="L171">
        <f t="shared" si="2"/>
        <v>4</v>
      </c>
    </row>
    <row r="172" spans="1:12">
      <c r="A172">
        <v>129</v>
      </c>
      <c r="B172" s="4" t="s">
        <v>3184</v>
      </c>
      <c r="C172" t="s">
        <v>156</v>
      </c>
      <c r="D172">
        <v>20</v>
      </c>
      <c r="E172">
        <v>10</v>
      </c>
      <c r="F172">
        <v>55</v>
      </c>
      <c r="G172">
        <v>15</v>
      </c>
      <c r="H172">
        <v>20</v>
      </c>
      <c r="I172">
        <v>80</v>
      </c>
      <c r="J172">
        <v>200</v>
      </c>
      <c r="K172">
        <v>33.33</v>
      </c>
      <c r="L172">
        <f t="shared" si="2"/>
        <v>4</v>
      </c>
    </row>
    <row r="173" spans="1:12">
      <c r="A173">
        <v>130</v>
      </c>
      <c r="B173" s="4" t="s">
        <v>3185</v>
      </c>
      <c r="C173" t="s">
        <v>157</v>
      </c>
      <c r="D173">
        <v>95</v>
      </c>
      <c r="E173">
        <v>125</v>
      </c>
      <c r="F173">
        <v>79</v>
      </c>
      <c r="G173">
        <v>60</v>
      </c>
      <c r="H173">
        <v>100</v>
      </c>
      <c r="I173">
        <v>81</v>
      </c>
      <c r="J173">
        <v>540</v>
      </c>
      <c r="K173">
        <v>90</v>
      </c>
      <c r="L173">
        <f t="shared" si="2"/>
        <v>4</v>
      </c>
    </row>
    <row r="174" spans="1:12">
      <c r="A174">
        <v>130</v>
      </c>
      <c r="B174" s="131" t="s">
        <v>2863</v>
      </c>
      <c r="C174" t="s">
        <v>2864</v>
      </c>
      <c r="D174">
        <v>95</v>
      </c>
      <c r="E174">
        <v>155</v>
      </c>
      <c r="F174">
        <v>109</v>
      </c>
      <c r="G174">
        <v>70</v>
      </c>
      <c r="H174">
        <v>130</v>
      </c>
      <c r="I174">
        <v>81</v>
      </c>
      <c r="J174">
        <v>640</v>
      </c>
      <c r="K174">
        <v>106.67</v>
      </c>
      <c r="L174">
        <f t="shared" si="2"/>
        <v>4</v>
      </c>
    </row>
    <row r="175" spans="1:12">
      <c r="A175">
        <v>131</v>
      </c>
      <c r="B175" s="4" t="s">
        <v>3186</v>
      </c>
      <c r="C175" t="s">
        <v>159</v>
      </c>
      <c r="D175">
        <v>130</v>
      </c>
      <c r="E175">
        <v>85</v>
      </c>
      <c r="F175">
        <v>80</v>
      </c>
      <c r="G175">
        <v>85</v>
      </c>
      <c r="H175">
        <v>95</v>
      </c>
      <c r="I175">
        <v>60</v>
      </c>
      <c r="J175">
        <v>535</v>
      </c>
      <c r="K175">
        <v>89.17</v>
      </c>
      <c r="L175">
        <f t="shared" si="2"/>
        <v>4</v>
      </c>
    </row>
    <row r="176" spans="1:12">
      <c r="A176">
        <v>132</v>
      </c>
      <c r="B176" s="4" t="s">
        <v>3187</v>
      </c>
      <c r="C176" t="s">
        <v>160</v>
      </c>
      <c r="D176">
        <v>48</v>
      </c>
      <c r="E176">
        <v>48</v>
      </c>
      <c r="F176">
        <v>48</v>
      </c>
      <c r="G176">
        <v>48</v>
      </c>
      <c r="H176">
        <v>48</v>
      </c>
      <c r="I176">
        <v>48</v>
      </c>
      <c r="J176">
        <v>288</v>
      </c>
      <c r="K176">
        <v>48</v>
      </c>
      <c r="L176">
        <f t="shared" si="2"/>
        <v>4</v>
      </c>
    </row>
    <row r="177" spans="1:12">
      <c r="A177">
        <v>133</v>
      </c>
      <c r="B177" s="4" t="s">
        <v>3188</v>
      </c>
      <c r="C177" t="s">
        <v>161</v>
      </c>
      <c r="D177">
        <v>55</v>
      </c>
      <c r="E177">
        <v>55</v>
      </c>
      <c r="F177">
        <v>50</v>
      </c>
      <c r="G177">
        <v>45</v>
      </c>
      <c r="H177">
        <v>65</v>
      </c>
      <c r="I177">
        <v>55</v>
      </c>
      <c r="J177">
        <v>325</v>
      </c>
      <c r="K177">
        <v>54.17</v>
      </c>
      <c r="L177">
        <f t="shared" si="2"/>
        <v>4</v>
      </c>
    </row>
    <row r="178" spans="1:12">
      <c r="A178">
        <v>133</v>
      </c>
      <c r="B178" s="131" t="s">
        <v>3958</v>
      </c>
      <c r="C178" t="s">
        <v>2865</v>
      </c>
      <c r="D178">
        <v>65</v>
      </c>
      <c r="E178">
        <v>75</v>
      </c>
      <c r="F178">
        <v>70</v>
      </c>
      <c r="G178">
        <v>65</v>
      </c>
      <c r="H178">
        <v>85</v>
      </c>
      <c r="I178">
        <v>75</v>
      </c>
      <c r="J178">
        <v>435</v>
      </c>
      <c r="K178">
        <v>72.5</v>
      </c>
      <c r="L178">
        <f t="shared" si="2"/>
        <v>4</v>
      </c>
    </row>
    <row r="179" spans="1:12">
      <c r="A179">
        <v>134</v>
      </c>
      <c r="B179" s="4" t="s">
        <v>3189</v>
      </c>
      <c r="C179" t="s">
        <v>162</v>
      </c>
      <c r="D179">
        <v>130</v>
      </c>
      <c r="E179">
        <v>65</v>
      </c>
      <c r="F179">
        <v>60</v>
      </c>
      <c r="G179">
        <v>110</v>
      </c>
      <c r="H179">
        <v>95</v>
      </c>
      <c r="I179">
        <v>65</v>
      </c>
      <c r="J179">
        <v>525</v>
      </c>
      <c r="K179">
        <v>87.5</v>
      </c>
      <c r="L179">
        <f t="shared" si="2"/>
        <v>4</v>
      </c>
    </row>
    <row r="180" spans="1:12">
      <c r="A180">
        <v>135</v>
      </c>
      <c r="B180" s="4" t="s">
        <v>3190</v>
      </c>
      <c r="C180" t="s">
        <v>163</v>
      </c>
      <c r="D180">
        <v>65</v>
      </c>
      <c r="E180">
        <v>65</v>
      </c>
      <c r="F180">
        <v>60</v>
      </c>
      <c r="G180">
        <v>110</v>
      </c>
      <c r="H180">
        <v>95</v>
      </c>
      <c r="I180">
        <v>130</v>
      </c>
      <c r="J180">
        <v>525</v>
      </c>
      <c r="K180">
        <v>87.5</v>
      </c>
      <c r="L180">
        <f t="shared" si="2"/>
        <v>4</v>
      </c>
    </row>
    <row r="181" spans="1:12">
      <c r="A181">
        <v>136</v>
      </c>
      <c r="B181" s="4" t="s">
        <v>3191</v>
      </c>
      <c r="C181" t="s">
        <v>164</v>
      </c>
      <c r="D181">
        <v>65</v>
      </c>
      <c r="E181">
        <v>130</v>
      </c>
      <c r="F181">
        <v>60</v>
      </c>
      <c r="G181">
        <v>95</v>
      </c>
      <c r="H181">
        <v>110</v>
      </c>
      <c r="I181">
        <v>65</v>
      </c>
      <c r="J181">
        <v>525</v>
      </c>
      <c r="K181">
        <v>87.5</v>
      </c>
      <c r="L181">
        <f t="shared" si="2"/>
        <v>4</v>
      </c>
    </row>
    <row r="182" spans="1:12">
      <c r="A182">
        <v>137</v>
      </c>
      <c r="B182" s="4" t="s">
        <v>3192</v>
      </c>
      <c r="C182" t="s">
        <v>165</v>
      </c>
      <c r="D182">
        <v>65</v>
      </c>
      <c r="E182">
        <v>60</v>
      </c>
      <c r="F182">
        <v>70</v>
      </c>
      <c r="G182">
        <v>85</v>
      </c>
      <c r="H182">
        <v>75</v>
      </c>
      <c r="I182">
        <v>40</v>
      </c>
      <c r="J182">
        <v>395</v>
      </c>
      <c r="K182">
        <v>65.83</v>
      </c>
      <c r="L182">
        <f t="shared" si="2"/>
        <v>4</v>
      </c>
    </row>
    <row r="183" spans="1:12">
      <c r="A183">
        <v>138</v>
      </c>
      <c r="B183" s="4" t="s">
        <v>3193</v>
      </c>
      <c r="C183" t="s">
        <v>166</v>
      </c>
      <c r="D183">
        <v>35</v>
      </c>
      <c r="E183">
        <v>40</v>
      </c>
      <c r="F183">
        <v>100</v>
      </c>
      <c r="G183">
        <v>90</v>
      </c>
      <c r="H183">
        <v>55</v>
      </c>
      <c r="I183">
        <v>35</v>
      </c>
      <c r="J183">
        <v>355</v>
      </c>
      <c r="K183">
        <v>59.17</v>
      </c>
      <c r="L183">
        <f t="shared" si="2"/>
        <v>4</v>
      </c>
    </row>
    <row r="184" spans="1:12">
      <c r="A184">
        <v>139</v>
      </c>
      <c r="B184" s="4" t="s">
        <v>3194</v>
      </c>
      <c r="C184" t="s">
        <v>167</v>
      </c>
      <c r="D184">
        <v>70</v>
      </c>
      <c r="E184">
        <v>60</v>
      </c>
      <c r="F184">
        <v>125</v>
      </c>
      <c r="G184">
        <v>115</v>
      </c>
      <c r="H184">
        <v>70</v>
      </c>
      <c r="I184">
        <v>55</v>
      </c>
      <c r="J184">
        <v>495</v>
      </c>
      <c r="K184">
        <v>82.5</v>
      </c>
      <c r="L184">
        <f t="shared" si="2"/>
        <v>4</v>
      </c>
    </row>
    <row r="185" spans="1:12">
      <c r="A185">
        <v>140</v>
      </c>
      <c r="B185" s="4" t="s">
        <v>3195</v>
      </c>
      <c r="C185" t="s">
        <v>168</v>
      </c>
      <c r="D185">
        <v>30</v>
      </c>
      <c r="E185">
        <v>80</v>
      </c>
      <c r="F185">
        <v>90</v>
      </c>
      <c r="G185">
        <v>55</v>
      </c>
      <c r="H185">
        <v>45</v>
      </c>
      <c r="I185">
        <v>55</v>
      </c>
      <c r="J185">
        <v>355</v>
      </c>
      <c r="K185">
        <v>59.17</v>
      </c>
      <c r="L185">
        <f t="shared" si="2"/>
        <v>4</v>
      </c>
    </row>
    <row r="186" spans="1:12">
      <c r="A186">
        <v>141</v>
      </c>
      <c r="B186" s="4" t="s">
        <v>3196</v>
      </c>
      <c r="C186" t="s">
        <v>169</v>
      </c>
      <c r="D186">
        <v>60</v>
      </c>
      <c r="E186">
        <v>115</v>
      </c>
      <c r="F186">
        <v>105</v>
      </c>
      <c r="G186">
        <v>65</v>
      </c>
      <c r="H186">
        <v>70</v>
      </c>
      <c r="I186">
        <v>80</v>
      </c>
      <c r="J186">
        <v>495</v>
      </c>
      <c r="K186">
        <v>82.5</v>
      </c>
      <c r="L186">
        <f t="shared" si="2"/>
        <v>4</v>
      </c>
    </row>
    <row r="187" spans="1:12">
      <c r="A187">
        <v>142</v>
      </c>
      <c r="B187" s="4" t="s">
        <v>3197</v>
      </c>
      <c r="C187" t="s">
        <v>170</v>
      </c>
      <c r="D187">
        <v>80</v>
      </c>
      <c r="E187">
        <v>105</v>
      </c>
      <c r="F187">
        <v>65</v>
      </c>
      <c r="G187">
        <v>60</v>
      </c>
      <c r="H187">
        <v>75</v>
      </c>
      <c r="I187">
        <v>130</v>
      </c>
      <c r="J187">
        <v>515</v>
      </c>
      <c r="K187">
        <v>85.83</v>
      </c>
      <c r="L187">
        <f t="shared" si="2"/>
        <v>4</v>
      </c>
    </row>
    <row r="188" spans="1:12">
      <c r="A188">
        <v>142</v>
      </c>
      <c r="B188" s="131" t="s">
        <v>2866</v>
      </c>
      <c r="C188" t="s">
        <v>2867</v>
      </c>
      <c r="D188">
        <v>80</v>
      </c>
      <c r="E188">
        <v>135</v>
      </c>
      <c r="F188">
        <v>85</v>
      </c>
      <c r="G188">
        <v>70</v>
      </c>
      <c r="H188">
        <v>95</v>
      </c>
      <c r="I188">
        <v>150</v>
      </c>
      <c r="J188">
        <v>615</v>
      </c>
      <c r="K188">
        <v>102.5</v>
      </c>
      <c r="L188">
        <f t="shared" si="2"/>
        <v>4</v>
      </c>
    </row>
    <row r="189" spans="1:12">
      <c r="A189">
        <v>143</v>
      </c>
      <c r="B189" s="4" t="s">
        <v>3198</v>
      </c>
      <c r="C189" t="s">
        <v>171</v>
      </c>
      <c r="D189">
        <v>160</v>
      </c>
      <c r="E189">
        <v>110</v>
      </c>
      <c r="F189">
        <v>65</v>
      </c>
      <c r="G189">
        <v>65</v>
      </c>
      <c r="H189">
        <v>110</v>
      </c>
      <c r="I189">
        <v>30</v>
      </c>
      <c r="J189">
        <v>540</v>
      </c>
      <c r="K189">
        <v>90</v>
      </c>
      <c r="L189">
        <f t="shared" si="2"/>
        <v>4</v>
      </c>
    </row>
    <row r="190" spans="1:12">
      <c r="A190">
        <v>144</v>
      </c>
      <c r="B190" s="4" t="s">
        <v>3199</v>
      </c>
      <c r="C190" t="s">
        <v>172</v>
      </c>
      <c r="D190">
        <v>90</v>
      </c>
      <c r="E190">
        <v>85</v>
      </c>
      <c r="F190">
        <v>100</v>
      </c>
      <c r="G190">
        <v>95</v>
      </c>
      <c r="H190">
        <v>125</v>
      </c>
      <c r="I190">
        <v>85</v>
      </c>
      <c r="J190">
        <v>580</v>
      </c>
      <c r="K190">
        <v>96.67</v>
      </c>
      <c r="L190">
        <f t="shared" si="2"/>
        <v>4</v>
      </c>
    </row>
    <row r="191" spans="1:12">
      <c r="A191">
        <v>144</v>
      </c>
      <c r="B191" s="131" t="s">
        <v>2868</v>
      </c>
      <c r="C191" t="s">
        <v>2869</v>
      </c>
      <c r="D191">
        <v>90</v>
      </c>
      <c r="E191">
        <v>85</v>
      </c>
      <c r="F191">
        <v>85</v>
      </c>
      <c r="G191">
        <v>125</v>
      </c>
      <c r="H191">
        <v>100</v>
      </c>
      <c r="I191">
        <v>95</v>
      </c>
      <c r="J191">
        <v>580</v>
      </c>
      <c r="K191">
        <v>96.67</v>
      </c>
      <c r="L191">
        <f t="shared" si="2"/>
        <v>4</v>
      </c>
    </row>
    <row r="192" spans="1:12">
      <c r="A192">
        <v>145</v>
      </c>
      <c r="B192" s="4" t="s">
        <v>3200</v>
      </c>
      <c r="C192" t="s">
        <v>173</v>
      </c>
      <c r="D192">
        <v>90</v>
      </c>
      <c r="E192">
        <v>90</v>
      </c>
      <c r="F192">
        <v>85</v>
      </c>
      <c r="G192">
        <v>125</v>
      </c>
      <c r="H192">
        <v>90</v>
      </c>
      <c r="I192">
        <v>100</v>
      </c>
      <c r="J192">
        <v>580</v>
      </c>
      <c r="K192">
        <v>96.67</v>
      </c>
      <c r="L192">
        <f t="shared" si="2"/>
        <v>4</v>
      </c>
    </row>
    <row r="193" spans="1:12">
      <c r="A193">
        <v>145</v>
      </c>
      <c r="B193" s="131" t="s">
        <v>2870</v>
      </c>
      <c r="C193" t="s">
        <v>2871</v>
      </c>
      <c r="D193">
        <v>90</v>
      </c>
      <c r="E193">
        <v>125</v>
      </c>
      <c r="F193">
        <v>90</v>
      </c>
      <c r="G193">
        <v>85</v>
      </c>
      <c r="H193">
        <v>90</v>
      </c>
      <c r="I193">
        <v>100</v>
      </c>
      <c r="J193">
        <v>580</v>
      </c>
      <c r="K193">
        <v>96.67</v>
      </c>
      <c r="L193">
        <f t="shared" si="2"/>
        <v>4</v>
      </c>
    </row>
    <row r="194" spans="1:12">
      <c r="A194">
        <v>146</v>
      </c>
      <c r="B194" s="4" t="s">
        <v>3201</v>
      </c>
      <c r="C194" t="s">
        <v>174</v>
      </c>
      <c r="D194">
        <v>90</v>
      </c>
      <c r="E194">
        <v>100</v>
      </c>
      <c r="F194">
        <v>90</v>
      </c>
      <c r="G194">
        <v>125</v>
      </c>
      <c r="H194">
        <v>85</v>
      </c>
      <c r="I194">
        <v>90</v>
      </c>
      <c r="J194">
        <v>580</v>
      </c>
      <c r="K194">
        <v>96.67</v>
      </c>
      <c r="L194">
        <f t="shared" si="2"/>
        <v>4</v>
      </c>
    </row>
    <row r="195" spans="1:12">
      <c r="A195">
        <v>146</v>
      </c>
      <c r="B195" s="131" t="s">
        <v>2872</v>
      </c>
      <c r="C195" t="s">
        <v>2873</v>
      </c>
      <c r="D195">
        <v>90</v>
      </c>
      <c r="E195">
        <v>85</v>
      </c>
      <c r="F195">
        <v>90</v>
      </c>
      <c r="G195">
        <v>100</v>
      </c>
      <c r="H195">
        <v>125</v>
      </c>
      <c r="I195">
        <v>90</v>
      </c>
      <c r="J195">
        <v>580</v>
      </c>
      <c r="K195">
        <v>96.67</v>
      </c>
      <c r="L195">
        <f t="shared" ref="L195:L258" si="3">LEN(B195)</f>
        <v>4</v>
      </c>
    </row>
    <row r="196" spans="1:12">
      <c r="A196">
        <v>147</v>
      </c>
      <c r="B196" s="4" t="s">
        <v>3202</v>
      </c>
      <c r="C196" t="s">
        <v>175</v>
      </c>
      <c r="D196">
        <v>41</v>
      </c>
      <c r="E196">
        <v>64</v>
      </c>
      <c r="F196">
        <v>45</v>
      </c>
      <c r="G196">
        <v>50</v>
      </c>
      <c r="H196">
        <v>50</v>
      </c>
      <c r="I196">
        <v>50</v>
      </c>
      <c r="J196">
        <v>300</v>
      </c>
      <c r="K196">
        <v>50</v>
      </c>
      <c r="L196">
        <f t="shared" si="3"/>
        <v>4</v>
      </c>
    </row>
    <row r="197" spans="1:12">
      <c r="A197">
        <v>148</v>
      </c>
      <c r="B197" s="4" t="s">
        <v>3203</v>
      </c>
      <c r="C197" t="s">
        <v>176</v>
      </c>
      <c r="D197">
        <v>61</v>
      </c>
      <c r="E197">
        <v>84</v>
      </c>
      <c r="F197">
        <v>65</v>
      </c>
      <c r="G197">
        <v>70</v>
      </c>
      <c r="H197">
        <v>70</v>
      </c>
      <c r="I197">
        <v>70</v>
      </c>
      <c r="J197">
        <v>420</v>
      </c>
      <c r="K197">
        <v>70</v>
      </c>
      <c r="L197">
        <f t="shared" si="3"/>
        <v>4</v>
      </c>
    </row>
    <row r="198" spans="1:12">
      <c r="A198">
        <v>149</v>
      </c>
      <c r="B198" s="4" t="s">
        <v>3204</v>
      </c>
      <c r="C198" t="s">
        <v>177</v>
      </c>
      <c r="D198">
        <v>91</v>
      </c>
      <c r="E198">
        <v>134</v>
      </c>
      <c r="F198">
        <v>95</v>
      </c>
      <c r="G198">
        <v>100</v>
      </c>
      <c r="H198">
        <v>100</v>
      </c>
      <c r="I198">
        <v>80</v>
      </c>
      <c r="J198">
        <v>600</v>
      </c>
      <c r="K198">
        <v>100</v>
      </c>
      <c r="L198">
        <f t="shared" si="3"/>
        <v>4</v>
      </c>
    </row>
    <row r="199" spans="1:12">
      <c r="A199">
        <v>150</v>
      </c>
      <c r="B199" s="4" t="s">
        <v>3205</v>
      </c>
      <c r="C199" t="s">
        <v>178</v>
      </c>
      <c r="D199">
        <v>106</v>
      </c>
      <c r="E199">
        <v>110</v>
      </c>
      <c r="F199">
        <v>90</v>
      </c>
      <c r="G199">
        <v>154</v>
      </c>
      <c r="H199">
        <v>90</v>
      </c>
      <c r="I199">
        <v>130</v>
      </c>
      <c r="J199">
        <v>680</v>
      </c>
      <c r="K199">
        <v>113.33</v>
      </c>
      <c r="L199">
        <f t="shared" si="3"/>
        <v>4</v>
      </c>
    </row>
    <row r="200" spans="1:12">
      <c r="A200">
        <v>150</v>
      </c>
      <c r="B200" s="131" t="s">
        <v>3964</v>
      </c>
      <c r="C200" t="s">
        <v>2874</v>
      </c>
      <c r="D200">
        <v>106</v>
      </c>
      <c r="E200">
        <v>190</v>
      </c>
      <c r="F200">
        <v>100</v>
      </c>
      <c r="G200">
        <v>154</v>
      </c>
      <c r="H200">
        <v>100</v>
      </c>
      <c r="I200">
        <v>130</v>
      </c>
      <c r="J200">
        <v>780</v>
      </c>
      <c r="K200">
        <v>130</v>
      </c>
      <c r="L200">
        <f t="shared" si="3"/>
        <v>4</v>
      </c>
    </row>
    <row r="201" spans="1:12">
      <c r="A201">
        <v>150</v>
      </c>
      <c r="B201" s="131" t="s">
        <v>3965</v>
      </c>
      <c r="C201" t="s">
        <v>2875</v>
      </c>
      <c r="D201">
        <v>106</v>
      </c>
      <c r="E201">
        <v>150</v>
      </c>
      <c r="F201">
        <v>70</v>
      </c>
      <c r="G201">
        <v>194</v>
      </c>
      <c r="H201">
        <v>120</v>
      </c>
      <c r="I201">
        <v>140</v>
      </c>
      <c r="J201">
        <v>780</v>
      </c>
      <c r="K201">
        <v>130</v>
      </c>
      <c r="L201">
        <f t="shared" si="3"/>
        <v>4</v>
      </c>
    </row>
    <row r="202" spans="1:12">
      <c r="A202">
        <v>151</v>
      </c>
      <c r="B202" s="4" t="s">
        <v>3206</v>
      </c>
      <c r="C202" t="s">
        <v>179</v>
      </c>
      <c r="D202">
        <v>100</v>
      </c>
      <c r="E202">
        <v>100</v>
      </c>
      <c r="F202">
        <v>100</v>
      </c>
      <c r="G202">
        <v>100</v>
      </c>
      <c r="H202">
        <v>100</v>
      </c>
      <c r="I202">
        <v>100</v>
      </c>
      <c r="J202">
        <v>600</v>
      </c>
      <c r="K202">
        <v>100</v>
      </c>
      <c r="L202">
        <f t="shared" si="3"/>
        <v>4</v>
      </c>
    </row>
    <row r="203" spans="1:12">
      <c r="A203">
        <v>152</v>
      </c>
      <c r="B203" s="4" t="s">
        <v>3207</v>
      </c>
      <c r="C203" t="s">
        <v>180</v>
      </c>
      <c r="D203">
        <v>45</v>
      </c>
      <c r="E203">
        <v>49</v>
      </c>
      <c r="F203">
        <v>65</v>
      </c>
      <c r="G203">
        <v>49</v>
      </c>
      <c r="H203">
        <v>65</v>
      </c>
      <c r="I203">
        <v>45</v>
      </c>
      <c r="J203">
        <v>318</v>
      </c>
      <c r="K203">
        <v>53</v>
      </c>
      <c r="L203">
        <f t="shared" si="3"/>
        <v>4</v>
      </c>
    </row>
    <row r="204" spans="1:12">
      <c r="A204">
        <v>153</v>
      </c>
      <c r="B204" s="4" t="s">
        <v>3208</v>
      </c>
      <c r="C204" t="s">
        <v>181</v>
      </c>
      <c r="D204">
        <v>60</v>
      </c>
      <c r="E204">
        <v>62</v>
      </c>
      <c r="F204">
        <v>80</v>
      </c>
      <c r="G204">
        <v>63</v>
      </c>
      <c r="H204">
        <v>80</v>
      </c>
      <c r="I204">
        <v>60</v>
      </c>
      <c r="J204">
        <v>405</v>
      </c>
      <c r="K204">
        <v>67.5</v>
      </c>
      <c r="L204">
        <f t="shared" si="3"/>
        <v>4</v>
      </c>
    </row>
    <row r="205" spans="1:12">
      <c r="A205">
        <v>154</v>
      </c>
      <c r="B205" s="4" t="s">
        <v>3209</v>
      </c>
      <c r="C205" t="s">
        <v>1963</v>
      </c>
      <c r="D205">
        <v>80</v>
      </c>
      <c r="E205">
        <v>82</v>
      </c>
      <c r="F205">
        <v>100</v>
      </c>
      <c r="G205">
        <v>83</v>
      </c>
      <c r="H205">
        <v>100</v>
      </c>
      <c r="I205">
        <v>80</v>
      </c>
      <c r="J205">
        <v>525</v>
      </c>
      <c r="K205">
        <v>87.5</v>
      </c>
      <c r="L205">
        <f t="shared" si="3"/>
        <v>4</v>
      </c>
    </row>
    <row r="206" spans="1:12">
      <c r="A206">
        <v>155</v>
      </c>
      <c r="B206" s="4" t="s">
        <v>3210</v>
      </c>
      <c r="C206" t="s">
        <v>182</v>
      </c>
      <c r="D206">
        <v>39</v>
      </c>
      <c r="E206">
        <v>52</v>
      </c>
      <c r="F206">
        <v>43</v>
      </c>
      <c r="G206">
        <v>60</v>
      </c>
      <c r="H206">
        <v>50</v>
      </c>
      <c r="I206">
        <v>65</v>
      </c>
      <c r="J206">
        <v>309</v>
      </c>
      <c r="K206">
        <v>51.5</v>
      </c>
      <c r="L206">
        <f t="shared" si="3"/>
        <v>4</v>
      </c>
    </row>
    <row r="207" spans="1:12">
      <c r="A207">
        <v>156</v>
      </c>
      <c r="B207" s="4" t="s">
        <v>3211</v>
      </c>
      <c r="C207" t="s">
        <v>183</v>
      </c>
      <c r="D207">
        <v>58</v>
      </c>
      <c r="E207">
        <v>64</v>
      </c>
      <c r="F207">
        <v>58</v>
      </c>
      <c r="G207">
        <v>80</v>
      </c>
      <c r="H207">
        <v>65</v>
      </c>
      <c r="I207">
        <v>80</v>
      </c>
      <c r="J207">
        <v>405</v>
      </c>
      <c r="K207">
        <v>67.5</v>
      </c>
      <c r="L207">
        <f t="shared" si="3"/>
        <v>4</v>
      </c>
    </row>
    <row r="208" spans="1:12">
      <c r="A208">
        <v>157</v>
      </c>
      <c r="B208" s="4" t="s">
        <v>3212</v>
      </c>
      <c r="C208" t="s">
        <v>184</v>
      </c>
      <c r="D208">
        <v>78</v>
      </c>
      <c r="E208">
        <v>84</v>
      </c>
      <c r="F208">
        <v>78</v>
      </c>
      <c r="G208">
        <v>109</v>
      </c>
      <c r="H208">
        <v>85</v>
      </c>
      <c r="I208">
        <v>100</v>
      </c>
      <c r="J208">
        <v>534</v>
      </c>
      <c r="K208">
        <v>89</v>
      </c>
      <c r="L208">
        <f t="shared" si="3"/>
        <v>4</v>
      </c>
    </row>
    <row r="209" spans="1:12">
      <c r="A209">
        <v>157</v>
      </c>
      <c r="B209" s="131" t="s">
        <v>2876</v>
      </c>
      <c r="C209" t="s">
        <v>2877</v>
      </c>
      <c r="D209">
        <v>73</v>
      </c>
      <c r="E209">
        <v>84</v>
      </c>
      <c r="F209">
        <v>78</v>
      </c>
      <c r="G209">
        <v>119</v>
      </c>
      <c r="H209">
        <v>85</v>
      </c>
      <c r="I209">
        <v>95</v>
      </c>
      <c r="J209">
        <v>534</v>
      </c>
      <c r="K209">
        <v>89</v>
      </c>
      <c r="L209">
        <f t="shared" si="3"/>
        <v>4</v>
      </c>
    </row>
    <row r="210" spans="1:12">
      <c r="A210">
        <v>158</v>
      </c>
      <c r="B210" s="4" t="s">
        <v>3213</v>
      </c>
      <c r="C210" t="s">
        <v>185</v>
      </c>
      <c r="D210">
        <v>50</v>
      </c>
      <c r="E210">
        <v>65</v>
      </c>
      <c r="F210">
        <v>64</v>
      </c>
      <c r="G210">
        <v>44</v>
      </c>
      <c r="H210">
        <v>48</v>
      </c>
      <c r="I210">
        <v>43</v>
      </c>
      <c r="J210">
        <v>314</v>
      </c>
      <c r="K210">
        <v>52.33</v>
      </c>
      <c r="L210">
        <f t="shared" si="3"/>
        <v>4</v>
      </c>
    </row>
    <row r="211" spans="1:12">
      <c r="A211">
        <v>159</v>
      </c>
      <c r="B211" s="4" t="s">
        <v>3214</v>
      </c>
      <c r="C211" t="s">
        <v>186</v>
      </c>
      <c r="D211">
        <v>65</v>
      </c>
      <c r="E211">
        <v>80</v>
      </c>
      <c r="F211">
        <v>80</v>
      </c>
      <c r="G211">
        <v>59</v>
      </c>
      <c r="H211">
        <v>63</v>
      </c>
      <c r="I211">
        <v>58</v>
      </c>
      <c r="J211">
        <v>405</v>
      </c>
      <c r="K211">
        <v>67.5</v>
      </c>
      <c r="L211">
        <f t="shared" si="3"/>
        <v>4</v>
      </c>
    </row>
    <row r="212" spans="1:12">
      <c r="A212">
        <v>160</v>
      </c>
      <c r="B212" s="4" t="s">
        <v>3215</v>
      </c>
      <c r="C212" t="s">
        <v>187</v>
      </c>
      <c r="D212">
        <v>85</v>
      </c>
      <c r="E212">
        <v>105</v>
      </c>
      <c r="F212">
        <v>100</v>
      </c>
      <c r="G212">
        <v>79</v>
      </c>
      <c r="H212">
        <v>83</v>
      </c>
      <c r="I212">
        <v>78</v>
      </c>
      <c r="J212">
        <v>530</v>
      </c>
      <c r="K212">
        <v>88.33</v>
      </c>
      <c r="L212">
        <f t="shared" si="3"/>
        <v>4</v>
      </c>
    </row>
    <row r="213" spans="1:12">
      <c r="A213">
        <v>161</v>
      </c>
      <c r="B213" s="4" t="s">
        <v>3216</v>
      </c>
      <c r="C213" t="s">
        <v>188</v>
      </c>
      <c r="D213">
        <v>35</v>
      </c>
      <c r="E213">
        <v>46</v>
      </c>
      <c r="F213">
        <v>34</v>
      </c>
      <c r="G213">
        <v>35</v>
      </c>
      <c r="H213">
        <v>45</v>
      </c>
      <c r="I213">
        <v>20</v>
      </c>
      <c r="J213">
        <v>215</v>
      </c>
      <c r="K213">
        <v>35.83</v>
      </c>
      <c r="L213">
        <f t="shared" si="3"/>
        <v>4</v>
      </c>
    </row>
    <row r="214" spans="1:12">
      <c r="A214">
        <v>162</v>
      </c>
      <c r="B214" s="4" t="s">
        <v>3217</v>
      </c>
      <c r="C214" t="s">
        <v>189</v>
      </c>
      <c r="D214">
        <v>85</v>
      </c>
      <c r="E214">
        <v>76</v>
      </c>
      <c r="F214">
        <v>64</v>
      </c>
      <c r="G214">
        <v>45</v>
      </c>
      <c r="H214">
        <v>55</v>
      </c>
      <c r="I214">
        <v>90</v>
      </c>
      <c r="J214">
        <v>415</v>
      </c>
      <c r="K214">
        <v>69.17</v>
      </c>
      <c r="L214">
        <f t="shared" si="3"/>
        <v>4</v>
      </c>
    </row>
    <row r="215" spans="1:12">
      <c r="A215">
        <v>163</v>
      </c>
      <c r="B215" s="4" t="s">
        <v>3218</v>
      </c>
      <c r="C215" t="s">
        <v>190</v>
      </c>
      <c r="D215">
        <v>60</v>
      </c>
      <c r="E215">
        <v>30</v>
      </c>
      <c r="F215">
        <v>30</v>
      </c>
      <c r="G215">
        <v>36</v>
      </c>
      <c r="H215">
        <v>56</v>
      </c>
      <c r="I215">
        <v>50</v>
      </c>
      <c r="J215">
        <v>262</v>
      </c>
      <c r="K215">
        <v>43.67</v>
      </c>
      <c r="L215">
        <f t="shared" si="3"/>
        <v>4</v>
      </c>
    </row>
    <row r="216" spans="1:12">
      <c r="A216">
        <v>164</v>
      </c>
      <c r="B216" s="4" t="s">
        <v>3219</v>
      </c>
      <c r="C216" t="s">
        <v>191</v>
      </c>
      <c r="D216">
        <v>100</v>
      </c>
      <c r="E216">
        <v>50</v>
      </c>
      <c r="F216">
        <v>50</v>
      </c>
      <c r="G216">
        <v>86</v>
      </c>
      <c r="H216">
        <v>96</v>
      </c>
      <c r="I216">
        <v>70</v>
      </c>
      <c r="J216">
        <v>452</v>
      </c>
      <c r="K216">
        <v>75.33</v>
      </c>
      <c r="L216">
        <f t="shared" si="3"/>
        <v>4</v>
      </c>
    </row>
    <row r="217" spans="1:12">
      <c r="A217">
        <v>165</v>
      </c>
      <c r="B217" s="4" t="s">
        <v>3220</v>
      </c>
      <c r="C217" t="s">
        <v>192</v>
      </c>
      <c r="D217">
        <v>40</v>
      </c>
      <c r="E217">
        <v>20</v>
      </c>
      <c r="F217">
        <v>30</v>
      </c>
      <c r="G217">
        <v>40</v>
      </c>
      <c r="H217">
        <v>80</v>
      </c>
      <c r="I217">
        <v>55</v>
      </c>
      <c r="J217">
        <v>265</v>
      </c>
      <c r="K217">
        <v>44.17</v>
      </c>
      <c r="L217">
        <f t="shared" si="3"/>
        <v>4</v>
      </c>
    </row>
    <row r="218" spans="1:12">
      <c r="A218">
        <v>166</v>
      </c>
      <c r="B218" s="4" t="s">
        <v>3221</v>
      </c>
      <c r="C218" t="s">
        <v>193</v>
      </c>
      <c r="D218">
        <v>55</v>
      </c>
      <c r="E218">
        <v>35</v>
      </c>
      <c r="F218">
        <v>50</v>
      </c>
      <c r="G218">
        <v>55</v>
      </c>
      <c r="H218">
        <v>110</v>
      </c>
      <c r="I218">
        <v>85</v>
      </c>
      <c r="J218">
        <v>390</v>
      </c>
      <c r="K218">
        <v>65</v>
      </c>
      <c r="L218">
        <f t="shared" si="3"/>
        <v>4</v>
      </c>
    </row>
    <row r="219" spans="1:12">
      <c r="A219">
        <v>167</v>
      </c>
      <c r="B219" s="4" t="s">
        <v>3222</v>
      </c>
      <c r="C219" t="s">
        <v>194</v>
      </c>
      <c r="D219">
        <v>40</v>
      </c>
      <c r="E219">
        <v>60</v>
      </c>
      <c r="F219">
        <v>40</v>
      </c>
      <c r="G219">
        <v>40</v>
      </c>
      <c r="H219">
        <v>40</v>
      </c>
      <c r="I219">
        <v>30</v>
      </c>
      <c r="J219">
        <v>250</v>
      </c>
      <c r="K219">
        <v>41.67</v>
      </c>
      <c r="L219">
        <f t="shared" si="3"/>
        <v>4</v>
      </c>
    </row>
    <row r="220" spans="1:12">
      <c r="A220">
        <v>168</v>
      </c>
      <c r="B220" s="4" t="s">
        <v>3223</v>
      </c>
      <c r="C220" t="s">
        <v>195</v>
      </c>
      <c r="D220">
        <v>70</v>
      </c>
      <c r="E220">
        <v>90</v>
      </c>
      <c r="F220">
        <v>70</v>
      </c>
      <c r="G220">
        <v>60</v>
      </c>
      <c r="H220">
        <v>70</v>
      </c>
      <c r="I220">
        <v>40</v>
      </c>
      <c r="J220">
        <v>400</v>
      </c>
      <c r="K220">
        <v>66.67</v>
      </c>
      <c r="L220">
        <f t="shared" si="3"/>
        <v>4</v>
      </c>
    </row>
    <row r="221" spans="1:12">
      <c r="A221">
        <v>169</v>
      </c>
      <c r="B221" s="4" t="s">
        <v>3224</v>
      </c>
      <c r="C221" t="s">
        <v>196</v>
      </c>
      <c r="D221">
        <v>85</v>
      </c>
      <c r="E221">
        <v>90</v>
      </c>
      <c r="F221">
        <v>80</v>
      </c>
      <c r="G221">
        <v>70</v>
      </c>
      <c r="H221">
        <v>80</v>
      </c>
      <c r="I221">
        <v>130</v>
      </c>
      <c r="J221">
        <v>535</v>
      </c>
      <c r="K221">
        <v>89.17</v>
      </c>
      <c r="L221">
        <f t="shared" si="3"/>
        <v>4</v>
      </c>
    </row>
    <row r="222" spans="1:12">
      <c r="A222">
        <v>170</v>
      </c>
      <c r="B222" s="4" t="s">
        <v>3225</v>
      </c>
      <c r="C222" t="s">
        <v>197</v>
      </c>
      <c r="D222">
        <v>75</v>
      </c>
      <c r="E222">
        <v>38</v>
      </c>
      <c r="F222">
        <v>38</v>
      </c>
      <c r="G222">
        <v>56</v>
      </c>
      <c r="H222">
        <v>56</v>
      </c>
      <c r="I222">
        <v>67</v>
      </c>
      <c r="J222">
        <v>330</v>
      </c>
      <c r="K222">
        <v>55</v>
      </c>
      <c r="L222">
        <f t="shared" si="3"/>
        <v>4</v>
      </c>
    </row>
    <row r="223" spans="1:12">
      <c r="A223">
        <v>171</v>
      </c>
      <c r="B223" s="4" t="s">
        <v>3226</v>
      </c>
      <c r="C223" t="s">
        <v>198</v>
      </c>
      <c r="D223">
        <v>125</v>
      </c>
      <c r="E223">
        <v>58</v>
      </c>
      <c r="F223">
        <v>58</v>
      </c>
      <c r="G223">
        <v>76</v>
      </c>
      <c r="H223">
        <v>76</v>
      </c>
      <c r="I223">
        <v>67</v>
      </c>
      <c r="J223">
        <v>460</v>
      </c>
      <c r="K223">
        <v>76.67</v>
      </c>
      <c r="L223">
        <f t="shared" si="3"/>
        <v>4</v>
      </c>
    </row>
    <row r="224" spans="1:12">
      <c r="A224">
        <v>172</v>
      </c>
      <c r="B224" s="4" t="s">
        <v>3227</v>
      </c>
      <c r="C224" t="s">
        <v>199</v>
      </c>
      <c r="D224">
        <v>20</v>
      </c>
      <c r="E224">
        <v>40</v>
      </c>
      <c r="F224">
        <v>15</v>
      </c>
      <c r="G224">
        <v>35</v>
      </c>
      <c r="H224">
        <v>35</v>
      </c>
      <c r="I224">
        <v>60</v>
      </c>
      <c r="J224">
        <v>205</v>
      </c>
      <c r="K224">
        <v>34.17</v>
      </c>
      <c r="L224">
        <f t="shared" si="3"/>
        <v>4</v>
      </c>
    </row>
    <row r="225" spans="1:12">
      <c r="A225">
        <v>173</v>
      </c>
      <c r="B225" s="4" t="s">
        <v>3228</v>
      </c>
      <c r="C225" t="s">
        <v>200</v>
      </c>
      <c r="D225">
        <v>50</v>
      </c>
      <c r="E225">
        <v>25</v>
      </c>
      <c r="F225">
        <v>28</v>
      </c>
      <c r="G225">
        <v>45</v>
      </c>
      <c r="H225">
        <v>55</v>
      </c>
      <c r="I225">
        <v>15</v>
      </c>
      <c r="J225">
        <v>218</v>
      </c>
      <c r="K225">
        <v>36.33</v>
      </c>
      <c r="L225">
        <f t="shared" si="3"/>
        <v>4</v>
      </c>
    </row>
    <row r="226" spans="1:12">
      <c r="A226">
        <v>174</v>
      </c>
      <c r="B226" s="4" t="s">
        <v>3229</v>
      </c>
      <c r="C226" t="s">
        <v>201</v>
      </c>
      <c r="D226">
        <v>90</v>
      </c>
      <c r="E226">
        <v>30</v>
      </c>
      <c r="F226">
        <v>15</v>
      </c>
      <c r="G226">
        <v>40</v>
      </c>
      <c r="H226">
        <v>20</v>
      </c>
      <c r="I226">
        <v>15</v>
      </c>
      <c r="J226">
        <v>210</v>
      </c>
      <c r="K226">
        <v>35</v>
      </c>
      <c r="L226">
        <f t="shared" si="3"/>
        <v>4</v>
      </c>
    </row>
    <row r="227" spans="1:12">
      <c r="A227">
        <v>175</v>
      </c>
      <c r="B227" s="4" t="s">
        <v>3230</v>
      </c>
      <c r="C227" t="s">
        <v>202</v>
      </c>
      <c r="D227">
        <v>35</v>
      </c>
      <c r="E227">
        <v>20</v>
      </c>
      <c r="F227">
        <v>65</v>
      </c>
      <c r="G227">
        <v>40</v>
      </c>
      <c r="H227">
        <v>65</v>
      </c>
      <c r="I227">
        <v>20</v>
      </c>
      <c r="J227">
        <v>245</v>
      </c>
      <c r="K227">
        <v>40.83</v>
      </c>
      <c r="L227">
        <f t="shared" si="3"/>
        <v>4</v>
      </c>
    </row>
    <row r="228" spans="1:12">
      <c r="A228">
        <v>176</v>
      </c>
      <c r="B228" s="4" t="s">
        <v>3231</v>
      </c>
      <c r="C228" t="s">
        <v>203</v>
      </c>
      <c r="D228">
        <v>55</v>
      </c>
      <c r="E228">
        <v>40</v>
      </c>
      <c r="F228">
        <v>85</v>
      </c>
      <c r="G228">
        <v>80</v>
      </c>
      <c r="H228">
        <v>105</v>
      </c>
      <c r="I228">
        <v>40</v>
      </c>
      <c r="J228">
        <v>405</v>
      </c>
      <c r="K228">
        <v>67.5</v>
      </c>
      <c r="L228">
        <f t="shared" si="3"/>
        <v>4</v>
      </c>
    </row>
    <row r="229" spans="1:12">
      <c r="A229">
        <v>177</v>
      </c>
      <c r="B229" s="4" t="s">
        <v>3232</v>
      </c>
      <c r="C229" t="s">
        <v>204</v>
      </c>
      <c r="D229">
        <v>40</v>
      </c>
      <c r="E229">
        <v>50</v>
      </c>
      <c r="F229">
        <v>45</v>
      </c>
      <c r="G229">
        <v>70</v>
      </c>
      <c r="H229">
        <v>45</v>
      </c>
      <c r="I229">
        <v>70</v>
      </c>
      <c r="J229">
        <v>320</v>
      </c>
      <c r="K229">
        <v>53.33</v>
      </c>
      <c r="L229">
        <f t="shared" si="3"/>
        <v>4</v>
      </c>
    </row>
    <row r="230" spans="1:12">
      <c r="A230">
        <v>178</v>
      </c>
      <c r="B230" s="4" t="s">
        <v>3233</v>
      </c>
      <c r="C230" t="s">
        <v>205</v>
      </c>
      <c r="D230">
        <v>65</v>
      </c>
      <c r="E230">
        <v>75</v>
      </c>
      <c r="F230">
        <v>70</v>
      </c>
      <c r="G230">
        <v>95</v>
      </c>
      <c r="H230">
        <v>70</v>
      </c>
      <c r="I230">
        <v>95</v>
      </c>
      <c r="J230">
        <v>470</v>
      </c>
      <c r="K230">
        <v>78.33</v>
      </c>
      <c r="L230">
        <f t="shared" si="3"/>
        <v>4</v>
      </c>
    </row>
    <row r="231" spans="1:12">
      <c r="A231">
        <v>179</v>
      </c>
      <c r="B231" s="4" t="s">
        <v>3234</v>
      </c>
      <c r="C231" t="s">
        <v>206</v>
      </c>
      <c r="D231">
        <v>55</v>
      </c>
      <c r="E231">
        <v>40</v>
      </c>
      <c r="F231">
        <v>40</v>
      </c>
      <c r="G231">
        <v>65</v>
      </c>
      <c r="H231">
        <v>45</v>
      </c>
      <c r="I231">
        <v>35</v>
      </c>
      <c r="J231">
        <v>280</v>
      </c>
      <c r="K231">
        <v>46.67</v>
      </c>
      <c r="L231">
        <f t="shared" si="3"/>
        <v>4</v>
      </c>
    </row>
    <row r="232" spans="1:12">
      <c r="A232">
        <v>180</v>
      </c>
      <c r="B232" s="4" t="s">
        <v>3235</v>
      </c>
      <c r="C232" t="s">
        <v>207</v>
      </c>
      <c r="D232">
        <v>70</v>
      </c>
      <c r="E232">
        <v>55</v>
      </c>
      <c r="F232">
        <v>55</v>
      </c>
      <c r="G232">
        <v>80</v>
      </c>
      <c r="H232">
        <v>60</v>
      </c>
      <c r="I232">
        <v>45</v>
      </c>
      <c r="J232">
        <v>365</v>
      </c>
      <c r="K232">
        <v>60.83</v>
      </c>
      <c r="L232">
        <f t="shared" si="3"/>
        <v>4</v>
      </c>
    </row>
    <row r="233" spans="1:12">
      <c r="A233">
        <v>181</v>
      </c>
      <c r="B233" s="4" t="s">
        <v>3236</v>
      </c>
      <c r="C233" t="s">
        <v>208</v>
      </c>
      <c r="D233">
        <v>90</v>
      </c>
      <c r="E233">
        <v>75</v>
      </c>
      <c r="F233">
        <v>85</v>
      </c>
      <c r="G233">
        <v>115</v>
      </c>
      <c r="H233">
        <v>90</v>
      </c>
      <c r="I233">
        <v>55</v>
      </c>
      <c r="J233">
        <v>510</v>
      </c>
      <c r="K233">
        <v>85</v>
      </c>
      <c r="L233">
        <f t="shared" si="3"/>
        <v>4</v>
      </c>
    </row>
    <row r="234" spans="1:12">
      <c r="A234">
        <v>181</v>
      </c>
      <c r="B234" s="131" t="s">
        <v>2878</v>
      </c>
      <c r="C234" t="s">
        <v>2879</v>
      </c>
      <c r="D234">
        <v>90</v>
      </c>
      <c r="E234">
        <v>95</v>
      </c>
      <c r="F234">
        <v>105</v>
      </c>
      <c r="G234">
        <v>165</v>
      </c>
      <c r="H234">
        <v>110</v>
      </c>
      <c r="I234">
        <v>45</v>
      </c>
      <c r="J234">
        <v>610</v>
      </c>
      <c r="K234">
        <v>101.67</v>
      </c>
      <c r="L234">
        <f t="shared" si="3"/>
        <v>4</v>
      </c>
    </row>
    <row r="235" spans="1:12">
      <c r="A235">
        <v>182</v>
      </c>
      <c r="B235" s="4" t="s">
        <v>3237</v>
      </c>
      <c r="C235" t="s">
        <v>209</v>
      </c>
      <c r="D235">
        <v>75</v>
      </c>
      <c r="E235">
        <v>80</v>
      </c>
      <c r="F235">
        <v>95</v>
      </c>
      <c r="G235">
        <v>90</v>
      </c>
      <c r="H235">
        <v>100</v>
      </c>
      <c r="I235">
        <v>50</v>
      </c>
      <c r="J235">
        <v>490</v>
      </c>
      <c r="K235">
        <v>81.67</v>
      </c>
      <c r="L235">
        <f t="shared" si="3"/>
        <v>4</v>
      </c>
    </row>
    <row r="236" spans="1:12">
      <c r="A236">
        <v>183</v>
      </c>
      <c r="B236" s="4" t="s">
        <v>3238</v>
      </c>
      <c r="C236" t="s">
        <v>210</v>
      </c>
      <c r="D236">
        <v>70</v>
      </c>
      <c r="E236">
        <v>20</v>
      </c>
      <c r="F236">
        <v>50</v>
      </c>
      <c r="G236">
        <v>20</v>
      </c>
      <c r="H236">
        <v>50</v>
      </c>
      <c r="I236">
        <v>40</v>
      </c>
      <c r="J236">
        <v>250</v>
      </c>
      <c r="K236">
        <v>41.67</v>
      </c>
      <c r="L236">
        <f t="shared" si="3"/>
        <v>4</v>
      </c>
    </row>
    <row r="237" spans="1:12">
      <c r="A237">
        <v>184</v>
      </c>
      <c r="B237" s="4" t="s">
        <v>3239</v>
      </c>
      <c r="C237" t="s">
        <v>211</v>
      </c>
      <c r="D237">
        <v>100</v>
      </c>
      <c r="E237">
        <v>50</v>
      </c>
      <c r="F237">
        <v>80</v>
      </c>
      <c r="G237">
        <v>60</v>
      </c>
      <c r="H237">
        <v>80</v>
      </c>
      <c r="I237">
        <v>50</v>
      </c>
      <c r="J237">
        <v>420</v>
      </c>
      <c r="K237">
        <v>70</v>
      </c>
      <c r="L237">
        <f t="shared" si="3"/>
        <v>4</v>
      </c>
    </row>
    <row r="238" spans="1:12">
      <c r="A238">
        <v>185</v>
      </c>
      <c r="B238" s="4" t="s">
        <v>3240</v>
      </c>
      <c r="C238" t="s">
        <v>212</v>
      </c>
      <c r="D238">
        <v>70</v>
      </c>
      <c r="E238">
        <v>100</v>
      </c>
      <c r="F238">
        <v>115</v>
      </c>
      <c r="G238">
        <v>30</v>
      </c>
      <c r="H238">
        <v>65</v>
      </c>
      <c r="I238">
        <v>30</v>
      </c>
      <c r="J238">
        <v>410</v>
      </c>
      <c r="K238">
        <v>68.33</v>
      </c>
      <c r="L238">
        <f t="shared" si="3"/>
        <v>4</v>
      </c>
    </row>
    <row r="239" spans="1:12">
      <c r="A239">
        <v>186</v>
      </c>
      <c r="B239" s="4" t="s">
        <v>3241</v>
      </c>
      <c r="C239" t="s">
        <v>213</v>
      </c>
      <c r="D239">
        <v>90</v>
      </c>
      <c r="E239">
        <v>75</v>
      </c>
      <c r="F239">
        <v>75</v>
      </c>
      <c r="G239">
        <v>90</v>
      </c>
      <c r="H239">
        <v>100</v>
      </c>
      <c r="I239">
        <v>70</v>
      </c>
      <c r="J239">
        <v>500</v>
      </c>
      <c r="K239">
        <v>83.33</v>
      </c>
      <c r="L239">
        <f t="shared" si="3"/>
        <v>4</v>
      </c>
    </row>
    <row r="240" spans="1:12">
      <c r="A240">
        <v>187</v>
      </c>
      <c r="B240" s="4" t="s">
        <v>3242</v>
      </c>
      <c r="C240" t="s">
        <v>214</v>
      </c>
      <c r="D240">
        <v>35</v>
      </c>
      <c r="E240">
        <v>35</v>
      </c>
      <c r="F240">
        <v>40</v>
      </c>
      <c r="G240">
        <v>35</v>
      </c>
      <c r="H240">
        <v>55</v>
      </c>
      <c r="I240">
        <v>50</v>
      </c>
      <c r="J240">
        <v>250</v>
      </c>
      <c r="K240">
        <v>41.67</v>
      </c>
      <c r="L240">
        <f t="shared" si="3"/>
        <v>4</v>
      </c>
    </row>
    <row r="241" spans="1:12">
      <c r="A241">
        <v>188</v>
      </c>
      <c r="B241" s="4" t="s">
        <v>3243</v>
      </c>
      <c r="C241" t="s">
        <v>215</v>
      </c>
      <c r="D241">
        <v>55</v>
      </c>
      <c r="E241">
        <v>45</v>
      </c>
      <c r="F241">
        <v>50</v>
      </c>
      <c r="G241">
        <v>45</v>
      </c>
      <c r="H241">
        <v>65</v>
      </c>
      <c r="I241">
        <v>80</v>
      </c>
      <c r="J241">
        <v>340</v>
      </c>
      <c r="K241">
        <v>56.67</v>
      </c>
      <c r="L241">
        <f t="shared" si="3"/>
        <v>4</v>
      </c>
    </row>
    <row r="242" spans="1:12">
      <c r="A242">
        <v>189</v>
      </c>
      <c r="B242" s="4" t="s">
        <v>3244</v>
      </c>
      <c r="C242" t="s">
        <v>216</v>
      </c>
      <c r="D242">
        <v>75</v>
      </c>
      <c r="E242">
        <v>55</v>
      </c>
      <c r="F242">
        <v>70</v>
      </c>
      <c r="G242">
        <v>55</v>
      </c>
      <c r="H242">
        <v>95</v>
      </c>
      <c r="I242">
        <v>110</v>
      </c>
      <c r="J242">
        <v>460</v>
      </c>
      <c r="K242">
        <v>76.67</v>
      </c>
      <c r="L242">
        <f t="shared" si="3"/>
        <v>4</v>
      </c>
    </row>
    <row r="243" spans="1:12">
      <c r="A243">
        <v>190</v>
      </c>
      <c r="B243" s="4" t="s">
        <v>3245</v>
      </c>
      <c r="C243" t="s">
        <v>217</v>
      </c>
      <c r="D243">
        <v>55</v>
      </c>
      <c r="E243">
        <v>70</v>
      </c>
      <c r="F243">
        <v>55</v>
      </c>
      <c r="G243">
        <v>40</v>
      </c>
      <c r="H243">
        <v>55</v>
      </c>
      <c r="I243">
        <v>85</v>
      </c>
      <c r="J243">
        <v>360</v>
      </c>
      <c r="K243">
        <v>60</v>
      </c>
      <c r="L243">
        <f t="shared" si="3"/>
        <v>4</v>
      </c>
    </row>
    <row r="244" spans="1:12">
      <c r="A244">
        <v>191</v>
      </c>
      <c r="B244" s="4" t="s">
        <v>3246</v>
      </c>
      <c r="C244" t="s">
        <v>218</v>
      </c>
      <c r="D244">
        <v>30</v>
      </c>
      <c r="E244">
        <v>30</v>
      </c>
      <c r="F244">
        <v>30</v>
      </c>
      <c r="G244">
        <v>30</v>
      </c>
      <c r="H244">
        <v>30</v>
      </c>
      <c r="I244">
        <v>30</v>
      </c>
      <c r="J244">
        <v>180</v>
      </c>
      <c r="K244">
        <v>30</v>
      </c>
      <c r="L244">
        <f t="shared" si="3"/>
        <v>4</v>
      </c>
    </row>
    <row r="245" spans="1:12">
      <c r="A245">
        <v>192</v>
      </c>
      <c r="B245" s="4" t="s">
        <v>3247</v>
      </c>
      <c r="C245" t="s">
        <v>219</v>
      </c>
      <c r="D245">
        <v>75</v>
      </c>
      <c r="E245">
        <v>75</v>
      </c>
      <c r="F245">
        <v>55</v>
      </c>
      <c r="G245">
        <v>105</v>
      </c>
      <c r="H245">
        <v>85</v>
      </c>
      <c r="I245">
        <v>30</v>
      </c>
      <c r="J245">
        <v>425</v>
      </c>
      <c r="K245">
        <v>70.83</v>
      </c>
      <c r="L245">
        <f t="shared" si="3"/>
        <v>4</v>
      </c>
    </row>
    <row r="246" spans="1:12">
      <c r="A246">
        <v>193</v>
      </c>
      <c r="B246" s="4" t="s">
        <v>3248</v>
      </c>
      <c r="C246" t="s">
        <v>220</v>
      </c>
      <c r="D246">
        <v>65</v>
      </c>
      <c r="E246">
        <v>65</v>
      </c>
      <c r="F246">
        <v>45</v>
      </c>
      <c r="G246">
        <v>75</v>
      </c>
      <c r="H246">
        <v>45</v>
      </c>
      <c r="I246">
        <v>95</v>
      </c>
      <c r="J246">
        <v>390</v>
      </c>
      <c r="K246">
        <v>65</v>
      </c>
      <c r="L246">
        <f t="shared" si="3"/>
        <v>4</v>
      </c>
    </row>
    <row r="247" spans="1:12">
      <c r="A247">
        <v>194</v>
      </c>
      <c r="B247" s="4" t="s">
        <v>3249</v>
      </c>
      <c r="C247" t="s">
        <v>221</v>
      </c>
      <c r="D247">
        <v>55</v>
      </c>
      <c r="E247">
        <v>45</v>
      </c>
      <c r="F247">
        <v>45</v>
      </c>
      <c r="G247">
        <v>25</v>
      </c>
      <c r="H247">
        <v>25</v>
      </c>
      <c r="I247">
        <v>15</v>
      </c>
      <c r="J247">
        <v>210</v>
      </c>
      <c r="K247">
        <v>35</v>
      </c>
      <c r="L247">
        <f t="shared" si="3"/>
        <v>4</v>
      </c>
    </row>
    <row r="248" spans="1:12">
      <c r="A248">
        <v>195</v>
      </c>
      <c r="B248" s="4" t="s">
        <v>3250</v>
      </c>
      <c r="C248" t="s">
        <v>222</v>
      </c>
      <c r="D248">
        <v>95</v>
      </c>
      <c r="E248">
        <v>85</v>
      </c>
      <c r="F248">
        <v>85</v>
      </c>
      <c r="G248">
        <v>65</v>
      </c>
      <c r="H248">
        <v>65</v>
      </c>
      <c r="I248">
        <v>35</v>
      </c>
      <c r="J248">
        <v>430</v>
      </c>
      <c r="K248">
        <v>71.67</v>
      </c>
      <c r="L248">
        <f t="shared" si="3"/>
        <v>4</v>
      </c>
    </row>
    <row r="249" spans="1:12">
      <c r="A249">
        <v>196</v>
      </c>
      <c r="B249" s="4" t="s">
        <v>3251</v>
      </c>
      <c r="C249" t="s">
        <v>223</v>
      </c>
      <c r="D249">
        <v>65</v>
      </c>
      <c r="E249">
        <v>65</v>
      </c>
      <c r="F249">
        <v>60</v>
      </c>
      <c r="G249">
        <v>130</v>
      </c>
      <c r="H249">
        <v>95</v>
      </c>
      <c r="I249">
        <v>110</v>
      </c>
      <c r="J249">
        <v>525</v>
      </c>
      <c r="K249">
        <v>87.5</v>
      </c>
      <c r="L249">
        <f t="shared" si="3"/>
        <v>4</v>
      </c>
    </row>
    <row r="250" spans="1:12">
      <c r="A250">
        <v>197</v>
      </c>
      <c r="B250" s="4" t="s">
        <v>3252</v>
      </c>
      <c r="C250" t="s">
        <v>224</v>
      </c>
      <c r="D250">
        <v>95</v>
      </c>
      <c r="E250">
        <v>65</v>
      </c>
      <c r="F250">
        <v>110</v>
      </c>
      <c r="G250">
        <v>60</v>
      </c>
      <c r="H250">
        <v>130</v>
      </c>
      <c r="I250">
        <v>65</v>
      </c>
      <c r="J250">
        <v>525</v>
      </c>
      <c r="K250">
        <v>87.5</v>
      </c>
      <c r="L250">
        <f t="shared" si="3"/>
        <v>4</v>
      </c>
    </row>
    <row r="251" spans="1:12">
      <c r="A251">
        <v>198</v>
      </c>
      <c r="B251" s="4" t="s">
        <v>3253</v>
      </c>
      <c r="C251" t="s">
        <v>225</v>
      </c>
      <c r="D251">
        <v>60</v>
      </c>
      <c r="E251">
        <v>85</v>
      </c>
      <c r="F251">
        <v>42</v>
      </c>
      <c r="G251">
        <v>85</v>
      </c>
      <c r="H251">
        <v>42</v>
      </c>
      <c r="I251">
        <v>91</v>
      </c>
      <c r="J251">
        <v>405</v>
      </c>
      <c r="K251">
        <v>67.5</v>
      </c>
      <c r="L251">
        <f t="shared" si="3"/>
        <v>4</v>
      </c>
    </row>
    <row r="252" spans="1:12">
      <c r="A252">
        <v>199</v>
      </c>
      <c r="B252" s="4" t="s">
        <v>3254</v>
      </c>
      <c r="C252" t="s">
        <v>226</v>
      </c>
      <c r="D252">
        <v>95</v>
      </c>
      <c r="E252">
        <v>75</v>
      </c>
      <c r="F252">
        <v>80</v>
      </c>
      <c r="G252">
        <v>100</v>
      </c>
      <c r="H252">
        <v>110</v>
      </c>
      <c r="I252">
        <v>30</v>
      </c>
      <c r="J252">
        <v>490</v>
      </c>
      <c r="K252">
        <v>81.67</v>
      </c>
      <c r="L252">
        <f t="shared" si="3"/>
        <v>4</v>
      </c>
    </row>
    <row r="253" spans="1:12">
      <c r="A253">
        <v>199</v>
      </c>
      <c r="B253" s="131" t="s">
        <v>2880</v>
      </c>
      <c r="C253" t="s">
        <v>2881</v>
      </c>
      <c r="D253">
        <v>95</v>
      </c>
      <c r="E253">
        <v>65</v>
      </c>
      <c r="F253">
        <v>80</v>
      </c>
      <c r="G253">
        <v>110</v>
      </c>
      <c r="H253">
        <v>110</v>
      </c>
      <c r="I253">
        <v>30</v>
      </c>
      <c r="J253">
        <v>490</v>
      </c>
      <c r="K253">
        <v>81.67</v>
      </c>
      <c r="L253">
        <f t="shared" si="3"/>
        <v>4</v>
      </c>
    </row>
    <row r="254" spans="1:12">
      <c r="A254">
        <v>200</v>
      </c>
      <c r="B254" s="4" t="s">
        <v>3255</v>
      </c>
      <c r="C254" t="s">
        <v>227</v>
      </c>
      <c r="D254">
        <v>60</v>
      </c>
      <c r="E254">
        <v>60</v>
      </c>
      <c r="F254">
        <v>60</v>
      </c>
      <c r="G254">
        <v>85</v>
      </c>
      <c r="H254">
        <v>85</v>
      </c>
      <c r="I254">
        <v>85</v>
      </c>
      <c r="J254">
        <v>435</v>
      </c>
      <c r="K254">
        <v>72.5</v>
      </c>
      <c r="L254">
        <f t="shared" si="3"/>
        <v>4</v>
      </c>
    </row>
    <row r="255" spans="1:12">
      <c r="A255">
        <v>201</v>
      </c>
      <c r="B255" s="4" t="s">
        <v>3256</v>
      </c>
      <c r="C255" t="s">
        <v>228</v>
      </c>
      <c r="D255">
        <v>48</v>
      </c>
      <c r="E255">
        <v>72</v>
      </c>
      <c r="F255">
        <v>48</v>
      </c>
      <c r="G255">
        <v>72</v>
      </c>
      <c r="H255">
        <v>48</v>
      </c>
      <c r="I255">
        <v>48</v>
      </c>
      <c r="J255">
        <v>336</v>
      </c>
      <c r="K255">
        <v>56</v>
      </c>
      <c r="L255">
        <f t="shared" si="3"/>
        <v>4</v>
      </c>
    </row>
    <row r="256" spans="1:12">
      <c r="A256">
        <v>202</v>
      </c>
      <c r="B256" s="4" t="s">
        <v>3257</v>
      </c>
      <c r="C256" t="s">
        <v>229</v>
      </c>
      <c r="D256">
        <v>190</v>
      </c>
      <c r="E256">
        <v>33</v>
      </c>
      <c r="F256">
        <v>58</v>
      </c>
      <c r="G256">
        <v>33</v>
      </c>
      <c r="H256">
        <v>58</v>
      </c>
      <c r="I256">
        <v>33</v>
      </c>
      <c r="J256">
        <v>405</v>
      </c>
      <c r="K256">
        <v>67.5</v>
      </c>
      <c r="L256">
        <f t="shared" si="3"/>
        <v>4</v>
      </c>
    </row>
    <row r="257" spans="1:12">
      <c r="A257">
        <v>203</v>
      </c>
      <c r="B257" s="4" t="s">
        <v>3258</v>
      </c>
      <c r="C257" t="s">
        <v>230</v>
      </c>
      <c r="D257">
        <v>70</v>
      </c>
      <c r="E257">
        <v>80</v>
      </c>
      <c r="F257">
        <v>65</v>
      </c>
      <c r="G257">
        <v>90</v>
      </c>
      <c r="H257">
        <v>65</v>
      </c>
      <c r="I257">
        <v>85</v>
      </c>
      <c r="J257">
        <v>455</v>
      </c>
      <c r="K257">
        <v>75.83</v>
      </c>
      <c r="L257">
        <f t="shared" si="3"/>
        <v>4</v>
      </c>
    </row>
    <row r="258" spans="1:12">
      <c r="A258">
        <v>204</v>
      </c>
      <c r="B258" s="4" t="s">
        <v>3259</v>
      </c>
      <c r="C258" t="s">
        <v>231</v>
      </c>
      <c r="D258">
        <v>50</v>
      </c>
      <c r="E258">
        <v>65</v>
      </c>
      <c r="F258">
        <v>90</v>
      </c>
      <c r="G258">
        <v>35</v>
      </c>
      <c r="H258">
        <v>35</v>
      </c>
      <c r="I258">
        <v>15</v>
      </c>
      <c r="J258">
        <v>290</v>
      </c>
      <c r="K258">
        <v>48.33</v>
      </c>
      <c r="L258">
        <f t="shared" si="3"/>
        <v>4</v>
      </c>
    </row>
    <row r="259" spans="1:12">
      <c r="A259">
        <v>205</v>
      </c>
      <c r="B259" s="4" t="s">
        <v>3260</v>
      </c>
      <c r="C259" t="s">
        <v>232</v>
      </c>
      <c r="D259">
        <v>75</v>
      </c>
      <c r="E259">
        <v>90</v>
      </c>
      <c r="F259">
        <v>140</v>
      </c>
      <c r="G259">
        <v>60</v>
      </c>
      <c r="H259">
        <v>60</v>
      </c>
      <c r="I259">
        <v>40</v>
      </c>
      <c r="J259">
        <v>465</v>
      </c>
      <c r="K259">
        <v>77.5</v>
      </c>
      <c r="L259">
        <f t="shared" ref="L259:L322" si="4">LEN(B259)</f>
        <v>4</v>
      </c>
    </row>
    <row r="260" spans="1:12">
      <c r="A260">
        <v>206</v>
      </c>
      <c r="B260" s="4" t="s">
        <v>3261</v>
      </c>
      <c r="C260" t="s">
        <v>233</v>
      </c>
      <c r="D260">
        <v>100</v>
      </c>
      <c r="E260">
        <v>70</v>
      </c>
      <c r="F260">
        <v>70</v>
      </c>
      <c r="G260">
        <v>65</v>
      </c>
      <c r="H260">
        <v>65</v>
      </c>
      <c r="I260">
        <v>45</v>
      </c>
      <c r="J260">
        <v>415</v>
      </c>
      <c r="K260">
        <v>69.17</v>
      </c>
      <c r="L260">
        <f t="shared" si="4"/>
        <v>4</v>
      </c>
    </row>
    <row r="261" spans="1:12">
      <c r="A261">
        <v>207</v>
      </c>
      <c r="B261" s="4" t="s">
        <v>3262</v>
      </c>
      <c r="C261" t="s">
        <v>234</v>
      </c>
      <c r="D261">
        <v>65</v>
      </c>
      <c r="E261">
        <v>75</v>
      </c>
      <c r="F261">
        <v>105</v>
      </c>
      <c r="G261">
        <v>35</v>
      </c>
      <c r="H261">
        <v>65</v>
      </c>
      <c r="I261">
        <v>85</v>
      </c>
      <c r="J261">
        <v>430</v>
      </c>
      <c r="K261">
        <v>71.67</v>
      </c>
      <c r="L261">
        <f t="shared" si="4"/>
        <v>4</v>
      </c>
    </row>
    <row r="262" spans="1:12">
      <c r="A262">
        <v>208</v>
      </c>
      <c r="B262" s="4" t="s">
        <v>3263</v>
      </c>
      <c r="C262" t="s">
        <v>235</v>
      </c>
      <c r="D262">
        <v>75</v>
      </c>
      <c r="E262">
        <v>85</v>
      </c>
      <c r="F262">
        <v>200</v>
      </c>
      <c r="G262">
        <v>55</v>
      </c>
      <c r="H262">
        <v>65</v>
      </c>
      <c r="I262">
        <v>30</v>
      </c>
      <c r="J262">
        <v>510</v>
      </c>
      <c r="K262">
        <v>85</v>
      </c>
      <c r="L262">
        <f t="shared" si="4"/>
        <v>4</v>
      </c>
    </row>
    <row r="263" spans="1:12">
      <c r="A263">
        <v>208</v>
      </c>
      <c r="B263" s="131" t="s">
        <v>2882</v>
      </c>
      <c r="C263" t="s">
        <v>2883</v>
      </c>
      <c r="D263">
        <v>75</v>
      </c>
      <c r="E263">
        <v>125</v>
      </c>
      <c r="F263">
        <v>230</v>
      </c>
      <c r="G263">
        <v>55</v>
      </c>
      <c r="H263">
        <v>95</v>
      </c>
      <c r="I263">
        <v>30</v>
      </c>
      <c r="J263">
        <v>610</v>
      </c>
      <c r="K263">
        <v>101.67</v>
      </c>
      <c r="L263">
        <f t="shared" si="4"/>
        <v>4</v>
      </c>
    </row>
    <row r="264" spans="1:12">
      <c r="A264">
        <v>209</v>
      </c>
      <c r="B264" s="4" t="s">
        <v>3264</v>
      </c>
      <c r="C264" t="s">
        <v>236</v>
      </c>
      <c r="D264">
        <v>60</v>
      </c>
      <c r="E264">
        <v>80</v>
      </c>
      <c r="F264">
        <v>50</v>
      </c>
      <c r="G264">
        <v>40</v>
      </c>
      <c r="H264">
        <v>40</v>
      </c>
      <c r="I264">
        <v>30</v>
      </c>
      <c r="J264">
        <v>300</v>
      </c>
      <c r="K264">
        <v>50</v>
      </c>
      <c r="L264">
        <f t="shared" si="4"/>
        <v>4</v>
      </c>
    </row>
    <row r="265" spans="1:12">
      <c r="A265">
        <v>210</v>
      </c>
      <c r="B265" s="4" t="s">
        <v>3265</v>
      </c>
      <c r="C265" t="s">
        <v>237</v>
      </c>
      <c r="D265">
        <v>90</v>
      </c>
      <c r="E265">
        <v>120</v>
      </c>
      <c r="F265">
        <v>75</v>
      </c>
      <c r="G265">
        <v>60</v>
      </c>
      <c r="H265">
        <v>60</v>
      </c>
      <c r="I265">
        <v>45</v>
      </c>
      <c r="J265">
        <v>450</v>
      </c>
      <c r="K265">
        <v>75</v>
      </c>
      <c r="L265">
        <f t="shared" si="4"/>
        <v>4</v>
      </c>
    </row>
    <row r="266" spans="1:12">
      <c r="A266">
        <v>211</v>
      </c>
      <c r="B266" s="4" t="s">
        <v>3266</v>
      </c>
      <c r="C266" t="s">
        <v>238</v>
      </c>
      <c r="D266">
        <v>65</v>
      </c>
      <c r="E266">
        <v>95</v>
      </c>
      <c r="F266">
        <v>85</v>
      </c>
      <c r="G266">
        <v>55</v>
      </c>
      <c r="H266">
        <v>55</v>
      </c>
      <c r="I266">
        <v>85</v>
      </c>
      <c r="J266">
        <v>440</v>
      </c>
      <c r="K266">
        <v>73.33</v>
      </c>
      <c r="L266">
        <f t="shared" si="4"/>
        <v>4</v>
      </c>
    </row>
    <row r="267" spans="1:12">
      <c r="A267">
        <v>211</v>
      </c>
      <c r="B267" s="131" t="s">
        <v>2884</v>
      </c>
      <c r="C267" t="s">
        <v>2885</v>
      </c>
      <c r="D267">
        <v>65</v>
      </c>
      <c r="E267">
        <v>95</v>
      </c>
      <c r="F267">
        <v>85</v>
      </c>
      <c r="G267">
        <v>55</v>
      </c>
      <c r="H267">
        <v>55</v>
      </c>
      <c r="I267">
        <v>85</v>
      </c>
      <c r="J267">
        <v>440</v>
      </c>
      <c r="K267">
        <v>73.33</v>
      </c>
      <c r="L267">
        <f t="shared" si="4"/>
        <v>4</v>
      </c>
    </row>
    <row r="268" spans="1:12">
      <c r="A268">
        <v>212</v>
      </c>
      <c r="B268" s="4" t="s">
        <v>3267</v>
      </c>
      <c r="C268" t="s">
        <v>239</v>
      </c>
      <c r="D268">
        <v>70</v>
      </c>
      <c r="E268">
        <v>130</v>
      </c>
      <c r="F268">
        <v>100</v>
      </c>
      <c r="G268">
        <v>55</v>
      </c>
      <c r="H268">
        <v>80</v>
      </c>
      <c r="I268">
        <v>65</v>
      </c>
      <c r="J268">
        <v>500</v>
      </c>
      <c r="K268">
        <v>83.33</v>
      </c>
      <c r="L268">
        <f t="shared" si="4"/>
        <v>4</v>
      </c>
    </row>
    <row r="269" spans="1:12">
      <c r="A269">
        <v>212</v>
      </c>
      <c r="B269" s="131" t="s">
        <v>2886</v>
      </c>
      <c r="C269" t="s">
        <v>2887</v>
      </c>
      <c r="D269">
        <v>70</v>
      </c>
      <c r="E269">
        <v>150</v>
      </c>
      <c r="F269">
        <v>140</v>
      </c>
      <c r="G269">
        <v>65</v>
      </c>
      <c r="H269">
        <v>100</v>
      </c>
      <c r="I269">
        <v>75</v>
      </c>
      <c r="J269">
        <v>600</v>
      </c>
      <c r="K269">
        <v>100</v>
      </c>
      <c r="L269">
        <f t="shared" si="4"/>
        <v>4</v>
      </c>
    </row>
    <row r="270" spans="1:12">
      <c r="A270">
        <v>213</v>
      </c>
      <c r="B270" s="4" t="s">
        <v>3268</v>
      </c>
      <c r="C270" t="s">
        <v>240</v>
      </c>
      <c r="D270">
        <v>20</v>
      </c>
      <c r="E270">
        <v>10</v>
      </c>
      <c r="F270">
        <v>230</v>
      </c>
      <c r="G270">
        <v>10</v>
      </c>
      <c r="H270">
        <v>230</v>
      </c>
      <c r="I270">
        <v>5</v>
      </c>
      <c r="J270">
        <v>505</v>
      </c>
      <c r="K270">
        <v>84.17</v>
      </c>
      <c r="L270">
        <f t="shared" si="4"/>
        <v>4</v>
      </c>
    </row>
    <row r="271" spans="1:12">
      <c r="A271">
        <v>214</v>
      </c>
      <c r="B271" s="4" t="s">
        <v>3269</v>
      </c>
      <c r="C271" t="s">
        <v>241</v>
      </c>
      <c r="D271">
        <v>80</v>
      </c>
      <c r="E271">
        <v>125</v>
      </c>
      <c r="F271">
        <v>75</v>
      </c>
      <c r="G271">
        <v>40</v>
      </c>
      <c r="H271">
        <v>95</v>
      </c>
      <c r="I271">
        <v>85</v>
      </c>
      <c r="J271">
        <v>500</v>
      </c>
      <c r="K271">
        <v>83.33</v>
      </c>
      <c r="L271">
        <f t="shared" si="4"/>
        <v>4</v>
      </c>
    </row>
    <row r="272" spans="1:12">
      <c r="A272">
        <v>214</v>
      </c>
      <c r="B272" s="131" t="s">
        <v>2888</v>
      </c>
      <c r="C272" t="s">
        <v>2889</v>
      </c>
      <c r="D272">
        <v>80</v>
      </c>
      <c r="E272">
        <v>185</v>
      </c>
      <c r="F272">
        <v>115</v>
      </c>
      <c r="G272">
        <v>40</v>
      </c>
      <c r="H272">
        <v>105</v>
      </c>
      <c r="I272">
        <v>75</v>
      </c>
      <c r="J272">
        <v>600</v>
      </c>
      <c r="K272">
        <v>100</v>
      </c>
      <c r="L272">
        <f t="shared" si="4"/>
        <v>4</v>
      </c>
    </row>
    <row r="273" spans="1:12">
      <c r="A273">
        <v>215</v>
      </c>
      <c r="B273" s="4" t="s">
        <v>3270</v>
      </c>
      <c r="C273" t="s">
        <v>242</v>
      </c>
      <c r="D273">
        <v>55</v>
      </c>
      <c r="E273">
        <v>95</v>
      </c>
      <c r="F273">
        <v>55</v>
      </c>
      <c r="G273">
        <v>35</v>
      </c>
      <c r="H273">
        <v>75</v>
      </c>
      <c r="I273">
        <v>115</v>
      </c>
      <c r="J273">
        <v>430</v>
      </c>
      <c r="K273">
        <v>71.67</v>
      </c>
      <c r="L273">
        <f t="shared" si="4"/>
        <v>4</v>
      </c>
    </row>
    <row r="274" spans="1:12">
      <c r="A274">
        <v>215</v>
      </c>
      <c r="B274" s="131" t="s">
        <v>2890</v>
      </c>
      <c r="C274" t="s">
        <v>2891</v>
      </c>
      <c r="D274">
        <v>55</v>
      </c>
      <c r="E274">
        <v>95</v>
      </c>
      <c r="F274">
        <v>55</v>
      </c>
      <c r="G274">
        <v>35</v>
      </c>
      <c r="H274">
        <v>75</v>
      </c>
      <c r="I274">
        <v>115</v>
      </c>
      <c r="J274">
        <v>430</v>
      </c>
      <c r="K274">
        <v>71.67</v>
      </c>
      <c r="L274">
        <f t="shared" si="4"/>
        <v>4</v>
      </c>
    </row>
    <row r="275" spans="1:12">
      <c r="A275">
        <v>216</v>
      </c>
      <c r="B275" s="4" t="s">
        <v>3271</v>
      </c>
      <c r="C275" t="s">
        <v>243</v>
      </c>
      <c r="D275">
        <v>60</v>
      </c>
      <c r="E275">
        <v>80</v>
      </c>
      <c r="F275">
        <v>50</v>
      </c>
      <c r="G275">
        <v>50</v>
      </c>
      <c r="H275">
        <v>50</v>
      </c>
      <c r="I275">
        <v>40</v>
      </c>
      <c r="J275">
        <v>330</v>
      </c>
      <c r="K275">
        <v>55</v>
      </c>
      <c r="L275">
        <f t="shared" si="4"/>
        <v>4</v>
      </c>
    </row>
    <row r="276" spans="1:12">
      <c r="A276">
        <v>217</v>
      </c>
      <c r="B276" s="4" t="s">
        <v>3272</v>
      </c>
      <c r="C276" t="s">
        <v>244</v>
      </c>
      <c r="D276">
        <v>90</v>
      </c>
      <c r="E276">
        <v>130</v>
      </c>
      <c r="F276">
        <v>75</v>
      </c>
      <c r="G276">
        <v>75</v>
      </c>
      <c r="H276">
        <v>75</v>
      </c>
      <c r="I276">
        <v>55</v>
      </c>
      <c r="J276">
        <v>500</v>
      </c>
      <c r="K276">
        <v>83.33</v>
      </c>
      <c r="L276">
        <f t="shared" si="4"/>
        <v>4</v>
      </c>
    </row>
    <row r="277" spans="1:12">
      <c r="A277">
        <v>218</v>
      </c>
      <c r="B277" s="4" t="s">
        <v>3273</v>
      </c>
      <c r="C277" t="s">
        <v>245</v>
      </c>
      <c r="D277">
        <v>40</v>
      </c>
      <c r="E277">
        <v>40</v>
      </c>
      <c r="F277">
        <v>40</v>
      </c>
      <c r="G277">
        <v>70</v>
      </c>
      <c r="H277">
        <v>40</v>
      </c>
      <c r="I277">
        <v>20</v>
      </c>
      <c r="J277">
        <v>250</v>
      </c>
      <c r="K277">
        <v>41.67</v>
      </c>
      <c r="L277">
        <f t="shared" si="4"/>
        <v>4</v>
      </c>
    </row>
    <row r="278" spans="1:12">
      <c r="A278">
        <v>219</v>
      </c>
      <c r="B278" s="4" t="s">
        <v>3274</v>
      </c>
      <c r="C278" t="s">
        <v>246</v>
      </c>
      <c r="D278">
        <v>60</v>
      </c>
      <c r="E278">
        <v>50</v>
      </c>
      <c r="F278">
        <v>120</v>
      </c>
      <c r="G278">
        <v>90</v>
      </c>
      <c r="H278">
        <v>80</v>
      </c>
      <c r="I278">
        <v>30</v>
      </c>
      <c r="J278">
        <v>430</v>
      </c>
      <c r="K278">
        <v>71.67</v>
      </c>
      <c r="L278">
        <f t="shared" si="4"/>
        <v>4</v>
      </c>
    </row>
    <row r="279" spans="1:12">
      <c r="A279">
        <v>220</v>
      </c>
      <c r="B279" s="4" t="s">
        <v>3275</v>
      </c>
      <c r="C279" t="s">
        <v>247</v>
      </c>
      <c r="D279">
        <v>50</v>
      </c>
      <c r="E279">
        <v>50</v>
      </c>
      <c r="F279">
        <v>40</v>
      </c>
      <c r="G279">
        <v>30</v>
      </c>
      <c r="H279">
        <v>30</v>
      </c>
      <c r="I279">
        <v>50</v>
      </c>
      <c r="J279">
        <v>250</v>
      </c>
      <c r="K279">
        <v>41.67</v>
      </c>
      <c r="L279">
        <f t="shared" si="4"/>
        <v>4</v>
      </c>
    </row>
    <row r="280" spans="1:12">
      <c r="A280">
        <v>221</v>
      </c>
      <c r="B280" s="4" t="s">
        <v>3276</v>
      </c>
      <c r="C280" t="s">
        <v>248</v>
      </c>
      <c r="D280">
        <v>100</v>
      </c>
      <c r="E280">
        <v>100</v>
      </c>
      <c r="F280">
        <v>80</v>
      </c>
      <c r="G280">
        <v>60</v>
      </c>
      <c r="H280">
        <v>60</v>
      </c>
      <c r="I280">
        <v>50</v>
      </c>
      <c r="J280">
        <v>450</v>
      </c>
      <c r="K280">
        <v>75</v>
      </c>
      <c r="L280">
        <f t="shared" si="4"/>
        <v>4</v>
      </c>
    </row>
    <row r="281" spans="1:12">
      <c r="A281">
        <v>222</v>
      </c>
      <c r="B281" s="4" t="s">
        <v>3277</v>
      </c>
      <c r="C281" t="s">
        <v>249</v>
      </c>
      <c r="D281">
        <v>65</v>
      </c>
      <c r="E281">
        <v>55</v>
      </c>
      <c r="F281">
        <v>95</v>
      </c>
      <c r="G281">
        <v>65</v>
      </c>
      <c r="H281">
        <v>95</v>
      </c>
      <c r="I281">
        <v>35</v>
      </c>
      <c r="J281">
        <v>410</v>
      </c>
      <c r="K281">
        <v>68.33</v>
      </c>
      <c r="L281">
        <f t="shared" si="4"/>
        <v>4</v>
      </c>
    </row>
    <row r="282" spans="1:12">
      <c r="A282">
        <v>222</v>
      </c>
      <c r="B282" s="131" t="s">
        <v>2892</v>
      </c>
      <c r="C282" t="s">
        <v>2893</v>
      </c>
      <c r="D282">
        <v>60</v>
      </c>
      <c r="E282">
        <v>55</v>
      </c>
      <c r="F282">
        <v>100</v>
      </c>
      <c r="G282">
        <v>65</v>
      </c>
      <c r="H282">
        <v>100</v>
      </c>
      <c r="I282">
        <v>30</v>
      </c>
      <c r="J282">
        <v>410</v>
      </c>
      <c r="K282">
        <v>68.33</v>
      </c>
      <c r="L282">
        <f t="shared" si="4"/>
        <v>4</v>
      </c>
    </row>
    <row r="283" spans="1:12">
      <c r="A283">
        <v>223</v>
      </c>
      <c r="B283" s="4" t="s">
        <v>3278</v>
      </c>
      <c r="C283" t="s">
        <v>250</v>
      </c>
      <c r="D283">
        <v>35</v>
      </c>
      <c r="E283">
        <v>65</v>
      </c>
      <c r="F283">
        <v>35</v>
      </c>
      <c r="G283">
        <v>65</v>
      </c>
      <c r="H283">
        <v>35</v>
      </c>
      <c r="I283">
        <v>65</v>
      </c>
      <c r="J283">
        <v>300</v>
      </c>
      <c r="K283">
        <v>50</v>
      </c>
      <c r="L283">
        <f t="shared" si="4"/>
        <v>4</v>
      </c>
    </row>
    <row r="284" spans="1:12">
      <c r="A284">
        <v>224</v>
      </c>
      <c r="B284" s="4" t="s">
        <v>3279</v>
      </c>
      <c r="C284" t="s">
        <v>251</v>
      </c>
      <c r="D284">
        <v>75</v>
      </c>
      <c r="E284">
        <v>105</v>
      </c>
      <c r="F284">
        <v>75</v>
      </c>
      <c r="G284">
        <v>105</v>
      </c>
      <c r="H284">
        <v>75</v>
      </c>
      <c r="I284">
        <v>45</v>
      </c>
      <c r="J284">
        <v>480</v>
      </c>
      <c r="K284">
        <v>80</v>
      </c>
      <c r="L284">
        <f t="shared" si="4"/>
        <v>4</v>
      </c>
    </row>
    <row r="285" spans="1:12">
      <c r="A285">
        <v>225</v>
      </c>
      <c r="B285" s="4" t="s">
        <v>3280</v>
      </c>
      <c r="C285" t="s">
        <v>252</v>
      </c>
      <c r="D285">
        <v>45</v>
      </c>
      <c r="E285">
        <v>55</v>
      </c>
      <c r="F285">
        <v>45</v>
      </c>
      <c r="G285">
        <v>65</v>
      </c>
      <c r="H285">
        <v>45</v>
      </c>
      <c r="I285">
        <v>75</v>
      </c>
      <c r="J285">
        <v>330</v>
      </c>
      <c r="K285">
        <v>55</v>
      </c>
      <c r="L285">
        <f t="shared" si="4"/>
        <v>4</v>
      </c>
    </row>
    <row r="286" spans="1:12">
      <c r="A286">
        <v>226</v>
      </c>
      <c r="B286" s="4" t="s">
        <v>3281</v>
      </c>
      <c r="C286" t="s">
        <v>253</v>
      </c>
      <c r="D286">
        <v>85</v>
      </c>
      <c r="E286">
        <v>40</v>
      </c>
      <c r="F286">
        <v>70</v>
      </c>
      <c r="G286">
        <v>80</v>
      </c>
      <c r="H286">
        <v>140</v>
      </c>
      <c r="I286">
        <v>70</v>
      </c>
      <c r="J286">
        <v>485</v>
      </c>
      <c r="K286">
        <v>80.83</v>
      </c>
      <c r="L286">
        <f t="shared" si="4"/>
        <v>4</v>
      </c>
    </row>
    <row r="287" spans="1:12">
      <c r="A287">
        <v>227</v>
      </c>
      <c r="B287" s="4" t="s">
        <v>3282</v>
      </c>
      <c r="C287" t="s">
        <v>254</v>
      </c>
      <c r="D287">
        <v>65</v>
      </c>
      <c r="E287">
        <v>80</v>
      </c>
      <c r="F287">
        <v>140</v>
      </c>
      <c r="G287">
        <v>40</v>
      </c>
      <c r="H287">
        <v>70</v>
      </c>
      <c r="I287">
        <v>70</v>
      </c>
      <c r="J287">
        <v>465</v>
      </c>
      <c r="K287">
        <v>77.5</v>
      </c>
      <c r="L287">
        <f t="shared" si="4"/>
        <v>4</v>
      </c>
    </row>
    <row r="288" spans="1:12">
      <c r="A288">
        <v>228</v>
      </c>
      <c r="B288" s="4" t="s">
        <v>3283</v>
      </c>
      <c r="C288" t="s">
        <v>255</v>
      </c>
      <c r="D288">
        <v>45</v>
      </c>
      <c r="E288">
        <v>60</v>
      </c>
      <c r="F288">
        <v>30</v>
      </c>
      <c r="G288">
        <v>80</v>
      </c>
      <c r="H288">
        <v>50</v>
      </c>
      <c r="I288">
        <v>65</v>
      </c>
      <c r="J288">
        <v>330</v>
      </c>
      <c r="K288">
        <v>55</v>
      </c>
      <c r="L288">
        <f t="shared" si="4"/>
        <v>4</v>
      </c>
    </row>
    <row r="289" spans="1:12">
      <c r="A289">
        <v>229</v>
      </c>
      <c r="B289" s="4" t="s">
        <v>3284</v>
      </c>
      <c r="C289" t="s">
        <v>256</v>
      </c>
      <c r="D289">
        <v>75</v>
      </c>
      <c r="E289">
        <v>90</v>
      </c>
      <c r="F289">
        <v>50</v>
      </c>
      <c r="G289">
        <v>110</v>
      </c>
      <c r="H289">
        <v>80</v>
      </c>
      <c r="I289">
        <v>95</v>
      </c>
      <c r="J289">
        <v>500</v>
      </c>
      <c r="K289">
        <v>83.33</v>
      </c>
      <c r="L289">
        <f t="shared" si="4"/>
        <v>4</v>
      </c>
    </row>
    <row r="290" spans="1:12">
      <c r="A290">
        <v>229</v>
      </c>
      <c r="B290" s="131" t="s">
        <v>2894</v>
      </c>
      <c r="C290" t="s">
        <v>2895</v>
      </c>
      <c r="D290">
        <v>75</v>
      </c>
      <c r="E290">
        <v>90</v>
      </c>
      <c r="F290">
        <v>90</v>
      </c>
      <c r="G290">
        <v>140</v>
      </c>
      <c r="H290">
        <v>90</v>
      </c>
      <c r="I290">
        <v>115</v>
      </c>
      <c r="J290">
        <v>600</v>
      </c>
      <c r="K290">
        <v>100</v>
      </c>
      <c r="L290">
        <f t="shared" si="4"/>
        <v>4</v>
      </c>
    </row>
    <row r="291" spans="1:12">
      <c r="A291">
        <v>230</v>
      </c>
      <c r="B291" s="4" t="s">
        <v>3285</v>
      </c>
      <c r="C291" t="s">
        <v>257</v>
      </c>
      <c r="D291">
        <v>75</v>
      </c>
      <c r="E291">
        <v>95</v>
      </c>
      <c r="F291">
        <v>95</v>
      </c>
      <c r="G291">
        <v>95</v>
      </c>
      <c r="H291">
        <v>95</v>
      </c>
      <c r="I291">
        <v>85</v>
      </c>
      <c r="J291">
        <v>540</v>
      </c>
      <c r="K291">
        <v>90</v>
      </c>
      <c r="L291">
        <f t="shared" si="4"/>
        <v>4</v>
      </c>
    </row>
    <row r="292" spans="1:12">
      <c r="A292">
        <v>231</v>
      </c>
      <c r="B292" s="4" t="s">
        <v>3286</v>
      </c>
      <c r="C292" t="s">
        <v>258</v>
      </c>
      <c r="D292">
        <v>90</v>
      </c>
      <c r="E292">
        <v>60</v>
      </c>
      <c r="F292">
        <v>60</v>
      </c>
      <c r="G292">
        <v>40</v>
      </c>
      <c r="H292">
        <v>40</v>
      </c>
      <c r="I292">
        <v>40</v>
      </c>
      <c r="J292">
        <v>330</v>
      </c>
      <c r="K292">
        <v>55</v>
      </c>
      <c r="L292">
        <f t="shared" si="4"/>
        <v>4</v>
      </c>
    </row>
    <row r="293" spans="1:12">
      <c r="A293">
        <v>232</v>
      </c>
      <c r="B293" s="4" t="s">
        <v>3287</v>
      </c>
      <c r="C293" t="s">
        <v>259</v>
      </c>
      <c r="D293">
        <v>90</v>
      </c>
      <c r="E293">
        <v>120</v>
      </c>
      <c r="F293">
        <v>120</v>
      </c>
      <c r="G293">
        <v>60</v>
      </c>
      <c r="H293">
        <v>60</v>
      </c>
      <c r="I293">
        <v>50</v>
      </c>
      <c r="J293">
        <v>500</v>
      </c>
      <c r="K293">
        <v>83.33</v>
      </c>
      <c r="L293">
        <f t="shared" si="4"/>
        <v>4</v>
      </c>
    </row>
    <row r="294" spans="1:12">
      <c r="A294">
        <v>233</v>
      </c>
      <c r="B294" s="4" t="s">
        <v>3288</v>
      </c>
      <c r="C294" t="s">
        <v>260</v>
      </c>
      <c r="D294">
        <v>85</v>
      </c>
      <c r="E294">
        <v>80</v>
      </c>
      <c r="F294">
        <v>90</v>
      </c>
      <c r="G294">
        <v>105</v>
      </c>
      <c r="H294">
        <v>95</v>
      </c>
      <c r="I294">
        <v>60</v>
      </c>
      <c r="J294">
        <v>515</v>
      </c>
      <c r="K294">
        <v>85.83</v>
      </c>
      <c r="L294">
        <f t="shared" si="4"/>
        <v>4</v>
      </c>
    </row>
    <row r="295" spans="1:12">
      <c r="A295">
        <v>234</v>
      </c>
      <c r="B295" s="4" t="s">
        <v>3289</v>
      </c>
      <c r="C295" t="s">
        <v>261</v>
      </c>
      <c r="D295">
        <v>73</v>
      </c>
      <c r="E295">
        <v>95</v>
      </c>
      <c r="F295">
        <v>62</v>
      </c>
      <c r="G295">
        <v>85</v>
      </c>
      <c r="H295">
        <v>65</v>
      </c>
      <c r="I295">
        <v>85</v>
      </c>
      <c r="J295">
        <v>465</v>
      </c>
      <c r="K295">
        <v>77.5</v>
      </c>
      <c r="L295">
        <f t="shared" si="4"/>
        <v>4</v>
      </c>
    </row>
    <row r="296" spans="1:12">
      <c r="A296">
        <v>235</v>
      </c>
      <c r="B296" s="4" t="s">
        <v>3290</v>
      </c>
      <c r="C296" t="s">
        <v>262</v>
      </c>
      <c r="D296">
        <v>55</v>
      </c>
      <c r="E296">
        <v>20</v>
      </c>
      <c r="F296">
        <v>35</v>
      </c>
      <c r="G296">
        <v>20</v>
      </c>
      <c r="H296">
        <v>45</v>
      </c>
      <c r="I296">
        <v>75</v>
      </c>
      <c r="J296">
        <v>250</v>
      </c>
      <c r="K296">
        <v>41.67</v>
      </c>
      <c r="L296">
        <f t="shared" si="4"/>
        <v>4</v>
      </c>
    </row>
    <row r="297" spans="1:12">
      <c r="A297">
        <v>236</v>
      </c>
      <c r="B297" s="4" t="s">
        <v>3291</v>
      </c>
      <c r="C297" t="s">
        <v>263</v>
      </c>
      <c r="D297">
        <v>35</v>
      </c>
      <c r="E297">
        <v>35</v>
      </c>
      <c r="F297">
        <v>35</v>
      </c>
      <c r="G297">
        <v>35</v>
      </c>
      <c r="H297">
        <v>35</v>
      </c>
      <c r="I297">
        <v>35</v>
      </c>
      <c r="J297">
        <v>210</v>
      </c>
      <c r="K297">
        <v>35</v>
      </c>
      <c r="L297">
        <f t="shared" si="4"/>
        <v>4</v>
      </c>
    </row>
    <row r="298" spans="1:12">
      <c r="A298">
        <v>237</v>
      </c>
      <c r="B298" s="4" t="s">
        <v>3292</v>
      </c>
      <c r="C298" t="s">
        <v>264</v>
      </c>
      <c r="D298">
        <v>50</v>
      </c>
      <c r="E298">
        <v>95</v>
      </c>
      <c r="F298">
        <v>95</v>
      </c>
      <c r="G298">
        <v>35</v>
      </c>
      <c r="H298">
        <v>110</v>
      </c>
      <c r="I298">
        <v>70</v>
      </c>
      <c r="J298">
        <v>455</v>
      </c>
      <c r="K298">
        <v>75.83</v>
      </c>
      <c r="L298">
        <f t="shared" si="4"/>
        <v>4</v>
      </c>
    </row>
    <row r="299" spans="1:12">
      <c r="A299">
        <v>238</v>
      </c>
      <c r="B299" s="4" t="s">
        <v>3293</v>
      </c>
      <c r="C299" t="s">
        <v>265</v>
      </c>
      <c r="D299">
        <v>45</v>
      </c>
      <c r="E299">
        <v>30</v>
      </c>
      <c r="F299">
        <v>15</v>
      </c>
      <c r="G299">
        <v>85</v>
      </c>
      <c r="H299">
        <v>65</v>
      </c>
      <c r="I299">
        <v>65</v>
      </c>
      <c r="J299">
        <v>305</v>
      </c>
      <c r="K299">
        <v>50.83</v>
      </c>
      <c r="L299">
        <f t="shared" si="4"/>
        <v>4</v>
      </c>
    </row>
    <row r="300" spans="1:12">
      <c r="A300">
        <v>239</v>
      </c>
      <c r="B300" s="4" t="s">
        <v>3294</v>
      </c>
      <c r="C300" t="s">
        <v>266</v>
      </c>
      <c r="D300">
        <v>45</v>
      </c>
      <c r="E300">
        <v>63</v>
      </c>
      <c r="F300">
        <v>37</v>
      </c>
      <c r="G300">
        <v>65</v>
      </c>
      <c r="H300">
        <v>55</v>
      </c>
      <c r="I300">
        <v>95</v>
      </c>
      <c r="J300">
        <v>360</v>
      </c>
      <c r="K300">
        <v>60</v>
      </c>
      <c r="L300">
        <f t="shared" si="4"/>
        <v>4</v>
      </c>
    </row>
    <row r="301" spans="1:12">
      <c r="A301">
        <v>240</v>
      </c>
      <c r="B301" s="4" t="s">
        <v>3295</v>
      </c>
      <c r="C301" t="s">
        <v>267</v>
      </c>
      <c r="D301">
        <v>45</v>
      </c>
      <c r="E301">
        <v>75</v>
      </c>
      <c r="F301">
        <v>37</v>
      </c>
      <c r="G301">
        <v>70</v>
      </c>
      <c r="H301">
        <v>55</v>
      </c>
      <c r="I301">
        <v>83</v>
      </c>
      <c r="J301">
        <v>365</v>
      </c>
      <c r="K301">
        <v>60.83</v>
      </c>
      <c r="L301">
        <f t="shared" si="4"/>
        <v>4</v>
      </c>
    </row>
    <row r="302" spans="1:12">
      <c r="A302">
        <v>241</v>
      </c>
      <c r="B302" s="4" t="s">
        <v>3296</v>
      </c>
      <c r="C302" t="s">
        <v>268</v>
      </c>
      <c r="D302">
        <v>95</v>
      </c>
      <c r="E302">
        <v>80</v>
      </c>
      <c r="F302">
        <v>105</v>
      </c>
      <c r="G302">
        <v>40</v>
      </c>
      <c r="H302">
        <v>70</v>
      </c>
      <c r="I302">
        <v>100</v>
      </c>
      <c r="J302">
        <v>490</v>
      </c>
      <c r="K302">
        <v>81.67</v>
      </c>
      <c r="L302">
        <f t="shared" si="4"/>
        <v>4</v>
      </c>
    </row>
    <row r="303" spans="1:12">
      <c r="A303">
        <v>242</v>
      </c>
      <c r="B303" s="4" t="s">
        <v>3297</v>
      </c>
      <c r="C303" t="s">
        <v>269</v>
      </c>
      <c r="D303">
        <v>255</v>
      </c>
      <c r="E303">
        <v>10</v>
      </c>
      <c r="F303">
        <v>10</v>
      </c>
      <c r="G303">
        <v>75</v>
      </c>
      <c r="H303">
        <v>135</v>
      </c>
      <c r="I303">
        <v>55</v>
      </c>
      <c r="J303">
        <v>540</v>
      </c>
      <c r="K303">
        <v>90</v>
      </c>
      <c r="L303">
        <f t="shared" si="4"/>
        <v>4</v>
      </c>
    </row>
    <row r="304" spans="1:12">
      <c r="A304">
        <v>243</v>
      </c>
      <c r="B304" s="4" t="s">
        <v>3298</v>
      </c>
      <c r="C304" t="s">
        <v>270</v>
      </c>
      <c r="D304">
        <v>90</v>
      </c>
      <c r="E304">
        <v>85</v>
      </c>
      <c r="F304">
        <v>75</v>
      </c>
      <c r="G304">
        <v>115</v>
      </c>
      <c r="H304">
        <v>100</v>
      </c>
      <c r="I304">
        <v>115</v>
      </c>
      <c r="J304">
        <v>580</v>
      </c>
      <c r="K304">
        <v>96.67</v>
      </c>
      <c r="L304">
        <f t="shared" si="4"/>
        <v>4</v>
      </c>
    </row>
    <row r="305" spans="1:12">
      <c r="A305">
        <v>244</v>
      </c>
      <c r="B305" s="4" t="s">
        <v>3299</v>
      </c>
      <c r="C305" t="s">
        <v>271</v>
      </c>
      <c r="D305">
        <v>115</v>
      </c>
      <c r="E305">
        <v>115</v>
      </c>
      <c r="F305">
        <v>85</v>
      </c>
      <c r="G305">
        <v>90</v>
      </c>
      <c r="H305">
        <v>75</v>
      </c>
      <c r="I305">
        <v>100</v>
      </c>
      <c r="J305">
        <v>580</v>
      </c>
      <c r="K305">
        <v>96.67</v>
      </c>
      <c r="L305">
        <f t="shared" si="4"/>
        <v>4</v>
      </c>
    </row>
    <row r="306" spans="1:12">
      <c r="A306">
        <v>245</v>
      </c>
      <c r="B306" s="4" t="s">
        <v>3300</v>
      </c>
      <c r="C306" t="s">
        <v>272</v>
      </c>
      <c r="D306">
        <v>100</v>
      </c>
      <c r="E306">
        <v>75</v>
      </c>
      <c r="F306">
        <v>115</v>
      </c>
      <c r="G306">
        <v>90</v>
      </c>
      <c r="H306">
        <v>115</v>
      </c>
      <c r="I306">
        <v>85</v>
      </c>
      <c r="J306">
        <v>580</v>
      </c>
      <c r="K306">
        <v>96.67</v>
      </c>
      <c r="L306">
        <f t="shared" si="4"/>
        <v>4</v>
      </c>
    </row>
    <row r="307" spans="1:12">
      <c r="A307">
        <v>246</v>
      </c>
      <c r="B307" s="4" t="s">
        <v>3301</v>
      </c>
      <c r="C307" t="s">
        <v>273</v>
      </c>
      <c r="D307">
        <v>50</v>
      </c>
      <c r="E307">
        <v>64</v>
      </c>
      <c r="F307">
        <v>50</v>
      </c>
      <c r="G307">
        <v>45</v>
      </c>
      <c r="H307">
        <v>50</v>
      </c>
      <c r="I307">
        <v>41</v>
      </c>
      <c r="J307">
        <v>300</v>
      </c>
      <c r="K307">
        <v>50</v>
      </c>
      <c r="L307">
        <f t="shared" si="4"/>
        <v>4</v>
      </c>
    </row>
    <row r="308" spans="1:12">
      <c r="A308">
        <v>247</v>
      </c>
      <c r="B308" s="4" t="s">
        <v>3302</v>
      </c>
      <c r="C308" t="s">
        <v>274</v>
      </c>
      <c r="D308">
        <v>70</v>
      </c>
      <c r="E308">
        <v>84</v>
      </c>
      <c r="F308">
        <v>70</v>
      </c>
      <c r="G308">
        <v>65</v>
      </c>
      <c r="H308">
        <v>70</v>
      </c>
      <c r="I308">
        <v>51</v>
      </c>
      <c r="J308">
        <v>410</v>
      </c>
      <c r="K308">
        <v>68.33</v>
      </c>
      <c r="L308">
        <f t="shared" si="4"/>
        <v>4</v>
      </c>
    </row>
    <row r="309" spans="1:12">
      <c r="A309">
        <v>248</v>
      </c>
      <c r="B309" s="4" t="s">
        <v>3303</v>
      </c>
      <c r="C309" t="s">
        <v>275</v>
      </c>
      <c r="D309">
        <v>100</v>
      </c>
      <c r="E309">
        <v>134</v>
      </c>
      <c r="F309">
        <v>110</v>
      </c>
      <c r="G309">
        <v>95</v>
      </c>
      <c r="H309">
        <v>100</v>
      </c>
      <c r="I309">
        <v>61</v>
      </c>
      <c r="J309">
        <v>600</v>
      </c>
      <c r="K309">
        <v>100</v>
      </c>
      <c r="L309">
        <f t="shared" si="4"/>
        <v>4</v>
      </c>
    </row>
    <row r="310" spans="1:12">
      <c r="A310">
        <v>248</v>
      </c>
      <c r="B310" s="131" t="s">
        <v>2896</v>
      </c>
      <c r="C310" t="s">
        <v>2897</v>
      </c>
      <c r="D310">
        <v>100</v>
      </c>
      <c r="E310">
        <v>164</v>
      </c>
      <c r="F310">
        <v>150</v>
      </c>
      <c r="G310">
        <v>95</v>
      </c>
      <c r="H310">
        <v>120</v>
      </c>
      <c r="I310">
        <v>71</v>
      </c>
      <c r="J310">
        <v>700</v>
      </c>
      <c r="K310">
        <v>116.67</v>
      </c>
      <c r="L310">
        <f t="shared" si="4"/>
        <v>4</v>
      </c>
    </row>
    <row r="311" spans="1:12">
      <c r="A311">
        <v>249</v>
      </c>
      <c r="B311" s="4" t="s">
        <v>3304</v>
      </c>
      <c r="C311" t="s">
        <v>276</v>
      </c>
      <c r="D311">
        <v>106</v>
      </c>
      <c r="E311">
        <v>90</v>
      </c>
      <c r="F311">
        <v>130</v>
      </c>
      <c r="G311">
        <v>90</v>
      </c>
      <c r="H311">
        <v>154</v>
      </c>
      <c r="I311">
        <v>110</v>
      </c>
      <c r="J311">
        <v>680</v>
      </c>
      <c r="K311">
        <v>113.33</v>
      </c>
      <c r="L311">
        <f t="shared" si="4"/>
        <v>4</v>
      </c>
    </row>
    <row r="312" spans="1:12">
      <c r="A312">
        <v>250</v>
      </c>
      <c r="B312" s="4" t="s">
        <v>3305</v>
      </c>
      <c r="C312" t="s">
        <v>1489</v>
      </c>
      <c r="D312">
        <v>106</v>
      </c>
      <c r="E312">
        <v>130</v>
      </c>
      <c r="F312">
        <v>90</v>
      </c>
      <c r="G312">
        <v>110</v>
      </c>
      <c r="H312">
        <v>154</v>
      </c>
      <c r="I312">
        <v>90</v>
      </c>
      <c r="J312">
        <v>680</v>
      </c>
      <c r="K312">
        <v>113.33</v>
      </c>
      <c r="L312">
        <f t="shared" si="4"/>
        <v>4</v>
      </c>
    </row>
    <row r="313" spans="1:12">
      <c r="A313">
        <v>251</v>
      </c>
      <c r="B313" s="4" t="s">
        <v>3306</v>
      </c>
      <c r="C313" t="s">
        <v>278</v>
      </c>
      <c r="D313">
        <v>100</v>
      </c>
      <c r="E313">
        <v>100</v>
      </c>
      <c r="F313">
        <v>100</v>
      </c>
      <c r="G313">
        <v>100</v>
      </c>
      <c r="H313">
        <v>100</v>
      </c>
      <c r="I313">
        <v>100</v>
      </c>
      <c r="J313">
        <v>600</v>
      </c>
      <c r="K313">
        <v>100</v>
      </c>
      <c r="L313">
        <f t="shared" si="4"/>
        <v>4</v>
      </c>
    </row>
    <row r="314" spans="1:12">
      <c r="A314">
        <v>252</v>
      </c>
      <c r="B314" s="4" t="s">
        <v>3307</v>
      </c>
      <c r="C314" t="s">
        <v>279</v>
      </c>
      <c r="D314">
        <v>40</v>
      </c>
      <c r="E314">
        <v>45</v>
      </c>
      <c r="F314">
        <v>35</v>
      </c>
      <c r="G314">
        <v>65</v>
      </c>
      <c r="H314">
        <v>55</v>
      </c>
      <c r="I314">
        <v>70</v>
      </c>
      <c r="J314">
        <v>310</v>
      </c>
      <c r="K314">
        <v>51.67</v>
      </c>
      <c r="L314">
        <f t="shared" si="4"/>
        <v>4</v>
      </c>
    </row>
    <row r="315" spans="1:12">
      <c r="A315">
        <v>253</v>
      </c>
      <c r="B315" s="4" t="s">
        <v>3308</v>
      </c>
      <c r="C315" t="s">
        <v>280</v>
      </c>
      <c r="D315">
        <v>50</v>
      </c>
      <c r="E315">
        <v>65</v>
      </c>
      <c r="F315">
        <v>45</v>
      </c>
      <c r="G315">
        <v>85</v>
      </c>
      <c r="H315">
        <v>65</v>
      </c>
      <c r="I315">
        <v>95</v>
      </c>
      <c r="J315">
        <v>405</v>
      </c>
      <c r="K315">
        <v>67.5</v>
      </c>
      <c r="L315">
        <f t="shared" si="4"/>
        <v>4</v>
      </c>
    </row>
    <row r="316" spans="1:12">
      <c r="A316">
        <v>254</v>
      </c>
      <c r="B316" s="4" t="s">
        <v>3309</v>
      </c>
      <c r="C316" t="s">
        <v>281</v>
      </c>
      <c r="D316">
        <v>70</v>
      </c>
      <c r="E316">
        <v>85</v>
      </c>
      <c r="F316">
        <v>65</v>
      </c>
      <c r="G316">
        <v>105</v>
      </c>
      <c r="H316">
        <v>85</v>
      </c>
      <c r="I316">
        <v>120</v>
      </c>
      <c r="J316">
        <v>530</v>
      </c>
      <c r="K316">
        <v>88.33</v>
      </c>
      <c r="L316">
        <f t="shared" si="4"/>
        <v>4</v>
      </c>
    </row>
    <row r="317" spans="1:12">
      <c r="A317">
        <v>254</v>
      </c>
      <c r="B317" s="131" t="s">
        <v>2898</v>
      </c>
      <c r="C317" t="s">
        <v>2899</v>
      </c>
      <c r="D317">
        <v>70</v>
      </c>
      <c r="E317">
        <v>110</v>
      </c>
      <c r="F317">
        <v>75</v>
      </c>
      <c r="G317">
        <v>145</v>
      </c>
      <c r="H317">
        <v>85</v>
      </c>
      <c r="I317">
        <v>145</v>
      </c>
      <c r="J317">
        <v>630</v>
      </c>
      <c r="K317">
        <v>105</v>
      </c>
      <c r="L317">
        <f t="shared" si="4"/>
        <v>4</v>
      </c>
    </row>
    <row r="318" spans="1:12">
      <c r="A318">
        <v>255</v>
      </c>
      <c r="B318" s="4" t="s">
        <v>3310</v>
      </c>
      <c r="C318" t="s">
        <v>282</v>
      </c>
      <c r="D318">
        <v>45</v>
      </c>
      <c r="E318">
        <v>60</v>
      </c>
      <c r="F318">
        <v>40</v>
      </c>
      <c r="G318">
        <v>70</v>
      </c>
      <c r="H318">
        <v>50</v>
      </c>
      <c r="I318">
        <v>45</v>
      </c>
      <c r="J318">
        <v>310</v>
      </c>
      <c r="K318">
        <v>51.67</v>
      </c>
      <c r="L318">
        <f t="shared" si="4"/>
        <v>4</v>
      </c>
    </row>
    <row r="319" spans="1:12">
      <c r="A319">
        <v>256</v>
      </c>
      <c r="B319" s="4" t="s">
        <v>3311</v>
      </c>
      <c r="C319" t="s">
        <v>283</v>
      </c>
      <c r="D319">
        <v>60</v>
      </c>
      <c r="E319">
        <v>85</v>
      </c>
      <c r="F319">
        <v>60</v>
      </c>
      <c r="G319">
        <v>85</v>
      </c>
      <c r="H319">
        <v>60</v>
      </c>
      <c r="I319">
        <v>55</v>
      </c>
      <c r="J319">
        <v>405</v>
      </c>
      <c r="K319">
        <v>67.5</v>
      </c>
      <c r="L319">
        <f t="shared" si="4"/>
        <v>4</v>
      </c>
    </row>
    <row r="320" spans="1:12">
      <c r="A320">
        <v>257</v>
      </c>
      <c r="B320" s="4" t="s">
        <v>3312</v>
      </c>
      <c r="C320" t="s">
        <v>284</v>
      </c>
      <c r="D320">
        <v>80</v>
      </c>
      <c r="E320">
        <v>120</v>
      </c>
      <c r="F320">
        <v>70</v>
      </c>
      <c r="G320">
        <v>110</v>
      </c>
      <c r="H320">
        <v>70</v>
      </c>
      <c r="I320">
        <v>80</v>
      </c>
      <c r="J320">
        <v>530</v>
      </c>
      <c r="K320">
        <v>88.33</v>
      </c>
      <c r="L320">
        <f t="shared" si="4"/>
        <v>4</v>
      </c>
    </row>
    <row r="321" spans="1:12">
      <c r="A321">
        <v>257</v>
      </c>
      <c r="B321" s="131" t="s">
        <v>2900</v>
      </c>
      <c r="C321" t="s">
        <v>2901</v>
      </c>
      <c r="D321">
        <v>80</v>
      </c>
      <c r="E321">
        <v>160</v>
      </c>
      <c r="F321">
        <v>80</v>
      </c>
      <c r="G321">
        <v>130</v>
      </c>
      <c r="H321">
        <v>80</v>
      </c>
      <c r="I321">
        <v>100</v>
      </c>
      <c r="J321">
        <v>630</v>
      </c>
      <c r="K321">
        <v>105</v>
      </c>
      <c r="L321">
        <f t="shared" si="4"/>
        <v>4</v>
      </c>
    </row>
    <row r="322" spans="1:12">
      <c r="A322">
        <v>258</v>
      </c>
      <c r="B322" s="4" t="s">
        <v>3313</v>
      </c>
      <c r="C322" t="s">
        <v>285</v>
      </c>
      <c r="D322">
        <v>50</v>
      </c>
      <c r="E322">
        <v>70</v>
      </c>
      <c r="F322">
        <v>50</v>
      </c>
      <c r="G322">
        <v>50</v>
      </c>
      <c r="H322">
        <v>50</v>
      </c>
      <c r="I322">
        <v>40</v>
      </c>
      <c r="J322">
        <v>310</v>
      </c>
      <c r="K322">
        <v>51.67</v>
      </c>
      <c r="L322">
        <f t="shared" si="4"/>
        <v>4</v>
      </c>
    </row>
    <row r="323" spans="1:12">
      <c r="A323">
        <v>259</v>
      </c>
      <c r="B323" s="4" t="s">
        <v>3314</v>
      </c>
      <c r="C323" t="s">
        <v>286</v>
      </c>
      <c r="D323">
        <v>70</v>
      </c>
      <c r="E323">
        <v>85</v>
      </c>
      <c r="F323">
        <v>70</v>
      </c>
      <c r="G323">
        <v>60</v>
      </c>
      <c r="H323">
        <v>70</v>
      </c>
      <c r="I323">
        <v>50</v>
      </c>
      <c r="J323">
        <v>405</v>
      </c>
      <c r="K323">
        <v>67.5</v>
      </c>
      <c r="L323">
        <f t="shared" ref="L323:L386" si="5">LEN(B323)</f>
        <v>4</v>
      </c>
    </row>
    <row r="324" spans="1:12">
      <c r="A324">
        <v>260</v>
      </c>
      <c r="B324" s="4" t="s">
        <v>3315</v>
      </c>
      <c r="C324" t="s">
        <v>287</v>
      </c>
      <c r="D324">
        <v>100</v>
      </c>
      <c r="E324">
        <v>110</v>
      </c>
      <c r="F324">
        <v>90</v>
      </c>
      <c r="G324">
        <v>85</v>
      </c>
      <c r="H324">
        <v>90</v>
      </c>
      <c r="I324">
        <v>60</v>
      </c>
      <c r="J324">
        <v>535</v>
      </c>
      <c r="K324">
        <v>89.17</v>
      </c>
      <c r="L324">
        <f t="shared" si="5"/>
        <v>4</v>
      </c>
    </row>
    <row r="325" spans="1:12">
      <c r="A325">
        <v>260</v>
      </c>
      <c r="B325" s="131" t="s">
        <v>2902</v>
      </c>
      <c r="C325" t="s">
        <v>2903</v>
      </c>
      <c r="D325">
        <v>100</v>
      </c>
      <c r="E325">
        <v>150</v>
      </c>
      <c r="F325">
        <v>110</v>
      </c>
      <c r="G325">
        <v>95</v>
      </c>
      <c r="H325">
        <v>110</v>
      </c>
      <c r="I325">
        <v>70</v>
      </c>
      <c r="J325">
        <v>635</v>
      </c>
      <c r="K325">
        <v>105.83</v>
      </c>
      <c r="L325">
        <f t="shared" si="5"/>
        <v>4</v>
      </c>
    </row>
    <row r="326" spans="1:12">
      <c r="A326">
        <v>261</v>
      </c>
      <c r="B326" s="4" t="s">
        <v>3316</v>
      </c>
      <c r="C326" t="s">
        <v>288</v>
      </c>
      <c r="D326">
        <v>35</v>
      </c>
      <c r="E326">
        <v>55</v>
      </c>
      <c r="F326">
        <v>35</v>
      </c>
      <c r="G326">
        <v>30</v>
      </c>
      <c r="H326">
        <v>30</v>
      </c>
      <c r="I326">
        <v>35</v>
      </c>
      <c r="J326">
        <v>220</v>
      </c>
      <c r="K326">
        <v>36.67</v>
      </c>
      <c r="L326">
        <f t="shared" si="5"/>
        <v>4</v>
      </c>
    </row>
    <row r="327" spans="1:12">
      <c r="A327">
        <v>262</v>
      </c>
      <c r="B327" s="4" t="s">
        <v>3317</v>
      </c>
      <c r="C327" t="s">
        <v>289</v>
      </c>
      <c r="D327">
        <v>70</v>
      </c>
      <c r="E327">
        <v>90</v>
      </c>
      <c r="F327">
        <v>70</v>
      </c>
      <c r="G327">
        <v>60</v>
      </c>
      <c r="H327">
        <v>60</v>
      </c>
      <c r="I327">
        <v>70</v>
      </c>
      <c r="J327">
        <v>420</v>
      </c>
      <c r="K327">
        <v>70</v>
      </c>
      <c r="L327">
        <f t="shared" si="5"/>
        <v>4</v>
      </c>
    </row>
    <row r="328" spans="1:12">
      <c r="A328">
        <v>263</v>
      </c>
      <c r="B328" s="4" t="s">
        <v>3318</v>
      </c>
      <c r="C328" t="s">
        <v>290</v>
      </c>
      <c r="D328">
        <v>38</v>
      </c>
      <c r="E328">
        <v>30</v>
      </c>
      <c r="F328">
        <v>41</v>
      </c>
      <c r="G328">
        <v>30</v>
      </c>
      <c r="H328">
        <v>41</v>
      </c>
      <c r="I328">
        <v>60</v>
      </c>
      <c r="J328">
        <v>240</v>
      </c>
      <c r="K328">
        <v>40</v>
      </c>
      <c r="L328">
        <f t="shared" si="5"/>
        <v>4</v>
      </c>
    </row>
    <row r="329" spans="1:12">
      <c r="A329">
        <v>263</v>
      </c>
      <c r="B329" s="131" t="s">
        <v>2904</v>
      </c>
      <c r="C329" t="s">
        <v>2905</v>
      </c>
      <c r="D329">
        <v>38</v>
      </c>
      <c r="E329">
        <v>30</v>
      </c>
      <c r="F329">
        <v>41</v>
      </c>
      <c r="G329">
        <v>30</v>
      </c>
      <c r="H329">
        <v>41</v>
      </c>
      <c r="I329">
        <v>60</v>
      </c>
      <c r="J329">
        <v>240</v>
      </c>
      <c r="K329">
        <v>40</v>
      </c>
      <c r="L329">
        <f t="shared" si="5"/>
        <v>4</v>
      </c>
    </row>
    <row r="330" spans="1:12">
      <c r="A330">
        <v>264</v>
      </c>
      <c r="B330" s="4" t="s">
        <v>3319</v>
      </c>
      <c r="C330" t="s">
        <v>291</v>
      </c>
      <c r="D330">
        <v>78</v>
      </c>
      <c r="E330">
        <v>70</v>
      </c>
      <c r="F330">
        <v>61</v>
      </c>
      <c r="G330">
        <v>50</v>
      </c>
      <c r="H330">
        <v>61</v>
      </c>
      <c r="I330">
        <v>100</v>
      </c>
      <c r="J330">
        <v>420</v>
      </c>
      <c r="K330">
        <v>70</v>
      </c>
      <c r="L330">
        <f t="shared" si="5"/>
        <v>4</v>
      </c>
    </row>
    <row r="331" spans="1:12">
      <c r="A331">
        <v>264</v>
      </c>
      <c r="B331" s="131" t="s">
        <v>2906</v>
      </c>
      <c r="C331" t="s">
        <v>2907</v>
      </c>
      <c r="D331">
        <v>78</v>
      </c>
      <c r="E331">
        <v>70</v>
      </c>
      <c r="F331">
        <v>61</v>
      </c>
      <c r="G331">
        <v>50</v>
      </c>
      <c r="H331">
        <v>61</v>
      </c>
      <c r="I331">
        <v>100</v>
      </c>
      <c r="J331">
        <v>420</v>
      </c>
      <c r="K331">
        <v>70</v>
      </c>
      <c r="L331">
        <f t="shared" si="5"/>
        <v>4</v>
      </c>
    </row>
    <row r="332" spans="1:12">
      <c r="A332">
        <v>265</v>
      </c>
      <c r="B332" s="4" t="s">
        <v>3320</v>
      </c>
      <c r="C332" t="s">
        <v>292</v>
      </c>
      <c r="D332">
        <v>45</v>
      </c>
      <c r="E332">
        <v>45</v>
      </c>
      <c r="F332">
        <v>35</v>
      </c>
      <c r="G332">
        <v>20</v>
      </c>
      <c r="H332">
        <v>30</v>
      </c>
      <c r="I332">
        <v>20</v>
      </c>
      <c r="J332">
        <v>195</v>
      </c>
      <c r="K332">
        <v>32.5</v>
      </c>
      <c r="L332">
        <f t="shared" si="5"/>
        <v>4</v>
      </c>
    </row>
    <row r="333" spans="1:12">
      <c r="A333">
        <v>266</v>
      </c>
      <c r="B333" s="4" t="s">
        <v>3321</v>
      </c>
      <c r="C333" t="s">
        <v>293</v>
      </c>
      <c r="D333">
        <v>50</v>
      </c>
      <c r="E333">
        <v>35</v>
      </c>
      <c r="F333">
        <v>55</v>
      </c>
      <c r="G333">
        <v>25</v>
      </c>
      <c r="H333">
        <v>25</v>
      </c>
      <c r="I333">
        <v>15</v>
      </c>
      <c r="J333">
        <v>205</v>
      </c>
      <c r="K333">
        <v>34.17</v>
      </c>
      <c r="L333">
        <f t="shared" si="5"/>
        <v>4</v>
      </c>
    </row>
    <row r="334" spans="1:12">
      <c r="A334">
        <v>267</v>
      </c>
      <c r="B334" s="4" t="s">
        <v>3322</v>
      </c>
      <c r="C334" t="s">
        <v>294</v>
      </c>
      <c r="D334">
        <v>60</v>
      </c>
      <c r="E334">
        <v>70</v>
      </c>
      <c r="F334">
        <v>50</v>
      </c>
      <c r="G334">
        <v>100</v>
      </c>
      <c r="H334">
        <v>50</v>
      </c>
      <c r="I334">
        <v>65</v>
      </c>
      <c r="J334">
        <v>395</v>
      </c>
      <c r="K334">
        <v>65.83</v>
      </c>
      <c r="L334">
        <f t="shared" si="5"/>
        <v>4</v>
      </c>
    </row>
    <row r="335" spans="1:12">
      <c r="A335">
        <v>268</v>
      </c>
      <c r="B335" s="4" t="s">
        <v>3323</v>
      </c>
      <c r="C335" t="s">
        <v>295</v>
      </c>
      <c r="D335">
        <v>50</v>
      </c>
      <c r="E335">
        <v>35</v>
      </c>
      <c r="F335">
        <v>55</v>
      </c>
      <c r="G335">
        <v>25</v>
      </c>
      <c r="H335">
        <v>25</v>
      </c>
      <c r="I335">
        <v>15</v>
      </c>
      <c r="J335">
        <v>205</v>
      </c>
      <c r="K335">
        <v>34.17</v>
      </c>
      <c r="L335">
        <f t="shared" si="5"/>
        <v>4</v>
      </c>
    </row>
    <row r="336" spans="1:12">
      <c r="A336">
        <v>269</v>
      </c>
      <c r="B336" s="4" t="s">
        <v>3324</v>
      </c>
      <c r="C336" t="s">
        <v>296</v>
      </c>
      <c r="D336">
        <v>60</v>
      </c>
      <c r="E336">
        <v>50</v>
      </c>
      <c r="F336">
        <v>70</v>
      </c>
      <c r="G336">
        <v>50</v>
      </c>
      <c r="H336">
        <v>90</v>
      </c>
      <c r="I336">
        <v>65</v>
      </c>
      <c r="J336">
        <v>385</v>
      </c>
      <c r="K336">
        <v>64.17</v>
      </c>
      <c r="L336">
        <f t="shared" si="5"/>
        <v>4</v>
      </c>
    </row>
    <row r="337" spans="1:12">
      <c r="A337">
        <v>270</v>
      </c>
      <c r="B337" s="4" t="s">
        <v>3325</v>
      </c>
      <c r="C337" t="s">
        <v>297</v>
      </c>
      <c r="D337">
        <v>40</v>
      </c>
      <c r="E337">
        <v>30</v>
      </c>
      <c r="F337">
        <v>30</v>
      </c>
      <c r="G337">
        <v>40</v>
      </c>
      <c r="H337">
        <v>50</v>
      </c>
      <c r="I337">
        <v>30</v>
      </c>
      <c r="J337">
        <v>220</v>
      </c>
      <c r="K337">
        <v>36.67</v>
      </c>
      <c r="L337">
        <f t="shared" si="5"/>
        <v>4</v>
      </c>
    </row>
    <row r="338" spans="1:12">
      <c r="A338">
        <v>271</v>
      </c>
      <c r="B338" s="4" t="s">
        <v>3326</v>
      </c>
      <c r="C338" t="s">
        <v>298</v>
      </c>
      <c r="D338">
        <v>60</v>
      </c>
      <c r="E338">
        <v>50</v>
      </c>
      <c r="F338">
        <v>50</v>
      </c>
      <c r="G338">
        <v>60</v>
      </c>
      <c r="H338">
        <v>70</v>
      </c>
      <c r="I338">
        <v>50</v>
      </c>
      <c r="J338">
        <v>340</v>
      </c>
      <c r="K338">
        <v>56.67</v>
      </c>
      <c r="L338">
        <f t="shared" si="5"/>
        <v>4</v>
      </c>
    </row>
    <row r="339" spans="1:12">
      <c r="A339">
        <v>272</v>
      </c>
      <c r="B339" s="4" t="s">
        <v>3327</v>
      </c>
      <c r="C339" t="s">
        <v>299</v>
      </c>
      <c r="D339">
        <v>80</v>
      </c>
      <c r="E339">
        <v>70</v>
      </c>
      <c r="F339">
        <v>70</v>
      </c>
      <c r="G339">
        <v>90</v>
      </c>
      <c r="H339">
        <v>100</v>
      </c>
      <c r="I339">
        <v>70</v>
      </c>
      <c r="J339">
        <v>480</v>
      </c>
      <c r="K339">
        <v>80</v>
      </c>
      <c r="L339">
        <f t="shared" si="5"/>
        <v>4</v>
      </c>
    </row>
    <row r="340" spans="1:12">
      <c r="A340">
        <v>273</v>
      </c>
      <c r="B340" s="4" t="s">
        <v>3328</v>
      </c>
      <c r="C340" t="s">
        <v>300</v>
      </c>
      <c r="D340">
        <v>40</v>
      </c>
      <c r="E340">
        <v>40</v>
      </c>
      <c r="F340">
        <v>50</v>
      </c>
      <c r="G340">
        <v>30</v>
      </c>
      <c r="H340">
        <v>30</v>
      </c>
      <c r="I340">
        <v>30</v>
      </c>
      <c r="J340">
        <v>220</v>
      </c>
      <c r="K340">
        <v>36.67</v>
      </c>
      <c r="L340">
        <f t="shared" si="5"/>
        <v>4</v>
      </c>
    </row>
    <row r="341" spans="1:12">
      <c r="A341">
        <v>274</v>
      </c>
      <c r="B341" s="4" t="s">
        <v>3329</v>
      </c>
      <c r="C341" t="s">
        <v>301</v>
      </c>
      <c r="D341">
        <v>70</v>
      </c>
      <c r="E341">
        <v>70</v>
      </c>
      <c r="F341">
        <v>40</v>
      </c>
      <c r="G341">
        <v>60</v>
      </c>
      <c r="H341">
        <v>40</v>
      </c>
      <c r="I341">
        <v>60</v>
      </c>
      <c r="J341">
        <v>340</v>
      </c>
      <c r="K341">
        <v>56.67</v>
      </c>
      <c r="L341">
        <f t="shared" si="5"/>
        <v>4</v>
      </c>
    </row>
    <row r="342" spans="1:12">
      <c r="A342">
        <v>275</v>
      </c>
      <c r="B342" s="4" t="s">
        <v>3330</v>
      </c>
      <c r="C342" t="s">
        <v>302</v>
      </c>
      <c r="D342">
        <v>90</v>
      </c>
      <c r="E342">
        <v>100</v>
      </c>
      <c r="F342">
        <v>60</v>
      </c>
      <c r="G342">
        <v>90</v>
      </c>
      <c r="H342">
        <v>60</v>
      </c>
      <c r="I342">
        <v>80</v>
      </c>
      <c r="J342">
        <v>480</v>
      </c>
      <c r="K342">
        <v>80</v>
      </c>
      <c r="L342">
        <f t="shared" si="5"/>
        <v>4</v>
      </c>
    </row>
    <row r="343" spans="1:12">
      <c r="A343">
        <v>276</v>
      </c>
      <c r="B343" s="4" t="s">
        <v>3331</v>
      </c>
      <c r="C343" t="s">
        <v>303</v>
      </c>
      <c r="D343">
        <v>40</v>
      </c>
      <c r="E343">
        <v>55</v>
      </c>
      <c r="F343">
        <v>30</v>
      </c>
      <c r="G343">
        <v>30</v>
      </c>
      <c r="H343">
        <v>30</v>
      </c>
      <c r="I343">
        <v>85</v>
      </c>
      <c r="J343">
        <v>270</v>
      </c>
      <c r="K343">
        <v>45</v>
      </c>
      <c r="L343">
        <f t="shared" si="5"/>
        <v>4</v>
      </c>
    </row>
    <row r="344" spans="1:12">
      <c r="A344">
        <v>277</v>
      </c>
      <c r="B344" s="4" t="s">
        <v>3332</v>
      </c>
      <c r="C344" t="s">
        <v>304</v>
      </c>
      <c r="D344">
        <v>60</v>
      </c>
      <c r="E344">
        <v>85</v>
      </c>
      <c r="F344">
        <v>60</v>
      </c>
      <c r="G344">
        <v>75</v>
      </c>
      <c r="H344">
        <v>50</v>
      </c>
      <c r="I344">
        <v>125</v>
      </c>
      <c r="J344">
        <v>455</v>
      </c>
      <c r="K344">
        <v>75.83</v>
      </c>
      <c r="L344">
        <f t="shared" si="5"/>
        <v>4</v>
      </c>
    </row>
    <row r="345" spans="1:12">
      <c r="A345">
        <v>278</v>
      </c>
      <c r="B345" s="4" t="s">
        <v>3333</v>
      </c>
      <c r="C345" t="s">
        <v>305</v>
      </c>
      <c r="D345">
        <v>40</v>
      </c>
      <c r="E345">
        <v>30</v>
      </c>
      <c r="F345">
        <v>30</v>
      </c>
      <c r="G345">
        <v>55</v>
      </c>
      <c r="H345">
        <v>30</v>
      </c>
      <c r="I345">
        <v>85</v>
      </c>
      <c r="J345">
        <v>270</v>
      </c>
      <c r="K345">
        <v>45</v>
      </c>
      <c r="L345">
        <f t="shared" si="5"/>
        <v>4</v>
      </c>
    </row>
    <row r="346" spans="1:12">
      <c r="A346">
        <v>279</v>
      </c>
      <c r="B346" s="4" t="s">
        <v>3334</v>
      </c>
      <c r="C346" t="s">
        <v>306</v>
      </c>
      <c r="D346">
        <v>60</v>
      </c>
      <c r="E346">
        <v>50</v>
      </c>
      <c r="F346">
        <v>100</v>
      </c>
      <c r="G346">
        <v>95</v>
      </c>
      <c r="H346">
        <v>70</v>
      </c>
      <c r="I346">
        <v>65</v>
      </c>
      <c r="J346">
        <v>440</v>
      </c>
      <c r="K346">
        <v>73.33</v>
      </c>
      <c r="L346">
        <f t="shared" si="5"/>
        <v>4</v>
      </c>
    </row>
    <row r="347" spans="1:12">
      <c r="A347">
        <v>280</v>
      </c>
      <c r="B347" s="4" t="s">
        <v>3335</v>
      </c>
      <c r="C347" t="s">
        <v>307</v>
      </c>
      <c r="D347">
        <v>28</v>
      </c>
      <c r="E347">
        <v>25</v>
      </c>
      <c r="F347">
        <v>25</v>
      </c>
      <c r="G347">
        <v>45</v>
      </c>
      <c r="H347">
        <v>35</v>
      </c>
      <c r="I347">
        <v>40</v>
      </c>
      <c r="J347">
        <v>198</v>
      </c>
      <c r="K347">
        <v>33</v>
      </c>
      <c r="L347">
        <f t="shared" si="5"/>
        <v>4</v>
      </c>
    </row>
    <row r="348" spans="1:12">
      <c r="A348">
        <v>281</v>
      </c>
      <c r="B348" s="4" t="s">
        <v>3336</v>
      </c>
      <c r="C348" t="s">
        <v>308</v>
      </c>
      <c r="D348">
        <v>38</v>
      </c>
      <c r="E348">
        <v>35</v>
      </c>
      <c r="F348">
        <v>35</v>
      </c>
      <c r="G348">
        <v>65</v>
      </c>
      <c r="H348">
        <v>55</v>
      </c>
      <c r="I348">
        <v>50</v>
      </c>
      <c r="J348">
        <v>278</v>
      </c>
      <c r="K348">
        <v>46.33</v>
      </c>
      <c r="L348">
        <f t="shared" si="5"/>
        <v>4</v>
      </c>
    </row>
    <row r="349" spans="1:12">
      <c r="A349">
        <v>282</v>
      </c>
      <c r="B349" s="4" t="s">
        <v>3337</v>
      </c>
      <c r="C349" t="s">
        <v>309</v>
      </c>
      <c r="D349">
        <v>68</v>
      </c>
      <c r="E349">
        <v>65</v>
      </c>
      <c r="F349">
        <v>65</v>
      </c>
      <c r="G349">
        <v>125</v>
      </c>
      <c r="H349">
        <v>115</v>
      </c>
      <c r="I349">
        <v>80</v>
      </c>
      <c r="J349">
        <v>518</v>
      </c>
      <c r="K349">
        <v>86.33</v>
      </c>
      <c r="L349">
        <f t="shared" si="5"/>
        <v>4</v>
      </c>
    </row>
    <row r="350" spans="1:12">
      <c r="A350">
        <v>282</v>
      </c>
      <c r="B350" s="131" t="s">
        <v>2908</v>
      </c>
      <c r="C350" t="s">
        <v>2909</v>
      </c>
      <c r="D350">
        <v>68</v>
      </c>
      <c r="E350">
        <v>85</v>
      </c>
      <c r="F350">
        <v>65</v>
      </c>
      <c r="G350">
        <v>165</v>
      </c>
      <c r="H350">
        <v>135</v>
      </c>
      <c r="I350">
        <v>100</v>
      </c>
      <c r="J350">
        <v>618</v>
      </c>
      <c r="K350">
        <v>103</v>
      </c>
      <c r="L350">
        <f t="shared" si="5"/>
        <v>4</v>
      </c>
    </row>
    <row r="351" spans="1:12">
      <c r="A351">
        <v>283</v>
      </c>
      <c r="B351" s="4" t="s">
        <v>3338</v>
      </c>
      <c r="C351" t="s">
        <v>310</v>
      </c>
      <c r="D351">
        <v>40</v>
      </c>
      <c r="E351">
        <v>30</v>
      </c>
      <c r="F351">
        <v>32</v>
      </c>
      <c r="G351">
        <v>50</v>
      </c>
      <c r="H351">
        <v>52</v>
      </c>
      <c r="I351">
        <v>65</v>
      </c>
      <c r="J351">
        <v>269</v>
      </c>
      <c r="K351">
        <v>44.83</v>
      </c>
      <c r="L351">
        <f t="shared" si="5"/>
        <v>4</v>
      </c>
    </row>
    <row r="352" spans="1:12">
      <c r="A352">
        <v>284</v>
      </c>
      <c r="B352" s="4" t="s">
        <v>3339</v>
      </c>
      <c r="C352" t="s">
        <v>311</v>
      </c>
      <c r="D352">
        <v>70</v>
      </c>
      <c r="E352">
        <v>60</v>
      </c>
      <c r="F352">
        <v>62</v>
      </c>
      <c r="G352">
        <v>100</v>
      </c>
      <c r="H352">
        <v>82</v>
      </c>
      <c r="I352">
        <v>80</v>
      </c>
      <c r="J352">
        <v>454</v>
      </c>
      <c r="K352">
        <v>75.67</v>
      </c>
      <c r="L352">
        <f t="shared" si="5"/>
        <v>4</v>
      </c>
    </row>
    <row r="353" spans="1:12">
      <c r="A353">
        <v>285</v>
      </c>
      <c r="B353" s="4" t="s">
        <v>3340</v>
      </c>
      <c r="C353" t="s">
        <v>312</v>
      </c>
      <c r="D353">
        <v>60</v>
      </c>
      <c r="E353">
        <v>40</v>
      </c>
      <c r="F353">
        <v>60</v>
      </c>
      <c r="G353">
        <v>40</v>
      </c>
      <c r="H353">
        <v>60</v>
      </c>
      <c r="I353">
        <v>35</v>
      </c>
      <c r="J353">
        <v>295</v>
      </c>
      <c r="K353">
        <v>49.17</v>
      </c>
      <c r="L353">
        <f t="shared" si="5"/>
        <v>4</v>
      </c>
    </row>
    <row r="354" spans="1:12">
      <c r="A354">
        <v>286</v>
      </c>
      <c r="B354" s="4" t="s">
        <v>3341</v>
      </c>
      <c r="C354" t="s">
        <v>313</v>
      </c>
      <c r="D354">
        <v>60</v>
      </c>
      <c r="E354">
        <v>130</v>
      </c>
      <c r="F354">
        <v>80</v>
      </c>
      <c r="G354">
        <v>60</v>
      </c>
      <c r="H354">
        <v>60</v>
      </c>
      <c r="I354">
        <v>70</v>
      </c>
      <c r="J354">
        <v>460</v>
      </c>
      <c r="K354">
        <v>76.67</v>
      </c>
      <c r="L354">
        <f t="shared" si="5"/>
        <v>4</v>
      </c>
    </row>
    <row r="355" spans="1:12">
      <c r="A355">
        <v>287</v>
      </c>
      <c r="B355" s="4" t="s">
        <v>3342</v>
      </c>
      <c r="C355" t="s">
        <v>314</v>
      </c>
      <c r="D355">
        <v>60</v>
      </c>
      <c r="E355">
        <v>60</v>
      </c>
      <c r="F355">
        <v>60</v>
      </c>
      <c r="G355">
        <v>35</v>
      </c>
      <c r="H355">
        <v>35</v>
      </c>
      <c r="I355">
        <v>30</v>
      </c>
      <c r="J355">
        <v>280</v>
      </c>
      <c r="K355">
        <v>46.67</v>
      </c>
      <c r="L355">
        <f t="shared" si="5"/>
        <v>4</v>
      </c>
    </row>
    <row r="356" spans="1:12">
      <c r="A356">
        <v>288</v>
      </c>
      <c r="B356" s="4" t="s">
        <v>3343</v>
      </c>
      <c r="C356" t="s">
        <v>315</v>
      </c>
      <c r="D356">
        <v>80</v>
      </c>
      <c r="E356">
        <v>80</v>
      </c>
      <c r="F356">
        <v>80</v>
      </c>
      <c r="G356">
        <v>55</v>
      </c>
      <c r="H356">
        <v>55</v>
      </c>
      <c r="I356">
        <v>90</v>
      </c>
      <c r="J356">
        <v>440</v>
      </c>
      <c r="K356">
        <v>73.33</v>
      </c>
      <c r="L356">
        <f t="shared" si="5"/>
        <v>4</v>
      </c>
    </row>
    <row r="357" spans="1:12">
      <c r="A357">
        <v>289</v>
      </c>
      <c r="B357" s="4" t="s">
        <v>3344</v>
      </c>
      <c r="C357" t="s">
        <v>316</v>
      </c>
      <c r="D357">
        <v>150</v>
      </c>
      <c r="E357">
        <v>160</v>
      </c>
      <c r="F357">
        <v>100</v>
      </c>
      <c r="G357">
        <v>95</v>
      </c>
      <c r="H357">
        <v>65</v>
      </c>
      <c r="I357">
        <v>100</v>
      </c>
      <c r="J357">
        <v>670</v>
      </c>
      <c r="K357">
        <v>111.67</v>
      </c>
      <c r="L357">
        <f t="shared" si="5"/>
        <v>4</v>
      </c>
    </row>
    <row r="358" spans="1:12">
      <c r="A358">
        <v>290</v>
      </c>
      <c r="B358" s="4" t="s">
        <v>3345</v>
      </c>
      <c r="C358" t="s">
        <v>317</v>
      </c>
      <c r="D358">
        <v>31</v>
      </c>
      <c r="E358">
        <v>45</v>
      </c>
      <c r="F358">
        <v>90</v>
      </c>
      <c r="G358">
        <v>30</v>
      </c>
      <c r="H358">
        <v>30</v>
      </c>
      <c r="I358">
        <v>40</v>
      </c>
      <c r="J358">
        <v>266</v>
      </c>
      <c r="K358">
        <v>44.33</v>
      </c>
      <c r="L358">
        <f t="shared" si="5"/>
        <v>4</v>
      </c>
    </row>
    <row r="359" spans="1:12">
      <c r="A359">
        <v>291</v>
      </c>
      <c r="B359" s="4" t="s">
        <v>3346</v>
      </c>
      <c r="C359" t="s">
        <v>318</v>
      </c>
      <c r="D359">
        <v>61</v>
      </c>
      <c r="E359">
        <v>90</v>
      </c>
      <c r="F359">
        <v>45</v>
      </c>
      <c r="G359">
        <v>50</v>
      </c>
      <c r="H359">
        <v>50</v>
      </c>
      <c r="I359">
        <v>160</v>
      </c>
      <c r="J359">
        <v>456</v>
      </c>
      <c r="K359">
        <v>76</v>
      </c>
      <c r="L359">
        <f t="shared" si="5"/>
        <v>4</v>
      </c>
    </row>
    <row r="360" spans="1:12">
      <c r="A360">
        <v>292</v>
      </c>
      <c r="B360" s="4" t="s">
        <v>3347</v>
      </c>
      <c r="C360" t="s">
        <v>319</v>
      </c>
      <c r="D360">
        <v>1</v>
      </c>
      <c r="E360">
        <v>90</v>
      </c>
      <c r="F360">
        <v>45</v>
      </c>
      <c r="G360">
        <v>30</v>
      </c>
      <c r="H360">
        <v>30</v>
      </c>
      <c r="I360">
        <v>40</v>
      </c>
      <c r="J360">
        <v>236</v>
      </c>
      <c r="K360">
        <v>39.33</v>
      </c>
      <c r="L360">
        <f t="shared" si="5"/>
        <v>4</v>
      </c>
    </row>
    <row r="361" spans="1:12">
      <c r="A361">
        <v>293</v>
      </c>
      <c r="B361" s="4" t="s">
        <v>3348</v>
      </c>
      <c r="C361" t="s">
        <v>320</v>
      </c>
      <c r="D361">
        <v>64</v>
      </c>
      <c r="E361">
        <v>51</v>
      </c>
      <c r="F361">
        <v>23</v>
      </c>
      <c r="G361">
        <v>51</v>
      </c>
      <c r="H361">
        <v>23</v>
      </c>
      <c r="I361">
        <v>28</v>
      </c>
      <c r="J361">
        <v>240</v>
      </c>
      <c r="K361">
        <v>40</v>
      </c>
      <c r="L361">
        <f t="shared" si="5"/>
        <v>4</v>
      </c>
    </row>
    <row r="362" spans="1:12">
      <c r="A362">
        <v>294</v>
      </c>
      <c r="B362" s="4" t="s">
        <v>3349</v>
      </c>
      <c r="C362" t="s">
        <v>321</v>
      </c>
      <c r="D362">
        <v>84</v>
      </c>
      <c r="E362">
        <v>71</v>
      </c>
      <c r="F362">
        <v>43</v>
      </c>
      <c r="G362">
        <v>71</v>
      </c>
      <c r="H362">
        <v>43</v>
      </c>
      <c r="I362">
        <v>48</v>
      </c>
      <c r="J362">
        <v>360</v>
      </c>
      <c r="K362">
        <v>60</v>
      </c>
      <c r="L362">
        <f t="shared" si="5"/>
        <v>4</v>
      </c>
    </row>
    <row r="363" spans="1:12">
      <c r="A363">
        <v>295</v>
      </c>
      <c r="B363" s="4" t="s">
        <v>3350</v>
      </c>
      <c r="C363" t="s">
        <v>322</v>
      </c>
      <c r="D363">
        <v>104</v>
      </c>
      <c r="E363">
        <v>91</v>
      </c>
      <c r="F363">
        <v>63</v>
      </c>
      <c r="G363">
        <v>91</v>
      </c>
      <c r="H363">
        <v>73</v>
      </c>
      <c r="I363">
        <v>68</v>
      </c>
      <c r="J363">
        <v>490</v>
      </c>
      <c r="K363">
        <v>81.67</v>
      </c>
      <c r="L363">
        <f t="shared" si="5"/>
        <v>4</v>
      </c>
    </row>
    <row r="364" spans="1:12">
      <c r="A364">
        <v>296</v>
      </c>
      <c r="B364" s="4" t="s">
        <v>3351</v>
      </c>
      <c r="C364" t="s">
        <v>323</v>
      </c>
      <c r="D364">
        <v>72</v>
      </c>
      <c r="E364">
        <v>60</v>
      </c>
      <c r="F364">
        <v>30</v>
      </c>
      <c r="G364">
        <v>20</v>
      </c>
      <c r="H364">
        <v>30</v>
      </c>
      <c r="I364">
        <v>25</v>
      </c>
      <c r="J364">
        <v>237</v>
      </c>
      <c r="K364">
        <v>39.5</v>
      </c>
      <c r="L364">
        <f t="shared" si="5"/>
        <v>4</v>
      </c>
    </row>
    <row r="365" spans="1:12">
      <c r="A365">
        <v>297</v>
      </c>
      <c r="B365" s="4" t="s">
        <v>3352</v>
      </c>
      <c r="C365" t="s">
        <v>324</v>
      </c>
      <c r="D365">
        <v>144</v>
      </c>
      <c r="E365">
        <v>120</v>
      </c>
      <c r="F365">
        <v>60</v>
      </c>
      <c r="G365">
        <v>40</v>
      </c>
      <c r="H365">
        <v>60</v>
      </c>
      <c r="I365">
        <v>50</v>
      </c>
      <c r="J365">
        <v>474</v>
      </c>
      <c r="K365">
        <v>79</v>
      </c>
      <c r="L365">
        <f t="shared" si="5"/>
        <v>4</v>
      </c>
    </row>
    <row r="366" spans="1:12">
      <c r="A366">
        <v>298</v>
      </c>
      <c r="B366" s="4" t="s">
        <v>3353</v>
      </c>
      <c r="C366" t="s">
        <v>325</v>
      </c>
      <c r="D366">
        <v>50</v>
      </c>
      <c r="E366">
        <v>20</v>
      </c>
      <c r="F366">
        <v>40</v>
      </c>
      <c r="G366">
        <v>20</v>
      </c>
      <c r="H366">
        <v>40</v>
      </c>
      <c r="I366">
        <v>20</v>
      </c>
      <c r="J366">
        <v>190</v>
      </c>
      <c r="K366">
        <v>31.67</v>
      </c>
      <c r="L366">
        <f t="shared" si="5"/>
        <v>4</v>
      </c>
    </row>
    <row r="367" spans="1:12">
      <c r="A367">
        <v>299</v>
      </c>
      <c r="B367" s="4" t="s">
        <v>3354</v>
      </c>
      <c r="C367" t="s">
        <v>326</v>
      </c>
      <c r="D367">
        <v>30</v>
      </c>
      <c r="E367">
        <v>45</v>
      </c>
      <c r="F367">
        <v>135</v>
      </c>
      <c r="G367">
        <v>45</v>
      </c>
      <c r="H367">
        <v>90</v>
      </c>
      <c r="I367">
        <v>30</v>
      </c>
      <c r="J367">
        <v>375</v>
      </c>
      <c r="K367">
        <v>62.5</v>
      </c>
      <c r="L367">
        <f t="shared" si="5"/>
        <v>4</v>
      </c>
    </row>
    <row r="368" spans="1:12">
      <c r="A368">
        <v>300</v>
      </c>
      <c r="B368" s="4" t="s">
        <v>3355</v>
      </c>
      <c r="C368" t="s">
        <v>327</v>
      </c>
      <c r="D368">
        <v>50</v>
      </c>
      <c r="E368">
        <v>45</v>
      </c>
      <c r="F368">
        <v>45</v>
      </c>
      <c r="G368">
        <v>35</v>
      </c>
      <c r="H368">
        <v>35</v>
      </c>
      <c r="I368">
        <v>50</v>
      </c>
      <c r="J368">
        <v>260</v>
      </c>
      <c r="K368">
        <v>43.33</v>
      </c>
      <c r="L368">
        <f t="shared" si="5"/>
        <v>4</v>
      </c>
    </row>
    <row r="369" spans="1:12">
      <c r="A369">
        <v>301</v>
      </c>
      <c r="B369" s="4" t="s">
        <v>3356</v>
      </c>
      <c r="C369" t="s">
        <v>328</v>
      </c>
      <c r="D369">
        <v>70</v>
      </c>
      <c r="E369">
        <v>65</v>
      </c>
      <c r="F369">
        <v>65</v>
      </c>
      <c r="G369">
        <v>55</v>
      </c>
      <c r="H369">
        <v>55</v>
      </c>
      <c r="I369">
        <v>90</v>
      </c>
      <c r="J369">
        <v>400</v>
      </c>
      <c r="K369">
        <v>66.67</v>
      </c>
      <c r="L369">
        <f t="shared" si="5"/>
        <v>4</v>
      </c>
    </row>
    <row r="370" spans="1:12">
      <c r="A370">
        <v>302</v>
      </c>
      <c r="B370" s="4" t="s">
        <v>3357</v>
      </c>
      <c r="C370" t="s">
        <v>329</v>
      </c>
      <c r="D370">
        <v>50</v>
      </c>
      <c r="E370">
        <v>75</v>
      </c>
      <c r="F370">
        <v>75</v>
      </c>
      <c r="G370">
        <v>65</v>
      </c>
      <c r="H370">
        <v>65</v>
      </c>
      <c r="I370">
        <v>50</v>
      </c>
      <c r="J370">
        <v>380</v>
      </c>
      <c r="K370">
        <v>63.33</v>
      </c>
      <c r="L370">
        <f t="shared" si="5"/>
        <v>4</v>
      </c>
    </row>
    <row r="371" spans="1:12">
      <c r="A371">
        <v>302</v>
      </c>
      <c r="B371" s="131" t="s">
        <v>2910</v>
      </c>
      <c r="C371" t="s">
        <v>2911</v>
      </c>
      <c r="D371">
        <v>50</v>
      </c>
      <c r="E371">
        <v>85</v>
      </c>
      <c r="F371">
        <v>125</v>
      </c>
      <c r="G371">
        <v>85</v>
      </c>
      <c r="H371">
        <v>115</v>
      </c>
      <c r="I371">
        <v>20</v>
      </c>
      <c r="J371">
        <v>480</v>
      </c>
      <c r="K371">
        <v>80</v>
      </c>
      <c r="L371">
        <f t="shared" si="5"/>
        <v>4</v>
      </c>
    </row>
    <row r="372" spans="1:12">
      <c r="A372">
        <v>303</v>
      </c>
      <c r="B372" s="4" t="s">
        <v>3358</v>
      </c>
      <c r="C372" t="s">
        <v>330</v>
      </c>
      <c r="D372">
        <v>50</v>
      </c>
      <c r="E372">
        <v>85</v>
      </c>
      <c r="F372">
        <v>85</v>
      </c>
      <c r="G372">
        <v>55</v>
      </c>
      <c r="H372">
        <v>55</v>
      </c>
      <c r="I372">
        <v>50</v>
      </c>
      <c r="J372">
        <v>380</v>
      </c>
      <c r="K372">
        <v>63.33</v>
      </c>
      <c r="L372">
        <f t="shared" si="5"/>
        <v>4</v>
      </c>
    </row>
    <row r="373" spans="1:12">
      <c r="A373">
        <v>303</v>
      </c>
      <c r="B373" s="131" t="s">
        <v>2912</v>
      </c>
      <c r="C373" t="s">
        <v>2913</v>
      </c>
      <c r="D373">
        <v>50</v>
      </c>
      <c r="E373">
        <v>105</v>
      </c>
      <c r="F373">
        <v>125</v>
      </c>
      <c r="G373">
        <v>55</v>
      </c>
      <c r="H373">
        <v>95</v>
      </c>
      <c r="I373">
        <v>50</v>
      </c>
      <c r="J373">
        <v>480</v>
      </c>
      <c r="K373">
        <v>80</v>
      </c>
      <c r="L373">
        <f t="shared" si="5"/>
        <v>4</v>
      </c>
    </row>
    <row r="374" spans="1:12">
      <c r="A374">
        <v>304</v>
      </c>
      <c r="B374" s="4" t="s">
        <v>3359</v>
      </c>
      <c r="C374" t="s">
        <v>331</v>
      </c>
      <c r="D374">
        <v>50</v>
      </c>
      <c r="E374">
        <v>70</v>
      </c>
      <c r="F374">
        <v>100</v>
      </c>
      <c r="G374">
        <v>40</v>
      </c>
      <c r="H374">
        <v>40</v>
      </c>
      <c r="I374">
        <v>30</v>
      </c>
      <c r="J374">
        <v>330</v>
      </c>
      <c r="K374">
        <v>55</v>
      </c>
      <c r="L374">
        <f t="shared" si="5"/>
        <v>4</v>
      </c>
    </row>
    <row r="375" spans="1:12">
      <c r="A375">
        <v>305</v>
      </c>
      <c r="B375" s="4" t="s">
        <v>3360</v>
      </c>
      <c r="C375" t="s">
        <v>332</v>
      </c>
      <c r="D375">
        <v>60</v>
      </c>
      <c r="E375">
        <v>90</v>
      </c>
      <c r="F375">
        <v>140</v>
      </c>
      <c r="G375">
        <v>50</v>
      </c>
      <c r="H375">
        <v>50</v>
      </c>
      <c r="I375">
        <v>40</v>
      </c>
      <c r="J375">
        <v>430</v>
      </c>
      <c r="K375">
        <v>71.67</v>
      </c>
      <c r="L375">
        <f t="shared" si="5"/>
        <v>4</v>
      </c>
    </row>
    <row r="376" spans="1:12">
      <c r="A376">
        <v>306</v>
      </c>
      <c r="B376" s="4" t="s">
        <v>3361</v>
      </c>
      <c r="C376" t="s">
        <v>333</v>
      </c>
      <c r="D376">
        <v>70</v>
      </c>
      <c r="E376">
        <v>110</v>
      </c>
      <c r="F376">
        <v>180</v>
      </c>
      <c r="G376">
        <v>60</v>
      </c>
      <c r="H376">
        <v>60</v>
      </c>
      <c r="I376">
        <v>50</v>
      </c>
      <c r="J376">
        <v>530</v>
      </c>
      <c r="K376">
        <v>88.33</v>
      </c>
      <c r="L376">
        <f t="shared" si="5"/>
        <v>4</v>
      </c>
    </row>
    <row r="377" spans="1:12">
      <c r="A377">
        <v>306</v>
      </c>
      <c r="B377" s="131" t="s">
        <v>2914</v>
      </c>
      <c r="C377" t="s">
        <v>2915</v>
      </c>
      <c r="D377">
        <v>70</v>
      </c>
      <c r="E377">
        <v>140</v>
      </c>
      <c r="F377">
        <v>230</v>
      </c>
      <c r="G377">
        <v>60</v>
      </c>
      <c r="H377">
        <v>80</v>
      </c>
      <c r="I377">
        <v>50</v>
      </c>
      <c r="J377">
        <v>630</v>
      </c>
      <c r="K377">
        <v>105</v>
      </c>
      <c r="L377">
        <f t="shared" si="5"/>
        <v>4</v>
      </c>
    </row>
    <row r="378" spans="1:12">
      <c r="A378">
        <v>307</v>
      </c>
      <c r="B378" s="4" t="s">
        <v>3362</v>
      </c>
      <c r="C378" t="s">
        <v>334</v>
      </c>
      <c r="D378">
        <v>30</v>
      </c>
      <c r="E378">
        <v>40</v>
      </c>
      <c r="F378">
        <v>55</v>
      </c>
      <c r="G378">
        <v>40</v>
      </c>
      <c r="H378">
        <v>55</v>
      </c>
      <c r="I378">
        <v>60</v>
      </c>
      <c r="J378">
        <v>280</v>
      </c>
      <c r="K378">
        <v>46.67</v>
      </c>
      <c r="L378">
        <f t="shared" si="5"/>
        <v>4</v>
      </c>
    </row>
    <row r="379" spans="1:12">
      <c r="A379">
        <v>308</v>
      </c>
      <c r="B379" s="4" t="s">
        <v>3363</v>
      </c>
      <c r="C379" t="s">
        <v>335</v>
      </c>
      <c r="D379">
        <v>60</v>
      </c>
      <c r="E379">
        <v>60</v>
      </c>
      <c r="F379">
        <v>75</v>
      </c>
      <c r="G379">
        <v>60</v>
      </c>
      <c r="H379">
        <v>75</v>
      </c>
      <c r="I379">
        <v>80</v>
      </c>
      <c r="J379">
        <v>410</v>
      </c>
      <c r="K379">
        <v>68.33</v>
      </c>
      <c r="L379">
        <f t="shared" si="5"/>
        <v>4</v>
      </c>
    </row>
    <row r="380" spans="1:12">
      <c r="A380">
        <v>308</v>
      </c>
      <c r="B380" s="131" t="s">
        <v>2916</v>
      </c>
      <c r="C380" t="s">
        <v>2917</v>
      </c>
      <c r="D380">
        <v>60</v>
      </c>
      <c r="E380">
        <v>100</v>
      </c>
      <c r="F380">
        <v>85</v>
      </c>
      <c r="G380">
        <v>80</v>
      </c>
      <c r="H380">
        <v>85</v>
      </c>
      <c r="I380">
        <v>100</v>
      </c>
      <c r="J380">
        <v>510</v>
      </c>
      <c r="K380">
        <v>85</v>
      </c>
      <c r="L380">
        <f t="shared" si="5"/>
        <v>4</v>
      </c>
    </row>
    <row r="381" spans="1:12">
      <c r="A381">
        <v>309</v>
      </c>
      <c r="B381" s="4" t="s">
        <v>3364</v>
      </c>
      <c r="C381" t="s">
        <v>336</v>
      </c>
      <c r="D381">
        <v>40</v>
      </c>
      <c r="E381">
        <v>45</v>
      </c>
      <c r="F381">
        <v>40</v>
      </c>
      <c r="G381">
        <v>65</v>
      </c>
      <c r="H381">
        <v>40</v>
      </c>
      <c r="I381">
        <v>65</v>
      </c>
      <c r="J381">
        <v>295</v>
      </c>
      <c r="K381">
        <v>49.17</v>
      </c>
      <c r="L381">
        <f t="shared" si="5"/>
        <v>4</v>
      </c>
    </row>
    <row r="382" spans="1:12">
      <c r="A382">
        <v>310</v>
      </c>
      <c r="B382" s="4" t="s">
        <v>3365</v>
      </c>
      <c r="C382" t="s">
        <v>337</v>
      </c>
      <c r="D382">
        <v>70</v>
      </c>
      <c r="E382">
        <v>75</v>
      </c>
      <c r="F382">
        <v>60</v>
      </c>
      <c r="G382">
        <v>105</v>
      </c>
      <c r="H382">
        <v>60</v>
      </c>
      <c r="I382">
        <v>105</v>
      </c>
      <c r="J382">
        <v>475</v>
      </c>
      <c r="K382">
        <v>79.17</v>
      </c>
      <c r="L382">
        <f t="shared" si="5"/>
        <v>4</v>
      </c>
    </row>
    <row r="383" spans="1:12">
      <c r="A383">
        <v>310</v>
      </c>
      <c r="B383" s="131" t="s">
        <v>2918</v>
      </c>
      <c r="C383" t="s">
        <v>2919</v>
      </c>
      <c r="D383">
        <v>70</v>
      </c>
      <c r="E383">
        <v>75</v>
      </c>
      <c r="F383">
        <v>80</v>
      </c>
      <c r="G383">
        <v>135</v>
      </c>
      <c r="H383">
        <v>80</v>
      </c>
      <c r="I383">
        <v>135</v>
      </c>
      <c r="J383">
        <v>575</v>
      </c>
      <c r="K383">
        <v>95.83</v>
      </c>
      <c r="L383">
        <f t="shared" si="5"/>
        <v>4</v>
      </c>
    </row>
    <row r="384" spans="1:12">
      <c r="A384">
        <v>311</v>
      </c>
      <c r="B384" s="4" t="s">
        <v>3366</v>
      </c>
      <c r="C384" t="s">
        <v>338</v>
      </c>
      <c r="D384">
        <v>60</v>
      </c>
      <c r="E384">
        <v>50</v>
      </c>
      <c r="F384">
        <v>40</v>
      </c>
      <c r="G384">
        <v>85</v>
      </c>
      <c r="H384">
        <v>75</v>
      </c>
      <c r="I384">
        <v>95</v>
      </c>
      <c r="J384">
        <v>405</v>
      </c>
      <c r="K384">
        <v>67.5</v>
      </c>
      <c r="L384">
        <f t="shared" si="5"/>
        <v>4</v>
      </c>
    </row>
    <row r="385" spans="1:12">
      <c r="A385">
        <v>312</v>
      </c>
      <c r="B385" s="4" t="s">
        <v>3367</v>
      </c>
      <c r="C385" t="s">
        <v>339</v>
      </c>
      <c r="D385">
        <v>60</v>
      </c>
      <c r="E385">
        <v>40</v>
      </c>
      <c r="F385">
        <v>50</v>
      </c>
      <c r="G385">
        <v>75</v>
      </c>
      <c r="H385">
        <v>85</v>
      </c>
      <c r="I385">
        <v>95</v>
      </c>
      <c r="J385">
        <v>405</v>
      </c>
      <c r="K385">
        <v>67.5</v>
      </c>
      <c r="L385">
        <f t="shared" si="5"/>
        <v>4</v>
      </c>
    </row>
    <row r="386" spans="1:12">
      <c r="A386">
        <v>313</v>
      </c>
      <c r="B386" s="4" t="s">
        <v>3368</v>
      </c>
      <c r="C386" t="s">
        <v>340</v>
      </c>
      <c r="D386">
        <v>65</v>
      </c>
      <c r="E386">
        <v>73</v>
      </c>
      <c r="F386">
        <v>75</v>
      </c>
      <c r="G386">
        <v>47</v>
      </c>
      <c r="H386">
        <v>85</v>
      </c>
      <c r="I386">
        <v>85</v>
      </c>
      <c r="J386">
        <v>430</v>
      </c>
      <c r="K386">
        <v>71.67</v>
      </c>
      <c r="L386">
        <f t="shared" si="5"/>
        <v>4</v>
      </c>
    </row>
    <row r="387" spans="1:12">
      <c r="A387">
        <v>314</v>
      </c>
      <c r="B387" s="4" t="s">
        <v>3369</v>
      </c>
      <c r="C387" t="s">
        <v>341</v>
      </c>
      <c r="D387">
        <v>65</v>
      </c>
      <c r="E387">
        <v>47</v>
      </c>
      <c r="F387">
        <v>75</v>
      </c>
      <c r="G387">
        <v>73</v>
      </c>
      <c r="H387">
        <v>85</v>
      </c>
      <c r="I387">
        <v>85</v>
      </c>
      <c r="J387">
        <v>430</v>
      </c>
      <c r="K387">
        <v>71.67</v>
      </c>
      <c r="L387">
        <f t="shared" ref="L387:L450" si="6">LEN(B387)</f>
        <v>4</v>
      </c>
    </row>
    <row r="388" spans="1:12">
      <c r="A388">
        <v>315</v>
      </c>
      <c r="B388" s="4" t="s">
        <v>3370</v>
      </c>
      <c r="C388" t="s">
        <v>342</v>
      </c>
      <c r="D388">
        <v>50</v>
      </c>
      <c r="E388">
        <v>60</v>
      </c>
      <c r="F388">
        <v>45</v>
      </c>
      <c r="G388">
        <v>100</v>
      </c>
      <c r="H388">
        <v>80</v>
      </c>
      <c r="I388">
        <v>65</v>
      </c>
      <c r="J388">
        <v>400</v>
      </c>
      <c r="K388">
        <v>66.67</v>
      </c>
      <c r="L388">
        <f t="shared" si="6"/>
        <v>4</v>
      </c>
    </row>
    <row r="389" spans="1:12">
      <c r="A389">
        <v>316</v>
      </c>
      <c r="B389" s="4" t="s">
        <v>3371</v>
      </c>
      <c r="C389" t="s">
        <v>343</v>
      </c>
      <c r="D389">
        <v>70</v>
      </c>
      <c r="E389">
        <v>43</v>
      </c>
      <c r="F389">
        <v>53</v>
      </c>
      <c r="G389">
        <v>43</v>
      </c>
      <c r="H389">
        <v>53</v>
      </c>
      <c r="I389">
        <v>40</v>
      </c>
      <c r="J389">
        <v>302</v>
      </c>
      <c r="K389">
        <v>50.33</v>
      </c>
      <c r="L389">
        <f t="shared" si="6"/>
        <v>4</v>
      </c>
    </row>
    <row r="390" spans="1:12">
      <c r="A390">
        <v>317</v>
      </c>
      <c r="B390" s="4" t="s">
        <v>3372</v>
      </c>
      <c r="C390" t="s">
        <v>344</v>
      </c>
      <c r="D390">
        <v>100</v>
      </c>
      <c r="E390">
        <v>73</v>
      </c>
      <c r="F390">
        <v>83</v>
      </c>
      <c r="G390">
        <v>73</v>
      </c>
      <c r="H390">
        <v>83</v>
      </c>
      <c r="I390">
        <v>55</v>
      </c>
      <c r="J390">
        <v>467</v>
      </c>
      <c r="K390">
        <v>77.83</v>
      </c>
      <c r="L390">
        <f t="shared" si="6"/>
        <v>4</v>
      </c>
    </row>
    <row r="391" spans="1:12">
      <c r="A391">
        <v>318</v>
      </c>
      <c r="B391" s="4" t="s">
        <v>3373</v>
      </c>
      <c r="C391" t="s">
        <v>345</v>
      </c>
      <c r="D391">
        <v>45</v>
      </c>
      <c r="E391">
        <v>90</v>
      </c>
      <c r="F391">
        <v>20</v>
      </c>
      <c r="G391">
        <v>65</v>
      </c>
      <c r="H391">
        <v>20</v>
      </c>
      <c r="I391">
        <v>65</v>
      </c>
      <c r="J391">
        <v>305</v>
      </c>
      <c r="K391">
        <v>50.83</v>
      </c>
      <c r="L391">
        <f t="shared" si="6"/>
        <v>4</v>
      </c>
    </row>
    <row r="392" spans="1:12">
      <c r="A392">
        <v>319</v>
      </c>
      <c r="B392" s="4" t="s">
        <v>3374</v>
      </c>
      <c r="C392" t="s">
        <v>346</v>
      </c>
      <c r="D392">
        <v>70</v>
      </c>
      <c r="E392">
        <v>120</v>
      </c>
      <c r="F392">
        <v>40</v>
      </c>
      <c r="G392">
        <v>95</v>
      </c>
      <c r="H392">
        <v>40</v>
      </c>
      <c r="I392">
        <v>95</v>
      </c>
      <c r="J392">
        <v>460</v>
      </c>
      <c r="K392">
        <v>76.67</v>
      </c>
      <c r="L392">
        <f t="shared" si="6"/>
        <v>4</v>
      </c>
    </row>
    <row r="393" spans="1:12">
      <c r="A393">
        <v>319</v>
      </c>
      <c r="B393" s="131" t="s">
        <v>2920</v>
      </c>
      <c r="C393" t="s">
        <v>2921</v>
      </c>
      <c r="D393">
        <v>70</v>
      </c>
      <c r="E393">
        <v>140</v>
      </c>
      <c r="F393">
        <v>70</v>
      </c>
      <c r="G393">
        <v>110</v>
      </c>
      <c r="H393">
        <v>65</v>
      </c>
      <c r="I393">
        <v>105</v>
      </c>
      <c r="J393">
        <v>560</v>
      </c>
      <c r="K393">
        <v>93.33</v>
      </c>
      <c r="L393">
        <f t="shared" si="6"/>
        <v>4</v>
      </c>
    </row>
    <row r="394" spans="1:12">
      <c r="A394">
        <v>320</v>
      </c>
      <c r="B394" s="4" t="s">
        <v>3375</v>
      </c>
      <c r="C394" t="s">
        <v>347</v>
      </c>
      <c r="D394">
        <v>130</v>
      </c>
      <c r="E394">
        <v>70</v>
      </c>
      <c r="F394">
        <v>35</v>
      </c>
      <c r="G394">
        <v>70</v>
      </c>
      <c r="H394">
        <v>35</v>
      </c>
      <c r="I394">
        <v>60</v>
      </c>
      <c r="J394">
        <v>400</v>
      </c>
      <c r="K394">
        <v>66.67</v>
      </c>
      <c r="L394">
        <f t="shared" si="6"/>
        <v>4</v>
      </c>
    </row>
    <row r="395" spans="1:12">
      <c r="A395">
        <v>321</v>
      </c>
      <c r="B395" s="4" t="s">
        <v>3376</v>
      </c>
      <c r="C395" t="s">
        <v>348</v>
      </c>
      <c r="D395">
        <v>170</v>
      </c>
      <c r="E395">
        <v>90</v>
      </c>
      <c r="F395">
        <v>45</v>
      </c>
      <c r="G395">
        <v>90</v>
      </c>
      <c r="H395">
        <v>45</v>
      </c>
      <c r="I395">
        <v>60</v>
      </c>
      <c r="J395">
        <v>500</v>
      </c>
      <c r="K395">
        <v>83.33</v>
      </c>
      <c r="L395">
        <f t="shared" si="6"/>
        <v>4</v>
      </c>
    </row>
    <row r="396" spans="1:12">
      <c r="A396">
        <v>322</v>
      </c>
      <c r="B396" s="4" t="s">
        <v>3377</v>
      </c>
      <c r="C396" t="s">
        <v>349</v>
      </c>
      <c r="D396">
        <v>60</v>
      </c>
      <c r="E396">
        <v>60</v>
      </c>
      <c r="F396">
        <v>40</v>
      </c>
      <c r="G396">
        <v>65</v>
      </c>
      <c r="H396">
        <v>45</v>
      </c>
      <c r="I396">
        <v>35</v>
      </c>
      <c r="J396">
        <v>305</v>
      </c>
      <c r="K396">
        <v>50.83</v>
      </c>
      <c r="L396">
        <f t="shared" si="6"/>
        <v>4</v>
      </c>
    </row>
    <row r="397" spans="1:12">
      <c r="A397">
        <v>323</v>
      </c>
      <c r="B397" s="4" t="s">
        <v>3378</v>
      </c>
      <c r="C397" t="s">
        <v>350</v>
      </c>
      <c r="D397">
        <v>70</v>
      </c>
      <c r="E397">
        <v>100</v>
      </c>
      <c r="F397">
        <v>70</v>
      </c>
      <c r="G397">
        <v>105</v>
      </c>
      <c r="H397">
        <v>75</v>
      </c>
      <c r="I397">
        <v>40</v>
      </c>
      <c r="J397">
        <v>460</v>
      </c>
      <c r="K397">
        <v>76.67</v>
      </c>
      <c r="L397">
        <f t="shared" si="6"/>
        <v>4</v>
      </c>
    </row>
    <row r="398" spans="1:12">
      <c r="A398">
        <v>323</v>
      </c>
      <c r="B398" s="131" t="s">
        <v>2922</v>
      </c>
      <c r="C398" t="s">
        <v>2923</v>
      </c>
      <c r="D398">
        <v>70</v>
      </c>
      <c r="E398">
        <v>120</v>
      </c>
      <c r="F398">
        <v>100</v>
      </c>
      <c r="G398">
        <v>145</v>
      </c>
      <c r="H398">
        <v>105</v>
      </c>
      <c r="I398">
        <v>20</v>
      </c>
      <c r="J398">
        <v>560</v>
      </c>
      <c r="K398">
        <v>93.33</v>
      </c>
      <c r="L398">
        <f t="shared" si="6"/>
        <v>4</v>
      </c>
    </row>
    <row r="399" spans="1:12">
      <c r="A399">
        <v>324</v>
      </c>
      <c r="B399" s="4" t="s">
        <v>3379</v>
      </c>
      <c r="C399" t="s">
        <v>351</v>
      </c>
      <c r="D399">
        <v>70</v>
      </c>
      <c r="E399">
        <v>85</v>
      </c>
      <c r="F399">
        <v>140</v>
      </c>
      <c r="G399">
        <v>85</v>
      </c>
      <c r="H399">
        <v>70</v>
      </c>
      <c r="I399">
        <v>20</v>
      </c>
      <c r="J399">
        <v>470</v>
      </c>
      <c r="K399">
        <v>78.33</v>
      </c>
      <c r="L399">
        <f t="shared" si="6"/>
        <v>4</v>
      </c>
    </row>
    <row r="400" spans="1:12">
      <c r="A400">
        <v>325</v>
      </c>
      <c r="B400" s="4" t="s">
        <v>3380</v>
      </c>
      <c r="C400" t="s">
        <v>352</v>
      </c>
      <c r="D400">
        <v>60</v>
      </c>
      <c r="E400">
        <v>25</v>
      </c>
      <c r="F400">
        <v>35</v>
      </c>
      <c r="G400">
        <v>70</v>
      </c>
      <c r="H400">
        <v>80</v>
      </c>
      <c r="I400">
        <v>60</v>
      </c>
      <c r="J400">
        <v>330</v>
      </c>
      <c r="K400">
        <v>55</v>
      </c>
      <c r="L400">
        <f t="shared" si="6"/>
        <v>4</v>
      </c>
    </row>
    <row r="401" spans="1:12">
      <c r="A401">
        <v>326</v>
      </c>
      <c r="B401" s="4" t="s">
        <v>3381</v>
      </c>
      <c r="C401" t="s">
        <v>353</v>
      </c>
      <c r="D401">
        <v>80</v>
      </c>
      <c r="E401">
        <v>45</v>
      </c>
      <c r="F401">
        <v>65</v>
      </c>
      <c r="G401">
        <v>90</v>
      </c>
      <c r="H401">
        <v>110</v>
      </c>
      <c r="I401">
        <v>80</v>
      </c>
      <c r="J401">
        <v>470</v>
      </c>
      <c r="K401">
        <v>78.33</v>
      </c>
      <c r="L401">
        <f t="shared" si="6"/>
        <v>4</v>
      </c>
    </row>
    <row r="402" spans="1:12">
      <c r="A402">
        <v>327</v>
      </c>
      <c r="B402" s="4" t="s">
        <v>3382</v>
      </c>
      <c r="C402" t="s">
        <v>354</v>
      </c>
      <c r="D402">
        <v>60</v>
      </c>
      <c r="E402">
        <v>60</v>
      </c>
      <c r="F402">
        <v>60</v>
      </c>
      <c r="G402">
        <v>60</v>
      </c>
      <c r="H402">
        <v>60</v>
      </c>
      <c r="I402">
        <v>60</v>
      </c>
      <c r="J402">
        <v>360</v>
      </c>
      <c r="K402">
        <v>60</v>
      </c>
      <c r="L402">
        <f t="shared" si="6"/>
        <v>4</v>
      </c>
    </row>
    <row r="403" spans="1:12">
      <c r="A403">
        <v>328</v>
      </c>
      <c r="B403" s="4" t="s">
        <v>3383</v>
      </c>
      <c r="C403" t="s">
        <v>355</v>
      </c>
      <c r="D403">
        <v>45</v>
      </c>
      <c r="E403">
        <v>100</v>
      </c>
      <c r="F403">
        <v>45</v>
      </c>
      <c r="G403">
        <v>45</v>
      </c>
      <c r="H403">
        <v>45</v>
      </c>
      <c r="I403">
        <v>10</v>
      </c>
      <c r="J403">
        <v>290</v>
      </c>
      <c r="K403">
        <v>48.33</v>
      </c>
      <c r="L403">
        <f t="shared" si="6"/>
        <v>4</v>
      </c>
    </row>
    <row r="404" spans="1:12">
      <c r="A404">
        <v>329</v>
      </c>
      <c r="B404" s="4" t="s">
        <v>3384</v>
      </c>
      <c r="C404" t="s">
        <v>356</v>
      </c>
      <c r="D404">
        <v>50</v>
      </c>
      <c r="E404">
        <v>70</v>
      </c>
      <c r="F404">
        <v>50</v>
      </c>
      <c r="G404">
        <v>50</v>
      </c>
      <c r="H404">
        <v>50</v>
      </c>
      <c r="I404">
        <v>70</v>
      </c>
      <c r="J404">
        <v>340</v>
      </c>
      <c r="K404">
        <v>56.67</v>
      </c>
      <c r="L404">
        <f t="shared" si="6"/>
        <v>4</v>
      </c>
    </row>
    <row r="405" spans="1:12">
      <c r="A405">
        <v>330</v>
      </c>
      <c r="B405" s="4" t="s">
        <v>3385</v>
      </c>
      <c r="C405" t="s">
        <v>357</v>
      </c>
      <c r="D405">
        <v>80</v>
      </c>
      <c r="E405">
        <v>100</v>
      </c>
      <c r="F405">
        <v>80</v>
      </c>
      <c r="G405">
        <v>80</v>
      </c>
      <c r="H405">
        <v>80</v>
      </c>
      <c r="I405">
        <v>100</v>
      </c>
      <c r="J405">
        <v>520</v>
      </c>
      <c r="K405">
        <v>86.67</v>
      </c>
      <c r="L405">
        <f t="shared" si="6"/>
        <v>4</v>
      </c>
    </row>
    <row r="406" spans="1:12">
      <c r="A406">
        <v>331</v>
      </c>
      <c r="B406" s="4" t="s">
        <v>3386</v>
      </c>
      <c r="C406" t="s">
        <v>358</v>
      </c>
      <c r="D406">
        <v>50</v>
      </c>
      <c r="E406">
        <v>85</v>
      </c>
      <c r="F406">
        <v>40</v>
      </c>
      <c r="G406">
        <v>85</v>
      </c>
      <c r="H406">
        <v>40</v>
      </c>
      <c r="I406">
        <v>35</v>
      </c>
      <c r="J406">
        <v>335</v>
      </c>
      <c r="K406">
        <v>55.83</v>
      </c>
      <c r="L406">
        <f t="shared" si="6"/>
        <v>4</v>
      </c>
    </row>
    <row r="407" spans="1:12">
      <c r="A407">
        <v>332</v>
      </c>
      <c r="B407" s="4" t="s">
        <v>3387</v>
      </c>
      <c r="C407" t="s">
        <v>359</v>
      </c>
      <c r="D407">
        <v>70</v>
      </c>
      <c r="E407">
        <v>115</v>
      </c>
      <c r="F407">
        <v>60</v>
      </c>
      <c r="G407">
        <v>115</v>
      </c>
      <c r="H407">
        <v>60</v>
      </c>
      <c r="I407">
        <v>55</v>
      </c>
      <c r="J407">
        <v>475</v>
      </c>
      <c r="K407">
        <v>79.17</v>
      </c>
      <c r="L407">
        <f t="shared" si="6"/>
        <v>4</v>
      </c>
    </row>
    <row r="408" spans="1:12">
      <c r="A408">
        <v>333</v>
      </c>
      <c r="B408" s="4" t="s">
        <v>3388</v>
      </c>
      <c r="C408" t="s">
        <v>360</v>
      </c>
      <c r="D408">
        <v>45</v>
      </c>
      <c r="E408">
        <v>40</v>
      </c>
      <c r="F408">
        <v>60</v>
      </c>
      <c r="G408">
        <v>40</v>
      </c>
      <c r="H408">
        <v>75</v>
      </c>
      <c r="I408">
        <v>50</v>
      </c>
      <c r="J408">
        <v>310</v>
      </c>
      <c r="K408">
        <v>51.67</v>
      </c>
      <c r="L408">
        <f t="shared" si="6"/>
        <v>4</v>
      </c>
    </row>
    <row r="409" spans="1:12">
      <c r="A409">
        <v>334</v>
      </c>
      <c r="B409" s="4" t="s">
        <v>3389</v>
      </c>
      <c r="C409" t="s">
        <v>361</v>
      </c>
      <c r="D409">
        <v>75</v>
      </c>
      <c r="E409">
        <v>70</v>
      </c>
      <c r="F409">
        <v>90</v>
      </c>
      <c r="G409">
        <v>70</v>
      </c>
      <c r="H409">
        <v>105</v>
      </c>
      <c r="I409">
        <v>80</v>
      </c>
      <c r="J409">
        <v>490</v>
      </c>
      <c r="K409">
        <v>81.67</v>
      </c>
      <c r="L409">
        <f t="shared" si="6"/>
        <v>4</v>
      </c>
    </row>
    <row r="410" spans="1:12">
      <c r="A410">
        <v>334</v>
      </c>
      <c r="B410" s="131" t="s">
        <v>2924</v>
      </c>
      <c r="C410" t="s">
        <v>2925</v>
      </c>
      <c r="D410">
        <v>75</v>
      </c>
      <c r="E410">
        <v>110</v>
      </c>
      <c r="F410">
        <v>110</v>
      </c>
      <c r="G410">
        <v>110</v>
      </c>
      <c r="H410">
        <v>105</v>
      </c>
      <c r="I410">
        <v>80</v>
      </c>
      <c r="J410">
        <v>590</v>
      </c>
      <c r="K410">
        <v>98.33</v>
      </c>
      <c r="L410">
        <f t="shared" si="6"/>
        <v>4</v>
      </c>
    </row>
    <row r="411" spans="1:12">
      <c r="A411">
        <v>335</v>
      </c>
      <c r="B411" s="4" t="s">
        <v>3390</v>
      </c>
      <c r="C411" t="s">
        <v>362</v>
      </c>
      <c r="D411">
        <v>73</v>
      </c>
      <c r="E411">
        <v>115</v>
      </c>
      <c r="F411">
        <v>60</v>
      </c>
      <c r="G411">
        <v>60</v>
      </c>
      <c r="H411">
        <v>60</v>
      </c>
      <c r="I411">
        <v>90</v>
      </c>
      <c r="J411">
        <v>458</v>
      </c>
      <c r="K411">
        <v>76.33</v>
      </c>
      <c r="L411">
        <f t="shared" si="6"/>
        <v>4</v>
      </c>
    </row>
    <row r="412" spans="1:12">
      <c r="A412">
        <v>336</v>
      </c>
      <c r="B412" s="4" t="s">
        <v>3391</v>
      </c>
      <c r="C412" t="s">
        <v>363</v>
      </c>
      <c r="D412">
        <v>73</v>
      </c>
      <c r="E412">
        <v>100</v>
      </c>
      <c r="F412">
        <v>60</v>
      </c>
      <c r="G412">
        <v>100</v>
      </c>
      <c r="H412">
        <v>60</v>
      </c>
      <c r="I412">
        <v>65</v>
      </c>
      <c r="J412">
        <v>458</v>
      </c>
      <c r="K412">
        <v>76.33</v>
      </c>
      <c r="L412">
        <f t="shared" si="6"/>
        <v>4</v>
      </c>
    </row>
    <row r="413" spans="1:12">
      <c r="A413">
        <v>337</v>
      </c>
      <c r="B413" s="4" t="s">
        <v>3392</v>
      </c>
      <c r="C413" t="s">
        <v>364</v>
      </c>
      <c r="D413">
        <v>90</v>
      </c>
      <c r="E413">
        <v>55</v>
      </c>
      <c r="F413">
        <v>65</v>
      </c>
      <c r="G413">
        <v>95</v>
      </c>
      <c r="H413">
        <v>85</v>
      </c>
      <c r="I413">
        <v>70</v>
      </c>
      <c r="J413">
        <v>460</v>
      </c>
      <c r="K413">
        <v>76.67</v>
      </c>
      <c r="L413">
        <f t="shared" si="6"/>
        <v>4</v>
      </c>
    </row>
    <row r="414" spans="1:12">
      <c r="A414">
        <v>338</v>
      </c>
      <c r="B414" s="4" t="s">
        <v>3393</v>
      </c>
      <c r="C414" t="s">
        <v>365</v>
      </c>
      <c r="D414">
        <v>90</v>
      </c>
      <c r="E414">
        <v>95</v>
      </c>
      <c r="F414">
        <v>85</v>
      </c>
      <c r="G414">
        <v>55</v>
      </c>
      <c r="H414">
        <v>65</v>
      </c>
      <c r="I414">
        <v>70</v>
      </c>
      <c r="J414">
        <v>460</v>
      </c>
      <c r="K414">
        <v>76.67</v>
      </c>
      <c r="L414">
        <f t="shared" si="6"/>
        <v>4</v>
      </c>
    </row>
    <row r="415" spans="1:12">
      <c r="A415">
        <v>339</v>
      </c>
      <c r="B415" s="4" t="s">
        <v>3394</v>
      </c>
      <c r="C415" t="s">
        <v>366</v>
      </c>
      <c r="D415">
        <v>50</v>
      </c>
      <c r="E415">
        <v>48</v>
      </c>
      <c r="F415">
        <v>43</v>
      </c>
      <c r="G415">
        <v>46</v>
      </c>
      <c r="H415">
        <v>41</v>
      </c>
      <c r="I415">
        <v>60</v>
      </c>
      <c r="J415">
        <v>288</v>
      </c>
      <c r="K415">
        <v>48</v>
      </c>
      <c r="L415">
        <f t="shared" si="6"/>
        <v>4</v>
      </c>
    </row>
    <row r="416" spans="1:12">
      <c r="A416">
        <v>340</v>
      </c>
      <c r="B416" s="4" t="s">
        <v>3395</v>
      </c>
      <c r="C416" t="s">
        <v>367</v>
      </c>
      <c r="D416">
        <v>110</v>
      </c>
      <c r="E416">
        <v>78</v>
      </c>
      <c r="F416">
        <v>73</v>
      </c>
      <c r="G416">
        <v>76</v>
      </c>
      <c r="H416">
        <v>71</v>
      </c>
      <c r="I416">
        <v>60</v>
      </c>
      <c r="J416">
        <v>468</v>
      </c>
      <c r="K416">
        <v>78</v>
      </c>
      <c r="L416">
        <f t="shared" si="6"/>
        <v>4</v>
      </c>
    </row>
    <row r="417" spans="1:12">
      <c r="A417">
        <v>341</v>
      </c>
      <c r="B417" s="4" t="s">
        <v>3396</v>
      </c>
      <c r="C417" t="s">
        <v>368</v>
      </c>
      <c r="D417">
        <v>43</v>
      </c>
      <c r="E417">
        <v>80</v>
      </c>
      <c r="F417">
        <v>65</v>
      </c>
      <c r="G417">
        <v>50</v>
      </c>
      <c r="H417">
        <v>35</v>
      </c>
      <c r="I417">
        <v>35</v>
      </c>
      <c r="J417">
        <v>308</v>
      </c>
      <c r="K417">
        <v>51.33</v>
      </c>
      <c r="L417">
        <f t="shared" si="6"/>
        <v>4</v>
      </c>
    </row>
    <row r="418" spans="1:12">
      <c r="A418">
        <v>342</v>
      </c>
      <c r="B418" s="4" t="s">
        <v>3397</v>
      </c>
      <c r="C418" t="s">
        <v>369</v>
      </c>
      <c r="D418">
        <v>63</v>
      </c>
      <c r="E418">
        <v>120</v>
      </c>
      <c r="F418">
        <v>85</v>
      </c>
      <c r="G418">
        <v>90</v>
      </c>
      <c r="H418">
        <v>55</v>
      </c>
      <c r="I418">
        <v>55</v>
      </c>
      <c r="J418">
        <v>468</v>
      </c>
      <c r="K418">
        <v>78</v>
      </c>
      <c r="L418">
        <f t="shared" si="6"/>
        <v>4</v>
      </c>
    </row>
    <row r="419" spans="1:12">
      <c r="A419">
        <v>343</v>
      </c>
      <c r="B419" s="4" t="s">
        <v>3398</v>
      </c>
      <c r="C419" t="s">
        <v>370</v>
      </c>
      <c r="D419">
        <v>40</v>
      </c>
      <c r="E419">
        <v>40</v>
      </c>
      <c r="F419">
        <v>55</v>
      </c>
      <c r="G419">
        <v>40</v>
      </c>
      <c r="H419">
        <v>70</v>
      </c>
      <c r="I419">
        <v>55</v>
      </c>
      <c r="J419">
        <v>300</v>
      </c>
      <c r="K419">
        <v>50</v>
      </c>
      <c r="L419">
        <f t="shared" si="6"/>
        <v>4</v>
      </c>
    </row>
    <row r="420" spans="1:12">
      <c r="A420">
        <v>344</v>
      </c>
      <c r="B420" s="4" t="s">
        <v>3399</v>
      </c>
      <c r="C420" t="s">
        <v>371</v>
      </c>
      <c r="D420">
        <v>60</v>
      </c>
      <c r="E420">
        <v>70</v>
      </c>
      <c r="F420">
        <v>105</v>
      </c>
      <c r="G420">
        <v>70</v>
      </c>
      <c r="H420">
        <v>120</v>
      </c>
      <c r="I420">
        <v>75</v>
      </c>
      <c r="J420">
        <v>500</v>
      </c>
      <c r="K420">
        <v>83.33</v>
      </c>
      <c r="L420">
        <f t="shared" si="6"/>
        <v>4</v>
      </c>
    </row>
    <row r="421" spans="1:12">
      <c r="A421">
        <v>345</v>
      </c>
      <c r="B421" s="4" t="s">
        <v>3400</v>
      </c>
      <c r="C421" t="s">
        <v>372</v>
      </c>
      <c r="D421">
        <v>66</v>
      </c>
      <c r="E421">
        <v>41</v>
      </c>
      <c r="F421">
        <v>77</v>
      </c>
      <c r="G421">
        <v>61</v>
      </c>
      <c r="H421">
        <v>87</v>
      </c>
      <c r="I421">
        <v>23</v>
      </c>
      <c r="J421">
        <v>355</v>
      </c>
      <c r="K421">
        <v>59.17</v>
      </c>
      <c r="L421">
        <f t="shared" si="6"/>
        <v>4</v>
      </c>
    </row>
    <row r="422" spans="1:12">
      <c r="A422">
        <v>346</v>
      </c>
      <c r="B422" s="4" t="s">
        <v>3401</v>
      </c>
      <c r="C422" t="s">
        <v>373</v>
      </c>
      <c r="D422">
        <v>86</v>
      </c>
      <c r="E422">
        <v>81</v>
      </c>
      <c r="F422">
        <v>97</v>
      </c>
      <c r="G422">
        <v>81</v>
      </c>
      <c r="H422">
        <v>107</v>
      </c>
      <c r="I422">
        <v>43</v>
      </c>
      <c r="J422">
        <v>495</v>
      </c>
      <c r="K422">
        <v>82.5</v>
      </c>
      <c r="L422">
        <f t="shared" si="6"/>
        <v>4</v>
      </c>
    </row>
    <row r="423" spans="1:12">
      <c r="A423">
        <v>347</v>
      </c>
      <c r="B423" s="4" t="s">
        <v>3402</v>
      </c>
      <c r="C423" t="s">
        <v>374</v>
      </c>
      <c r="D423">
        <v>45</v>
      </c>
      <c r="E423">
        <v>95</v>
      </c>
      <c r="F423">
        <v>50</v>
      </c>
      <c r="G423">
        <v>40</v>
      </c>
      <c r="H423">
        <v>50</v>
      </c>
      <c r="I423">
        <v>75</v>
      </c>
      <c r="J423">
        <v>355</v>
      </c>
      <c r="K423">
        <v>59.17</v>
      </c>
      <c r="L423">
        <f t="shared" si="6"/>
        <v>4</v>
      </c>
    </row>
    <row r="424" spans="1:12">
      <c r="A424">
        <v>348</v>
      </c>
      <c r="B424" s="4" t="s">
        <v>3403</v>
      </c>
      <c r="C424" t="s">
        <v>375</v>
      </c>
      <c r="D424">
        <v>75</v>
      </c>
      <c r="E424">
        <v>125</v>
      </c>
      <c r="F424">
        <v>100</v>
      </c>
      <c r="G424">
        <v>70</v>
      </c>
      <c r="H424">
        <v>80</v>
      </c>
      <c r="I424">
        <v>45</v>
      </c>
      <c r="J424">
        <v>495</v>
      </c>
      <c r="K424">
        <v>82.5</v>
      </c>
      <c r="L424">
        <f t="shared" si="6"/>
        <v>4</v>
      </c>
    </row>
    <row r="425" spans="1:12">
      <c r="A425">
        <v>349</v>
      </c>
      <c r="B425" s="4" t="s">
        <v>3404</v>
      </c>
      <c r="C425" t="s">
        <v>376</v>
      </c>
      <c r="D425">
        <v>20</v>
      </c>
      <c r="E425">
        <v>15</v>
      </c>
      <c r="F425">
        <v>20</v>
      </c>
      <c r="G425">
        <v>10</v>
      </c>
      <c r="H425">
        <v>55</v>
      </c>
      <c r="I425">
        <v>80</v>
      </c>
      <c r="J425">
        <v>200</v>
      </c>
      <c r="K425">
        <v>33.33</v>
      </c>
      <c r="L425">
        <f t="shared" si="6"/>
        <v>4</v>
      </c>
    </row>
    <row r="426" spans="1:12">
      <c r="A426">
        <v>350</v>
      </c>
      <c r="B426" s="4" t="s">
        <v>3405</v>
      </c>
      <c r="C426" t="s">
        <v>377</v>
      </c>
      <c r="D426">
        <v>95</v>
      </c>
      <c r="E426">
        <v>60</v>
      </c>
      <c r="F426">
        <v>79</v>
      </c>
      <c r="G426">
        <v>100</v>
      </c>
      <c r="H426">
        <v>125</v>
      </c>
      <c r="I426">
        <v>81</v>
      </c>
      <c r="J426">
        <v>540</v>
      </c>
      <c r="K426">
        <v>90</v>
      </c>
      <c r="L426">
        <f t="shared" si="6"/>
        <v>4</v>
      </c>
    </row>
    <row r="427" spans="1:12">
      <c r="A427">
        <v>351</v>
      </c>
      <c r="B427" s="4" t="s">
        <v>3406</v>
      </c>
      <c r="C427" t="s">
        <v>378</v>
      </c>
      <c r="D427">
        <v>70</v>
      </c>
      <c r="E427">
        <v>70</v>
      </c>
      <c r="F427">
        <v>70</v>
      </c>
      <c r="G427">
        <v>70</v>
      </c>
      <c r="H427">
        <v>70</v>
      </c>
      <c r="I427">
        <v>70</v>
      </c>
      <c r="J427">
        <v>420</v>
      </c>
      <c r="K427">
        <v>70</v>
      </c>
      <c r="L427">
        <f t="shared" si="6"/>
        <v>4</v>
      </c>
    </row>
    <row r="428" spans="1:12">
      <c r="A428">
        <v>352</v>
      </c>
      <c r="B428" s="4" t="s">
        <v>3407</v>
      </c>
      <c r="C428" t="s">
        <v>379</v>
      </c>
      <c r="D428">
        <v>60</v>
      </c>
      <c r="E428">
        <v>90</v>
      </c>
      <c r="F428">
        <v>70</v>
      </c>
      <c r="G428">
        <v>60</v>
      </c>
      <c r="H428">
        <v>120</v>
      </c>
      <c r="I428">
        <v>40</v>
      </c>
      <c r="J428">
        <v>440</v>
      </c>
      <c r="K428">
        <v>73.33</v>
      </c>
      <c r="L428">
        <f t="shared" si="6"/>
        <v>4</v>
      </c>
    </row>
    <row r="429" spans="1:12">
      <c r="A429">
        <v>353</v>
      </c>
      <c r="B429" s="4" t="s">
        <v>3408</v>
      </c>
      <c r="C429" t="s">
        <v>380</v>
      </c>
      <c r="D429">
        <v>44</v>
      </c>
      <c r="E429">
        <v>75</v>
      </c>
      <c r="F429">
        <v>35</v>
      </c>
      <c r="G429">
        <v>63</v>
      </c>
      <c r="H429">
        <v>33</v>
      </c>
      <c r="I429">
        <v>45</v>
      </c>
      <c r="J429">
        <v>295</v>
      </c>
      <c r="K429">
        <v>49.17</v>
      </c>
      <c r="L429">
        <f t="shared" si="6"/>
        <v>4</v>
      </c>
    </row>
    <row r="430" spans="1:12">
      <c r="A430">
        <v>354</v>
      </c>
      <c r="B430" s="4" t="s">
        <v>3409</v>
      </c>
      <c r="C430" t="s">
        <v>381</v>
      </c>
      <c r="D430">
        <v>64</v>
      </c>
      <c r="E430">
        <v>115</v>
      </c>
      <c r="F430">
        <v>65</v>
      </c>
      <c r="G430">
        <v>83</v>
      </c>
      <c r="H430">
        <v>63</v>
      </c>
      <c r="I430">
        <v>65</v>
      </c>
      <c r="J430">
        <v>455</v>
      </c>
      <c r="K430">
        <v>75.83</v>
      </c>
      <c r="L430">
        <f t="shared" si="6"/>
        <v>4</v>
      </c>
    </row>
    <row r="431" spans="1:12">
      <c r="A431">
        <v>354</v>
      </c>
      <c r="B431" s="131" t="s">
        <v>2926</v>
      </c>
      <c r="C431" t="s">
        <v>2927</v>
      </c>
      <c r="D431">
        <v>64</v>
      </c>
      <c r="E431">
        <v>165</v>
      </c>
      <c r="F431">
        <v>75</v>
      </c>
      <c r="G431">
        <v>93</v>
      </c>
      <c r="H431">
        <v>83</v>
      </c>
      <c r="I431">
        <v>75</v>
      </c>
      <c r="J431">
        <v>555</v>
      </c>
      <c r="K431">
        <v>92.5</v>
      </c>
      <c r="L431">
        <f t="shared" si="6"/>
        <v>4</v>
      </c>
    </row>
    <row r="432" spans="1:12">
      <c r="A432">
        <v>355</v>
      </c>
      <c r="B432" s="4" t="s">
        <v>3410</v>
      </c>
      <c r="C432" t="s">
        <v>382</v>
      </c>
      <c r="D432">
        <v>20</v>
      </c>
      <c r="E432">
        <v>40</v>
      </c>
      <c r="F432">
        <v>90</v>
      </c>
      <c r="G432">
        <v>30</v>
      </c>
      <c r="H432">
        <v>90</v>
      </c>
      <c r="I432">
        <v>25</v>
      </c>
      <c r="J432">
        <v>295</v>
      </c>
      <c r="K432">
        <v>49.17</v>
      </c>
      <c r="L432">
        <f t="shared" si="6"/>
        <v>4</v>
      </c>
    </row>
    <row r="433" spans="1:12">
      <c r="A433">
        <v>356</v>
      </c>
      <c r="B433" s="4" t="s">
        <v>3411</v>
      </c>
      <c r="C433" t="s">
        <v>383</v>
      </c>
      <c r="D433">
        <v>40</v>
      </c>
      <c r="E433">
        <v>70</v>
      </c>
      <c r="F433">
        <v>130</v>
      </c>
      <c r="G433">
        <v>60</v>
      </c>
      <c r="H433">
        <v>130</v>
      </c>
      <c r="I433">
        <v>25</v>
      </c>
      <c r="J433">
        <v>455</v>
      </c>
      <c r="K433">
        <v>75.83</v>
      </c>
      <c r="L433">
        <f t="shared" si="6"/>
        <v>4</v>
      </c>
    </row>
    <row r="434" spans="1:12">
      <c r="A434">
        <v>357</v>
      </c>
      <c r="B434" s="4" t="s">
        <v>3412</v>
      </c>
      <c r="C434" t="s">
        <v>384</v>
      </c>
      <c r="D434">
        <v>99</v>
      </c>
      <c r="E434">
        <v>68</v>
      </c>
      <c r="F434">
        <v>83</v>
      </c>
      <c r="G434">
        <v>72</v>
      </c>
      <c r="H434">
        <v>87</v>
      </c>
      <c r="I434">
        <v>51</v>
      </c>
      <c r="J434">
        <v>460</v>
      </c>
      <c r="K434">
        <v>76.67</v>
      </c>
      <c r="L434">
        <f t="shared" si="6"/>
        <v>4</v>
      </c>
    </row>
    <row r="435" spans="1:12">
      <c r="A435">
        <v>358</v>
      </c>
      <c r="B435" s="4" t="s">
        <v>3413</v>
      </c>
      <c r="C435" t="s">
        <v>385</v>
      </c>
      <c r="D435">
        <v>75</v>
      </c>
      <c r="E435">
        <v>50</v>
      </c>
      <c r="F435">
        <v>80</v>
      </c>
      <c r="G435">
        <v>95</v>
      </c>
      <c r="H435">
        <v>90</v>
      </c>
      <c r="I435">
        <v>65</v>
      </c>
      <c r="J435">
        <v>455</v>
      </c>
      <c r="K435">
        <v>75.83</v>
      </c>
      <c r="L435">
        <f t="shared" si="6"/>
        <v>4</v>
      </c>
    </row>
    <row r="436" spans="1:12">
      <c r="A436">
        <v>359</v>
      </c>
      <c r="B436" s="4" t="s">
        <v>3414</v>
      </c>
      <c r="C436" t="s">
        <v>386</v>
      </c>
      <c r="D436">
        <v>65</v>
      </c>
      <c r="E436">
        <v>130</v>
      </c>
      <c r="F436">
        <v>60</v>
      </c>
      <c r="G436">
        <v>75</v>
      </c>
      <c r="H436">
        <v>60</v>
      </c>
      <c r="I436">
        <v>75</v>
      </c>
      <c r="J436">
        <v>465</v>
      </c>
      <c r="K436">
        <v>77.5</v>
      </c>
      <c r="L436">
        <f t="shared" si="6"/>
        <v>4</v>
      </c>
    </row>
    <row r="437" spans="1:12">
      <c r="A437">
        <v>359</v>
      </c>
      <c r="B437" s="131" t="s">
        <v>2928</v>
      </c>
      <c r="C437" t="s">
        <v>2929</v>
      </c>
      <c r="D437">
        <v>65</v>
      </c>
      <c r="E437">
        <v>150</v>
      </c>
      <c r="F437">
        <v>60</v>
      </c>
      <c r="G437">
        <v>115</v>
      </c>
      <c r="H437">
        <v>60</v>
      </c>
      <c r="I437">
        <v>115</v>
      </c>
      <c r="J437">
        <v>565</v>
      </c>
      <c r="K437">
        <v>94.17</v>
      </c>
      <c r="L437">
        <f t="shared" si="6"/>
        <v>4</v>
      </c>
    </row>
    <row r="438" spans="1:12">
      <c r="A438">
        <v>360</v>
      </c>
      <c r="B438" s="4" t="s">
        <v>3415</v>
      </c>
      <c r="C438" t="s">
        <v>387</v>
      </c>
      <c r="D438">
        <v>95</v>
      </c>
      <c r="E438">
        <v>23</v>
      </c>
      <c r="F438">
        <v>48</v>
      </c>
      <c r="G438">
        <v>23</v>
      </c>
      <c r="H438">
        <v>48</v>
      </c>
      <c r="I438">
        <v>23</v>
      </c>
      <c r="J438">
        <v>260</v>
      </c>
      <c r="K438">
        <v>43.33</v>
      </c>
      <c r="L438">
        <f t="shared" si="6"/>
        <v>4</v>
      </c>
    </row>
    <row r="439" spans="1:12">
      <c r="A439">
        <v>361</v>
      </c>
      <c r="B439" s="4" t="s">
        <v>3416</v>
      </c>
      <c r="C439" t="s">
        <v>388</v>
      </c>
      <c r="D439">
        <v>50</v>
      </c>
      <c r="E439">
        <v>50</v>
      </c>
      <c r="F439">
        <v>50</v>
      </c>
      <c r="G439">
        <v>50</v>
      </c>
      <c r="H439">
        <v>50</v>
      </c>
      <c r="I439">
        <v>50</v>
      </c>
      <c r="J439">
        <v>300</v>
      </c>
      <c r="K439">
        <v>50</v>
      </c>
      <c r="L439">
        <f t="shared" si="6"/>
        <v>4</v>
      </c>
    </row>
    <row r="440" spans="1:12">
      <c r="A440">
        <v>362</v>
      </c>
      <c r="B440" s="4" t="s">
        <v>3417</v>
      </c>
      <c r="C440" t="s">
        <v>389</v>
      </c>
      <c r="D440">
        <v>80</v>
      </c>
      <c r="E440">
        <v>80</v>
      </c>
      <c r="F440">
        <v>80</v>
      </c>
      <c r="G440">
        <v>80</v>
      </c>
      <c r="H440">
        <v>80</v>
      </c>
      <c r="I440">
        <v>80</v>
      </c>
      <c r="J440">
        <v>480</v>
      </c>
      <c r="K440">
        <v>80</v>
      </c>
      <c r="L440">
        <f t="shared" si="6"/>
        <v>4</v>
      </c>
    </row>
    <row r="441" spans="1:12">
      <c r="A441">
        <v>362</v>
      </c>
      <c r="B441" s="131" t="s">
        <v>2930</v>
      </c>
      <c r="C441" t="s">
        <v>2931</v>
      </c>
      <c r="D441">
        <v>80</v>
      </c>
      <c r="E441">
        <v>120</v>
      </c>
      <c r="F441">
        <v>80</v>
      </c>
      <c r="G441">
        <v>120</v>
      </c>
      <c r="H441">
        <v>80</v>
      </c>
      <c r="I441">
        <v>100</v>
      </c>
      <c r="J441">
        <v>580</v>
      </c>
      <c r="K441">
        <v>96.67</v>
      </c>
      <c r="L441">
        <f t="shared" si="6"/>
        <v>4</v>
      </c>
    </row>
    <row r="442" spans="1:12">
      <c r="A442">
        <v>363</v>
      </c>
      <c r="B442" s="4" t="s">
        <v>3418</v>
      </c>
      <c r="C442" t="s">
        <v>390</v>
      </c>
      <c r="D442">
        <v>70</v>
      </c>
      <c r="E442">
        <v>40</v>
      </c>
      <c r="F442">
        <v>50</v>
      </c>
      <c r="G442">
        <v>55</v>
      </c>
      <c r="H442">
        <v>50</v>
      </c>
      <c r="I442">
        <v>25</v>
      </c>
      <c r="J442">
        <v>290</v>
      </c>
      <c r="K442">
        <v>48.33</v>
      </c>
      <c r="L442">
        <f t="shared" si="6"/>
        <v>4</v>
      </c>
    </row>
    <row r="443" spans="1:12">
      <c r="A443">
        <v>364</v>
      </c>
      <c r="B443" s="4" t="s">
        <v>3419</v>
      </c>
      <c r="C443" t="s">
        <v>391</v>
      </c>
      <c r="D443">
        <v>90</v>
      </c>
      <c r="E443">
        <v>60</v>
      </c>
      <c r="F443">
        <v>70</v>
      </c>
      <c r="G443">
        <v>75</v>
      </c>
      <c r="H443">
        <v>70</v>
      </c>
      <c r="I443">
        <v>45</v>
      </c>
      <c r="J443">
        <v>410</v>
      </c>
      <c r="K443">
        <v>68.33</v>
      </c>
      <c r="L443">
        <f t="shared" si="6"/>
        <v>4</v>
      </c>
    </row>
    <row r="444" spans="1:12">
      <c r="A444">
        <v>365</v>
      </c>
      <c r="B444" s="4" t="s">
        <v>3420</v>
      </c>
      <c r="C444" t="s">
        <v>392</v>
      </c>
      <c r="D444">
        <v>110</v>
      </c>
      <c r="E444">
        <v>80</v>
      </c>
      <c r="F444">
        <v>90</v>
      </c>
      <c r="G444">
        <v>95</v>
      </c>
      <c r="H444">
        <v>90</v>
      </c>
      <c r="I444">
        <v>65</v>
      </c>
      <c r="J444">
        <v>530</v>
      </c>
      <c r="K444">
        <v>88.33</v>
      </c>
      <c r="L444">
        <f t="shared" si="6"/>
        <v>4</v>
      </c>
    </row>
    <row r="445" spans="1:12">
      <c r="A445">
        <v>366</v>
      </c>
      <c r="B445" s="4" t="s">
        <v>3421</v>
      </c>
      <c r="C445" t="s">
        <v>393</v>
      </c>
      <c r="D445">
        <v>35</v>
      </c>
      <c r="E445">
        <v>64</v>
      </c>
      <c r="F445">
        <v>85</v>
      </c>
      <c r="G445">
        <v>74</v>
      </c>
      <c r="H445">
        <v>55</v>
      </c>
      <c r="I445">
        <v>32</v>
      </c>
      <c r="J445">
        <v>345</v>
      </c>
      <c r="K445">
        <v>57.5</v>
      </c>
      <c r="L445">
        <f t="shared" si="6"/>
        <v>4</v>
      </c>
    </row>
    <row r="446" spans="1:12">
      <c r="A446">
        <v>367</v>
      </c>
      <c r="B446" s="4" t="s">
        <v>3422</v>
      </c>
      <c r="C446" t="s">
        <v>394</v>
      </c>
      <c r="D446">
        <v>55</v>
      </c>
      <c r="E446">
        <v>104</v>
      </c>
      <c r="F446">
        <v>105</v>
      </c>
      <c r="G446">
        <v>94</v>
      </c>
      <c r="H446">
        <v>75</v>
      </c>
      <c r="I446">
        <v>52</v>
      </c>
      <c r="J446">
        <v>485</v>
      </c>
      <c r="K446">
        <v>80.83</v>
      </c>
      <c r="L446">
        <f t="shared" si="6"/>
        <v>4</v>
      </c>
    </row>
    <row r="447" spans="1:12">
      <c r="A447">
        <v>368</v>
      </c>
      <c r="B447" s="4" t="s">
        <v>3423</v>
      </c>
      <c r="C447" t="s">
        <v>395</v>
      </c>
      <c r="D447">
        <v>55</v>
      </c>
      <c r="E447">
        <v>84</v>
      </c>
      <c r="F447">
        <v>105</v>
      </c>
      <c r="G447">
        <v>114</v>
      </c>
      <c r="H447">
        <v>75</v>
      </c>
      <c r="I447">
        <v>52</v>
      </c>
      <c r="J447">
        <v>485</v>
      </c>
      <c r="K447">
        <v>80.83</v>
      </c>
      <c r="L447">
        <f t="shared" si="6"/>
        <v>4</v>
      </c>
    </row>
    <row r="448" spans="1:12">
      <c r="A448">
        <v>369</v>
      </c>
      <c r="B448" s="4" t="s">
        <v>3424</v>
      </c>
      <c r="C448" t="s">
        <v>396</v>
      </c>
      <c r="D448">
        <v>100</v>
      </c>
      <c r="E448">
        <v>90</v>
      </c>
      <c r="F448">
        <v>130</v>
      </c>
      <c r="G448">
        <v>45</v>
      </c>
      <c r="H448">
        <v>65</v>
      </c>
      <c r="I448">
        <v>55</v>
      </c>
      <c r="J448">
        <v>485</v>
      </c>
      <c r="K448">
        <v>80.83</v>
      </c>
      <c r="L448">
        <f t="shared" si="6"/>
        <v>4</v>
      </c>
    </row>
    <row r="449" spans="1:12">
      <c r="A449">
        <v>370</v>
      </c>
      <c r="B449" s="4" t="s">
        <v>3425</v>
      </c>
      <c r="C449" t="s">
        <v>397</v>
      </c>
      <c r="D449">
        <v>43</v>
      </c>
      <c r="E449">
        <v>30</v>
      </c>
      <c r="F449">
        <v>55</v>
      </c>
      <c r="G449">
        <v>40</v>
      </c>
      <c r="H449">
        <v>65</v>
      </c>
      <c r="I449">
        <v>97</v>
      </c>
      <c r="J449">
        <v>330</v>
      </c>
      <c r="K449">
        <v>55</v>
      </c>
      <c r="L449">
        <f t="shared" si="6"/>
        <v>4</v>
      </c>
    </row>
    <row r="450" spans="1:12">
      <c r="A450">
        <v>371</v>
      </c>
      <c r="B450" s="4" t="s">
        <v>3426</v>
      </c>
      <c r="C450" t="s">
        <v>398</v>
      </c>
      <c r="D450">
        <v>45</v>
      </c>
      <c r="E450">
        <v>75</v>
      </c>
      <c r="F450">
        <v>60</v>
      </c>
      <c r="G450">
        <v>40</v>
      </c>
      <c r="H450">
        <v>30</v>
      </c>
      <c r="I450">
        <v>50</v>
      </c>
      <c r="J450">
        <v>300</v>
      </c>
      <c r="K450">
        <v>50</v>
      </c>
      <c r="L450">
        <f t="shared" si="6"/>
        <v>4</v>
      </c>
    </row>
    <row r="451" spans="1:12">
      <c r="A451">
        <v>372</v>
      </c>
      <c r="B451" s="4" t="s">
        <v>3427</v>
      </c>
      <c r="C451" t="s">
        <v>399</v>
      </c>
      <c r="D451">
        <v>65</v>
      </c>
      <c r="E451">
        <v>95</v>
      </c>
      <c r="F451">
        <v>100</v>
      </c>
      <c r="G451">
        <v>60</v>
      </c>
      <c r="H451">
        <v>50</v>
      </c>
      <c r="I451">
        <v>50</v>
      </c>
      <c r="J451">
        <v>420</v>
      </c>
      <c r="K451">
        <v>70</v>
      </c>
      <c r="L451">
        <f t="shared" ref="L451:L514" si="7">LEN(B451)</f>
        <v>4</v>
      </c>
    </row>
    <row r="452" spans="1:12">
      <c r="A452">
        <v>373</v>
      </c>
      <c r="B452" s="4" t="s">
        <v>3428</v>
      </c>
      <c r="C452" t="s">
        <v>400</v>
      </c>
      <c r="D452">
        <v>95</v>
      </c>
      <c r="E452">
        <v>135</v>
      </c>
      <c r="F452">
        <v>80</v>
      </c>
      <c r="G452">
        <v>110</v>
      </c>
      <c r="H452">
        <v>80</v>
      </c>
      <c r="I452">
        <v>100</v>
      </c>
      <c r="J452">
        <v>600</v>
      </c>
      <c r="K452">
        <v>100</v>
      </c>
      <c r="L452">
        <f t="shared" si="7"/>
        <v>4</v>
      </c>
    </row>
    <row r="453" spans="1:12">
      <c r="A453">
        <v>373</v>
      </c>
      <c r="B453" s="131" t="s">
        <v>2932</v>
      </c>
      <c r="C453" t="s">
        <v>2933</v>
      </c>
      <c r="D453">
        <v>95</v>
      </c>
      <c r="E453">
        <v>145</v>
      </c>
      <c r="F453">
        <v>130</v>
      </c>
      <c r="G453">
        <v>120</v>
      </c>
      <c r="H453">
        <v>90</v>
      </c>
      <c r="I453">
        <v>120</v>
      </c>
      <c r="J453">
        <v>700</v>
      </c>
      <c r="K453">
        <v>116.67</v>
      </c>
      <c r="L453">
        <f t="shared" si="7"/>
        <v>4</v>
      </c>
    </row>
    <row r="454" spans="1:12">
      <c r="A454">
        <v>374</v>
      </c>
      <c r="B454" s="4" t="s">
        <v>3429</v>
      </c>
      <c r="C454" t="s">
        <v>401</v>
      </c>
      <c r="D454">
        <v>40</v>
      </c>
      <c r="E454">
        <v>55</v>
      </c>
      <c r="F454">
        <v>80</v>
      </c>
      <c r="G454">
        <v>35</v>
      </c>
      <c r="H454">
        <v>60</v>
      </c>
      <c r="I454">
        <v>30</v>
      </c>
      <c r="J454">
        <v>300</v>
      </c>
      <c r="K454">
        <v>50</v>
      </c>
      <c r="L454">
        <f t="shared" si="7"/>
        <v>4</v>
      </c>
    </row>
    <row r="455" spans="1:12">
      <c r="A455">
        <v>375</v>
      </c>
      <c r="B455" s="4" t="s">
        <v>3430</v>
      </c>
      <c r="C455" t="s">
        <v>402</v>
      </c>
      <c r="D455">
        <v>60</v>
      </c>
      <c r="E455">
        <v>75</v>
      </c>
      <c r="F455">
        <v>100</v>
      </c>
      <c r="G455">
        <v>55</v>
      </c>
      <c r="H455">
        <v>80</v>
      </c>
      <c r="I455">
        <v>50</v>
      </c>
      <c r="J455">
        <v>420</v>
      </c>
      <c r="K455">
        <v>70</v>
      </c>
      <c r="L455">
        <f t="shared" si="7"/>
        <v>4</v>
      </c>
    </row>
    <row r="456" spans="1:12">
      <c r="A456">
        <v>376</v>
      </c>
      <c r="B456" s="4" t="s">
        <v>3431</v>
      </c>
      <c r="C456" t="s">
        <v>403</v>
      </c>
      <c r="D456">
        <v>80</v>
      </c>
      <c r="E456">
        <v>135</v>
      </c>
      <c r="F456">
        <v>130</v>
      </c>
      <c r="G456">
        <v>95</v>
      </c>
      <c r="H456">
        <v>90</v>
      </c>
      <c r="I456">
        <v>70</v>
      </c>
      <c r="J456">
        <v>600</v>
      </c>
      <c r="K456">
        <v>100</v>
      </c>
      <c r="L456">
        <f t="shared" si="7"/>
        <v>4</v>
      </c>
    </row>
    <row r="457" spans="1:12">
      <c r="A457">
        <v>376</v>
      </c>
      <c r="B457" s="131" t="s">
        <v>2934</v>
      </c>
      <c r="C457" t="s">
        <v>2935</v>
      </c>
      <c r="D457">
        <v>80</v>
      </c>
      <c r="E457">
        <v>145</v>
      </c>
      <c r="F457">
        <v>150</v>
      </c>
      <c r="G457">
        <v>105</v>
      </c>
      <c r="H457">
        <v>110</v>
      </c>
      <c r="I457">
        <v>110</v>
      </c>
      <c r="J457">
        <v>700</v>
      </c>
      <c r="K457">
        <v>116.67</v>
      </c>
      <c r="L457">
        <f t="shared" si="7"/>
        <v>4</v>
      </c>
    </row>
    <row r="458" spans="1:12">
      <c r="A458">
        <v>377</v>
      </c>
      <c r="B458" s="4" t="s">
        <v>3432</v>
      </c>
      <c r="C458" t="s">
        <v>404</v>
      </c>
      <c r="D458">
        <v>80</v>
      </c>
      <c r="E458">
        <v>100</v>
      </c>
      <c r="F458">
        <v>200</v>
      </c>
      <c r="G458">
        <v>50</v>
      </c>
      <c r="H458">
        <v>100</v>
      </c>
      <c r="I458">
        <v>50</v>
      </c>
      <c r="J458">
        <v>580</v>
      </c>
      <c r="K458">
        <v>96.67</v>
      </c>
      <c r="L458">
        <f t="shared" si="7"/>
        <v>4</v>
      </c>
    </row>
    <row r="459" spans="1:12">
      <c r="A459">
        <v>378</v>
      </c>
      <c r="B459" s="4" t="s">
        <v>3433</v>
      </c>
      <c r="C459" t="s">
        <v>405</v>
      </c>
      <c r="D459">
        <v>80</v>
      </c>
      <c r="E459">
        <v>50</v>
      </c>
      <c r="F459">
        <v>100</v>
      </c>
      <c r="G459">
        <v>100</v>
      </c>
      <c r="H459">
        <v>200</v>
      </c>
      <c r="I459">
        <v>50</v>
      </c>
      <c r="J459">
        <v>580</v>
      </c>
      <c r="K459">
        <v>96.67</v>
      </c>
      <c r="L459">
        <f t="shared" si="7"/>
        <v>4</v>
      </c>
    </row>
    <row r="460" spans="1:12">
      <c r="A460">
        <v>379</v>
      </c>
      <c r="B460" s="4" t="s">
        <v>3434</v>
      </c>
      <c r="C460" t="s">
        <v>406</v>
      </c>
      <c r="D460">
        <v>80</v>
      </c>
      <c r="E460">
        <v>75</v>
      </c>
      <c r="F460">
        <v>150</v>
      </c>
      <c r="G460">
        <v>75</v>
      </c>
      <c r="H460">
        <v>150</v>
      </c>
      <c r="I460">
        <v>50</v>
      </c>
      <c r="J460">
        <v>580</v>
      </c>
      <c r="K460">
        <v>96.67</v>
      </c>
      <c r="L460">
        <f t="shared" si="7"/>
        <v>4</v>
      </c>
    </row>
    <row r="461" spans="1:12">
      <c r="A461">
        <v>380</v>
      </c>
      <c r="B461" s="4" t="s">
        <v>3435</v>
      </c>
      <c r="C461" t="s">
        <v>407</v>
      </c>
      <c r="D461">
        <v>80</v>
      </c>
      <c r="E461">
        <v>80</v>
      </c>
      <c r="F461">
        <v>90</v>
      </c>
      <c r="G461">
        <v>110</v>
      </c>
      <c r="H461">
        <v>130</v>
      </c>
      <c r="I461">
        <v>110</v>
      </c>
      <c r="J461">
        <v>600</v>
      </c>
      <c r="K461">
        <v>100</v>
      </c>
      <c r="L461">
        <f t="shared" si="7"/>
        <v>4</v>
      </c>
    </row>
    <row r="462" spans="1:12">
      <c r="A462">
        <v>380</v>
      </c>
      <c r="B462" s="131" t="s">
        <v>2936</v>
      </c>
      <c r="C462" t="s">
        <v>2937</v>
      </c>
      <c r="D462">
        <v>80</v>
      </c>
      <c r="E462">
        <v>100</v>
      </c>
      <c r="F462">
        <v>120</v>
      </c>
      <c r="G462">
        <v>140</v>
      </c>
      <c r="H462">
        <v>150</v>
      </c>
      <c r="I462">
        <v>110</v>
      </c>
      <c r="J462">
        <v>700</v>
      </c>
      <c r="K462">
        <v>116.67</v>
      </c>
      <c r="L462">
        <f t="shared" si="7"/>
        <v>4</v>
      </c>
    </row>
    <row r="463" spans="1:12">
      <c r="A463">
        <v>381</v>
      </c>
      <c r="B463" s="4" t="s">
        <v>3436</v>
      </c>
      <c r="C463" t="s">
        <v>408</v>
      </c>
      <c r="D463">
        <v>80</v>
      </c>
      <c r="E463">
        <v>90</v>
      </c>
      <c r="F463">
        <v>80</v>
      </c>
      <c r="G463">
        <v>130</v>
      </c>
      <c r="H463">
        <v>110</v>
      </c>
      <c r="I463">
        <v>110</v>
      </c>
      <c r="J463">
        <v>600</v>
      </c>
      <c r="K463">
        <v>100</v>
      </c>
      <c r="L463">
        <f t="shared" si="7"/>
        <v>4</v>
      </c>
    </row>
    <row r="464" spans="1:12">
      <c r="A464">
        <v>381</v>
      </c>
      <c r="B464" s="131" t="s">
        <v>2938</v>
      </c>
      <c r="C464" t="s">
        <v>2939</v>
      </c>
      <c r="D464">
        <v>80</v>
      </c>
      <c r="E464">
        <v>130</v>
      </c>
      <c r="F464">
        <v>100</v>
      </c>
      <c r="G464">
        <v>160</v>
      </c>
      <c r="H464">
        <v>120</v>
      </c>
      <c r="I464">
        <v>110</v>
      </c>
      <c r="J464">
        <v>700</v>
      </c>
      <c r="K464">
        <v>116.67</v>
      </c>
      <c r="L464">
        <f t="shared" si="7"/>
        <v>4</v>
      </c>
    </row>
    <row r="465" spans="1:12">
      <c r="A465">
        <v>382</v>
      </c>
      <c r="B465" s="4" t="s">
        <v>3437</v>
      </c>
      <c r="C465" t="s">
        <v>409</v>
      </c>
      <c r="D465">
        <v>100</v>
      </c>
      <c r="E465">
        <v>100</v>
      </c>
      <c r="F465">
        <v>90</v>
      </c>
      <c r="G465">
        <v>150</v>
      </c>
      <c r="H465">
        <v>140</v>
      </c>
      <c r="I465">
        <v>90</v>
      </c>
      <c r="J465">
        <v>670</v>
      </c>
      <c r="K465">
        <v>111.67</v>
      </c>
      <c r="L465">
        <f t="shared" si="7"/>
        <v>4</v>
      </c>
    </row>
    <row r="466" spans="1:12">
      <c r="A466">
        <v>382</v>
      </c>
      <c r="B466" s="131" t="s">
        <v>2940</v>
      </c>
      <c r="C466" t="s">
        <v>2941</v>
      </c>
      <c r="D466">
        <v>100</v>
      </c>
      <c r="E466">
        <v>150</v>
      </c>
      <c r="F466">
        <v>90</v>
      </c>
      <c r="G466">
        <v>180</v>
      </c>
      <c r="H466">
        <v>160</v>
      </c>
      <c r="I466">
        <v>90</v>
      </c>
      <c r="J466">
        <v>770</v>
      </c>
      <c r="K466">
        <v>128.33000000000001</v>
      </c>
      <c r="L466">
        <f t="shared" si="7"/>
        <v>4</v>
      </c>
    </row>
    <row r="467" spans="1:12">
      <c r="A467">
        <v>383</v>
      </c>
      <c r="B467" s="4" t="s">
        <v>3438</v>
      </c>
      <c r="C467" t="s">
        <v>411</v>
      </c>
      <c r="D467">
        <v>100</v>
      </c>
      <c r="E467">
        <v>150</v>
      </c>
      <c r="F467">
        <v>140</v>
      </c>
      <c r="G467">
        <v>100</v>
      </c>
      <c r="H467">
        <v>90</v>
      </c>
      <c r="I467">
        <v>90</v>
      </c>
      <c r="J467">
        <v>670</v>
      </c>
      <c r="K467">
        <v>111.67</v>
      </c>
      <c r="L467">
        <f t="shared" si="7"/>
        <v>4</v>
      </c>
    </row>
    <row r="468" spans="1:12">
      <c r="A468">
        <v>383</v>
      </c>
      <c r="B468" s="131" t="s">
        <v>2942</v>
      </c>
      <c r="C468" t="s">
        <v>2943</v>
      </c>
      <c r="D468">
        <v>100</v>
      </c>
      <c r="E468">
        <v>180</v>
      </c>
      <c r="F468">
        <v>160</v>
      </c>
      <c r="G468">
        <v>150</v>
      </c>
      <c r="H468">
        <v>90</v>
      </c>
      <c r="I468">
        <v>90</v>
      </c>
      <c r="J468">
        <v>770</v>
      </c>
      <c r="K468">
        <v>128.33000000000001</v>
      </c>
      <c r="L468">
        <f t="shared" si="7"/>
        <v>4</v>
      </c>
    </row>
    <row r="469" spans="1:12">
      <c r="A469">
        <v>384</v>
      </c>
      <c r="B469" s="4" t="s">
        <v>3439</v>
      </c>
      <c r="C469" t="s">
        <v>413</v>
      </c>
      <c r="D469">
        <v>105</v>
      </c>
      <c r="E469">
        <v>150</v>
      </c>
      <c r="F469">
        <v>90</v>
      </c>
      <c r="G469">
        <v>150</v>
      </c>
      <c r="H469">
        <v>90</v>
      </c>
      <c r="I469">
        <v>95</v>
      </c>
      <c r="J469">
        <v>680</v>
      </c>
      <c r="K469">
        <v>113.33</v>
      </c>
      <c r="L469">
        <f t="shared" si="7"/>
        <v>4</v>
      </c>
    </row>
    <row r="470" spans="1:12">
      <c r="A470">
        <v>384</v>
      </c>
      <c r="B470" s="131" t="s">
        <v>2944</v>
      </c>
      <c r="C470" t="s">
        <v>2945</v>
      </c>
      <c r="D470">
        <v>105</v>
      </c>
      <c r="E470">
        <v>180</v>
      </c>
      <c r="F470">
        <v>100</v>
      </c>
      <c r="G470">
        <v>180</v>
      </c>
      <c r="H470">
        <v>100</v>
      </c>
      <c r="I470">
        <v>115</v>
      </c>
      <c r="J470">
        <v>780</v>
      </c>
      <c r="K470">
        <v>130</v>
      </c>
      <c r="L470">
        <f t="shared" si="7"/>
        <v>4</v>
      </c>
    </row>
    <row r="471" spans="1:12">
      <c r="A471">
        <v>385</v>
      </c>
      <c r="B471" s="4" t="s">
        <v>3440</v>
      </c>
      <c r="C471" t="s">
        <v>414</v>
      </c>
      <c r="D471">
        <v>100</v>
      </c>
      <c r="E471">
        <v>100</v>
      </c>
      <c r="F471">
        <v>100</v>
      </c>
      <c r="G471">
        <v>100</v>
      </c>
      <c r="H471">
        <v>100</v>
      </c>
      <c r="I471">
        <v>100</v>
      </c>
      <c r="J471">
        <v>600</v>
      </c>
      <c r="K471">
        <v>100</v>
      </c>
      <c r="L471">
        <f t="shared" si="7"/>
        <v>4</v>
      </c>
    </row>
    <row r="472" spans="1:12">
      <c r="A472">
        <v>386</v>
      </c>
      <c r="B472" s="4" t="s">
        <v>3441</v>
      </c>
      <c r="C472" t="s">
        <v>2946</v>
      </c>
      <c r="D472">
        <v>50</v>
      </c>
      <c r="E472">
        <v>150</v>
      </c>
      <c r="F472">
        <v>50</v>
      </c>
      <c r="G472">
        <v>150</v>
      </c>
      <c r="H472">
        <v>50</v>
      </c>
      <c r="I472">
        <v>150</v>
      </c>
      <c r="J472">
        <v>600</v>
      </c>
      <c r="K472">
        <v>100</v>
      </c>
      <c r="L472">
        <f t="shared" si="7"/>
        <v>4</v>
      </c>
    </row>
    <row r="473" spans="1:12">
      <c r="A473">
        <v>386</v>
      </c>
      <c r="B473" s="131" t="s">
        <v>2947</v>
      </c>
      <c r="C473" t="s">
        <v>2948</v>
      </c>
      <c r="D473">
        <v>50</v>
      </c>
      <c r="E473">
        <v>180</v>
      </c>
      <c r="F473">
        <v>20</v>
      </c>
      <c r="G473">
        <v>180</v>
      </c>
      <c r="H473">
        <v>20</v>
      </c>
      <c r="I473">
        <v>150</v>
      </c>
      <c r="J473">
        <v>600</v>
      </c>
      <c r="K473">
        <v>100</v>
      </c>
      <c r="L473">
        <f t="shared" si="7"/>
        <v>4</v>
      </c>
    </row>
    <row r="474" spans="1:12">
      <c r="A474">
        <v>386</v>
      </c>
      <c r="B474" s="131" t="s">
        <v>2949</v>
      </c>
      <c r="C474" t="s">
        <v>2950</v>
      </c>
      <c r="D474">
        <v>50</v>
      </c>
      <c r="E474">
        <v>70</v>
      </c>
      <c r="F474">
        <v>160</v>
      </c>
      <c r="G474">
        <v>70</v>
      </c>
      <c r="H474">
        <v>160</v>
      </c>
      <c r="I474">
        <v>90</v>
      </c>
      <c r="J474">
        <v>600</v>
      </c>
      <c r="K474">
        <v>100</v>
      </c>
      <c r="L474">
        <f t="shared" si="7"/>
        <v>4</v>
      </c>
    </row>
    <row r="475" spans="1:12">
      <c r="A475">
        <v>386</v>
      </c>
      <c r="B475" s="131" t="s">
        <v>2951</v>
      </c>
      <c r="C475" t="s">
        <v>2952</v>
      </c>
      <c r="D475">
        <v>50</v>
      </c>
      <c r="E475">
        <v>95</v>
      </c>
      <c r="F475">
        <v>90</v>
      </c>
      <c r="G475">
        <v>95</v>
      </c>
      <c r="H475">
        <v>90</v>
      </c>
      <c r="I475">
        <v>180</v>
      </c>
      <c r="J475">
        <v>600</v>
      </c>
      <c r="K475">
        <v>100</v>
      </c>
      <c r="L475">
        <f t="shared" si="7"/>
        <v>4</v>
      </c>
    </row>
    <row r="476" spans="1:12">
      <c r="A476">
        <v>387</v>
      </c>
      <c r="B476" s="4" t="s">
        <v>3442</v>
      </c>
      <c r="C476" t="s">
        <v>419</v>
      </c>
      <c r="D476">
        <v>55</v>
      </c>
      <c r="E476">
        <v>68</v>
      </c>
      <c r="F476">
        <v>64</v>
      </c>
      <c r="G476">
        <v>45</v>
      </c>
      <c r="H476">
        <v>55</v>
      </c>
      <c r="I476">
        <v>31</v>
      </c>
      <c r="J476">
        <v>318</v>
      </c>
      <c r="K476">
        <v>53</v>
      </c>
      <c r="L476">
        <f t="shared" si="7"/>
        <v>4</v>
      </c>
    </row>
    <row r="477" spans="1:12">
      <c r="A477">
        <v>388</v>
      </c>
      <c r="B477" s="4" t="s">
        <v>3443</v>
      </c>
      <c r="C477" t="s">
        <v>420</v>
      </c>
      <c r="D477">
        <v>75</v>
      </c>
      <c r="E477">
        <v>89</v>
      </c>
      <c r="F477">
        <v>85</v>
      </c>
      <c r="G477">
        <v>55</v>
      </c>
      <c r="H477">
        <v>65</v>
      </c>
      <c r="I477">
        <v>36</v>
      </c>
      <c r="J477">
        <v>405</v>
      </c>
      <c r="K477">
        <v>67.5</v>
      </c>
      <c r="L477">
        <f t="shared" si="7"/>
        <v>4</v>
      </c>
    </row>
    <row r="478" spans="1:12">
      <c r="A478">
        <v>389</v>
      </c>
      <c r="B478" s="4" t="s">
        <v>3444</v>
      </c>
      <c r="C478" t="s">
        <v>421</v>
      </c>
      <c r="D478">
        <v>95</v>
      </c>
      <c r="E478">
        <v>109</v>
      </c>
      <c r="F478">
        <v>105</v>
      </c>
      <c r="G478">
        <v>75</v>
      </c>
      <c r="H478">
        <v>85</v>
      </c>
      <c r="I478">
        <v>56</v>
      </c>
      <c r="J478">
        <v>525</v>
      </c>
      <c r="K478">
        <v>87.5</v>
      </c>
      <c r="L478">
        <f t="shared" si="7"/>
        <v>4</v>
      </c>
    </row>
    <row r="479" spans="1:12">
      <c r="A479">
        <v>390</v>
      </c>
      <c r="B479" s="4" t="s">
        <v>3445</v>
      </c>
      <c r="C479" t="s">
        <v>422</v>
      </c>
      <c r="D479">
        <v>44</v>
      </c>
      <c r="E479">
        <v>58</v>
      </c>
      <c r="F479">
        <v>44</v>
      </c>
      <c r="G479">
        <v>58</v>
      </c>
      <c r="H479">
        <v>44</v>
      </c>
      <c r="I479">
        <v>61</v>
      </c>
      <c r="J479">
        <v>309</v>
      </c>
      <c r="K479">
        <v>51.5</v>
      </c>
      <c r="L479">
        <f t="shared" si="7"/>
        <v>4</v>
      </c>
    </row>
    <row r="480" spans="1:12">
      <c r="A480">
        <v>391</v>
      </c>
      <c r="B480" s="4" t="s">
        <v>3446</v>
      </c>
      <c r="C480" t="s">
        <v>423</v>
      </c>
      <c r="D480">
        <v>64</v>
      </c>
      <c r="E480">
        <v>78</v>
      </c>
      <c r="F480">
        <v>52</v>
      </c>
      <c r="G480">
        <v>78</v>
      </c>
      <c r="H480">
        <v>52</v>
      </c>
      <c r="I480">
        <v>81</v>
      </c>
      <c r="J480">
        <v>405</v>
      </c>
      <c r="K480">
        <v>67.5</v>
      </c>
      <c r="L480">
        <f t="shared" si="7"/>
        <v>4</v>
      </c>
    </row>
    <row r="481" spans="1:12">
      <c r="A481">
        <v>392</v>
      </c>
      <c r="B481" s="4" t="s">
        <v>3447</v>
      </c>
      <c r="C481" t="s">
        <v>424</v>
      </c>
      <c r="D481">
        <v>76</v>
      </c>
      <c r="E481">
        <v>104</v>
      </c>
      <c r="F481">
        <v>71</v>
      </c>
      <c r="G481">
        <v>104</v>
      </c>
      <c r="H481">
        <v>71</v>
      </c>
      <c r="I481">
        <v>108</v>
      </c>
      <c r="J481">
        <v>534</v>
      </c>
      <c r="K481">
        <v>89</v>
      </c>
      <c r="L481">
        <f t="shared" si="7"/>
        <v>4</v>
      </c>
    </row>
    <row r="482" spans="1:12">
      <c r="A482">
        <v>393</v>
      </c>
      <c r="B482" s="4" t="s">
        <v>3448</v>
      </c>
      <c r="C482" t="s">
        <v>425</v>
      </c>
      <c r="D482">
        <v>53</v>
      </c>
      <c r="E482">
        <v>51</v>
      </c>
      <c r="F482">
        <v>53</v>
      </c>
      <c r="G482">
        <v>61</v>
      </c>
      <c r="H482">
        <v>56</v>
      </c>
      <c r="I482">
        <v>40</v>
      </c>
      <c r="J482">
        <v>314</v>
      </c>
      <c r="K482">
        <v>52.33</v>
      </c>
      <c r="L482">
        <f t="shared" si="7"/>
        <v>4</v>
      </c>
    </row>
    <row r="483" spans="1:12">
      <c r="A483">
        <v>394</v>
      </c>
      <c r="B483" s="4" t="s">
        <v>3449</v>
      </c>
      <c r="C483" t="s">
        <v>426</v>
      </c>
      <c r="D483">
        <v>64</v>
      </c>
      <c r="E483">
        <v>66</v>
      </c>
      <c r="F483">
        <v>68</v>
      </c>
      <c r="G483">
        <v>81</v>
      </c>
      <c r="H483">
        <v>76</v>
      </c>
      <c r="I483">
        <v>50</v>
      </c>
      <c r="J483">
        <v>405</v>
      </c>
      <c r="K483">
        <v>67.5</v>
      </c>
      <c r="L483">
        <f t="shared" si="7"/>
        <v>4</v>
      </c>
    </row>
    <row r="484" spans="1:12">
      <c r="A484">
        <v>395</v>
      </c>
      <c r="B484" s="4" t="s">
        <v>3450</v>
      </c>
      <c r="C484" t="s">
        <v>427</v>
      </c>
      <c r="D484">
        <v>84</v>
      </c>
      <c r="E484">
        <v>86</v>
      </c>
      <c r="F484">
        <v>88</v>
      </c>
      <c r="G484">
        <v>111</v>
      </c>
      <c r="H484">
        <v>101</v>
      </c>
      <c r="I484">
        <v>60</v>
      </c>
      <c r="J484">
        <v>530</v>
      </c>
      <c r="K484">
        <v>88.33</v>
      </c>
      <c r="L484">
        <f t="shared" si="7"/>
        <v>4</v>
      </c>
    </row>
    <row r="485" spans="1:12">
      <c r="A485">
        <v>396</v>
      </c>
      <c r="B485" s="4" t="s">
        <v>3451</v>
      </c>
      <c r="C485" t="s">
        <v>428</v>
      </c>
      <c r="D485">
        <v>40</v>
      </c>
      <c r="E485">
        <v>55</v>
      </c>
      <c r="F485">
        <v>30</v>
      </c>
      <c r="G485">
        <v>30</v>
      </c>
      <c r="H485">
        <v>30</v>
      </c>
      <c r="I485">
        <v>60</v>
      </c>
      <c r="J485">
        <v>245</v>
      </c>
      <c r="K485">
        <v>40.83</v>
      </c>
      <c r="L485">
        <f t="shared" si="7"/>
        <v>4</v>
      </c>
    </row>
    <row r="486" spans="1:12">
      <c r="A486">
        <v>397</v>
      </c>
      <c r="B486" s="4" t="s">
        <v>3452</v>
      </c>
      <c r="C486" t="s">
        <v>429</v>
      </c>
      <c r="D486">
        <v>55</v>
      </c>
      <c r="E486">
        <v>75</v>
      </c>
      <c r="F486">
        <v>50</v>
      </c>
      <c r="G486">
        <v>40</v>
      </c>
      <c r="H486">
        <v>40</v>
      </c>
      <c r="I486">
        <v>80</v>
      </c>
      <c r="J486">
        <v>340</v>
      </c>
      <c r="K486">
        <v>56.67</v>
      </c>
      <c r="L486">
        <f t="shared" si="7"/>
        <v>4</v>
      </c>
    </row>
    <row r="487" spans="1:12">
      <c r="A487">
        <v>398</v>
      </c>
      <c r="B487" s="4" t="s">
        <v>3453</v>
      </c>
      <c r="C487" t="s">
        <v>430</v>
      </c>
      <c r="D487">
        <v>85</v>
      </c>
      <c r="E487">
        <v>120</v>
      </c>
      <c r="F487">
        <v>70</v>
      </c>
      <c r="G487">
        <v>50</v>
      </c>
      <c r="H487">
        <v>60</v>
      </c>
      <c r="I487">
        <v>100</v>
      </c>
      <c r="J487">
        <v>485</v>
      </c>
      <c r="K487">
        <v>80.83</v>
      </c>
      <c r="L487">
        <f t="shared" si="7"/>
        <v>4</v>
      </c>
    </row>
    <row r="488" spans="1:12">
      <c r="A488">
        <v>399</v>
      </c>
      <c r="B488" s="4" t="s">
        <v>3454</v>
      </c>
      <c r="C488" t="s">
        <v>431</v>
      </c>
      <c r="D488">
        <v>59</v>
      </c>
      <c r="E488">
        <v>45</v>
      </c>
      <c r="F488">
        <v>40</v>
      </c>
      <c r="G488">
        <v>35</v>
      </c>
      <c r="H488">
        <v>40</v>
      </c>
      <c r="I488">
        <v>31</v>
      </c>
      <c r="J488">
        <v>250</v>
      </c>
      <c r="K488">
        <v>41.67</v>
      </c>
      <c r="L488">
        <f t="shared" si="7"/>
        <v>4</v>
      </c>
    </row>
    <row r="489" spans="1:12">
      <c r="A489">
        <v>400</v>
      </c>
      <c r="B489" s="4" t="s">
        <v>3455</v>
      </c>
      <c r="C489" t="s">
        <v>432</v>
      </c>
      <c r="D489">
        <v>79</v>
      </c>
      <c r="E489">
        <v>85</v>
      </c>
      <c r="F489">
        <v>60</v>
      </c>
      <c r="G489">
        <v>55</v>
      </c>
      <c r="H489">
        <v>60</v>
      </c>
      <c r="I489">
        <v>71</v>
      </c>
      <c r="J489">
        <v>410</v>
      </c>
      <c r="K489">
        <v>68.33</v>
      </c>
      <c r="L489">
        <f t="shared" si="7"/>
        <v>4</v>
      </c>
    </row>
    <row r="490" spans="1:12">
      <c r="A490">
        <v>401</v>
      </c>
      <c r="B490" s="4" t="s">
        <v>3456</v>
      </c>
      <c r="C490" t="s">
        <v>433</v>
      </c>
      <c r="D490">
        <v>37</v>
      </c>
      <c r="E490">
        <v>25</v>
      </c>
      <c r="F490">
        <v>41</v>
      </c>
      <c r="G490">
        <v>25</v>
      </c>
      <c r="H490">
        <v>41</v>
      </c>
      <c r="I490">
        <v>25</v>
      </c>
      <c r="J490">
        <v>194</v>
      </c>
      <c r="K490">
        <v>32.33</v>
      </c>
      <c r="L490">
        <f t="shared" si="7"/>
        <v>4</v>
      </c>
    </row>
    <row r="491" spans="1:12">
      <c r="A491">
        <v>402</v>
      </c>
      <c r="B491" s="4" t="s">
        <v>3457</v>
      </c>
      <c r="C491" t="s">
        <v>434</v>
      </c>
      <c r="D491">
        <v>77</v>
      </c>
      <c r="E491">
        <v>85</v>
      </c>
      <c r="F491">
        <v>51</v>
      </c>
      <c r="G491">
        <v>55</v>
      </c>
      <c r="H491">
        <v>51</v>
      </c>
      <c r="I491">
        <v>65</v>
      </c>
      <c r="J491">
        <v>384</v>
      </c>
      <c r="K491">
        <v>64</v>
      </c>
      <c r="L491">
        <f t="shared" si="7"/>
        <v>4</v>
      </c>
    </row>
    <row r="492" spans="1:12">
      <c r="A492">
        <v>403</v>
      </c>
      <c r="B492" s="4" t="s">
        <v>3458</v>
      </c>
      <c r="C492" t="s">
        <v>435</v>
      </c>
      <c r="D492">
        <v>45</v>
      </c>
      <c r="E492">
        <v>65</v>
      </c>
      <c r="F492">
        <v>34</v>
      </c>
      <c r="G492">
        <v>40</v>
      </c>
      <c r="H492">
        <v>34</v>
      </c>
      <c r="I492">
        <v>45</v>
      </c>
      <c r="J492">
        <v>263</v>
      </c>
      <c r="K492">
        <v>43.83</v>
      </c>
      <c r="L492">
        <f t="shared" si="7"/>
        <v>4</v>
      </c>
    </row>
    <row r="493" spans="1:12">
      <c r="A493">
        <v>404</v>
      </c>
      <c r="B493" s="4" t="s">
        <v>3459</v>
      </c>
      <c r="C493" t="s">
        <v>436</v>
      </c>
      <c r="D493">
        <v>60</v>
      </c>
      <c r="E493">
        <v>85</v>
      </c>
      <c r="F493">
        <v>49</v>
      </c>
      <c r="G493">
        <v>60</v>
      </c>
      <c r="H493">
        <v>49</v>
      </c>
      <c r="I493">
        <v>60</v>
      </c>
      <c r="J493">
        <v>363</v>
      </c>
      <c r="K493">
        <v>60.5</v>
      </c>
      <c r="L493">
        <f t="shared" si="7"/>
        <v>4</v>
      </c>
    </row>
    <row r="494" spans="1:12">
      <c r="A494">
        <v>405</v>
      </c>
      <c r="B494" s="4" t="s">
        <v>3460</v>
      </c>
      <c r="C494" t="s">
        <v>437</v>
      </c>
      <c r="D494">
        <v>80</v>
      </c>
      <c r="E494">
        <v>120</v>
      </c>
      <c r="F494">
        <v>79</v>
      </c>
      <c r="G494">
        <v>95</v>
      </c>
      <c r="H494">
        <v>79</v>
      </c>
      <c r="I494">
        <v>70</v>
      </c>
      <c r="J494">
        <v>523</v>
      </c>
      <c r="K494">
        <v>87.17</v>
      </c>
      <c r="L494">
        <f t="shared" si="7"/>
        <v>4</v>
      </c>
    </row>
    <row r="495" spans="1:12">
      <c r="A495">
        <v>406</v>
      </c>
      <c r="B495" s="4" t="s">
        <v>3461</v>
      </c>
      <c r="C495" t="s">
        <v>438</v>
      </c>
      <c r="D495">
        <v>40</v>
      </c>
      <c r="E495">
        <v>30</v>
      </c>
      <c r="F495">
        <v>35</v>
      </c>
      <c r="G495">
        <v>50</v>
      </c>
      <c r="H495">
        <v>70</v>
      </c>
      <c r="I495">
        <v>55</v>
      </c>
      <c r="J495">
        <v>280</v>
      </c>
      <c r="K495">
        <v>46.67</v>
      </c>
      <c r="L495">
        <f t="shared" si="7"/>
        <v>4</v>
      </c>
    </row>
    <row r="496" spans="1:12">
      <c r="A496">
        <v>407</v>
      </c>
      <c r="B496" s="4" t="s">
        <v>3462</v>
      </c>
      <c r="C496" t="s">
        <v>439</v>
      </c>
      <c r="D496">
        <v>60</v>
      </c>
      <c r="E496">
        <v>70</v>
      </c>
      <c r="F496">
        <v>65</v>
      </c>
      <c r="G496">
        <v>125</v>
      </c>
      <c r="H496">
        <v>105</v>
      </c>
      <c r="I496">
        <v>90</v>
      </c>
      <c r="J496">
        <v>515</v>
      </c>
      <c r="K496">
        <v>85.83</v>
      </c>
      <c r="L496">
        <f t="shared" si="7"/>
        <v>4</v>
      </c>
    </row>
    <row r="497" spans="1:12">
      <c r="A497">
        <v>408</v>
      </c>
      <c r="B497" s="4" t="s">
        <v>3463</v>
      </c>
      <c r="C497" t="s">
        <v>440</v>
      </c>
      <c r="D497">
        <v>67</v>
      </c>
      <c r="E497">
        <v>125</v>
      </c>
      <c r="F497">
        <v>40</v>
      </c>
      <c r="G497">
        <v>30</v>
      </c>
      <c r="H497">
        <v>30</v>
      </c>
      <c r="I497">
        <v>58</v>
      </c>
      <c r="J497">
        <v>350</v>
      </c>
      <c r="K497">
        <v>58.33</v>
      </c>
      <c r="L497">
        <f t="shared" si="7"/>
        <v>4</v>
      </c>
    </row>
    <row r="498" spans="1:12">
      <c r="A498">
        <v>409</v>
      </c>
      <c r="B498" s="4" t="s">
        <v>3464</v>
      </c>
      <c r="C498" t="s">
        <v>441</v>
      </c>
      <c r="D498">
        <v>97</v>
      </c>
      <c r="E498">
        <v>165</v>
      </c>
      <c r="F498">
        <v>60</v>
      </c>
      <c r="G498">
        <v>65</v>
      </c>
      <c r="H498">
        <v>50</v>
      </c>
      <c r="I498">
        <v>58</v>
      </c>
      <c r="J498">
        <v>495</v>
      </c>
      <c r="K498">
        <v>82.5</v>
      </c>
      <c r="L498">
        <f t="shared" si="7"/>
        <v>4</v>
      </c>
    </row>
    <row r="499" spans="1:12">
      <c r="A499">
        <v>410</v>
      </c>
      <c r="B499" s="4" t="s">
        <v>3465</v>
      </c>
      <c r="C499" t="s">
        <v>442</v>
      </c>
      <c r="D499">
        <v>30</v>
      </c>
      <c r="E499">
        <v>42</v>
      </c>
      <c r="F499">
        <v>118</v>
      </c>
      <c r="G499">
        <v>42</v>
      </c>
      <c r="H499">
        <v>88</v>
      </c>
      <c r="I499">
        <v>30</v>
      </c>
      <c r="J499">
        <v>350</v>
      </c>
      <c r="K499">
        <v>58.33</v>
      </c>
      <c r="L499">
        <f t="shared" si="7"/>
        <v>4</v>
      </c>
    </row>
    <row r="500" spans="1:12">
      <c r="A500">
        <v>411</v>
      </c>
      <c r="B500" s="4" t="s">
        <v>3466</v>
      </c>
      <c r="C500" t="s">
        <v>443</v>
      </c>
      <c r="D500">
        <v>60</v>
      </c>
      <c r="E500">
        <v>52</v>
      </c>
      <c r="F500">
        <v>168</v>
      </c>
      <c r="G500">
        <v>47</v>
      </c>
      <c r="H500">
        <v>138</v>
      </c>
      <c r="I500">
        <v>30</v>
      </c>
      <c r="J500">
        <v>495</v>
      </c>
      <c r="K500">
        <v>82.5</v>
      </c>
      <c r="L500">
        <f t="shared" si="7"/>
        <v>4</v>
      </c>
    </row>
    <row r="501" spans="1:12">
      <c r="A501">
        <v>412</v>
      </c>
      <c r="B501" s="4" t="s">
        <v>3467</v>
      </c>
      <c r="C501" t="s">
        <v>444</v>
      </c>
      <c r="D501">
        <v>40</v>
      </c>
      <c r="E501">
        <v>29</v>
      </c>
      <c r="F501">
        <v>45</v>
      </c>
      <c r="G501">
        <v>29</v>
      </c>
      <c r="H501">
        <v>45</v>
      </c>
      <c r="I501">
        <v>36</v>
      </c>
      <c r="J501">
        <v>224</v>
      </c>
      <c r="K501">
        <v>37.33</v>
      </c>
      <c r="L501">
        <f t="shared" si="7"/>
        <v>4</v>
      </c>
    </row>
    <row r="502" spans="1:12">
      <c r="A502">
        <v>413</v>
      </c>
      <c r="B502" s="4" t="s">
        <v>3468</v>
      </c>
      <c r="C502" t="s">
        <v>2953</v>
      </c>
      <c r="D502">
        <v>60</v>
      </c>
      <c r="E502">
        <v>59</v>
      </c>
      <c r="F502">
        <v>85</v>
      </c>
      <c r="G502">
        <v>79</v>
      </c>
      <c r="H502">
        <v>105</v>
      </c>
      <c r="I502">
        <v>36</v>
      </c>
      <c r="J502">
        <v>424</v>
      </c>
      <c r="K502">
        <v>70.67</v>
      </c>
      <c r="L502">
        <f t="shared" si="7"/>
        <v>4</v>
      </c>
    </row>
    <row r="503" spans="1:12">
      <c r="A503">
        <v>413</v>
      </c>
      <c r="B503" s="131" t="s">
        <v>2954</v>
      </c>
      <c r="C503" t="s">
        <v>2955</v>
      </c>
      <c r="D503">
        <v>60</v>
      </c>
      <c r="E503">
        <v>79</v>
      </c>
      <c r="F503">
        <v>105</v>
      </c>
      <c r="G503">
        <v>59</v>
      </c>
      <c r="H503">
        <v>85</v>
      </c>
      <c r="I503">
        <v>36</v>
      </c>
      <c r="J503">
        <v>424</v>
      </c>
      <c r="K503">
        <v>70.67</v>
      </c>
      <c r="L503">
        <f t="shared" si="7"/>
        <v>4</v>
      </c>
    </row>
    <row r="504" spans="1:12">
      <c r="A504">
        <v>413</v>
      </c>
      <c r="B504" s="131" t="s">
        <v>2956</v>
      </c>
      <c r="C504" t="s">
        <v>2957</v>
      </c>
      <c r="D504">
        <v>60</v>
      </c>
      <c r="E504">
        <v>69</v>
      </c>
      <c r="F504">
        <v>95</v>
      </c>
      <c r="G504">
        <v>69</v>
      </c>
      <c r="H504">
        <v>95</v>
      </c>
      <c r="I504">
        <v>36</v>
      </c>
      <c r="J504">
        <v>424</v>
      </c>
      <c r="K504">
        <v>70.67</v>
      </c>
      <c r="L504">
        <f t="shared" si="7"/>
        <v>4</v>
      </c>
    </row>
    <row r="505" spans="1:12">
      <c r="A505">
        <v>414</v>
      </c>
      <c r="B505" s="4" t="s">
        <v>3469</v>
      </c>
      <c r="C505" t="s">
        <v>448</v>
      </c>
      <c r="D505">
        <v>70</v>
      </c>
      <c r="E505">
        <v>94</v>
      </c>
      <c r="F505">
        <v>50</v>
      </c>
      <c r="G505">
        <v>94</v>
      </c>
      <c r="H505">
        <v>50</v>
      </c>
      <c r="I505">
        <v>66</v>
      </c>
      <c r="J505">
        <v>424</v>
      </c>
      <c r="K505">
        <v>70.67</v>
      </c>
      <c r="L505">
        <f t="shared" si="7"/>
        <v>4</v>
      </c>
    </row>
    <row r="506" spans="1:12">
      <c r="A506">
        <v>415</v>
      </c>
      <c r="B506" s="4" t="s">
        <v>3470</v>
      </c>
      <c r="C506" t="s">
        <v>449</v>
      </c>
      <c r="D506">
        <v>30</v>
      </c>
      <c r="E506">
        <v>30</v>
      </c>
      <c r="F506">
        <v>42</v>
      </c>
      <c r="G506">
        <v>30</v>
      </c>
      <c r="H506">
        <v>42</v>
      </c>
      <c r="I506">
        <v>70</v>
      </c>
      <c r="J506">
        <v>244</v>
      </c>
      <c r="K506">
        <v>40.67</v>
      </c>
      <c r="L506">
        <f t="shared" si="7"/>
        <v>4</v>
      </c>
    </row>
    <row r="507" spans="1:12">
      <c r="A507">
        <v>416</v>
      </c>
      <c r="B507" s="4" t="s">
        <v>3471</v>
      </c>
      <c r="C507" t="s">
        <v>450</v>
      </c>
      <c r="D507">
        <v>70</v>
      </c>
      <c r="E507">
        <v>80</v>
      </c>
      <c r="F507">
        <v>102</v>
      </c>
      <c r="G507">
        <v>80</v>
      </c>
      <c r="H507">
        <v>102</v>
      </c>
      <c r="I507">
        <v>40</v>
      </c>
      <c r="J507">
        <v>474</v>
      </c>
      <c r="K507">
        <v>79</v>
      </c>
      <c r="L507">
        <f t="shared" si="7"/>
        <v>4</v>
      </c>
    </row>
    <row r="508" spans="1:12">
      <c r="A508">
        <v>417</v>
      </c>
      <c r="B508" s="4" t="s">
        <v>3472</v>
      </c>
      <c r="C508" t="s">
        <v>451</v>
      </c>
      <c r="D508">
        <v>60</v>
      </c>
      <c r="E508">
        <v>45</v>
      </c>
      <c r="F508">
        <v>70</v>
      </c>
      <c r="G508">
        <v>45</v>
      </c>
      <c r="H508">
        <v>90</v>
      </c>
      <c r="I508">
        <v>95</v>
      </c>
      <c r="J508">
        <v>405</v>
      </c>
      <c r="K508">
        <v>67.5</v>
      </c>
      <c r="L508">
        <f t="shared" si="7"/>
        <v>4</v>
      </c>
    </row>
    <row r="509" spans="1:12">
      <c r="A509">
        <v>418</v>
      </c>
      <c r="B509" s="4" t="s">
        <v>3473</v>
      </c>
      <c r="C509" t="s">
        <v>452</v>
      </c>
      <c r="D509">
        <v>55</v>
      </c>
      <c r="E509">
        <v>65</v>
      </c>
      <c r="F509">
        <v>35</v>
      </c>
      <c r="G509">
        <v>60</v>
      </c>
      <c r="H509">
        <v>30</v>
      </c>
      <c r="I509">
        <v>85</v>
      </c>
      <c r="J509">
        <v>330</v>
      </c>
      <c r="K509">
        <v>55</v>
      </c>
      <c r="L509">
        <f t="shared" si="7"/>
        <v>4</v>
      </c>
    </row>
    <row r="510" spans="1:12">
      <c r="A510">
        <v>419</v>
      </c>
      <c r="B510" s="4" t="s">
        <v>3474</v>
      </c>
      <c r="C510" t="s">
        <v>453</v>
      </c>
      <c r="D510">
        <v>85</v>
      </c>
      <c r="E510">
        <v>105</v>
      </c>
      <c r="F510">
        <v>55</v>
      </c>
      <c r="G510">
        <v>85</v>
      </c>
      <c r="H510">
        <v>50</v>
      </c>
      <c r="I510">
        <v>115</v>
      </c>
      <c r="J510">
        <v>495</v>
      </c>
      <c r="K510">
        <v>82.5</v>
      </c>
      <c r="L510">
        <f t="shared" si="7"/>
        <v>4</v>
      </c>
    </row>
    <row r="511" spans="1:12">
      <c r="A511">
        <v>420</v>
      </c>
      <c r="B511" s="4" t="s">
        <v>3475</v>
      </c>
      <c r="C511" t="s">
        <v>454</v>
      </c>
      <c r="D511">
        <v>45</v>
      </c>
      <c r="E511">
        <v>35</v>
      </c>
      <c r="F511">
        <v>45</v>
      </c>
      <c r="G511">
        <v>62</v>
      </c>
      <c r="H511">
        <v>53</v>
      </c>
      <c r="I511">
        <v>35</v>
      </c>
      <c r="J511">
        <v>275</v>
      </c>
      <c r="K511">
        <v>45.83</v>
      </c>
      <c r="L511">
        <f t="shared" si="7"/>
        <v>4</v>
      </c>
    </row>
    <row r="512" spans="1:12">
      <c r="A512">
        <v>421</v>
      </c>
      <c r="B512" s="4" t="s">
        <v>3476</v>
      </c>
      <c r="C512" t="s">
        <v>455</v>
      </c>
      <c r="D512">
        <v>70</v>
      </c>
      <c r="E512">
        <v>60</v>
      </c>
      <c r="F512">
        <v>70</v>
      </c>
      <c r="G512">
        <v>87</v>
      </c>
      <c r="H512">
        <v>78</v>
      </c>
      <c r="I512">
        <v>85</v>
      </c>
      <c r="J512">
        <v>450</v>
      </c>
      <c r="K512">
        <v>75</v>
      </c>
      <c r="L512">
        <f t="shared" si="7"/>
        <v>4</v>
      </c>
    </row>
    <row r="513" spans="1:12">
      <c r="A513">
        <v>422</v>
      </c>
      <c r="B513" s="4" t="s">
        <v>3477</v>
      </c>
      <c r="C513" t="s">
        <v>456</v>
      </c>
      <c r="D513">
        <v>76</v>
      </c>
      <c r="E513">
        <v>48</v>
      </c>
      <c r="F513">
        <v>48</v>
      </c>
      <c r="G513">
        <v>57</v>
      </c>
      <c r="H513">
        <v>62</v>
      </c>
      <c r="I513">
        <v>34</v>
      </c>
      <c r="J513">
        <v>325</v>
      </c>
      <c r="K513">
        <v>54.17</v>
      </c>
      <c r="L513">
        <f t="shared" si="7"/>
        <v>4</v>
      </c>
    </row>
    <row r="514" spans="1:12">
      <c r="A514">
        <v>423</v>
      </c>
      <c r="B514" s="4" t="s">
        <v>3478</v>
      </c>
      <c r="C514" t="s">
        <v>457</v>
      </c>
      <c r="D514">
        <v>111</v>
      </c>
      <c r="E514">
        <v>83</v>
      </c>
      <c r="F514">
        <v>68</v>
      </c>
      <c r="G514">
        <v>92</v>
      </c>
      <c r="H514">
        <v>82</v>
      </c>
      <c r="I514">
        <v>39</v>
      </c>
      <c r="J514">
        <v>475</v>
      </c>
      <c r="K514">
        <v>79.17</v>
      </c>
      <c r="L514">
        <f t="shared" si="7"/>
        <v>4</v>
      </c>
    </row>
    <row r="515" spans="1:12">
      <c r="A515">
        <v>424</v>
      </c>
      <c r="B515" s="4" t="s">
        <v>3479</v>
      </c>
      <c r="C515" t="s">
        <v>458</v>
      </c>
      <c r="D515">
        <v>75</v>
      </c>
      <c r="E515">
        <v>100</v>
      </c>
      <c r="F515">
        <v>66</v>
      </c>
      <c r="G515">
        <v>60</v>
      </c>
      <c r="H515">
        <v>66</v>
      </c>
      <c r="I515">
        <v>115</v>
      </c>
      <c r="J515">
        <v>482</v>
      </c>
      <c r="K515">
        <v>80.33</v>
      </c>
      <c r="L515">
        <f t="shared" ref="L515:L578" si="8">LEN(B515)</f>
        <v>4</v>
      </c>
    </row>
    <row r="516" spans="1:12">
      <c r="A516">
        <v>425</v>
      </c>
      <c r="B516" s="4" t="s">
        <v>3480</v>
      </c>
      <c r="C516" t="s">
        <v>459</v>
      </c>
      <c r="D516">
        <v>90</v>
      </c>
      <c r="E516">
        <v>50</v>
      </c>
      <c r="F516">
        <v>34</v>
      </c>
      <c r="G516">
        <v>60</v>
      </c>
      <c r="H516">
        <v>44</v>
      </c>
      <c r="I516">
        <v>70</v>
      </c>
      <c r="J516">
        <v>348</v>
      </c>
      <c r="K516">
        <v>58</v>
      </c>
      <c r="L516">
        <f t="shared" si="8"/>
        <v>4</v>
      </c>
    </row>
    <row r="517" spans="1:12">
      <c r="A517">
        <v>426</v>
      </c>
      <c r="B517" s="4" t="s">
        <v>3481</v>
      </c>
      <c r="C517" t="s">
        <v>460</v>
      </c>
      <c r="D517">
        <v>150</v>
      </c>
      <c r="E517">
        <v>80</v>
      </c>
      <c r="F517">
        <v>44</v>
      </c>
      <c r="G517">
        <v>90</v>
      </c>
      <c r="H517">
        <v>54</v>
      </c>
      <c r="I517">
        <v>80</v>
      </c>
      <c r="J517">
        <v>498</v>
      </c>
      <c r="K517">
        <v>83</v>
      </c>
      <c r="L517">
        <f t="shared" si="8"/>
        <v>4</v>
      </c>
    </row>
    <row r="518" spans="1:12">
      <c r="A518">
        <v>427</v>
      </c>
      <c r="B518" s="4" t="s">
        <v>3482</v>
      </c>
      <c r="C518" t="s">
        <v>461</v>
      </c>
      <c r="D518">
        <v>55</v>
      </c>
      <c r="E518">
        <v>66</v>
      </c>
      <c r="F518">
        <v>44</v>
      </c>
      <c r="G518">
        <v>44</v>
      </c>
      <c r="H518">
        <v>56</v>
      </c>
      <c r="I518">
        <v>85</v>
      </c>
      <c r="J518">
        <v>350</v>
      </c>
      <c r="K518">
        <v>58.33</v>
      </c>
      <c r="L518">
        <f t="shared" si="8"/>
        <v>4</v>
      </c>
    </row>
    <row r="519" spans="1:12">
      <c r="A519">
        <v>428</v>
      </c>
      <c r="B519" s="4" t="s">
        <v>3483</v>
      </c>
      <c r="C519" t="s">
        <v>462</v>
      </c>
      <c r="D519">
        <v>65</v>
      </c>
      <c r="E519">
        <v>76</v>
      </c>
      <c r="F519">
        <v>84</v>
      </c>
      <c r="G519">
        <v>54</v>
      </c>
      <c r="H519">
        <v>96</v>
      </c>
      <c r="I519">
        <v>105</v>
      </c>
      <c r="J519">
        <v>480</v>
      </c>
      <c r="K519">
        <v>80</v>
      </c>
      <c r="L519">
        <f t="shared" si="8"/>
        <v>4</v>
      </c>
    </row>
    <row r="520" spans="1:12">
      <c r="A520">
        <v>428</v>
      </c>
      <c r="B520" s="131" t="s">
        <v>2958</v>
      </c>
      <c r="C520" t="s">
        <v>2959</v>
      </c>
      <c r="D520">
        <v>65</v>
      </c>
      <c r="E520">
        <v>136</v>
      </c>
      <c r="F520">
        <v>94</v>
      </c>
      <c r="G520">
        <v>54</v>
      </c>
      <c r="H520">
        <v>96</v>
      </c>
      <c r="I520">
        <v>135</v>
      </c>
      <c r="J520">
        <v>580</v>
      </c>
      <c r="K520">
        <v>96.67</v>
      </c>
      <c r="L520">
        <f t="shared" si="8"/>
        <v>4</v>
      </c>
    </row>
    <row r="521" spans="1:12">
      <c r="A521">
        <v>429</v>
      </c>
      <c r="B521" s="4" t="s">
        <v>3484</v>
      </c>
      <c r="C521" t="s">
        <v>463</v>
      </c>
      <c r="D521">
        <v>60</v>
      </c>
      <c r="E521">
        <v>60</v>
      </c>
      <c r="F521">
        <v>60</v>
      </c>
      <c r="G521">
        <v>105</v>
      </c>
      <c r="H521">
        <v>105</v>
      </c>
      <c r="I521">
        <v>105</v>
      </c>
      <c r="J521">
        <v>495</v>
      </c>
      <c r="K521">
        <v>82.5</v>
      </c>
      <c r="L521">
        <f t="shared" si="8"/>
        <v>4</v>
      </c>
    </row>
    <row r="522" spans="1:12">
      <c r="A522">
        <v>430</v>
      </c>
      <c r="B522" s="4" t="s">
        <v>3485</v>
      </c>
      <c r="C522" t="s">
        <v>464</v>
      </c>
      <c r="D522">
        <v>100</v>
      </c>
      <c r="E522">
        <v>125</v>
      </c>
      <c r="F522">
        <v>52</v>
      </c>
      <c r="G522">
        <v>105</v>
      </c>
      <c r="H522">
        <v>52</v>
      </c>
      <c r="I522">
        <v>71</v>
      </c>
      <c r="J522">
        <v>505</v>
      </c>
      <c r="K522">
        <v>84.17</v>
      </c>
      <c r="L522">
        <f t="shared" si="8"/>
        <v>4</v>
      </c>
    </row>
    <row r="523" spans="1:12">
      <c r="A523">
        <v>431</v>
      </c>
      <c r="B523" s="4" t="s">
        <v>3486</v>
      </c>
      <c r="C523" t="s">
        <v>465</v>
      </c>
      <c r="D523">
        <v>49</v>
      </c>
      <c r="E523">
        <v>55</v>
      </c>
      <c r="F523">
        <v>42</v>
      </c>
      <c r="G523">
        <v>42</v>
      </c>
      <c r="H523">
        <v>37</v>
      </c>
      <c r="I523">
        <v>85</v>
      </c>
      <c r="J523">
        <v>310</v>
      </c>
      <c r="K523">
        <v>51.67</v>
      </c>
      <c r="L523">
        <f t="shared" si="8"/>
        <v>4</v>
      </c>
    </row>
    <row r="524" spans="1:12">
      <c r="A524">
        <v>432</v>
      </c>
      <c r="B524" s="4" t="s">
        <v>3487</v>
      </c>
      <c r="C524" t="s">
        <v>466</v>
      </c>
      <c r="D524">
        <v>71</v>
      </c>
      <c r="E524">
        <v>82</v>
      </c>
      <c r="F524">
        <v>64</v>
      </c>
      <c r="G524">
        <v>64</v>
      </c>
      <c r="H524">
        <v>59</v>
      </c>
      <c r="I524">
        <v>112</v>
      </c>
      <c r="J524">
        <v>452</v>
      </c>
      <c r="K524">
        <v>75.33</v>
      </c>
      <c r="L524">
        <f t="shared" si="8"/>
        <v>4</v>
      </c>
    </row>
    <row r="525" spans="1:12">
      <c r="A525">
        <v>433</v>
      </c>
      <c r="B525" s="4" t="s">
        <v>3488</v>
      </c>
      <c r="C525" t="s">
        <v>467</v>
      </c>
      <c r="D525">
        <v>45</v>
      </c>
      <c r="E525">
        <v>30</v>
      </c>
      <c r="F525">
        <v>50</v>
      </c>
      <c r="G525">
        <v>65</v>
      </c>
      <c r="H525">
        <v>50</v>
      </c>
      <c r="I525">
        <v>45</v>
      </c>
      <c r="J525">
        <v>285</v>
      </c>
      <c r="K525">
        <v>47.5</v>
      </c>
      <c r="L525">
        <f t="shared" si="8"/>
        <v>4</v>
      </c>
    </row>
    <row r="526" spans="1:12">
      <c r="A526">
        <v>434</v>
      </c>
      <c r="B526" s="4" t="s">
        <v>3489</v>
      </c>
      <c r="C526" t="s">
        <v>468</v>
      </c>
      <c r="D526">
        <v>63</v>
      </c>
      <c r="E526">
        <v>63</v>
      </c>
      <c r="F526">
        <v>47</v>
      </c>
      <c r="G526">
        <v>41</v>
      </c>
      <c r="H526">
        <v>41</v>
      </c>
      <c r="I526">
        <v>74</v>
      </c>
      <c r="J526">
        <v>329</v>
      </c>
      <c r="K526">
        <v>54.83</v>
      </c>
      <c r="L526">
        <f t="shared" si="8"/>
        <v>4</v>
      </c>
    </row>
    <row r="527" spans="1:12">
      <c r="A527">
        <v>435</v>
      </c>
      <c r="B527" s="4" t="s">
        <v>3490</v>
      </c>
      <c r="C527" t="s">
        <v>469</v>
      </c>
      <c r="D527">
        <v>103</v>
      </c>
      <c r="E527">
        <v>93</v>
      </c>
      <c r="F527">
        <v>67</v>
      </c>
      <c r="G527">
        <v>71</v>
      </c>
      <c r="H527">
        <v>61</v>
      </c>
      <c r="I527">
        <v>84</v>
      </c>
      <c r="J527">
        <v>479</v>
      </c>
      <c r="K527">
        <v>79.83</v>
      </c>
      <c r="L527">
        <f t="shared" si="8"/>
        <v>4</v>
      </c>
    </row>
    <row r="528" spans="1:12">
      <c r="A528">
        <v>436</v>
      </c>
      <c r="B528" s="4" t="s">
        <v>3491</v>
      </c>
      <c r="C528" t="s">
        <v>470</v>
      </c>
      <c r="D528">
        <v>57</v>
      </c>
      <c r="E528">
        <v>24</v>
      </c>
      <c r="F528">
        <v>86</v>
      </c>
      <c r="G528">
        <v>24</v>
      </c>
      <c r="H528">
        <v>86</v>
      </c>
      <c r="I528">
        <v>23</v>
      </c>
      <c r="J528">
        <v>300</v>
      </c>
      <c r="K528">
        <v>50</v>
      </c>
      <c r="L528">
        <f t="shared" si="8"/>
        <v>4</v>
      </c>
    </row>
    <row r="529" spans="1:12">
      <c r="A529">
        <v>437</v>
      </c>
      <c r="B529" s="4" t="s">
        <v>3492</v>
      </c>
      <c r="C529" t="s">
        <v>471</v>
      </c>
      <c r="D529">
        <v>67</v>
      </c>
      <c r="E529">
        <v>89</v>
      </c>
      <c r="F529">
        <v>116</v>
      </c>
      <c r="G529">
        <v>79</v>
      </c>
      <c r="H529">
        <v>116</v>
      </c>
      <c r="I529">
        <v>33</v>
      </c>
      <c r="J529">
        <v>500</v>
      </c>
      <c r="K529">
        <v>83.33</v>
      </c>
      <c r="L529">
        <f t="shared" si="8"/>
        <v>4</v>
      </c>
    </row>
    <row r="530" spans="1:12">
      <c r="A530">
        <v>438</v>
      </c>
      <c r="B530" s="4" t="s">
        <v>3493</v>
      </c>
      <c r="C530" t="s">
        <v>472</v>
      </c>
      <c r="D530">
        <v>50</v>
      </c>
      <c r="E530">
        <v>80</v>
      </c>
      <c r="F530">
        <v>95</v>
      </c>
      <c r="G530">
        <v>10</v>
      </c>
      <c r="H530">
        <v>45</v>
      </c>
      <c r="I530">
        <v>10</v>
      </c>
      <c r="J530">
        <v>290</v>
      </c>
      <c r="K530">
        <v>48.33</v>
      </c>
      <c r="L530">
        <f t="shared" si="8"/>
        <v>4</v>
      </c>
    </row>
    <row r="531" spans="1:12">
      <c r="A531">
        <v>439</v>
      </c>
      <c r="B531" s="4" t="s">
        <v>3494</v>
      </c>
      <c r="C531" t="s">
        <v>473</v>
      </c>
      <c r="D531">
        <v>20</v>
      </c>
      <c r="E531">
        <v>25</v>
      </c>
      <c r="F531">
        <v>45</v>
      </c>
      <c r="G531">
        <v>70</v>
      </c>
      <c r="H531">
        <v>90</v>
      </c>
      <c r="I531">
        <v>60</v>
      </c>
      <c r="J531">
        <v>310</v>
      </c>
      <c r="K531">
        <v>51.67</v>
      </c>
      <c r="L531">
        <f t="shared" si="8"/>
        <v>4</v>
      </c>
    </row>
    <row r="532" spans="1:12">
      <c r="A532">
        <v>440</v>
      </c>
      <c r="B532" s="4" t="s">
        <v>3495</v>
      </c>
      <c r="C532" t="s">
        <v>474</v>
      </c>
      <c r="D532">
        <v>100</v>
      </c>
      <c r="E532">
        <v>5</v>
      </c>
      <c r="F532">
        <v>5</v>
      </c>
      <c r="G532">
        <v>15</v>
      </c>
      <c r="H532">
        <v>65</v>
      </c>
      <c r="I532">
        <v>30</v>
      </c>
      <c r="J532">
        <v>220</v>
      </c>
      <c r="K532">
        <v>36.67</v>
      </c>
      <c r="L532">
        <f t="shared" si="8"/>
        <v>4</v>
      </c>
    </row>
    <row r="533" spans="1:12">
      <c r="A533">
        <v>441</v>
      </c>
      <c r="B533" s="4" t="s">
        <v>3496</v>
      </c>
      <c r="C533" t="s">
        <v>475</v>
      </c>
      <c r="D533">
        <v>76</v>
      </c>
      <c r="E533">
        <v>65</v>
      </c>
      <c r="F533">
        <v>45</v>
      </c>
      <c r="G533">
        <v>92</v>
      </c>
      <c r="H533">
        <v>42</v>
      </c>
      <c r="I533">
        <v>91</v>
      </c>
      <c r="J533">
        <v>411</v>
      </c>
      <c r="K533">
        <v>68.5</v>
      </c>
      <c r="L533">
        <f t="shared" si="8"/>
        <v>4</v>
      </c>
    </row>
    <row r="534" spans="1:12">
      <c r="A534">
        <v>442</v>
      </c>
      <c r="B534" s="4" t="s">
        <v>3497</v>
      </c>
      <c r="C534" t="s">
        <v>476</v>
      </c>
      <c r="D534">
        <v>50</v>
      </c>
      <c r="E534">
        <v>92</v>
      </c>
      <c r="F534">
        <v>108</v>
      </c>
      <c r="G534">
        <v>92</v>
      </c>
      <c r="H534">
        <v>108</v>
      </c>
      <c r="I534">
        <v>35</v>
      </c>
      <c r="J534">
        <v>485</v>
      </c>
      <c r="K534">
        <v>80.83</v>
      </c>
      <c r="L534">
        <f t="shared" si="8"/>
        <v>4</v>
      </c>
    </row>
    <row r="535" spans="1:12">
      <c r="A535">
        <v>443</v>
      </c>
      <c r="B535" s="4" t="s">
        <v>3498</v>
      </c>
      <c r="C535" t="s">
        <v>477</v>
      </c>
      <c r="D535">
        <v>58</v>
      </c>
      <c r="E535">
        <v>70</v>
      </c>
      <c r="F535">
        <v>45</v>
      </c>
      <c r="G535">
        <v>40</v>
      </c>
      <c r="H535">
        <v>45</v>
      </c>
      <c r="I535">
        <v>42</v>
      </c>
      <c r="J535">
        <v>300</v>
      </c>
      <c r="K535">
        <v>50</v>
      </c>
      <c r="L535">
        <f t="shared" si="8"/>
        <v>4</v>
      </c>
    </row>
    <row r="536" spans="1:12">
      <c r="A536">
        <v>444</v>
      </c>
      <c r="B536" s="4" t="s">
        <v>3499</v>
      </c>
      <c r="C536" t="s">
        <v>478</v>
      </c>
      <c r="D536">
        <v>68</v>
      </c>
      <c r="E536">
        <v>90</v>
      </c>
      <c r="F536">
        <v>65</v>
      </c>
      <c r="G536">
        <v>50</v>
      </c>
      <c r="H536">
        <v>55</v>
      </c>
      <c r="I536">
        <v>82</v>
      </c>
      <c r="J536">
        <v>410</v>
      </c>
      <c r="K536">
        <v>68.33</v>
      </c>
      <c r="L536">
        <f t="shared" si="8"/>
        <v>4</v>
      </c>
    </row>
    <row r="537" spans="1:12">
      <c r="A537">
        <v>445</v>
      </c>
      <c r="B537" s="4" t="s">
        <v>3500</v>
      </c>
      <c r="C537" t="s">
        <v>479</v>
      </c>
      <c r="D537">
        <v>108</v>
      </c>
      <c r="E537">
        <v>130</v>
      </c>
      <c r="F537">
        <v>95</v>
      </c>
      <c r="G537">
        <v>80</v>
      </c>
      <c r="H537">
        <v>85</v>
      </c>
      <c r="I537">
        <v>102</v>
      </c>
      <c r="J537">
        <v>600</v>
      </c>
      <c r="K537">
        <v>100</v>
      </c>
      <c r="L537">
        <f t="shared" si="8"/>
        <v>4</v>
      </c>
    </row>
    <row r="538" spans="1:12">
      <c r="A538">
        <v>445</v>
      </c>
      <c r="B538" s="131" t="s">
        <v>2960</v>
      </c>
      <c r="C538" t="s">
        <v>2961</v>
      </c>
      <c r="D538">
        <v>108</v>
      </c>
      <c r="E538">
        <v>170</v>
      </c>
      <c r="F538">
        <v>115</v>
      </c>
      <c r="G538">
        <v>120</v>
      </c>
      <c r="H538">
        <v>95</v>
      </c>
      <c r="I538">
        <v>92</v>
      </c>
      <c r="J538">
        <v>700</v>
      </c>
      <c r="K538">
        <v>116.67</v>
      </c>
      <c r="L538">
        <f t="shared" si="8"/>
        <v>4</v>
      </c>
    </row>
    <row r="539" spans="1:12">
      <c r="A539">
        <v>446</v>
      </c>
      <c r="B539" s="4" t="s">
        <v>3501</v>
      </c>
      <c r="C539" t="s">
        <v>480</v>
      </c>
      <c r="D539">
        <v>135</v>
      </c>
      <c r="E539">
        <v>85</v>
      </c>
      <c r="F539">
        <v>40</v>
      </c>
      <c r="G539">
        <v>40</v>
      </c>
      <c r="H539">
        <v>85</v>
      </c>
      <c r="I539">
        <v>5</v>
      </c>
      <c r="J539">
        <v>390</v>
      </c>
      <c r="K539">
        <v>65</v>
      </c>
      <c r="L539">
        <f t="shared" si="8"/>
        <v>4</v>
      </c>
    </row>
    <row r="540" spans="1:12">
      <c r="A540">
        <v>447</v>
      </c>
      <c r="B540" s="4" t="s">
        <v>3502</v>
      </c>
      <c r="C540" t="s">
        <v>481</v>
      </c>
      <c r="D540">
        <v>40</v>
      </c>
      <c r="E540">
        <v>70</v>
      </c>
      <c r="F540">
        <v>40</v>
      </c>
      <c r="G540">
        <v>35</v>
      </c>
      <c r="H540">
        <v>40</v>
      </c>
      <c r="I540">
        <v>60</v>
      </c>
      <c r="J540">
        <v>285</v>
      </c>
      <c r="K540">
        <v>47.5</v>
      </c>
      <c r="L540">
        <f t="shared" si="8"/>
        <v>4</v>
      </c>
    </row>
    <row r="541" spans="1:12">
      <c r="A541">
        <v>448</v>
      </c>
      <c r="B541" s="4" t="s">
        <v>3503</v>
      </c>
      <c r="C541" t="s">
        <v>482</v>
      </c>
      <c r="D541">
        <v>70</v>
      </c>
      <c r="E541">
        <v>110</v>
      </c>
      <c r="F541">
        <v>70</v>
      </c>
      <c r="G541">
        <v>115</v>
      </c>
      <c r="H541">
        <v>70</v>
      </c>
      <c r="I541">
        <v>90</v>
      </c>
      <c r="J541">
        <v>525</v>
      </c>
      <c r="K541">
        <v>87.5</v>
      </c>
      <c r="L541">
        <f t="shared" si="8"/>
        <v>4</v>
      </c>
    </row>
    <row r="542" spans="1:12">
      <c r="A542">
        <v>448</v>
      </c>
      <c r="B542" s="131" t="s">
        <v>2962</v>
      </c>
      <c r="C542" t="s">
        <v>2963</v>
      </c>
      <c r="D542">
        <v>70</v>
      </c>
      <c r="E542">
        <v>145</v>
      </c>
      <c r="F542">
        <v>88</v>
      </c>
      <c r="G542">
        <v>140</v>
      </c>
      <c r="H542">
        <v>70</v>
      </c>
      <c r="I542">
        <v>112</v>
      </c>
      <c r="J542">
        <v>625</v>
      </c>
      <c r="K542">
        <v>104.17</v>
      </c>
      <c r="L542">
        <f t="shared" si="8"/>
        <v>4</v>
      </c>
    </row>
    <row r="543" spans="1:12">
      <c r="A543">
        <v>449</v>
      </c>
      <c r="B543" s="4" t="s">
        <v>3504</v>
      </c>
      <c r="C543" t="s">
        <v>483</v>
      </c>
      <c r="D543">
        <v>68</v>
      </c>
      <c r="E543">
        <v>72</v>
      </c>
      <c r="F543">
        <v>78</v>
      </c>
      <c r="G543">
        <v>38</v>
      </c>
      <c r="H543">
        <v>42</v>
      </c>
      <c r="I543">
        <v>32</v>
      </c>
      <c r="J543">
        <v>330</v>
      </c>
      <c r="K543">
        <v>55</v>
      </c>
      <c r="L543">
        <f t="shared" si="8"/>
        <v>4</v>
      </c>
    </row>
    <row r="544" spans="1:12">
      <c r="A544">
        <v>450</v>
      </c>
      <c r="B544" s="4" t="s">
        <v>3505</v>
      </c>
      <c r="C544" t="s">
        <v>484</v>
      </c>
      <c r="D544">
        <v>108</v>
      </c>
      <c r="E544">
        <v>112</v>
      </c>
      <c r="F544">
        <v>118</v>
      </c>
      <c r="G544">
        <v>68</v>
      </c>
      <c r="H544">
        <v>72</v>
      </c>
      <c r="I544">
        <v>47</v>
      </c>
      <c r="J544">
        <v>525</v>
      </c>
      <c r="K544">
        <v>87.5</v>
      </c>
      <c r="L544">
        <f t="shared" si="8"/>
        <v>4</v>
      </c>
    </row>
    <row r="545" spans="1:12">
      <c r="A545">
        <v>451</v>
      </c>
      <c r="B545" s="4" t="s">
        <v>3506</v>
      </c>
      <c r="C545" t="s">
        <v>485</v>
      </c>
      <c r="D545">
        <v>40</v>
      </c>
      <c r="E545">
        <v>50</v>
      </c>
      <c r="F545">
        <v>90</v>
      </c>
      <c r="G545">
        <v>30</v>
      </c>
      <c r="H545">
        <v>55</v>
      </c>
      <c r="I545">
        <v>65</v>
      </c>
      <c r="J545">
        <v>330</v>
      </c>
      <c r="K545">
        <v>55</v>
      </c>
      <c r="L545">
        <f t="shared" si="8"/>
        <v>4</v>
      </c>
    </row>
    <row r="546" spans="1:12">
      <c r="A546">
        <v>452</v>
      </c>
      <c r="B546" s="4" t="s">
        <v>3507</v>
      </c>
      <c r="C546" t="s">
        <v>486</v>
      </c>
      <c r="D546">
        <v>70</v>
      </c>
      <c r="E546">
        <v>90</v>
      </c>
      <c r="F546">
        <v>110</v>
      </c>
      <c r="G546">
        <v>60</v>
      </c>
      <c r="H546">
        <v>75</v>
      </c>
      <c r="I546">
        <v>95</v>
      </c>
      <c r="J546">
        <v>500</v>
      </c>
      <c r="K546">
        <v>83.33</v>
      </c>
      <c r="L546">
        <f t="shared" si="8"/>
        <v>4</v>
      </c>
    </row>
    <row r="547" spans="1:12">
      <c r="A547">
        <v>453</v>
      </c>
      <c r="B547" s="4" t="s">
        <v>3508</v>
      </c>
      <c r="C547" t="s">
        <v>487</v>
      </c>
      <c r="D547">
        <v>48</v>
      </c>
      <c r="E547">
        <v>61</v>
      </c>
      <c r="F547">
        <v>40</v>
      </c>
      <c r="G547">
        <v>61</v>
      </c>
      <c r="H547">
        <v>40</v>
      </c>
      <c r="I547">
        <v>50</v>
      </c>
      <c r="J547">
        <v>300</v>
      </c>
      <c r="K547">
        <v>50</v>
      </c>
      <c r="L547">
        <f t="shared" si="8"/>
        <v>4</v>
      </c>
    </row>
    <row r="548" spans="1:12">
      <c r="A548">
        <v>454</v>
      </c>
      <c r="B548" s="4" t="s">
        <v>3509</v>
      </c>
      <c r="C548" t="s">
        <v>488</v>
      </c>
      <c r="D548">
        <v>83</v>
      </c>
      <c r="E548">
        <v>106</v>
      </c>
      <c r="F548">
        <v>65</v>
      </c>
      <c r="G548">
        <v>86</v>
      </c>
      <c r="H548">
        <v>65</v>
      </c>
      <c r="I548">
        <v>85</v>
      </c>
      <c r="J548">
        <v>490</v>
      </c>
      <c r="K548">
        <v>81.67</v>
      </c>
      <c r="L548">
        <f t="shared" si="8"/>
        <v>4</v>
      </c>
    </row>
    <row r="549" spans="1:12">
      <c r="A549">
        <v>455</v>
      </c>
      <c r="B549" s="4" t="s">
        <v>3510</v>
      </c>
      <c r="C549" t="s">
        <v>489</v>
      </c>
      <c r="D549">
        <v>74</v>
      </c>
      <c r="E549">
        <v>100</v>
      </c>
      <c r="F549">
        <v>72</v>
      </c>
      <c r="G549">
        <v>90</v>
      </c>
      <c r="H549">
        <v>72</v>
      </c>
      <c r="I549">
        <v>46</v>
      </c>
      <c r="J549">
        <v>454</v>
      </c>
      <c r="K549">
        <v>75.67</v>
      </c>
      <c r="L549">
        <f t="shared" si="8"/>
        <v>4</v>
      </c>
    </row>
    <row r="550" spans="1:12">
      <c r="A550">
        <v>456</v>
      </c>
      <c r="B550" s="4" t="s">
        <v>3511</v>
      </c>
      <c r="C550" t="s">
        <v>490</v>
      </c>
      <c r="D550">
        <v>49</v>
      </c>
      <c r="E550">
        <v>49</v>
      </c>
      <c r="F550">
        <v>56</v>
      </c>
      <c r="G550">
        <v>49</v>
      </c>
      <c r="H550">
        <v>61</v>
      </c>
      <c r="I550">
        <v>66</v>
      </c>
      <c r="J550">
        <v>330</v>
      </c>
      <c r="K550">
        <v>55</v>
      </c>
      <c r="L550">
        <f t="shared" si="8"/>
        <v>4</v>
      </c>
    </row>
    <row r="551" spans="1:12">
      <c r="A551">
        <v>457</v>
      </c>
      <c r="B551" s="4" t="s">
        <v>3512</v>
      </c>
      <c r="C551" t="s">
        <v>491</v>
      </c>
      <c r="D551">
        <v>69</v>
      </c>
      <c r="E551">
        <v>69</v>
      </c>
      <c r="F551">
        <v>76</v>
      </c>
      <c r="G551">
        <v>69</v>
      </c>
      <c r="H551">
        <v>86</v>
      </c>
      <c r="I551">
        <v>91</v>
      </c>
      <c r="J551">
        <v>460</v>
      </c>
      <c r="K551">
        <v>76.67</v>
      </c>
      <c r="L551">
        <f t="shared" si="8"/>
        <v>4</v>
      </c>
    </row>
    <row r="552" spans="1:12">
      <c r="A552">
        <v>458</v>
      </c>
      <c r="B552" s="4" t="s">
        <v>3513</v>
      </c>
      <c r="C552" t="s">
        <v>492</v>
      </c>
      <c r="D552">
        <v>45</v>
      </c>
      <c r="E552">
        <v>20</v>
      </c>
      <c r="F552">
        <v>50</v>
      </c>
      <c r="G552">
        <v>60</v>
      </c>
      <c r="H552">
        <v>120</v>
      </c>
      <c r="I552">
        <v>50</v>
      </c>
      <c r="J552">
        <v>345</v>
      </c>
      <c r="K552">
        <v>57.5</v>
      </c>
      <c r="L552">
        <f t="shared" si="8"/>
        <v>4</v>
      </c>
    </row>
    <row r="553" spans="1:12">
      <c r="A553">
        <v>459</v>
      </c>
      <c r="B553" s="4" t="s">
        <v>3514</v>
      </c>
      <c r="C553" t="s">
        <v>493</v>
      </c>
      <c r="D553">
        <v>60</v>
      </c>
      <c r="E553">
        <v>62</v>
      </c>
      <c r="F553">
        <v>50</v>
      </c>
      <c r="G553">
        <v>62</v>
      </c>
      <c r="H553">
        <v>60</v>
      </c>
      <c r="I553">
        <v>40</v>
      </c>
      <c r="J553">
        <v>334</v>
      </c>
      <c r="K553">
        <v>55.67</v>
      </c>
      <c r="L553">
        <f t="shared" si="8"/>
        <v>4</v>
      </c>
    </row>
    <row r="554" spans="1:12">
      <c r="A554">
        <v>460</v>
      </c>
      <c r="B554" s="4" t="s">
        <v>3515</v>
      </c>
      <c r="C554" t="s">
        <v>494</v>
      </c>
      <c r="D554">
        <v>90</v>
      </c>
      <c r="E554">
        <v>92</v>
      </c>
      <c r="F554">
        <v>75</v>
      </c>
      <c r="G554">
        <v>92</v>
      </c>
      <c r="H554">
        <v>85</v>
      </c>
      <c r="I554">
        <v>60</v>
      </c>
      <c r="J554">
        <v>494</v>
      </c>
      <c r="K554">
        <v>82.33</v>
      </c>
      <c r="L554">
        <f t="shared" si="8"/>
        <v>4</v>
      </c>
    </row>
    <row r="555" spans="1:12">
      <c r="A555">
        <v>460</v>
      </c>
      <c r="B555" s="131" t="s">
        <v>2964</v>
      </c>
      <c r="C555" t="s">
        <v>2965</v>
      </c>
      <c r="D555">
        <v>90</v>
      </c>
      <c r="E555">
        <v>132</v>
      </c>
      <c r="F555">
        <v>105</v>
      </c>
      <c r="G555">
        <v>132</v>
      </c>
      <c r="H555">
        <v>105</v>
      </c>
      <c r="I555">
        <v>30</v>
      </c>
      <c r="J555">
        <v>594</v>
      </c>
      <c r="K555">
        <v>99</v>
      </c>
      <c r="L555">
        <f t="shared" si="8"/>
        <v>4</v>
      </c>
    </row>
    <row r="556" spans="1:12">
      <c r="A556">
        <v>461</v>
      </c>
      <c r="B556" s="4" t="s">
        <v>3516</v>
      </c>
      <c r="C556" t="s">
        <v>495</v>
      </c>
      <c r="D556">
        <v>70</v>
      </c>
      <c r="E556">
        <v>120</v>
      </c>
      <c r="F556">
        <v>65</v>
      </c>
      <c r="G556">
        <v>45</v>
      </c>
      <c r="H556">
        <v>85</v>
      </c>
      <c r="I556">
        <v>125</v>
      </c>
      <c r="J556">
        <v>510</v>
      </c>
      <c r="K556">
        <v>85</v>
      </c>
      <c r="L556">
        <f t="shared" si="8"/>
        <v>4</v>
      </c>
    </row>
    <row r="557" spans="1:12">
      <c r="A557">
        <v>462</v>
      </c>
      <c r="B557" s="4" t="s">
        <v>3517</v>
      </c>
      <c r="C557" t="s">
        <v>496</v>
      </c>
      <c r="D557">
        <v>70</v>
      </c>
      <c r="E557">
        <v>70</v>
      </c>
      <c r="F557">
        <v>115</v>
      </c>
      <c r="G557">
        <v>130</v>
      </c>
      <c r="H557">
        <v>90</v>
      </c>
      <c r="I557">
        <v>60</v>
      </c>
      <c r="J557">
        <v>535</v>
      </c>
      <c r="K557">
        <v>89.17</v>
      </c>
      <c r="L557">
        <f t="shared" si="8"/>
        <v>4</v>
      </c>
    </row>
    <row r="558" spans="1:12">
      <c r="A558">
        <v>463</v>
      </c>
      <c r="B558" s="4" t="s">
        <v>3518</v>
      </c>
      <c r="C558" t="s">
        <v>497</v>
      </c>
      <c r="D558">
        <v>110</v>
      </c>
      <c r="E558">
        <v>85</v>
      </c>
      <c r="F558">
        <v>95</v>
      </c>
      <c r="G558">
        <v>80</v>
      </c>
      <c r="H558">
        <v>95</v>
      </c>
      <c r="I558">
        <v>50</v>
      </c>
      <c r="J558">
        <v>515</v>
      </c>
      <c r="K558">
        <v>85.83</v>
      </c>
      <c r="L558">
        <f t="shared" si="8"/>
        <v>4</v>
      </c>
    </row>
    <row r="559" spans="1:12">
      <c r="A559">
        <v>464</v>
      </c>
      <c r="B559" s="4" t="s">
        <v>3519</v>
      </c>
      <c r="C559" t="s">
        <v>498</v>
      </c>
      <c r="D559">
        <v>115</v>
      </c>
      <c r="E559">
        <v>140</v>
      </c>
      <c r="F559">
        <v>130</v>
      </c>
      <c r="G559">
        <v>55</v>
      </c>
      <c r="H559">
        <v>55</v>
      </c>
      <c r="I559">
        <v>40</v>
      </c>
      <c r="J559">
        <v>535</v>
      </c>
      <c r="K559">
        <v>89.17</v>
      </c>
      <c r="L559">
        <f t="shared" si="8"/>
        <v>4</v>
      </c>
    </row>
    <row r="560" spans="1:12">
      <c r="A560">
        <v>465</v>
      </c>
      <c r="B560" s="4" t="s">
        <v>3520</v>
      </c>
      <c r="C560" t="s">
        <v>499</v>
      </c>
      <c r="D560">
        <v>100</v>
      </c>
      <c r="E560">
        <v>100</v>
      </c>
      <c r="F560">
        <v>125</v>
      </c>
      <c r="G560">
        <v>110</v>
      </c>
      <c r="H560">
        <v>50</v>
      </c>
      <c r="I560">
        <v>50</v>
      </c>
      <c r="J560">
        <v>535</v>
      </c>
      <c r="K560">
        <v>89.17</v>
      </c>
      <c r="L560">
        <f t="shared" si="8"/>
        <v>4</v>
      </c>
    </row>
    <row r="561" spans="1:12">
      <c r="A561">
        <v>466</v>
      </c>
      <c r="B561" s="4" t="s">
        <v>3521</v>
      </c>
      <c r="C561" t="s">
        <v>500</v>
      </c>
      <c r="D561">
        <v>75</v>
      </c>
      <c r="E561">
        <v>123</v>
      </c>
      <c r="F561">
        <v>67</v>
      </c>
      <c r="G561">
        <v>95</v>
      </c>
      <c r="H561">
        <v>85</v>
      </c>
      <c r="I561">
        <v>95</v>
      </c>
      <c r="J561">
        <v>540</v>
      </c>
      <c r="K561">
        <v>90</v>
      </c>
      <c r="L561">
        <f t="shared" si="8"/>
        <v>4</v>
      </c>
    </row>
    <row r="562" spans="1:12">
      <c r="A562">
        <v>467</v>
      </c>
      <c r="B562" s="4" t="s">
        <v>3522</v>
      </c>
      <c r="C562" t="s">
        <v>501</v>
      </c>
      <c r="D562">
        <v>75</v>
      </c>
      <c r="E562">
        <v>95</v>
      </c>
      <c r="F562">
        <v>67</v>
      </c>
      <c r="G562">
        <v>125</v>
      </c>
      <c r="H562">
        <v>95</v>
      </c>
      <c r="I562">
        <v>83</v>
      </c>
      <c r="J562">
        <v>540</v>
      </c>
      <c r="K562">
        <v>90</v>
      </c>
      <c r="L562">
        <f t="shared" si="8"/>
        <v>4</v>
      </c>
    </row>
    <row r="563" spans="1:12">
      <c r="A563">
        <v>468</v>
      </c>
      <c r="B563" s="4" t="s">
        <v>3523</v>
      </c>
      <c r="C563" t="s">
        <v>502</v>
      </c>
      <c r="D563">
        <v>85</v>
      </c>
      <c r="E563">
        <v>50</v>
      </c>
      <c r="F563">
        <v>95</v>
      </c>
      <c r="G563">
        <v>120</v>
      </c>
      <c r="H563">
        <v>115</v>
      </c>
      <c r="I563">
        <v>80</v>
      </c>
      <c r="J563">
        <v>545</v>
      </c>
      <c r="K563">
        <v>90.83</v>
      </c>
      <c r="L563">
        <f t="shared" si="8"/>
        <v>4</v>
      </c>
    </row>
    <row r="564" spans="1:12">
      <c r="A564">
        <v>469</v>
      </c>
      <c r="B564" s="4" t="s">
        <v>3524</v>
      </c>
      <c r="C564" t="s">
        <v>2140</v>
      </c>
      <c r="D564">
        <v>86</v>
      </c>
      <c r="E564">
        <v>76</v>
      </c>
      <c r="F564">
        <v>86</v>
      </c>
      <c r="G564">
        <v>116</v>
      </c>
      <c r="H564">
        <v>56</v>
      </c>
      <c r="I564">
        <v>95</v>
      </c>
      <c r="J564">
        <v>515</v>
      </c>
      <c r="K564">
        <v>85.83</v>
      </c>
      <c r="L564">
        <f t="shared" si="8"/>
        <v>4</v>
      </c>
    </row>
    <row r="565" spans="1:12">
      <c r="A565">
        <v>470</v>
      </c>
      <c r="B565" s="4" t="s">
        <v>3525</v>
      </c>
      <c r="C565" t="s">
        <v>503</v>
      </c>
      <c r="D565">
        <v>65</v>
      </c>
      <c r="E565">
        <v>110</v>
      </c>
      <c r="F565">
        <v>130</v>
      </c>
      <c r="G565">
        <v>60</v>
      </c>
      <c r="H565">
        <v>65</v>
      </c>
      <c r="I565">
        <v>95</v>
      </c>
      <c r="J565">
        <v>525</v>
      </c>
      <c r="K565">
        <v>87.5</v>
      </c>
      <c r="L565">
        <f t="shared" si="8"/>
        <v>4</v>
      </c>
    </row>
    <row r="566" spans="1:12">
      <c r="A566">
        <v>471</v>
      </c>
      <c r="B566" s="4" t="s">
        <v>3526</v>
      </c>
      <c r="C566" t="s">
        <v>504</v>
      </c>
      <c r="D566">
        <v>65</v>
      </c>
      <c r="E566">
        <v>60</v>
      </c>
      <c r="F566">
        <v>110</v>
      </c>
      <c r="G566">
        <v>130</v>
      </c>
      <c r="H566">
        <v>95</v>
      </c>
      <c r="I566">
        <v>65</v>
      </c>
      <c r="J566">
        <v>525</v>
      </c>
      <c r="K566">
        <v>87.5</v>
      </c>
      <c r="L566">
        <f t="shared" si="8"/>
        <v>4</v>
      </c>
    </row>
    <row r="567" spans="1:12">
      <c r="A567">
        <v>472</v>
      </c>
      <c r="B567" s="4" t="s">
        <v>3527</v>
      </c>
      <c r="C567" t="s">
        <v>505</v>
      </c>
      <c r="D567">
        <v>75</v>
      </c>
      <c r="E567">
        <v>95</v>
      </c>
      <c r="F567">
        <v>125</v>
      </c>
      <c r="G567">
        <v>45</v>
      </c>
      <c r="H567">
        <v>75</v>
      </c>
      <c r="I567">
        <v>95</v>
      </c>
      <c r="J567">
        <v>510</v>
      </c>
      <c r="K567">
        <v>85</v>
      </c>
      <c r="L567">
        <f t="shared" si="8"/>
        <v>4</v>
      </c>
    </row>
    <row r="568" spans="1:12">
      <c r="A568">
        <v>473</v>
      </c>
      <c r="B568" s="4" t="s">
        <v>3528</v>
      </c>
      <c r="C568" t="s">
        <v>506</v>
      </c>
      <c r="D568">
        <v>110</v>
      </c>
      <c r="E568">
        <v>130</v>
      </c>
      <c r="F568">
        <v>80</v>
      </c>
      <c r="G568">
        <v>70</v>
      </c>
      <c r="H568">
        <v>60</v>
      </c>
      <c r="I568">
        <v>80</v>
      </c>
      <c r="J568">
        <v>530</v>
      </c>
      <c r="K568">
        <v>88.33</v>
      </c>
      <c r="L568">
        <f t="shared" si="8"/>
        <v>4</v>
      </c>
    </row>
    <row r="569" spans="1:12">
      <c r="A569">
        <v>474</v>
      </c>
      <c r="B569" s="4" t="s">
        <v>3529</v>
      </c>
      <c r="C569" t="s">
        <v>507</v>
      </c>
      <c r="D569">
        <v>85</v>
      </c>
      <c r="E569">
        <v>80</v>
      </c>
      <c r="F569">
        <v>70</v>
      </c>
      <c r="G569">
        <v>135</v>
      </c>
      <c r="H569">
        <v>75</v>
      </c>
      <c r="I569">
        <v>90</v>
      </c>
      <c r="J569">
        <v>535</v>
      </c>
      <c r="K569">
        <v>89.17</v>
      </c>
      <c r="L569">
        <f t="shared" si="8"/>
        <v>4</v>
      </c>
    </row>
    <row r="570" spans="1:12">
      <c r="A570">
        <v>475</v>
      </c>
      <c r="B570" s="4" t="s">
        <v>3530</v>
      </c>
      <c r="C570" t="s">
        <v>508</v>
      </c>
      <c r="D570">
        <v>68</v>
      </c>
      <c r="E570">
        <v>125</v>
      </c>
      <c r="F570">
        <v>65</v>
      </c>
      <c r="G570">
        <v>65</v>
      </c>
      <c r="H570">
        <v>115</v>
      </c>
      <c r="I570">
        <v>80</v>
      </c>
      <c r="J570">
        <v>518</v>
      </c>
      <c r="K570">
        <v>86.33</v>
      </c>
      <c r="L570">
        <f t="shared" si="8"/>
        <v>4</v>
      </c>
    </row>
    <row r="571" spans="1:12">
      <c r="A571">
        <v>475</v>
      </c>
      <c r="B571" s="131" t="s">
        <v>2966</v>
      </c>
      <c r="C571" t="s">
        <v>2967</v>
      </c>
      <c r="D571">
        <v>68</v>
      </c>
      <c r="E571">
        <v>165</v>
      </c>
      <c r="F571">
        <v>95</v>
      </c>
      <c r="G571">
        <v>65</v>
      </c>
      <c r="H571">
        <v>115</v>
      </c>
      <c r="I571">
        <v>110</v>
      </c>
      <c r="J571">
        <v>618</v>
      </c>
      <c r="K571">
        <v>103</v>
      </c>
      <c r="L571">
        <f t="shared" si="8"/>
        <v>4</v>
      </c>
    </row>
    <row r="572" spans="1:12">
      <c r="A572">
        <v>476</v>
      </c>
      <c r="B572" s="4" t="s">
        <v>3531</v>
      </c>
      <c r="C572" t="s">
        <v>509</v>
      </c>
      <c r="D572">
        <v>60</v>
      </c>
      <c r="E572">
        <v>55</v>
      </c>
      <c r="F572">
        <v>145</v>
      </c>
      <c r="G572">
        <v>75</v>
      </c>
      <c r="H572">
        <v>150</v>
      </c>
      <c r="I572">
        <v>40</v>
      </c>
      <c r="J572">
        <v>525</v>
      </c>
      <c r="K572">
        <v>87.5</v>
      </c>
      <c r="L572">
        <f t="shared" si="8"/>
        <v>4</v>
      </c>
    </row>
    <row r="573" spans="1:12">
      <c r="A573">
        <v>477</v>
      </c>
      <c r="B573" s="4" t="s">
        <v>3532</v>
      </c>
      <c r="C573" t="s">
        <v>510</v>
      </c>
      <c r="D573">
        <v>45</v>
      </c>
      <c r="E573">
        <v>100</v>
      </c>
      <c r="F573">
        <v>135</v>
      </c>
      <c r="G573">
        <v>65</v>
      </c>
      <c r="H573">
        <v>135</v>
      </c>
      <c r="I573">
        <v>45</v>
      </c>
      <c r="J573">
        <v>525</v>
      </c>
      <c r="K573">
        <v>87.5</v>
      </c>
      <c r="L573">
        <f t="shared" si="8"/>
        <v>4</v>
      </c>
    </row>
    <row r="574" spans="1:12">
      <c r="A574">
        <v>478</v>
      </c>
      <c r="B574" s="4" t="s">
        <v>3533</v>
      </c>
      <c r="C574" t="s">
        <v>511</v>
      </c>
      <c r="D574">
        <v>70</v>
      </c>
      <c r="E574">
        <v>80</v>
      </c>
      <c r="F574">
        <v>70</v>
      </c>
      <c r="G574">
        <v>80</v>
      </c>
      <c r="H574">
        <v>70</v>
      </c>
      <c r="I574">
        <v>110</v>
      </c>
      <c r="J574">
        <v>480</v>
      </c>
      <c r="K574">
        <v>80</v>
      </c>
      <c r="L574">
        <f t="shared" si="8"/>
        <v>4</v>
      </c>
    </row>
    <row r="575" spans="1:12">
      <c r="A575">
        <v>479</v>
      </c>
      <c r="B575" s="4" t="s">
        <v>2968</v>
      </c>
      <c r="C575" t="s">
        <v>512</v>
      </c>
      <c r="D575">
        <v>50</v>
      </c>
      <c r="E575">
        <v>50</v>
      </c>
      <c r="F575">
        <v>77</v>
      </c>
      <c r="G575">
        <v>95</v>
      </c>
      <c r="H575">
        <v>77</v>
      </c>
      <c r="I575">
        <v>91</v>
      </c>
      <c r="J575">
        <v>440</v>
      </c>
      <c r="K575">
        <v>73.33</v>
      </c>
      <c r="L575">
        <f t="shared" si="8"/>
        <v>4</v>
      </c>
    </row>
    <row r="576" spans="1:12">
      <c r="A576">
        <v>479</v>
      </c>
      <c r="B576" s="131" t="s">
        <v>3053</v>
      </c>
      <c r="C576" t="s">
        <v>2969</v>
      </c>
      <c r="D576">
        <v>50</v>
      </c>
      <c r="E576">
        <v>65</v>
      </c>
      <c r="F576">
        <v>107</v>
      </c>
      <c r="G576">
        <v>105</v>
      </c>
      <c r="H576">
        <v>107</v>
      </c>
      <c r="I576">
        <v>86</v>
      </c>
      <c r="J576">
        <v>520</v>
      </c>
      <c r="K576">
        <v>86.67</v>
      </c>
      <c r="L576">
        <f t="shared" si="8"/>
        <v>4</v>
      </c>
    </row>
    <row r="577" spans="1:12">
      <c r="A577">
        <v>479</v>
      </c>
      <c r="B577" s="131" t="s">
        <v>2970</v>
      </c>
      <c r="C577" t="s">
        <v>2971</v>
      </c>
      <c r="D577">
        <v>50</v>
      </c>
      <c r="E577">
        <v>65</v>
      </c>
      <c r="F577">
        <v>107</v>
      </c>
      <c r="G577">
        <v>105</v>
      </c>
      <c r="H577">
        <v>107</v>
      </c>
      <c r="I577">
        <v>86</v>
      </c>
      <c r="J577">
        <v>520</v>
      </c>
      <c r="K577">
        <v>86.67</v>
      </c>
      <c r="L577">
        <f t="shared" si="8"/>
        <v>4</v>
      </c>
    </row>
    <row r="578" spans="1:12">
      <c r="A578">
        <v>479</v>
      </c>
      <c r="B578" s="131" t="s">
        <v>2972</v>
      </c>
      <c r="C578" t="s">
        <v>2973</v>
      </c>
      <c r="D578">
        <v>50</v>
      </c>
      <c r="E578">
        <v>65</v>
      </c>
      <c r="F578">
        <v>107</v>
      </c>
      <c r="G578">
        <v>105</v>
      </c>
      <c r="H578">
        <v>107</v>
      </c>
      <c r="I578">
        <v>86</v>
      </c>
      <c r="J578">
        <v>520</v>
      </c>
      <c r="K578">
        <v>86.67</v>
      </c>
      <c r="L578">
        <f t="shared" si="8"/>
        <v>4</v>
      </c>
    </row>
    <row r="579" spans="1:12">
      <c r="A579">
        <v>479</v>
      </c>
      <c r="B579" s="131" t="s">
        <v>2974</v>
      </c>
      <c r="C579" t="s">
        <v>2975</v>
      </c>
      <c r="D579">
        <v>50</v>
      </c>
      <c r="E579">
        <v>65</v>
      </c>
      <c r="F579">
        <v>107</v>
      </c>
      <c r="G579">
        <v>105</v>
      </c>
      <c r="H579">
        <v>107</v>
      </c>
      <c r="I579">
        <v>86</v>
      </c>
      <c r="J579">
        <v>520</v>
      </c>
      <c r="K579">
        <v>86.67</v>
      </c>
      <c r="L579">
        <f t="shared" ref="L579:L642" si="9">LEN(B579)</f>
        <v>4</v>
      </c>
    </row>
    <row r="580" spans="1:12">
      <c r="A580">
        <v>479</v>
      </c>
      <c r="B580" s="131" t="s">
        <v>2976</v>
      </c>
      <c r="C580" t="s">
        <v>2977</v>
      </c>
      <c r="D580">
        <v>50</v>
      </c>
      <c r="E580">
        <v>65</v>
      </c>
      <c r="F580">
        <v>107</v>
      </c>
      <c r="G580">
        <v>105</v>
      </c>
      <c r="H580">
        <v>107</v>
      </c>
      <c r="I580">
        <v>86</v>
      </c>
      <c r="J580">
        <v>520</v>
      </c>
      <c r="K580">
        <v>86.67</v>
      </c>
      <c r="L580">
        <f t="shared" si="9"/>
        <v>4</v>
      </c>
    </row>
    <row r="581" spans="1:12">
      <c r="A581">
        <v>480</v>
      </c>
      <c r="B581" s="4" t="s">
        <v>3534</v>
      </c>
      <c r="C581" t="s">
        <v>518</v>
      </c>
      <c r="D581">
        <v>75</v>
      </c>
      <c r="E581">
        <v>75</v>
      </c>
      <c r="F581">
        <v>130</v>
      </c>
      <c r="G581">
        <v>75</v>
      </c>
      <c r="H581">
        <v>130</v>
      </c>
      <c r="I581">
        <v>95</v>
      </c>
      <c r="J581">
        <v>580</v>
      </c>
      <c r="K581">
        <v>96.67</v>
      </c>
      <c r="L581">
        <f t="shared" si="9"/>
        <v>4</v>
      </c>
    </row>
    <row r="582" spans="1:12">
      <c r="A582">
        <v>481</v>
      </c>
      <c r="B582" s="4" t="s">
        <v>3535</v>
      </c>
      <c r="C582" t="s">
        <v>519</v>
      </c>
      <c r="D582">
        <v>80</v>
      </c>
      <c r="E582">
        <v>105</v>
      </c>
      <c r="F582">
        <v>105</v>
      </c>
      <c r="G582">
        <v>105</v>
      </c>
      <c r="H582">
        <v>105</v>
      </c>
      <c r="I582">
        <v>80</v>
      </c>
      <c r="J582">
        <v>580</v>
      </c>
      <c r="K582">
        <v>96.67</v>
      </c>
      <c r="L582">
        <f t="shared" si="9"/>
        <v>4</v>
      </c>
    </row>
    <row r="583" spans="1:12">
      <c r="A583">
        <v>482</v>
      </c>
      <c r="B583" s="4" t="s">
        <v>3536</v>
      </c>
      <c r="C583" t="s">
        <v>520</v>
      </c>
      <c r="D583">
        <v>75</v>
      </c>
      <c r="E583">
        <v>125</v>
      </c>
      <c r="F583">
        <v>70</v>
      </c>
      <c r="G583">
        <v>125</v>
      </c>
      <c r="H583">
        <v>70</v>
      </c>
      <c r="I583">
        <v>115</v>
      </c>
      <c r="J583">
        <v>580</v>
      </c>
      <c r="K583">
        <v>96.67</v>
      </c>
      <c r="L583">
        <f t="shared" si="9"/>
        <v>4</v>
      </c>
    </row>
    <row r="584" spans="1:12">
      <c r="A584">
        <v>483</v>
      </c>
      <c r="B584" s="4" t="s">
        <v>2978</v>
      </c>
      <c r="C584" t="s">
        <v>521</v>
      </c>
      <c r="D584">
        <v>100</v>
      </c>
      <c r="E584">
        <v>120</v>
      </c>
      <c r="F584">
        <v>120</v>
      </c>
      <c r="G584">
        <v>150</v>
      </c>
      <c r="H584">
        <v>100</v>
      </c>
      <c r="I584">
        <v>90</v>
      </c>
      <c r="J584">
        <v>680</v>
      </c>
      <c r="K584">
        <v>113.33</v>
      </c>
      <c r="L584">
        <f t="shared" si="9"/>
        <v>4</v>
      </c>
    </row>
    <row r="585" spans="1:12">
      <c r="A585">
        <v>483</v>
      </c>
      <c r="B585" s="131" t="s">
        <v>3056</v>
      </c>
      <c r="C585" t="s">
        <v>2979</v>
      </c>
      <c r="D585">
        <v>100</v>
      </c>
      <c r="E585">
        <v>100</v>
      </c>
      <c r="F585">
        <v>120</v>
      </c>
      <c r="G585">
        <v>150</v>
      </c>
      <c r="H585">
        <v>120</v>
      </c>
      <c r="I585">
        <v>90</v>
      </c>
      <c r="J585">
        <v>680</v>
      </c>
      <c r="K585">
        <v>113.33</v>
      </c>
      <c r="L585">
        <f t="shared" si="9"/>
        <v>4</v>
      </c>
    </row>
    <row r="586" spans="1:12">
      <c r="A586">
        <v>484</v>
      </c>
      <c r="B586" s="4" t="s">
        <v>2980</v>
      </c>
      <c r="C586" t="s">
        <v>522</v>
      </c>
      <c r="D586">
        <v>90</v>
      </c>
      <c r="E586">
        <v>120</v>
      </c>
      <c r="F586">
        <v>100</v>
      </c>
      <c r="G586">
        <v>150</v>
      </c>
      <c r="H586">
        <v>120</v>
      </c>
      <c r="I586">
        <v>100</v>
      </c>
      <c r="J586">
        <v>680</v>
      </c>
      <c r="K586">
        <v>113.33</v>
      </c>
      <c r="L586">
        <f t="shared" si="9"/>
        <v>4</v>
      </c>
    </row>
    <row r="587" spans="1:12">
      <c r="A587">
        <v>484</v>
      </c>
      <c r="B587" s="131" t="s">
        <v>3054</v>
      </c>
      <c r="C587" t="s">
        <v>2981</v>
      </c>
      <c r="D587">
        <v>90</v>
      </c>
      <c r="E587">
        <v>100</v>
      </c>
      <c r="F587">
        <v>100</v>
      </c>
      <c r="G587">
        <v>150</v>
      </c>
      <c r="H587">
        <v>120</v>
      </c>
      <c r="I587">
        <v>120</v>
      </c>
      <c r="J587">
        <v>680</v>
      </c>
      <c r="K587">
        <v>113.33</v>
      </c>
      <c r="L587">
        <f t="shared" si="9"/>
        <v>4</v>
      </c>
    </row>
    <row r="588" spans="1:12">
      <c r="A588">
        <v>485</v>
      </c>
      <c r="B588" s="4" t="s">
        <v>3537</v>
      </c>
      <c r="C588" t="s">
        <v>523</v>
      </c>
      <c r="D588">
        <v>91</v>
      </c>
      <c r="E588">
        <v>90</v>
      </c>
      <c r="F588">
        <v>106</v>
      </c>
      <c r="G588">
        <v>130</v>
      </c>
      <c r="H588">
        <v>106</v>
      </c>
      <c r="I588">
        <v>77</v>
      </c>
      <c r="J588">
        <v>600</v>
      </c>
      <c r="K588">
        <v>100</v>
      </c>
      <c r="L588">
        <f t="shared" si="9"/>
        <v>4</v>
      </c>
    </row>
    <row r="589" spans="1:12">
      <c r="A589">
        <v>486</v>
      </c>
      <c r="B589" s="4" t="s">
        <v>3538</v>
      </c>
      <c r="C589" t="s">
        <v>524</v>
      </c>
      <c r="D589">
        <v>110</v>
      </c>
      <c r="E589">
        <v>160</v>
      </c>
      <c r="F589">
        <v>110</v>
      </c>
      <c r="G589">
        <v>80</v>
      </c>
      <c r="H589">
        <v>110</v>
      </c>
      <c r="I589">
        <v>100</v>
      </c>
      <c r="J589">
        <v>670</v>
      </c>
      <c r="K589">
        <v>111.67</v>
      </c>
      <c r="L589">
        <f t="shared" si="9"/>
        <v>4</v>
      </c>
    </row>
    <row r="590" spans="1:12">
      <c r="A590">
        <v>487</v>
      </c>
      <c r="B590" s="4" t="s">
        <v>2983</v>
      </c>
      <c r="C590" t="s">
        <v>2982</v>
      </c>
      <c r="D590">
        <v>150</v>
      </c>
      <c r="E590">
        <v>100</v>
      </c>
      <c r="F590">
        <v>120</v>
      </c>
      <c r="G590">
        <v>100</v>
      </c>
      <c r="H590">
        <v>120</v>
      </c>
      <c r="I590">
        <v>90</v>
      </c>
      <c r="J590">
        <v>680</v>
      </c>
      <c r="K590">
        <v>113.33</v>
      </c>
      <c r="L590">
        <f t="shared" si="9"/>
        <v>4</v>
      </c>
    </row>
    <row r="591" spans="1:12">
      <c r="A591">
        <v>487</v>
      </c>
      <c r="B591" s="131" t="s">
        <v>3055</v>
      </c>
      <c r="C591" t="s">
        <v>2984</v>
      </c>
      <c r="D591">
        <v>150</v>
      </c>
      <c r="E591">
        <v>120</v>
      </c>
      <c r="F591">
        <v>100</v>
      </c>
      <c r="G591">
        <v>120</v>
      </c>
      <c r="H591">
        <v>100</v>
      </c>
      <c r="I591">
        <v>90</v>
      </c>
      <c r="J591">
        <v>680</v>
      </c>
      <c r="K591">
        <v>113.33</v>
      </c>
      <c r="L591">
        <f t="shared" si="9"/>
        <v>4</v>
      </c>
    </row>
    <row r="592" spans="1:12">
      <c r="A592">
        <v>488</v>
      </c>
      <c r="B592" s="4" t="s">
        <v>3539</v>
      </c>
      <c r="C592" t="s">
        <v>527</v>
      </c>
      <c r="D592">
        <v>120</v>
      </c>
      <c r="E592">
        <v>70</v>
      </c>
      <c r="F592">
        <v>120</v>
      </c>
      <c r="G592">
        <v>75</v>
      </c>
      <c r="H592">
        <v>130</v>
      </c>
      <c r="I592">
        <v>85</v>
      </c>
      <c r="J592">
        <v>600</v>
      </c>
      <c r="K592">
        <v>100</v>
      </c>
      <c r="L592">
        <f t="shared" si="9"/>
        <v>4</v>
      </c>
    </row>
    <row r="593" spans="1:12">
      <c r="A593">
        <v>489</v>
      </c>
      <c r="B593" s="4" t="s">
        <v>3540</v>
      </c>
      <c r="C593" t="s">
        <v>528</v>
      </c>
      <c r="D593">
        <v>80</v>
      </c>
      <c r="E593">
        <v>80</v>
      </c>
      <c r="F593">
        <v>80</v>
      </c>
      <c r="G593">
        <v>80</v>
      </c>
      <c r="H593">
        <v>80</v>
      </c>
      <c r="I593">
        <v>80</v>
      </c>
      <c r="J593">
        <v>480</v>
      </c>
      <c r="K593">
        <v>80</v>
      </c>
      <c r="L593">
        <f t="shared" si="9"/>
        <v>4</v>
      </c>
    </row>
    <row r="594" spans="1:12">
      <c r="A594">
        <v>490</v>
      </c>
      <c r="B594" s="4" t="s">
        <v>3541</v>
      </c>
      <c r="C594" t="s">
        <v>529</v>
      </c>
      <c r="D594">
        <v>100</v>
      </c>
      <c r="E594">
        <v>100</v>
      </c>
      <c r="F594">
        <v>100</v>
      </c>
      <c r="G594">
        <v>100</v>
      </c>
      <c r="H594">
        <v>100</v>
      </c>
      <c r="I594">
        <v>100</v>
      </c>
      <c r="J594">
        <v>600</v>
      </c>
      <c r="K594">
        <v>100</v>
      </c>
      <c r="L594">
        <f t="shared" si="9"/>
        <v>4</v>
      </c>
    </row>
    <row r="595" spans="1:12">
      <c r="A595">
        <v>491</v>
      </c>
      <c r="B595" s="4" t="s">
        <v>3542</v>
      </c>
      <c r="C595" t="s">
        <v>530</v>
      </c>
      <c r="D595">
        <v>70</v>
      </c>
      <c r="E595">
        <v>90</v>
      </c>
      <c r="F595">
        <v>90</v>
      </c>
      <c r="G595">
        <v>135</v>
      </c>
      <c r="H595">
        <v>90</v>
      </c>
      <c r="I595">
        <v>125</v>
      </c>
      <c r="J595">
        <v>600</v>
      </c>
      <c r="K595">
        <v>100</v>
      </c>
      <c r="L595">
        <f t="shared" si="9"/>
        <v>4</v>
      </c>
    </row>
    <row r="596" spans="1:12">
      <c r="A596">
        <v>492</v>
      </c>
      <c r="B596" s="4" t="s">
        <v>3543</v>
      </c>
      <c r="C596" t="s">
        <v>2985</v>
      </c>
      <c r="D596">
        <v>100</v>
      </c>
      <c r="E596">
        <v>100</v>
      </c>
      <c r="F596">
        <v>100</v>
      </c>
      <c r="G596">
        <v>100</v>
      </c>
      <c r="H596">
        <v>100</v>
      </c>
      <c r="I596">
        <v>100</v>
      </c>
      <c r="J596">
        <v>600</v>
      </c>
      <c r="K596">
        <v>100</v>
      </c>
      <c r="L596">
        <f t="shared" si="9"/>
        <v>4</v>
      </c>
    </row>
    <row r="597" spans="1:12">
      <c r="A597">
        <v>492</v>
      </c>
      <c r="B597" s="131" t="s">
        <v>2986</v>
      </c>
      <c r="C597" t="s">
        <v>2987</v>
      </c>
      <c r="D597">
        <v>100</v>
      </c>
      <c r="E597">
        <v>103</v>
      </c>
      <c r="F597">
        <v>75</v>
      </c>
      <c r="G597">
        <v>120</v>
      </c>
      <c r="H597">
        <v>75</v>
      </c>
      <c r="I597">
        <v>127</v>
      </c>
      <c r="J597">
        <v>600</v>
      </c>
      <c r="K597">
        <v>100</v>
      </c>
      <c r="L597">
        <f t="shared" si="9"/>
        <v>4</v>
      </c>
    </row>
    <row r="598" spans="1:12">
      <c r="A598">
        <v>493</v>
      </c>
      <c r="B598" s="4" t="s">
        <v>3544</v>
      </c>
      <c r="C598" t="s">
        <v>533</v>
      </c>
      <c r="D598">
        <v>120</v>
      </c>
      <c r="E598">
        <v>120</v>
      </c>
      <c r="F598">
        <v>120</v>
      </c>
      <c r="G598">
        <v>120</v>
      </c>
      <c r="H598">
        <v>120</v>
      </c>
      <c r="I598">
        <v>120</v>
      </c>
      <c r="J598">
        <v>720</v>
      </c>
      <c r="K598">
        <v>120</v>
      </c>
      <c r="L598">
        <f t="shared" si="9"/>
        <v>4</v>
      </c>
    </row>
    <row r="599" spans="1:12">
      <c r="A599">
        <v>494</v>
      </c>
      <c r="B599" s="4" t="s">
        <v>3545</v>
      </c>
      <c r="C599" t="s">
        <v>534</v>
      </c>
      <c r="D599">
        <v>100</v>
      </c>
      <c r="E599">
        <v>100</v>
      </c>
      <c r="F599">
        <v>100</v>
      </c>
      <c r="G599">
        <v>100</v>
      </c>
      <c r="H599">
        <v>100</v>
      </c>
      <c r="I599">
        <v>100</v>
      </c>
      <c r="J599">
        <v>600</v>
      </c>
      <c r="K599">
        <v>100</v>
      </c>
      <c r="L599">
        <f t="shared" si="9"/>
        <v>4</v>
      </c>
    </row>
    <row r="600" spans="1:12">
      <c r="A600">
        <v>495</v>
      </c>
      <c r="B600" s="4" t="s">
        <v>3546</v>
      </c>
      <c r="C600" t="s">
        <v>535</v>
      </c>
      <c r="D600">
        <v>45</v>
      </c>
      <c r="E600">
        <v>45</v>
      </c>
      <c r="F600">
        <v>55</v>
      </c>
      <c r="G600">
        <v>45</v>
      </c>
      <c r="H600">
        <v>55</v>
      </c>
      <c r="I600">
        <v>63</v>
      </c>
      <c r="J600">
        <v>308</v>
      </c>
      <c r="K600">
        <v>51.33</v>
      </c>
      <c r="L600">
        <f t="shared" si="9"/>
        <v>4</v>
      </c>
    </row>
    <row r="601" spans="1:12">
      <c r="A601">
        <v>496</v>
      </c>
      <c r="B601" s="4" t="s">
        <v>3547</v>
      </c>
      <c r="C601" t="s">
        <v>536</v>
      </c>
      <c r="D601">
        <v>60</v>
      </c>
      <c r="E601">
        <v>60</v>
      </c>
      <c r="F601">
        <v>75</v>
      </c>
      <c r="G601">
        <v>60</v>
      </c>
      <c r="H601">
        <v>75</v>
      </c>
      <c r="I601">
        <v>83</v>
      </c>
      <c r="J601">
        <v>413</v>
      </c>
      <c r="K601">
        <v>68.83</v>
      </c>
      <c r="L601">
        <f t="shared" si="9"/>
        <v>4</v>
      </c>
    </row>
    <row r="602" spans="1:12">
      <c r="A602">
        <v>497</v>
      </c>
      <c r="B602" s="4" t="s">
        <v>3548</v>
      </c>
      <c r="C602" t="s">
        <v>537</v>
      </c>
      <c r="D602">
        <v>75</v>
      </c>
      <c r="E602">
        <v>75</v>
      </c>
      <c r="F602">
        <v>95</v>
      </c>
      <c r="G602">
        <v>75</v>
      </c>
      <c r="H602">
        <v>95</v>
      </c>
      <c r="I602">
        <v>113</v>
      </c>
      <c r="J602">
        <v>528</v>
      </c>
      <c r="K602">
        <v>88</v>
      </c>
      <c r="L602">
        <f t="shared" si="9"/>
        <v>4</v>
      </c>
    </row>
    <row r="603" spans="1:12">
      <c r="A603">
        <v>498</v>
      </c>
      <c r="B603" s="4" t="s">
        <v>3549</v>
      </c>
      <c r="C603" t="s">
        <v>538</v>
      </c>
      <c r="D603">
        <v>65</v>
      </c>
      <c r="E603">
        <v>63</v>
      </c>
      <c r="F603">
        <v>45</v>
      </c>
      <c r="G603">
        <v>45</v>
      </c>
      <c r="H603">
        <v>45</v>
      </c>
      <c r="I603">
        <v>45</v>
      </c>
      <c r="J603">
        <v>308</v>
      </c>
      <c r="K603">
        <v>51.33</v>
      </c>
      <c r="L603">
        <f t="shared" si="9"/>
        <v>4</v>
      </c>
    </row>
    <row r="604" spans="1:12">
      <c r="A604">
        <v>499</v>
      </c>
      <c r="B604" s="4" t="s">
        <v>3550</v>
      </c>
      <c r="C604" t="s">
        <v>539</v>
      </c>
      <c r="D604">
        <v>90</v>
      </c>
      <c r="E604">
        <v>93</v>
      </c>
      <c r="F604">
        <v>55</v>
      </c>
      <c r="G604">
        <v>70</v>
      </c>
      <c r="H604">
        <v>55</v>
      </c>
      <c r="I604">
        <v>55</v>
      </c>
      <c r="J604">
        <v>418</v>
      </c>
      <c r="K604">
        <v>69.67</v>
      </c>
      <c r="L604">
        <f t="shared" si="9"/>
        <v>4</v>
      </c>
    </row>
    <row r="605" spans="1:12">
      <c r="A605">
        <v>500</v>
      </c>
      <c r="B605" s="4" t="s">
        <v>3551</v>
      </c>
      <c r="C605" t="s">
        <v>540</v>
      </c>
      <c r="D605">
        <v>110</v>
      </c>
      <c r="E605">
        <v>123</v>
      </c>
      <c r="F605">
        <v>65</v>
      </c>
      <c r="G605">
        <v>100</v>
      </c>
      <c r="H605">
        <v>65</v>
      </c>
      <c r="I605">
        <v>65</v>
      </c>
      <c r="J605">
        <v>528</v>
      </c>
      <c r="K605">
        <v>88</v>
      </c>
      <c r="L605">
        <f t="shared" si="9"/>
        <v>4</v>
      </c>
    </row>
    <row r="606" spans="1:12">
      <c r="A606">
        <v>501</v>
      </c>
      <c r="B606" s="4" t="s">
        <v>3552</v>
      </c>
      <c r="C606" t="s">
        <v>541</v>
      </c>
      <c r="D606">
        <v>55</v>
      </c>
      <c r="E606">
        <v>55</v>
      </c>
      <c r="F606">
        <v>45</v>
      </c>
      <c r="G606">
        <v>63</v>
      </c>
      <c r="H606">
        <v>45</v>
      </c>
      <c r="I606">
        <v>45</v>
      </c>
      <c r="J606">
        <v>308</v>
      </c>
      <c r="K606">
        <v>51.33</v>
      </c>
      <c r="L606">
        <f t="shared" si="9"/>
        <v>4</v>
      </c>
    </row>
    <row r="607" spans="1:12">
      <c r="A607">
        <v>502</v>
      </c>
      <c r="B607" s="4" t="s">
        <v>3553</v>
      </c>
      <c r="C607" t="s">
        <v>542</v>
      </c>
      <c r="D607">
        <v>75</v>
      </c>
      <c r="E607">
        <v>75</v>
      </c>
      <c r="F607">
        <v>60</v>
      </c>
      <c r="G607">
        <v>83</v>
      </c>
      <c r="H607">
        <v>60</v>
      </c>
      <c r="I607">
        <v>60</v>
      </c>
      <c r="J607">
        <v>413</v>
      </c>
      <c r="K607">
        <v>68.83</v>
      </c>
      <c r="L607">
        <f t="shared" si="9"/>
        <v>4</v>
      </c>
    </row>
    <row r="608" spans="1:12">
      <c r="A608">
        <v>503</v>
      </c>
      <c r="B608" s="4" t="s">
        <v>3554</v>
      </c>
      <c r="C608" t="s">
        <v>543</v>
      </c>
      <c r="D608">
        <v>95</v>
      </c>
      <c r="E608">
        <v>100</v>
      </c>
      <c r="F608">
        <v>85</v>
      </c>
      <c r="G608">
        <v>108</v>
      </c>
      <c r="H608">
        <v>70</v>
      </c>
      <c r="I608">
        <v>70</v>
      </c>
      <c r="J608">
        <v>528</v>
      </c>
      <c r="K608">
        <v>88</v>
      </c>
      <c r="L608">
        <f t="shared" si="9"/>
        <v>4</v>
      </c>
    </row>
    <row r="609" spans="1:12">
      <c r="A609">
        <v>503</v>
      </c>
      <c r="B609" s="131" t="s">
        <v>2988</v>
      </c>
      <c r="C609" t="s">
        <v>2989</v>
      </c>
      <c r="D609">
        <v>90</v>
      </c>
      <c r="E609">
        <v>108</v>
      </c>
      <c r="F609">
        <v>80</v>
      </c>
      <c r="G609">
        <v>100</v>
      </c>
      <c r="H609">
        <v>65</v>
      </c>
      <c r="I609">
        <v>85</v>
      </c>
      <c r="J609">
        <v>528</v>
      </c>
      <c r="K609">
        <v>88</v>
      </c>
      <c r="L609">
        <f t="shared" si="9"/>
        <v>4</v>
      </c>
    </row>
    <row r="610" spans="1:12">
      <c r="A610">
        <v>504</v>
      </c>
      <c r="B610" s="4" t="s">
        <v>3555</v>
      </c>
      <c r="C610" t="s">
        <v>544</v>
      </c>
      <c r="D610">
        <v>45</v>
      </c>
      <c r="E610">
        <v>55</v>
      </c>
      <c r="F610">
        <v>39</v>
      </c>
      <c r="G610">
        <v>35</v>
      </c>
      <c r="H610">
        <v>39</v>
      </c>
      <c r="I610">
        <v>42</v>
      </c>
      <c r="J610">
        <v>255</v>
      </c>
      <c r="K610">
        <v>42.5</v>
      </c>
      <c r="L610">
        <f t="shared" si="9"/>
        <v>4</v>
      </c>
    </row>
    <row r="611" spans="1:12">
      <c r="A611">
        <v>505</v>
      </c>
      <c r="B611" s="4" t="s">
        <v>3556</v>
      </c>
      <c r="C611" t="s">
        <v>545</v>
      </c>
      <c r="D611">
        <v>60</v>
      </c>
      <c r="E611">
        <v>85</v>
      </c>
      <c r="F611">
        <v>69</v>
      </c>
      <c r="G611">
        <v>60</v>
      </c>
      <c r="H611">
        <v>69</v>
      </c>
      <c r="I611">
        <v>77</v>
      </c>
      <c r="J611">
        <v>420</v>
      </c>
      <c r="K611">
        <v>70</v>
      </c>
      <c r="L611">
        <f t="shared" si="9"/>
        <v>4</v>
      </c>
    </row>
    <row r="612" spans="1:12">
      <c r="A612">
        <v>506</v>
      </c>
      <c r="B612" s="4" t="s">
        <v>3557</v>
      </c>
      <c r="C612" t="s">
        <v>546</v>
      </c>
      <c r="D612">
        <v>45</v>
      </c>
      <c r="E612">
        <v>60</v>
      </c>
      <c r="F612">
        <v>45</v>
      </c>
      <c r="G612">
        <v>25</v>
      </c>
      <c r="H612">
        <v>45</v>
      </c>
      <c r="I612">
        <v>55</v>
      </c>
      <c r="J612">
        <v>275</v>
      </c>
      <c r="K612">
        <v>45.83</v>
      </c>
      <c r="L612">
        <f t="shared" si="9"/>
        <v>4</v>
      </c>
    </row>
    <row r="613" spans="1:12">
      <c r="A613">
        <v>507</v>
      </c>
      <c r="B613" s="4" t="s">
        <v>3558</v>
      </c>
      <c r="C613" t="s">
        <v>547</v>
      </c>
      <c r="D613">
        <v>65</v>
      </c>
      <c r="E613">
        <v>80</v>
      </c>
      <c r="F613">
        <v>65</v>
      </c>
      <c r="G613">
        <v>35</v>
      </c>
      <c r="H613">
        <v>65</v>
      </c>
      <c r="I613">
        <v>60</v>
      </c>
      <c r="J613">
        <v>370</v>
      </c>
      <c r="K613">
        <v>61.67</v>
      </c>
      <c r="L613">
        <f t="shared" si="9"/>
        <v>4</v>
      </c>
    </row>
    <row r="614" spans="1:12">
      <c r="A614">
        <v>508</v>
      </c>
      <c r="B614" s="4" t="s">
        <v>3559</v>
      </c>
      <c r="C614" t="s">
        <v>548</v>
      </c>
      <c r="D614">
        <v>85</v>
      </c>
      <c r="E614">
        <v>110</v>
      </c>
      <c r="F614">
        <v>90</v>
      </c>
      <c r="G614">
        <v>45</v>
      </c>
      <c r="H614">
        <v>90</v>
      </c>
      <c r="I614">
        <v>80</v>
      </c>
      <c r="J614">
        <v>500</v>
      </c>
      <c r="K614">
        <v>83.33</v>
      </c>
      <c r="L614">
        <f t="shared" si="9"/>
        <v>4</v>
      </c>
    </row>
    <row r="615" spans="1:12">
      <c r="A615">
        <v>509</v>
      </c>
      <c r="B615" s="4" t="s">
        <v>3560</v>
      </c>
      <c r="C615" t="s">
        <v>549</v>
      </c>
      <c r="D615">
        <v>41</v>
      </c>
      <c r="E615">
        <v>50</v>
      </c>
      <c r="F615">
        <v>37</v>
      </c>
      <c r="G615">
        <v>50</v>
      </c>
      <c r="H615">
        <v>37</v>
      </c>
      <c r="I615">
        <v>66</v>
      </c>
      <c r="J615">
        <v>281</v>
      </c>
      <c r="K615">
        <v>46.83</v>
      </c>
      <c r="L615">
        <f t="shared" si="9"/>
        <v>4</v>
      </c>
    </row>
    <row r="616" spans="1:12">
      <c r="A616">
        <v>510</v>
      </c>
      <c r="B616" s="4" t="s">
        <v>3561</v>
      </c>
      <c r="C616" t="s">
        <v>550</v>
      </c>
      <c r="D616">
        <v>64</v>
      </c>
      <c r="E616">
        <v>88</v>
      </c>
      <c r="F616">
        <v>50</v>
      </c>
      <c r="G616">
        <v>88</v>
      </c>
      <c r="H616">
        <v>50</v>
      </c>
      <c r="I616">
        <v>106</v>
      </c>
      <c r="J616">
        <v>446</v>
      </c>
      <c r="K616">
        <v>74.33</v>
      </c>
      <c r="L616">
        <f t="shared" si="9"/>
        <v>4</v>
      </c>
    </row>
    <row r="617" spans="1:12">
      <c r="A617">
        <v>511</v>
      </c>
      <c r="B617" s="4" t="s">
        <v>3562</v>
      </c>
      <c r="C617" t="s">
        <v>551</v>
      </c>
      <c r="D617">
        <v>50</v>
      </c>
      <c r="E617">
        <v>53</v>
      </c>
      <c r="F617">
        <v>48</v>
      </c>
      <c r="G617">
        <v>53</v>
      </c>
      <c r="H617">
        <v>48</v>
      </c>
      <c r="I617">
        <v>64</v>
      </c>
      <c r="J617">
        <v>316</v>
      </c>
      <c r="K617">
        <v>52.67</v>
      </c>
      <c r="L617">
        <f t="shared" si="9"/>
        <v>4</v>
      </c>
    </row>
    <row r="618" spans="1:12">
      <c r="A618">
        <v>512</v>
      </c>
      <c r="B618" s="4" t="s">
        <v>3563</v>
      </c>
      <c r="C618" t="s">
        <v>552</v>
      </c>
      <c r="D618">
        <v>75</v>
      </c>
      <c r="E618">
        <v>98</v>
      </c>
      <c r="F618">
        <v>63</v>
      </c>
      <c r="G618">
        <v>98</v>
      </c>
      <c r="H618">
        <v>63</v>
      </c>
      <c r="I618">
        <v>101</v>
      </c>
      <c r="J618">
        <v>498</v>
      </c>
      <c r="K618">
        <v>83</v>
      </c>
      <c r="L618">
        <f t="shared" si="9"/>
        <v>4</v>
      </c>
    </row>
    <row r="619" spans="1:12">
      <c r="A619">
        <v>513</v>
      </c>
      <c r="B619" s="4" t="s">
        <v>3564</v>
      </c>
      <c r="C619" t="s">
        <v>553</v>
      </c>
      <c r="D619">
        <v>50</v>
      </c>
      <c r="E619">
        <v>53</v>
      </c>
      <c r="F619">
        <v>48</v>
      </c>
      <c r="G619">
        <v>53</v>
      </c>
      <c r="H619">
        <v>48</v>
      </c>
      <c r="I619">
        <v>64</v>
      </c>
      <c r="J619">
        <v>316</v>
      </c>
      <c r="K619">
        <v>52.67</v>
      </c>
      <c r="L619">
        <f t="shared" si="9"/>
        <v>4</v>
      </c>
    </row>
    <row r="620" spans="1:12">
      <c r="A620">
        <v>514</v>
      </c>
      <c r="B620" s="4" t="s">
        <v>3565</v>
      </c>
      <c r="C620" t="s">
        <v>554</v>
      </c>
      <c r="D620">
        <v>75</v>
      </c>
      <c r="E620">
        <v>98</v>
      </c>
      <c r="F620">
        <v>63</v>
      </c>
      <c r="G620">
        <v>98</v>
      </c>
      <c r="H620">
        <v>63</v>
      </c>
      <c r="I620">
        <v>101</v>
      </c>
      <c r="J620">
        <v>498</v>
      </c>
      <c r="K620">
        <v>83</v>
      </c>
      <c r="L620">
        <f t="shared" si="9"/>
        <v>4</v>
      </c>
    </row>
    <row r="621" spans="1:12">
      <c r="A621">
        <v>515</v>
      </c>
      <c r="B621" s="4" t="s">
        <v>3566</v>
      </c>
      <c r="C621" t="s">
        <v>555</v>
      </c>
      <c r="D621">
        <v>50</v>
      </c>
      <c r="E621">
        <v>53</v>
      </c>
      <c r="F621">
        <v>48</v>
      </c>
      <c r="G621">
        <v>53</v>
      </c>
      <c r="H621">
        <v>48</v>
      </c>
      <c r="I621">
        <v>64</v>
      </c>
      <c r="J621">
        <v>316</v>
      </c>
      <c r="K621">
        <v>52.67</v>
      </c>
      <c r="L621">
        <f t="shared" si="9"/>
        <v>4</v>
      </c>
    </row>
    <row r="622" spans="1:12">
      <c r="A622">
        <v>516</v>
      </c>
      <c r="B622" s="4" t="s">
        <v>3567</v>
      </c>
      <c r="C622" t="s">
        <v>556</v>
      </c>
      <c r="D622">
        <v>75</v>
      </c>
      <c r="E622">
        <v>98</v>
      </c>
      <c r="F622">
        <v>63</v>
      </c>
      <c r="G622">
        <v>98</v>
      </c>
      <c r="H622">
        <v>63</v>
      </c>
      <c r="I622">
        <v>101</v>
      </c>
      <c r="J622">
        <v>498</v>
      </c>
      <c r="K622">
        <v>83</v>
      </c>
      <c r="L622">
        <f t="shared" si="9"/>
        <v>4</v>
      </c>
    </row>
    <row r="623" spans="1:12">
      <c r="A623">
        <v>517</v>
      </c>
      <c r="B623" s="4" t="s">
        <v>3568</v>
      </c>
      <c r="C623" t="s">
        <v>557</v>
      </c>
      <c r="D623">
        <v>76</v>
      </c>
      <c r="E623">
        <v>25</v>
      </c>
      <c r="F623">
        <v>45</v>
      </c>
      <c r="G623">
        <v>67</v>
      </c>
      <c r="H623">
        <v>55</v>
      </c>
      <c r="I623">
        <v>24</v>
      </c>
      <c r="J623">
        <v>292</v>
      </c>
      <c r="K623">
        <v>48.67</v>
      </c>
      <c r="L623">
        <f t="shared" si="9"/>
        <v>4</v>
      </c>
    </row>
    <row r="624" spans="1:12">
      <c r="A624">
        <v>518</v>
      </c>
      <c r="B624" s="4" t="s">
        <v>3569</v>
      </c>
      <c r="C624" t="s">
        <v>558</v>
      </c>
      <c r="D624">
        <v>116</v>
      </c>
      <c r="E624">
        <v>55</v>
      </c>
      <c r="F624">
        <v>85</v>
      </c>
      <c r="G624">
        <v>107</v>
      </c>
      <c r="H624">
        <v>95</v>
      </c>
      <c r="I624">
        <v>29</v>
      </c>
      <c r="J624">
        <v>487</v>
      </c>
      <c r="K624">
        <v>81.17</v>
      </c>
      <c r="L624">
        <f t="shared" si="9"/>
        <v>4</v>
      </c>
    </row>
    <row r="625" spans="1:12">
      <c r="A625">
        <v>519</v>
      </c>
      <c r="B625" s="4" t="s">
        <v>3570</v>
      </c>
      <c r="C625" t="s">
        <v>559</v>
      </c>
      <c r="D625">
        <v>50</v>
      </c>
      <c r="E625">
        <v>55</v>
      </c>
      <c r="F625">
        <v>50</v>
      </c>
      <c r="G625">
        <v>36</v>
      </c>
      <c r="H625">
        <v>30</v>
      </c>
      <c r="I625">
        <v>43</v>
      </c>
      <c r="J625">
        <v>264</v>
      </c>
      <c r="K625">
        <v>44</v>
      </c>
      <c r="L625">
        <f t="shared" si="9"/>
        <v>4</v>
      </c>
    </row>
    <row r="626" spans="1:12">
      <c r="A626">
        <v>520</v>
      </c>
      <c r="B626" s="4" t="s">
        <v>3571</v>
      </c>
      <c r="C626" t="s">
        <v>560</v>
      </c>
      <c r="D626">
        <v>62</v>
      </c>
      <c r="E626">
        <v>77</v>
      </c>
      <c r="F626">
        <v>62</v>
      </c>
      <c r="G626">
        <v>50</v>
      </c>
      <c r="H626">
        <v>42</v>
      </c>
      <c r="I626">
        <v>65</v>
      </c>
      <c r="J626">
        <v>358</v>
      </c>
      <c r="K626">
        <v>59.67</v>
      </c>
      <c r="L626">
        <f t="shared" si="9"/>
        <v>4</v>
      </c>
    </row>
    <row r="627" spans="1:12">
      <c r="A627">
        <v>521</v>
      </c>
      <c r="B627" s="4" t="s">
        <v>3572</v>
      </c>
      <c r="C627" t="s">
        <v>561</v>
      </c>
      <c r="D627">
        <v>80</v>
      </c>
      <c r="E627">
        <v>115</v>
      </c>
      <c r="F627">
        <v>80</v>
      </c>
      <c r="G627">
        <v>65</v>
      </c>
      <c r="H627">
        <v>55</v>
      </c>
      <c r="I627">
        <v>93</v>
      </c>
      <c r="J627">
        <v>488</v>
      </c>
      <c r="K627">
        <v>81.33</v>
      </c>
      <c r="L627">
        <f t="shared" si="9"/>
        <v>4</v>
      </c>
    </row>
    <row r="628" spans="1:12">
      <c r="A628">
        <v>522</v>
      </c>
      <c r="B628" s="4" t="s">
        <v>3573</v>
      </c>
      <c r="C628" t="s">
        <v>562</v>
      </c>
      <c r="D628">
        <v>45</v>
      </c>
      <c r="E628">
        <v>60</v>
      </c>
      <c r="F628">
        <v>32</v>
      </c>
      <c r="G628">
        <v>50</v>
      </c>
      <c r="H628">
        <v>32</v>
      </c>
      <c r="I628">
        <v>76</v>
      </c>
      <c r="J628">
        <v>295</v>
      </c>
      <c r="K628">
        <v>49.17</v>
      </c>
      <c r="L628">
        <f t="shared" si="9"/>
        <v>4</v>
      </c>
    </row>
    <row r="629" spans="1:12">
      <c r="A629">
        <v>523</v>
      </c>
      <c r="B629" s="4" t="s">
        <v>3574</v>
      </c>
      <c r="C629" t="s">
        <v>563</v>
      </c>
      <c r="D629">
        <v>75</v>
      </c>
      <c r="E629">
        <v>100</v>
      </c>
      <c r="F629">
        <v>63</v>
      </c>
      <c r="G629">
        <v>80</v>
      </c>
      <c r="H629">
        <v>63</v>
      </c>
      <c r="I629">
        <v>116</v>
      </c>
      <c r="J629">
        <v>497</v>
      </c>
      <c r="K629">
        <v>82.83</v>
      </c>
      <c r="L629">
        <f t="shared" si="9"/>
        <v>4</v>
      </c>
    </row>
    <row r="630" spans="1:12">
      <c r="A630">
        <v>524</v>
      </c>
      <c r="B630" s="4" t="s">
        <v>3575</v>
      </c>
      <c r="C630" t="s">
        <v>564</v>
      </c>
      <c r="D630">
        <v>55</v>
      </c>
      <c r="E630">
        <v>75</v>
      </c>
      <c r="F630">
        <v>85</v>
      </c>
      <c r="G630">
        <v>25</v>
      </c>
      <c r="H630">
        <v>25</v>
      </c>
      <c r="I630">
        <v>15</v>
      </c>
      <c r="J630">
        <v>280</v>
      </c>
      <c r="K630">
        <v>46.67</v>
      </c>
      <c r="L630">
        <f t="shared" si="9"/>
        <v>4</v>
      </c>
    </row>
    <row r="631" spans="1:12">
      <c r="A631">
        <v>525</v>
      </c>
      <c r="B631" s="4" t="s">
        <v>3576</v>
      </c>
      <c r="C631" t="s">
        <v>565</v>
      </c>
      <c r="D631">
        <v>70</v>
      </c>
      <c r="E631">
        <v>105</v>
      </c>
      <c r="F631">
        <v>105</v>
      </c>
      <c r="G631">
        <v>50</v>
      </c>
      <c r="H631">
        <v>40</v>
      </c>
      <c r="I631">
        <v>20</v>
      </c>
      <c r="J631">
        <v>390</v>
      </c>
      <c r="K631">
        <v>65</v>
      </c>
      <c r="L631">
        <f t="shared" si="9"/>
        <v>4</v>
      </c>
    </row>
    <row r="632" spans="1:12">
      <c r="A632">
        <v>526</v>
      </c>
      <c r="B632" s="4" t="s">
        <v>3577</v>
      </c>
      <c r="C632" t="s">
        <v>566</v>
      </c>
      <c r="D632">
        <v>85</v>
      </c>
      <c r="E632">
        <v>135</v>
      </c>
      <c r="F632">
        <v>130</v>
      </c>
      <c r="G632">
        <v>60</v>
      </c>
      <c r="H632">
        <v>80</v>
      </c>
      <c r="I632">
        <v>25</v>
      </c>
      <c r="J632">
        <v>515</v>
      </c>
      <c r="K632">
        <v>85.83</v>
      </c>
      <c r="L632">
        <f t="shared" si="9"/>
        <v>4</v>
      </c>
    </row>
    <row r="633" spans="1:12">
      <c r="A633">
        <v>527</v>
      </c>
      <c r="B633" s="4" t="s">
        <v>3578</v>
      </c>
      <c r="C633" t="s">
        <v>567</v>
      </c>
      <c r="D633">
        <v>65</v>
      </c>
      <c r="E633">
        <v>45</v>
      </c>
      <c r="F633">
        <v>43</v>
      </c>
      <c r="G633">
        <v>55</v>
      </c>
      <c r="H633">
        <v>43</v>
      </c>
      <c r="I633">
        <v>72</v>
      </c>
      <c r="J633">
        <v>323</v>
      </c>
      <c r="K633">
        <v>53.83</v>
      </c>
      <c r="L633">
        <f t="shared" si="9"/>
        <v>4</v>
      </c>
    </row>
    <row r="634" spans="1:12">
      <c r="A634">
        <v>528</v>
      </c>
      <c r="B634" s="4" t="s">
        <v>3579</v>
      </c>
      <c r="C634" t="s">
        <v>568</v>
      </c>
      <c r="D634">
        <v>67</v>
      </c>
      <c r="E634">
        <v>57</v>
      </c>
      <c r="F634">
        <v>55</v>
      </c>
      <c r="G634">
        <v>77</v>
      </c>
      <c r="H634">
        <v>55</v>
      </c>
      <c r="I634">
        <v>114</v>
      </c>
      <c r="J634">
        <v>425</v>
      </c>
      <c r="K634">
        <v>70.83</v>
      </c>
      <c r="L634">
        <f t="shared" si="9"/>
        <v>4</v>
      </c>
    </row>
    <row r="635" spans="1:12">
      <c r="A635">
        <v>529</v>
      </c>
      <c r="B635" s="4" t="s">
        <v>3580</v>
      </c>
      <c r="C635" t="s">
        <v>569</v>
      </c>
      <c r="D635">
        <v>60</v>
      </c>
      <c r="E635">
        <v>85</v>
      </c>
      <c r="F635">
        <v>40</v>
      </c>
      <c r="G635">
        <v>30</v>
      </c>
      <c r="H635">
        <v>45</v>
      </c>
      <c r="I635">
        <v>68</v>
      </c>
      <c r="J635">
        <v>328</v>
      </c>
      <c r="K635">
        <v>54.67</v>
      </c>
      <c r="L635">
        <f t="shared" si="9"/>
        <v>4</v>
      </c>
    </row>
    <row r="636" spans="1:12">
      <c r="A636">
        <v>530</v>
      </c>
      <c r="B636" s="4" t="s">
        <v>3581</v>
      </c>
      <c r="C636" t="s">
        <v>570</v>
      </c>
      <c r="D636">
        <v>110</v>
      </c>
      <c r="E636">
        <v>135</v>
      </c>
      <c r="F636">
        <v>60</v>
      </c>
      <c r="G636">
        <v>50</v>
      </c>
      <c r="H636">
        <v>65</v>
      </c>
      <c r="I636">
        <v>88</v>
      </c>
      <c r="J636">
        <v>508</v>
      </c>
      <c r="K636">
        <v>84.67</v>
      </c>
      <c r="L636">
        <f t="shared" si="9"/>
        <v>4</v>
      </c>
    </row>
    <row r="637" spans="1:12">
      <c r="A637">
        <v>531</v>
      </c>
      <c r="B637" s="4" t="s">
        <v>3582</v>
      </c>
      <c r="C637" t="s">
        <v>571</v>
      </c>
      <c r="D637">
        <v>103</v>
      </c>
      <c r="E637">
        <v>60</v>
      </c>
      <c r="F637">
        <v>86</v>
      </c>
      <c r="G637">
        <v>60</v>
      </c>
      <c r="H637">
        <v>86</v>
      </c>
      <c r="I637">
        <v>50</v>
      </c>
      <c r="J637">
        <v>445</v>
      </c>
      <c r="K637">
        <v>74.17</v>
      </c>
      <c r="L637">
        <f t="shared" si="9"/>
        <v>4</v>
      </c>
    </row>
    <row r="638" spans="1:12">
      <c r="A638">
        <v>531</v>
      </c>
      <c r="B638" s="131" t="s">
        <v>2990</v>
      </c>
      <c r="C638" t="s">
        <v>2991</v>
      </c>
      <c r="D638">
        <v>103</v>
      </c>
      <c r="E638">
        <v>60</v>
      </c>
      <c r="F638">
        <v>126</v>
      </c>
      <c r="G638">
        <v>80</v>
      </c>
      <c r="H638">
        <v>126</v>
      </c>
      <c r="I638">
        <v>50</v>
      </c>
      <c r="J638">
        <v>545</v>
      </c>
      <c r="K638">
        <v>90.83</v>
      </c>
      <c r="L638">
        <f t="shared" si="9"/>
        <v>4</v>
      </c>
    </row>
    <row r="639" spans="1:12">
      <c r="A639">
        <v>532</v>
      </c>
      <c r="B639" s="4" t="s">
        <v>3583</v>
      </c>
      <c r="C639" t="s">
        <v>572</v>
      </c>
      <c r="D639">
        <v>75</v>
      </c>
      <c r="E639">
        <v>80</v>
      </c>
      <c r="F639">
        <v>55</v>
      </c>
      <c r="G639">
        <v>25</v>
      </c>
      <c r="H639">
        <v>35</v>
      </c>
      <c r="I639">
        <v>35</v>
      </c>
      <c r="J639">
        <v>305</v>
      </c>
      <c r="K639">
        <v>50.83</v>
      </c>
      <c r="L639">
        <f t="shared" si="9"/>
        <v>4</v>
      </c>
    </row>
    <row r="640" spans="1:12">
      <c r="A640">
        <v>533</v>
      </c>
      <c r="B640" s="4" t="s">
        <v>3584</v>
      </c>
      <c r="C640" t="s">
        <v>573</v>
      </c>
      <c r="D640">
        <v>85</v>
      </c>
      <c r="E640">
        <v>105</v>
      </c>
      <c r="F640">
        <v>85</v>
      </c>
      <c r="G640">
        <v>40</v>
      </c>
      <c r="H640">
        <v>50</v>
      </c>
      <c r="I640">
        <v>40</v>
      </c>
      <c r="J640">
        <v>405</v>
      </c>
      <c r="K640">
        <v>67.5</v>
      </c>
      <c r="L640">
        <f t="shared" si="9"/>
        <v>4</v>
      </c>
    </row>
    <row r="641" spans="1:12">
      <c r="A641">
        <v>534</v>
      </c>
      <c r="B641" s="4" t="s">
        <v>3585</v>
      </c>
      <c r="C641" t="s">
        <v>574</v>
      </c>
      <c r="D641">
        <v>105</v>
      </c>
      <c r="E641">
        <v>140</v>
      </c>
      <c r="F641">
        <v>95</v>
      </c>
      <c r="G641">
        <v>55</v>
      </c>
      <c r="H641">
        <v>65</v>
      </c>
      <c r="I641">
        <v>45</v>
      </c>
      <c r="J641">
        <v>505</v>
      </c>
      <c r="K641">
        <v>84.17</v>
      </c>
      <c r="L641">
        <f t="shared" si="9"/>
        <v>4</v>
      </c>
    </row>
    <row r="642" spans="1:12">
      <c r="A642">
        <v>535</v>
      </c>
      <c r="B642" s="4" t="s">
        <v>3586</v>
      </c>
      <c r="C642" t="s">
        <v>575</v>
      </c>
      <c r="D642">
        <v>50</v>
      </c>
      <c r="E642">
        <v>50</v>
      </c>
      <c r="F642">
        <v>40</v>
      </c>
      <c r="G642">
        <v>50</v>
      </c>
      <c r="H642">
        <v>40</v>
      </c>
      <c r="I642">
        <v>64</v>
      </c>
      <c r="J642">
        <v>294</v>
      </c>
      <c r="K642">
        <v>49</v>
      </c>
      <c r="L642">
        <f t="shared" si="9"/>
        <v>4</v>
      </c>
    </row>
    <row r="643" spans="1:12">
      <c r="A643">
        <v>536</v>
      </c>
      <c r="B643" s="4" t="s">
        <v>3587</v>
      </c>
      <c r="C643" t="s">
        <v>576</v>
      </c>
      <c r="D643">
        <v>75</v>
      </c>
      <c r="E643">
        <v>65</v>
      </c>
      <c r="F643">
        <v>55</v>
      </c>
      <c r="G643">
        <v>65</v>
      </c>
      <c r="H643">
        <v>55</v>
      </c>
      <c r="I643">
        <v>69</v>
      </c>
      <c r="J643">
        <v>384</v>
      </c>
      <c r="K643">
        <v>64</v>
      </c>
      <c r="L643">
        <f t="shared" ref="L643:L706" si="10">LEN(B643)</f>
        <v>4</v>
      </c>
    </row>
    <row r="644" spans="1:12">
      <c r="A644">
        <v>537</v>
      </c>
      <c r="B644" s="4" t="s">
        <v>3588</v>
      </c>
      <c r="C644" t="s">
        <v>577</v>
      </c>
      <c r="D644">
        <v>105</v>
      </c>
      <c r="E644">
        <v>95</v>
      </c>
      <c r="F644">
        <v>75</v>
      </c>
      <c r="G644">
        <v>85</v>
      </c>
      <c r="H644">
        <v>75</v>
      </c>
      <c r="I644">
        <v>74</v>
      </c>
      <c r="J644">
        <v>509</v>
      </c>
      <c r="K644">
        <v>84.83</v>
      </c>
      <c r="L644">
        <f t="shared" si="10"/>
        <v>4</v>
      </c>
    </row>
    <row r="645" spans="1:12">
      <c r="A645">
        <v>538</v>
      </c>
      <c r="B645" s="4" t="s">
        <v>3589</v>
      </c>
      <c r="C645" t="s">
        <v>578</v>
      </c>
      <c r="D645">
        <v>120</v>
      </c>
      <c r="E645">
        <v>100</v>
      </c>
      <c r="F645">
        <v>85</v>
      </c>
      <c r="G645">
        <v>30</v>
      </c>
      <c r="H645">
        <v>85</v>
      </c>
      <c r="I645">
        <v>45</v>
      </c>
      <c r="J645">
        <v>465</v>
      </c>
      <c r="K645">
        <v>77.5</v>
      </c>
      <c r="L645">
        <f t="shared" si="10"/>
        <v>4</v>
      </c>
    </row>
    <row r="646" spans="1:12">
      <c r="A646">
        <v>539</v>
      </c>
      <c r="B646" s="4" t="s">
        <v>3590</v>
      </c>
      <c r="C646" t="s">
        <v>579</v>
      </c>
      <c r="D646">
        <v>75</v>
      </c>
      <c r="E646">
        <v>125</v>
      </c>
      <c r="F646">
        <v>75</v>
      </c>
      <c r="G646">
        <v>30</v>
      </c>
      <c r="H646">
        <v>75</v>
      </c>
      <c r="I646">
        <v>85</v>
      </c>
      <c r="J646">
        <v>465</v>
      </c>
      <c r="K646">
        <v>77.5</v>
      </c>
      <c r="L646">
        <f t="shared" si="10"/>
        <v>4</v>
      </c>
    </row>
    <row r="647" spans="1:12">
      <c r="A647">
        <v>540</v>
      </c>
      <c r="B647" s="4" t="s">
        <v>3591</v>
      </c>
      <c r="C647" t="s">
        <v>580</v>
      </c>
      <c r="D647">
        <v>45</v>
      </c>
      <c r="E647">
        <v>53</v>
      </c>
      <c r="F647">
        <v>70</v>
      </c>
      <c r="G647">
        <v>40</v>
      </c>
      <c r="H647">
        <v>60</v>
      </c>
      <c r="I647">
        <v>42</v>
      </c>
      <c r="J647">
        <v>310</v>
      </c>
      <c r="K647">
        <v>51.67</v>
      </c>
      <c r="L647">
        <f t="shared" si="10"/>
        <v>4</v>
      </c>
    </row>
    <row r="648" spans="1:12">
      <c r="A648">
        <v>541</v>
      </c>
      <c r="B648" s="4" t="s">
        <v>3592</v>
      </c>
      <c r="C648" t="s">
        <v>581</v>
      </c>
      <c r="D648">
        <v>55</v>
      </c>
      <c r="E648">
        <v>63</v>
      </c>
      <c r="F648">
        <v>90</v>
      </c>
      <c r="G648">
        <v>50</v>
      </c>
      <c r="H648">
        <v>80</v>
      </c>
      <c r="I648">
        <v>42</v>
      </c>
      <c r="J648">
        <v>380</v>
      </c>
      <c r="K648">
        <v>63.33</v>
      </c>
      <c r="L648">
        <f t="shared" si="10"/>
        <v>4</v>
      </c>
    </row>
    <row r="649" spans="1:12">
      <c r="A649">
        <v>542</v>
      </c>
      <c r="B649" s="4" t="s">
        <v>3593</v>
      </c>
      <c r="C649" t="s">
        <v>582</v>
      </c>
      <c r="D649">
        <v>75</v>
      </c>
      <c r="E649">
        <v>103</v>
      </c>
      <c r="F649">
        <v>80</v>
      </c>
      <c r="G649">
        <v>70</v>
      </c>
      <c r="H649">
        <v>80</v>
      </c>
      <c r="I649">
        <v>92</v>
      </c>
      <c r="J649">
        <v>500</v>
      </c>
      <c r="K649">
        <v>83.33</v>
      </c>
      <c r="L649">
        <f t="shared" si="10"/>
        <v>4</v>
      </c>
    </row>
    <row r="650" spans="1:12">
      <c r="A650">
        <v>543</v>
      </c>
      <c r="B650" s="4" t="s">
        <v>3594</v>
      </c>
      <c r="C650" t="s">
        <v>583</v>
      </c>
      <c r="D650">
        <v>30</v>
      </c>
      <c r="E650">
        <v>45</v>
      </c>
      <c r="F650">
        <v>59</v>
      </c>
      <c r="G650">
        <v>30</v>
      </c>
      <c r="H650">
        <v>39</v>
      </c>
      <c r="I650">
        <v>57</v>
      </c>
      <c r="J650">
        <v>260</v>
      </c>
      <c r="K650">
        <v>43.33</v>
      </c>
      <c r="L650">
        <f t="shared" si="10"/>
        <v>4</v>
      </c>
    </row>
    <row r="651" spans="1:12">
      <c r="A651">
        <v>544</v>
      </c>
      <c r="B651" s="4" t="s">
        <v>3595</v>
      </c>
      <c r="C651" t="s">
        <v>584</v>
      </c>
      <c r="D651">
        <v>40</v>
      </c>
      <c r="E651">
        <v>55</v>
      </c>
      <c r="F651">
        <v>99</v>
      </c>
      <c r="G651">
        <v>40</v>
      </c>
      <c r="H651">
        <v>79</v>
      </c>
      <c r="I651">
        <v>47</v>
      </c>
      <c r="J651">
        <v>360</v>
      </c>
      <c r="K651">
        <v>60</v>
      </c>
      <c r="L651">
        <f t="shared" si="10"/>
        <v>4</v>
      </c>
    </row>
    <row r="652" spans="1:12">
      <c r="A652">
        <v>545</v>
      </c>
      <c r="B652" s="4" t="s">
        <v>3596</v>
      </c>
      <c r="C652" t="s">
        <v>585</v>
      </c>
      <c r="D652">
        <v>60</v>
      </c>
      <c r="E652">
        <v>100</v>
      </c>
      <c r="F652">
        <v>89</v>
      </c>
      <c r="G652">
        <v>55</v>
      </c>
      <c r="H652">
        <v>69</v>
      </c>
      <c r="I652">
        <v>112</v>
      </c>
      <c r="J652">
        <v>485</v>
      </c>
      <c r="K652">
        <v>80.83</v>
      </c>
      <c r="L652">
        <f t="shared" si="10"/>
        <v>4</v>
      </c>
    </row>
    <row r="653" spans="1:12">
      <c r="A653">
        <v>546</v>
      </c>
      <c r="B653" s="4" t="s">
        <v>3597</v>
      </c>
      <c r="C653" t="s">
        <v>586</v>
      </c>
      <c r="D653">
        <v>40</v>
      </c>
      <c r="E653">
        <v>27</v>
      </c>
      <c r="F653">
        <v>60</v>
      </c>
      <c r="G653">
        <v>37</v>
      </c>
      <c r="H653">
        <v>50</v>
      </c>
      <c r="I653">
        <v>66</v>
      </c>
      <c r="J653">
        <v>280</v>
      </c>
      <c r="K653">
        <v>46.67</v>
      </c>
      <c r="L653">
        <f t="shared" si="10"/>
        <v>4</v>
      </c>
    </row>
    <row r="654" spans="1:12">
      <c r="A654">
        <v>547</v>
      </c>
      <c r="B654" s="4" t="s">
        <v>3598</v>
      </c>
      <c r="C654" t="s">
        <v>587</v>
      </c>
      <c r="D654">
        <v>60</v>
      </c>
      <c r="E654">
        <v>67</v>
      </c>
      <c r="F654">
        <v>85</v>
      </c>
      <c r="G654">
        <v>77</v>
      </c>
      <c r="H654">
        <v>75</v>
      </c>
      <c r="I654">
        <v>116</v>
      </c>
      <c r="J654">
        <v>480</v>
      </c>
      <c r="K654">
        <v>80</v>
      </c>
      <c r="L654">
        <f t="shared" si="10"/>
        <v>4</v>
      </c>
    </row>
    <row r="655" spans="1:12">
      <c r="A655">
        <v>548</v>
      </c>
      <c r="B655" s="4" t="s">
        <v>3599</v>
      </c>
      <c r="C655" t="s">
        <v>588</v>
      </c>
      <c r="D655">
        <v>45</v>
      </c>
      <c r="E655">
        <v>35</v>
      </c>
      <c r="F655">
        <v>50</v>
      </c>
      <c r="G655">
        <v>70</v>
      </c>
      <c r="H655">
        <v>50</v>
      </c>
      <c r="I655">
        <v>30</v>
      </c>
      <c r="J655">
        <v>280</v>
      </c>
      <c r="K655">
        <v>46.67</v>
      </c>
      <c r="L655">
        <f t="shared" si="10"/>
        <v>4</v>
      </c>
    </row>
    <row r="656" spans="1:12">
      <c r="A656">
        <v>549</v>
      </c>
      <c r="B656" s="4" t="s">
        <v>3600</v>
      </c>
      <c r="C656" t="s">
        <v>589</v>
      </c>
      <c r="D656">
        <v>70</v>
      </c>
      <c r="E656">
        <v>60</v>
      </c>
      <c r="F656">
        <v>75</v>
      </c>
      <c r="G656">
        <v>110</v>
      </c>
      <c r="H656">
        <v>75</v>
      </c>
      <c r="I656">
        <v>90</v>
      </c>
      <c r="J656">
        <v>480</v>
      </c>
      <c r="K656">
        <v>80</v>
      </c>
      <c r="L656">
        <f t="shared" si="10"/>
        <v>4</v>
      </c>
    </row>
    <row r="657" spans="1:12">
      <c r="A657">
        <v>549</v>
      </c>
      <c r="B657" s="131" t="s">
        <v>2992</v>
      </c>
      <c r="C657" t="s">
        <v>2993</v>
      </c>
      <c r="D657">
        <v>70</v>
      </c>
      <c r="E657">
        <v>105</v>
      </c>
      <c r="F657">
        <v>75</v>
      </c>
      <c r="G657">
        <v>50</v>
      </c>
      <c r="H657">
        <v>75</v>
      </c>
      <c r="I657">
        <v>105</v>
      </c>
      <c r="J657">
        <v>480</v>
      </c>
      <c r="K657">
        <v>80</v>
      </c>
      <c r="L657">
        <f t="shared" si="10"/>
        <v>4</v>
      </c>
    </row>
    <row r="658" spans="1:12">
      <c r="A658">
        <v>550</v>
      </c>
      <c r="B658" s="4" t="s">
        <v>3601</v>
      </c>
      <c r="C658" t="s">
        <v>590</v>
      </c>
      <c r="D658">
        <v>70</v>
      </c>
      <c r="E658">
        <v>92</v>
      </c>
      <c r="F658">
        <v>65</v>
      </c>
      <c r="G658">
        <v>80</v>
      </c>
      <c r="H658">
        <v>55</v>
      </c>
      <c r="I658">
        <v>98</v>
      </c>
      <c r="J658">
        <v>460</v>
      </c>
      <c r="K658">
        <v>76.67</v>
      </c>
      <c r="L658">
        <f t="shared" si="10"/>
        <v>4</v>
      </c>
    </row>
    <row r="659" spans="1:12">
      <c r="A659">
        <v>551</v>
      </c>
      <c r="B659" s="4" t="s">
        <v>3602</v>
      </c>
      <c r="C659" t="s">
        <v>591</v>
      </c>
      <c r="D659">
        <v>50</v>
      </c>
      <c r="E659">
        <v>72</v>
      </c>
      <c r="F659">
        <v>35</v>
      </c>
      <c r="G659">
        <v>35</v>
      </c>
      <c r="H659">
        <v>35</v>
      </c>
      <c r="I659">
        <v>65</v>
      </c>
      <c r="J659">
        <v>292</v>
      </c>
      <c r="K659">
        <v>48.67</v>
      </c>
      <c r="L659">
        <f t="shared" si="10"/>
        <v>4</v>
      </c>
    </row>
    <row r="660" spans="1:12">
      <c r="A660">
        <v>552</v>
      </c>
      <c r="B660" s="4" t="s">
        <v>3603</v>
      </c>
      <c r="C660" t="s">
        <v>592</v>
      </c>
      <c r="D660">
        <v>60</v>
      </c>
      <c r="E660">
        <v>82</v>
      </c>
      <c r="F660">
        <v>45</v>
      </c>
      <c r="G660">
        <v>45</v>
      </c>
      <c r="H660">
        <v>45</v>
      </c>
      <c r="I660">
        <v>74</v>
      </c>
      <c r="J660">
        <v>351</v>
      </c>
      <c r="K660">
        <v>58.5</v>
      </c>
      <c r="L660">
        <f t="shared" si="10"/>
        <v>4</v>
      </c>
    </row>
    <row r="661" spans="1:12">
      <c r="A661">
        <v>553</v>
      </c>
      <c r="B661" s="4" t="s">
        <v>3604</v>
      </c>
      <c r="C661" t="s">
        <v>593</v>
      </c>
      <c r="D661">
        <v>95</v>
      </c>
      <c r="E661">
        <v>117</v>
      </c>
      <c r="F661">
        <v>80</v>
      </c>
      <c r="G661">
        <v>65</v>
      </c>
      <c r="H661">
        <v>70</v>
      </c>
      <c r="I661">
        <v>92</v>
      </c>
      <c r="J661">
        <v>519</v>
      </c>
      <c r="K661">
        <v>86.5</v>
      </c>
      <c r="L661">
        <f t="shared" si="10"/>
        <v>4</v>
      </c>
    </row>
    <row r="662" spans="1:12">
      <c r="A662">
        <v>554</v>
      </c>
      <c r="B662" s="4" t="s">
        <v>3605</v>
      </c>
      <c r="C662" t="s">
        <v>594</v>
      </c>
      <c r="D662">
        <v>70</v>
      </c>
      <c r="E662">
        <v>90</v>
      </c>
      <c r="F662">
        <v>45</v>
      </c>
      <c r="G662">
        <v>15</v>
      </c>
      <c r="H662">
        <v>45</v>
      </c>
      <c r="I662">
        <v>50</v>
      </c>
      <c r="J662">
        <v>315</v>
      </c>
      <c r="K662">
        <v>52.5</v>
      </c>
      <c r="L662">
        <f t="shared" si="10"/>
        <v>4</v>
      </c>
    </row>
    <row r="663" spans="1:12">
      <c r="A663">
        <v>554</v>
      </c>
      <c r="B663" s="131" t="s">
        <v>2994</v>
      </c>
      <c r="C663" t="s">
        <v>2995</v>
      </c>
      <c r="D663">
        <v>70</v>
      </c>
      <c r="E663">
        <v>90</v>
      </c>
      <c r="F663">
        <v>45</v>
      </c>
      <c r="G663">
        <v>15</v>
      </c>
      <c r="H663">
        <v>45</v>
      </c>
      <c r="I663">
        <v>50</v>
      </c>
      <c r="J663">
        <v>315</v>
      </c>
      <c r="K663">
        <v>52.5</v>
      </c>
      <c r="L663">
        <f t="shared" si="10"/>
        <v>4</v>
      </c>
    </row>
    <row r="664" spans="1:12">
      <c r="A664">
        <v>555</v>
      </c>
      <c r="B664" s="4" t="s">
        <v>3606</v>
      </c>
      <c r="C664" t="s">
        <v>2996</v>
      </c>
      <c r="D664">
        <v>105</v>
      </c>
      <c r="E664">
        <v>140</v>
      </c>
      <c r="F664">
        <v>55</v>
      </c>
      <c r="G664">
        <v>30</v>
      </c>
      <c r="H664">
        <v>55</v>
      </c>
      <c r="I664">
        <v>95</v>
      </c>
      <c r="J664">
        <v>480</v>
      </c>
      <c r="K664">
        <v>80</v>
      </c>
      <c r="L664">
        <f t="shared" si="10"/>
        <v>4</v>
      </c>
    </row>
    <row r="665" spans="1:12">
      <c r="A665">
        <v>555</v>
      </c>
      <c r="B665" s="131" t="s">
        <v>2997</v>
      </c>
      <c r="C665" t="s">
        <v>2998</v>
      </c>
      <c r="D665">
        <v>105</v>
      </c>
      <c r="E665">
        <v>30</v>
      </c>
      <c r="F665">
        <v>105</v>
      </c>
      <c r="G665">
        <v>140</v>
      </c>
      <c r="H665">
        <v>105</v>
      </c>
      <c r="I665">
        <v>55</v>
      </c>
      <c r="J665">
        <v>540</v>
      </c>
      <c r="K665">
        <v>90</v>
      </c>
      <c r="L665">
        <f t="shared" si="10"/>
        <v>4</v>
      </c>
    </row>
    <row r="666" spans="1:12">
      <c r="A666">
        <v>555</v>
      </c>
      <c r="B666" s="131" t="s">
        <v>2999</v>
      </c>
      <c r="C666" t="s">
        <v>3000</v>
      </c>
      <c r="D666">
        <v>105</v>
      </c>
      <c r="E666">
        <v>140</v>
      </c>
      <c r="F666">
        <v>55</v>
      </c>
      <c r="G666">
        <v>30</v>
      </c>
      <c r="H666">
        <v>55</v>
      </c>
      <c r="I666">
        <v>95</v>
      </c>
      <c r="J666">
        <v>480</v>
      </c>
      <c r="K666">
        <v>80</v>
      </c>
      <c r="L666">
        <f t="shared" si="10"/>
        <v>4</v>
      </c>
    </row>
    <row r="667" spans="1:12">
      <c r="A667">
        <v>555</v>
      </c>
      <c r="B667" s="131" t="s">
        <v>3963</v>
      </c>
      <c r="C667" t="s">
        <v>3001</v>
      </c>
      <c r="D667">
        <v>105</v>
      </c>
      <c r="E667">
        <v>160</v>
      </c>
      <c r="F667">
        <v>55</v>
      </c>
      <c r="G667">
        <v>30</v>
      </c>
      <c r="H667">
        <v>55</v>
      </c>
      <c r="I667">
        <v>135</v>
      </c>
      <c r="J667">
        <v>540</v>
      </c>
      <c r="K667">
        <v>90</v>
      </c>
      <c r="L667">
        <f t="shared" si="10"/>
        <v>4</v>
      </c>
    </row>
    <row r="668" spans="1:12">
      <c r="A668">
        <v>556</v>
      </c>
      <c r="B668" s="4" t="s">
        <v>3607</v>
      </c>
      <c r="C668" t="s">
        <v>597</v>
      </c>
      <c r="D668">
        <v>75</v>
      </c>
      <c r="E668">
        <v>86</v>
      </c>
      <c r="F668">
        <v>67</v>
      </c>
      <c r="G668">
        <v>106</v>
      </c>
      <c r="H668">
        <v>67</v>
      </c>
      <c r="I668">
        <v>60</v>
      </c>
      <c r="J668">
        <v>461</v>
      </c>
      <c r="K668">
        <v>76.83</v>
      </c>
      <c r="L668">
        <f t="shared" si="10"/>
        <v>4</v>
      </c>
    </row>
    <row r="669" spans="1:12">
      <c r="A669">
        <v>557</v>
      </c>
      <c r="B669" s="4" t="s">
        <v>3608</v>
      </c>
      <c r="C669" t="s">
        <v>598</v>
      </c>
      <c r="D669">
        <v>50</v>
      </c>
      <c r="E669">
        <v>65</v>
      </c>
      <c r="F669">
        <v>85</v>
      </c>
      <c r="G669">
        <v>35</v>
      </c>
      <c r="H669">
        <v>35</v>
      </c>
      <c r="I669">
        <v>55</v>
      </c>
      <c r="J669">
        <v>325</v>
      </c>
      <c r="K669">
        <v>54.17</v>
      </c>
      <c r="L669">
        <f t="shared" si="10"/>
        <v>4</v>
      </c>
    </row>
    <row r="670" spans="1:12">
      <c r="A670">
        <v>558</v>
      </c>
      <c r="B670" s="4" t="s">
        <v>3609</v>
      </c>
      <c r="C670" t="s">
        <v>599</v>
      </c>
      <c r="D670">
        <v>70</v>
      </c>
      <c r="E670">
        <v>105</v>
      </c>
      <c r="F670">
        <v>125</v>
      </c>
      <c r="G670">
        <v>65</v>
      </c>
      <c r="H670">
        <v>75</v>
      </c>
      <c r="I670">
        <v>45</v>
      </c>
      <c r="J670">
        <v>485</v>
      </c>
      <c r="K670">
        <v>80.83</v>
      </c>
      <c r="L670">
        <f t="shared" si="10"/>
        <v>4</v>
      </c>
    </row>
    <row r="671" spans="1:12">
      <c r="A671">
        <v>559</v>
      </c>
      <c r="B671" s="4" t="s">
        <v>3610</v>
      </c>
      <c r="C671" t="s">
        <v>600</v>
      </c>
      <c r="D671">
        <v>50</v>
      </c>
      <c r="E671">
        <v>75</v>
      </c>
      <c r="F671">
        <v>70</v>
      </c>
      <c r="G671">
        <v>35</v>
      </c>
      <c r="H671">
        <v>70</v>
      </c>
      <c r="I671">
        <v>48</v>
      </c>
      <c r="J671">
        <v>348</v>
      </c>
      <c r="K671">
        <v>58</v>
      </c>
      <c r="L671">
        <f t="shared" si="10"/>
        <v>4</v>
      </c>
    </row>
    <row r="672" spans="1:12">
      <c r="A672">
        <v>560</v>
      </c>
      <c r="B672" s="4" t="s">
        <v>3611</v>
      </c>
      <c r="C672" t="s">
        <v>601</v>
      </c>
      <c r="D672">
        <v>65</v>
      </c>
      <c r="E672">
        <v>90</v>
      </c>
      <c r="F672">
        <v>115</v>
      </c>
      <c r="G672">
        <v>45</v>
      </c>
      <c r="H672">
        <v>115</v>
      </c>
      <c r="I672">
        <v>58</v>
      </c>
      <c r="J672">
        <v>488</v>
      </c>
      <c r="K672">
        <v>81.33</v>
      </c>
      <c r="L672">
        <f t="shared" si="10"/>
        <v>4</v>
      </c>
    </row>
    <row r="673" spans="1:12">
      <c r="A673">
        <v>561</v>
      </c>
      <c r="B673" s="4" t="s">
        <v>3612</v>
      </c>
      <c r="C673" t="s">
        <v>602</v>
      </c>
      <c r="D673">
        <v>72</v>
      </c>
      <c r="E673">
        <v>58</v>
      </c>
      <c r="F673">
        <v>80</v>
      </c>
      <c r="G673">
        <v>103</v>
      </c>
      <c r="H673">
        <v>80</v>
      </c>
      <c r="I673">
        <v>97</v>
      </c>
      <c r="J673">
        <v>490</v>
      </c>
      <c r="K673">
        <v>81.67</v>
      </c>
      <c r="L673">
        <f t="shared" si="10"/>
        <v>4</v>
      </c>
    </row>
    <row r="674" spans="1:12">
      <c r="A674">
        <v>562</v>
      </c>
      <c r="B674" s="4" t="s">
        <v>3613</v>
      </c>
      <c r="C674" t="s">
        <v>603</v>
      </c>
      <c r="D674">
        <v>38</v>
      </c>
      <c r="E674">
        <v>30</v>
      </c>
      <c r="F674">
        <v>85</v>
      </c>
      <c r="G674">
        <v>55</v>
      </c>
      <c r="H674">
        <v>65</v>
      </c>
      <c r="I674">
        <v>30</v>
      </c>
      <c r="J674">
        <v>303</v>
      </c>
      <c r="K674">
        <v>50.5</v>
      </c>
      <c r="L674">
        <f t="shared" si="10"/>
        <v>4</v>
      </c>
    </row>
    <row r="675" spans="1:12">
      <c r="A675">
        <v>562</v>
      </c>
      <c r="B675" s="131" t="s">
        <v>3002</v>
      </c>
      <c r="C675" t="s">
        <v>3003</v>
      </c>
      <c r="D675">
        <v>38</v>
      </c>
      <c r="E675">
        <v>55</v>
      </c>
      <c r="F675">
        <v>85</v>
      </c>
      <c r="G675">
        <v>30</v>
      </c>
      <c r="H675">
        <v>65</v>
      </c>
      <c r="I675">
        <v>30</v>
      </c>
      <c r="J675">
        <v>303</v>
      </c>
      <c r="K675">
        <v>50.5</v>
      </c>
      <c r="L675">
        <f t="shared" si="10"/>
        <v>4</v>
      </c>
    </row>
    <row r="676" spans="1:12">
      <c r="A676">
        <v>563</v>
      </c>
      <c r="B676" s="4" t="s">
        <v>3614</v>
      </c>
      <c r="C676" t="s">
        <v>604</v>
      </c>
      <c r="D676">
        <v>58</v>
      </c>
      <c r="E676">
        <v>50</v>
      </c>
      <c r="F676">
        <v>145</v>
      </c>
      <c r="G676">
        <v>95</v>
      </c>
      <c r="H676">
        <v>105</v>
      </c>
      <c r="I676">
        <v>30</v>
      </c>
      <c r="J676">
        <v>483</v>
      </c>
      <c r="K676">
        <v>80.5</v>
      </c>
      <c r="L676">
        <f t="shared" si="10"/>
        <v>4</v>
      </c>
    </row>
    <row r="677" spans="1:12">
      <c r="A677">
        <v>564</v>
      </c>
      <c r="B677" s="4" t="s">
        <v>3615</v>
      </c>
      <c r="C677" t="s">
        <v>605</v>
      </c>
      <c r="D677">
        <v>54</v>
      </c>
      <c r="E677">
        <v>78</v>
      </c>
      <c r="F677">
        <v>103</v>
      </c>
      <c r="G677">
        <v>53</v>
      </c>
      <c r="H677">
        <v>45</v>
      </c>
      <c r="I677">
        <v>22</v>
      </c>
      <c r="J677">
        <v>355</v>
      </c>
      <c r="K677">
        <v>59.17</v>
      </c>
      <c r="L677">
        <f t="shared" si="10"/>
        <v>4</v>
      </c>
    </row>
    <row r="678" spans="1:12">
      <c r="A678">
        <v>565</v>
      </c>
      <c r="B678" s="4" t="s">
        <v>3616</v>
      </c>
      <c r="C678" t="s">
        <v>606</v>
      </c>
      <c r="D678">
        <v>74</v>
      </c>
      <c r="E678">
        <v>108</v>
      </c>
      <c r="F678">
        <v>133</v>
      </c>
      <c r="G678">
        <v>83</v>
      </c>
      <c r="H678">
        <v>65</v>
      </c>
      <c r="I678">
        <v>32</v>
      </c>
      <c r="J678">
        <v>495</v>
      </c>
      <c r="K678">
        <v>82.5</v>
      </c>
      <c r="L678">
        <f t="shared" si="10"/>
        <v>4</v>
      </c>
    </row>
    <row r="679" spans="1:12">
      <c r="A679">
        <v>566</v>
      </c>
      <c r="B679" s="4" t="s">
        <v>3617</v>
      </c>
      <c r="C679" t="s">
        <v>607</v>
      </c>
      <c r="D679">
        <v>55</v>
      </c>
      <c r="E679">
        <v>112</v>
      </c>
      <c r="F679">
        <v>45</v>
      </c>
      <c r="G679">
        <v>74</v>
      </c>
      <c r="H679">
        <v>45</v>
      </c>
      <c r="I679">
        <v>70</v>
      </c>
      <c r="J679">
        <v>401</v>
      </c>
      <c r="K679">
        <v>66.83</v>
      </c>
      <c r="L679">
        <f t="shared" si="10"/>
        <v>4</v>
      </c>
    </row>
    <row r="680" spans="1:12">
      <c r="A680">
        <v>567</v>
      </c>
      <c r="B680" s="4" t="s">
        <v>3618</v>
      </c>
      <c r="C680" t="s">
        <v>608</v>
      </c>
      <c r="D680">
        <v>75</v>
      </c>
      <c r="E680">
        <v>140</v>
      </c>
      <c r="F680">
        <v>65</v>
      </c>
      <c r="G680">
        <v>112</v>
      </c>
      <c r="H680">
        <v>65</v>
      </c>
      <c r="I680">
        <v>110</v>
      </c>
      <c r="J680">
        <v>567</v>
      </c>
      <c r="K680">
        <v>94.5</v>
      </c>
      <c r="L680">
        <f t="shared" si="10"/>
        <v>4</v>
      </c>
    </row>
    <row r="681" spans="1:12">
      <c r="A681">
        <v>568</v>
      </c>
      <c r="B681" s="4" t="s">
        <v>3619</v>
      </c>
      <c r="C681" t="s">
        <v>609</v>
      </c>
      <c r="D681">
        <v>50</v>
      </c>
      <c r="E681">
        <v>50</v>
      </c>
      <c r="F681">
        <v>62</v>
      </c>
      <c r="G681">
        <v>40</v>
      </c>
      <c r="H681">
        <v>62</v>
      </c>
      <c r="I681">
        <v>65</v>
      </c>
      <c r="J681">
        <v>329</v>
      </c>
      <c r="K681">
        <v>54.83</v>
      </c>
      <c r="L681">
        <f t="shared" si="10"/>
        <v>4</v>
      </c>
    </row>
    <row r="682" spans="1:12">
      <c r="A682">
        <v>569</v>
      </c>
      <c r="B682" s="4" t="s">
        <v>3620</v>
      </c>
      <c r="C682" t="s">
        <v>610</v>
      </c>
      <c r="D682">
        <v>80</v>
      </c>
      <c r="E682">
        <v>95</v>
      </c>
      <c r="F682">
        <v>82</v>
      </c>
      <c r="G682">
        <v>60</v>
      </c>
      <c r="H682">
        <v>82</v>
      </c>
      <c r="I682">
        <v>75</v>
      </c>
      <c r="J682">
        <v>474</v>
      </c>
      <c r="K682">
        <v>79</v>
      </c>
      <c r="L682">
        <f t="shared" si="10"/>
        <v>4</v>
      </c>
    </row>
    <row r="683" spans="1:12">
      <c r="A683">
        <v>570</v>
      </c>
      <c r="B683" s="4" t="s">
        <v>3621</v>
      </c>
      <c r="C683" t="s">
        <v>611</v>
      </c>
      <c r="D683">
        <v>40</v>
      </c>
      <c r="E683">
        <v>65</v>
      </c>
      <c r="F683">
        <v>40</v>
      </c>
      <c r="G683">
        <v>80</v>
      </c>
      <c r="H683">
        <v>40</v>
      </c>
      <c r="I683">
        <v>65</v>
      </c>
      <c r="J683">
        <v>330</v>
      </c>
      <c r="K683">
        <v>55</v>
      </c>
      <c r="L683">
        <f t="shared" si="10"/>
        <v>4</v>
      </c>
    </row>
    <row r="684" spans="1:12">
      <c r="A684">
        <v>570</v>
      </c>
      <c r="B684" s="131" t="s">
        <v>3004</v>
      </c>
      <c r="C684" t="s">
        <v>3005</v>
      </c>
      <c r="D684">
        <v>35</v>
      </c>
      <c r="E684">
        <v>60</v>
      </c>
      <c r="F684">
        <v>40</v>
      </c>
      <c r="G684">
        <v>85</v>
      </c>
      <c r="H684">
        <v>40</v>
      </c>
      <c r="I684">
        <v>70</v>
      </c>
      <c r="J684">
        <v>330</v>
      </c>
      <c r="K684">
        <v>55</v>
      </c>
      <c r="L684">
        <f t="shared" si="10"/>
        <v>4</v>
      </c>
    </row>
    <row r="685" spans="1:12">
      <c r="A685">
        <v>571</v>
      </c>
      <c r="B685" s="4" t="s">
        <v>3622</v>
      </c>
      <c r="C685" t="s">
        <v>612</v>
      </c>
      <c r="D685">
        <v>60</v>
      </c>
      <c r="E685">
        <v>105</v>
      </c>
      <c r="F685">
        <v>60</v>
      </c>
      <c r="G685">
        <v>120</v>
      </c>
      <c r="H685">
        <v>60</v>
      </c>
      <c r="I685">
        <v>105</v>
      </c>
      <c r="J685">
        <v>510</v>
      </c>
      <c r="K685">
        <v>85</v>
      </c>
      <c r="L685">
        <f t="shared" si="10"/>
        <v>4</v>
      </c>
    </row>
    <row r="686" spans="1:12">
      <c r="A686">
        <v>571</v>
      </c>
      <c r="B686" s="131" t="s">
        <v>3006</v>
      </c>
      <c r="C686" t="s">
        <v>3007</v>
      </c>
      <c r="D686">
        <v>55</v>
      </c>
      <c r="E686">
        <v>100</v>
      </c>
      <c r="F686">
        <v>60</v>
      </c>
      <c r="G686">
        <v>125</v>
      </c>
      <c r="H686">
        <v>60</v>
      </c>
      <c r="I686">
        <v>110</v>
      </c>
      <c r="J686">
        <v>510</v>
      </c>
      <c r="K686">
        <v>85</v>
      </c>
      <c r="L686">
        <f t="shared" si="10"/>
        <v>4</v>
      </c>
    </row>
    <row r="687" spans="1:12">
      <c r="A687">
        <v>572</v>
      </c>
      <c r="B687" s="4" t="s">
        <v>3623</v>
      </c>
      <c r="C687" t="s">
        <v>613</v>
      </c>
      <c r="D687">
        <v>55</v>
      </c>
      <c r="E687">
        <v>50</v>
      </c>
      <c r="F687">
        <v>40</v>
      </c>
      <c r="G687">
        <v>40</v>
      </c>
      <c r="H687">
        <v>40</v>
      </c>
      <c r="I687">
        <v>75</v>
      </c>
      <c r="J687">
        <v>300</v>
      </c>
      <c r="K687">
        <v>50</v>
      </c>
      <c r="L687">
        <f t="shared" si="10"/>
        <v>4</v>
      </c>
    </row>
    <row r="688" spans="1:12">
      <c r="A688">
        <v>573</v>
      </c>
      <c r="B688" s="4" t="s">
        <v>3624</v>
      </c>
      <c r="C688" t="s">
        <v>614</v>
      </c>
      <c r="D688">
        <v>75</v>
      </c>
      <c r="E688">
        <v>95</v>
      </c>
      <c r="F688">
        <v>60</v>
      </c>
      <c r="G688">
        <v>65</v>
      </c>
      <c r="H688">
        <v>60</v>
      </c>
      <c r="I688">
        <v>115</v>
      </c>
      <c r="J688">
        <v>470</v>
      </c>
      <c r="K688">
        <v>78.33</v>
      </c>
      <c r="L688">
        <f t="shared" si="10"/>
        <v>4</v>
      </c>
    </row>
    <row r="689" spans="1:12">
      <c r="A689">
        <v>574</v>
      </c>
      <c r="B689" s="4" t="s">
        <v>3625</v>
      </c>
      <c r="C689" t="s">
        <v>615</v>
      </c>
      <c r="D689">
        <v>45</v>
      </c>
      <c r="E689">
        <v>30</v>
      </c>
      <c r="F689">
        <v>50</v>
      </c>
      <c r="G689">
        <v>55</v>
      </c>
      <c r="H689">
        <v>65</v>
      </c>
      <c r="I689">
        <v>45</v>
      </c>
      <c r="J689">
        <v>290</v>
      </c>
      <c r="K689">
        <v>48.33</v>
      </c>
      <c r="L689">
        <f t="shared" si="10"/>
        <v>4</v>
      </c>
    </row>
    <row r="690" spans="1:12">
      <c r="A690">
        <v>575</v>
      </c>
      <c r="B690" s="4" t="s">
        <v>3626</v>
      </c>
      <c r="C690" t="s">
        <v>616</v>
      </c>
      <c r="D690">
        <v>60</v>
      </c>
      <c r="E690">
        <v>45</v>
      </c>
      <c r="F690">
        <v>70</v>
      </c>
      <c r="G690">
        <v>75</v>
      </c>
      <c r="H690">
        <v>85</v>
      </c>
      <c r="I690">
        <v>55</v>
      </c>
      <c r="J690">
        <v>390</v>
      </c>
      <c r="K690">
        <v>65</v>
      </c>
      <c r="L690">
        <f t="shared" si="10"/>
        <v>4</v>
      </c>
    </row>
    <row r="691" spans="1:12">
      <c r="A691">
        <v>576</v>
      </c>
      <c r="B691" s="4" t="s">
        <v>3627</v>
      </c>
      <c r="C691" t="s">
        <v>617</v>
      </c>
      <c r="D691">
        <v>70</v>
      </c>
      <c r="E691">
        <v>55</v>
      </c>
      <c r="F691">
        <v>95</v>
      </c>
      <c r="G691">
        <v>95</v>
      </c>
      <c r="H691">
        <v>110</v>
      </c>
      <c r="I691">
        <v>65</v>
      </c>
      <c r="J691">
        <v>490</v>
      </c>
      <c r="K691">
        <v>81.67</v>
      </c>
      <c r="L691">
        <f t="shared" si="10"/>
        <v>4</v>
      </c>
    </row>
    <row r="692" spans="1:12">
      <c r="A692">
        <v>577</v>
      </c>
      <c r="B692" s="4" t="s">
        <v>3628</v>
      </c>
      <c r="C692" t="s">
        <v>618</v>
      </c>
      <c r="D692">
        <v>45</v>
      </c>
      <c r="E692">
        <v>30</v>
      </c>
      <c r="F692">
        <v>40</v>
      </c>
      <c r="G692">
        <v>105</v>
      </c>
      <c r="H692">
        <v>50</v>
      </c>
      <c r="I692">
        <v>20</v>
      </c>
      <c r="J692">
        <v>290</v>
      </c>
      <c r="K692">
        <v>48.33</v>
      </c>
      <c r="L692">
        <f t="shared" si="10"/>
        <v>4</v>
      </c>
    </row>
    <row r="693" spans="1:12">
      <c r="A693">
        <v>578</v>
      </c>
      <c r="B693" s="4" t="s">
        <v>3629</v>
      </c>
      <c r="C693" t="s">
        <v>619</v>
      </c>
      <c r="D693">
        <v>65</v>
      </c>
      <c r="E693">
        <v>40</v>
      </c>
      <c r="F693">
        <v>50</v>
      </c>
      <c r="G693">
        <v>125</v>
      </c>
      <c r="H693">
        <v>60</v>
      </c>
      <c r="I693">
        <v>30</v>
      </c>
      <c r="J693">
        <v>370</v>
      </c>
      <c r="K693">
        <v>61.67</v>
      </c>
      <c r="L693">
        <f t="shared" si="10"/>
        <v>4</v>
      </c>
    </row>
    <row r="694" spans="1:12">
      <c r="A694">
        <v>579</v>
      </c>
      <c r="B694" s="4" t="s">
        <v>3630</v>
      </c>
      <c r="C694" t="s">
        <v>620</v>
      </c>
      <c r="D694">
        <v>110</v>
      </c>
      <c r="E694">
        <v>65</v>
      </c>
      <c r="F694">
        <v>75</v>
      </c>
      <c r="G694">
        <v>125</v>
      </c>
      <c r="H694">
        <v>85</v>
      </c>
      <c r="I694">
        <v>30</v>
      </c>
      <c r="J694">
        <v>490</v>
      </c>
      <c r="K694">
        <v>81.67</v>
      </c>
      <c r="L694">
        <f t="shared" si="10"/>
        <v>4</v>
      </c>
    </row>
    <row r="695" spans="1:12">
      <c r="A695">
        <v>580</v>
      </c>
      <c r="B695" s="4" t="s">
        <v>3631</v>
      </c>
      <c r="C695" t="s">
        <v>621</v>
      </c>
      <c r="D695">
        <v>62</v>
      </c>
      <c r="E695">
        <v>44</v>
      </c>
      <c r="F695">
        <v>50</v>
      </c>
      <c r="G695">
        <v>44</v>
      </c>
      <c r="H695">
        <v>50</v>
      </c>
      <c r="I695">
        <v>55</v>
      </c>
      <c r="J695">
        <v>305</v>
      </c>
      <c r="K695">
        <v>50.83</v>
      </c>
      <c r="L695">
        <f t="shared" si="10"/>
        <v>4</v>
      </c>
    </row>
    <row r="696" spans="1:12">
      <c r="A696">
        <v>581</v>
      </c>
      <c r="B696" s="4" t="s">
        <v>3632</v>
      </c>
      <c r="C696" t="s">
        <v>622</v>
      </c>
      <c r="D696">
        <v>75</v>
      </c>
      <c r="E696">
        <v>87</v>
      </c>
      <c r="F696">
        <v>63</v>
      </c>
      <c r="G696">
        <v>87</v>
      </c>
      <c r="H696">
        <v>63</v>
      </c>
      <c r="I696">
        <v>98</v>
      </c>
      <c r="J696">
        <v>473</v>
      </c>
      <c r="K696">
        <v>78.83</v>
      </c>
      <c r="L696">
        <f t="shared" si="10"/>
        <v>4</v>
      </c>
    </row>
    <row r="697" spans="1:12">
      <c r="A697">
        <v>582</v>
      </c>
      <c r="B697" s="4" t="s">
        <v>3633</v>
      </c>
      <c r="C697" t="s">
        <v>623</v>
      </c>
      <c r="D697">
        <v>36</v>
      </c>
      <c r="E697">
        <v>50</v>
      </c>
      <c r="F697">
        <v>50</v>
      </c>
      <c r="G697">
        <v>65</v>
      </c>
      <c r="H697">
        <v>60</v>
      </c>
      <c r="I697">
        <v>44</v>
      </c>
      <c r="J697">
        <v>305</v>
      </c>
      <c r="K697">
        <v>50.83</v>
      </c>
      <c r="L697">
        <f t="shared" si="10"/>
        <v>4</v>
      </c>
    </row>
    <row r="698" spans="1:12">
      <c r="A698">
        <v>583</v>
      </c>
      <c r="B698" s="4" t="s">
        <v>3634</v>
      </c>
      <c r="C698" t="s">
        <v>624</v>
      </c>
      <c r="D698">
        <v>51</v>
      </c>
      <c r="E698">
        <v>65</v>
      </c>
      <c r="F698">
        <v>65</v>
      </c>
      <c r="G698">
        <v>80</v>
      </c>
      <c r="H698">
        <v>75</v>
      </c>
      <c r="I698">
        <v>59</v>
      </c>
      <c r="J698">
        <v>395</v>
      </c>
      <c r="K698">
        <v>65.83</v>
      </c>
      <c r="L698">
        <f t="shared" si="10"/>
        <v>4</v>
      </c>
    </row>
    <row r="699" spans="1:12">
      <c r="A699">
        <v>584</v>
      </c>
      <c r="B699" s="4" t="s">
        <v>3635</v>
      </c>
      <c r="C699" t="s">
        <v>625</v>
      </c>
      <c r="D699">
        <v>71</v>
      </c>
      <c r="E699">
        <v>95</v>
      </c>
      <c r="F699">
        <v>85</v>
      </c>
      <c r="G699">
        <v>110</v>
      </c>
      <c r="H699">
        <v>95</v>
      </c>
      <c r="I699">
        <v>79</v>
      </c>
      <c r="J699">
        <v>535</v>
      </c>
      <c r="K699">
        <v>89.17</v>
      </c>
      <c r="L699">
        <f t="shared" si="10"/>
        <v>4</v>
      </c>
    </row>
    <row r="700" spans="1:12">
      <c r="A700">
        <v>585</v>
      </c>
      <c r="B700" s="4" t="s">
        <v>3636</v>
      </c>
      <c r="C700" t="s">
        <v>626</v>
      </c>
      <c r="D700">
        <v>60</v>
      </c>
      <c r="E700">
        <v>60</v>
      </c>
      <c r="F700">
        <v>50</v>
      </c>
      <c r="G700">
        <v>40</v>
      </c>
      <c r="H700">
        <v>50</v>
      </c>
      <c r="I700">
        <v>75</v>
      </c>
      <c r="J700">
        <v>335</v>
      </c>
      <c r="K700">
        <v>55.83</v>
      </c>
      <c r="L700">
        <f t="shared" si="10"/>
        <v>4</v>
      </c>
    </row>
    <row r="701" spans="1:12">
      <c r="A701">
        <v>586</v>
      </c>
      <c r="B701" s="4" t="s">
        <v>3637</v>
      </c>
      <c r="C701" t="s">
        <v>627</v>
      </c>
      <c r="D701">
        <v>80</v>
      </c>
      <c r="E701">
        <v>100</v>
      </c>
      <c r="F701">
        <v>70</v>
      </c>
      <c r="G701">
        <v>60</v>
      </c>
      <c r="H701">
        <v>70</v>
      </c>
      <c r="I701">
        <v>95</v>
      </c>
      <c r="J701">
        <v>475</v>
      </c>
      <c r="K701">
        <v>79.17</v>
      </c>
      <c r="L701">
        <f t="shared" si="10"/>
        <v>4</v>
      </c>
    </row>
    <row r="702" spans="1:12">
      <c r="A702">
        <v>587</v>
      </c>
      <c r="B702" s="4" t="s">
        <v>3638</v>
      </c>
      <c r="C702" t="s">
        <v>628</v>
      </c>
      <c r="D702">
        <v>55</v>
      </c>
      <c r="E702">
        <v>75</v>
      </c>
      <c r="F702">
        <v>60</v>
      </c>
      <c r="G702">
        <v>75</v>
      </c>
      <c r="H702">
        <v>60</v>
      </c>
      <c r="I702">
        <v>103</v>
      </c>
      <c r="J702">
        <v>428</v>
      </c>
      <c r="K702">
        <v>71.33</v>
      </c>
      <c r="L702">
        <f t="shared" si="10"/>
        <v>4</v>
      </c>
    </row>
    <row r="703" spans="1:12">
      <c r="A703">
        <v>588</v>
      </c>
      <c r="B703" s="4" t="s">
        <v>3639</v>
      </c>
      <c r="C703" t="s">
        <v>629</v>
      </c>
      <c r="D703">
        <v>50</v>
      </c>
      <c r="E703">
        <v>75</v>
      </c>
      <c r="F703">
        <v>45</v>
      </c>
      <c r="G703">
        <v>40</v>
      </c>
      <c r="H703">
        <v>45</v>
      </c>
      <c r="I703">
        <v>60</v>
      </c>
      <c r="J703">
        <v>315</v>
      </c>
      <c r="K703">
        <v>52.5</v>
      </c>
      <c r="L703">
        <f t="shared" si="10"/>
        <v>4</v>
      </c>
    </row>
    <row r="704" spans="1:12">
      <c r="A704">
        <v>589</v>
      </c>
      <c r="B704" s="4" t="s">
        <v>3640</v>
      </c>
      <c r="C704" t="s">
        <v>630</v>
      </c>
      <c r="D704">
        <v>70</v>
      </c>
      <c r="E704">
        <v>135</v>
      </c>
      <c r="F704">
        <v>105</v>
      </c>
      <c r="G704">
        <v>60</v>
      </c>
      <c r="H704">
        <v>105</v>
      </c>
      <c r="I704">
        <v>20</v>
      </c>
      <c r="J704">
        <v>495</v>
      </c>
      <c r="K704">
        <v>82.5</v>
      </c>
      <c r="L704">
        <f t="shared" si="10"/>
        <v>4</v>
      </c>
    </row>
    <row r="705" spans="1:12">
      <c r="A705">
        <v>590</v>
      </c>
      <c r="B705" s="4" t="s">
        <v>3641</v>
      </c>
      <c r="C705" t="s">
        <v>631</v>
      </c>
      <c r="D705">
        <v>69</v>
      </c>
      <c r="E705">
        <v>55</v>
      </c>
      <c r="F705">
        <v>45</v>
      </c>
      <c r="G705">
        <v>55</v>
      </c>
      <c r="H705">
        <v>55</v>
      </c>
      <c r="I705">
        <v>15</v>
      </c>
      <c r="J705">
        <v>294</v>
      </c>
      <c r="K705">
        <v>49</v>
      </c>
      <c r="L705">
        <f t="shared" si="10"/>
        <v>4</v>
      </c>
    </row>
    <row r="706" spans="1:12">
      <c r="A706">
        <v>591</v>
      </c>
      <c r="B706" s="4" t="s">
        <v>3642</v>
      </c>
      <c r="C706" t="s">
        <v>632</v>
      </c>
      <c r="D706">
        <v>114</v>
      </c>
      <c r="E706">
        <v>85</v>
      </c>
      <c r="F706">
        <v>70</v>
      </c>
      <c r="G706">
        <v>85</v>
      </c>
      <c r="H706">
        <v>80</v>
      </c>
      <c r="I706">
        <v>30</v>
      </c>
      <c r="J706">
        <v>464</v>
      </c>
      <c r="K706">
        <v>77.33</v>
      </c>
      <c r="L706">
        <f t="shared" si="10"/>
        <v>4</v>
      </c>
    </row>
    <row r="707" spans="1:12">
      <c r="A707">
        <v>592</v>
      </c>
      <c r="B707" s="4" t="s">
        <v>3643</v>
      </c>
      <c r="C707" t="s">
        <v>633</v>
      </c>
      <c r="D707">
        <v>55</v>
      </c>
      <c r="E707">
        <v>40</v>
      </c>
      <c r="F707">
        <v>50</v>
      </c>
      <c r="G707">
        <v>65</v>
      </c>
      <c r="H707">
        <v>85</v>
      </c>
      <c r="I707">
        <v>40</v>
      </c>
      <c r="J707">
        <v>335</v>
      </c>
      <c r="K707">
        <v>55.83</v>
      </c>
      <c r="L707">
        <f t="shared" ref="L707:L771" si="11">LEN(B707)</f>
        <v>4</v>
      </c>
    </row>
    <row r="708" spans="1:12">
      <c r="A708">
        <v>593</v>
      </c>
      <c r="B708" s="4" t="s">
        <v>3644</v>
      </c>
      <c r="C708" t="s">
        <v>634</v>
      </c>
      <c r="D708">
        <v>100</v>
      </c>
      <c r="E708">
        <v>60</v>
      </c>
      <c r="F708">
        <v>70</v>
      </c>
      <c r="G708">
        <v>85</v>
      </c>
      <c r="H708">
        <v>105</v>
      </c>
      <c r="I708">
        <v>60</v>
      </c>
      <c r="J708">
        <v>480</v>
      </c>
      <c r="K708">
        <v>80</v>
      </c>
      <c r="L708">
        <f t="shared" si="11"/>
        <v>4</v>
      </c>
    </row>
    <row r="709" spans="1:12">
      <c r="A709">
        <v>594</v>
      </c>
      <c r="B709" s="4" t="s">
        <v>3645</v>
      </c>
      <c r="C709" t="s">
        <v>635</v>
      </c>
      <c r="D709">
        <v>165</v>
      </c>
      <c r="E709">
        <v>75</v>
      </c>
      <c r="F709">
        <v>80</v>
      </c>
      <c r="G709">
        <v>40</v>
      </c>
      <c r="H709">
        <v>45</v>
      </c>
      <c r="I709">
        <v>65</v>
      </c>
      <c r="J709">
        <v>470</v>
      </c>
      <c r="K709">
        <v>78.33</v>
      </c>
      <c r="L709">
        <f t="shared" si="11"/>
        <v>4</v>
      </c>
    </row>
    <row r="710" spans="1:12">
      <c r="A710">
        <v>595</v>
      </c>
      <c r="B710" s="4" t="s">
        <v>3646</v>
      </c>
      <c r="C710" t="s">
        <v>636</v>
      </c>
      <c r="D710">
        <v>50</v>
      </c>
      <c r="E710">
        <v>47</v>
      </c>
      <c r="F710">
        <v>50</v>
      </c>
      <c r="G710">
        <v>57</v>
      </c>
      <c r="H710">
        <v>50</v>
      </c>
      <c r="I710">
        <v>65</v>
      </c>
      <c r="J710">
        <v>319</v>
      </c>
      <c r="K710">
        <v>53.17</v>
      </c>
      <c r="L710">
        <f t="shared" si="11"/>
        <v>4</v>
      </c>
    </row>
    <row r="711" spans="1:12">
      <c r="A711">
        <v>596</v>
      </c>
      <c r="B711" s="4" t="s">
        <v>3647</v>
      </c>
      <c r="C711" t="s">
        <v>637</v>
      </c>
      <c r="D711">
        <v>70</v>
      </c>
      <c r="E711">
        <v>77</v>
      </c>
      <c r="F711">
        <v>60</v>
      </c>
      <c r="G711">
        <v>97</v>
      </c>
      <c r="H711">
        <v>60</v>
      </c>
      <c r="I711">
        <v>108</v>
      </c>
      <c r="J711">
        <v>472</v>
      </c>
      <c r="K711">
        <v>78.67</v>
      </c>
      <c r="L711">
        <f t="shared" si="11"/>
        <v>4</v>
      </c>
    </row>
    <row r="712" spans="1:12">
      <c r="A712">
        <v>597</v>
      </c>
      <c r="B712" s="4" t="s">
        <v>3648</v>
      </c>
      <c r="C712" t="s">
        <v>638</v>
      </c>
      <c r="D712">
        <v>44</v>
      </c>
      <c r="E712">
        <v>50</v>
      </c>
      <c r="F712">
        <v>91</v>
      </c>
      <c r="G712">
        <v>24</v>
      </c>
      <c r="H712">
        <v>86</v>
      </c>
      <c r="I712">
        <v>10</v>
      </c>
      <c r="J712">
        <v>305</v>
      </c>
      <c r="K712">
        <v>50.83</v>
      </c>
      <c r="L712">
        <f t="shared" si="11"/>
        <v>4</v>
      </c>
    </row>
    <row r="713" spans="1:12">
      <c r="A713">
        <v>598</v>
      </c>
      <c r="B713" s="4" t="s">
        <v>3649</v>
      </c>
      <c r="C713" t="s">
        <v>639</v>
      </c>
      <c r="D713">
        <v>74</v>
      </c>
      <c r="E713">
        <v>94</v>
      </c>
      <c r="F713">
        <v>131</v>
      </c>
      <c r="G713">
        <v>54</v>
      </c>
      <c r="H713">
        <v>116</v>
      </c>
      <c r="I713">
        <v>20</v>
      </c>
      <c r="J713">
        <v>489</v>
      </c>
      <c r="K713">
        <v>81.5</v>
      </c>
      <c r="L713">
        <f t="shared" si="11"/>
        <v>4</v>
      </c>
    </row>
    <row r="714" spans="1:12">
      <c r="A714">
        <v>599</v>
      </c>
      <c r="B714" s="4" t="s">
        <v>3650</v>
      </c>
      <c r="C714" t="s">
        <v>640</v>
      </c>
      <c r="D714">
        <v>40</v>
      </c>
      <c r="E714">
        <v>55</v>
      </c>
      <c r="F714">
        <v>70</v>
      </c>
      <c r="G714">
        <v>45</v>
      </c>
      <c r="H714">
        <v>60</v>
      </c>
      <c r="I714">
        <v>30</v>
      </c>
      <c r="J714">
        <v>300</v>
      </c>
      <c r="K714">
        <v>50</v>
      </c>
      <c r="L714">
        <f t="shared" si="11"/>
        <v>4</v>
      </c>
    </row>
    <row r="715" spans="1:12">
      <c r="A715">
        <v>600</v>
      </c>
      <c r="B715" s="4" t="s">
        <v>3651</v>
      </c>
      <c r="C715" t="s">
        <v>641</v>
      </c>
      <c r="D715">
        <v>60</v>
      </c>
      <c r="E715">
        <v>80</v>
      </c>
      <c r="F715">
        <v>95</v>
      </c>
      <c r="G715">
        <v>70</v>
      </c>
      <c r="H715">
        <v>85</v>
      </c>
      <c r="I715">
        <v>50</v>
      </c>
      <c r="J715">
        <v>440</v>
      </c>
      <c r="K715">
        <v>73.33</v>
      </c>
      <c r="L715">
        <f t="shared" si="11"/>
        <v>4</v>
      </c>
    </row>
    <row r="716" spans="1:12">
      <c r="A716">
        <v>601</v>
      </c>
      <c r="B716" s="4" t="s">
        <v>3652</v>
      </c>
      <c r="C716" t="s">
        <v>642</v>
      </c>
      <c r="D716">
        <v>60</v>
      </c>
      <c r="E716">
        <v>100</v>
      </c>
      <c r="F716">
        <v>115</v>
      </c>
      <c r="G716">
        <v>70</v>
      </c>
      <c r="H716">
        <v>85</v>
      </c>
      <c r="I716">
        <v>90</v>
      </c>
      <c r="J716">
        <v>520</v>
      </c>
      <c r="K716">
        <v>86.67</v>
      </c>
      <c r="L716">
        <f t="shared" si="11"/>
        <v>4</v>
      </c>
    </row>
    <row r="717" spans="1:12">
      <c r="A717">
        <v>602</v>
      </c>
      <c r="B717" s="4" t="s">
        <v>3653</v>
      </c>
      <c r="C717" t="s">
        <v>643</v>
      </c>
      <c r="D717">
        <v>35</v>
      </c>
      <c r="E717">
        <v>55</v>
      </c>
      <c r="F717">
        <v>40</v>
      </c>
      <c r="G717">
        <v>45</v>
      </c>
      <c r="H717">
        <v>40</v>
      </c>
      <c r="I717">
        <v>60</v>
      </c>
      <c r="J717">
        <v>275</v>
      </c>
      <c r="K717">
        <v>45.83</v>
      </c>
      <c r="L717">
        <f t="shared" si="11"/>
        <v>4</v>
      </c>
    </row>
    <row r="718" spans="1:12">
      <c r="A718">
        <v>603</v>
      </c>
      <c r="B718" s="4" t="s">
        <v>3654</v>
      </c>
      <c r="C718" t="s">
        <v>644</v>
      </c>
      <c r="D718">
        <v>65</v>
      </c>
      <c r="E718">
        <v>85</v>
      </c>
      <c r="F718">
        <v>70</v>
      </c>
      <c r="G718">
        <v>75</v>
      </c>
      <c r="H718">
        <v>70</v>
      </c>
      <c r="I718">
        <v>40</v>
      </c>
      <c r="J718">
        <v>405</v>
      </c>
      <c r="K718">
        <v>67.5</v>
      </c>
      <c r="L718">
        <f t="shared" si="11"/>
        <v>4</v>
      </c>
    </row>
    <row r="719" spans="1:12">
      <c r="A719">
        <v>604</v>
      </c>
      <c r="B719" s="4" t="s">
        <v>3655</v>
      </c>
      <c r="C719" t="s">
        <v>645</v>
      </c>
      <c r="D719">
        <v>85</v>
      </c>
      <c r="E719">
        <v>115</v>
      </c>
      <c r="F719">
        <v>80</v>
      </c>
      <c r="G719">
        <v>105</v>
      </c>
      <c r="H719">
        <v>80</v>
      </c>
      <c r="I719">
        <v>50</v>
      </c>
      <c r="J719">
        <v>515</v>
      </c>
      <c r="K719">
        <v>85.83</v>
      </c>
      <c r="L719">
        <f t="shared" si="11"/>
        <v>4</v>
      </c>
    </row>
    <row r="720" spans="1:12">
      <c r="A720">
        <v>605</v>
      </c>
      <c r="B720" s="4" t="s">
        <v>3656</v>
      </c>
      <c r="C720" t="s">
        <v>646</v>
      </c>
      <c r="D720">
        <v>55</v>
      </c>
      <c r="E720">
        <v>55</v>
      </c>
      <c r="F720">
        <v>55</v>
      </c>
      <c r="G720">
        <v>85</v>
      </c>
      <c r="H720">
        <v>55</v>
      </c>
      <c r="I720">
        <v>30</v>
      </c>
      <c r="J720">
        <v>335</v>
      </c>
      <c r="K720">
        <v>55.83</v>
      </c>
      <c r="L720">
        <f t="shared" si="11"/>
        <v>4</v>
      </c>
    </row>
    <row r="721" spans="1:12">
      <c r="A721">
        <v>606</v>
      </c>
      <c r="B721" s="4" t="s">
        <v>3657</v>
      </c>
      <c r="C721" t="s">
        <v>647</v>
      </c>
      <c r="D721">
        <v>75</v>
      </c>
      <c r="E721">
        <v>75</v>
      </c>
      <c r="F721">
        <v>75</v>
      </c>
      <c r="G721">
        <v>125</v>
      </c>
      <c r="H721">
        <v>95</v>
      </c>
      <c r="I721">
        <v>40</v>
      </c>
      <c r="J721">
        <v>485</v>
      </c>
      <c r="K721">
        <v>80.83</v>
      </c>
      <c r="L721">
        <f t="shared" si="11"/>
        <v>4</v>
      </c>
    </row>
    <row r="722" spans="1:12">
      <c r="A722">
        <v>607</v>
      </c>
      <c r="B722" s="4" t="s">
        <v>3658</v>
      </c>
      <c r="C722" t="s">
        <v>648</v>
      </c>
      <c r="D722">
        <v>50</v>
      </c>
      <c r="E722">
        <v>30</v>
      </c>
      <c r="F722">
        <v>55</v>
      </c>
      <c r="G722">
        <v>65</v>
      </c>
      <c r="H722">
        <v>55</v>
      </c>
      <c r="I722">
        <v>20</v>
      </c>
      <c r="J722">
        <v>275</v>
      </c>
      <c r="K722">
        <v>45.83</v>
      </c>
      <c r="L722">
        <f t="shared" si="11"/>
        <v>4</v>
      </c>
    </row>
    <row r="723" spans="1:12">
      <c r="A723">
        <v>608</v>
      </c>
      <c r="B723" s="4" t="s">
        <v>3659</v>
      </c>
      <c r="C723" t="s">
        <v>649</v>
      </c>
      <c r="D723">
        <v>60</v>
      </c>
      <c r="E723">
        <v>40</v>
      </c>
      <c r="F723">
        <v>60</v>
      </c>
      <c r="G723">
        <v>95</v>
      </c>
      <c r="H723">
        <v>60</v>
      </c>
      <c r="I723">
        <v>55</v>
      </c>
      <c r="J723">
        <v>370</v>
      </c>
      <c r="K723">
        <v>61.67</v>
      </c>
      <c r="L723">
        <f t="shared" si="11"/>
        <v>4</v>
      </c>
    </row>
    <row r="724" spans="1:12">
      <c r="A724">
        <v>609</v>
      </c>
      <c r="B724" s="4" t="s">
        <v>3660</v>
      </c>
      <c r="C724" t="s">
        <v>650</v>
      </c>
      <c r="D724">
        <v>60</v>
      </c>
      <c r="E724">
        <v>55</v>
      </c>
      <c r="F724">
        <v>90</v>
      </c>
      <c r="G724">
        <v>145</v>
      </c>
      <c r="H724">
        <v>90</v>
      </c>
      <c r="I724">
        <v>80</v>
      </c>
      <c r="J724">
        <v>520</v>
      </c>
      <c r="K724">
        <v>86.67</v>
      </c>
      <c r="L724">
        <f t="shared" si="11"/>
        <v>4</v>
      </c>
    </row>
    <row r="725" spans="1:12">
      <c r="A725">
        <v>610</v>
      </c>
      <c r="B725" s="4" t="s">
        <v>3661</v>
      </c>
      <c r="C725" t="s">
        <v>651</v>
      </c>
      <c r="D725">
        <v>46</v>
      </c>
      <c r="E725">
        <v>87</v>
      </c>
      <c r="F725">
        <v>60</v>
      </c>
      <c r="G725">
        <v>30</v>
      </c>
      <c r="H725">
        <v>40</v>
      </c>
      <c r="I725">
        <v>57</v>
      </c>
      <c r="J725">
        <v>320</v>
      </c>
      <c r="K725">
        <v>53.33</v>
      </c>
      <c r="L725">
        <f t="shared" si="11"/>
        <v>4</v>
      </c>
    </row>
    <row r="726" spans="1:12">
      <c r="A726">
        <v>611</v>
      </c>
      <c r="B726" s="4" t="s">
        <v>3662</v>
      </c>
      <c r="C726" t="s">
        <v>652</v>
      </c>
      <c r="D726">
        <v>66</v>
      </c>
      <c r="E726">
        <v>117</v>
      </c>
      <c r="F726">
        <v>70</v>
      </c>
      <c r="G726">
        <v>40</v>
      </c>
      <c r="H726">
        <v>50</v>
      </c>
      <c r="I726">
        <v>67</v>
      </c>
      <c r="J726">
        <v>410</v>
      </c>
      <c r="K726">
        <v>68.33</v>
      </c>
      <c r="L726">
        <f t="shared" si="11"/>
        <v>4</v>
      </c>
    </row>
    <row r="727" spans="1:12">
      <c r="A727">
        <v>612</v>
      </c>
      <c r="B727" s="4" t="s">
        <v>3663</v>
      </c>
      <c r="C727" t="s">
        <v>653</v>
      </c>
      <c r="D727">
        <v>76</v>
      </c>
      <c r="E727">
        <v>147</v>
      </c>
      <c r="F727">
        <v>90</v>
      </c>
      <c r="G727">
        <v>60</v>
      </c>
      <c r="H727">
        <v>70</v>
      </c>
      <c r="I727">
        <v>97</v>
      </c>
      <c r="J727">
        <v>540</v>
      </c>
      <c r="K727">
        <v>90</v>
      </c>
      <c r="L727">
        <f t="shared" si="11"/>
        <v>4</v>
      </c>
    </row>
    <row r="728" spans="1:12">
      <c r="A728">
        <v>613</v>
      </c>
      <c r="B728" s="4" t="s">
        <v>3664</v>
      </c>
      <c r="C728" t="s">
        <v>654</v>
      </c>
      <c r="D728">
        <v>55</v>
      </c>
      <c r="E728">
        <v>70</v>
      </c>
      <c r="F728">
        <v>40</v>
      </c>
      <c r="G728">
        <v>60</v>
      </c>
      <c r="H728">
        <v>40</v>
      </c>
      <c r="I728">
        <v>40</v>
      </c>
      <c r="J728">
        <v>305</v>
      </c>
      <c r="K728">
        <v>50.83</v>
      </c>
      <c r="L728">
        <f t="shared" si="11"/>
        <v>4</v>
      </c>
    </row>
    <row r="729" spans="1:12">
      <c r="A729">
        <v>614</v>
      </c>
      <c r="B729" s="4" t="s">
        <v>3665</v>
      </c>
      <c r="C729" t="s">
        <v>655</v>
      </c>
      <c r="D729">
        <v>95</v>
      </c>
      <c r="E729">
        <v>130</v>
      </c>
      <c r="F729">
        <v>80</v>
      </c>
      <c r="G729">
        <v>70</v>
      </c>
      <c r="H729">
        <v>80</v>
      </c>
      <c r="I729">
        <v>50</v>
      </c>
      <c r="J729">
        <v>505</v>
      </c>
      <c r="K729">
        <v>84.17</v>
      </c>
      <c r="L729">
        <f t="shared" si="11"/>
        <v>4</v>
      </c>
    </row>
    <row r="730" spans="1:12">
      <c r="A730">
        <v>615</v>
      </c>
      <c r="B730" s="4" t="s">
        <v>3666</v>
      </c>
      <c r="C730" t="s">
        <v>656</v>
      </c>
      <c r="D730">
        <v>80</v>
      </c>
      <c r="E730">
        <v>50</v>
      </c>
      <c r="F730">
        <v>50</v>
      </c>
      <c r="G730">
        <v>95</v>
      </c>
      <c r="H730">
        <v>135</v>
      </c>
      <c r="I730">
        <v>105</v>
      </c>
      <c r="J730">
        <v>515</v>
      </c>
      <c r="K730">
        <v>85.83</v>
      </c>
      <c r="L730">
        <f t="shared" si="11"/>
        <v>4</v>
      </c>
    </row>
    <row r="731" spans="1:12">
      <c r="A731">
        <v>616</v>
      </c>
      <c r="B731" s="4" t="s">
        <v>3667</v>
      </c>
      <c r="C731" t="s">
        <v>657</v>
      </c>
      <c r="D731">
        <v>50</v>
      </c>
      <c r="E731">
        <v>40</v>
      </c>
      <c r="F731">
        <v>85</v>
      </c>
      <c r="G731">
        <v>40</v>
      </c>
      <c r="H731">
        <v>65</v>
      </c>
      <c r="I731">
        <v>25</v>
      </c>
      <c r="J731">
        <v>305</v>
      </c>
      <c r="K731">
        <v>50.83</v>
      </c>
      <c r="L731">
        <f t="shared" si="11"/>
        <v>4</v>
      </c>
    </row>
    <row r="732" spans="1:12">
      <c r="A732">
        <v>617</v>
      </c>
      <c r="B732" s="4" t="s">
        <v>3668</v>
      </c>
      <c r="C732" t="s">
        <v>658</v>
      </c>
      <c r="D732">
        <v>80</v>
      </c>
      <c r="E732">
        <v>70</v>
      </c>
      <c r="F732">
        <v>40</v>
      </c>
      <c r="G732">
        <v>100</v>
      </c>
      <c r="H732">
        <v>60</v>
      </c>
      <c r="I732">
        <v>145</v>
      </c>
      <c r="J732">
        <v>495</v>
      </c>
      <c r="K732">
        <v>82.5</v>
      </c>
      <c r="L732">
        <f t="shared" si="11"/>
        <v>4</v>
      </c>
    </row>
    <row r="733" spans="1:12">
      <c r="A733">
        <v>618</v>
      </c>
      <c r="B733" s="4" t="s">
        <v>3669</v>
      </c>
      <c r="C733" t="s">
        <v>659</v>
      </c>
      <c r="D733">
        <v>109</v>
      </c>
      <c r="E733">
        <v>66</v>
      </c>
      <c r="F733">
        <v>84</v>
      </c>
      <c r="G733">
        <v>81</v>
      </c>
      <c r="H733">
        <v>99</v>
      </c>
      <c r="I733">
        <v>32</v>
      </c>
      <c r="J733">
        <v>471</v>
      </c>
      <c r="K733">
        <v>78.5</v>
      </c>
      <c r="L733">
        <f t="shared" si="11"/>
        <v>4</v>
      </c>
    </row>
    <row r="734" spans="1:12">
      <c r="A734">
        <v>618</v>
      </c>
      <c r="B734" s="131" t="s">
        <v>3008</v>
      </c>
      <c r="C734" t="s">
        <v>3009</v>
      </c>
      <c r="D734">
        <v>109</v>
      </c>
      <c r="E734">
        <v>81</v>
      </c>
      <c r="F734">
        <v>99</v>
      </c>
      <c r="G734">
        <v>66</v>
      </c>
      <c r="H734">
        <v>84</v>
      </c>
      <c r="I734">
        <v>32</v>
      </c>
      <c r="J734">
        <v>471</v>
      </c>
      <c r="K734">
        <v>78.5</v>
      </c>
      <c r="L734">
        <f t="shared" si="11"/>
        <v>4</v>
      </c>
    </row>
    <row r="735" spans="1:12">
      <c r="A735">
        <v>619</v>
      </c>
      <c r="B735" s="4" t="s">
        <v>3670</v>
      </c>
      <c r="C735" t="s">
        <v>660</v>
      </c>
      <c r="D735">
        <v>45</v>
      </c>
      <c r="E735">
        <v>85</v>
      </c>
      <c r="F735">
        <v>50</v>
      </c>
      <c r="G735">
        <v>55</v>
      </c>
      <c r="H735">
        <v>50</v>
      </c>
      <c r="I735">
        <v>65</v>
      </c>
      <c r="J735">
        <v>350</v>
      </c>
      <c r="K735">
        <v>58.33</v>
      </c>
      <c r="L735">
        <f t="shared" si="11"/>
        <v>4</v>
      </c>
    </row>
    <row r="736" spans="1:12">
      <c r="A736">
        <v>620</v>
      </c>
      <c r="B736" s="4" t="s">
        <v>3671</v>
      </c>
      <c r="C736" t="s">
        <v>661</v>
      </c>
      <c r="D736">
        <v>65</v>
      </c>
      <c r="E736">
        <v>125</v>
      </c>
      <c r="F736">
        <v>60</v>
      </c>
      <c r="G736">
        <v>95</v>
      </c>
      <c r="H736">
        <v>60</v>
      </c>
      <c r="I736">
        <v>105</v>
      </c>
      <c r="J736">
        <v>510</v>
      </c>
      <c r="K736">
        <v>85</v>
      </c>
      <c r="L736">
        <f t="shared" si="11"/>
        <v>4</v>
      </c>
    </row>
    <row r="737" spans="1:12">
      <c r="A737">
        <v>621</v>
      </c>
      <c r="B737" s="4" t="s">
        <v>3672</v>
      </c>
      <c r="C737" t="s">
        <v>662</v>
      </c>
      <c r="D737">
        <v>77</v>
      </c>
      <c r="E737">
        <v>120</v>
      </c>
      <c r="F737">
        <v>90</v>
      </c>
      <c r="G737">
        <v>60</v>
      </c>
      <c r="H737">
        <v>90</v>
      </c>
      <c r="I737">
        <v>48</v>
      </c>
      <c r="J737">
        <v>485</v>
      </c>
      <c r="K737">
        <v>80.83</v>
      </c>
      <c r="L737">
        <f t="shared" si="11"/>
        <v>4</v>
      </c>
    </row>
    <row r="738" spans="1:12">
      <c r="A738">
        <v>622</v>
      </c>
      <c r="B738" s="4" t="s">
        <v>3673</v>
      </c>
      <c r="C738" t="s">
        <v>663</v>
      </c>
      <c r="D738">
        <v>59</v>
      </c>
      <c r="E738">
        <v>74</v>
      </c>
      <c r="F738">
        <v>50</v>
      </c>
      <c r="G738">
        <v>35</v>
      </c>
      <c r="H738">
        <v>50</v>
      </c>
      <c r="I738">
        <v>35</v>
      </c>
      <c r="J738">
        <v>303</v>
      </c>
      <c r="K738">
        <v>50.5</v>
      </c>
      <c r="L738">
        <f t="shared" si="11"/>
        <v>4</v>
      </c>
    </row>
    <row r="739" spans="1:12">
      <c r="A739">
        <v>623</v>
      </c>
      <c r="B739" s="4" t="s">
        <v>3674</v>
      </c>
      <c r="C739" t="s">
        <v>664</v>
      </c>
      <c r="D739">
        <v>89</v>
      </c>
      <c r="E739">
        <v>124</v>
      </c>
      <c r="F739">
        <v>80</v>
      </c>
      <c r="G739">
        <v>55</v>
      </c>
      <c r="H739">
        <v>80</v>
      </c>
      <c r="I739">
        <v>55</v>
      </c>
      <c r="J739">
        <v>483</v>
      </c>
      <c r="K739">
        <v>80.5</v>
      </c>
      <c r="L739">
        <f t="shared" si="11"/>
        <v>4</v>
      </c>
    </row>
    <row r="740" spans="1:12">
      <c r="A740">
        <v>624</v>
      </c>
      <c r="B740" s="4" t="s">
        <v>3675</v>
      </c>
      <c r="C740" t="s">
        <v>665</v>
      </c>
      <c r="D740">
        <v>45</v>
      </c>
      <c r="E740">
        <v>85</v>
      </c>
      <c r="F740">
        <v>70</v>
      </c>
      <c r="G740">
        <v>40</v>
      </c>
      <c r="H740">
        <v>40</v>
      </c>
      <c r="I740">
        <v>60</v>
      </c>
      <c r="J740">
        <v>340</v>
      </c>
      <c r="K740">
        <v>56.67</v>
      </c>
      <c r="L740">
        <f t="shared" si="11"/>
        <v>4</v>
      </c>
    </row>
    <row r="741" spans="1:12">
      <c r="A741">
        <v>625</v>
      </c>
      <c r="B741" s="4" t="s">
        <v>3676</v>
      </c>
      <c r="C741" t="s">
        <v>666</v>
      </c>
      <c r="D741">
        <v>65</v>
      </c>
      <c r="E741">
        <v>125</v>
      </c>
      <c r="F741">
        <v>100</v>
      </c>
      <c r="G741">
        <v>60</v>
      </c>
      <c r="H741">
        <v>70</v>
      </c>
      <c r="I741">
        <v>70</v>
      </c>
      <c r="J741">
        <v>490</v>
      </c>
      <c r="K741">
        <v>81.67</v>
      </c>
      <c r="L741">
        <f t="shared" si="11"/>
        <v>4</v>
      </c>
    </row>
    <row r="742" spans="1:12">
      <c r="A742">
        <v>626</v>
      </c>
      <c r="B742" s="4" t="s">
        <v>3677</v>
      </c>
      <c r="C742" t="s">
        <v>667</v>
      </c>
      <c r="D742">
        <v>95</v>
      </c>
      <c r="E742">
        <v>110</v>
      </c>
      <c r="F742">
        <v>95</v>
      </c>
      <c r="G742">
        <v>40</v>
      </c>
      <c r="H742">
        <v>95</v>
      </c>
      <c r="I742">
        <v>55</v>
      </c>
      <c r="J742">
        <v>490</v>
      </c>
      <c r="K742">
        <v>81.67</v>
      </c>
      <c r="L742">
        <f t="shared" si="11"/>
        <v>4</v>
      </c>
    </row>
    <row r="743" spans="1:12">
      <c r="A743">
        <v>627</v>
      </c>
      <c r="B743" s="4" t="s">
        <v>3678</v>
      </c>
      <c r="C743" t="s">
        <v>668</v>
      </c>
      <c r="D743">
        <v>70</v>
      </c>
      <c r="E743">
        <v>83</v>
      </c>
      <c r="F743">
        <v>50</v>
      </c>
      <c r="G743">
        <v>37</v>
      </c>
      <c r="H743">
        <v>50</v>
      </c>
      <c r="I743">
        <v>60</v>
      </c>
      <c r="J743">
        <v>350</v>
      </c>
      <c r="K743">
        <v>58.33</v>
      </c>
      <c r="L743">
        <f t="shared" si="11"/>
        <v>4</v>
      </c>
    </row>
    <row r="744" spans="1:12">
      <c r="A744">
        <v>628</v>
      </c>
      <c r="B744" s="4" t="s">
        <v>3679</v>
      </c>
      <c r="C744" t="s">
        <v>669</v>
      </c>
      <c r="D744">
        <v>100</v>
      </c>
      <c r="E744">
        <v>123</v>
      </c>
      <c r="F744">
        <v>75</v>
      </c>
      <c r="G744">
        <v>57</v>
      </c>
      <c r="H744">
        <v>75</v>
      </c>
      <c r="I744">
        <v>80</v>
      </c>
      <c r="J744">
        <v>510</v>
      </c>
      <c r="K744">
        <v>85</v>
      </c>
      <c r="L744">
        <f t="shared" si="11"/>
        <v>4</v>
      </c>
    </row>
    <row r="745" spans="1:12">
      <c r="A745">
        <v>628</v>
      </c>
      <c r="B745" s="131" t="s">
        <v>3010</v>
      </c>
      <c r="C745" t="s">
        <v>3011</v>
      </c>
      <c r="D745">
        <v>110</v>
      </c>
      <c r="E745">
        <v>83</v>
      </c>
      <c r="F745">
        <v>70</v>
      </c>
      <c r="G745">
        <v>112</v>
      </c>
      <c r="H745">
        <v>70</v>
      </c>
      <c r="I745">
        <v>65</v>
      </c>
      <c r="J745">
        <v>510</v>
      </c>
      <c r="K745">
        <v>85</v>
      </c>
      <c r="L745">
        <f t="shared" si="11"/>
        <v>4</v>
      </c>
    </row>
    <row r="746" spans="1:12">
      <c r="A746">
        <v>629</v>
      </c>
      <c r="B746" s="4" t="s">
        <v>3680</v>
      </c>
      <c r="C746" t="s">
        <v>670</v>
      </c>
      <c r="D746">
        <v>70</v>
      </c>
      <c r="E746">
        <v>55</v>
      </c>
      <c r="F746">
        <v>75</v>
      </c>
      <c r="G746">
        <v>45</v>
      </c>
      <c r="H746">
        <v>65</v>
      </c>
      <c r="I746">
        <v>60</v>
      </c>
      <c r="J746">
        <v>370</v>
      </c>
      <c r="K746">
        <v>61.67</v>
      </c>
      <c r="L746">
        <f t="shared" si="11"/>
        <v>4</v>
      </c>
    </row>
    <row r="747" spans="1:12">
      <c r="A747">
        <v>630</v>
      </c>
      <c r="B747" s="4" t="s">
        <v>3681</v>
      </c>
      <c r="C747" t="s">
        <v>671</v>
      </c>
      <c r="D747">
        <v>110</v>
      </c>
      <c r="E747">
        <v>65</v>
      </c>
      <c r="F747">
        <v>105</v>
      </c>
      <c r="G747">
        <v>55</v>
      </c>
      <c r="H747">
        <v>95</v>
      </c>
      <c r="I747">
        <v>80</v>
      </c>
      <c r="J747">
        <v>510</v>
      </c>
      <c r="K747">
        <v>85</v>
      </c>
      <c r="L747">
        <f t="shared" si="11"/>
        <v>4</v>
      </c>
    </row>
    <row r="748" spans="1:12">
      <c r="A748">
        <v>631</v>
      </c>
      <c r="B748" s="4" t="s">
        <v>3682</v>
      </c>
      <c r="C748" t="s">
        <v>672</v>
      </c>
      <c r="D748">
        <v>85</v>
      </c>
      <c r="E748">
        <v>97</v>
      </c>
      <c r="F748">
        <v>66</v>
      </c>
      <c r="G748">
        <v>105</v>
      </c>
      <c r="H748">
        <v>66</v>
      </c>
      <c r="I748">
        <v>65</v>
      </c>
      <c r="J748">
        <v>484</v>
      </c>
      <c r="K748">
        <v>80.67</v>
      </c>
      <c r="L748">
        <f t="shared" si="11"/>
        <v>4</v>
      </c>
    </row>
    <row r="749" spans="1:12">
      <c r="A749">
        <v>632</v>
      </c>
      <c r="B749" s="4" t="s">
        <v>3683</v>
      </c>
      <c r="C749" t="s">
        <v>673</v>
      </c>
      <c r="D749">
        <v>58</v>
      </c>
      <c r="E749">
        <v>109</v>
      </c>
      <c r="F749">
        <v>112</v>
      </c>
      <c r="G749">
        <v>48</v>
      </c>
      <c r="H749">
        <v>48</v>
      </c>
      <c r="I749">
        <v>109</v>
      </c>
      <c r="J749">
        <v>484</v>
      </c>
      <c r="K749">
        <v>80.67</v>
      </c>
      <c r="L749">
        <f t="shared" si="11"/>
        <v>4</v>
      </c>
    </row>
    <row r="750" spans="1:12">
      <c r="A750">
        <v>633</v>
      </c>
      <c r="B750" s="4" t="s">
        <v>3684</v>
      </c>
      <c r="C750" t="s">
        <v>674</v>
      </c>
      <c r="D750">
        <v>52</v>
      </c>
      <c r="E750">
        <v>65</v>
      </c>
      <c r="F750">
        <v>50</v>
      </c>
      <c r="G750">
        <v>45</v>
      </c>
      <c r="H750">
        <v>50</v>
      </c>
      <c r="I750">
        <v>38</v>
      </c>
      <c r="J750">
        <v>300</v>
      </c>
      <c r="K750">
        <v>50</v>
      </c>
      <c r="L750">
        <f t="shared" si="11"/>
        <v>4</v>
      </c>
    </row>
    <row r="751" spans="1:12">
      <c r="A751">
        <v>634</v>
      </c>
      <c r="B751" s="4" t="s">
        <v>3685</v>
      </c>
      <c r="C751" t="s">
        <v>675</v>
      </c>
      <c r="D751">
        <v>72</v>
      </c>
      <c r="E751">
        <v>85</v>
      </c>
      <c r="F751">
        <v>70</v>
      </c>
      <c r="G751">
        <v>65</v>
      </c>
      <c r="H751">
        <v>70</v>
      </c>
      <c r="I751">
        <v>58</v>
      </c>
      <c r="J751">
        <v>420</v>
      </c>
      <c r="K751">
        <v>70</v>
      </c>
      <c r="L751">
        <f t="shared" si="11"/>
        <v>4</v>
      </c>
    </row>
    <row r="752" spans="1:12">
      <c r="A752">
        <v>635</v>
      </c>
      <c r="B752" s="4" t="s">
        <v>3686</v>
      </c>
      <c r="C752" t="s">
        <v>676</v>
      </c>
      <c r="D752">
        <v>92</v>
      </c>
      <c r="E752">
        <v>105</v>
      </c>
      <c r="F752">
        <v>90</v>
      </c>
      <c r="G752">
        <v>125</v>
      </c>
      <c r="H752">
        <v>90</v>
      </c>
      <c r="I752">
        <v>98</v>
      </c>
      <c r="J752">
        <v>600</v>
      </c>
      <c r="K752">
        <v>100</v>
      </c>
      <c r="L752">
        <f t="shared" si="11"/>
        <v>4</v>
      </c>
    </row>
    <row r="753" spans="1:12">
      <c r="A753">
        <v>636</v>
      </c>
      <c r="B753" s="4" t="s">
        <v>3687</v>
      </c>
      <c r="C753" t="s">
        <v>677</v>
      </c>
      <c r="D753">
        <v>55</v>
      </c>
      <c r="E753">
        <v>85</v>
      </c>
      <c r="F753">
        <v>55</v>
      </c>
      <c r="G753">
        <v>50</v>
      </c>
      <c r="H753">
        <v>55</v>
      </c>
      <c r="I753">
        <v>60</v>
      </c>
      <c r="J753">
        <v>360</v>
      </c>
      <c r="K753">
        <v>60</v>
      </c>
      <c r="L753">
        <f t="shared" si="11"/>
        <v>4</v>
      </c>
    </row>
    <row r="754" spans="1:12">
      <c r="A754">
        <v>637</v>
      </c>
      <c r="B754" s="4" t="s">
        <v>3688</v>
      </c>
      <c r="C754" t="s">
        <v>678</v>
      </c>
      <c r="D754">
        <v>85</v>
      </c>
      <c r="E754">
        <v>60</v>
      </c>
      <c r="F754">
        <v>65</v>
      </c>
      <c r="G754">
        <v>135</v>
      </c>
      <c r="H754">
        <v>105</v>
      </c>
      <c r="I754">
        <v>100</v>
      </c>
      <c r="J754">
        <v>550</v>
      </c>
      <c r="K754">
        <v>91.67</v>
      </c>
      <c r="L754">
        <f t="shared" si="11"/>
        <v>4</v>
      </c>
    </row>
    <row r="755" spans="1:12">
      <c r="A755">
        <v>638</v>
      </c>
      <c r="B755" s="4" t="s">
        <v>3689</v>
      </c>
      <c r="C755" t="s">
        <v>679</v>
      </c>
      <c r="D755">
        <v>91</v>
      </c>
      <c r="E755">
        <v>90</v>
      </c>
      <c r="F755">
        <v>129</v>
      </c>
      <c r="G755">
        <v>90</v>
      </c>
      <c r="H755">
        <v>72</v>
      </c>
      <c r="I755">
        <v>108</v>
      </c>
      <c r="J755">
        <v>580</v>
      </c>
      <c r="K755">
        <v>96.67</v>
      </c>
      <c r="L755">
        <f t="shared" si="11"/>
        <v>4</v>
      </c>
    </row>
    <row r="756" spans="1:12">
      <c r="A756">
        <v>639</v>
      </c>
      <c r="B756" s="4" t="s">
        <v>3690</v>
      </c>
      <c r="C756" t="s">
        <v>680</v>
      </c>
      <c r="D756">
        <v>91</v>
      </c>
      <c r="E756">
        <v>129</v>
      </c>
      <c r="F756">
        <v>90</v>
      </c>
      <c r="G756">
        <v>72</v>
      </c>
      <c r="H756">
        <v>90</v>
      </c>
      <c r="I756">
        <v>108</v>
      </c>
      <c r="J756">
        <v>580</v>
      </c>
      <c r="K756">
        <v>96.67</v>
      </c>
      <c r="L756">
        <f t="shared" si="11"/>
        <v>4</v>
      </c>
    </row>
    <row r="757" spans="1:12">
      <c r="A757">
        <v>640</v>
      </c>
      <c r="B757" s="4" t="s">
        <v>3691</v>
      </c>
      <c r="C757" t="s">
        <v>681</v>
      </c>
      <c r="D757">
        <v>91</v>
      </c>
      <c r="E757">
        <v>90</v>
      </c>
      <c r="F757">
        <v>72</v>
      </c>
      <c r="G757">
        <v>90</v>
      </c>
      <c r="H757">
        <v>129</v>
      </c>
      <c r="I757">
        <v>108</v>
      </c>
      <c r="J757">
        <v>580</v>
      </c>
      <c r="K757">
        <v>96.67</v>
      </c>
      <c r="L757">
        <f t="shared" si="11"/>
        <v>4</v>
      </c>
    </row>
    <row r="758" spans="1:12">
      <c r="A758">
        <v>641</v>
      </c>
      <c r="B758" s="4" t="s">
        <v>3692</v>
      </c>
      <c r="C758" t="s">
        <v>3012</v>
      </c>
      <c r="D758">
        <v>79</v>
      </c>
      <c r="E758">
        <v>115</v>
      </c>
      <c r="F758">
        <v>70</v>
      </c>
      <c r="G758">
        <v>125</v>
      </c>
      <c r="H758">
        <v>80</v>
      </c>
      <c r="I758">
        <v>111</v>
      </c>
      <c r="J758">
        <v>580</v>
      </c>
      <c r="K758">
        <v>96.67</v>
      </c>
      <c r="L758">
        <f t="shared" si="11"/>
        <v>4</v>
      </c>
    </row>
    <row r="759" spans="1:12">
      <c r="A759">
        <v>641</v>
      </c>
      <c r="B759" s="131" t="s">
        <v>3013</v>
      </c>
      <c r="C759" t="s">
        <v>3014</v>
      </c>
      <c r="D759">
        <v>79</v>
      </c>
      <c r="E759">
        <v>100</v>
      </c>
      <c r="F759">
        <v>80</v>
      </c>
      <c r="G759">
        <v>110</v>
      </c>
      <c r="H759">
        <v>90</v>
      </c>
      <c r="I759">
        <v>121</v>
      </c>
      <c r="J759">
        <v>580</v>
      </c>
      <c r="K759">
        <v>96.67</v>
      </c>
      <c r="L759">
        <f t="shared" si="11"/>
        <v>4</v>
      </c>
    </row>
    <row r="760" spans="1:12">
      <c r="A760">
        <v>642</v>
      </c>
      <c r="B760" s="4" t="s">
        <v>3693</v>
      </c>
      <c r="C760" t="s">
        <v>3015</v>
      </c>
      <c r="D760">
        <v>79</v>
      </c>
      <c r="E760">
        <v>115</v>
      </c>
      <c r="F760">
        <v>70</v>
      </c>
      <c r="G760">
        <v>125</v>
      </c>
      <c r="H760">
        <v>80</v>
      </c>
      <c r="I760">
        <v>111</v>
      </c>
      <c r="J760">
        <v>580</v>
      </c>
      <c r="K760">
        <v>96.67</v>
      </c>
      <c r="L760">
        <f t="shared" si="11"/>
        <v>4</v>
      </c>
    </row>
    <row r="761" spans="1:12">
      <c r="A761">
        <v>642</v>
      </c>
      <c r="B761" s="131" t="s">
        <v>3016</v>
      </c>
      <c r="C761" t="s">
        <v>3017</v>
      </c>
      <c r="D761">
        <v>79</v>
      </c>
      <c r="E761">
        <v>105</v>
      </c>
      <c r="F761">
        <v>70</v>
      </c>
      <c r="G761">
        <v>145</v>
      </c>
      <c r="H761">
        <v>80</v>
      </c>
      <c r="I761">
        <v>101</v>
      </c>
      <c r="J761">
        <v>580</v>
      </c>
      <c r="K761">
        <v>96.67</v>
      </c>
      <c r="L761">
        <f t="shared" si="11"/>
        <v>4</v>
      </c>
    </row>
    <row r="762" spans="1:12">
      <c r="A762">
        <v>643</v>
      </c>
      <c r="B762" s="4" t="s">
        <v>3694</v>
      </c>
      <c r="C762" t="s">
        <v>686</v>
      </c>
      <c r="D762">
        <v>100</v>
      </c>
      <c r="E762">
        <v>120</v>
      </c>
      <c r="F762">
        <v>100</v>
      </c>
      <c r="G762">
        <v>150</v>
      </c>
      <c r="H762">
        <v>120</v>
      </c>
      <c r="I762">
        <v>90</v>
      </c>
      <c r="J762">
        <v>680</v>
      </c>
      <c r="K762">
        <v>113.33</v>
      </c>
      <c r="L762">
        <f t="shared" si="11"/>
        <v>4</v>
      </c>
    </row>
    <row r="763" spans="1:12">
      <c r="A763">
        <v>644</v>
      </c>
      <c r="B763" s="4" t="s">
        <v>3695</v>
      </c>
      <c r="C763" t="s">
        <v>687</v>
      </c>
      <c r="D763">
        <v>100</v>
      </c>
      <c r="E763">
        <v>150</v>
      </c>
      <c r="F763">
        <v>120</v>
      </c>
      <c r="G763">
        <v>120</v>
      </c>
      <c r="H763">
        <v>100</v>
      </c>
      <c r="I763">
        <v>90</v>
      </c>
      <c r="J763">
        <v>680</v>
      </c>
      <c r="K763">
        <v>113.33</v>
      </c>
      <c r="L763">
        <f t="shared" si="11"/>
        <v>4</v>
      </c>
    </row>
    <row r="764" spans="1:12">
      <c r="A764">
        <v>645</v>
      </c>
      <c r="B764" s="4" t="s">
        <v>3696</v>
      </c>
      <c r="C764" t="s">
        <v>3018</v>
      </c>
      <c r="D764">
        <v>89</v>
      </c>
      <c r="E764">
        <v>125</v>
      </c>
      <c r="F764">
        <v>90</v>
      </c>
      <c r="G764">
        <v>115</v>
      </c>
      <c r="H764">
        <v>80</v>
      </c>
      <c r="I764">
        <v>101</v>
      </c>
      <c r="J764">
        <v>600</v>
      </c>
      <c r="K764">
        <v>100</v>
      </c>
      <c r="L764">
        <f t="shared" si="11"/>
        <v>4</v>
      </c>
    </row>
    <row r="765" spans="1:12">
      <c r="A765">
        <v>645</v>
      </c>
      <c r="B765" s="131" t="s">
        <v>3019</v>
      </c>
      <c r="C765" t="s">
        <v>3020</v>
      </c>
      <c r="D765">
        <v>89</v>
      </c>
      <c r="E765">
        <v>145</v>
      </c>
      <c r="F765">
        <v>90</v>
      </c>
      <c r="G765">
        <v>105</v>
      </c>
      <c r="H765">
        <v>80</v>
      </c>
      <c r="I765">
        <v>91</v>
      </c>
      <c r="J765">
        <v>600</v>
      </c>
      <c r="K765">
        <v>100</v>
      </c>
      <c r="L765">
        <f t="shared" si="11"/>
        <v>4</v>
      </c>
    </row>
    <row r="766" spans="1:12">
      <c r="A766">
        <v>646</v>
      </c>
      <c r="B766" s="4" t="s">
        <v>3697</v>
      </c>
      <c r="C766" t="s">
        <v>690</v>
      </c>
      <c r="D766">
        <v>125</v>
      </c>
      <c r="E766">
        <v>130</v>
      </c>
      <c r="F766">
        <v>90</v>
      </c>
      <c r="G766">
        <v>130</v>
      </c>
      <c r="H766">
        <v>90</v>
      </c>
      <c r="I766">
        <v>95</v>
      </c>
      <c r="J766">
        <v>660</v>
      </c>
      <c r="K766">
        <v>110</v>
      </c>
      <c r="L766">
        <f t="shared" si="11"/>
        <v>4</v>
      </c>
    </row>
    <row r="767" spans="1:12">
      <c r="A767">
        <v>646</v>
      </c>
      <c r="B767" s="131" t="s">
        <v>3021</v>
      </c>
      <c r="C767" t="s">
        <v>3022</v>
      </c>
      <c r="D767">
        <v>125</v>
      </c>
      <c r="E767">
        <v>170</v>
      </c>
      <c r="F767">
        <v>100</v>
      </c>
      <c r="G767">
        <v>120</v>
      </c>
      <c r="H767">
        <v>90</v>
      </c>
      <c r="I767">
        <v>95</v>
      </c>
      <c r="J767">
        <v>700</v>
      </c>
      <c r="K767">
        <v>116.67</v>
      </c>
      <c r="L767">
        <f t="shared" si="11"/>
        <v>4</v>
      </c>
    </row>
    <row r="768" spans="1:12">
      <c r="A768">
        <v>646</v>
      </c>
      <c r="B768" s="131" t="s">
        <v>3023</v>
      </c>
      <c r="C768" t="s">
        <v>3024</v>
      </c>
      <c r="D768">
        <v>125</v>
      </c>
      <c r="E768">
        <v>120</v>
      </c>
      <c r="F768">
        <v>90</v>
      </c>
      <c r="G768">
        <v>170</v>
      </c>
      <c r="H768">
        <v>100</v>
      </c>
      <c r="I768">
        <v>95</v>
      </c>
      <c r="J768">
        <v>700</v>
      </c>
      <c r="K768">
        <v>116.67</v>
      </c>
      <c r="L768">
        <f t="shared" si="11"/>
        <v>4</v>
      </c>
    </row>
    <row r="769" spans="1:12">
      <c r="A769">
        <v>647</v>
      </c>
      <c r="B769" s="4" t="s">
        <v>3698</v>
      </c>
      <c r="C769" t="s">
        <v>2123</v>
      </c>
      <c r="D769">
        <v>91</v>
      </c>
      <c r="E769">
        <v>72</v>
      </c>
      <c r="F769">
        <v>90</v>
      </c>
      <c r="G769">
        <v>129</v>
      </c>
      <c r="H769">
        <v>90</v>
      </c>
      <c r="I769">
        <v>108</v>
      </c>
      <c r="J769">
        <v>580</v>
      </c>
      <c r="K769">
        <v>96.67</v>
      </c>
      <c r="L769">
        <f t="shared" si="11"/>
        <v>4</v>
      </c>
    </row>
    <row r="770" spans="1:12">
      <c r="A770">
        <v>647</v>
      </c>
      <c r="B770" s="4" t="s">
        <v>3968</v>
      </c>
      <c r="C770" t="s">
        <v>3969</v>
      </c>
      <c r="D770">
        <v>91</v>
      </c>
      <c r="E770">
        <v>72</v>
      </c>
      <c r="F770">
        <v>90</v>
      </c>
      <c r="G770">
        <v>129</v>
      </c>
      <c r="H770">
        <v>90</v>
      </c>
      <c r="I770">
        <v>108</v>
      </c>
      <c r="J770">
        <v>580</v>
      </c>
      <c r="K770">
        <v>96.67</v>
      </c>
      <c r="L770">
        <f>LEN(B770)</f>
        <v>4</v>
      </c>
    </row>
    <row r="771" spans="1:12">
      <c r="A771">
        <v>648</v>
      </c>
      <c r="B771" s="4" t="s">
        <v>3699</v>
      </c>
      <c r="C771" t="s">
        <v>3025</v>
      </c>
      <c r="D771">
        <v>100</v>
      </c>
      <c r="E771">
        <v>77</v>
      </c>
      <c r="F771">
        <v>77</v>
      </c>
      <c r="G771">
        <v>128</v>
      </c>
      <c r="H771">
        <v>128</v>
      </c>
      <c r="I771">
        <v>90</v>
      </c>
      <c r="J771">
        <v>600</v>
      </c>
      <c r="K771">
        <v>100</v>
      </c>
      <c r="L771">
        <f t="shared" si="11"/>
        <v>4</v>
      </c>
    </row>
    <row r="772" spans="1:12">
      <c r="A772">
        <v>648</v>
      </c>
      <c r="B772" s="131" t="s">
        <v>3026</v>
      </c>
      <c r="C772" t="s">
        <v>3027</v>
      </c>
      <c r="D772">
        <v>100</v>
      </c>
      <c r="E772">
        <v>128</v>
      </c>
      <c r="F772">
        <v>90</v>
      </c>
      <c r="G772">
        <v>77</v>
      </c>
      <c r="H772">
        <v>77</v>
      </c>
      <c r="I772">
        <v>128</v>
      </c>
      <c r="J772">
        <v>600</v>
      </c>
      <c r="K772">
        <v>100</v>
      </c>
      <c r="L772">
        <f t="shared" ref="L772:L835" si="12">LEN(B772)</f>
        <v>4</v>
      </c>
    </row>
    <row r="773" spans="1:12">
      <c r="A773">
        <v>649</v>
      </c>
      <c r="B773" s="4" t="s">
        <v>3700</v>
      </c>
      <c r="C773" t="s">
        <v>697</v>
      </c>
      <c r="D773">
        <v>71</v>
      </c>
      <c r="E773">
        <v>120</v>
      </c>
      <c r="F773">
        <v>95</v>
      </c>
      <c r="G773">
        <v>120</v>
      </c>
      <c r="H773">
        <v>95</v>
      </c>
      <c r="I773">
        <v>99</v>
      </c>
      <c r="J773">
        <v>600</v>
      </c>
      <c r="K773">
        <v>100</v>
      </c>
      <c r="L773">
        <f t="shared" si="12"/>
        <v>4</v>
      </c>
    </row>
    <row r="774" spans="1:12">
      <c r="A774">
        <v>650</v>
      </c>
      <c r="B774" s="4" t="s">
        <v>3701</v>
      </c>
      <c r="C774" t="s">
        <v>698</v>
      </c>
      <c r="D774">
        <v>56</v>
      </c>
      <c r="E774">
        <v>61</v>
      </c>
      <c r="F774">
        <v>65</v>
      </c>
      <c r="G774">
        <v>48</v>
      </c>
      <c r="H774">
        <v>45</v>
      </c>
      <c r="I774">
        <v>38</v>
      </c>
      <c r="J774">
        <v>313</v>
      </c>
      <c r="K774">
        <v>52.17</v>
      </c>
      <c r="L774">
        <f t="shared" si="12"/>
        <v>4</v>
      </c>
    </row>
    <row r="775" spans="1:12">
      <c r="A775">
        <v>651</v>
      </c>
      <c r="B775" s="4" t="s">
        <v>3702</v>
      </c>
      <c r="C775" t="s">
        <v>699</v>
      </c>
      <c r="D775">
        <v>61</v>
      </c>
      <c r="E775">
        <v>78</v>
      </c>
      <c r="F775">
        <v>95</v>
      </c>
      <c r="G775">
        <v>56</v>
      </c>
      <c r="H775">
        <v>58</v>
      </c>
      <c r="I775">
        <v>57</v>
      </c>
      <c r="J775">
        <v>405</v>
      </c>
      <c r="K775">
        <v>67.5</v>
      </c>
      <c r="L775">
        <f t="shared" si="12"/>
        <v>4</v>
      </c>
    </row>
    <row r="776" spans="1:12">
      <c r="A776">
        <v>652</v>
      </c>
      <c r="B776" s="4" t="s">
        <v>3703</v>
      </c>
      <c r="C776" t="s">
        <v>700</v>
      </c>
      <c r="D776">
        <v>88</v>
      </c>
      <c r="E776">
        <v>107</v>
      </c>
      <c r="F776">
        <v>122</v>
      </c>
      <c r="G776">
        <v>74</v>
      </c>
      <c r="H776">
        <v>75</v>
      </c>
      <c r="I776">
        <v>64</v>
      </c>
      <c r="J776">
        <v>530</v>
      </c>
      <c r="K776">
        <v>88.33</v>
      </c>
      <c r="L776">
        <f t="shared" si="12"/>
        <v>4</v>
      </c>
    </row>
    <row r="777" spans="1:12">
      <c r="A777">
        <v>653</v>
      </c>
      <c r="B777" s="4" t="s">
        <v>3704</v>
      </c>
      <c r="C777" t="s">
        <v>701</v>
      </c>
      <c r="D777">
        <v>40</v>
      </c>
      <c r="E777">
        <v>45</v>
      </c>
      <c r="F777">
        <v>40</v>
      </c>
      <c r="G777">
        <v>62</v>
      </c>
      <c r="H777">
        <v>60</v>
      </c>
      <c r="I777">
        <v>60</v>
      </c>
      <c r="J777">
        <v>307</v>
      </c>
      <c r="K777">
        <v>51.17</v>
      </c>
      <c r="L777">
        <f t="shared" si="12"/>
        <v>4</v>
      </c>
    </row>
    <row r="778" spans="1:12">
      <c r="A778">
        <v>654</v>
      </c>
      <c r="B778" s="4" t="s">
        <v>3705</v>
      </c>
      <c r="C778" t="s">
        <v>702</v>
      </c>
      <c r="D778">
        <v>59</v>
      </c>
      <c r="E778">
        <v>59</v>
      </c>
      <c r="F778">
        <v>58</v>
      </c>
      <c r="G778">
        <v>90</v>
      </c>
      <c r="H778">
        <v>70</v>
      </c>
      <c r="I778">
        <v>73</v>
      </c>
      <c r="J778">
        <v>409</v>
      </c>
      <c r="K778">
        <v>68.17</v>
      </c>
      <c r="L778">
        <f t="shared" si="12"/>
        <v>4</v>
      </c>
    </row>
    <row r="779" spans="1:12">
      <c r="A779">
        <v>655</v>
      </c>
      <c r="B779" s="4" t="s">
        <v>3706</v>
      </c>
      <c r="C779" t="s">
        <v>703</v>
      </c>
      <c r="D779">
        <v>75</v>
      </c>
      <c r="E779">
        <v>69</v>
      </c>
      <c r="F779">
        <v>72</v>
      </c>
      <c r="G779">
        <v>114</v>
      </c>
      <c r="H779">
        <v>100</v>
      </c>
      <c r="I779">
        <v>104</v>
      </c>
      <c r="J779">
        <v>534</v>
      </c>
      <c r="K779">
        <v>89</v>
      </c>
      <c r="L779">
        <f t="shared" si="12"/>
        <v>4</v>
      </c>
    </row>
    <row r="780" spans="1:12">
      <c r="A780">
        <v>656</v>
      </c>
      <c r="B780" s="4" t="s">
        <v>3707</v>
      </c>
      <c r="C780" t="s">
        <v>704</v>
      </c>
      <c r="D780">
        <v>41</v>
      </c>
      <c r="E780">
        <v>56</v>
      </c>
      <c r="F780">
        <v>40</v>
      </c>
      <c r="G780">
        <v>62</v>
      </c>
      <c r="H780">
        <v>44</v>
      </c>
      <c r="I780">
        <v>71</v>
      </c>
      <c r="J780">
        <v>314</v>
      </c>
      <c r="K780">
        <v>52.33</v>
      </c>
      <c r="L780">
        <f t="shared" si="12"/>
        <v>4</v>
      </c>
    </row>
    <row r="781" spans="1:12">
      <c r="A781">
        <v>657</v>
      </c>
      <c r="B781" s="4" t="s">
        <v>3708</v>
      </c>
      <c r="C781" t="s">
        <v>705</v>
      </c>
      <c r="D781">
        <v>54</v>
      </c>
      <c r="E781">
        <v>63</v>
      </c>
      <c r="F781">
        <v>52</v>
      </c>
      <c r="G781">
        <v>83</v>
      </c>
      <c r="H781">
        <v>56</v>
      </c>
      <c r="I781">
        <v>97</v>
      </c>
      <c r="J781">
        <v>405</v>
      </c>
      <c r="K781">
        <v>67.5</v>
      </c>
      <c r="L781">
        <f t="shared" si="12"/>
        <v>4</v>
      </c>
    </row>
    <row r="782" spans="1:12">
      <c r="A782">
        <v>658</v>
      </c>
      <c r="B782" s="4" t="s">
        <v>3709</v>
      </c>
      <c r="C782" t="s">
        <v>706</v>
      </c>
      <c r="D782">
        <v>72</v>
      </c>
      <c r="E782">
        <v>95</v>
      </c>
      <c r="F782">
        <v>67</v>
      </c>
      <c r="G782">
        <v>103</v>
      </c>
      <c r="H782">
        <v>71</v>
      </c>
      <c r="I782">
        <v>122</v>
      </c>
      <c r="J782">
        <v>530</v>
      </c>
      <c r="K782">
        <v>88.33</v>
      </c>
      <c r="L782">
        <f t="shared" si="12"/>
        <v>4</v>
      </c>
    </row>
    <row r="783" spans="1:12">
      <c r="A783">
        <v>658</v>
      </c>
      <c r="B783" s="131" t="s">
        <v>3028</v>
      </c>
      <c r="C783" t="s">
        <v>3029</v>
      </c>
      <c r="D783">
        <v>72</v>
      </c>
      <c r="E783">
        <v>145</v>
      </c>
      <c r="F783">
        <v>67</v>
      </c>
      <c r="G783">
        <v>153</v>
      </c>
      <c r="H783">
        <v>71</v>
      </c>
      <c r="I783">
        <v>132</v>
      </c>
      <c r="J783">
        <v>640</v>
      </c>
      <c r="K783">
        <v>106.67</v>
      </c>
      <c r="L783">
        <f t="shared" si="12"/>
        <v>4</v>
      </c>
    </row>
    <row r="784" spans="1:12">
      <c r="A784">
        <v>659</v>
      </c>
      <c r="B784" s="4" t="s">
        <v>3710</v>
      </c>
      <c r="C784" t="s">
        <v>707</v>
      </c>
      <c r="D784">
        <v>38</v>
      </c>
      <c r="E784">
        <v>36</v>
      </c>
      <c r="F784">
        <v>38</v>
      </c>
      <c r="G784">
        <v>32</v>
      </c>
      <c r="H784">
        <v>36</v>
      </c>
      <c r="I784">
        <v>57</v>
      </c>
      <c r="J784">
        <v>237</v>
      </c>
      <c r="K784">
        <v>39.5</v>
      </c>
      <c r="L784">
        <f t="shared" si="12"/>
        <v>4</v>
      </c>
    </row>
    <row r="785" spans="1:12">
      <c r="A785">
        <v>660</v>
      </c>
      <c r="B785" s="4" t="s">
        <v>3711</v>
      </c>
      <c r="C785" t="s">
        <v>708</v>
      </c>
      <c r="D785">
        <v>85</v>
      </c>
      <c r="E785">
        <v>56</v>
      </c>
      <c r="F785">
        <v>77</v>
      </c>
      <c r="G785">
        <v>50</v>
      </c>
      <c r="H785">
        <v>77</v>
      </c>
      <c r="I785">
        <v>78</v>
      </c>
      <c r="J785">
        <v>423</v>
      </c>
      <c r="K785">
        <v>70.5</v>
      </c>
      <c r="L785">
        <f t="shared" si="12"/>
        <v>4</v>
      </c>
    </row>
    <row r="786" spans="1:12">
      <c r="A786">
        <v>661</v>
      </c>
      <c r="B786" s="4" t="s">
        <v>3712</v>
      </c>
      <c r="C786" t="s">
        <v>709</v>
      </c>
      <c r="D786">
        <v>45</v>
      </c>
      <c r="E786">
        <v>50</v>
      </c>
      <c r="F786">
        <v>43</v>
      </c>
      <c r="G786">
        <v>40</v>
      </c>
      <c r="H786">
        <v>38</v>
      </c>
      <c r="I786">
        <v>62</v>
      </c>
      <c r="J786">
        <v>278</v>
      </c>
      <c r="K786">
        <v>46.33</v>
      </c>
      <c r="L786">
        <f t="shared" si="12"/>
        <v>4</v>
      </c>
    </row>
    <row r="787" spans="1:12">
      <c r="A787">
        <v>662</v>
      </c>
      <c r="B787" s="4" t="s">
        <v>3713</v>
      </c>
      <c r="C787" t="s">
        <v>710</v>
      </c>
      <c r="D787">
        <v>62</v>
      </c>
      <c r="E787">
        <v>73</v>
      </c>
      <c r="F787">
        <v>55</v>
      </c>
      <c r="G787">
        <v>56</v>
      </c>
      <c r="H787">
        <v>52</v>
      </c>
      <c r="I787">
        <v>84</v>
      </c>
      <c r="J787">
        <v>382</v>
      </c>
      <c r="K787">
        <v>63.67</v>
      </c>
      <c r="L787">
        <f t="shared" si="12"/>
        <v>4</v>
      </c>
    </row>
    <row r="788" spans="1:12">
      <c r="A788">
        <v>663</v>
      </c>
      <c r="B788" s="4" t="s">
        <v>3714</v>
      </c>
      <c r="C788" t="s">
        <v>711</v>
      </c>
      <c r="D788">
        <v>78</v>
      </c>
      <c r="E788">
        <v>81</v>
      </c>
      <c r="F788">
        <v>71</v>
      </c>
      <c r="G788">
        <v>74</v>
      </c>
      <c r="H788">
        <v>69</v>
      </c>
      <c r="I788">
        <v>126</v>
      </c>
      <c r="J788">
        <v>499</v>
      </c>
      <c r="K788">
        <v>83.17</v>
      </c>
      <c r="L788">
        <f t="shared" si="12"/>
        <v>4</v>
      </c>
    </row>
    <row r="789" spans="1:12">
      <c r="A789">
        <v>664</v>
      </c>
      <c r="B789" s="4" t="s">
        <v>3715</v>
      </c>
      <c r="C789" t="s">
        <v>712</v>
      </c>
      <c r="D789">
        <v>38</v>
      </c>
      <c r="E789">
        <v>35</v>
      </c>
      <c r="F789">
        <v>40</v>
      </c>
      <c r="G789">
        <v>27</v>
      </c>
      <c r="H789">
        <v>25</v>
      </c>
      <c r="I789">
        <v>35</v>
      </c>
      <c r="J789">
        <v>200</v>
      </c>
      <c r="K789">
        <v>33.33</v>
      </c>
      <c r="L789">
        <f t="shared" si="12"/>
        <v>4</v>
      </c>
    </row>
    <row r="790" spans="1:12">
      <c r="A790">
        <v>665</v>
      </c>
      <c r="B790" s="4" t="s">
        <v>3716</v>
      </c>
      <c r="C790" t="s">
        <v>713</v>
      </c>
      <c r="D790">
        <v>45</v>
      </c>
      <c r="E790">
        <v>22</v>
      </c>
      <c r="F790">
        <v>60</v>
      </c>
      <c r="G790">
        <v>27</v>
      </c>
      <c r="H790">
        <v>30</v>
      </c>
      <c r="I790">
        <v>29</v>
      </c>
      <c r="J790">
        <v>213</v>
      </c>
      <c r="K790">
        <v>35.5</v>
      </c>
      <c r="L790">
        <f t="shared" si="12"/>
        <v>4</v>
      </c>
    </row>
    <row r="791" spans="1:12">
      <c r="A791">
        <v>666</v>
      </c>
      <c r="B791" s="4" t="s">
        <v>3717</v>
      </c>
      <c r="C791" t="s">
        <v>714</v>
      </c>
      <c r="D791">
        <v>80</v>
      </c>
      <c r="E791">
        <v>52</v>
      </c>
      <c r="F791">
        <v>50</v>
      </c>
      <c r="G791">
        <v>90</v>
      </c>
      <c r="H791">
        <v>50</v>
      </c>
      <c r="I791">
        <v>89</v>
      </c>
      <c r="J791">
        <v>411</v>
      </c>
      <c r="K791">
        <v>68.5</v>
      </c>
      <c r="L791">
        <f t="shared" si="12"/>
        <v>4</v>
      </c>
    </row>
    <row r="792" spans="1:12">
      <c r="A792">
        <v>667</v>
      </c>
      <c r="B792" s="4" t="s">
        <v>3718</v>
      </c>
      <c r="C792" t="s">
        <v>715</v>
      </c>
      <c r="D792">
        <v>62</v>
      </c>
      <c r="E792">
        <v>50</v>
      </c>
      <c r="F792">
        <v>58</v>
      </c>
      <c r="G792">
        <v>73</v>
      </c>
      <c r="H792">
        <v>54</v>
      </c>
      <c r="I792">
        <v>72</v>
      </c>
      <c r="J792">
        <v>369</v>
      </c>
      <c r="K792">
        <v>61.5</v>
      </c>
      <c r="L792">
        <f t="shared" si="12"/>
        <v>4</v>
      </c>
    </row>
    <row r="793" spans="1:12">
      <c r="A793">
        <v>668</v>
      </c>
      <c r="B793" s="4" t="s">
        <v>3719</v>
      </c>
      <c r="C793" t="s">
        <v>716</v>
      </c>
      <c r="D793">
        <v>86</v>
      </c>
      <c r="E793">
        <v>68</v>
      </c>
      <c r="F793">
        <v>72</v>
      </c>
      <c r="G793">
        <v>109</v>
      </c>
      <c r="H793">
        <v>66</v>
      </c>
      <c r="I793">
        <v>106</v>
      </c>
      <c r="J793">
        <v>507</v>
      </c>
      <c r="K793">
        <v>84.5</v>
      </c>
      <c r="L793">
        <f t="shared" si="12"/>
        <v>4</v>
      </c>
    </row>
    <row r="794" spans="1:12">
      <c r="A794">
        <v>669</v>
      </c>
      <c r="B794" s="4" t="s">
        <v>3720</v>
      </c>
      <c r="C794" t="s">
        <v>2272</v>
      </c>
      <c r="D794">
        <v>44</v>
      </c>
      <c r="E794">
        <v>38</v>
      </c>
      <c r="F794">
        <v>39</v>
      </c>
      <c r="G794">
        <v>61</v>
      </c>
      <c r="H794">
        <v>79</v>
      </c>
      <c r="I794">
        <v>42</v>
      </c>
      <c r="J794">
        <v>303</v>
      </c>
      <c r="K794">
        <v>50.5</v>
      </c>
      <c r="L794">
        <f t="shared" si="12"/>
        <v>4</v>
      </c>
    </row>
    <row r="795" spans="1:12">
      <c r="A795">
        <v>670</v>
      </c>
      <c r="B795" s="4" t="s">
        <v>3721</v>
      </c>
      <c r="C795" t="s">
        <v>718</v>
      </c>
      <c r="D795">
        <v>54</v>
      </c>
      <c r="E795">
        <v>45</v>
      </c>
      <c r="F795">
        <v>47</v>
      </c>
      <c r="G795">
        <v>75</v>
      </c>
      <c r="H795">
        <v>98</v>
      </c>
      <c r="I795">
        <v>52</v>
      </c>
      <c r="J795">
        <v>371</v>
      </c>
      <c r="K795">
        <v>61.83</v>
      </c>
      <c r="L795">
        <f t="shared" si="12"/>
        <v>4</v>
      </c>
    </row>
    <row r="796" spans="1:12">
      <c r="A796">
        <v>671</v>
      </c>
      <c r="B796" s="4" t="s">
        <v>3722</v>
      </c>
      <c r="C796" t="s">
        <v>719</v>
      </c>
      <c r="D796">
        <v>78</v>
      </c>
      <c r="E796">
        <v>65</v>
      </c>
      <c r="F796">
        <v>68</v>
      </c>
      <c r="G796">
        <v>112</v>
      </c>
      <c r="H796">
        <v>154</v>
      </c>
      <c r="I796">
        <v>75</v>
      </c>
      <c r="J796">
        <v>552</v>
      </c>
      <c r="K796">
        <v>92</v>
      </c>
      <c r="L796">
        <f t="shared" si="12"/>
        <v>4</v>
      </c>
    </row>
    <row r="797" spans="1:12">
      <c r="A797">
        <v>672</v>
      </c>
      <c r="B797" s="4" t="s">
        <v>3723</v>
      </c>
      <c r="C797" t="s">
        <v>720</v>
      </c>
      <c r="D797">
        <v>66</v>
      </c>
      <c r="E797">
        <v>65</v>
      </c>
      <c r="F797">
        <v>48</v>
      </c>
      <c r="G797">
        <v>62</v>
      </c>
      <c r="H797">
        <v>57</v>
      </c>
      <c r="I797">
        <v>52</v>
      </c>
      <c r="J797">
        <v>350</v>
      </c>
      <c r="K797">
        <v>58.33</v>
      </c>
      <c r="L797">
        <f t="shared" si="12"/>
        <v>4</v>
      </c>
    </row>
    <row r="798" spans="1:12">
      <c r="A798">
        <v>673</v>
      </c>
      <c r="B798" s="4" t="s">
        <v>3724</v>
      </c>
      <c r="C798" t="s">
        <v>721</v>
      </c>
      <c r="D798">
        <v>123</v>
      </c>
      <c r="E798">
        <v>100</v>
      </c>
      <c r="F798">
        <v>62</v>
      </c>
      <c r="G798">
        <v>97</v>
      </c>
      <c r="H798">
        <v>81</v>
      </c>
      <c r="I798">
        <v>68</v>
      </c>
      <c r="J798">
        <v>531</v>
      </c>
      <c r="K798">
        <v>88.5</v>
      </c>
      <c r="L798">
        <f t="shared" si="12"/>
        <v>4</v>
      </c>
    </row>
    <row r="799" spans="1:12">
      <c r="A799">
        <v>674</v>
      </c>
      <c r="B799" s="4" t="s">
        <v>3725</v>
      </c>
      <c r="C799" t="s">
        <v>722</v>
      </c>
      <c r="D799">
        <v>67</v>
      </c>
      <c r="E799">
        <v>82</v>
      </c>
      <c r="F799">
        <v>62</v>
      </c>
      <c r="G799">
        <v>46</v>
      </c>
      <c r="H799">
        <v>48</v>
      </c>
      <c r="I799">
        <v>43</v>
      </c>
      <c r="J799">
        <v>348</v>
      </c>
      <c r="K799">
        <v>58</v>
      </c>
      <c r="L799">
        <f t="shared" si="12"/>
        <v>4</v>
      </c>
    </row>
    <row r="800" spans="1:12">
      <c r="A800">
        <v>675</v>
      </c>
      <c r="B800" s="4" t="s">
        <v>3726</v>
      </c>
      <c r="C800" t="s">
        <v>723</v>
      </c>
      <c r="D800">
        <v>95</v>
      </c>
      <c r="E800">
        <v>124</v>
      </c>
      <c r="F800">
        <v>78</v>
      </c>
      <c r="G800">
        <v>69</v>
      </c>
      <c r="H800">
        <v>71</v>
      </c>
      <c r="I800">
        <v>58</v>
      </c>
      <c r="J800">
        <v>495</v>
      </c>
      <c r="K800">
        <v>82.5</v>
      </c>
      <c r="L800">
        <f t="shared" si="12"/>
        <v>4</v>
      </c>
    </row>
    <row r="801" spans="1:12">
      <c r="A801">
        <v>676</v>
      </c>
      <c r="B801" s="4" t="s">
        <v>3727</v>
      </c>
      <c r="C801" t="s">
        <v>724</v>
      </c>
      <c r="D801">
        <v>75</v>
      </c>
      <c r="E801">
        <v>80</v>
      </c>
      <c r="F801">
        <v>60</v>
      </c>
      <c r="G801">
        <v>65</v>
      </c>
      <c r="H801">
        <v>90</v>
      </c>
      <c r="I801">
        <v>102</v>
      </c>
      <c r="J801">
        <v>472</v>
      </c>
      <c r="K801">
        <v>78.67</v>
      </c>
      <c r="L801">
        <f t="shared" si="12"/>
        <v>4</v>
      </c>
    </row>
    <row r="802" spans="1:12">
      <c r="A802">
        <v>677</v>
      </c>
      <c r="B802" s="4" t="s">
        <v>3728</v>
      </c>
      <c r="C802" t="s">
        <v>725</v>
      </c>
      <c r="D802">
        <v>62</v>
      </c>
      <c r="E802">
        <v>48</v>
      </c>
      <c r="F802">
        <v>54</v>
      </c>
      <c r="G802">
        <v>63</v>
      </c>
      <c r="H802">
        <v>60</v>
      </c>
      <c r="I802">
        <v>68</v>
      </c>
      <c r="J802">
        <v>355</v>
      </c>
      <c r="K802">
        <v>59.17</v>
      </c>
      <c r="L802">
        <f t="shared" si="12"/>
        <v>4</v>
      </c>
    </row>
    <row r="803" spans="1:12">
      <c r="A803">
        <v>678</v>
      </c>
      <c r="B803" s="4" t="s">
        <v>3729</v>
      </c>
      <c r="C803" t="s">
        <v>2168</v>
      </c>
      <c r="D803">
        <v>74</v>
      </c>
      <c r="E803">
        <v>48</v>
      </c>
      <c r="F803">
        <v>76</v>
      </c>
      <c r="G803">
        <v>83</v>
      </c>
      <c r="H803">
        <v>81</v>
      </c>
      <c r="I803">
        <v>104</v>
      </c>
      <c r="J803">
        <v>466</v>
      </c>
      <c r="K803">
        <v>77.67</v>
      </c>
      <c r="L803">
        <f t="shared" si="12"/>
        <v>4</v>
      </c>
    </row>
    <row r="804" spans="1:12">
      <c r="A804">
        <v>679</v>
      </c>
      <c r="B804" s="4" t="s">
        <v>3730</v>
      </c>
      <c r="C804" t="s">
        <v>728</v>
      </c>
      <c r="D804">
        <v>45</v>
      </c>
      <c r="E804">
        <v>80</v>
      </c>
      <c r="F804">
        <v>100</v>
      </c>
      <c r="G804">
        <v>35</v>
      </c>
      <c r="H804">
        <v>37</v>
      </c>
      <c r="I804">
        <v>28</v>
      </c>
      <c r="J804">
        <v>325</v>
      </c>
      <c r="K804">
        <v>54.17</v>
      </c>
      <c r="L804">
        <f t="shared" si="12"/>
        <v>4</v>
      </c>
    </row>
    <row r="805" spans="1:12">
      <c r="A805">
        <v>680</v>
      </c>
      <c r="B805" s="4" t="s">
        <v>3731</v>
      </c>
      <c r="C805" t="s">
        <v>729</v>
      </c>
      <c r="D805">
        <v>59</v>
      </c>
      <c r="E805">
        <v>110</v>
      </c>
      <c r="F805">
        <v>150</v>
      </c>
      <c r="G805">
        <v>45</v>
      </c>
      <c r="H805">
        <v>49</v>
      </c>
      <c r="I805">
        <v>35</v>
      </c>
      <c r="J805">
        <v>448</v>
      </c>
      <c r="K805">
        <v>74.67</v>
      </c>
      <c r="L805">
        <f t="shared" si="12"/>
        <v>4</v>
      </c>
    </row>
    <row r="806" spans="1:12">
      <c r="A806">
        <v>681</v>
      </c>
      <c r="B806" s="4" t="s">
        <v>3732</v>
      </c>
      <c r="C806" t="s">
        <v>3030</v>
      </c>
      <c r="D806">
        <v>60</v>
      </c>
      <c r="E806">
        <v>50</v>
      </c>
      <c r="F806">
        <v>140</v>
      </c>
      <c r="G806">
        <v>50</v>
      </c>
      <c r="H806">
        <v>140</v>
      </c>
      <c r="I806">
        <v>60</v>
      </c>
      <c r="J806">
        <v>500</v>
      </c>
      <c r="K806">
        <v>83.33</v>
      </c>
      <c r="L806">
        <f t="shared" si="12"/>
        <v>4</v>
      </c>
    </row>
    <row r="807" spans="1:12">
      <c r="A807">
        <v>681</v>
      </c>
      <c r="B807" s="131" t="s">
        <v>3031</v>
      </c>
      <c r="C807" t="s">
        <v>3032</v>
      </c>
      <c r="D807">
        <v>60</v>
      </c>
      <c r="E807">
        <v>140</v>
      </c>
      <c r="F807">
        <v>50</v>
      </c>
      <c r="G807">
        <v>140</v>
      </c>
      <c r="H807">
        <v>50</v>
      </c>
      <c r="I807">
        <v>60</v>
      </c>
      <c r="J807">
        <v>500</v>
      </c>
      <c r="K807">
        <v>83.33</v>
      </c>
      <c r="L807">
        <f t="shared" si="12"/>
        <v>4</v>
      </c>
    </row>
    <row r="808" spans="1:12">
      <c r="A808">
        <v>682</v>
      </c>
      <c r="B808" s="4" t="s">
        <v>3733</v>
      </c>
      <c r="C808" t="s">
        <v>732</v>
      </c>
      <c r="D808">
        <v>78</v>
      </c>
      <c r="E808">
        <v>52</v>
      </c>
      <c r="F808">
        <v>60</v>
      </c>
      <c r="G808">
        <v>63</v>
      </c>
      <c r="H808">
        <v>65</v>
      </c>
      <c r="I808">
        <v>23</v>
      </c>
      <c r="J808">
        <v>341</v>
      </c>
      <c r="K808">
        <v>56.83</v>
      </c>
      <c r="L808">
        <f t="shared" si="12"/>
        <v>4</v>
      </c>
    </row>
    <row r="809" spans="1:12">
      <c r="A809">
        <v>683</v>
      </c>
      <c r="B809" s="4" t="s">
        <v>3734</v>
      </c>
      <c r="C809" t="s">
        <v>733</v>
      </c>
      <c r="D809">
        <v>101</v>
      </c>
      <c r="E809">
        <v>72</v>
      </c>
      <c r="F809">
        <v>72</v>
      </c>
      <c r="G809">
        <v>99</v>
      </c>
      <c r="H809">
        <v>89</v>
      </c>
      <c r="I809">
        <v>29</v>
      </c>
      <c r="J809">
        <v>462</v>
      </c>
      <c r="K809">
        <v>77</v>
      </c>
      <c r="L809">
        <f t="shared" si="12"/>
        <v>4</v>
      </c>
    </row>
    <row r="810" spans="1:12">
      <c r="A810">
        <v>684</v>
      </c>
      <c r="B810" s="4" t="s">
        <v>3735</v>
      </c>
      <c r="C810" t="s">
        <v>734</v>
      </c>
      <c r="D810">
        <v>62</v>
      </c>
      <c r="E810">
        <v>48</v>
      </c>
      <c r="F810">
        <v>66</v>
      </c>
      <c r="G810">
        <v>59</v>
      </c>
      <c r="H810">
        <v>57</v>
      </c>
      <c r="I810">
        <v>49</v>
      </c>
      <c r="J810">
        <v>341</v>
      </c>
      <c r="K810">
        <v>56.83</v>
      </c>
      <c r="L810">
        <f t="shared" si="12"/>
        <v>4</v>
      </c>
    </row>
    <row r="811" spans="1:12">
      <c r="A811">
        <v>685</v>
      </c>
      <c r="B811" s="4" t="s">
        <v>3736</v>
      </c>
      <c r="C811" t="s">
        <v>735</v>
      </c>
      <c r="D811">
        <v>82</v>
      </c>
      <c r="E811">
        <v>80</v>
      </c>
      <c r="F811">
        <v>86</v>
      </c>
      <c r="G811">
        <v>85</v>
      </c>
      <c r="H811">
        <v>75</v>
      </c>
      <c r="I811">
        <v>72</v>
      </c>
      <c r="J811">
        <v>480</v>
      </c>
      <c r="K811">
        <v>80</v>
      </c>
      <c r="L811">
        <f t="shared" si="12"/>
        <v>4</v>
      </c>
    </row>
    <row r="812" spans="1:12">
      <c r="A812">
        <v>686</v>
      </c>
      <c r="B812" s="4" t="s">
        <v>3737</v>
      </c>
      <c r="C812" t="s">
        <v>736</v>
      </c>
      <c r="D812">
        <v>53</v>
      </c>
      <c r="E812">
        <v>54</v>
      </c>
      <c r="F812">
        <v>53</v>
      </c>
      <c r="G812">
        <v>37</v>
      </c>
      <c r="H812">
        <v>46</v>
      </c>
      <c r="I812">
        <v>45</v>
      </c>
      <c r="J812">
        <v>288</v>
      </c>
      <c r="K812">
        <v>48</v>
      </c>
      <c r="L812">
        <f t="shared" si="12"/>
        <v>4</v>
      </c>
    </row>
    <row r="813" spans="1:12">
      <c r="A813">
        <v>687</v>
      </c>
      <c r="B813" s="4" t="s">
        <v>3738</v>
      </c>
      <c r="C813" t="s">
        <v>737</v>
      </c>
      <c r="D813">
        <v>86</v>
      </c>
      <c r="E813">
        <v>92</v>
      </c>
      <c r="F813">
        <v>88</v>
      </c>
      <c r="G813">
        <v>68</v>
      </c>
      <c r="H813">
        <v>75</v>
      </c>
      <c r="I813">
        <v>73</v>
      </c>
      <c r="J813">
        <v>482</v>
      </c>
      <c r="K813">
        <v>80.33</v>
      </c>
      <c r="L813">
        <f t="shared" si="12"/>
        <v>4</v>
      </c>
    </row>
    <row r="814" spans="1:12">
      <c r="A814">
        <v>688</v>
      </c>
      <c r="B814" s="4" t="s">
        <v>3739</v>
      </c>
      <c r="C814" t="s">
        <v>738</v>
      </c>
      <c r="D814">
        <v>42</v>
      </c>
      <c r="E814">
        <v>52</v>
      </c>
      <c r="F814">
        <v>67</v>
      </c>
      <c r="G814">
        <v>39</v>
      </c>
      <c r="H814">
        <v>56</v>
      </c>
      <c r="I814">
        <v>50</v>
      </c>
      <c r="J814">
        <v>306</v>
      </c>
      <c r="K814">
        <v>51</v>
      </c>
      <c r="L814">
        <f t="shared" si="12"/>
        <v>4</v>
      </c>
    </row>
    <row r="815" spans="1:12">
      <c r="A815">
        <v>689</v>
      </c>
      <c r="B815" s="4" t="s">
        <v>3740</v>
      </c>
      <c r="C815" t="s">
        <v>739</v>
      </c>
      <c r="D815">
        <v>72</v>
      </c>
      <c r="E815">
        <v>105</v>
      </c>
      <c r="F815">
        <v>115</v>
      </c>
      <c r="G815">
        <v>54</v>
      </c>
      <c r="H815">
        <v>86</v>
      </c>
      <c r="I815">
        <v>68</v>
      </c>
      <c r="J815">
        <v>500</v>
      </c>
      <c r="K815">
        <v>83.33</v>
      </c>
      <c r="L815">
        <f t="shared" si="12"/>
        <v>4</v>
      </c>
    </row>
    <row r="816" spans="1:12">
      <c r="A816">
        <v>690</v>
      </c>
      <c r="B816" s="4" t="s">
        <v>3741</v>
      </c>
      <c r="C816" t="s">
        <v>740</v>
      </c>
      <c r="D816">
        <v>50</v>
      </c>
      <c r="E816">
        <v>60</v>
      </c>
      <c r="F816">
        <v>60</v>
      </c>
      <c r="G816">
        <v>60</v>
      </c>
      <c r="H816">
        <v>60</v>
      </c>
      <c r="I816">
        <v>30</v>
      </c>
      <c r="J816">
        <v>320</v>
      </c>
      <c r="K816">
        <v>53.33</v>
      </c>
      <c r="L816">
        <f t="shared" si="12"/>
        <v>4</v>
      </c>
    </row>
    <row r="817" spans="1:12">
      <c r="A817">
        <v>691</v>
      </c>
      <c r="B817" s="4" t="s">
        <v>3742</v>
      </c>
      <c r="C817" t="s">
        <v>741</v>
      </c>
      <c r="D817">
        <v>65</v>
      </c>
      <c r="E817">
        <v>75</v>
      </c>
      <c r="F817">
        <v>90</v>
      </c>
      <c r="G817">
        <v>97</v>
      </c>
      <c r="H817">
        <v>123</v>
      </c>
      <c r="I817">
        <v>44</v>
      </c>
      <c r="J817">
        <v>494</v>
      </c>
      <c r="K817">
        <v>82.33</v>
      </c>
      <c r="L817">
        <f t="shared" si="12"/>
        <v>4</v>
      </c>
    </row>
    <row r="818" spans="1:12">
      <c r="A818">
        <v>692</v>
      </c>
      <c r="B818" s="4" t="s">
        <v>3743</v>
      </c>
      <c r="C818" t="s">
        <v>742</v>
      </c>
      <c r="D818">
        <v>50</v>
      </c>
      <c r="E818">
        <v>53</v>
      </c>
      <c r="F818">
        <v>62</v>
      </c>
      <c r="G818">
        <v>58</v>
      </c>
      <c r="H818">
        <v>63</v>
      </c>
      <c r="I818">
        <v>44</v>
      </c>
      <c r="J818">
        <v>330</v>
      </c>
      <c r="K818">
        <v>55</v>
      </c>
      <c r="L818">
        <f t="shared" si="12"/>
        <v>4</v>
      </c>
    </row>
    <row r="819" spans="1:12">
      <c r="A819">
        <v>693</v>
      </c>
      <c r="B819" s="4" t="s">
        <v>3744</v>
      </c>
      <c r="C819" t="s">
        <v>743</v>
      </c>
      <c r="D819">
        <v>71</v>
      </c>
      <c r="E819">
        <v>73</v>
      </c>
      <c r="F819">
        <v>88</v>
      </c>
      <c r="G819">
        <v>120</v>
      </c>
      <c r="H819">
        <v>89</v>
      </c>
      <c r="I819">
        <v>59</v>
      </c>
      <c r="J819">
        <v>500</v>
      </c>
      <c r="K819">
        <v>83.33</v>
      </c>
      <c r="L819">
        <f t="shared" si="12"/>
        <v>4</v>
      </c>
    </row>
    <row r="820" spans="1:12">
      <c r="A820">
        <v>694</v>
      </c>
      <c r="B820" s="4" t="s">
        <v>3745</v>
      </c>
      <c r="C820" t="s">
        <v>744</v>
      </c>
      <c r="D820">
        <v>44</v>
      </c>
      <c r="E820">
        <v>38</v>
      </c>
      <c r="F820">
        <v>33</v>
      </c>
      <c r="G820">
        <v>61</v>
      </c>
      <c r="H820">
        <v>43</v>
      </c>
      <c r="I820">
        <v>70</v>
      </c>
      <c r="J820">
        <v>289</v>
      </c>
      <c r="K820">
        <v>48.17</v>
      </c>
      <c r="L820">
        <f t="shared" si="12"/>
        <v>4</v>
      </c>
    </row>
    <row r="821" spans="1:12">
      <c r="A821">
        <v>695</v>
      </c>
      <c r="B821" s="4" t="s">
        <v>3746</v>
      </c>
      <c r="C821" t="s">
        <v>745</v>
      </c>
      <c r="D821">
        <v>62</v>
      </c>
      <c r="E821">
        <v>55</v>
      </c>
      <c r="F821">
        <v>52</v>
      </c>
      <c r="G821">
        <v>109</v>
      </c>
      <c r="H821">
        <v>94</v>
      </c>
      <c r="I821">
        <v>109</v>
      </c>
      <c r="J821">
        <v>481</v>
      </c>
      <c r="K821">
        <v>80.17</v>
      </c>
      <c r="L821">
        <f t="shared" si="12"/>
        <v>4</v>
      </c>
    </row>
    <row r="822" spans="1:12">
      <c r="A822">
        <v>696</v>
      </c>
      <c r="B822" s="4" t="s">
        <v>3747</v>
      </c>
      <c r="C822" t="s">
        <v>746</v>
      </c>
      <c r="D822">
        <v>58</v>
      </c>
      <c r="E822">
        <v>89</v>
      </c>
      <c r="F822">
        <v>77</v>
      </c>
      <c r="G822">
        <v>45</v>
      </c>
      <c r="H822">
        <v>45</v>
      </c>
      <c r="I822">
        <v>48</v>
      </c>
      <c r="J822">
        <v>362</v>
      </c>
      <c r="K822">
        <v>60.33</v>
      </c>
      <c r="L822">
        <f t="shared" si="12"/>
        <v>4</v>
      </c>
    </row>
    <row r="823" spans="1:12">
      <c r="A823">
        <v>697</v>
      </c>
      <c r="B823" s="4" t="s">
        <v>3748</v>
      </c>
      <c r="C823" t="s">
        <v>747</v>
      </c>
      <c r="D823">
        <v>82</v>
      </c>
      <c r="E823">
        <v>121</v>
      </c>
      <c r="F823">
        <v>119</v>
      </c>
      <c r="G823">
        <v>69</v>
      </c>
      <c r="H823">
        <v>59</v>
      </c>
      <c r="I823">
        <v>71</v>
      </c>
      <c r="J823">
        <v>521</v>
      </c>
      <c r="K823">
        <v>86.83</v>
      </c>
      <c r="L823">
        <f t="shared" si="12"/>
        <v>4</v>
      </c>
    </row>
    <row r="824" spans="1:12">
      <c r="A824">
        <v>698</v>
      </c>
      <c r="B824" s="4" t="s">
        <v>3749</v>
      </c>
      <c r="C824" t="s">
        <v>748</v>
      </c>
      <c r="D824">
        <v>77</v>
      </c>
      <c r="E824">
        <v>59</v>
      </c>
      <c r="F824">
        <v>50</v>
      </c>
      <c r="G824">
        <v>67</v>
      </c>
      <c r="H824">
        <v>63</v>
      </c>
      <c r="I824">
        <v>46</v>
      </c>
      <c r="J824">
        <v>362</v>
      </c>
      <c r="K824">
        <v>60.33</v>
      </c>
      <c r="L824">
        <f t="shared" si="12"/>
        <v>4</v>
      </c>
    </row>
    <row r="825" spans="1:12">
      <c r="A825">
        <v>699</v>
      </c>
      <c r="B825" s="4" t="s">
        <v>3750</v>
      </c>
      <c r="C825" t="s">
        <v>749</v>
      </c>
      <c r="D825">
        <v>123</v>
      </c>
      <c r="E825">
        <v>77</v>
      </c>
      <c r="F825">
        <v>72</v>
      </c>
      <c r="G825">
        <v>99</v>
      </c>
      <c r="H825">
        <v>92</v>
      </c>
      <c r="I825">
        <v>58</v>
      </c>
      <c r="J825">
        <v>521</v>
      </c>
      <c r="K825">
        <v>86.83</v>
      </c>
      <c r="L825">
        <f t="shared" si="12"/>
        <v>4</v>
      </c>
    </row>
    <row r="826" spans="1:12">
      <c r="A826">
        <v>700</v>
      </c>
      <c r="B826" s="4" t="s">
        <v>3751</v>
      </c>
      <c r="C826" t="s">
        <v>750</v>
      </c>
      <c r="D826">
        <v>95</v>
      </c>
      <c r="E826">
        <v>65</v>
      </c>
      <c r="F826">
        <v>65</v>
      </c>
      <c r="G826">
        <v>110</v>
      </c>
      <c r="H826">
        <v>130</v>
      </c>
      <c r="I826">
        <v>60</v>
      </c>
      <c r="J826">
        <v>525</v>
      </c>
      <c r="K826">
        <v>87.5</v>
      </c>
      <c r="L826">
        <f t="shared" si="12"/>
        <v>4</v>
      </c>
    </row>
    <row r="827" spans="1:12">
      <c r="A827">
        <v>701</v>
      </c>
      <c r="B827" s="4" t="s">
        <v>3752</v>
      </c>
      <c r="C827" t="s">
        <v>751</v>
      </c>
      <c r="D827">
        <v>78</v>
      </c>
      <c r="E827">
        <v>92</v>
      </c>
      <c r="F827">
        <v>75</v>
      </c>
      <c r="G827">
        <v>74</v>
      </c>
      <c r="H827">
        <v>63</v>
      </c>
      <c r="I827">
        <v>118</v>
      </c>
      <c r="J827">
        <v>500</v>
      </c>
      <c r="K827">
        <v>83.33</v>
      </c>
      <c r="L827">
        <f t="shared" si="12"/>
        <v>4</v>
      </c>
    </row>
    <row r="828" spans="1:12">
      <c r="A828">
        <v>702</v>
      </c>
      <c r="B828" s="4" t="s">
        <v>3753</v>
      </c>
      <c r="C828" t="s">
        <v>752</v>
      </c>
      <c r="D828">
        <v>67</v>
      </c>
      <c r="E828">
        <v>58</v>
      </c>
      <c r="F828">
        <v>57</v>
      </c>
      <c r="G828">
        <v>81</v>
      </c>
      <c r="H828">
        <v>67</v>
      </c>
      <c r="I828">
        <v>101</v>
      </c>
      <c r="J828">
        <v>431</v>
      </c>
      <c r="K828">
        <v>71.83</v>
      </c>
      <c r="L828">
        <f t="shared" si="12"/>
        <v>4</v>
      </c>
    </row>
    <row r="829" spans="1:12">
      <c r="A829">
        <v>703</v>
      </c>
      <c r="B829" s="4" t="s">
        <v>3754</v>
      </c>
      <c r="C829" t="s">
        <v>753</v>
      </c>
      <c r="D829">
        <v>50</v>
      </c>
      <c r="E829">
        <v>50</v>
      </c>
      <c r="F829">
        <v>150</v>
      </c>
      <c r="G829">
        <v>50</v>
      </c>
      <c r="H829">
        <v>150</v>
      </c>
      <c r="I829">
        <v>50</v>
      </c>
      <c r="J829">
        <v>500</v>
      </c>
      <c r="K829">
        <v>83.33</v>
      </c>
      <c r="L829">
        <f t="shared" si="12"/>
        <v>4</v>
      </c>
    </row>
    <row r="830" spans="1:12">
      <c r="A830">
        <v>704</v>
      </c>
      <c r="B830" s="4" t="s">
        <v>3755</v>
      </c>
      <c r="C830" t="s">
        <v>754</v>
      </c>
      <c r="D830">
        <v>45</v>
      </c>
      <c r="E830">
        <v>50</v>
      </c>
      <c r="F830">
        <v>35</v>
      </c>
      <c r="G830">
        <v>55</v>
      </c>
      <c r="H830">
        <v>75</v>
      </c>
      <c r="I830">
        <v>40</v>
      </c>
      <c r="J830">
        <v>300</v>
      </c>
      <c r="K830">
        <v>50</v>
      </c>
      <c r="L830">
        <f t="shared" si="12"/>
        <v>4</v>
      </c>
    </row>
    <row r="831" spans="1:12">
      <c r="A831">
        <v>705</v>
      </c>
      <c r="B831" s="4" t="s">
        <v>3756</v>
      </c>
      <c r="C831" t="s">
        <v>755</v>
      </c>
      <c r="D831">
        <v>68</v>
      </c>
      <c r="E831">
        <v>75</v>
      </c>
      <c r="F831">
        <v>53</v>
      </c>
      <c r="G831">
        <v>83</v>
      </c>
      <c r="H831">
        <v>113</v>
      </c>
      <c r="I831">
        <v>60</v>
      </c>
      <c r="J831">
        <v>452</v>
      </c>
      <c r="K831">
        <v>75.33</v>
      </c>
      <c r="L831">
        <f t="shared" si="12"/>
        <v>4</v>
      </c>
    </row>
    <row r="832" spans="1:12">
      <c r="A832">
        <v>705</v>
      </c>
      <c r="B832" s="131" t="s">
        <v>3033</v>
      </c>
      <c r="C832" t="s">
        <v>3034</v>
      </c>
      <c r="D832">
        <v>58</v>
      </c>
      <c r="E832">
        <v>75</v>
      </c>
      <c r="F832">
        <v>83</v>
      </c>
      <c r="G832">
        <v>83</v>
      </c>
      <c r="H832">
        <v>113</v>
      </c>
      <c r="I832">
        <v>40</v>
      </c>
      <c r="J832">
        <v>452</v>
      </c>
      <c r="K832">
        <v>75.33</v>
      </c>
      <c r="L832">
        <f t="shared" si="12"/>
        <v>4</v>
      </c>
    </row>
    <row r="833" spans="1:12">
      <c r="A833">
        <v>706</v>
      </c>
      <c r="B833" s="4" t="s">
        <v>3757</v>
      </c>
      <c r="C833" t="s">
        <v>756</v>
      </c>
      <c r="D833">
        <v>90</v>
      </c>
      <c r="E833">
        <v>100</v>
      </c>
      <c r="F833">
        <v>70</v>
      </c>
      <c r="G833">
        <v>110</v>
      </c>
      <c r="H833">
        <v>150</v>
      </c>
      <c r="I833">
        <v>80</v>
      </c>
      <c r="J833">
        <v>600</v>
      </c>
      <c r="K833">
        <v>100</v>
      </c>
      <c r="L833">
        <f t="shared" si="12"/>
        <v>4</v>
      </c>
    </row>
    <row r="834" spans="1:12">
      <c r="A834">
        <v>706</v>
      </c>
      <c r="B834" s="131" t="s">
        <v>3035</v>
      </c>
      <c r="C834" t="s">
        <v>3036</v>
      </c>
      <c r="D834">
        <v>80</v>
      </c>
      <c r="E834">
        <v>100</v>
      </c>
      <c r="F834">
        <v>100</v>
      </c>
      <c r="G834">
        <v>110</v>
      </c>
      <c r="H834">
        <v>150</v>
      </c>
      <c r="I834">
        <v>60</v>
      </c>
      <c r="J834">
        <v>600</v>
      </c>
      <c r="K834">
        <v>100</v>
      </c>
      <c r="L834">
        <f t="shared" si="12"/>
        <v>4</v>
      </c>
    </row>
    <row r="835" spans="1:12">
      <c r="A835">
        <v>707</v>
      </c>
      <c r="B835" s="4" t="s">
        <v>3758</v>
      </c>
      <c r="C835" t="s">
        <v>757</v>
      </c>
      <c r="D835">
        <v>57</v>
      </c>
      <c r="E835">
        <v>80</v>
      </c>
      <c r="F835">
        <v>91</v>
      </c>
      <c r="G835">
        <v>80</v>
      </c>
      <c r="H835">
        <v>87</v>
      </c>
      <c r="I835">
        <v>75</v>
      </c>
      <c r="J835">
        <v>470</v>
      </c>
      <c r="K835">
        <v>78.33</v>
      </c>
      <c r="L835">
        <f t="shared" si="12"/>
        <v>4</v>
      </c>
    </row>
    <row r="836" spans="1:12">
      <c r="A836">
        <v>708</v>
      </c>
      <c r="B836" s="4" t="s">
        <v>3759</v>
      </c>
      <c r="C836" t="s">
        <v>758</v>
      </c>
      <c r="D836">
        <v>43</v>
      </c>
      <c r="E836">
        <v>70</v>
      </c>
      <c r="F836">
        <v>48</v>
      </c>
      <c r="G836">
        <v>50</v>
      </c>
      <c r="H836">
        <v>60</v>
      </c>
      <c r="I836">
        <v>38</v>
      </c>
      <c r="J836">
        <v>309</v>
      </c>
      <c r="K836">
        <v>51.5</v>
      </c>
      <c r="L836">
        <f t="shared" ref="L836:L899" si="13">LEN(B836)</f>
        <v>4</v>
      </c>
    </row>
    <row r="837" spans="1:12">
      <c r="A837">
        <v>709</v>
      </c>
      <c r="B837" s="4" t="s">
        <v>3760</v>
      </c>
      <c r="C837" t="s">
        <v>759</v>
      </c>
      <c r="D837">
        <v>85</v>
      </c>
      <c r="E837">
        <v>110</v>
      </c>
      <c r="F837">
        <v>76</v>
      </c>
      <c r="G837">
        <v>65</v>
      </c>
      <c r="H837">
        <v>82</v>
      </c>
      <c r="I837">
        <v>56</v>
      </c>
      <c r="J837">
        <v>474</v>
      </c>
      <c r="K837">
        <v>79</v>
      </c>
      <c r="L837">
        <f t="shared" si="13"/>
        <v>4</v>
      </c>
    </row>
    <row r="838" spans="1:12">
      <c r="A838">
        <v>710</v>
      </c>
      <c r="B838" s="4" t="s">
        <v>3761</v>
      </c>
      <c r="C838" t="s">
        <v>3037</v>
      </c>
      <c r="D838">
        <v>44</v>
      </c>
      <c r="E838">
        <v>66</v>
      </c>
      <c r="F838">
        <v>70</v>
      </c>
      <c r="G838">
        <v>44</v>
      </c>
      <c r="H838">
        <v>55</v>
      </c>
      <c r="I838">
        <v>56</v>
      </c>
      <c r="J838">
        <v>335</v>
      </c>
      <c r="K838">
        <v>55.83</v>
      </c>
      <c r="L838">
        <f t="shared" si="13"/>
        <v>4</v>
      </c>
    </row>
    <row r="839" spans="1:12">
      <c r="A839">
        <v>710</v>
      </c>
      <c r="B839" s="4" t="s">
        <v>3761</v>
      </c>
      <c r="C839" t="s">
        <v>3038</v>
      </c>
      <c r="D839">
        <v>49</v>
      </c>
      <c r="E839">
        <v>66</v>
      </c>
      <c r="F839">
        <v>70</v>
      </c>
      <c r="G839">
        <v>44</v>
      </c>
      <c r="H839">
        <v>55</v>
      </c>
      <c r="I839">
        <v>51</v>
      </c>
      <c r="J839">
        <v>335</v>
      </c>
      <c r="K839">
        <v>55.83</v>
      </c>
      <c r="L839">
        <f t="shared" si="13"/>
        <v>4</v>
      </c>
    </row>
    <row r="840" spans="1:12">
      <c r="A840">
        <v>710</v>
      </c>
      <c r="B840" s="4" t="s">
        <v>3761</v>
      </c>
      <c r="C840" t="s">
        <v>3039</v>
      </c>
      <c r="D840">
        <v>54</v>
      </c>
      <c r="E840">
        <v>66</v>
      </c>
      <c r="F840">
        <v>70</v>
      </c>
      <c r="G840">
        <v>44</v>
      </c>
      <c r="H840">
        <v>55</v>
      </c>
      <c r="I840">
        <v>46</v>
      </c>
      <c r="J840">
        <v>335</v>
      </c>
      <c r="K840">
        <v>55.83</v>
      </c>
      <c r="L840">
        <f t="shared" si="13"/>
        <v>4</v>
      </c>
    </row>
    <row r="841" spans="1:12">
      <c r="A841">
        <v>710</v>
      </c>
      <c r="B841" s="4" t="s">
        <v>3761</v>
      </c>
      <c r="C841" t="s">
        <v>3040</v>
      </c>
      <c r="D841">
        <v>59</v>
      </c>
      <c r="E841">
        <v>66</v>
      </c>
      <c r="F841">
        <v>70</v>
      </c>
      <c r="G841">
        <v>44</v>
      </c>
      <c r="H841">
        <v>55</v>
      </c>
      <c r="I841">
        <v>41</v>
      </c>
      <c r="J841">
        <v>335</v>
      </c>
      <c r="K841">
        <v>55.83</v>
      </c>
      <c r="L841">
        <f t="shared" si="13"/>
        <v>4</v>
      </c>
    </row>
    <row r="842" spans="1:12">
      <c r="A842">
        <v>711</v>
      </c>
      <c r="B842" s="4" t="s">
        <v>3762</v>
      </c>
      <c r="C842" t="s">
        <v>3041</v>
      </c>
      <c r="D842">
        <v>55</v>
      </c>
      <c r="E842">
        <v>85</v>
      </c>
      <c r="F842">
        <v>122</v>
      </c>
      <c r="G842">
        <v>58</v>
      </c>
      <c r="H842">
        <v>75</v>
      </c>
      <c r="I842">
        <v>99</v>
      </c>
      <c r="J842">
        <v>494</v>
      </c>
      <c r="K842">
        <v>82.33</v>
      </c>
      <c r="L842">
        <f t="shared" si="13"/>
        <v>4</v>
      </c>
    </row>
    <row r="843" spans="1:12">
      <c r="A843">
        <v>711</v>
      </c>
      <c r="B843" s="4" t="s">
        <v>3762</v>
      </c>
      <c r="C843" t="s">
        <v>3042</v>
      </c>
      <c r="D843">
        <v>65</v>
      </c>
      <c r="E843">
        <v>90</v>
      </c>
      <c r="F843">
        <v>122</v>
      </c>
      <c r="G843">
        <v>58</v>
      </c>
      <c r="H843">
        <v>75</v>
      </c>
      <c r="I843">
        <v>84</v>
      </c>
      <c r="J843">
        <v>494</v>
      </c>
      <c r="K843">
        <v>82.33</v>
      </c>
      <c r="L843">
        <f t="shared" si="13"/>
        <v>4</v>
      </c>
    </row>
    <row r="844" spans="1:12">
      <c r="A844">
        <v>711</v>
      </c>
      <c r="B844" s="4" t="s">
        <v>3762</v>
      </c>
      <c r="C844" t="s">
        <v>3043</v>
      </c>
      <c r="D844">
        <v>75</v>
      </c>
      <c r="E844">
        <v>95</v>
      </c>
      <c r="F844">
        <v>122</v>
      </c>
      <c r="G844">
        <v>58</v>
      </c>
      <c r="H844">
        <v>75</v>
      </c>
      <c r="I844">
        <v>69</v>
      </c>
      <c r="J844">
        <v>494</v>
      </c>
      <c r="K844">
        <v>82.33</v>
      </c>
      <c r="L844">
        <f t="shared" si="13"/>
        <v>4</v>
      </c>
    </row>
    <row r="845" spans="1:12">
      <c r="A845">
        <v>711</v>
      </c>
      <c r="B845" s="4" t="s">
        <v>3762</v>
      </c>
      <c r="C845" t="s">
        <v>3044</v>
      </c>
      <c r="D845">
        <v>85</v>
      </c>
      <c r="E845">
        <v>100</v>
      </c>
      <c r="F845">
        <v>122</v>
      </c>
      <c r="G845">
        <v>58</v>
      </c>
      <c r="H845">
        <v>75</v>
      </c>
      <c r="I845">
        <v>54</v>
      </c>
      <c r="J845">
        <v>494</v>
      </c>
      <c r="K845">
        <v>82.33</v>
      </c>
      <c r="L845">
        <f t="shared" si="13"/>
        <v>4</v>
      </c>
    </row>
    <row r="846" spans="1:12">
      <c r="A846">
        <v>712</v>
      </c>
      <c r="B846" s="4" t="s">
        <v>3763</v>
      </c>
      <c r="C846" t="s">
        <v>760</v>
      </c>
      <c r="D846">
        <v>55</v>
      </c>
      <c r="E846">
        <v>69</v>
      </c>
      <c r="F846">
        <v>85</v>
      </c>
      <c r="G846">
        <v>32</v>
      </c>
      <c r="H846">
        <v>35</v>
      </c>
      <c r="I846">
        <v>28</v>
      </c>
      <c r="J846">
        <v>304</v>
      </c>
      <c r="K846">
        <v>50.67</v>
      </c>
      <c r="L846">
        <f t="shared" si="13"/>
        <v>4</v>
      </c>
    </row>
    <row r="847" spans="1:12">
      <c r="A847">
        <v>713</v>
      </c>
      <c r="B847" s="4" t="s">
        <v>3764</v>
      </c>
      <c r="C847" t="s">
        <v>761</v>
      </c>
      <c r="D847">
        <v>95</v>
      </c>
      <c r="E847">
        <v>117</v>
      </c>
      <c r="F847">
        <v>184</v>
      </c>
      <c r="G847">
        <v>44</v>
      </c>
      <c r="H847">
        <v>46</v>
      </c>
      <c r="I847">
        <v>28</v>
      </c>
      <c r="J847">
        <v>514</v>
      </c>
      <c r="K847">
        <v>85.67</v>
      </c>
      <c r="L847">
        <f t="shared" si="13"/>
        <v>4</v>
      </c>
    </row>
    <row r="848" spans="1:12">
      <c r="A848">
        <v>713</v>
      </c>
      <c r="B848" s="131" t="s">
        <v>3045</v>
      </c>
      <c r="C848" t="s">
        <v>3046</v>
      </c>
      <c r="D848">
        <v>95</v>
      </c>
      <c r="E848">
        <v>127</v>
      </c>
      <c r="F848">
        <v>184</v>
      </c>
      <c r="G848">
        <v>34</v>
      </c>
      <c r="H848">
        <v>36</v>
      </c>
      <c r="I848">
        <v>38</v>
      </c>
      <c r="J848">
        <v>514</v>
      </c>
      <c r="K848">
        <v>85.67</v>
      </c>
      <c r="L848">
        <f t="shared" si="13"/>
        <v>4</v>
      </c>
    </row>
    <row r="849" spans="1:12">
      <c r="A849">
        <v>714</v>
      </c>
      <c r="B849" s="4" t="s">
        <v>3765</v>
      </c>
      <c r="C849" t="s">
        <v>762</v>
      </c>
      <c r="D849">
        <v>40</v>
      </c>
      <c r="E849">
        <v>30</v>
      </c>
      <c r="F849">
        <v>35</v>
      </c>
      <c r="G849">
        <v>45</v>
      </c>
      <c r="H849">
        <v>40</v>
      </c>
      <c r="I849">
        <v>55</v>
      </c>
      <c r="J849">
        <v>245</v>
      </c>
      <c r="K849">
        <v>40.83</v>
      </c>
      <c r="L849">
        <f t="shared" si="13"/>
        <v>4</v>
      </c>
    </row>
    <row r="850" spans="1:12">
      <c r="A850">
        <v>715</v>
      </c>
      <c r="B850" s="4" t="s">
        <v>3766</v>
      </c>
      <c r="C850" t="s">
        <v>763</v>
      </c>
      <c r="D850">
        <v>85</v>
      </c>
      <c r="E850">
        <v>70</v>
      </c>
      <c r="F850">
        <v>80</v>
      </c>
      <c r="G850">
        <v>97</v>
      </c>
      <c r="H850">
        <v>80</v>
      </c>
      <c r="I850">
        <v>123</v>
      </c>
      <c r="J850">
        <v>535</v>
      </c>
      <c r="K850">
        <v>89.17</v>
      </c>
      <c r="L850">
        <f t="shared" si="13"/>
        <v>4</v>
      </c>
    </row>
    <row r="851" spans="1:12">
      <c r="A851">
        <v>716</v>
      </c>
      <c r="B851" s="4" t="s">
        <v>3767</v>
      </c>
      <c r="C851" t="s">
        <v>764</v>
      </c>
      <c r="D851">
        <v>126</v>
      </c>
      <c r="E851">
        <v>131</v>
      </c>
      <c r="F851">
        <v>95</v>
      </c>
      <c r="G851">
        <v>131</v>
      </c>
      <c r="H851">
        <v>98</v>
      </c>
      <c r="I851">
        <v>99</v>
      </c>
      <c r="J851">
        <v>680</v>
      </c>
      <c r="K851">
        <v>113.33</v>
      </c>
      <c r="L851">
        <f t="shared" si="13"/>
        <v>4</v>
      </c>
    </row>
    <row r="852" spans="1:12">
      <c r="A852">
        <v>717</v>
      </c>
      <c r="B852" s="4" t="s">
        <v>3768</v>
      </c>
      <c r="C852" t="s">
        <v>765</v>
      </c>
      <c r="D852">
        <v>126</v>
      </c>
      <c r="E852">
        <v>131</v>
      </c>
      <c r="F852">
        <v>95</v>
      </c>
      <c r="G852">
        <v>131</v>
      </c>
      <c r="H852">
        <v>98</v>
      </c>
      <c r="I852">
        <v>99</v>
      </c>
      <c r="J852">
        <v>680</v>
      </c>
      <c r="K852">
        <v>113.33</v>
      </c>
      <c r="L852">
        <f t="shared" si="13"/>
        <v>4</v>
      </c>
    </row>
    <row r="853" spans="1:12">
      <c r="A853">
        <v>718</v>
      </c>
      <c r="B853" s="4" t="s">
        <v>3769</v>
      </c>
      <c r="C853" t="s">
        <v>2746</v>
      </c>
      <c r="D853">
        <v>108</v>
      </c>
      <c r="E853">
        <v>100</v>
      </c>
      <c r="F853">
        <v>121</v>
      </c>
      <c r="G853">
        <v>81</v>
      </c>
      <c r="H853">
        <v>95</v>
      </c>
      <c r="I853">
        <v>95</v>
      </c>
      <c r="J853">
        <v>600</v>
      </c>
      <c r="K853">
        <v>100</v>
      </c>
      <c r="L853">
        <f t="shared" si="13"/>
        <v>4</v>
      </c>
    </row>
    <row r="854" spans="1:12">
      <c r="A854">
        <v>718</v>
      </c>
      <c r="B854" s="131" t="s">
        <v>2728</v>
      </c>
      <c r="C854" t="s">
        <v>2747</v>
      </c>
      <c r="D854">
        <v>54</v>
      </c>
      <c r="E854">
        <v>100</v>
      </c>
      <c r="F854">
        <v>71</v>
      </c>
      <c r="G854">
        <v>61</v>
      </c>
      <c r="H854">
        <v>85</v>
      </c>
      <c r="I854">
        <v>115</v>
      </c>
      <c r="J854">
        <v>486</v>
      </c>
      <c r="K854">
        <v>81</v>
      </c>
      <c r="L854">
        <f t="shared" si="13"/>
        <v>4</v>
      </c>
    </row>
    <row r="855" spans="1:12">
      <c r="A855">
        <v>718</v>
      </c>
      <c r="B855" s="131" t="s">
        <v>2729</v>
      </c>
      <c r="C855" t="s">
        <v>2748</v>
      </c>
      <c r="D855">
        <v>216</v>
      </c>
      <c r="E855">
        <v>100</v>
      </c>
      <c r="F855">
        <v>121</v>
      </c>
      <c r="G855">
        <v>91</v>
      </c>
      <c r="H855">
        <v>95</v>
      </c>
      <c r="I855">
        <v>85</v>
      </c>
      <c r="J855">
        <v>708</v>
      </c>
      <c r="K855">
        <v>118</v>
      </c>
      <c r="L855">
        <f t="shared" si="13"/>
        <v>4</v>
      </c>
    </row>
    <row r="856" spans="1:12">
      <c r="A856">
        <v>719</v>
      </c>
      <c r="B856" s="4" t="s">
        <v>3770</v>
      </c>
      <c r="C856" t="s">
        <v>766</v>
      </c>
      <c r="D856">
        <v>50</v>
      </c>
      <c r="E856">
        <v>100</v>
      </c>
      <c r="F856">
        <v>150</v>
      </c>
      <c r="G856">
        <v>100</v>
      </c>
      <c r="H856">
        <v>150</v>
      </c>
      <c r="I856">
        <v>50</v>
      </c>
      <c r="J856">
        <v>600</v>
      </c>
      <c r="K856">
        <v>100</v>
      </c>
      <c r="L856">
        <f t="shared" si="13"/>
        <v>4</v>
      </c>
    </row>
    <row r="857" spans="1:12">
      <c r="A857">
        <v>719</v>
      </c>
      <c r="B857" s="131" t="s">
        <v>2730</v>
      </c>
      <c r="C857" t="s">
        <v>2749</v>
      </c>
      <c r="D857">
        <v>50</v>
      </c>
      <c r="E857">
        <v>160</v>
      </c>
      <c r="F857">
        <v>110</v>
      </c>
      <c r="G857">
        <v>160</v>
      </c>
      <c r="H857">
        <v>110</v>
      </c>
      <c r="I857">
        <v>110</v>
      </c>
      <c r="J857">
        <v>700</v>
      </c>
      <c r="K857">
        <v>116.67</v>
      </c>
      <c r="L857">
        <f t="shared" si="13"/>
        <v>4</v>
      </c>
    </row>
    <row r="858" spans="1:12">
      <c r="A858">
        <v>720</v>
      </c>
      <c r="B858" s="4" t="s">
        <v>3771</v>
      </c>
      <c r="C858" t="s">
        <v>2750</v>
      </c>
      <c r="D858">
        <v>80</v>
      </c>
      <c r="E858">
        <v>110</v>
      </c>
      <c r="F858">
        <v>60</v>
      </c>
      <c r="G858">
        <v>150</v>
      </c>
      <c r="H858">
        <v>130</v>
      </c>
      <c r="I858">
        <v>70</v>
      </c>
      <c r="J858">
        <v>600</v>
      </c>
      <c r="K858">
        <v>100</v>
      </c>
      <c r="L858">
        <f t="shared" si="13"/>
        <v>4</v>
      </c>
    </row>
    <row r="859" spans="1:12">
      <c r="A859">
        <v>720</v>
      </c>
      <c r="B859" s="131" t="s">
        <v>2731</v>
      </c>
      <c r="C859" t="s">
        <v>2751</v>
      </c>
      <c r="D859">
        <v>80</v>
      </c>
      <c r="E859">
        <v>160</v>
      </c>
      <c r="F859">
        <v>60</v>
      </c>
      <c r="G859">
        <v>170</v>
      </c>
      <c r="H859">
        <v>130</v>
      </c>
      <c r="I859">
        <v>80</v>
      </c>
      <c r="J859">
        <v>680</v>
      </c>
      <c r="K859">
        <v>113.33</v>
      </c>
      <c r="L859">
        <f t="shared" si="13"/>
        <v>4</v>
      </c>
    </row>
    <row r="860" spans="1:12">
      <c r="A860">
        <v>721</v>
      </c>
      <c r="B860" s="4" t="s">
        <v>3772</v>
      </c>
      <c r="C860" t="s">
        <v>767</v>
      </c>
      <c r="D860">
        <v>80</v>
      </c>
      <c r="E860">
        <v>110</v>
      </c>
      <c r="F860">
        <v>120</v>
      </c>
      <c r="G860">
        <v>130</v>
      </c>
      <c r="H860">
        <v>90</v>
      </c>
      <c r="I860">
        <v>70</v>
      </c>
      <c r="J860">
        <v>600</v>
      </c>
      <c r="K860">
        <v>100</v>
      </c>
      <c r="L860">
        <f t="shared" si="13"/>
        <v>4</v>
      </c>
    </row>
    <row r="861" spans="1:12">
      <c r="A861">
        <v>722</v>
      </c>
      <c r="B861" s="4" t="s">
        <v>3773</v>
      </c>
      <c r="C861" t="s">
        <v>2147</v>
      </c>
      <c r="D861">
        <v>68</v>
      </c>
      <c r="E861">
        <v>55</v>
      </c>
      <c r="F861">
        <v>55</v>
      </c>
      <c r="G861">
        <v>50</v>
      </c>
      <c r="H861">
        <v>50</v>
      </c>
      <c r="I861">
        <v>42</v>
      </c>
      <c r="J861">
        <v>320</v>
      </c>
      <c r="K861">
        <v>53.33</v>
      </c>
      <c r="L861">
        <f t="shared" si="13"/>
        <v>4</v>
      </c>
    </row>
    <row r="862" spans="1:12">
      <c r="A862">
        <v>723</v>
      </c>
      <c r="B862" s="4" t="s">
        <v>3774</v>
      </c>
      <c r="C862" t="s">
        <v>2148</v>
      </c>
      <c r="D862">
        <v>78</v>
      </c>
      <c r="E862">
        <v>75</v>
      </c>
      <c r="F862">
        <v>75</v>
      </c>
      <c r="G862">
        <v>70</v>
      </c>
      <c r="H862">
        <v>70</v>
      </c>
      <c r="I862">
        <v>52</v>
      </c>
      <c r="J862">
        <v>420</v>
      </c>
      <c r="K862">
        <v>70</v>
      </c>
      <c r="L862">
        <f t="shared" si="13"/>
        <v>4</v>
      </c>
    </row>
    <row r="863" spans="1:12">
      <c r="A863">
        <v>724</v>
      </c>
      <c r="B863" s="4" t="s">
        <v>3775</v>
      </c>
      <c r="C863" t="s">
        <v>2149</v>
      </c>
      <c r="D863">
        <v>78</v>
      </c>
      <c r="E863">
        <v>107</v>
      </c>
      <c r="F863">
        <v>75</v>
      </c>
      <c r="G863">
        <v>100</v>
      </c>
      <c r="H863">
        <v>100</v>
      </c>
      <c r="I863">
        <v>70</v>
      </c>
      <c r="J863">
        <v>530</v>
      </c>
      <c r="K863">
        <v>88.33</v>
      </c>
      <c r="L863">
        <f t="shared" si="13"/>
        <v>4</v>
      </c>
    </row>
    <row r="864" spans="1:12">
      <c r="A864">
        <v>724</v>
      </c>
      <c r="B864" s="131" t="s">
        <v>2732</v>
      </c>
      <c r="C864" t="s">
        <v>2752</v>
      </c>
      <c r="D864">
        <v>88</v>
      </c>
      <c r="E864">
        <v>112</v>
      </c>
      <c r="F864">
        <v>80</v>
      </c>
      <c r="G864">
        <v>95</v>
      </c>
      <c r="H864">
        <v>95</v>
      </c>
      <c r="I864">
        <v>60</v>
      </c>
      <c r="J864">
        <v>530</v>
      </c>
      <c r="K864">
        <v>88.33</v>
      </c>
      <c r="L864">
        <f t="shared" si="13"/>
        <v>4</v>
      </c>
    </row>
    <row r="865" spans="1:12">
      <c r="A865">
        <v>725</v>
      </c>
      <c r="B865" s="4" t="s">
        <v>3776</v>
      </c>
      <c r="C865" t="s">
        <v>2150</v>
      </c>
      <c r="D865">
        <v>45</v>
      </c>
      <c r="E865">
        <v>65</v>
      </c>
      <c r="F865">
        <v>40</v>
      </c>
      <c r="G865">
        <v>60</v>
      </c>
      <c r="H865">
        <v>40</v>
      </c>
      <c r="I865">
        <v>70</v>
      </c>
      <c r="J865">
        <v>320</v>
      </c>
      <c r="K865">
        <v>53.33</v>
      </c>
      <c r="L865">
        <f t="shared" si="13"/>
        <v>4</v>
      </c>
    </row>
    <row r="866" spans="1:12">
      <c r="A866">
        <v>726</v>
      </c>
      <c r="B866" s="4" t="s">
        <v>3777</v>
      </c>
      <c r="C866" t="s">
        <v>2151</v>
      </c>
      <c r="D866">
        <v>65</v>
      </c>
      <c r="E866">
        <v>85</v>
      </c>
      <c r="F866">
        <v>50</v>
      </c>
      <c r="G866">
        <v>80</v>
      </c>
      <c r="H866">
        <v>50</v>
      </c>
      <c r="I866">
        <v>90</v>
      </c>
      <c r="J866">
        <v>420</v>
      </c>
      <c r="K866">
        <v>70</v>
      </c>
      <c r="L866">
        <f t="shared" si="13"/>
        <v>4</v>
      </c>
    </row>
    <row r="867" spans="1:12">
      <c r="A867">
        <v>727</v>
      </c>
      <c r="B867" s="4" t="s">
        <v>3778</v>
      </c>
      <c r="C867" t="s">
        <v>2152</v>
      </c>
      <c r="D867">
        <v>95</v>
      </c>
      <c r="E867">
        <v>115</v>
      </c>
      <c r="F867">
        <v>90</v>
      </c>
      <c r="G867">
        <v>80</v>
      </c>
      <c r="H867">
        <v>90</v>
      </c>
      <c r="I867">
        <v>60</v>
      </c>
      <c r="J867">
        <v>530</v>
      </c>
      <c r="K867">
        <v>88.33</v>
      </c>
      <c r="L867">
        <f t="shared" si="13"/>
        <v>4</v>
      </c>
    </row>
    <row r="868" spans="1:12">
      <c r="A868">
        <v>728</v>
      </c>
      <c r="B868" s="4" t="s">
        <v>3779</v>
      </c>
      <c r="C868" t="s">
        <v>2153</v>
      </c>
      <c r="D868">
        <v>50</v>
      </c>
      <c r="E868">
        <v>54</v>
      </c>
      <c r="F868">
        <v>54</v>
      </c>
      <c r="G868">
        <v>66</v>
      </c>
      <c r="H868">
        <v>56</v>
      </c>
      <c r="I868">
        <v>40</v>
      </c>
      <c r="J868">
        <v>320</v>
      </c>
      <c r="K868">
        <v>53.33</v>
      </c>
      <c r="L868">
        <f t="shared" si="13"/>
        <v>4</v>
      </c>
    </row>
    <row r="869" spans="1:12">
      <c r="A869">
        <v>729</v>
      </c>
      <c r="B869" s="4" t="s">
        <v>3780</v>
      </c>
      <c r="C869" t="s">
        <v>2154</v>
      </c>
      <c r="D869">
        <v>60</v>
      </c>
      <c r="E869">
        <v>69</v>
      </c>
      <c r="F869">
        <v>69</v>
      </c>
      <c r="G869">
        <v>91</v>
      </c>
      <c r="H869">
        <v>81</v>
      </c>
      <c r="I869">
        <v>50</v>
      </c>
      <c r="J869">
        <v>420</v>
      </c>
      <c r="K869">
        <v>70</v>
      </c>
      <c r="L869">
        <f t="shared" si="13"/>
        <v>4</v>
      </c>
    </row>
    <row r="870" spans="1:12">
      <c r="A870">
        <v>730</v>
      </c>
      <c r="B870" s="4" t="s">
        <v>3781</v>
      </c>
      <c r="C870" t="s">
        <v>2155</v>
      </c>
      <c r="D870">
        <v>80</v>
      </c>
      <c r="E870">
        <v>74</v>
      </c>
      <c r="F870">
        <v>74</v>
      </c>
      <c r="G870">
        <v>126</v>
      </c>
      <c r="H870">
        <v>116</v>
      </c>
      <c r="I870">
        <v>60</v>
      </c>
      <c r="J870">
        <v>530</v>
      </c>
      <c r="K870">
        <v>88.33</v>
      </c>
      <c r="L870">
        <f t="shared" si="13"/>
        <v>4</v>
      </c>
    </row>
    <row r="871" spans="1:12">
      <c r="A871">
        <v>731</v>
      </c>
      <c r="B871" s="4" t="s">
        <v>3782</v>
      </c>
      <c r="C871" t="s">
        <v>2172</v>
      </c>
      <c r="D871">
        <v>35</v>
      </c>
      <c r="E871">
        <v>75</v>
      </c>
      <c r="F871">
        <v>30</v>
      </c>
      <c r="G871">
        <v>30</v>
      </c>
      <c r="H871">
        <v>30</v>
      </c>
      <c r="I871">
        <v>65</v>
      </c>
      <c r="J871">
        <v>265</v>
      </c>
      <c r="K871">
        <v>44.17</v>
      </c>
      <c r="L871">
        <f t="shared" si="13"/>
        <v>4</v>
      </c>
    </row>
    <row r="872" spans="1:12">
      <c r="A872">
        <v>732</v>
      </c>
      <c r="B872" s="4" t="s">
        <v>3783</v>
      </c>
      <c r="C872" t="s">
        <v>2173</v>
      </c>
      <c r="D872">
        <v>55</v>
      </c>
      <c r="E872">
        <v>85</v>
      </c>
      <c r="F872">
        <v>50</v>
      </c>
      <c r="G872">
        <v>40</v>
      </c>
      <c r="H872">
        <v>50</v>
      </c>
      <c r="I872">
        <v>75</v>
      </c>
      <c r="J872">
        <v>355</v>
      </c>
      <c r="K872">
        <v>59.17</v>
      </c>
      <c r="L872">
        <f t="shared" si="13"/>
        <v>4</v>
      </c>
    </row>
    <row r="873" spans="1:12">
      <c r="A873">
        <v>733</v>
      </c>
      <c r="B873" s="4" t="s">
        <v>3784</v>
      </c>
      <c r="C873" t="s">
        <v>2174</v>
      </c>
      <c r="D873">
        <v>80</v>
      </c>
      <c r="E873">
        <v>120</v>
      </c>
      <c r="F873">
        <v>75</v>
      </c>
      <c r="G873">
        <v>75</v>
      </c>
      <c r="H873">
        <v>75</v>
      </c>
      <c r="I873">
        <v>60</v>
      </c>
      <c r="J873">
        <v>485</v>
      </c>
      <c r="K873">
        <v>80.83</v>
      </c>
      <c r="L873">
        <f t="shared" si="13"/>
        <v>4</v>
      </c>
    </row>
    <row r="874" spans="1:12">
      <c r="A874">
        <v>734</v>
      </c>
      <c r="B874" s="4" t="s">
        <v>3785</v>
      </c>
      <c r="C874" t="s">
        <v>2175</v>
      </c>
      <c r="D874">
        <v>48</v>
      </c>
      <c r="E874">
        <v>70</v>
      </c>
      <c r="F874">
        <v>30</v>
      </c>
      <c r="G874">
        <v>30</v>
      </c>
      <c r="H874">
        <v>30</v>
      </c>
      <c r="I874">
        <v>45</v>
      </c>
      <c r="J874">
        <v>253</v>
      </c>
      <c r="K874">
        <v>42.17</v>
      </c>
      <c r="L874">
        <f t="shared" si="13"/>
        <v>4</v>
      </c>
    </row>
    <row r="875" spans="1:12">
      <c r="A875">
        <v>735</v>
      </c>
      <c r="B875" s="4" t="s">
        <v>3786</v>
      </c>
      <c r="C875" t="s">
        <v>2176</v>
      </c>
      <c r="D875">
        <v>88</v>
      </c>
      <c r="E875">
        <v>110</v>
      </c>
      <c r="F875">
        <v>60</v>
      </c>
      <c r="G875">
        <v>55</v>
      </c>
      <c r="H875">
        <v>60</v>
      </c>
      <c r="I875">
        <v>45</v>
      </c>
      <c r="J875">
        <v>418</v>
      </c>
      <c r="K875">
        <v>69.67</v>
      </c>
      <c r="L875">
        <f t="shared" si="13"/>
        <v>4</v>
      </c>
    </row>
    <row r="876" spans="1:12">
      <c r="A876">
        <v>736</v>
      </c>
      <c r="B876" s="4" t="s">
        <v>3787</v>
      </c>
      <c r="C876" t="s">
        <v>2177</v>
      </c>
      <c r="D876">
        <v>47</v>
      </c>
      <c r="E876">
        <v>62</v>
      </c>
      <c r="F876">
        <v>45</v>
      </c>
      <c r="G876">
        <v>55</v>
      </c>
      <c r="H876">
        <v>45</v>
      </c>
      <c r="I876">
        <v>46</v>
      </c>
      <c r="J876">
        <v>300</v>
      </c>
      <c r="K876">
        <v>50</v>
      </c>
      <c r="L876">
        <f t="shared" si="13"/>
        <v>4</v>
      </c>
    </row>
    <row r="877" spans="1:12">
      <c r="A877">
        <v>737</v>
      </c>
      <c r="B877" s="4" t="s">
        <v>3788</v>
      </c>
      <c r="C877" t="s">
        <v>2178</v>
      </c>
      <c r="D877">
        <v>57</v>
      </c>
      <c r="E877">
        <v>82</v>
      </c>
      <c r="F877">
        <v>95</v>
      </c>
      <c r="G877">
        <v>55</v>
      </c>
      <c r="H877">
        <v>75</v>
      </c>
      <c r="I877">
        <v>36</v>
      </c>
      <c r="J877">
        <v>400</v>
      </c>
      <c r="K877">
        <v>66.67</v>
      </c>
      <c r="L877">
        <f t="shared" si="13"/>
        <v>4</v>
      </c>
    </row>
    <row r="878" spans="1:12">
      <c r="A878">
        <v>738</v>
      </c>
      <c r="B878" s="4" t="s">
        <v>3789</v>
      </c>
      <c r="C878" t="s">
        <v>2179</v>
      </c>
      <c r="D878">
        <v>77</v>
      </c>
      <c r="E878">
        <v>70</v>
      </c>
      <c r="F878">
        <v>90</v>
      </c>
      <c r="G878">
        <v>145</v>
      </c>
      <c r="H878">
        <v>75</v>
      </c>
      <c r="I878">
        <v>43</v>
      </c>
      <c r="J878">
        <v>500</v>
      </c>
      <c r="K878">
        <v>83.33</v>
      </c>
      <c r="L878">
        <f t="shared" si="13"/>
        <v>4</v>
      </c>
    </row>
    <row r="879" spans="1:12">
      <c r="A879">
        <v>739</v>
      </c>
      <c r="B879" s="4" t="s">
        <v>3790</v>
      </c>
      <c r="C879" t="s">
        <v>2180</v>
      </c>
      <c r="D879">
        <v>47</v>
      </c>
      <c r="E879">
        <v>82</v>
      </c>
      <c r="F879">
        <v>57</v>
      </c>
      <c r="G879">
        <v>42</v>
      </c>
      <c r="H879">
        <v>47</v>
      </c>
      <c r="I879">
        <v>63</v>
      </c>
      <c r="J879">
        <v>338</v>
      </c>
      <c r="K879">
        <v>56.33</v>
      </c>
      <c r="L879">
        <f t="shared" si="13"/>
        <v>4</v>
      </c>
    </row>
    <row r="880" spans="1:12">
      <c r="A880">
        <v>740</v>
      </c>
      <c r="B880" s="4" t="s">
        <v>3791</v>
      </c>
      <c r="C880" t="s">
        <v>2181</v>
      </c>
      <c r="D880">
        <v>97</v>
      </c>
      <c r="E880">
        <v>132</v>
      </c>
      <c r="F880">
        <v>77</v>
      </c>
      <c r="G880">
        <v>62</v>
      </c>
      <c r="H880">
        <v>67</v>
      </c>
      <c r="I880">
        <v>43</v>
      </c>
      <c r="J880">
        <v>478</v>
      </c>
      <c r="K880">
        <v>79.67</v>
      </c>
      <c r="L880">
        <f t="shared" si="13"/>
        <v>4</v>
      </c>
    </row>
    <row r="881" spans="1:12">
      <c r="A881">
        <v>741</v>
      </c>
      <c r="B881" s="4" t="s">
        <v>3792</v>
      </c>
      <c r="C881" t="s">
        <v>2268</v>
      </c>
      <c r="D881">
        <v>75</v>
      </c>
      <c r="E881">
        <v>70</v>
      </c>
      <c r="F881">
        <v>70</v>
      </c>
      <c r="G881">
        <v>98</v>
      </c>
      <c r="H881">
        <v>70</v>
      </c>
      <c r="I881">
        <v>93</v>
      </c>
      <c r="J881">
        <v>476</v>
      </c>
      <c r="K881">
        <v>79.33</v>
      </c>
      <c r="L881">
        <f t="shared" si="13"/>
        <v>4</v>
      </c>
    </row>
    <row r="882" spans="1:12">
      <c r="A882">
        <v>742</v>
      </c>
      <c r="B882" s="4" t="s">
        <v>3793</v>
      </c>
      <c r="C882" t="s">
        <v>2182</v>
      </c>
      <c r="D882">
        <v>40</v>
      </c>
      <c r="E882">
        <v>45</v>
      </c>
      <c r="F882">
        <v>40</v>
      </c>
      <c r="G882">
        <v>55</v>
      </c>
      <c r="H882">
        <v>40</v>
      </c>
      <c r="I882">
        <v>84</v>
      </c>
      <c r="J882">
        <v>304</v>
      </c>
      <c r="K882">
        <v>50.67</v>
      </c>
      <c r="L882">
        <f t="shared" si="13"/>
        <v>4</v>
      </c>
    </row>
    <row r="883" spans="1:12">
      <c r="A883">
        <v>743</v>
      </c>
      <c r="B883" s="4" t="s">
        <v>3794</v>
      </c>
      <c r="C883" t="s">
        <v>2183</v>
      </c>
      <c r="D883">
        <v>60</v>
      </c>
      <c r="E883">
        <v>55</v>
      </c>
      <c r="F883">
        <v>60</v>
      </c>
      <c r="G883">
        <v>95</v>
      </c>
      <c r="H883">
        <v>70</v>
      </c>
      <c r="I883">
        <v>124</v>
      </c>
      <c r="J883">
        <v>464</v>
      </c>
      <c r="K883">
        <v>77.33</v>
      </c>
      <c r="L883">
        <f t="shared" si="13"/>
        <v>4</v>
      </c>
    </row>
    <row r="884" spans="1:12">
      <c r="A884">
        <v>744</v>
      </c>
      <c r="B884" s="4" t="s">
        <v>3795</v>
      </c>
      <c r="C884" t="s">
        <v>2184</v>
      </c>
      <c r="D884">
        <v>45</v>
      </c>
      <c r="E884">
        <v>65</v>
      </c>
      <c r="F884">
        <v>40</v>
      </c>
      <c r="G884">
        <v>30</v>
      </c>
      <c r="H884">
        <v>40</v>
      </c>
      <c r="I884">
        <v>60</v>
      </c>
      <c r="J884">
        <v>280</v>
      </c>
      <c r="K884">
        <v>46.67</v>
      </c>
      <c r="L884">
        <f t="shared" si="13"/>
        <v>4</v>
      </c>
    </row>
    <row r="885" spans="1:12">
      <c r="A885">
        <v>745</v>
      </c>
      <c r="B885" s="4" t="s">
        <v>3796</v>
      </c>
      <c r="C885" t="s">
        <v>2753</v>
      </c>
      <c r="D885">
        <v>75</v>
      </c>
      <c r="E885">
        <v>115</v>
      </c>
      <c r="F885">
        <v>65</v>
      </c>
      <c r="G885">
        <v>55</v>
      </c>
      <c r="H885">
        <v>65</v>
      </c>
      <c r="I885">
        <v>112</v>
      </c>
      <c r="J885">
        <v>487</v>
      </c>
      <c r="K885">
        <v>81.17</v>
      </c>
      <c r="L885">
        <f t="shared" si="13"/>
        <v>4</v>
      </c>
    </row>
    <row r="886" spans="1:12">
      <c r="A886">
        <v>745</v>
      </c>
      <c r="B886" s="131" t="s">
        <v>3962</v>
      </c>
      <c r="C886" t="s">
        <v>2754</v>
      </c>
      <c r="D886">
        <v>85</v>
      </c>
      <c r="E886">
        <v>115</v>
      </c>
      <c r="F886">
        <v>75</v>
      </c>
      <c r="G886">
        <v>55</v>
      </c>
      <c r="H886">
        <v>75</v>
      </c>
      <c r="I886">
        <v>82</v>
      </c>
      <c r="J886">
        <v>487</v>
      </c>
      <c r="K886">
        <v>81.17</v>
      </c>
      <c r="L886">
        <f t="shared" si="13"/>
        <v>4</v>
      </c>
    </row>
    <row r="887" spans="1:12">
      <c r="A887">
        <v>745</v>
      </c>
      <c r="B887" s="131" t="s">
        <v>2733</v>
      </c>
      <c r="C887" t="s">
        <v>2755</v>
      </c>
      <c r="D887">
        <v>75</v>
      </c>
      <c r="E887">
        <v>117</v>
      </c>
      <c r="F887">
        <v>65</v>
      </c>
      <c r="G887">
        <v>55</v>
      </c>
      <c r="H887">
        <v>65</v>
      </c>
      <c r="I887">
        <v>110</v>
      </c>
      <c r="J887">
        <v>487</v>
      </c>
      <c r="K887">
        <v>81.17</v>
      </c>
      <c r="L887">
        <f t="shared" si="13"/>
        <v>4</v>
      </c>
    </row>
    <row r="888" spans="1:12">
      <c r="A888">
        <v>746</v>
      </c>
      <c r="B888" s="4" t="s">
        <v>3797</v>
      </c>
      <c r="C888" t="s">
        <v>2756</v>
      </c>
      <c r="D888">
        <v>45</v>
      </c>
      <c r="E888">
        <v>20</v>
      </c>
      <c r="F888">
        <v>20</v>
      </c>
      <c r="G888">
        <v>25</v>
      </c>
      <c r="H888">
        <v>25</v>
      </c>
      <c r="I888">
        <v>40</v>
      </c>
      <c r="J888">
        <v>175</v>
      </c>
      <c r="K888">
        <v>29.17</v>
      </c>
      <c r="L888">
        <f t="shared" si="13"/>
        <v>4</v>
      </c>
    </row>
    <row r="889" spans="1:12">
      <c r="A889">
        <v>746</v>
      </c>
      <c r="B889" s="131" t="s">
        <v>3959</v>
      </c>
      <c r="C889" t="s">
        <v>2757</v>
      </c>
      <c r="D889">
        <v>45</v>
      </c>
      <c r="E889">
        <v>140</v>
      </c>
      <c r="F889">
        <v>130</v>
      </c>
      <c r="G889">
        <v>140</v>
      </c>
      <c r="H889">
        <v>135</v>
      </c>
      <c r="I889">
        <v>30</v>
      </c>
      <c r="J889">
        <v>620</v>
      </c>
      <c r="K889">
        <v>103.33</v>
      </c>
      <c r="L889">
        <f t="shared" si="13"/>
        <v>4</v>
      </c>
    </row>
    <row r="890" spans="1:12">
      <c r="A890">
        <v>747</v>
      </c>
      <c r="B890" s="4" t="s">
        <v>3798</v>
      </c>
      <c r="C890" t="s">
        <v>2187</v>
      </c>
      <c r="D890">
        <v>50</v>
      </c>
      <c r="E890">
        <v>53</v>
      </c>
      <c r="F890">
        <v>62</v>
      </c>
      <c r="G890">
        <v>43</v>
      </c>
      <c r="H890">
        <v>52</v>
      </c>
      <c r="I890">
        <v>45</v>
      </c>
      <c r="J890">
        <v>305</v>
      </c>
      <c r="K890">
        <v>50.83</v>
      </c>
      <c r="L890">
        <f t="shared" si="13"/>
        <v>4</v>
      </c>
    </row>
    <row r="891" spans="1:12">
      <c r="A891">
        <v>748</v>
      </c>
      <c r="B891" s="4" t="s">
        <v>3799</v>
      </c>
      <c r="C891" t="s">
        <v>2188</v>
      </c>
      <c r="D891">
        <v>50</v>
      </c>
      <c r="E891">
        <v>63</v>
      </c>
      <c r="F891">
        <v>152</v>
      </c>
      <c r="G891">
        <v>53</v>
      </c>
      <c r="H891">
        <v>142</v>
      </c>
      <c r="I891">
        <v>35</v>
      </c>
      <c r="J891">
        <v>495</v>
      </c>
      <c r="K891">
        <v>82.5</v>
      </c>
      <c r="L891">
        <f t="shared" si="13"/>
        <v>4</v>
      </c>
    </row>
    <row r="892" spans="1:12">
      <c r="A892">
        <v>749</v>
      </c>
      <c r="B892" s="4" t="s">
        <v>3800</v>
      </c>
      <c r="C892" t="s">
        <v>2189</v>
      </c>
      <c r="D892">
        <v>70</v>
      </c>
      <c r="E892">
        <v>100</v>
      </c>
      <c r="F892">
        <v>70</v>
      </c>
      <c r="G892">
        <v>45</v>
      </c>
      <c r="H892">
        <v>55</v>
      </c>
      <c r="I892">
        <v>45</v>
      </c>
      <c r="J892">
        <v>385</v>
      </c>
      <c r="K892">
        <v>64.17</v>
      </c>
      <c r="L892">
        <f t="shared" si="13"/>
        <v>4</v>
      </c>
    </row>
    <row r="893" spans="1:12">
      <c r="A893">
        <v>750</v>
      </c>
      <c r="B893" s="4" t="s">
        <v>3801</v>
      </c>
      <c r="C893" t="s">
        <v>2190</v>
      </c>
      <c r="D893">
        <v>100</v>
      </c>
      <c r="E893">
        <v>125</v>
      </c>
      <c r="F893">
        <v>100</v>
      </c>
      <c r="G893">
        <v>55</v>
      </c>
      <c r="H893">
        <v>85</v>
      </c>
      <c r="I893">
        <v>35</v>
      </c>
      <c r="J893">
        <v>500</v>
      </c>
      <c r="K893">
        <v>83.33</v>
      </c>
      <c r="L893">
        <f t="shared" si="13"/>
        <v>4</v>
      </c>
    </row>
    <row r="894" spans="1:12">
      <c r="A894">
        <v>751</v>
      </c>
      <c r="B894" s="4" t="s">
        <v>3802</v>
      </c>
      <c r="C894" t="s">
        <v>2191</v>
      </c>
      <c r="D894">
        <v>38</v>
      </c>
      <c r="E894">
        <v>40</v>
      </c>
      <c r="F894">
        <v>52</v>
      </c>
      <c r="G894">
        <v>40</v>
      </c>
      <c r="H894">
        <v>72</v>
      </c>
      <c r="I894">
        <v>27</v>
      </c>
      <c r="J894">
        <v>269</v>
      </c>
      <c r="K894">
        <v>44.83</v>
      </c>
      <c r="L894">
        <f t="shared" si="13"/>
        <v>4</v>
      </c>
    </row>
    <row r="895" spans="1:12">
      <c r="A895">
        <v>752</v>
      </c>
      <c r="B895" s="4" t="s">
        <v>3803</v>
      </c>
      <c r="C895" t="s">
        <v>2192</v>
      </c>
      <c r="D895">
        <v>68</v>
      </c>
      <c r="E895">
        <v>70</v>
      </c>
      <c r="F895">
        <v>92</v>
      </c>
      <c r="G895">
        <v>50</v>
      </c>
      <c r="H895">
        <v>132</v>
      </c>
      <c r="I895">
        <v>42</v>
      </c>
      <c r="J895">
        <v>454</v>
      </c>
      <c r="K895">
        <v>75.67</v>
      </c>
      <c r="L895">
        <f t="shared" si="13"/>
        <v>4</v>
      </c>
    </row>
    <row r="896" spans="1:12">
      <c r="A896">
        <v>753</v>
      </c>
      <c r="B896" s="4" t="s">
        <v>3804</v>
      </c>
      <c r="C896" t="s">
        <v>2193</v>
      </c>
      <c r="D896">
        <v>40</v>
      </c>
      <c r="E896">
        <v>55</v>
      </c>
      <c r="F896">
        <v>35</v>
      </c>
      <c r="G896">
        <v>50</v>
      </c>
      <c r="H896">
        <v>35</v>
      </c>
      <c r="I896">
        <v>35</v>
      </c>
      <c r="J896">
        <v>250</v>
      </c>
      <c r="K896">
        <v>41.67</v>
      </c>
      <c r="L896">
        <f t="shared" si="13"/>
        <v>4</v>
      </c>
    </row>
    <row r="897" spans="1:12">
      <c r="A897">
        <v>754</v>
      </c>
      <c r="B897" s="4" t="s">
        <v>3805</v>
      </c>
      <c r="C897" t="s">
        <v>2194</v>
      </c>
      <c r="D897">
        <v>70</v>
      </c>
      <c r="E897">
        <v>105</v>
      </c>
      <c r="F897">
        <v>90</v>
      </c>
      <c r="G897">
        <v>80</v>
      </c>
      <c r="H897">
        <v>90</v>
      </c>
      <c r="I897">
        <v>45</v>
      </c>
      <c r="J897">
        <v>480</v>
      </c>
      <c r="K897">
        <v>80</v>
      </c>
      <c r="L897">
        <f t="shared" si="13"/>
        <v>4</v>
      </c>
    </row>
    <row r="898" spans="1:12">
      <c r="A898">
        <v>755</v>
      </c>
      <c r="B898" s="4" t="s">
        <v>3806</v>
      </c>
      <c r="C898" t="s">
        <v>2195</v>
      </c>
      <c r="D898">
        <v>40</v>
      </c>
      <c r="E898">
        <v>35</v>
      </c>
      <c r="F898">
        <v>55</v>
      </c>
      <c r="G898">
        <v>65</v>
      </c>
      <c r="H898">
        <v>75</v>
      </c>
      <c r="I898">
        <v>15</v>
      </c>
      <c r="J898">
        <v>285</v>
      </c>
      <c r="K898">
        <v>47.5</v>
      </c>
      <c r="L898">
        <f t="shared" si="13"/>
        <v>4</v>
      </c>
    </row>
    <row r="899" spans="1:12">
      <c r="A899">
        <v>756</v>
      </c>
      <c r="B899" s="4" t="s">
        <v>3807</v>
      </c>
      <c r="C899" t="s">
        <v>2196</v>
      </c>
      <c r="D899">
        <v>60</v>
      </c>
      <c r="E899">
        <v>45</v>
      </c>
      <c r="F899">
        <v>80</v>
      </c>
      <c r="G899">
        <v>90</v>
      </c>
      <c r="H899">
        <v>100</v>
      </c>
      <c r="I899">
        <v>30</v>
      </c>
      <c r="J899">
        <v>405</v>
      </c>
      <c r="K899">
        <v>67.5</v>
      </c>
      <c r="L899">
        <f t="shared" si="13"/>
        <v>4</v>
      </c>
    </row>
    <row r="900" spans="1:12">
      <c r="A900">
        <v>757</v>
      </c>
      <c r="B900" s="4" t="s">
        <v>3808</v>
      </c>
      <c r="C900" t="s">
        <v>2156</v>
      </c>
      <c r="D900">
        <v>48</v>
      </c>
      <c r="E900">
        <v>44</v>
      </c>
      <c r="F900">
        <v>40</v>
      </c>
      <c r="G900">
        <v>71</v>
      </c>
      <c r="H900">
        <v>40</v>
      </c>
      <c r="I900">
        <v>77</v>
      </c>
      <c r="J900">
        <v>320</v>
      </c>
      <c r="K900">
        <v>53.33</v>
      </c>
      <c r="L900">
        <f t="shared" ref="L900:L963" si="14">LEN(B900)</f>
        <v>4</v>
      </c>
    </row>
    <row r="901" spans="1:12">
      <c r="A901">
        <v>758</v>
      </c>
      <c r="B901" s="4" t="s">
        <v>3809</v>
      </c>
      <c r="C901" t="s">
        <v>2273</v>
      </c>
      <c r="D901">
        <v>68</v>
      </c>
      <c r="E901">
        <v>64</v>
      </c>
      <c r="F901">
        <v>60</v>
      </c>
      <c r="G901">
        <v>111</v>
      </c>
      <c r="H901">
        <v>60</v>
      </c>
      <c r="I901">
        <v>117</v>
      </c>
      <c r="J901">
        <v>480</v>
      </c>
      <c r="K901">
        <v>80</v>
      </c>
      <c r="L901">
        <f t="shared" si="14"/>
        <v>4</v>
      </c>
    </row>
    <row r="902" spans="1:12">
      <c r="A902">
        <v>759</v>
      </c>
      <c r="B902" s="4" t="s">
        <v>3810</v>
      </c>
      <c r="C902" t="s">
        <v>2197</v>
      </c>
      <c r="D902">
        <v>70</v>
      </c>
      <c r="E902">
        <v>75</v>
      </c>
      <c r="F902">
        <v>50</v>
      </c>
      <c r="G902">
        <v>45</v>
      </c>
      <c r="H902">
        <v>50</v>
      </c>
      <c r="I902">
        <v>50</v>
      </c>
      <c r="J902">
        <v>340</v>
      </c>
      <c r="K902">
        <v>56.67</v>
      </c>
      <c r="L902">
        <f t="shared" si="14"/>
        <v>4</v>
      </c>
    </row>
    <row r="903" spans="1:12">
      <c r="A903">
        <v>760</v>
      </c>
      <c r="B903" s="4" t="s">
        <v>3811</v>
      </c>
      <c r="C903" t="s">
        <v>2198</v>
      </c>
      <c r="D903">
        <v>120</v>
      </c>
      <c r="E903">
        <v>125</v>
      </c>
      <c r="F903">
        <v>80</v>
      </c>
      <c r="G903">
        <v>55</v>
      </c>
      <c r="H903">
        <v>60</v>
      </c>
      <c r="I903">
        <v>60</v>
      </c>
      <c r="J903">
        <v>500</v>
      </c>
      <c r="K903">
        <v>83.33</v>
      </c>
      <c r="L903">
        <f t="shared" si="14"/>
        <v>4</v>
      </c>
    </row>
    <row r="904" spans="1:12">
      <c r="A904">
        <v>761</v>
      </c>
      <c r="B904" s="4" t="s">
        <v>3812</v>
      </c>
      <c r="C904" t="s">
        <v>2274</v>
      </c>
      <c r="D904">
        <v>42</v>
      </c>
      <c r="E904">
        <v>30</v>
      </c>
      <c r="F904">
        <v>38</v>
      </c>
      <c r="G904">
        <v>30</v>
      </c>
      <c r="H904">
        <v>38</v>
      </c>
      <c r="I904">
        <v>32</v>
      </c>
      <c r="J904">
        <v>210</v>
      </c>
      <c r="K904">
        <v>35</v>
      </c>
      <c r="L904">
        <f t="shared" si="14"/>
        <v>4</v>
      </c>
    </row>
    <row r="905" spans="1:12">
      <c r="A905">
        <v>762</v>
      </c>
      <c r="B905" s="4" t="s">
        <v>3813</v>
      </c>
      <c r="C905" t="s">
        <v>2275</v>
      </c>
      <c r="D905">
        <v>52</v>
      </c>
      <c r="E905">
        <v>40</v>
      </c>
      <c r="F905">
        <v>48</v>
      </c>
      <c r="G905">
        <v>40</v>
      </c>
      <c r="H905">
        <v>48</v>
      </c>
      <c r="I905">
        <v>62</v>
      </c>
      <c r="J905">
        <v>290</v>
      </c>
      <c r="K905">
        <v>48.33</v>
      </c>
      <c r="L905">
        <f t="shared" si="14"/>
        <v>4</v>
      </c>
    </row>
    <row r="906" spans="1:12">
      <c r="A906">
        <v>763</v>
      </c>
      <c r="B906" s="4" t="s">
        <v>3814</v>
      </c>
      <c r="C906" t="s">
        <v>2276</v>
      </c>
      <c r="D906">
        <v>72</v>
      </c>
      <c r="E906">
        <v>120</v>
      </c>
      <c r="F906">
        <v>98</v>
      </c>
      <c r="G906">
        <v>50</v>
      </c>
      <c r="H906">
        <v>98</v>
      </c>
      <c r="I906">
        <v>72</v>
      </c>
      <c r="J906">
        <v>510</v>
      </c>
      <c r="K906">
        <v>85</v>
      </c>
      <c r="L906">
        <f t="shared" si="14"/>
        <v>4</v>
      </c>
    </row>
    <row r="907" spans="1:12">
      <c r="A907">
        <v>764</v>
      </c>
      <c r="B907" s="4" t="s">
        <v>3815</v>
      </c>
      <c r="C907" t="s">
        <v>2269</v>
      </c>
      <c r="D907">
        <v>51</v>
      </c>
      <c r="E907">
        <v>52</v>
      </c>
      <c r="F907">
        <v>90</v>
      </c>
      <c r="G907">
        <v>82</v>
      </c>
      <c r="H907">
        <v>110</v>
      </c>
      <c r="I907">
        <v>100</v>
      </c>
      <c r="J907">
        <v>485</v>
      </c>
      <c r="K907">
        <v>80.83</v>
      </c>
      <c r="L907">
        <f t="shared" si="14"/>
        <v>4</v>
      </c>
    </row>
    <row r="908" spans="1:12">
      <c r="A908">
        <v>765</v>
      </c>
      <c r="B908" s="4" t="s">
        <v>3816</v>
      </c>
      <c r="C908" t="s">
        <v>2199</v>
      </c>
      <c r="D908">
        <v>90</v>
      </c>
      <c r="E908">
        <v>60</v>
      </c>
      <c r="F908">
        <v>80</v>
      </c>
      <c r="G908">
        <v>90</v>
      </c>
      <c r="H908">
        <v>110</v>
      </c>
      <c r="I908">
        <v>60</v>
      </c>
      <c r="J908">
        <v>490</v>
      </c>
      <c r="K908">
        <v>81.67</v>
      </c>
      <c r="L908">
        <f t="shared" si="14"/>
        <v>4</v>
      </c>
    </row>
    <row r="909" spans="1:12">
      <c r="A909">
        <v>766</v>
      </c>
      <c r="B909" s="4" t="s">
        <v>3817</v>
      </c>
      <c r="C909" t="s">
        <v>2200</v>
      </c>
      <c r="D909">
        <v>100</v>
      </c>
      <c r="E909">
        <v>120</v>
      </c>
      <c r="F909">
        <v>90</v>
      </c>
      <c r="G909">
        <v>40</v>
      </c>
      <c r="H909">
        <v>60</v>
      </c>
      <c r="I909">
        <v>80</v>
      </c>
      <c r="J909">
        <v>490</v>
      </c>
      <c r="K909">
        <v>81.67</v>
      </c>
      <c r="L909">
        <f t="shared" si="14"/>
        <v>4</v>
      </c>
    </row>
    <row r="910" spans="1:12">
      <c r="A910">
        <v>767</v>
      </c>
      <c r="B910" s="4" t="s">
        <v>3818</v>
      </c>
      <c r="C910" t="s">
        <v>2201</v>
      </c>
      <c r="D910">
        <v>25</v>
      </c>
      <c r="E910">
        <v>35</v>
      </c>
      <c r="F910">
        <v>40</v>
      </c>
      <c r="G910">
        <v>20</v>
      </c>
      <c r="H910">
        <v>30</v>
      </c>
      <c r="I910">
        <v>80</v>
      </c>
      <c r="J910">
        <v>230</v>
      </c>
      <c r="K910">
        <v>38.33</v>
      </c>
      <c r="L910">
        <f t="shared" si="14"/>
        <v>4</v>
      </c>
    </row>
    <row r="911" spans="1:12">
      <c r="A911">
        <v>768</v>
      </c>
      <c r="B911" s="4" t="s">
        <v>3819</v>
      </c>
      <c r="C911" t="s">
        <v>2202</v>
      </c>
      <c r="D911">
        <v>75</v>
      </c>
      <c r="E911">
        <v>125</v>
      </c>
      <c r="F911">
        <v>140</v>
      </c>
      <c r="G911">
        <v>60</v>
      </c>
      <c r="H911">
        <v>90</v>
      </c>
      <c r="I911">
        <v>40</v>
      </c>
      <c r="J911">
        <v>530</v>
      </c>
      <c r="K911">
        <v>88.33</v>
      </c>
      <c r="L911">
        <f t="shared" si="14"/>
        <v>4</v>
      </c>
    </row>
    <row r="912" spans="1:12">
      <c r="A912">
        <v>769</v>
      </c>
      <c r="B912" s="4" t="s">
        <v>3820</v>
      </c>
      <c r="C912" t="s">
        <v>2203</v>
      </c>
      <c r="D912">
        <v>55</v>
      </c>
      <c r="E912">
        <v>55</v>
      </c>
      <c r="F912">
        <v>80</v>
      </c>
      <c r="G912">
        <v>70</v>
      </c>
      <c r="H912">
        <v>45</v>
      </c>
      <c r="I912">
        <v>15</v>
      </c>
      <c r="J912">
        <v>320</v>
      </c>
      <c r="K912">
        <v>53.33</v>
      </c>
      <c r="L912">
        <f t="shared" si="14"/>
        <v>4</v>
      </c>
    </row>
    <row r="913" spans="1:12">
      <c r="A913">
        <v>770</v>
      </c>
      <c r="B913" s="4" t="s">
        <v>3821</v>
      </c>
      <c r="C913" t="s">
        <v>2204</v>
      </c>
      <c r="D913">
        <v>85</v>
      </c>
      <c r="E913">
        <v>75</v>
      </c>
      <c r="F913">
        <v>110</v>
      </c>
      <c r="G913">
        <v>100</v>
      </c>
      <c r="H913">
        <v>75</v>
      </c>
      <c r="I913">
        <v>35</v>
      </c>
      <c r="J913">
        <v>480</v>
      </c>
      <c r="K913">
        <v>80</v>
      </c>
      <c r="L913">
        <f t="shared" si="14"/>
        <v>4</v>
      </c>
    </row>
    <row r="914" spans="1:12">
      <c r="A914">
        <v>771</v>
      </c>
      <c r="B914" s="4" t="s">
        <v>3822</v>
      </c>
      <c r="C914" t="s">
        <v>2205</v>
      </c>
      <c r="D914">
        <v>55</v>
      </c>
      <c r="E914">
        <v>60</v>
      </c>
      <c r="F914">
        <v>130</v>
      </c>
      <c r="G914">
        <v>30</v>
      </c>
      <c r="H914">
        <v>130</v>
      </c>
      <c r="I914">
        <v>5</v>
      </c>
      <c r="J914">
        <v>410</v>
      </c>
      <c r="K914">
        <v>68.33</v>
      </c>
      <c r="L914">
        <f t="shared" si="14"/>
        <v>4</v>
      </c>
    </row>
    <row r="915" spans="1:12">
      <c r="A915">
        <v>772</v>
      </c>
      <c r="B915" s="4" t="s">
        <v>3823</v>
      </c>
      <c r="C915" t="s">
        <v>2290</v>
      </c>
      <c r="D915">
        <v>95</v>
      </c>
      <c r="E915">
        <v>95</v>
      </c>
      <c r="F915">
        <v>95</v>
      </c>
      <c r="G915">
        <v>95</v>
      </c>
      <c r="H915">
        <v>95</v>
      </c>
      <c r="I915">
        <v>59</v>
      </c>
      <c r="J915">
        <v>534</v>
      </c>
      <c r="K915">
        <v>89</v>
      </c>
      <c r="L915">
        <f t="shared" si="14"/>
        <v>4</v>
      </c>
    </row>
    <row r="916" spans="1:12">
      <c r="A916">
        <v>773</v>
      </c>
      <c r="B916" s="4" t="s">
        <v>3824</v>
      </c>
      <c r="C916" t="s">
        <v>2291</v>
      </c>
      <c r="D916">
        <v>95</v>
      </c>
      <c r="E916">
        <v>95</v>
      </c>
      <c r="F916">
        <v>95</v>
      </c>
      <c r="G916">
        <v>95</v>
      </c>
      <c r="H916">
        <v>95</v>
      </c>
      <c r="I916">
        <v>95</v>
      </c>
      <c r="J916">
        <v>570</v>
      </c>
      <c r="K916">
        <v>95</v>
      </c>
      <c r="L916">
        <f t="shared" si="14"/>
        <v>4</v>
      </c>
    </row>
    <row r="917" spans="1:12">
      <c r="A917">
        <v>774</v>
      </c>
      <c r="B917" s="4" t="s">
        <v>3825</v>
      </c>
      <c r="C917" t="s">
        <v>2758</v>
      </c>
      <c r="D917">
        <v>60</v>
      </c>
      <c r="E917">
        <v>60</v>
      </c>
      <c r="F917">
        <v>100</v>
      </c>
      <c r="G917">
        <v>60</v>
      </c>
      <c r="H917">
        <v>100</v>
      </c>
      <c r="I917">
        <v>60</v>
      </c>
      <c r="J917">
        <v>440</v>
      </c>
      <c r="K917">
        <v>73.33</v>
      </c>
      <c r="L917">
        <f t="shared" si="14"/>
        <v>4</v>
      </c>
    </row>
    <row r="918" spans="1:12">
      <c r="A918">
        <v>774</v>
      </c>
      <c r="B918" s="131" t="s">
        <v>2734</v>
      </c>
      <c r="C918" t="s">
        <v>2759</v>
      </c>
      <c r="D918">
        <v>60</v>
      </c>
      <c r="E918">
        <v>100</v>
      </c>
      <c r="F918">
        <v>60</v>
      </c>
      <c r="G918">
        <v>100</v>
      </c>
      <c r="H918">
        <v>60</v>
      </c>
      <c r="I918">
        <v>120</v>
      </c>
      <c r="J918">
        <v>500</v>
      </c>
      <c r="K918">
        <v>83.33</v>
      </c>
      <c r="L918">
        <f t="shared" si="14"/>
        <v>4</v>
      </c>
    </row>
    <row r="919" spans="1:12">
      <c r="A919">
        <v>775</v>
      </c>
      <c r="B919" s="4" t="s">
        <v>3826</v>
      </c>
      <c r="C919" t="s">
        <v>2206</v>
      </c>
      <c r="D919">
        <v>65</v>
      </c>
      <c r="E919">
        <v>115</v>
      </c>
      <c r="F919">
        <v>65</v>
      </c>
      <c r="G919">
        <v>75</v>
      </c>
      <c r="H919">
        <v>95</v>
      </c>
      <c r="I919">
        <v>65</v>
      </c>
      <c r="J919">
        <v>480</v>
      </c>
      <c r="K919">
        <v>80</v>
      </c>
      <c r="L919">
        <f t="shared" si="14"/>
        <v>4</v>
      </c>
    </row>
    <row r="920" spans="1:12">
      <c r="A920">
        <v>776</v>
      </c>
      <c r="B920" s="4" t="s">
        <v>3827</v>
      </c>
      <c r="C920" t="s">
        <v>2207</v>
      </c>
      <c r="D920">
        <v>60</v>
      </c>
      <c r="E920">
        <v>78</v>
      </c>
      <c r="F920">
        <v>135</v>
      </c>
      <c r="G920">
        <v>91</v>
      </c>
      <c r="H920">
        <v>85</v>
      </c>
      <c r="I920">
        <v>36</v>
      </c>
      <c r="J920">
        <v>485</v>
      </c>
      <c r="K920">
        <v>80.83</v>
      </c>
      <c r="L920">
        <f t="shared" si="14"/>
        <v>4</v>
      </c>
    </row>
    <row r="921" spans="1:12">
      <c r="A921">
        <v>777</v>
      </c>
      <c r="B921" s="4" t="s">
        <v>3828</v>
      </c>
      <c r="C921" t="s">
        <v>2208</v>
      </c>
      <c r="D921">
        <v>65</v>
      </c>
      <c r="E921">
        <v>98</v>
      </c>
      <c r="F921">
        <v>63</v>
      </c>
      <c r="G921">
        <v>40</v>
      </c>
      <c r="H921">
        <v>73</v>
      </c>
      <c r="I921">
        <v>96</v>
      </c>
      <c r="J921">
        <v>435</v>
      </c>
      <c r="K921">
        <v>72.5</v>
      </c>
      <c r="L921">
        <f t="shared" si="14"/>
        <v>4</v>
      </c>
    </row>
    <row r="922" spans="1:12">
      <c r="A922">
        <v>778</v>
      </c>
      <c r="B922" s="4" t="s">
        <v>3829</v>
      </c>
      <c r="C922" t="s">
        <v>2209</v>
      </c>
      <c r="D922">
        <v>55</v>
      </c>
      <c r="E922">
        <v>90</v>
      </c>
      <c r="F922">
        <v>80</v>
      </c>
      <c r="G922">
        <v>50</v>
      </c>
      <c r="H922">
        <v>105</v>
      </c>
      <c r="I922">
        <v>96</v>
      </c>
      <c r="J922">
        <v>476</v>
      </c>
      <c r="K922">
        <v>79.33</v>
      </c>
      <c r="L922">
        <f t="shared" si="14"/>
        <v>4</v>
      </c>
    </row>
    <row r="923" spans="1:12">
      <c r="A923">
        <v>779</v>
      </c>
      <c r="B923" s="4" t="s">
        <v>3830</v>
      </c>
      <c r="C923" t="s">
        <v>2210</v>
      </c>
      <c r="D923">
        <v>68</v>
      </c>
      <c r="E923">
        <v>105</v>
      </c>
      <c r="F923">
        <v>70</v>
      </c>
      <c r="G923">
        <v>70</v>
      </c>
      <c r="H923">
        <v>70</v>
      </c>
      <c r="I923">
        <v>92</v>
      </c>
      <c r="J923">
        <v>475</v>
      </c>
      <c r="K923">
        <v>79.17</v>
      </c>
      <c r="L923">
        <f t="shared" si="14"/>
        <v>4</v>
      </c>
    </row>
    <row r="924" spans="1:12">
      <c r="A924">
        <v>780</v>
      </c>
      <c r="B924" s="4" t="s">
        <v>3831</v>
      </c>
      <c r="C924" t="s">
        <v>2211</v>
      </c>
      <c r="D924">
        <v>78</v>
      </c>
      <c r="E924">
        <v>60</v>
      </c>
      <c r="F924">
        <v>85</v>
      </c>
      <c r="G924">
        <v>135</v>
      </c>
      <c r="H924">
        <v>91</v>
      </c>
      <c r="I924">
        <v>36</v>
      </c>
      <c r="J924">
        <v>485</v>
      </c>
      <c r="K924">
        <v>80.83</v>
      </c>
      <c r="L924">
        <f t="shared" si="14"/>
        <v>4</v>
      </c>
    </row>
    <row r="925" spans="1:12">
      <c r="A925">
        <v>781</v>
      </c>
      <c r="B925" s="4" t="s">
        <v>3832</v>
      </c>
      <c r="C925" t="s">
        <v>2283</v>
      </c>
      <c r="D925">
        <v>70</v>
      </c>
      <c r="E925">
        <v>131</v>
      </c>
      <c r="F925">
        <v>100</v>
      </c>
      <c r="G925">
        <v>86</v>
      </c>
      <c r="H925">
        <v>90</v>
      </c>
      <c r="I925">
        <v>40</v>
      </c>
      <c r="J925">
        <v>517</v>
      </c>
      <c r="K925">
        <v>86.17</v>
      </c>
      <c r="L925">
        <f t="shared" si="14"/>
        <v>4</v>
      </c>
    </row>
    <row r="926" spans="1:12">
      <c r="A926">
        <v>782</v>
      </c>
      <c r="B926" s="4" t="s">
        <v>3833</v>
      </c>
      <c r="C926" t="s">
        <v>2212</v>
      </c>
      <c r="D926">
        <v>45</v>
      </c>
      <c r="E926">
        <v>55</v>
      </c>
      <c r="F926">
        <v>65</v>
      </c>
      <c r="G926">
        <v>45</v>
      </c>
      <c r="H926">
        <v>45</v>
      </c>
      <c r="I926">
        <v>45</v>
      </c>
      <c r="J926">
        <v>300</v>
      </c>
      <c r="K926">
        <v>50</v>
      </c>
      <c r="L926">
        <f t="shared" si="14"/>
        <v>4</v>
      </c>
    </row>
    <row r="927" spans="1:12">
      <c r="A927">
        <v>783</v>
      </c>
      <c r="B927" s="4" t="s">
        <v>3834</v>
      </c>
      <c r="C927" t="s">
        <v>2213</v>
      </c>
      <c r="D927">
        <v>55</v>
      </c>
      <c r="E927">
        <v>75</v>
      </c>
      <c r="F927">
        <v>90</v>
      </c>
      <c r="G927">
        <v>65</v>
      </c>
      <c r="H927">
        <v>70</v>
      </c>
      <c r="I927">
        <v>65</v>
      </c>
      <c r="J927">
        <v>420</v>
      </c>
      <c r="K927">
        <v>70</v>
      </c>
      <c r="L927">
        <f t="shared" si="14"/>
        <v>4</v>
      </c>
    </row>
    <row r="928" spans="1:12">
      <c r="A928">
        <v>784</v>
      </c>
      <c r="B928" s="4" t="s">
        <v>3835</v>
      </c>
      <c r="C928" t="s">
        <v>2214</v>
      </c>
      <c r="D928">
        <v>75</v>
      </c>
      <c r="E928">
        <v>110</v>
      </c>
      <c r="F928">
        <v>125</v>
      </c>
      <c r="G928">
        <v>100</v>
      </c>
      <c r="H928">
        <v>105</v>
      </c>
      <c r="I928">
        <v>85</v>
      </c>
      <c r="J928">
        <v>600</v>
      </c>
      <c r="K928">
        <v>100</v>
      </c>
      <c r="L928">
        <f t="shared" si="14"/>
        <v>4</v>
      </c>
    </row>
    <row r="929" spans="1:12">
      <c r="A929">
        <v>785</v>
      </c>
      <c r="B929" s="4" t="s">
        <v>3836</v>
      </c>
      <c r="C929" t="s">
        <v>2292</v>
      </c>
      <c r="D929">
        <v>70</v>
      </c>
      <c r="E929">
        <v>115</v>
      </c>
      <c r="F929">
        <v>85</v>
      </c>
      <c r="G929">
        <v>95</v>
      </c>
      <c r="H929">
        <v>75</v>
      </c>
      <c r="I929">
        <v>130</v>
      </c>
      <c r="J929">
        <v>570</v>
      </c>
      <c r="K929">
        <v>95</v>
      </c>
      <c r="L929">
        <f t="shared" si="14"/>
        <v>4</v>
      </c>
    </row>
    <row r="930" spans="1:12">
      <c r="A930">
        <v>786</v>
      </c>
      <c r="B930" s="4" t="s">
        <v>3837</v>
      </c>
      <c r="C930" t="s">
        <v>2293</v>
      </c>
      <c r="D930">
        <v>70</v>
      </c>
      <c r="E930">
        <v>85</v>
      </c>
      <c r="F930">
        <v>75</v>
      </c>
      <c r="G930">
        <v>130</v>
      </c>
      <c r="H930">
        <v>115</v>
      </c>
      <c r="I930">
        <v>95</v>
      </c>
      <c r="J930">
        <v>570</v>
      </c>
      <c r="K930">
        <v>95</v>
      </c>
      <c r="L930">
        <f t="shared" si="14"/>
        <v>4</v>
      </c>
    </row>
    <row r="931" spans="1:12">
      <c r="A931">
        <v>787</v>
      </c>
      <c r="B931" s="4" t="s">
        <v>3838</v>
      </c>
      <c r="C931" t="s">
        <v>2294</v>
      </c>
      <c r="D931">
        <v>70</v>
      </c>
      <c r="E931">
        <v>130</v>
      </c>
      <c r="F931">
        <v>115</v>
      </c>
      <c r="G931">
        <v>85</v>
      </c>
      <c r="H931">
        <v>95</v>
      </c>
      <c r="I931">
        <v>75</v>
      </c>
      <c r="J931">
        <v>570</v>
      </c>
      <c r="K931">
        <v>95</v>
      </c>
      <c r="L931">
        <f t="shared" si="14"/>
        <v>4</v>
      </c>
    </row>
    <row r="932" spans="1:12">
      <c r="A932">
        <v>788</v>
      </c>
      <c r="B932" s="4" t="s">
        <v>3839</v>
      </c>
      <c r="C932" t="s">
        <v>2295</v>
      </c>
      <c r="D932">
        <v>70</v>
      </c>
      <c r="E932">
        <v>75</v>
      </c>
      <c r="F932">
        <v>115</v>
      </c>
      <c r="G932">
        <v>95</v>
      </c>
      <c r="H932">
        <v>130</v>
      </c>
      <c r="I932">
        <v>85</v>
      </c>
      <c r="J932">
        <v>570</v>
      </c>
      <c r="K932">
        <v>95</v>
      </c>
      <c r="L932">
        <f t="shared" si="14"/>
        <v>4</v>
      </c>
    </row>
    <row r="933" spans="1:12">
      <c r="A933">
        <v>789</v>
      </c>
      <c r="B933" s="4" t="s">
        <v>3840</v>
      </c>
      <c r="C933" t="s">
        <v>2296</v>
      </c>
      <c r="D933">
        <v>43</v>
      </c>
      <c r="E933">
        <v>29</v>
      </c>
      <c r="F933">
        <v>31</v>
      </c>
      <c r="G933">
        <v>29</v>
      </c>
      <c r="H933">
        <v>31</v>
      </c>
      <c r="I933">
        <v>37</v>
      </c>
      <c r="J933">
        <v>200</v>
      </c>
      <c r="K933">
        <v>33.33</v>
      </c>
      <c r="L933">
        <f t="shared" si="14"/>
        <v>4</v>
      </c>
    </row>
    <row r="934" spans="1:12">
      <c r="A934">
        <v>790</v>
      </c>
      <c r="B934" s="4" t="s">
        <v>3841</v>
      </c>
      <c r="C934" t="s">
        <v>2297</v>
      </c>
      <c r="D934">
        <v>43</v>
      </c>
      <c r="E934">
        <v>29</v>
      </c>
      <c r="F934">
        <v>131</v>
      </c>
      <c r="G934">
        <v>29</v>
      </c>
      <c r="H934">
        <v>131</v>
      </c>
      <c r="I934">
        <v>37</v>
      </c>
      <c r="J934">
        <v>400</v>
      </c>
      <c r="K934">
        <v>66.67</v>
      </c>
      <c r="L934">
        <f t="shared" si="14"/>
        <v>4</v>
      </c>
    </row>
    <row r="935" spans="1:12">
      <c r="A935">
        <v>791</v>
      </c>
      <c r="B935" s="4" t="s">
        <v>3842</v>
      </c>
      <c r="C935" t="s">
        <v>2298</v>
      </c>
      <c r="D935">
        <v>137</v>
      </c>
      <c r="E935">
        <v>137</v>
      </c>
      <c r="F935">
        <v>107</v>
      </c>
      <c r="G935">
        <v>113</v>
      </c>
      <c r="H935">
        <v>89</v>
      </c>
      <c r="I935">
        <v>97</v>
      </c>
      <c r="J935">
        <v>680</v>
      </c>
      <c r="K935">
        <v>113.33</v>
      </c>
      <c r="L935">
        <f t="shared" si="14"/>
        <v>4</v>
      </c>
    </row>
    <row r="936" spans="1:12">
      <c r="A936">
        <v>792</v>
      </c>
      <c r="B936" s="4" t="s">
        <v>3843</v>
      </c>
      <c r="C936" t="s">
        <v>2299</v>
      </c>
      <c r="D936">
        <v>137</v>
      </c>
      <c r="E936">
        <v>113</v>
      </c>
      <c r="F936">
        <v>89</v>
      </c>
      <c r="G936">
        <v>137</v>
      </c>
      <c r="H936">
        <v>107</v>
      </c>
      <c r="I936">
        <v>97</v>
      </c>
      <c r="J936">
        <v>680</v>
      </c>
      <c r="K936">
        <v>113.33</v>
      </c>
      <c r="L936">
        <f t="shared" si="14"/>
        <v>4</v>
      </c>
    </row>
    <row r="937" spans="1:12">
      <c r="A937">
        <v>793</v>
      </c>
      <c r="B937" s="4" t="s">
        <v>3844</v>
      </c>
      <c r="C937" t="s">
        <v>2300</v>
      </c>
      <c r="D937">
        <v>109</v>
      </c>
      <c r="E937">
        <v>53</v>
      </c>
      <c r="F937">
        <v>47</v>
      </c>
      <c r="G937">
        <v>127</v>
      </c>
      <c r="H937">
        <v>131</v>
      </c>
      <c r="I937">
        <v>103</v>
      </c>
      <c r="J937">
        <v>570</v>
      </c>
      <c r="K937">
        <v>95</v>
      </c>
      <c r="L937">
        <f t="shared" si="14"/>
        <v>4</v>
      </c>
    </row>
    <row r="938" spans="1:12">
      <c r="A938">
        <v>794</v>
      </c>
      <c r="B938" s="4" t="s">
        <v>3845</v>
      </c>
      <c r="C938" t="s">
        <v>2301</v>
      </c>
      <c r="D938">
        <v>107</v>
      </c>
      <c r="E938">
        <v>139</v>
      </c>
      <c r="F938">
        <v>139</v>
      </c>
      <c r="G938">
        <v>53</v>
      </c>
      <c r="H938">
        <v>53</v>
      </c>
      <c r="I938">
        <v>79</v>
      </c>
      <c r="J938">
        <v>570</v>
      </c>
      <c r="K938">
        <v>95</v>
      </c>
      <c r="L938">
        <f t="shared" si="14"/>
        <v>4</v>
      </c>
    </row>
    <row r="939" spans="1:12">
      <c r="A939">
        <v>795</v>
      </c>
      <c r="B939" s="4" t="s">
        <v>3846</v>
      </c>
      <c r="C939" t="s">
        <v>2302</v>
      </c>
      <c r="D939">
        <v>71</v>
      </c>
      <c r="E939">
        <v>137</v>
      </c>
      <c r="F939">
        <v>37</v>
      </c>
      <c r="G939">
        <v>137</v>
      </c>
      <c r="H939">
        <v>37</v>
      </c>
      <c r="I939">
        <v>151</v>
      </c>
      <c r="J939">
        <v>570</v>
      </c>
      <c r="K939">
        <v>95</v>
      </c>
      <c r="L939">
        <f t="shared" si="14"/>
        <v>4</v>
      </c>
    </row>
    <row r="940" spans="1:12">
      <c r="A940">
        <v>796</v>
      </c>
      <c r="B940" s="4" t="s">
        <v>3847</v>
      </c>
      <c r="C940" t="s">
        <v>2303</v>
      </c>
      <c r="D940">
        <v>83</v>
      </c>
      <c r="E940">
        <v>89</v>
      </c>
      <c r="F940">
        <v>71</v>
      </c>
      <c r="G940">
        <v>173</v>
      </c>
      <c r="H940">
        <v>71</v>
      </c>
      <c r="I940">
        <v>83</v>
      </c>
      <c r="J940">
        <v>570</v>
      </c>
      <c r="K940">
        <v>95</v>
      </c>
      <c r="L940">
        <f t="shared" si="14"/>
        <v>4</v>
      </c>
    </row>
    <row r="941" spans="1:12">
      <c r="A941">
        <v>797</v>
      </c>
      <c r="B941" s="4" t="s">
        <v>3848</v>
      </c>
      <c r="C941" t="s">
        <v>2304</v>
      </c>
      <c r="D941">
        <v>97</v>
      </c>
      <c r="E941">
        <v>101</v>
      </c>
      <c r="F941">
        <v>103</v>
      </c>
      <c r="G941">
        <v>107</v>
      </c>
      <c r="H941">
        <v>101</v>
      </c>
      <c r="I941">
        <v>61</v>
      </c>
      <c r="J941">
        <v>570</v>
      </c>
      <c r="K941">
        <v>95</v>
      </c>
      <c r="L941">
        <f t="shared" si="14"/>
        <v>4</v>
      </c>
    </row>
    <row r="942" spans="1:12">
      <c r="A942">
        <v>798</v>
      </c>
      <c r="B942" s="4" t="s">
        <v>3849</v>
      </c>
      <c r="C942" t="s">
        <v>2305</v>
      </c>
      <c r="D942">
        <v>59</v>
      </c>
      <c r="E942">
        <v>181</v>
      </c>
      <c r="F942">
        <v>131</v>
      </c>
      <c r="G942">
        <v>59</v>
      </c>
      <c r="H942">
        <v>31</v>
      </c>
      <c r="I942">
        <v>109</v>
      </c>
      <c r="J942">
        <v>570</v>
      </c>
      <c r="K942">
        <v>95</v>
      </c>
      <c r="L942">
        <f t="shared" si="14"/>
        <v>4</v>
      </c>
    </row>
    <row r="943" spans="1:12">
      <c r="A943">
        <v>799</v>
      </c>
      <c r="B943" s="4" t="s">
        <v>3850</v>
      </c>
      <c r="C943" t="s">
        <v>2306</v>
      </c>
      <c r="D943">
        <v>223</v>
      </c>
      <c r="E943">
        <v>101</v>
      </c>
      <c r="F943">
        <v>53</v>
      </c>
      <c r="G943">
        <v>97</v>
      </c>
      <c r="H943">
        <v>53</v>
      </c>
      <c r="I943">
        <v>43</v>
      </c>
      <c r="J943">
        <v>570</v>
      </c>
      <c r="K943">
        <v>95</v>
      </c>
      <c r="L943">
        <f t="shared" si="14"/>
        <v>4</v>
      </c>
    </row>
    <row r="944" spans="1:12">
      <c r="A944">
        <v>800</v>
      </c>
      <c r="B944" s="4" t="s">
        <v>3851</v>
      </c>
      <c r="C944" t="s">
        <v>2307</v>
      </c>
      <c r="D944">
        <v>97</v>
      </c>
      <c r="E944">
        <v>107</v>
      </c>
      <c r="F944">
        <v>101</v>
      </c>
      <c r="G944">
        <v>127</v>
      </c>
      <c r="H944">
        <v>89</v>
      </c>
      <c r="I944">
        <v>79</v>
      </c>
      <c r="J944">
        <v>600</v>
      </c>
      <c r="K944">
        <v>100</v>
      </c>
      <c r="L944">
        <f t="shared" si="14"/>
        <v>4</v>
      </c>
    </row>
    <row r="945" spans="1:12">
      <c r="A945">
        <v>800</v>
      </c>
      <c r="B945" s="131" t="s">
        <v>3960</v>
      </c>
      <c r="C945" t="s">
        <v>2760</v>
      </c>
      <c r="D945">
        <v>97</v>
      </c>
      <c r="E945">
        <v>157</v>
      </c>
      <c r="F945">
        <v>127</v>
      </c>
      <c r="G945">
        <v>113</v>
      </c>
      <c r="H945">
        <v>109</v>
      </c>
      <c r="I945">
        <v>77</v>
      </c>
      <c r="J945">
        <v>680</v>
      </c>
      <c r="K945">
        <v>113.33</v>
      </c>
      <c r="L945">
        <f t="shared" si="14"/>
        <v>4</v>
      </c>
    </row>
    <row r="946" spans="1:12">
      <c r="A946">
        <v>800</v>
      </c>
      <c r="B946" s="131" t="s">
        <v>3961</v>
      </c>
      <c r="C946" t="s">
        <v>2761</v>
      </c>
      <c r="D946">
        <v>97</v>
      </c>
      <c r="E946">
        <v>113</v>
      </c>
      <c r="F946">
        <v>109</v>
      </c>
      <c r="G946">
        <v>157</v>
      </c>
      <c r="H946">
        <v>127</v>
      </c>
      <c r="I946">
        <v>77</v>
      </c>
      <c r="J946">
        <v>680</v>
      </c>
      <c r="K946">
        <v>113.33</v>
      </c>
      <c r="L946">
        <f t="shared" si="14"/>
        <v>4</v>
      </c>
    </row>
    <row r="947" spans="1:12">
      <c r="A947">
        <v>800</v>
      </c>
      <c r="B947" s="131" t="s">
        <v>2735</v>
      </c>
      <c r="C947" t="s">
        <v>2762</v>
      </c>
      <c r="D947">
        <v>97</v>
      </c>
      <c r="E947">
        <v>167</v>
      </c>
      <c r="F947">
        <v>97</v>
      </c>
      <c r="G947">
        <v>167</v>
      </c>
      <c r="H947">
        <v>97</v>
      </c>
      <c r="I947">
        <v>129</v>
      </c>
      <c r="J947">
        <v>754</v>
      </c>
      <c r="K947">
        <v>125.67</v>
      </c>
      <c r="L947">
        <f t="shared" si="14"/>
        <v>4</v>
      </c>
    </row>
    <row r="948" spans="1:12">
      <c r="A948">
        <v>801</v>
      </c>
      <c r="B948" s="4" t="s">
        <v>3852</v>
      </c>
      <c r="C948" t="s">
        <v>2308</v>
      </c>
      <c r="D948">
        <v>80</v>
      </c>
      <c r="E948">
        <v>95</v>
      </c>
      <c r="F948">
        <v>115</v>
      </c>
      <c r="G948">
        <v>130</v>
      </c>
      <c r="H948">
        <v>115</v>
      </c>
      <c r="I948">
        <v>65</v>
      </c>
      <c r="J948">
        <v>600</v>
      </c>
      <c r="K948">
        <v>100</v>
      </c>
      <c r="L948">
        <f t="shared" si="14"/>
        <v>4</v>
      </c>
    </row>
    <row r="949" spans="1:12">
      <c r="A949">
        <v>802</v>
      </c>
      <c r="B949" s="4" t="s">
        <v>3853</v>
      </c>
      <c r="C949" t="s">
        <v>2309</v>
      </c>
      <c r="D949">
        <v>90</v>
      </c>
      <c r="E949">
        <v>125</v>
      </c>
      <c r="F949">
        <v>80</v>
      </c>
      <c r="G949">
        <v>90</v>
      </c>
      <c r="H949">
        <v>90</v>
      </c>
      <c r="I949">
        <v>125</v>
      </c>
      <c r="J949">
        <v>600</v>
      </c>
      <c r="K949">
        <v>100</v>
      </c>
      <c r="L949">
        <f t="shared" si="14"/>
        <v>4</v>
      </c>
    </row>
    <row r="950" spans="1:12">
      <c r="A950">
        <v>803</v>
      </c>
      <c r="B950" s="4" t="s">
        <v>3854</v>
      </c>
      <c r="C950" t="s">
        <v>2310</v>
      </c>
      <c r="D950">
        <v>67</v>
      </c>
      <c r="E950">
        <v>73</v>
      </c>
      <c r="F950">
        <v>67</v>
      </c>
      <c r="G950">
        <v>73</v>
      </c>
      <c r="H950">
        <v>67</v>
      </c>
      <c r="I950">
        <v>73</v>
      </c>
      <c r="J950">
        <v>420</v>
      </c>
      <c r="K950">
        <v>70</v>
      </c>
      <c r="L950">
        <f t="shared" si="14"/>
        <v>4</v>
      </c>
    </row>
    <row r="951" spans="1:12">
      <c r="A951">
        <v>804</v>
      </c>
      <c r="B951" s="4" t="s">
        <v>3855</v>
      </c>
      <c r="C951" t="s">
        <v>2311</v>
      </c>
      <c r="D951">
        <v>73</v>
      </c>
      <c r="E951">
        <v>73</v>
      </c>
      <c r="F951">
        <v>73</v>
      </c>
      <c r="G951">
        <v>127</v>
      </c>
      <c r="H951">
        <v>73</v>
      </c>
      <c r="I951">
        <v>121</v>
      </c>
      <c r="J951">
        <v>540</v>
      </c>
      <c r="K951">
        <v>90</v>
      </c>
      <c r="L951">
        <f t="shared" si="14"/>
        <v>4</v>
      </c>
    </row>
    <row r="952" spans="1:12">
      <c r="A952">
        <v>805</v>
      </c>
      <c r="B952" s="4" t="s">
        <v>3856</v>
      </c>
      <c r="C952" t="s">
        <v>2312</v>
      </c>
      <c r="D952">
        <v>61</v>
      </c>
      <c r="E952">
        <v>131</v>
      </c>
      <c r="F952">
        <v>211</v>
      </c>
      <c r="G952">
        <v>53</v>
      </c>
      <c r="H952">
        <v>101</v>
      </c>
      <c r="I952">
        <v>13</v>
      </c>
      <c r="J952">
        <v>570</v>
      </c>
      <c r="K952">
        <v>95</v>
      </c>
      <c r="L952">
        <f t="shared" si="14"/>
        <v>4</v>
      </c>
    </row>
    <row r="953" spans="1:12">
      <c r="A953">
        <v>806</v>
      </c>
      <c r="B953" s="4" t="s">
        <v>3857</v>
      </c>
      <c r="C953" t="s">
        <v>2313</v>
      </c>
      <c r="D953">
        <v>53</v>
      </c>
      <c r="E953">
        <v>127</v>
      </c>
      <c r="F953">
        <v>53</v>
      </c>
      <c r="G953">
        <v>151</v>
      </c>
      <c r="H953">
        <v>79</v>
      </c>
      <c r="I953">
        <v>107</v>
      </c>
      <c r="J953">
        <v>570</v>
      </c>
      <c r="K953">
        <v>95</v>
      </c>
      <c r="L953">
        <f t="shared" si="14"/>
        <v>4</v>
      </c>
    </row>
    <row r="954" spans="1:12">
      <c r="A954">
        <v>807</v>
      </c>
      <c r="B954" s="4" t="s">
        <v>3858</v>
      </c>
      <c r="C954" t="s">
        <v>2314</v>
      </c>
      <c r="D954">
        <v>88</v>
      </c>
      <c r="E954">
        <v>112</v>
      </c>
      <c r="F954">
        <v>75</v>
      </c>
      <c r="G954">
        <v>102</v>
      </c>
      <c r="H954">
        <v>80</v>
      </c>
      <c r="I954">
        <v>143</v>
      </c>
      <c r="J954">
        <v>600</v>
      </c>
      <c r="K954">
        <v>100</v>
      </c>
      <c r="L954">
        <f t="shared" si="14"/>
        <v>4</v>
      </c>
    </row>
    <row r="955" spans="1:12">
      <c r="A955">
        <v>808</v>
      </c>
      <c r="B955" s="4" t="s">
        <v>3859</v>
      </c>
      <c r="C955" t="s">
        <v>2315</v>
      </c>
      <c r="D955">
        <v>46</v>
      </c>
      <c r="E955">
        <v>65</v>
      </c>
      <c r="F955">
        <v>65</v>
      </c>
      <c r="G955">
        <v>55</v>
      </c>
      <c r="H955">
        <v>35</v>
      </c>
      <c r="I955">
        <v>34</v>
      </c>
      <c r="J955">
        <v>300</v>
      </c>
      <c r="K955">
        <v>50</v>
      </c>
      <c r="L955">
        <f t="shared" si="14"/>
        <v>4</v>
      </c>
    </row>
    <row r="956" spans="1:12">
      <c r="A956">
        <v>809</v>
      </c>
      <c r="B956" s="4" t="s">
        <v>3860</v>
      </c>
      <c r="C956" t="s">
        <v>2316</v>
      </c>
      <c r="D956">
        <v>135</v>
      </c>
      <c r="E956">
        <v>143</v>
      </c>
      <c r="F956">
        <v>143</v>
      </c>
      <c r="G956">
        <v>80</v>
      </c>
      <c r="H956">
        <v>65</v>
      </c>
      <c r="I956">
        <v>34</v>
      </c>
      <c r="J956">
        <v>600</v>
      </c>
      <c r="K956">
        <v>100</v>
      </c>
      <c r="L956">
        <f t="shared" si="14"/>
        <v>4</v>
      </c>
    </row>
    <row r="957" spans="1:12">
      <c r="A957">
        <v>810</v>
      </c>
      <c r="B957" s="4" t="s">
        <v>3861</v>
      </c>
      <c r="C957" t="s">
        <v>2157</v>
      </c>
      <c r="D957">
        <v>50</v>
      </c>
      <c r="E957">
        <v>65</v>
      </c>
      <c r="F957">
        <v>50</v>
      </c>
      <c r="G957">
        <v>40</v>
      </c>
      <c r="H957">
        <v>40</v>
      </c>
      <c r="I957">
        <v>65</v>
      </c>
      <c r="J957">
        <v>310</v>
      </c>
      <c r="K957">
        <v>51.67</v>
      </c>
      <c r="L957">
        <f t="shared" si="14"/>
        <v>4</v>
      </c>
    </row>
    <row r="958" spans="1:12">
      <c r="A958">
        <v>811</v>
      </c>
      <c r="B958" s="4" t="s">
        <v>3862</v>
      </c>
      <c r="C958" t="s">
        <v>2158</v>
      </c>
      <c r="D958">
        <v>70</v>
      </c>
      <c r="E958">
        <v>85</v>
      </c>
      <c r="F958">
        <v>70</v>
      </c>
      <c r="G958">
        <v>55</v>
      </c>
      <c r="H958">
        <v>60</v>
      </c>
      <c r="I958">
        <v>80</v>
      </c>
      <c r="J958">
        <v>420</v>
      </c>
      <c r="K958">
        <v>70</v>
      </c>
      <c r="L958">
        <f t="shared" si="14"/>
        <v>4</v>
      </c>
    </row>
    <row r="959" spans="1:12">
      <c r="A959">
        <v>812</v>
      </c>
      <c r="B959" s="4" t="s">
        <v>3863</v>
      </c>
      <c r="C959" t="s">
        <v>2159</v>
      </c>
      <c r="D959">
        <v>100</v>
      </c>
      <c r="E959">
        <v>125</v>
      </c>
      <c r="F959">
        <v>90</v>
      </c>
      <c r="G959">
        <v>60</v>
      </c>
      <c r="H959">
        <v>70</v>
      </c>
      <c r="I959">
        <v>85</v>
      </c>
      <c r="J959">
        <v>530</v>
      </c>
      <c r="K959">
        <v>88.33</v>
      </c>
      <c r="L959">
        <f t="shared" si="14"/>
        <v>4</v>
      </c>
    </row>
    <row r="960" spans="1:12">
      <c r="A960">
        <v>813</v>
      </c>
      <c r="B960" s="4" t="s">
        <v>3864</v>
      </c>
      <c r="C960" t="s">
        <v>2160</v>
      </c>
      <c r="D960">
        <v>50</v>
      </c>
      <c r="E960">
        <v>71</v>
      </c>
      <c r="F960">
        <v>40</v>
      </c>
      <c r="G960">
        <v>40</v>
      </c>
      <c r="H960">
        <v>40</v>
      </c>
      <c r="I960">
        <v>69</v>
      </c>
      <c r="J960">
        <v>310</v>
      </c>
      <c r="K960">
        <v>51.67</v>
      </c>
      <c r="L960">
        <f t="shared" si="14"/>
        <v>4</v>
      </c>
    </row>
    <row r="961" spans="1:12">
      <c r="A961">
        <v>814</v>
      </c>
      <c r="B961" s="4" t="s">
        <v>3865</v>
      </c>
      <c r="C961" t="s">
        <v>2161</v>
      </c>
      <c r="D961">
        <v>65</v>
      </c>
      <c r="E961">
        <v>86</v>
      </c>
      <c r="F961">
        <v>60</v>
      </c>
      <c r="G961">
        <v>55</v>
      </c>
      <c r="H961">
        <v>60</v>
      </c>
      <c r="I961">
        <v>94</v>
      </c>
      <c r="J961">
        <v>420</v>
      </c>
      <c r="K961">
        <v>70</v>
      </c>
      <c r="L961">
        <f t="shared" si="14"/>
        <v>4</v>
      </c>
    </row>
    <row r="962" spans="1:12">
      <c r="A962">
        <v>815</v>
      </c>
      <c r="B962" s="4" t="s">
        <v>3866</v>
      </c>
      <c r="C962" t="s">
        <v>2162</v>
      </c>
      <c r="D962">
        <v>80</v>
      </c>
      <c r="E962">
        <v>116</v>
      </c>
      <c r="F962">
        <v>75</v>
      </c>
      <c r="G962">
        <v>65</v>
      </c>
      <c r="H962">
        <v>75</v>
      </c>
      <c r="I962">
        <v>119</v>
      </c>
      <c r="J962">
        <v>530</v>
      </c>
      <c r="K962">
        <v>88.33</v>
      </c>
      <c r="L962">
        <f t="shared" si="14"/>
        <v>4</v>
      </c>
    </row>
    <row r="963" spans="1:12">
      <c r="A963">
        <v>816</v>
      </c>
      <c r="B963" s="4" t="s">
        <v>3867</v>
      </c>
      <c r="C963" t="s">
        <v>2163</v>
      </c>
      <c r="D963">
        <v>50</v>
      </c>
      <c r="E963">
        <v>40</v>
      </c>
      <c r="F963">
        <v>40</v>
      </c>
      <c r="G963">
        <v>70</v>
      </c>
      <c r="H963">
        <v>40</v>
      </c>
      <c r="I963">
        <v>70</v>
      </c>
      <c r="J963">
        <v>310</v>
      </c>
      <c r="K963">
        <v>51.67</v>
      </c>
      <c r="L963">
        <f t="shared" si="14"/>
        <v>4</v>
      </c>
    </row>
    <row r="964" spans="1:12">
      <c r="A964">
        <v>817</v>
      </c>
      <c r="B964" s="4" t="s">
        <v>3868</v>
      </c>
      <c r="C964" t="s">
        <v>2164</v>
      </c>
      <c r="D964">
        <v>65</v>
      </c>
      <c r="E964">
        <v>60</v>
      </c>
      <c r="F964">
        <v>55</v>
      </c>
      <c r="G964">
        <v>95</v>
      </c>
      <c r="H964">
        <v>55</v>
      </c>
      <c r="I964">
        <v>90</v>
      </c>
      <c r="J964">
        <v>420</v>
      </c>
      <c r="K964">
        <v>70</v>
      </c>
      <c r="L964">
        <f t="shared" ref="L964:L1027" si="15">LEN(B964)</f>
        <v>4</v>
      </c>
    </row>
    <row r="965" spans="1:12">
      <c r="A965">
        <v>818</v>
      </c>
      <c r="B965" s="4" t="s">
        <v>3869</v>
      </c>
      <c r="C965" t="s">
        <v>2165</v>
      </c>
      <c r="D965">
        <v>70</v>
      </c>
      <c r="E965">
        <v>85</v>
      </c>
      <c r="F965">
        <v>65</v>
      </c>
      <c r="G965">
        <v>125</v>
      </c>
      <c r="H965">
        <v>65</v>
      </c>
      <c r="I965">
        <v>120</v>
      </c>
      <c r="J965">
        <v>530</v>
      </c>
      <c r="K965">
        <v>88.33</v>
      </c>
      <c r="L965">
        <f t="shared" si="15"/>
        <v>4</v>
      </c>
    </row>
    <row r="966" spans="1:12">
      <c r="A966">
        <v>819</v>
      </c>
      <c r="B966" s="4" t="s">
        <v>3870</v>
      </c>
      <c r="C966" t="s">
        <v>2215</v>
      </c>
      <c r="D966">
        <v>70</v>
      </c>
      <c r="E966">
        <v>55</v>
      </c>
      <c r="F966">
        <v>55</v>
      </c>
      <c r="G966">
        <v>35</v>
      </c>
      <c r="H966">
        <v>35</v>
      </c>
      <c r="I966">
        <v>25</v>
      </c>
      <c r="J966">
        <v>275</v>
      </c>
      <c r="K966">
        <v>45.83</v>
      </c>
      <c r="L966">
        <f t="shared" si="15"/>
        <v>4</v>
      </c>
    </row>
    <row r="967" spans="1:12">
      <c r="A967">
        <v>820</v>
      </c>
      <c r="B967" s="4" t="s">
        <v>3871</v>
      </c>
      <c r="C967" t="s">
        <v>2216</v>
      </c>
      <c r="D967">
        <v>120</v>
      </c>
      <c r="E967">
        <v>95</v>
      </c>
      <c r="F967">
        <v>95</v>
      </c>
      <c r="G967">
        <v>55</v>
      </c>
      <c r="H967">
        <v>75</v>
      </c>
      <c r="I967">
        <v>20</v>
      </c>
      <c r="J967">
        <v>460</v>
      </c>
      <c r="K967">
        <v>76.67</v>
      </c>
      <c r="L967">
        <f t="shared" si="15"/>
        <v>4</v>
      </c>
    </row>
    <row r="968" spans="1:12">
      <c r="A968">
        <v>821</v>
      </c>
      <c r="B968" s="4" t="s">
        <v>3872</v>
      </c>
      <c r="C968" t="s">
        <v>2217</v>
      </c>
      <c r="D968">
        <v>38</v>
      </c>
      <c r="E968">
        <v>47</v>
      </c>
      <c r="F968">
        <v>35</v>
      </c>
      <c r="G968">
        <v>33</v>
      </c>
      <c r="H968">
        <v>35</v>
      </c>
      <c r="I968">
        <v>57</v>
      </c>
      <c r="J968">
        <v>245</v>
      </c>
      <c r="K968">
        <v>40.83</v>
      </c>
      <c r="L968">
        <f t="shared" si="15"/>
        <v>4</v>
      </c>
    </row>
    <row r="969" spans="1:12">
      <c r="A969">
        <v>822</v>
      </c>
      <c r="B969" s="4" t="s">
        <v>3873</v>
      </c>
      <c r="C969" t="s">
        <v>2218</v>
      </c>
      <c r="D969">
        <v>68</v>
      </c>
      <c r="E969">
        <v>67</v>
      </c>
      <c r="F969">
        <v>55</v>
      </c>
      <c r="G969">
        <v>43</v>
      </c>
      <c r="H969">
        <v>55</v>
      </c>
      <c r="I969">
        <v>77</v>
      </c>
      <c r="J969">
        <v>365</v>
      </c>
      <c r="K969">
        <v>60.83</v>
      </c>
      <c r="L969">
        <f t="shared" si="15"/>
        <v>4</v>
      </c>
    </row>
    <row r="970" spans="1:12">
      <c r="A970">
        <v>823</v>
      </c>
      <c r="B970" s="4" t="s">
        <v>3874</v>
      </c>
      <c r="C970" t="s">
        <v>2219</v>
      </c>
      <c r="D970">
        <v>98</v>
      </c>
      <c r="E970">
        <v>87</v>
      </c>
      <c r="F970">
        <v>105</v>
      </c>
      <c r="G970">
        <v>53</v>
      </c>
      <c r="H970">
        <v>85</v>
      </c>
      <c r="I970">
        <v>67</v>
      </c>
      <c r="J970">
        <v>495</v>
      </c>
      <c r="K970">
        <v>82.5</v>
      </c>
      <c r="L970">
        <f t="shared" si="15"/>
        <v>4</v>
      </c>
    </row>
    <row r="971" spans="1:12">
      <c r="A971">
        <v>824</v>
      </c>
      <c r="B971" s="4" t="s">
        <v>3875</v>
      </c>
      <c r="C971" t="s">
        <v>2220</v>
      </c>
      <c r="D971">
        <v>25</v>
      </c>
      <c r="E971">
        <v>20</v>
      </c>
      <c r="F971">
        <v>20</v>
      </c>
      <c r="G971">
        <v>25</v>
      </c>
      <c r="H971">
        <v>45</v>
      </c>
      <c r="I971">
        <v>45</v>
      </c>
      <c r="J971">
        <v>180</v>
      </c>
      <c r="K971">
        <v>30</v>
      </c>
      <c r="L971">
        <f t="shared" si="15"/>
        <v>4</v>
      </c>
    </row>
    <row r="972" spans="1:12">
      <c r="A972">
        <v>825</v>
      </c>
      <c r="B972" s="4" t="s">
        <v>3876</v>
      </c>
      <c r="C972" t="s">
        <v>2221</v>
      </c>
      <c r="D972">
        <v>50</v>
      </c>
      <c r="E972">
        <v>35</v>
      </c>
      <c r="F972">
        <v>80</v>
      </c>
      <c r="G972">
        <v>50</v>
      </c>
      <c r="H972">
        <v>90</v>
      </c>
      <c r="I972">
        <v>30</v>
      </c>
      <c r="J972">
        <v>335</v>
      </c>
      <c r="K972">
        <v>55.83</v>
      </c>
      <c r="L972">
        <f t="shared" si="15"/>
        <v>4</v>
      </c>
    </row>
    <row r="973" spans="1:12">
      <c r="A973">
        <v>826</v>
      </c>
      <c r="B973" s="4" t="s">
        <v>3877</v>
      </c>
      <c r="C973" t="s">
        <v>2222</v>
      </c>
      <c r="D973">
        <v>60</v>
      </c>
      <c r="E973">
        <v>45</v>
      </c>
      <c r="F973">
        <v>110</v>
      </c>
      <c r="G973">
        <v>80</v>
      </c>
      <c r="H973">
        <v>120</v>
      </c>
      <c r="I973">
        <v>90</v>
      </c>
      <c r="J973">
        <v>505</v>
      </c>
      <c r="K973">
        <v>84.17</v>
      </c>
      <c r="L973">
        <f t="shared" si="15"/>
        <v>4</v>
      </c>
    </row>
    <row r="974" spans="1:12">
      <c r="A974">
        <v>827</v>
      </c>
      <c r="B974" s="4" t="s">
        <v>3878</v>
      </c>
      <c r="C974" t="s">
        <v>2223</v>
      </c>
      <c r="D974">
        <v>40</v>
      </c>
      <c r="E974">
        <v>28</v>
      </c>
      <c r="F974">
        <v>28</v>
      </c>
      <c r="G974">
        <v>47</v>
      </c>
      <c r="H974">
        <v>52</v>
      </c>
      <c r="I974">
        <v>50</v>
      </c>
      <c r="J974">
        <v>245</v>
      </c>
      <c r="K974">
        <v>40.83</v>
      </c>
      <c r="L974">
        <f t="shared" si="15"/>
        <v>4</v>
      </c>
    </row>
    <row r="975" spans="1:12">
      <c r="A975">
        <v>828</v>
      </c>
      <c r="B975" s="4" t="s">
        <v>3879</v>
      </c>
      <c r="C975" t="s">
        <v>2224</v>
      </c>
      <c r="D975">
        <v>70</v>
      </c>
      <c r="E975">
        <v>58</v>
      </c>
      <c r="F975">
        <v>58</v>
      </c>
      <c r="G975">
        <v>87</v>
      </c>
      <c r="H975">
        <v>92</v>
      </c>
      <c r="I975">
        <v>90</v>
      </c>
      <c r="J975">
        <v>455</v>
      </c>
      <c r="K975">
        <v>75.83</v>
      </c>
      <c r="L975">
        <f t="shared" si="15"/>
        <v>4</v>
      </c>
    </row>
    <row r="976" spans="1:12">
      <c r="A976">
        <v>829</v>
      </c>
      <c r="B976" s="4" t="s">
        <v>3880</v>
      </c>
      <c r="C976" t="s">
        <v>2225</v>
      </c>
      <c r="D976">
        <v>40</v>
      </c>
      <c r="E976">
        <v>40</v>
      </c>
      <c r="F976">
        <v>60</v>
      </c>
      <c r="G976">
        <v>40</v>
      </c>
      <c r="H976">
        <v>60</v>
      </c>
      <c r="I976">
        <v>10</v>
      </c>
      <c r="J976">
        <v>250</v>
      </c>
      <c r="K976">
        <v>41.67</v>
      </c>
      <c r="L976">
        <f t="shared" si="15"/>
        <v>4</v>
      </c>
    </row>
    <row r="977" spans="1:12">
      <c r="A977">
        <v>830</v>
      </c>
      <c r="B977" s="4" t="s">
        <v>3881</v>
      </c>
      <c r="C977" t="s">
        <v>2226</v>
      </c>
      <c r="D977">
        <v>60</v>
      </c>
      <c r="E977">
        <v>50</v>
      </c>
      <c r="F977">
        <v>90</v>
      </c>
      <c r="G977">
        <v>80</v>
      </c>
      <c r="H977">
        <v>120</v>
      </c>
      <c r="I977">
        <v>60</v>
      </c>
      <c r="J977">
        <v>460</v>
      </c>
      <c r="K977">
        <v>76.67</v>
      </c>
      <c r="L977">
        <f t="shared" si="15"/>
        <v>4</v>
      </c>
    </row>
    <row r="978" spans="1:12">
      <c r="A978">
        <v>831</v>
      </c>
      <c r="B978" s="4" t="s">
        <v>3882</v>
      </c>
      <c r="C978" t="s">
        <v>2227</v>
      </c>
      <c r="D978">
        <v>42</v>
      </c>
      <c r="E978">
        <v>40</v>
      </c>
      <c r="F978">
        <v>55</v>
      </c>
      <c r="G978">
        <v>40</v>
      </c>
      <c r="H978">
        <v>45</v>
      </c>
      <c r="I978">
        <v>48</v>
      </c>
      <c r="J978">
        <v>270</v>
      </c>
      <c r="K978">
        <v>45</v>
      </c>
      <c r="L978">
        <f t="shared" si="15"/>
        <v>4</v>
      </c>
    </row>
    <row r="979" spans="1:12">
      <c r="A979">
        <v>832</v>
      </c>
      <c r="B979" s="4" t="s">
        <v>3883</v>
      </c>
      <c r="C979" t="s">
        <v>2228</v>
      </c>
      <c r="D979">
        <v>72</v>
      </c>
      <c r="E979">
        <v>80</v>
      </c>
      <c r="F979">
        <v>100</v>
      </c>
      <c r="G979">
        <v>60</v>
      </c>
      <c r="H979">
        <v>90</v>
      </c>
      <c r="I979">
        <v>88</v>
      </c>
      <c r="J979">
        <v>490</v>
      </c>
      <c r="K979">
        <v>81.67</v>
      </c>
      <c r="L979">
        <f t="shared" si="15"/>
        <v>4</v>
      </c>
    </row>
    <row r="980" spans="1:12">
      <c r="A980">
        <v>833</v>
      </c>
      <c r="B980" s="4" t="s">
        <v>3884</v>
      </c>
      <c r="C980" t="s">
        <v>2229</v>
      </c>
      <c r="D980">
        <v>50</v>
      </c>
      <c r="E980">
        <v>64</v>
      </c>
      <c r="F980">
        <v>50</v>
      </c>
      <c r="G980">
        <v>38</v>
      </c>
      <c r="H980">
        <v>38</v>
      </c>
      <c r="I980">
        <v>44</v>
      </c>
      <c r="J980">
        <v>284</v>
      </c>
      <c r="K980">
        <v>47.33</v>
      </c>
      <c r="L980">
        <f t="shared" si="15"/>
        <v>4</v>
      </c>
    </row>
    <row r="981" spans="1:12">
      <c r="A981">
        <v>834</v>
      </c>
      <c r="B981" s="4" t="s">
        <v>3885</v>
      </c>
      <c r="C981" t="s">
        <v>2230</v>
      </c>
      <c r="D981">
        <v>90</v>
      </c>
      <c r="E981">
        <v>115</v>
      </c>
      <c r="F981">
        <v>90</v>
      </c>
      <c r="G981">
        <v>48</v>
      </c>
      <c r="H981">
        <v>68</v>
      </c>
      <c r="I981">
        <v>74</v>
      </c>
      <c r="J981">
        <v>485</v>
      </c>
      <c r="K981">
        <v>80.83</v>
      </c>
      <c r="L981">
        <f t="shared" si="15"/>
        <v>4</v>
      </c>
    </row>
    <row r="982" spans="1:12">
      <c r="A982">
        <v>835</v>
      </c>
      <c r="B982" s="4" t="s">
        <v>3886</v>
      </c>
      <c r="C982" t="s">
        <v>2231</v>
      </c>
      <c r="D982">
        <v>59</v>
      </c>
      <c r="E982">
        <v>45</v>
      </c>
      <c r="F982">
        <v>50</v>
      </c>
      <c r="G982">
        <v>40</v>
      </c>
      <c r="H982">
        <v>50</v>
      </c>
      <c r="I982">
        <v>26</v>
      </c>
      <c r="J982">
        <v>270</v>
      </c>
      <c r="K982">
        <v>45</v>
      </c>
      <c r="L982">
        <f t="shared" si="15"/>
        <v>4</v>
      </c>
    </row>
    <row r="983" spans="1:12">
      <c r="A983">
        <v>836</v>
      </c>
      <c r="B983" s="4" t="s">
        <v>3887</v>
      </c>
      <c r="C983" t="s">
        <v>2232</v>
      </c>
      <c r="D983">
        <v>69</v>
      </c>
      <c r="E983">
        <v>90</v>
      </c>
      <c r="F983">
        <v>60</v>
      </c>
      <c r="G983">
        <v>90</v>
      </c>
      <c r="H983">
        <v>60</v>
      </c>
      <c r="I983">
        <v>121</v>
      </c>
      <c r="J983">
        <v>490</v>
      </c>
      <c r="K983">
        <v>81.67</v>
      </c>
      <c r="L983">
        <f t="shared" si="15"/>
        <v>4</v>
      </c>
    </row>
    <row r="984" spans="1:12">
      <c r="A984">
        <v>837</v>
      </c>
      <c r="B984" s="4" t="s">
        <v>3888</v>
      </c>
      <c r="C984" t="s">
        <v>2233</v>
      </c>
      <c r="D984">
        <v>30</v>
      </c>
      <c r="E984">
        <v>40</v>
      </c>
      <c r="F984">
        <v>50</v>
      </c>
      <c r="G984">
        <v>40</v>
      </c>
      <c r="H984">
        <v>50</v>
      </c>
      <c r="I984">
        <v>30</v>
      </c>
      <c r="J984">
        <v>240</v>
      </c>
      <c r="K984">
        <v>40</v>
      </c>
      <c r="L984">
        <f t="shared" si="15"/>
        <v>4</v>
      </c>
    </row>
    <row r="985" spans="1:12">
      <c r="A985">
        <v>838</v>
      </c>
      <c r="B985" s="4" t="s">
        <v>3889</v>
      </c>
      <c r="C985" t="s">
        <v>2234</v>
      </c>
      <c r="D985">
        <v>80</v>
      </c>
      <c r="E985">
        <v>60</v>
      </c>
      <c r="F985">
        <v>90</v>
      </c>
      <c r="G985">
        <v>60</v>
      </c>
      <c r="H985">
        <v>70</v>
      </c>
      <c r="I985">
        <v>50</v>
      </c>
      <c r="J985">
        <v>410</v>
      </c>
      <c r="K985">
        <v>68.33</v>
      </c>
      <c r="L985">
        <f t="shared" si="15"/>
        <v>4</v>
      </c>
    </row>
    <row r="986" spans="1:12">
      <c r="A986">
        <v>839</v>
      </c>
      <c r="B986" s="4" t="s">
        <v>3890</v>
      </c>
      <c r="C986" t="s">
        <v>2235</v>
      </c>
      <c r="D986">
        <v>110</v>
      </c>
      <c r="E986">
        <v>80</v>
      </c>
      <c r="F986">
        <v>120</v>
      </c>
      <c r="G986">
        <v>80</v>
      </c>
      <c r="H986">
        <v>90</v>
      </c>
      <c r="I986">
        <v>30</v>
      </c>
      <c r="J986">
        <v>510</v>
      </c>
      <c r="K986">
        <v>85</v>
      </c>
      <c r="L986">
        <f t="shared" si="15"/>
        <v>4</v>
      </c>
    </row>
    <row r="987" spans="1:12">
      <c r="A987">
        <v>840</v>
      </c>
      <c r="B987" s="4" t="s">
        <v>3891</v>
      </c>
      <c r="C987" t="s">
        <v>2236</v>
      </c>
      <c r="D987">
        <v>40</v>
      </c>
      <c r="E987">
        <v>40</v>
      </c>
      <c r="F987">
        <v>80</v>
      </c>
      <c r="G987">
        <v>40</v>
      </c>
      <c r="H987">
        <v>40</v>
      </c>
      <c r="I987">
        <v>20</v>
      </c>
      <c r="J987">
        <v>260</v>
      </c>
      <c r="K987">
        <v>43.33</v>
      </c>
      <c r="L987">
        <f t="shared" si="15"/>
        <v>4</v>
      </c>
    </row>
    <row r="988" spans="1:12">
      <c r="A988">
        <v>841</v>
      </c>
      <c r="B988" s="4" t="s">
        <v>3892</v>
      </c>
      <c r="C988" t="s">
        <v>2237</v>
      </c>
      <c r="D988">
        <v>70</v>
      </c>
      <c r="E988">
        <v>110</v>
      </c>
      <c r="F988">
        <v>80</v>
      </c>
      <c r="G988">
        <v>95</v>
      </c>
      <c r="H988">
        <v>60</v>
      </c>
      <c r="I988">
        <v>70</v>
      </c>
      <c r="J988">
        <v>485</v>
      </c>
      <c r="K988">
        <v>80.83</v>
      </c>
      <c r="L988">
        <f t="shared" si="15"/>
        <v>4</v>
      </c>
    </row>
    <row r="989" spans="1:12">
      <c r="A989">
        <v>842</v>
      </c>
      <c r="B989" s="4" t="s">
        <v>3893</v>
      </c>
      <c r="C989" t="s">
        <v>2238</v>
      </c>
      <c r="D989">
        <v>110</v>
      </c>
      <c r="E989">
        <v>85</v>
      </c>
      <c r="F989">
        <v>80</v>
      </c>
      <c r="G989">
        <v>100</v>
      </c>
      <c r="H989">
        <v>80</v>
      </c>
      <c r="I989">
        <v>30</v>
      </c>
      <c r="J989">
        <v>485</v>
      </c>
      <c r="K989">
        <v>80.83</v>
      </c>
      <c r="L989">
        <f t="shared" si="15"/>
        <v>4</v>
      </c>
    </row>
    <row r="990" spans="1:12">
      <c r="A990">
        <v>843</v>
      </c>
      <c r="B990" s="4" t="s">
        <v>3894</v>
      </c>
      <c r="C990" t="s">
        <v>2239</v>
      </c>
      <c r="D990">
        <v>52</v>
      </c>
      <c r="E990">
        <v>57</v>
      </c>
      <c r="F990">
        <v>75</v>
      </c>
      <c r="G990">
        <v>35</v>
      </c>
      <c r="H990">
        <v>50</v>
      </c>
      <c r="I990">
        <v>46</v>
      </c>
      <c r="J990">
        <v>315</v>
      </c>
      <c r="K990">
        <v>52.5</v>
      </c>
      <c r="L990">
        <f t="shared" si="15"/>
        <v>4</v>
      </c>
    </row>
    <row r="991" spans="1:12">
      <c r="A991">
        <v>844</v>
      </c>
      <c r="B991" s="4" t="s">
        <v>3895</v>
      </c>
      <c r="C991" t="s">
        <v>2240</v>
      </c>
      <c r="D991">
        <v>72</v>
      </c>
      <c r="E991">
        <v>107</v>
      </c>
      <c r="F991">
        <v>125</v>
      </c>
      <c r="G991">
        <v>65</v>
      </c>
      <c r="H991">
        <v>70</v>
      </c>
      <c r="I991">
        <v>71</v>
      </c>
      <c r="J991">
        <v>510</v>
      </c>
      <c r="K991">
        <v>85</v>
      </c>
      <c r="L991">
        <f t="shared" si="15"/>
        <v>4</v>
      </c>
    </row>
    <row r="992" spans="1:12">
      <c r="A992">
        <v>845</v>
      </c>
      <c r="B992" s="4" t="s">
        <v>3896</v>
      </c>
      <c r="C992" t="s">
        <v>2241</v>
      </c>
      <c r="D992">
        <v>70</v>
      </c>
      <c r="E992">
        <v>85</v>
      </c>
      <c r="F992">
        <v>55</v>
      </c>
      <c r="G992">
        <v>85</v>
      </c>
      <c r="H992">
        <v>95</v>
      </c>
      <c r="I992">
        <v>85</v>
      </c>
      <c r="J992">
        <v>475</v>
      </c>
      <c r="K992">
        <v>79.17</v>
      </c>
      <c r="L992">
        <f t="shared" si="15"/>
        <v>4</v>
      </c>
    </row>
    <row r="993" spans="1:12">
      <c r="A993">
        <v>846</v>
      </c>
      <c r="B993" s="4" t="s">
        <v>3897</v>
      </c>
      <c r="C993" t="s">
        <v>2242</v>
      </c>
      <c r="D993">
        <v>41</v>
      </c>
      <c r="E993">
        <v>63</v>
      </c>
      <c r="F993">
        <v>40</v>
      </c>
      <c r="G993">
        <v>40</v>
      </c>
      <c r="H993">
        <v>30</v>
      </c>
      <c r="I993">
        <v>66</v>
      </c>
      <c r="J993">
        <v>280</v>
      </c>
      <c r="K993">
        <v>46.67</v>
      </c>
      <c r="L993">
        <f t="shared" si="15"/>
        <v>4</v>
      </c>
    </row>
    <row r="994" spans="1:12">
      <c r="A994">
        <v>847</v>
      </c>
      <c r="B994" s="4" t="s">
        <v>3898</v>
      </c>
      <c r="C994" t="s">
        <v>2243</v>
      </c>
      <c r="D994">
        <v>61</v>
      </c>
      <c r="E994">
        <v>123</v>
      </c>
      <c r="F994">
        <v>60</v>
      </c>
      <c r="G994">
        <v>60</v>
      </c>
      <c r="H994">
        <v>50</v>
      </c>
      <c r="I994">
        <v>136</v>
      </c>
      <c r="J994">
        <v>490</v>
      </c>
      <c r="K994">
        <v>81.67</v>
      </c>
      <c r="L994">
        <f t="shared" si="15"/>
        <v>4</v>
      </c>
    </row>
    <row r="995" spans="1:12">
      <c r="A995">
        <v>848</v>
      </c>
      <c r="B995" s="4" t="s">
        <v>3899</v>
      </c>
      <c r="C995" t="s">
        <v>2267</v>
      </c>
      <c r="D995">
        <v>40</v>
      </c>
      <c r="E995">
        <v>38</v>
      </c>
      <c r="F995">
        <v>35</v>
      </c>
      <c r="G995">
        <v>54</v>
      </c>
      <c r="H995">
        <v>35</v>
      </c>
      <c r="I995">
        <v>40</v>
      </c>
      <c r="J995">
        <v>242</v>
      </c>
      <c r="K995">
        <v>40.33</v>
      </c>
      <c r="L995">
        <f t="shared" si="15"/>
        <v>4</v>
      </c>
    </row>
    <row r="996" spans="1:12">
      <c r="A996">
        <v>849</v>
      </c>
      <c r="B996" s="4" t="s">
        <v>3900</v>
      </c>
      <c r="C996" t="s">
        <v>2763</v>
      </c>
      <c r="D996">
        <v>75</v>
      </c>
      <c r="E996">
        <v>98</v>
      </c>
      <c r="F996">
        <v>70</v>
      </c>
      <c r="G996">
        <v>114</v>
      </c>
      <c r="H996">
        <v>70</v>
      </c>
      <c r="I996">
        <v>75</v>
      </c>
      <c r="J996">
        <v>502</v>
      </c>
      <c r="K996">
        <v>83.67</v>
      </c>
      <c r="L996">
        <f t="shared" si="15"/>
        <v>4</v>
      </c>
    </row>
    <row r="997" spans="1:12">
      <c r="A997">
        <v>849</v>
      </c>
      <c r="B997" s="131" t="s">
        <v>2736</v>
      </c>
      <c r="C997" t="s">
        <v>2764</v>
      </c>
      <c r="D997">
        <v>75</v>
      </c>
      <c r="E997">
        <v>98</v>
      </c>
      <c r="F997">
        <v>70</v>
      </c>
      <c r="G997">
        <v>114</v>
      </c>
      <c r="H997">
        <v>70</v>
      </c>
      <c r="I997">
        <v>75</v>
      </c>
      <c r="J997">
        <v>502</v>
      </c>
      <c r="K997">
        <v>83.67</v>
      </c>
      <c r="L997">
        <f t="shared" si="15"/>
        <v>4</v>
      </c>
    </row>
    <row r="998" spans="1:12">
      <c r="A998">
        <v>850</v>
      </c>
      <c r="B998" s="4" t="s">
        <v>3901</v>
      </c>
      <c r="C998" t="s">
        <v>2245</v>
      </c>
      <c r="D998">
        <v>50</v>
      </c>
      <c r="E998">
        <v>65</v>
      </c>
      <c r="F998">
        <v>45</v>
      </c>
      <c r="G998">
        <v>50</v>
      </c>
      <c r="H998">
        <v>50</v>
      </c>
      <c r="I998">
        <v>45</v>
      </c>
      <c r="J998">
        <v>305</v>
      </c>
      <c r="K998">
        <v>50.83</v>
      </c>
      <c r="L998">
        <f t="shared" si="15"/>
        <v>4</v>
      </c>
    </row>
    <row r="999" spans="1:12">
      <c r="A999">
        <v>851</v>
      </c>
      <c r="B999" s="4" t="s">
        <v>3902</v>
      </c>
      <c r="C999" t="s">
        <v>2246</v>
      </c>
      <c r="D999">
        <v>100</v>
      </c>
      <c r="E999">
        <v>115</v>
      </c>
      <c r="F999">
        <v>65</v>
      </c>
      <c r="G999">
        <v>90</v>
      </c>
      <c r="H999">
        <v>90</v>
      </c>
      <c r="I999">
        <v>65</v>
      </c>
      <c r="J999">
        <v>525</v>
      </c>
      <c r="K999">
        <v>87.5</v>
      </c>
      <c r="L999">
        <f t="shared" si="15"/>
        <v>4</v>
      </c>
    </row>
    <row r="1000" spans="1:12">
      <c r="A1000">
        <v>852</v>
      </c>
      <c r="B1000" s="4" t="s">
        <v>3903</v>
      </c>
      <c r="C1000" t="s">
        <v>2247</v>
      </c>
      <c r="D1000">
        <v>50</v>
      </c>
      <c r="E1000">
        <v>68</v>
      </c>
      <c r="F1000">
        <v>60</v>
      </c>
      <c r="G1000">
        <v>50</v>
      </c>
      <c r="H1000">
        <v>50</v>
      </c>
      <c r="I1000">
        <v>32</v>
      </c>
      <c r="J1000">
        <v>310</v>
      </c>
      <c r="K1000">
        <v>51.67</v>
      </c>
      <c r="L1000">
        <f t="shared" si="15"/>
        <v>4</v>
      </c>
    </row>
    <row r="1001" spans="1:12">
      <c r="A1001">
        <v>853</v>
      </c>
      <c r="B1001" s="4" t="s">
        <v>3904</v>
      </c>
      <c r="C1001" t="s">
        <v>2248</v>
      </c>
      <c r="D1001">
        <v>80</v>
      </c>
      <c r="E1001">
        <v>118</v>
      </c>
      <c r="F1001">
        <v>90</v>
      </c>
      <c r="G1001">
        <v>70</v>
      </c>
      <c r="H1001">
        <v>80</v>
      </c>
      <c r="I1001">
        <v>42</v>
      </c>
      <c r="J1001">
        <v>480</v>
      </c>
      <c r="K1001">
        <v>80</v>
      </c>
      <c r="L1001">
        <f t="shared" si="15"/>
        <v>4</v>
      </c>
    </row>
    <row r="1002" spans="1:12">
      <c r="A1002">
        <v>854</v>
      </c>
      <c r="B1002" s="4" t="s">
        <v>3905</v>
      </c>
      <c r="C1002" t="s">
        <v>2284</v>
      </c>
      <c r="D1002">
        <v>40</v>
      </c>
      <c r="E1002">
        <v>45</v>
      </c>
      <c r="F1002">
        <v>45</v>
      </c>
      <c r="G1002">
        <v>74</v>
      </c>
      <c r="H1002">
        <v>54</v>
      </c>
      <c r="I1002">
        <v>50</v>
      </c>
      <c r="J1002">
        <v>308</v>
      </c>
      <c r="K1002">
        <v>51.33</v>
      </c>
      <c r="L1002">
        <f t="shared" si="15"/>
        <v>4</v>
      </c>
    </row>
    <row r="1003" spans="1:12">
      <c r="A1003">
        <v>855</v>
      </c>
      <c r="B1003" s="4" t="s">
        <v>3906</v>
      </c>
      <c r="C1003" t="s">
        <v>2285</v>
      </c>
      <c r="D1003">
        <v>60</v>
      </c>
      <c r="E1003">
        <v>65</v>
      </c>
      <c r="F1003">
        <v>65</v>
      </c>
      <c r="G1003">
        <v>134</v>
      </c>
      <c r="H1003">
        <v>114</v>
      </c>
      <c r="I1003">
        <v>70</v>
      </c>
      <c r="J1003">
        <v>508</v>
      </c>
      <c r="K1003">
        <v>84.67</v>
      </c>
      <c r="L1003">
        <f t="shared" si="15"/>
        <v>4</v>
      </c>
    </row>
    <row r="1004" spans="1:12">
      <c r="A1004">
        <v>856</v>
      </c>
      <c r="B1004" s="4" t="s">
        <v>3907</v>
      </c>
      <c r="C1004" t="s">
        <v>2277</v>
      </c>
      <c r="D1004">
        <v>42</v>
      </c>
      <c r="E1004">
        <v>30</v>
      </c>
      <c r="F1004">
        <v>45</v>
      </c>
      <c r="G1004">
        <v>56</v>
      </c>
      <c r="H1004">
        <v>53</v>
      </c>
      <c r="I1004">
        <v>39</v>
      </c>
      <c r="J1004">
        <v>265</v>
      </c>
      <c r="K1004">
        <v>44.17</v>
      </c>
      <c r="L1004">
        <f t="shared" si="15"/>
        <v>4</v>
      </c>
    </row>
    <row r="1005" spans="1:12">
      <c r="A1005">
        <v>857</v>
      </c>
      <c r="B1005" s="4" t="s">
        <v>3908</v>
      </c>
      <c r="C1005" t="s">
        <v>2278</v>
      </c>
      <c r="D1005">
        <v>57</v>
      </c>
      <c r="E1005">
        <v>40</v>
      </c>
      <c r="F1005">
        <v>65</v>
      </c>
      <c r="G1005">
        <v>86</v>
      </c>
      <c r="H1005">
        <v>73</v>
      </c>
      <c r="I1005">
        <v>49</v>
      </c>
      <c r="J1005">
        <v>370</v>
      </c>
      <c r="K1005">
        <v>61.67</v>
      </c>
      <c r="L1005">
        <f t="shared" si="15"/>
        <v>4</v>
      </c>
    </row>
    <row r="1006" spans="1:12">
      <c r="A1006">
        <v>858</v>
      </c>
      <c r="B1006" s="4" t="s">
        <v>3909</v>
      </c>
      <c r="C1006" t="s">
        <v>2279</v>
      </c>
      <c r="D1006">
        <v>57</v>
      </c>
      <c r="E1006">
        <v>90</v>
      </c>
      <c r="F1006">
        <v>95</v>
      </c>
      <c r="G1006">
        <v>136</v>
      </c>
      <c r="H1006">
        <v>103</v>
      </c>
      <c r="I1006">
        <v>29</v>
      </c>
      <c r="J1006">
        <v>510</v>
      </c>
      <c r="K1006">
        <v>85</v>
      </c>
      <c r="L1006">
        <f t="shared" si="15"/>
        <v>4</v>
      </c>
    </row>
    <row r="1007" spans="1:12">
      <c r="A1007">
        <v>859</v>
      </c>
      <c r="B1007" s="4" t="s">
        <v>3910</v>
      </c>
      <c r="C1007" t="s">
        <v>2144</v>
      </c>
      <c r="D1007">
        <v>45</v>
      </c>
      <c r="E1007">
        <v>45</v>
      </c>
      <c r="F1007">
        <v>30</v>
      </c>
      <c r="G1007">
        <v>55</v>
      </c>
      <c r="H1007">
        <v>40</v>
      </c>
      <c r="I1007">
        <v>50</v>
      </c>
      <c r="J1007">
        <v>265</v>
      </c>
      <c r="K1007">
        <v>44.17</v>
      </c>
      <c r="L1007">
        <f t="shared" si="15"/>
        <v>4</v>
      </c>
    </row>
    <row r="1008" spans="1:12">
      <c r="A1008">
        <v>860</v>
      </c>
      <c r="B1008" s="4" t="s">
        <v>3911</v>
      </c>
      <c r="C1008" t="s">
        <v>2145</v>
      </c>
      <c r="D1008">
        <v>65</v>
      </c>
      <c r="E1008">
        <v>60</v>
      </c>
      <c r="F1008">
        <v>45</v>
      </c>
      <c r="G1008">
        <v>75</v>
      </c>
      <c r="H1008">
        <v>55</v>
      </c>
      <c r="I1008">
        <v>70</v>
      </c>
      <c r="J1008">
        <v>370</v>
      </c>
      <c r="K1008">
        <v>61.67</v>
      </c>
      <c r="L1008">
        <f t="shared" si="15"/>
        <v>4</v>
      </c>
    </row>
    <row r="1009" spans="1:12">
      <c r="A1009">
        <v>861</v>
      </c>
      <c r="B1009" s="4" t="s">
        <v>3912</v>
      </c>
      <c r="C1009" t="s">
        <v>2146</v>
      </c>
      <c r="D1009">
        <v>95</v>
      </c>
      <c r="E1009">
        <v>120</v>
      </c>
      <c r="F1009">
        <v>65</v>
      </c>
      <c r="G1009">
        <v>95</v>
      </c>
      <c r="H1009">
        <v>75</v>
      </c>
      <c r="I1009">
        <v>60</v>
      </c>
      <c r="J1009">
        <v>510</v>
      </c>
      <c r="K1009">
        <v>85</v>
      </c>
      <c r="L1009">
        <f t="shared" si="15"/>
        <v>4</v>
      </c>
    </row>
    <row r="1010" spans="1:12">
      <c r="A1010">
        <v>862</v>
      </c>
      <c r="B1010" s="4" t="s">
        <v>3913</v>
      </c>
      <c r="C1010" t="s">
        <v>2249</v>
      </c>
      <c r="D1010">
        <v>93</v>
      </c>
      <c r="E1010">
        <v>90</v>
      </c>
      <c r="F1010">
        <v>101</v>
      </c>
      <c r="G1010">
        <v>60</v>
      </c>
      <c r="H1010">
        <v>81</v>
      </c>
      <c r="I1010">
        <v>95</v>
      </c>
      <c r="J1010">
        <v>520</v>
      </c>
      <c r="K1010">
        <v>86.67</v>
      </c>
      <c r="L1010">
        <f t="shared" si="15"/>
        <v>4</v>
      </c>
    </row>
    <row r="1011" spans="1:12">
      <c r="A1011">
        <v>863</v>
      </c>
      <c r="B1011" s="4" t="s">
        <v>3914</v>
      </c>
      <c r="C1011" t="s">
        <v>2250</v>
      </c>
      <c r="D1011">
        <v>70</v>
      </c>
      <c r="E1011">
        <v>110</v>
      </c>
      <c r="F1011">
        <v>100</v>
      </c>
      <c r="G1011">
        <v>50</v>
      </c>
      <c r="H1011">
        <v>60</v>
      </c>
      <c r="I1011">
        <v>50</v>
      </c>
      <c r="J1011">
        <v>440</v>
      </c>
      <c r="K1011">
        <v>73.33</v>
      </c>
      <c r="L1011">
        <f t="shared" si="15"/>
        <v>4</v>
      </c>
    </row>
    <row r="1012" spans="1:12">
      <c r="A1012">
        <v>864</v>
      </c>
      <c r="B1012" s="4" t="s">
        <v>3915</v>
      </c>
      <c r="C1012" t="s">
        <v>2270</v>
      </c>
      <c r="D1012">
        <v>60</v>
      </c>
      <c r="E1012">
        <v>95</v>
      </c>
      <c r="F1012">
        <v>50</v>
      </c>
      <c r="G1012">
        <v>145</v>
      </c>
      <c r="H1012">
        <v>130</v>
      </c>
      <c r="I1012">
        <v>30</v>
      </c>
      <c r="J1012">
        <v>510</v>
      </c>
      <c r="K1012">
        <v>85</v>
      </c>
      <c r="L1012">
        <f t="shared" si="15"/>
        <v>4</v>
      </c>
    </row>
    <row r="1013" spans="1:12">
      <c r="A1013">
        <v>865</v>
      </c>
      <c r="B1013" s="4" t="s">
        <v>3916</v>
      </c>
      <c r="C1013" t="s">
        <v>2251</v>
      </c>
      <c r="D1013">
        <v>62</v>
      </c>
      <c r="E1013">
        <v>135</v>
      </c>
      <c r="F1013">
        <v>95</v>
      </c>
      <c r="G1013">
        <v>68</v>
      </c>
      <c r="H1013">
        <v>82</v>
      </c>
      <c r="I1013">
        <v>65</v>
      </c>
      <c r="J1013">
        <v>507</v>
      </c>
      <c r="K1013">
        <v>84.5</v>
      </c>
      <c r="L1013">
        <f t="shared" si="15"/>
        <v>4</v>
      </c>
    </row>
    <row r="1014" spans="1:12">
      <c r="A1014">
        <v>866</v>
      </c>
      <c r="B1014" s="4" t="s">
        <v>3917</v>
      </c>
      <c r="C1014" t="s">
        <v>2252</v>
      </c>
      <c r="D1014">
        <v>80</v>
      </c>
      <c r="E1014">
        <v>85</v>
      </c>
      <c r="F1014">
        <v>75</v>
      </c>
      <c r="G1014">
        <v>110</v>
      </c>
      <c r="H1014">
        <v>100</v>
      </c>
      <c r="I1014">
        <v>70</v>
      </c>
      <c r="J1014">
        <v>520</v>
      </c>
      <c r="K1014">
        <v>86.67</v>
      </c>
      <c r="L1014">
        <f t="shared" si="15"/>
        <v>4</v>
      </c>
    </row>
    <row r="1015" spans="1:12">
      <c r="A1015">
        <v>867</v>
      </c>
      <c r="B1015" s="4" t="s">
        <v>3918</v>
      </c>
      <c r="C1015" t="s">
        <v>2253</v>
      </c>
      <c r="D1015">
        <v>58</v>
      </c>
      <c r="E1015">
        <v>95</v>
      </c>
      <c r="F1015">
        <v>145</v>
      </c>
      <c r="G1015">
        <v>50</v>
      </c>
      <c r="H1015">
        <v>105</v>
      </c>
      <c r="I1015">
        <v>30</v>
      </c>
      <c r="J1015">
        <v>483</v>
      </c>
      <c r="K1015">
        <v>80.5</v>
      </c>
      <c r="L1015">
        <f t="shared" si="15"/>
        <v>4</v>
      </c>
    </row>
    <row r="1016" spans="1:12">
      <c r="A1016">
        <v>868</v>
      </c>
      <c r="B1016" s="4" t="s">
        <v>3919</v>
      </c>
      <c r="C1016" t="s">
        <v>2280</v>
      </c>
      <c r="D1016">
        <v>45</v>
      </c>
      <c r="E1016">
        <v>40</v>
      </c>
      <c r="F1016">
        <v>40</v>
      </c>
      <c r="G1016">
        <v>50</v>
      </c>
      <c r="H1016">
        <v>61</v>
      </c>
      <c r="I1016">
        <v>34</v>
      </c>
      <c r="J1016">
        <v>270</v>
      </c>
      <c r="K1016">
        <v>45</v>
      </c>
      <c r="L1016">
        <f t="shared" si="15"/>
        <v>4</v>
      </c>
    </row>
    <row r="1017" spans="1:12">
      <c r="A1017">
        <v>869</v>
      </c>
      <c r="B1017" s="4" t="s">
        <v>3920</v>
      </c>
      <c r="C1017" t="s">
        <v>2281</v>
      </c>
      <c r="D1017">
        <v>65</v>
      </c>
      <c r="E1017">
        <v>60</v>
      </c>
      <c r="F1017">
        <v>75</v>
      </c>
      <c r="G1017">
        <v>110</v>
      </c>
      <c r="H1017">
        <v>121</v>
      </c>
      <c r="I1017">
        <v>64</v>
      </c>
      <c r="J1017">
        <v>495</v>
      </c>
      <c r="K1017">
        <v>82.5</v>
      </c>
      <c r="L1017">
        <f t="shared" si="15"/>
        <v>4</v>
      </c>
    </row>
    <row r="1018" spans="1:12">
      <c r="A1018">
        <v>870</v>
      </c>
      <c r="B1018" s="4" t="s">
        <v>3921</v>
      </c>
      <c r="C1018" t="s">
        <v>2286</v>
      </c>
      <c r="D1018">
        <v>65</v>
      </c>
      <c r="E1018">
        <v>100</v>
      </c>
      <c r="F1018">
        <v>100</v>
      </c>
      <c r="G1018">
        <v>70</v>
      </c>
      <c r="H1018">
        <v>60</v>
      </c>
      <c r="I1018">
        <v>75</v>
      </c>
      <c r="J1018">
        <v>470</v>
      </c>
      <c r="K1018">
        <v>78.33</v>
      </c>
      <c r="L1018">
        <f t="shared" si="15"/>
        <v>4</v>
      </c>
    </row>
    <row r="1019" spans="1:12">
      <c r="A1019">
        <v>871</v>
      </c>
      <c r="B1019" s="4" t="s">
        <v>3922</v>
      </c>
      <c r="C1019" t="s">
        <v>2254</v>
      </c>
      <c r="D1019">
        <v>48</v>
      </c>
      <c r="E1019">
        <v>101</v>
      </c>
      <c r="F1019">
        <v>95</v>
      </c>
      <c r="G1019">
        <v>91</v>
      </c>
      <c r="H1019">
        <v>85</v>
      </c>
      <c r="I1019">
        <v>15</v>
      </c>
      <c r="J1019">
        <v>435</v>
      </c>
      <c r="K1019">
        <v>72.5</v>
      </c>
      <c r="L1019">
        <f t="shared" si="15"/>
        <v>4</v>
      </c>
    </row>
    <row r="1020" spans="1:12">
      <c r="A1020">
        <v>872</v>
      </c>
      <c r="B1020" s="4" t="s">
        <v>3923</v>
      </c>
      <c r="C1020" t="s">
        <v>2255</v>
      </c>
      <c r="D1020">
        <v>30</v>
      </c>
      <c r="E1020">
        <v>25</v>
      </c>
      <c r="F1020">
        <v>35</v>
      </c>
      <c r="G1020">
        <v>45</v>
      </c>
      <c r="H1020">
        <v>30</v>
      </c>
      <c r="I1020">
        <v>20</v>
      </c>
      <c r="J1020">
        <v>185</v>
      </c>
      <c r="K1020">
        <v>30.83</v>
      </c>
      <c r="L1020">
        <f t="shared" si="15"/>
        <v>4</v>
      </c>
    </row>
    <row r="1021" spans="1:12">
      <c r="A1021">
        <v>873</v>
      </c>
      <c r="B1021" s="4" t="s">
        <v>3924</v>
      </c>
      <c r="C1021" t="s">
        <v>2256</v>
      </c>
      <c r="D1021">
        <v>70</v>
      </c>
      <c r="E1021">
        <v>65</v>
      </c>
      <c r="F1021">
        <v>60</v>
      </c>
      <c r="G1021">
        <v>125</v>
      </c>
      <c r="H1021">
        <v>90</v>
      </c>
      <c r="I1021">
        <v>65</v>
      </c>
      <c r="J1021">
        <v>475</v>
      </c>
      <c r="K1021">
        <v>79.17</v>
      </c>
      <c r="L1021">
        <f t="shared" si="15"/>
        <v>4</v>
      </c>
    </row>
    <row r="1022" spans="1:12">
      <c r="A1022">
        <v>874</v>
      </c>
      <c r="B1022" s="4" t="s">
        <v>3925</v>
      </c>
      <c r="C1022" t="s">
        <v>2257</v>
      </c>
      <c r="D1022">
        <v>100</v>
      </c>
      <c r="E1022">
        <v>125</v>
      </c>
      <c r="F1022">
        <v>135</v>
      </c>
      <c r="G1022">
        <v>20</v>
      </c>
      <c r="H1022">
        <v>20</v>
      </c>
      <c r="I1022">
        <v>70</v>
      </c>
      <c r="J1022">
        <v>470</v>
      </c>
      <c r="K1022">
        <v>78.33</v>
      </c>
      <c r="L1022">
        <f t="shared" si="15"/>
        <v>4</v>
      </c>
    </row>
    <row r="1023" spans="1:12">
      <c r="A1023">
        <v>875</v>
      </c>
      <c r="B1023" s="4" t="s">
        <v>3926</v>
      </c>
      <c r="C1023" t="s">
        <v>2765</v>
      </c>
      <c r="D1023">
        <v>75</v>
      </c>
      <c r="E1023">
        <v>80</v>
      </c>
      <c r="F1023">
        <v>110</v>
      </c>
      <c r="G1023">
        <v>65</v>
      </c>
      <c r="H1023">
        <v>90</v>
      </c>
      <c r="I1023">
        <v>50</v>
      </c>
      <c r="J1023">
        <v>470</v>
      </c>
      <c r="K1023">
        <v>78.33</v>
      </c>
      <c r="L1023">
        <f t="shared" si="15"/>
        <v>4</v>
      </c>
    </row>
    <row r="1024" spans="1:12">
      <c r="A1024">
        <v>875</v>
      </c>
      <c r="B1024" s="131" t="s">
        <v>2737</v>
      </c>
      <c r="C1024" t="s">
        <v>2766</v>
      </c>
      <c r="D1024">
        <v>75</v>
      </c>
      <c r="E1024">
        <v>80</v>
      </c>
      <c r="F1024">
        <v>70</v>
      </c>
      <c r="G1024">
        <v>65</v>
      </c>
      <c r="H1024">
        <v>50</v>
      </c>
      <c r="I1024">
        <v>130</v>
      </c>
      <c r="J1024">
        <v>470</v>
      </c>
      <c r="K1024">
        <v>78.33</v>
      </c>
      <c r="L1024">
        <f t="shared" si="15"/>
        <v>4</v>
      </c>
    </row>
    <row r="1025" spans="1:12">
      <c r="A1025">
        <v>876</v>
      </c>
      <c r="B1025" s="4" t="s">
        <v>3927</v>
      </c>
      <c r="C1025" t="s">
        <v>2767</v>
      </c>
      <c r="D1025">
        <v>60</v>
      </c>
      <c r="E1025">
        <v>65</v>
      </c>
      <c r="F1025">
        <v>55</v>
      </c>
      <c r="G1025">
        <v>105</v>
      </c>
      <c r="H1025">
        <v>95</v>
      </c>
      <c r="I1025">
        <v>95</v>
      </c>
      <c r="J1025">
        <v>475</v>
      </c>
      <c r="K1025">
        <v>79.17</v>
      </c>
      <c r="L1025">
        <f t="shared" si="15"/>
        <v>4</v>
      </c>
    </row>
    <row r="1026" spans="1:12">
      <c r="A1026">
        <v>876</v>
      </c>
      <c r="B1026" s="131" t="s">
        <v>2738</v>
      </c>
      <c r="C1026" t="s">
        <v>2768</v>
      </c>
      <c r="D1026">
        <v>70</v>
      </c>
      <c r="E1026">
        <v>55</v>
      </c>
      <c r="F1026">
        <v>65</v>
      </c>
      <c r="G1026">
        <v>95</v>
      </c>
      <c r="H1026">
        <v>105</v>
      </c>
      <c r="I1026">
        <v>85</v>
      </c>
      <c r="J1026">
        <v>475</v>
      </c>
      <c r="K1026">
        <v>79.17</v>
      </c>
      <c r="L1026">
        <f t="shared" si="15"/>
        <v>4</v>
      </c>
    </row>
    <row r="1027" spans="1:12">
      <c r="A1027">
        <v>877</v>
      </c>
      <c r="B1027" s="4" t="s">
        <v>3928</v>
      </c>
      <c r="C1027" t="s">
        <v>2260</v>
      </c>
      <c r="D1027">
        <v>58</v>
      </c>
      <c r="E1027">
        <v>95</v>
      </c>
      <c r="F1027">
        <v>58</v>
      </c>
      <c r="G1027">
        <v>70</v>
      </c>
      <c r="H1027">
        <v>58</v>
      </c>
      <c r="I1027">
        <v>97</v>
      </c>
      <c r="J1027">
        <v>436</v>
      </c>
      <c r="K1027">
        <v>72.67</v>
      </c>
      <c r="L1027">
        <f t="shared" si="15"/>
        <v>4</v>
      </c>
    </row>
    <row r="1028" spans="1:12">
      <c r="A1028">
        <v>878</v>
      </c>
      <c r="B1028" s="4" t="s">
        <v>3929</v>
      </c>
      <c r="C1028" t="s">
        <v>2261</v>
      </c>
      <c r="D1028">
        <v>72</v>
      </c>
      <c r="E1028">
        <v>80</v>
      </c>
      <c r="F1028">
        <v>49</v>
      </c>
      <c r="G1028">
        <v>40</v>
      </c>
      <c r="H1028">
        <v>49</v>
      </c>
      <c r="I1028">
        <v>40</v>
      </c>
      <c r="J1028">
        <v>330</v>
      </c>
      <c r="K1028">
        <v>55</v>
      </c>
      <c r="L1028">
        <f t="shared" ref="L1028:L1063" si="16">LEN(B1028)</f>
        <v>4</v>
      </c>
    </row>
    <row r="1029" spans="1:12">
      <c r="A1029">
        <v>879</v>
      </c>
      <c r="B1029" s="4" t="s">
        <v>3930</v>
      </c>
      <c r="C1029" t="s">
        <v>2262</v>
      </c>
      <c r="D1029">
        <v>122</v>
      </c>
      <c r="E1029">
        <v>130</v>
      </c>
      <c r="F1029">
        <v>69</v>
      </c>
      <c r="G1029">
        <v>80</v>
      </c>
      <c r="H1029">
        <v>69</v>
      </c>
      <c r="I1029">
        <v>30</v>
      </c>
      <c r="J1029">
        <v>500</v>
      </c>
      <c r="K1029">
        <v>83.33</v>
      </c>
      <c r="L1029">
        <f t="shared" si="16"/>
        <v>4</v>
      </c>
    </row>
    <row r="1030" spans="1:12">
      <c r="A1030">
        <v>880</v>
      </c>
      <c r="B1030" s="4" t="s">
        <v>3931</v>
      </c>
      <c r="C1030" t="s">
        <v>2317</v>
      </c>
      <c r="D1030">
        <v>90</v>
      </c>
      <c r="E1030">
        <v>100</v>
      </c>
      <c r="F1030">
        <v>90</v>
      </c>
      <c r="G1030">
        <v>80</v>
      </c>
      <c r="H1030">
        <v>70</v>
      </c>
      <c r="I1030">
        <v>75</v>
      </c>
      <c r="J1030">
        <v>505</v>
      </c>
      <c r="K1030">
        <v>84.17</v>
      </c>
      <c r="L1030">
        <f t="shared" si="16"/>
        <v>4</v>
      </c>
    </row>
    <row r="1031" spans="1:12">
      <c r="A1031">
        <v>881</v>
      </c>
      <c r="B1031" s="4" t="s">
        <v>3932</v>
      </c>
      <c r="C1031" t="s">
        <v>2318</v>
      </c>
      <c r="D1031">
        <v>90</v>
      </c>
      <c r="E1031">
        <v>100</v>
      </c>
      <c r="F1031">
        <v>90</v>
      </c>
      <c r="G1031">
        <v>90</v>
      </c>
      <c r="H1031">
        <v>80</v>
      </c>
      <c r="I1031">
        <v>55</v>
      </c>
      <c r="J1031">
        <v>505</v>
      </c>
      <c r="K1031">
        <v>84.17</v>
      </c>
      <c r="L1031">
        <f t="shared" si="16"/>
        <v>4</v>
      </c>
    </row>
    <row r="1032" spans="1:12">
      <c r="A1032">
        <v>882</v>
      </c>
      <c r="B1032" s="4" t="s">
        <v>3933</v>
      </c>
      <c r="C1032" t="s">
        <v>2319</v>
      </c>
      <c r="D1032">
        <v>90</v>
      </c>
      <c r="E1032">
        <v>90</v>
      </c>
      <c r="F1032">
        <v>100</v>
      </c>
      <c r="G1032">
        <v>70</v>
      </c>
      <c r="H1032">
        <v>80</v>
      </c>
      <c r="I1032">
        <v>75</v>
      </c>
      <c r="J1032">
        <v>505</v>
      </c>
      <c r="K1032">
        <v>84.17</v>
      </c>
      <c r="L1032">
        <f t="shared" si="16"/>
        <v>4</v>
      </c>
    </row>
    <row r="1033" spans="1:12">
      <c r="A1033">
        <v>883</v>
      </c>
      <c r="B1033" s="4" t="s">
        <v>3934</v>
      </c>
      <c r="C1033" t="s">
        <v>2320</v>
      </c>
      <c r="D1033">
        <v>90</v>
      </c>
      <c r="E1033">
        <v>90</v>
      </c>
      <c r="F1033">
        <v>100</v>
      </c>
      <c r="G1033">
        <v>80</v>
      </c>
      <c r="H1033">
        <v>90</v>
      </c>
      <c r="I1033">
        <v>55</v>
      </c>
      <c r="J1033">
        <v>505</v>
      </c>
      <c r="K1033">
        <v>84.17</v>
      </c>
      <c r="L1033">
        <f t="shared" si="16"/>
        <v>4</v>
      </c>
    </row>
    <row r="1034" spans="1:12">
      <c r="A1034">
        <v>884</v>
      </c>
      <c r="B1034" s="4" t="s">
        <v>3935</v>
      </c>
      <c r="C1034" t="s">
        <v>2263</v>
      </c>
      <c r="D1034">
        <v>70</v>
      </c>
      <c r="E1034">
        <v>95</v>
      </c>
      <c r="F1034">
        <v>115</v>
      </c>
      <c r="G1034">
        <v>120</v>
      </c>
      <c r="H1034">
        <v>50</v>
      </c>
      <c r="I1034">
        <v>85</v>
      </c>
      <c r="J1034">
        <v>535</v>
      </c>
      <c r="K1034">
        <v>89.17</v>
      </c>
      <c r="L1034">
        <f t="shared" si="16"/>
        <v>4</v>
      </c>
    </row>
    <row r="1035" spans="1:12">
      <c r="A1035">
        <v>885</v>
      </c>
      <c r="B1035" s="4" t="s">
        <v>3936</v>
      </c>
      <c r="C1035" t="s">
        <v>2264</v>
      </c>
      <c r="D1035">
        <v>28</v>
      </c>
      <c r="E1035">
        <v>60</v>
      </c>
      <c r="F1035">
        <v>30</v>
      </c>
      <c r="G1035">
        <v>40</v>
      </c>
      <c r="H1035">
        <v>30</v>
      </c>
      <c r="I1035">
        <v>82</v>
      </c>
      <c r="J1035">
        <v>270</v>
      </c>
      <c r="K1035">
        <v>45</v>
      </c>
      <c r="L1035">
        <f t="shared" si="16"/>
        <v>4</v>
      </c>
    </row>
    <row r="1036" spans="1:12">
      <c r="A1036">
        <v>886</v>
      </c>
      <c r="B1036" s="4" t="s">
        <v>3937</v>
      </c>
      <c r="C1036" t="s">
        <v>2265</v>
      </c>
      <c r="D1036">
        <v>68</v>
      </c>
      <c r="E1036">
        <v>80</v>
      </c>
      <c r="F1036">
        <v>50</v>
      </c>
      <c r="G1036">
        <v>60</v>
      </c>
      <c r="H1036">
        <v>50</v>
      </c>
      <c r="I1036">
        <v>102</v>
      </c>
      <c r="J1036">
        <v>410</v>
      </c>
      <c r="K1036">
        <v>68.33</v>
      </c>
      <c r="L1036">
        <f t="shared" si="16"/>
        <v>4</v>
      </c>
    </row>
    <row r="1037" spans="1:12">
      <c r="A1037">
        <v>887</v>
      </c>
      <c r="B1037" s="4" t="s">
        <v>3938</v>
      </c>
      <c r="C1037" t="s">
        <v>2266</v>
      </c>
      <c r="D1037">
        <v>88</v>
      </c>
      <c r="E1037">
        <v>120</v>
      </c>
      <c r="F1037">
        <v>75</v>
      </c>
      <c r="G1037">
        <v>100</v>
      </c>
      <c r="H1037">
        <v>75</v>
      </c>
      <c r="I1037">
        <v>142</v>
      </c>
      <c r="J1037">
        <v>600</v>
      </c>
      <c r="K1037">
        <v>100</v>
      </c>
      <c r="L1037">
        <f t="shared" si="16"/>
        <v>4</v>
      </c>
    </row>
    <row r="1038" spans="1:12">
      <c r="A1038">
        <v>888</v>
      </c>
      <c r="B1038" s="4" t="s">
        <v>3939</v>
      </c>
      <c r="C1038" t="s">
        <v>2769</v>
      </c>
      <c r="D1038">
        <v>92</v>
      </c>
      <c r="E1038">
        <v>130</v>
      </c>
      <c r="F1038">
        <v>115</v>
      </c>
      <c r="G1038">
        <v>80</v>
      </c>
      <c r="H1038">
        <v>115</v>
      </c>
      <c r="I1038">
        <v>138</v>
      </c>
      <c r="J1038">
        <v>670</v>
      </c>
      <c r="K1038">
        <v>111.67</v>
      </c>
      <c r="L1038">
        <f t="shared" si="16"/>
        <v>4</v>
      </c>
    </row>
    <row r="1039" spans="1:12">
      <c r="A1039">
        <v>888</v>
      </c>
      <c r="B1039" s="131" t="s">
        <v>2739</v>
      </c>
      <c r="C1039" t="s">
        <v>2770</v>
      </c>
      <c r="D1039">
        <v>92</v>
      </c>
      <c r="E1039">
        <v>170</v>
      </c>
      <c r="F1039">
        <v>115</v>
      </c>
      <c r="G1039">
        <v>80</v>
      </c>
      <c r="H1039">
        <v>115</v>
      </c>
      <c r="I1039">
        <v>148</v>
      </c>
      <c r="J1039">
        <v>720</v>
      </c>
      <c r="K1039">
        <v>120</v>
      </c>
      <c r="L1039">
        <f t="shared" si="16"/>
        <v>4</v>
      </c>
    </row>
    <row r="1040" spans="1:12">
      <c r="A1040">
        <v>889</v>
      </c>
      <c r="B1040" s="4" t="s">
        <v>3940</v>
      </c>
      <c r="C1040" t="s">
        <v>2771</v>
      </c>
      <c r="D1040">
        <v>92</v>
      </c>
      <c r="E1040">
        <v>130</v>
      </c>
      <c r="F1040">
        <v>115</v>
      </c>
      <c r="G1040">
        <v>80</v>
      </c>
      <c r="H1040">
        <v>115</v>
      </c>
      <c r="I1040">
        <v>138</v>
      </c>
      <c r="J1040">
        <v>670</v>
      </c>
      <c r="K1040">
        <v>111.67</v>
      </c>
      <c r="L1040">
        <f t="shared" si="16"/>
        <v>4</v>
      </c>
    </row>
    <row r="1041" spans="1:12">
      <c r="A1041">
        <v>889</v>
      </c>
      <c r="B1041" s="131" t="s">
        <v>2740</v>
      </c>
      <c r="C1041" t="s">
        <v>2772</v>
      </c>
      <c r="D1041">
        <v>92</v>
      </c>
      <c r="E1041">
        <v>130</v>
      </c>
      <c r="F1041">
        <v>145</v>
      </c>
      <c r="G1041">
        <v>80</v>
      </c>
      <c r="H1041">
        <v>145</v>
      </c>
      <c r="I1041">
        <v>128</v>
      </c>
      <c r="J1041">
        <v>720</v>
      </c>
      <c r="K1041">
        <v>120</v>
      </c>
      <c r="L1041">
        <f t="shared" si="16"/>
        <v>4</v>
      </c>
    </row>
    <row r="1042" spans="1:12">
      <c r="A1042">
        <v>890</v>
      </c>
      <c r="B1042" s="4" t="s">
        <v>3941</v>
      </c>
      <c r="C1042" t="s">
        <v>2323</v>
      </c>
      <c r="D1042">
        <v>140</v>
      </c>
      <c r="E1042">
        <v>85</v>
      </c>
      <c r="F1042">
        <v>95</v>
      </c>
      <c r="G1042">
        <v>145</v>
      </c>
      <c r="H1042">
        <v>95</v>
      </c>
      <c r="I1042">
        <v>130</v>
      </c>
      <c r="J1042">
        <v>690</v>
      </c>
      <c r="K1042">
        <v>115</v>
      </c>
      <c r="L1042">
        <f t="shared" si="16"/>
        <v>4</v>
      </c>
    </row>
    <row r="1043" spans="1:12">
      <c r="A1043">
        <v>890</v>
      </c>
      <c r="B1043" s="131" t="s">
        <v>2741</v>
      </c>
      <c r="C1043" t="s">
        <v>2773</v>
      </c>
      <c r="D1043">
        <v>255</v>
      </c>
      <c r="E1043">
        <v>115</v>
      </c>
      <c r="F1043">
        <v>250</v>
      </c>
      <c r="G1043">
        <v>125</v>
      </c>
      <c r="H1043">
        <v>250</v>
      </c>
      <c r="I1043">
        <v>130</v>
      </c>
      <c r="J1043">
        <v>1125</v>
      </c>
      <c r="K1043">
        <v>187.5</v>
      </c>
      <c r="L1043">
        <f t="shared" si="16"/>
        <v>4</v>
      </c>
    </row>
    <row r="1044" spans="1:12">
      <c r="A1044">
        <v>891</v>
      </c>
      <c r="B1044" s="4" t="s">
        <v>3942</v>
      </c>
      <c r="C1044" t="s">
        <v>2166</v>
      </c>
      <c r="D1044">
        <v>60</v>
      </c>
      <c r="E1044">
        <v>90</v>
      </c>
      <c r="F1044">
        <v>60</v>
      </c>
      <c r="G1044">
        <v>53</v>
      </c>
      <c r="H1044">
        <v>50</v>
      </c>
      <c r="I1044">
        <v>72</v>
      </c>
      <c r="J1044">
        <v>385</v>
      </c>
      <c r="K1044">
        <v>64.17</v>
      </c>
      <c r="L1044">
        <f t="shared" si="16"/>
        <v>4</v>
      </c>
    </row>
    <row r="1045" spans="1:12">
      <c r="A1045">
        <v>892</v>
      </c>
      <c r="B1045" s="4" t="s">
        <v>3943</v>
      </c>
      <c r="C1045" t="s">
        <v>2774</v>
      </c>
      <c r="D1045">
        <v>100</v>
      </c>
      <c r="E1045">
        <v>130</v>
      </c>
      <c r="F1045">
        <v>100</v>
      </c>
      <c r="G1045">
        <v>63</v>
      </c>
      <c r="H1045">
        <v>60</v>
      </c>
      <c r="I1045">
        <v>97</v>
      </c>
      <c r="J1045">
        <v>550</v>
      </c>
      <c r="K1045">
        <v>91.67</v>
      </c>
      <c r="L1045">
        <f t="shared" si="16"/>
        <v>4</v>
      </c>
    </row>
    <row r="1046" spans="1:12">
      <c r="A1046">
        <v>892</v>
      </c>
      <c r="B1046" s="4" t="s">
        <v>3943</v>
      </c>
      <c r="C1046" t="s">
        <v>2775</v>
      </c>
      <c r="D1046">
        <v>100</v>
      </c>
      <c r="E1046">
        <v>130</v>
      </c>
      <c r="F1046">
        <v>100</v>
      </c>
      <c r="G1046">
        <v>63</v>
      </c>
      <c r="H1046">
        <v>60</v>
      </c>
      <c r="I1046">
        <v>97</v>
      </c>
      <c r="J1046">
        <v>550</v>
      </c>
      <c r="K1046">
        <v>91.67</v>
      </c>
      <c r="L1046">
        <f t="shared" si="16"/>
        <v>4</v>
      </c>
    </row>
    <row r="1047" spans="1:12">
      <c r="A1047">
        <v>893</v>
      </c>
      <c r="B1047" s="4" t="s">
        <v>3944</v>
      </c>
      <c r="C1047" t="s">
        <v>2324</v>
      </c>
      <c r="D1047">
        <v>105</v>
      </c>
      <c r="E1047">
        <v>120</v>
      </c>
      <c r="F1047">
        <v>105</v>
      </c>
      <c r="G1047">
        <v>70</v>
      </c>
      <c r="H1047">
        <v>95</v>
      </c>
      <c r="I1047">
        <v>105</v>
      </c>
      <c r="J1047">
        <v>600</v>
      </c>
      <c r="K1047">
        <v>100</v>
      </c>
      <c r="L1047">
        <f t="shared" si="16"/>
        <v>4</v>
      </c>
    </row>
    <row r="1048" spans="1:12">
      <c r="A1048">
        <v>894</v>
      </c>
      <c r="B1048" s="4" t="s">
        <v>3945</v>
      </c>
      <c r="C1048" t="s">
        <v>2325</v>
      </c>
      <c r="D1048">
        <v>80</v>
      </c>
      <c r="E1048">
        <v>100</v>
      </c>
      <c r="F1048">
        <v>50</v>
      </c>
      <c r="G1048">
        <v>100</v>
      </c>
      <c r="H1048">
        <v>50</v>
      </c>
      <c r="I1048">
        <v>200</v>
      </c>
      <c r="J1048">
        <v>580</v>
      </c>
      <c r="K1048">
        <v>96.67</v>
      </c>
      <c r="L1048">
        <f t="shared" si="16"/>
        <v>4</v>
      </c>
    </row>
    <row r="1049" spans="1:12">
      <c r="A1049">
        <v>895</v>
      </c>
      <c r="B1049" s="4" t="s">
        <v>3946</v>
      </c>
      <c r="C1049" t="s">
        <v>2326</v>
      </c>
      <c r="D1049">
        <v>200</v>
      </c>
      <c r="E1049">
        <v>100</v>
      </c>
      <c r="F1049">
        <v>50</v>
      </c>
      <c r="G1049">
        <v>100</v>
      </c>
      <c r="H1049">
        <v>50</v>
      </c>
      <c r="I1049">
        <v>80</v>
      </c>
      <c r="J1049">
        <v>580</v>
      </c>
      <c r="K1049">
        <v>96.67</v>
      </c>
      <c r="L1049">
        <f t="shared" si="16"/>
        <v>4</v>
      </c>
    </row>
    <row r="1050" spans="1:12">
      <c r="A1050">
        <v>896</v>
      </c>
      <c r="B1050" s="4" t="s">
        <v>3947</v>
      </c>
      <c r="C1050" t="s">
        <v>2327</v>
      </c>
      <c r="D1050">
        <v>100</v>
      </c>
      <c r="E1050">
        <v>145</v>
      </c>
      <c r="F1050">
        <v>130</v>
      </c>
      <c r="G1050">
        <v>65</v>
      </c>
      <c r="H1050">
        <v>110</v>
      </c>
      <c r="I1050">
        <v>30</v>
      </c>
      <c r="J1050">
        <v>580</v>
      </c>
      <c r="K1050">
        <v>96.67</v>
      </c>
      <c r="L1050">
        <f t="shared" si="16"/>
        <v>4</v>
      </c>
    </row>
    <row r="1051" spans="1:12">
      <c r="A1051">
        <v>897</v>
      </c>
      <c r="B1051" s="4" t="s">
        <v>3948</v>
      </c>
      <c r="C1051" t="s">
        <v>2328</v>
      </c>
      <c r="D1051">
        <v>100</v>
      </c>
      <c r="E1051">
        <v>65</v>
      </c>
      <c r="F1051">
        <v>60</v>
      </c>
      <c r="G1051">
        <v>145</v>
      </c>
      <c r="H1051">
        <v>80</v>
      </c>
      <c r="I1051">
        <v>130</v>
      </c>
      <c r="J1051">
        <v>580</v>
      </c>
      <c r="K1051">
        <v>96.67</v>
      </c>
      <c r="L1051">
        <f t="shared" si="16"/>
        <v>4</v>
      </c>
    </row>
    <row r="1052" spans="1:12">
      <c r="A1052">
        <v>898</v>
      </c>
      <c r="B1052" s="4" t="s">
        <v>3949</v>
      </c>
      <c r="C1052" t="s">
        <v>2329</v>
      </c>
      <c r="D1052">
        <v>100</v>
      </c>
      <c r="E1052">
        <v>80</v>
      </c>
      <c r="F1052">
        <v>80</v>
      </c>
      <c r="G1052">
        <v>80</v>
      </c>
      <c r="H1052">
        <v>80</v>
      </c>
      <c r="I1052">
        <v>80</v>
      </c>
      <c r="J1052">
        <v>500</v>
      </c>
      <c r="K1052">
        <v>83.33</v>
      </c>
      <c r="L1052">
        <f t="shared" si="16"/>
        <v>4</v>
      </c>
    </row>
    <row r="1053" spans="1:12">
      <c r="A1053">
        <v>898</v>
      </c>
      <c r="B1053" s="131" t="s">
        <v>2742</v>
      </c>
      <c r="C1053" t="s">
        <v>2776</v>
      </c>
      <c r="D1053">
        <v>100</v>
      </c>
      <c r="E1053">
        <v>165</v>
      </c>
      <c r="F1053">
        <v>150</v>
      </c>
      <c r="G1053">
        <v>85</v>
      </c>
      <c r="H1053">
        <v>130</v>
      </c>
      <c r="I1053">
        <v>50</v>
      </c>
      <c r="J1053">
        <v>680</v>
      </c>
      <c r="K1053">
        <v>113.33</v>
      </c>
      <c r="L1053">
        <f t="shared" si="16"/>
        <v>4</v>
      </c>
    </row>
    <row r="1054" spans="1:12">
      <c r="A1054">
        <v>898</v>
      </c>
      <c r="B1054" s="131" t="s">
        <v>2743</v>
      </c>
      <c r="C1054" t="s">
        <v>2777</v>
      </c>
      <c r="D1054">
        <v>100</v>
      </c>
      <c r="E1054">
        <v>85</v>
      </c>
      <c r="F1054">
        <v>80</v>
      </c>
      <c r="G1054">
        <v>165</v>
      </c>
      <c r="H1054">
        <v>100</v>
      </c>
      <c r="I1054">
        <v>150</v>
      </c>
      <c r="J1054">
        <v>680</v>
      </c>
      <c r="K1054">
        <v>113.33</v>
      </c>
      <c r="L1054">
        <f t="shared" si="16"/>
        <v>4</v>
      </c>
    </row>
    <row r="1055" spans="1:12">
      <c r="A1055">
        <v>899</v>
      </c>
      <c r="B1055" s="4" t="s">
        <v>3950</v>
      </c>
      <c r="C1055" t="s">
        <v>2338</v>
      </c>
      <c r="D1055">
        <v>103</v>
      </c>
      <c r="E1055">
        <v>105</v>
      </c>
      <c r="F1055">
        <v>72</v>
      </c>
      <c r="G1055">
        <v>105</v>
      </c>
      <c r="H1055">
        <v>75</v>
      </c>
      <c r="I1055">
        <v>65</v>
      </c>
      <c r="J1055">
        <v>525</v>
      </c>
      <c r="K1055">
        <v>87.5</v>
      </c>
      <c r="L1055">
        <f t="shared" si="16"/>
        <v>4</v>
      </c>
    </row>
    <row r="1056" spans="1:12">
      <c r="A1056">
        <v>900</v>
      </c>
      <c r="B1056" s="4" t="s">
        <v>3951</v>
      </c>
      <c r="C1056" t="s">
        <v>2339</v>
      </c>
      <c r="D1056">
        <v>70</v>
      </c>
      <c r="E1056">
        <v>135</v>
      </c>
      <c r="F1056">
        <v>95</v>
      </c>
      <c r="G1056">
        <v>45</v>
      </c>
      <c r="H1056">
        <v>70</v>
      </c>
      <c r="I1056">
        <v>85</v>
      </c>
      <c r="J1056">
        <v>500</v>
      </c>
      <c r="K1056">
        <v>83.33</v>
      </c>
      <c r="L1056">
        <f t="shared" si="16"/>
        <v>4</v>
      </c>
    </row>
    <row r="1057" spans="1:12">
      <c r="A1057">
        <v>901</v>
      </c>
      <c r="B1057" s="4" t="s">
        <v>3952</v>
      </c>
      <c r="C1057" t="s">
        <v>2340</v>
      </c>
      <c r="D1057">
        <v>130</v>
      </c>
      <c r="E1057">
        <v>140</v>
      </c>
      <c r="F1057">
        <v>105</v>
      </c>
      <c r="G1057">
        <v>45</v>
      </c>
      <c r="H1057">
        <v>80</v>
      </c>
      <c r="I1057">
        <v>50</v>
      </c>
      <c r="J1057">
        <v>550</v>
      </c>
      <c r="K1057">
        <v>91.67</v>
      </c>
      <c r="L1057">
        <f t="shared" si="16"/>
        <v>4</v>
      </c>
    </row>
    <row r="1058" spans="1:12">
      <c r="A1058">
        <v>902</v>
      </c>
      <c r="B1058" s="4" t="s">
        <v>3953</v>
      </c>
      <c r="C1058" t="s">
        <v>2778</v>
      </c>
      <c r="D1058">
        <v>120</v>
      </c>
      <c r="E1058">
        <v>112</v>
      </c>
      <c r="F1058">
        <v>65</v>
      </c>
      <c r="G1058">
        <v>80</v>
      </c>
      <c r="H1058">
        <v>75</v>
      </c>
      <c r="I1058">
        <v>78</v>
      </c>
      <c r="J1058">
        <v>530</v>
      </c>
      <c r="K1058">
        <v>88.33</v>
      </c>
      <c r="L1058">
        <f t="shared" si="16"/>
        <v>4</v>
      </c>
    </row>
    <row r="1059" spans="1:12">
      <c r="A1059">
        <v>902</v>
      </c>
      <c r="B1059" s="131" t="s">
        <v>2744</v>
      </c>
      <c r="C1059" t="s">
        <v>2779</v>
      </c>
      <c r="D1059">
        <v>120</v>
      </c>
      <c r="E1059">
        <v>92</v>
      </c>
      <c r="F1059">
        <v>65</v>
      </c>
      <c r="G1059">
        <v>100</v>
      </c>
      <c r="H1059">
        <v>75</v>
      </c>
      <c r="I1059">
        <v>78</v>
      </c>
      <c r="J1059">
        <v>530</v>
      </c>
      <c r="K1059">
        <v>88.33</v>
      </c>
      <c r="L1059">
        <f t="shared" si="16"/>
        <v>4</v>
      </c>
    </row>
    <row r="1060" spans="1:12">
      <c r="A1060">
        <v>903</v>
      </c>
      <c r="B1060" s="4" t="s">
        <v>3954</v>
      </c>
      <c r="C1060" t="s">
        <v>2342</v>
      </c>
      <c r="D1060">
        <v>80</v>
      </c>
      <c r="E1060">
        <v>130</v>
      </c>
      <c r="F1060">
        <v>60</v>
      </c>
      <c r="G1060">
        <v>40</v>
      </c>
      <c r="H1060">
        <v>80</v>
      </c>
      <c r="I1060">
        <v>120</v>
      </c>
      <c r="J1060">
        <v>510</v>
      </c>
      <c r="K1060">
        <v>85</v>
      </c>
      <c r="L1060">
        <f t="shared" si="16"/>
        <v>4</v>
      </c>
    </row>
    <row r="1061" spans="1:12">
      <c r="A1061">
        <v>904</v>
      </c>
      <c r="B1061" s="4" t="s">
        <v>3955</v>
      </c>
      <c r="C1061" t="s">
        <v>2343</v>
      </c>
      <c r="D1061">
        <v>85</v>
      </c>
      <c r="E1061">
        <v>115</v>
      </c>
      <c r="F1061">
        <v>95</v>
      </c>
      <c r="G1061">
        <v>65</v>
      </c>
      <c r="H1061">
        <v>65</v>
      </c>
      <c r="I1061">
        <v>85</v>
      </c>
      <c r="J1061">
        <v>510</v>
      </c>
      <c r="K1061">
        <v>85</v>
      </c>
      <c r="L1061">
        <f t="shared" si="16"/>
        <v>4</v>
      </c>
    </row>
    <row r="1062" spans="1:12">
      <c r="A1062">
        <v>905</v>
      </c>
      <c r="B1062" s="4" t="s">
        <v>3956</v>
      </c>
      <c r="C1062" t="s">
        <v>2780</v>
      </c>
      <c r="D1062">
        <v>74</v>
      </c>
      <c r="E1062">
        <v>115</v>
      </c>
      <c r="F1062">
        <v>70</v>
      </c>
      <c r="G1062">
        <v>135</v>
      </c>
      <c r="H1062">
        <v>80</v>
      </c>
      <c r="I1062">
        <v>106</v>
      </c>
      <c r="J1062">
        <v>580</v>
      </c>
      <c r="K1062">
        <v>96.67</v>
      </c>
      <c r="L1062">
        <f t="shared" si="16"/>
        <v>4</v>
      </c>
    </row>
    <row r="1063" spans="1:12">
      <c r="A1063">
        <v>905</v>
      </c>
      <c r="B1063" s="131" t="s">
        <v>2745</v>
      </c>
      <c r="C1063" t="s">
        <v>2781</v>
      </c>
      <c r="D1063">
        <v>74</v>
      </c>
      <c r="E1063">
        <v>115</v>
      </c>
      <c r="F1063">
        <v>110</v>
      </c>
      <c r="G1063">
        <v>135</v>
      </c>
      <c r="H1063">
        <v>100</v>
      </c>
      <c r="I1063">
        <v>46</v>
      </c>
      <c r="J1063">
        <v>580</v>
      </c>
      <c r="K1063">
        <v>96.67</v>
      </c>
      <c r="L1063">
        <f t="shared" si="16"/>
        <v>4</v>
      </c>
    </row>
    <row r="1065" spans="1:12" ht="121">
      <c r="D1065" s="134" t="s">
        <v>3970</v>
      </c>
      <c r="E1065" s="134" t="s">
        <v>4479</v>
      </c>
      <c r="F1065" s="134" t="s">
        <v>3972</v>
      </c>
      <c r="G1065" s="134" t="s">
        <v>4479</v>
      </c>
      <c r="H1065" s="134" t="s">
        <v>3972</v>
      </c>
      <c r="I1065" s="134" t="s">
        <v>3971</v>
      </c>
    </row>
  </sheetData>
  <phoneticPr fontId="3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3EF5-D0DB-DA48-91A2-57E3E591909A}">
  <sheetPr codeName="Hoja1"/>
  <dimension ref="B2:J12"/>
  <sheetViews>
    <sheetView topLeftCell="B1" workbookViewId="0">
      <selection activeCell="G4" sqref="G4"/>
    </sheetView>
  </sheetViews>
  <sheetFormatPr baseColWidth="10" defaultRowHeight="15"/>
  <cols>
    <col min="6" max="6" width="12" bestFit="1" customWidth="1"/>
    <col min="7" max="7" width="18.6640625" bestFit="1" customWidth="1"/>
  </cols>
  <sheetData>
    <row r="2" spans="2:10">
      <c r="B2" s="107" t="s">
        <v>1979</v>
      </c>
      <c r="C2" s="107" t="s">
        <v>1990</v>
      </c>
      <c r="D2" s="107" t="s">
        <v>1992</v>
      </c>
      <c r="E2" s="107" t="s">
        <v>1991</v>
      </c>
      <c r="F2" s="107" t="s">
        <v>2001</v>
      </c>
      <c r="G2" s="107" t="s">
        <v>2020</v>
      </c>
      <c r="H2" s="107" t="s">
        <v>2021</v>
      </c>
      <c r="I2" s="107" t="s">
        <v>2027</v>
      </c>
      <c r="J2" s="107" t="s">
        <v>1989</v>
      </c>
    </row>
    <row r="3" spans="2:10">
      <c r="B3" t="s">
        <v>1980</v>
      </c>
      <c r="C3" t="s">
        <v>1993</v>
      </c>
      <c r="D3" t="s">
        <v>1995</v>
      </c>
      <c r="E3" t="s">
        <v>1997</v>
      </c>
      <c r="F3" t="s">
        <v>2002</v>
      </c>
      <c r="G3" t="s">
        <v>2019</v>
      </c>
      <c r="H3" t="s">
        <v>2022</v>
      </c>
      <c r="I3" t="s">
        <v>2024</v>
      </c>
      <c r="J3">
        <v>30</v>
      </c>
    </row>
    <row r="4" spans="2:10">
      <c r="B4" t="s">
        <v>1981</v>
      </c>
      <c r="C4" t="s">
        <v>1994</v>
      </c>
      <c r="D4" t="s">
        <v>1996</v>
      </c>
      <c r="E4" t="s">
        <v>1998</v>
      </c>
      <c r="F4" t="s">
        <v>2006</v>
      </c>
      <c r="G4" t="s">
        <v>2007</v>
      </c>
      <c r="H4" t="s">
        <v>2023</v>
      </c>
      <c r="I4" t="s">
        <v>2025</v>
      </c>
      <c r="J4">
        <v>45</v>
      </c>
    </row>
    <row r="5" spans="2:10">
      <c r="B5" t="s">
        <v>1982</v>
      </c>
      <c r="E5" t="s">
        <v>1999</v>
      </c>
      <c r="F5" t="s">
        <v>2003</v>
      </c>
      <c r="G5" t="s">
        <v>2008</v>
      </c>
      <c r="I5" t="s">
        <v>2026</v>
      </c>
      <c r="J5">
        <v>60</v>
      </c>
    </row>
    <row r="6" spans="2:10">
      <c r="B6" t="s">
        <v>1983</v>
      </c>
      <c r="E6" t="s">
        <v>2000</v>
      </c>
      <c r="F6" t="s">
        <v>2009</v>
      </c>
      <c r="G6" t="s">
        <v>2010</v>
      </c>
      <c r="J6">
        <v>75</v>
      </c>
    </row>
    <row r="7" spans="2:10">
      <c r="B7" t="s">
        <v>1984</v>
      </c>
      <c r="F7" t="s">
        <v>2011</v>
      </c>
      <c r="G7" t="s">
        <v>113</v>
      </c>
    </row>
    <row r="8" spans="2:10">
      <c r="B8" t="s">
        <v>1985</v>
      </c>
      <c r="F8" t="s">
        <v>2012</v>
      </c>
      <c r="G8" t="s">
        <v>2013</v>
      </c>
    </row>
    <row r="9" spans="2:10">
      <c r="B9" t="s">
        <v>1986</v>
      </c>
      <c r="F9" t="s">
        <v>2014</v>
      </c>
      <c r="G9" t="s">
        <v>2015</v>
      </c>
    </row>
    <row r="10" spans="2:10">
      <c r="B10" t="s">
        <v>1987</v>
      </c>
      <c r="F10" t="s">
        <v>2004</v>
      </c>
      <c r="G10" t="s">
        <v>2016</v>
      </c>
    </row>
    <row r="11" spans="2:10">
      <c r="B11" t="s">
        <v>1988</v>
      </c>
      <c r="F11" t="s">
        <v>2005</v>
      </c>
      <c r="G11" t="s">
        <v>2017</v>
      </c>
    </row>
    <row r="12" spans="2:10">
      <c r="F12" t="s">
        <v>2018</v>
      </c>
      <c r="G12"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12A5-72CE-8E43-8717-6DC00CF34293}">
  <sheetPr codeName="Hoja3"/>
  <dimension ref="C1:M906"/>
  <sheetViews>
    <sheetView topLeftCell="A879" zoomScale="82" workbookViewId="0">
      <selection activeCell="F901" sqref="F901"/>
    </sheetView>
  </sheetViews>
  <sheetFormatPr baseColWidth="10" defaultRowHeight="15"/>
  <sheetData>
    <row r="1" spans="3:13">
      <c r="F1" t="s">
        <v>1993</v>
      </c>
      <c r="G1" t="s">
        <v>1994</v>
      </c>
      <c r="M1" t="s">
        <v>2345</v>
      </c>
    </row>
    <row r="2" spans="3:13">
      <c r="C2">
        <v>1</v>
      </c>
      <c r="D2" t="s">
        <v>13</v>
      </c>
      <c r="E2" t="s">
        <v>13</v>
      </c>
      <c r="F2">
        <v>0.85</v>
      </c>
      <c r="G2">
        <v>0.15</v>
      </c>
      <c r="J2">
        <v>23</v>
      </c>
      <c r="K2" t="s">
        <v>43</v>
      </c>
      <c r="L2" t="s">
        <v>43</v>
      </c>
      <c r="M2" t="s">
        <v>2332</v>
      </c>
    </row>
    <row r="3" spans="3:13">
      <c r="C3">
        <v>2</v>
      </c>
      <c r="D3" t="s">
        <v>16</v>
      </c>
      <c r="E3" t="s">
        <v>16</v>
      </c>
      <c r="F3">
        <v>0.85</v>
      </c>
      <c r="G3">
        <v>0.15</v>
      </c>
      <c r="J3">
        <v>24</v>
      </c>
      <c r="K3" t="s">
        <v>44</v>
      </c>
      <c r="L3" t="s">
        <v>44</v>
      </c>
      <c r="M3" t="s">
        <v>2332</v>
      </c>
    </row>
    <row r="4" spans="3:13">
      <c r="C4">
        <v>3</v>
      </c>
      <c r="D4" t="s">
        <v>17</v>
      </c>
      <c r="E4" t="s">
        <v>17</v>
      </c>
      <c r="F4">
        <v>0.85</v>
      </c>
      <c r="G4">
        <v>0.15</v>
      </c>
      <c r="J4">
        <v>25</v>
      </c>
      <c r="K4" t="s">
        <v>45</v>
      </c>
      <c r="L4" t="s">
        <v>45</v>
      </c>
      <c r="M4" t="s">
        <v>56</v>
      </c>
    </row>
    <row r="5" spans="3:13">
      <c r="C5">
        <v>4</v>
      </c>
      <c r="D5" t="s">
        <v>18</v>
      </c>
      <c r="E5" t="s">
        <v>18</v>
      </c>
      <c r="F5">
        <v>0.85</v>
      </c>
      <c r="G5">
        <v>0.15</v>
      </c>
      <c r="J5">
        <v>26</v>
      </c>
      <c r="K5" t="s">
        <v>47</v>
      </c>
      <c r="L5" t="s">
        <v>47</v>
      </c>
      <c r="M5" t="s">
        <v>56</v>
      </c>
    </row>
    <row r="6" spans="3:13">
      <c r="C6">
        <v>5</v>
      </c>
      <c r="D6" t="s">
        <v>20</v>
      </c>
      <c r="E6" t="s">
        <v>20</v>
      </c>
      <c r="F6">
        <v>0.85</v>
      </c>
      <c r="G6">
        <v>0.15</v>
      </c>
      <c r="J6">
        <v>27</v>
      </c>
      <c r="K6" t="s">
        <v>48</v>
      </c>
      <c r="L6" t="s">
        <v>48</v>
      </c>
      <c r="M6" t="s">
        <v>2332</v>
      </c>
    </row>
    <row r="7" spans="3:13">
      <c r="C7">
        <v>6</v>
      </c>
      <c r="D7" t="s">
        <v>21</v>
      </c>
      <c r="E7" t="s">
        <v>21</v>
      </c>
      <c r="F7">
        <v>0.85</v>
      </c>
      <c r="G7">
        <v>0.15</v>
      </c>
      <c r="J7">
        <v>28</v>
      </c>
      <c r="K7" t="s">
        <v>50</v>
      </c>
      <c r="L7" t="s">
        <v>50</v>
      </c>
      <c r="M7" t="s">
        <v>2332</v>
      </c>
    </row>
    <row r="8" spans="3:13">
      <c r="C8">
        <v>7</v>
      </c>
      <c r="D8" t="s">
        <v>24</v>
      </c>
      <c r="E8" t="s">
        <v>24</v>
      </c>
      <c r="F8">
        <v>0.85</v>
      </c>
      <c r="G8">
        <v>0.15</v>
      </c>
      <c r="J8">
        <v>29</v>
      </c>
      <c r="K8" t="s">
        <v>2131</v>
      </c>
      <c r="L8" t="s">
        <v>2131</v>
      </c>
      <c r="M8" t="s">
        <v>2332</v>
      </c>
    </row>
    <row r="9" spans="3:13">
      <c r="C9">
        <v>8</v>
      </c>
      <c r="D9" t="s">
        <v>26</v>
      </c>
      <c r="E9" t="s">
        <v>26</v>
      </c>
      <c r="F9">
        <v>0.85</v>
      </c>
      <c r="G9">
        <v>0.15</v>
      </c>
      <c r="J9">
        <v>30</v>
      </c>
      <c r="K9" t="s">
        <v>51</v>
      </c>
      <c r="L9" t="s">
        <v>51</v>
      </c>
      <c r="M9" t="s">
        <v>2333</v>
      </c>
    </row>
    <row r="10" spans="3:13">
      <c r="C10">
        <v>9</v>
      </c>
      <c r="D10" t="s">
        <v>27</v>
      </c>
      <c r="E10" t="s">
        <v>27</v>
      </c>
      <c r="F10">
        <v>0.85</v>
      </c>
      <c r="G10">
        <v>0.15</v>
      </c>
      <c r="J10">
        <v>31</v>
      </c>
      <c r="K10" t="s">
        <v>52</v>
      </c>
      <c r="L10" t="s">
        <v>52</v>
      </c>
      <c r="M10" t="s">
        <v>2333</v>
      </c>
    </row>
    <row r="11" spans="3:13">
      <c r="C11">
        <v>10</v>
      </c>
      <c r="D11" t="s">
        <v>28</v>
      </c>
      <c r="E11" t="s">
        <v>28</v>
      </c>
      <c r="F11">
        <v>0.5</v>
      </c>
      <c r="G11">
        <v>0.5</v>
      </c>
      <c r="J11">
        <v>164</v>
      </c>
      <c r="K11" t="s">
        <v>191</v>
      </c>
      <c r="L11" t="s">
        <v>191</v>
      </c>
      <c r="M11" t="s">
        <v>22</v>
      </c>
    </row>
    <row r="12" spans="3:13">
      <c r="C12">
        <v>11</v>
      </c>
      <c r="D12" t="s">
        <v>30</v>
      </c>
      <c r="E12" t="s">
        <v>30</v>
      </c>
      <c r="F12">
        <v>0.5</v>
      </c>
      <c r="G12">
        <v>0.5</v>
      </c>
      <c r="J12">
        <v>165</v>
      </c>
      <c r="K12" t="s">
        <v>192</v>
      </c>
      <c r="L12" t="s">
        <v>192</v>
      </c>
      <c r="M12" t="s">
        <v>29</v>
      </c>
    </row>
    <row r="13" spans="3:13">
      <c r="C13">
        <v>12</v>
      </c>
      <c r="D13" t="s">
        <v>31</v>
      </c>
      <c r="E13" t="s">
        <v>31</v>
      </c>
      <c r="F13">
        <v>0.5</v>
      </c>
      <c r="G13">
        <v>0.5</v>
      </c>
      <c r="J13">
        <v>166</v>
      </c>
      <c r="K13" t="s">
        <v>193</v>
      </c>
      <c r="L13" t="s">
        <v>193</v>
      </c>
      <c r="M13" t="s">
        <v>29</v>
      </c>
    </row>
    <row r="14" spans="3:13">
      <c r="C14">
        <v>13</v>
      </c>
      <c r="D14" t="s">
        <v>32</v>
      </c>
      <c r="E14" t="s">
        <v>32</v>
      </c>
      <c r="F14">
        <v>0.5</v>
      </c>
      <c r="G14">
        <v>0.5</v>
      </c>
      <c r="J14">
        <v>167</v>
      </c>
      <c r="K14" t="s">
        <v>194</v>
      </c>
      <c r="L14" t="s">
        <v>194</v>
      </c>
      <c r="M14" t="s">
        <v>29</v>
      </c>
    </row>
    <row r="15" spans="3:13">
      <c r="C15">
        <v>14</v>
      </c>
      <c r="D15" t="s">
        <v>33</v>
      </c>
      <c r="E15" t="s">
        <v>33</v>
      </c>
      <c r="F15">
        <v>0.5</v>
      </c>
      <c r="G15">
        <v>0.5</v>
      </c>
      <c r="J15">
        <v>168</v>
      </c>
      <c r="K15" t="s">
        <v>195</v>
      </c>
      <c r="L15" t="s">
        <v>195</v>
      </c>
      <c r="M15" t="s">
        <v>29</v>
      </c>
    </row>
    <row r="16" spans="3:13">
      <c r="C16">
        <v>15</v>
      </c>
      <c r="D16" t="s">
        <v>34</v>
      </c>
      <c r="E16" t="s">
        <v>34</v>
      </c>
      <c r="F16">
        <v>0.5</v>
      </c>
      <c r="G16">
        <v>0.5</v>
      </c>
      <c r="J16">
        <v>169</v>
      </c>
      <c r="K16" t="s">
        <v>196</v>
      </c>
      <c r="L16" t="s">
        <v>196</v>
      </c>
      <c r="M16" t="s">
        <v>22</v>
      </c>
    </row>
    <row r="17" spans="3:13">
      <c r="C17">
        <v>16</v>
      </c>
      <c r="D17" t="s">
        <v>35</v>
      </c>
      <c r="E17" t="s">
        <v>35</v>
      </c>
      <c r="F17">
        <v>0.5</v>
      </c>
      <c r="G17">
        <v>0.5</v>
      </c>
      <c r="J17">
        <v>170</v>
      </c>
      <c r="K17" t="s">
        <v>197</v>
      </c>
      <c r="L17" t="s">
        <v>197</v>
      </c>
      <c r="M17" t="s">
        <v>2337</v>
      </c>
    </row>
    <row r="18" spans="3:13">
      <c r="C18">
        <v>17</v>
      </c>
      <c r="D18" t="s">
        <v>37</v>
      </c>
      <c r="E18" t="s">
        <v>37</v>
      </c>
      <c r="F18">
        <v>0.5</v>
      </c>
      <c r="G18">
        <v>0.5</v>
      </c>
      <c r="J18">
        <v>171</v>
      </c>
      <c r="K18" t="s">
        <v>198</v>
      </c>
      <c r="L18" t="s">
        <v>198</v>
      </c>
      <c r="M18" t="s">
        <v>2337</v>
      </c>
    </row>
    <row r="19" spans="3:13">
      <c r="C19">
        <v>18</v>
      </c>
      <c r="D19" t="s">
        <v>38</v>
      </c>
      <c r="E19" t="s">
        <v>38</v>
      </c>
      <c r="F19">
        <v>0.5</v>
      </c>
      <c r="G19">
        <v>0.5</v>
      </c>
      <c r="J19">
        <v>172</v>
      </c>
      <c r="K19" t="s">
        <v>199</v>
      </c>
      <c r="L19" t="s">
        <v>199</v>
      </c>
      <c r="M19" t="s">
        <v>2333</v>
      </c>
    </row>
    <row r="20" spans="3:13">
      <c r="C20">
        <v>19</v>
      </c>
      <c r="D20" t="s">
        <v>39</v>
      </c>
      <c r="E20" t="s">
        <v>39</v>
      </c>
      <c r="F20">
        <v>0.5</v>
      </c>
      <c r="G20">
        <v>0.5</v>
      </c>
      <c r="J20">
        <v>173</v>
      </c>
      <c r="K20" t="s">
        <v>200</v>
      </c>
      <c r="L20" t="s">
        <v>200</v>
      </c>
      <c r="M20" t="s">
        <v>2333</v>
      </c>
    </row>
    <row r="21" spans="3:13">
      <c r="C21">
        <v>20</v>
      </c>
      <c r="D21" t="s">
        <v>40</v>
      </c>
      <c r="E21" t="s">
        <v>40</v>
      </c>
      <c r="F21">
        <v>0.5</v>
      </c>
      <c r="G21">
        <v>0.5</v>
      </c>
      <c r="J21">
        <v>174</v>
      </c>
      <c r="K21" t="s">
        <v>201</v>
      </c>
      <c r="L21" t="s">
        <v>201</v>
      </c>
      <c r="M21" t="s">
        <v>2333</v>
      </c>
    </row>
    <row r="22" spans="3:13">
      <c r="C22">
        <v>21</v>
      </c>
      <c r="D22" t="s">
        <v>41</v>
      </c>
      <c r="E22" t="s">
        <v>41</v>
      </c>
      <c r="F22">
        <v>0.5</v>
      </c>
      <c r="G22">
        <v>0.5</v>
      </c>
      <c r="J22">
        <v>175</v>
      </c>
      <c r="K22" t="s">
        <v>202</v>
      </c>
      <c r="L22" t="s">
        <v>202</v>
      </c>
      <c r="M22" t="s">
        <v>2333</v>
      </c>
    </row>
    <row r="23" spans="3:13">
      <c r="C23">
        <v>22</v>
      </c>
      <c r="D23" t="s">
        <v>42</v>
      </c>
      <c r="E23" t="s">
        <v>42</v>
      </c>
      <c r="F23">
        <v>0.5</v>
      </c>
      <c r="G23">
        <v>0.5</v>
      </c>
      <c r="J23">
        <v>176</v>
      </c>
      <c r="K23" t="s">
        <v>203</v>
      </c>
      <c r="L23" t="s">
        <v>203</v>
      </c>
      <c r="M23" t="s">
        <v>56</v>
      </c>
    </row>
    <row r="24" spans="3:13">
      <c r="C24">
        <v>23</v>
      </c>
      <c r="D24" t="s">
        <v>43</v>
      </c>
      <c r="E24" t="s">
        <v>43</v>
      </c>
      <c r="F24">
        <v>0.5</v>
      </c>
      <c r="G24">
        <v>0.5</v>
      </c>
      <c r="J24">
        <v>177</v>
      </c>
      <c r="K24" t="s">
        <v>204</v>
      </c>
      <c r="L24" t="s">
        <v>204</v>
      </c>
      <c r="M24" t="s">
        <v>22</v>
      </c>
    </row>
    <row r="25" spans="3:13">
      <c r="C25">
        <v>24</v>
      </c>
      <c r="D25" t="s">
        <v>44</v>
      </c>
      <c r="E25" t="s">
        <v>44</v>
      </c>
      <c r="F25">
        <v>0.5</v>
      </c>
      <c r="G25">
        <v>0.5</v>
      </c>
      <c r="J25">
        <v>178</v>
      </c>
      <c r="K25" t="s">
        <v>205</v>
      </c>
      <c r="L25" t="s">
        <v>205</v>
      </c>
      <c r="M25" t="s">
        <v>22</v>
      </c>
    </row>
    <row r="26" spans="3:13">
      <c r="C26">
        <v>25</v>
      </c>
      <c r="D26" t="s">
        <v>45</v>
      </c>
      <c r="E26" t="s">
        <v>45</v>
      </c>
      <c r="F26">
        <v>0.5</v>
      </c>
      <c r="G26">
        <v>0.5</v>
      </c>
      <c r="J26">
        <v>179</v>
      </c>
      <c r="K26" t="s">
        <v>206</v>
      </c>
      <c r="L26" t="s">
        <v>206</v>
      </c>
      <c r="M26" t="s">
        <v>2332</v>
      </c>
    </row>
    <row r="27" spans="3:13">
      <c r="C27">
        <v>26</v>
      </c>
      <c r="D27" t="s">
        <v>47</v>
      </c>
      <c r="E27" t="s">
        <v>47</v>
      </c>
      <c r="F27">
        <v>0.5</v>
      </c>
      <c r="G27">
        <v>0.5</v>
      </c>
      <c r="J27">
        <v>180</v>
      </c>
      <c r="K27" t="s">
        <v>207</v>
      </c>
      <c r="L27" t="s">
        <v>207</v>
      </c>
      <c r="M27" t="s">
        <v>2332</v>
      </c>
    </row>
    <row r="28" spans="3:13">
      <c r="C28">
        <v>27</v>
      </c>
      <c r="D28" t="s">
        <v>48</v>
      </c>
      <c r="E28" t="s">
        <v>48</v>
      </c>
      <c r="F28">
        <v>0.5</v>
      </c>
      <c r="G28">
        <v>0.5</v>
      </c>
      <c r="J28">
        <v>181</v>
      </c>
      <c r="K28" t="s">
        <v>208</v>
      </c>
      <c r="L28" t="s">
        <v>208</v>
      </c>
      <c r="M28" t="s">
        <v>2332</v>
      </c>
    </row>
    <row r="29" spans="3:13">
      <c r="C29">
        <v>28</v>
      </c>
      <c r="D29" t="s">
        <v>50</v>
      </c>
      <c r="E29" t="s">
        <v>50</v>
      </c>
      <c r="F29">
        <v>0.5</v>
      </c>
      <c r="G29">
        <v>0.5</v>
      </c>
      <c r="J29">
        <v>182</v>
      </c>
      <c r="K29" t="s">
        <v>209</v>
      </c>
      <c r="L29" t="s">
        <v>209</v>
      </c>
      <c r="M29" t="s">
        <v>14</v>
      </c>
    </row>
    <row r="30" spans="3:13">
      <c r="C30">
        <v>29</v>
      </c>
      <c r="D30" t="s">
        <v>2131</v>
      </c>
      <c r="E30" t="s">
        <v>2131</v>
      </c>
      <c r="F30">
        <v>0</v>
      </c>
      <c r="G30">
        <v>1</v>
      </c>
      <c r="J30">
        <v>745</v>
      </c>
      <c r="K30" t="s">
        <v>2185</v>
      </c>
      <c r="L30" t="s">
        <v>2185</v>
      </c>
      <c r="M30" t="s">
        <v>2332</v>
      </c>
    </row>
    <row r="31" spans="3:13">
      <c r="C31">
        <v>30</v>
      </c>
      <c r="D31" t="s">
        <v>51</v>
      </c>
      <c r="E31" t="s">
        <v>51</v>
      </c>
      <c r="F31">
        <v>0</v>
      </c>
      <c r="G31">
        <v>1</v>
      </c>
      <c r="J31">
        <v>771</v>
      </c>
      <c r="K31" t="s">
        <v>2205</v>
      </c>
      <c r="L31" t="s">
        <v>2205</v>
      </c>
      <c r="M31" t="s">
        <v>2337</v>
      </c>
    </row>
    <row r="32" spans="3:13">
      <c r="C32">
        <v>31</v>
      </c>
      <c r="D32" t="s">
        <v>52</v>
      </c>
      <c r="E32" t="s">
        <v>52</v>
      </c>
      <c r="F32">
        <v>0</v>
      </c>
      <c r="G32">
        <v>1</v>
      </c>
      <c r="J32">
        <v>772</v>
      </c>
      <c r="K32" t="s">
        <v>2290</v>
      </c>
      <c r="L32" t="s">
        <v>2290</v>
      </c>
      <c r="M32" t="s">
        <v>2333</v>
      </c>
    </row>
    <row r="33" spans="3:13">
      <c r="C33">
        <v>32</v>
      </c>
      <c r="D33" t="s">
        <v>2132</v>
      </c>
      <c r="E33" t="s">
        <v>2132</v>
      </c>
      <c r="F33">
        <v>1</v>
      </c>
      <c r="G33">
        <v>0</v>
      </c>
      <c r="J33">
        <v>1</v>
      </c>
      <c r="K33" t="s">
        <v>13</v>
      </c>
      <c r="L33" t="s">
        <v>13</v>
      </c>
      <c r="M33" t="s">
        <v>14</v>
      </c>
    </row>
    <row r="34" spans="3:13">
      <c r="C34">
        <v>33</v>
      </c>
      <c r="D34" t="s">
        <v>53</v>
      </c>
      <c r="E34" t="s">
        <v>53</v>
      </c>
      <c r="F34">
        <v>1</v>
      </c>
      <c r="G34">
        <v>0</v>
      </c>
      <c r="J34">
        <v>2</v>
      </c>
      <c r="K34" t="s">
        <v>16</v>
      </c>
      <c r="L34" t="s">
        <v>16</v>
      </c>
      <c r="M34" t="s">
        <v>14</v>
      </c>
    </row>
    <row r="35" spans="3:13">
      <c r="C35">
        <v>34</v>
      </c>
      <c r="D35" t="s">
        <v>54</v>
      </c>
      <c r="E35" t="s">
        <v>54</v>
      </c>
      <c r="F35">
        <v>1</v>
      </c>
      <c r="G35">
        <v>0</v>
      </c>
      <c r="J35">
        <v>3</v>
      </c>
      <c r="K35" t="s">
        <v>17</v>
      </c>
      <c r="L35" t="s">
        <v>17</v>
      </c>
      <c r="M35" t="s">
        <v>14</v>
      </c>
    </row>
    <row r="36" spans="3:13">
      <c r="C36">
        <v>35</v>
      </c>
      <c r="D36" t="s">
        <v>55</v>
      </c>
      <c r="E36" t="s">
        <v>55</v>
      </c>
      <c r="F36">
        <v>0.25</v>
      </c>
      <c r="G36">
        <v>0.75</v>
      </c>
      <c r="J36">
        <v>718</v>
      </c>
      <c r="K36" t="s">
        <v>2288</v>
      </c>
      <c r="L36" t="s">
        <v>2288</v>
      </c>
      <c r="M36" t="s">
        <v>2333</v>
      </c>
    </row>
    <row r="37" spans="3:13">
      <c r="C37">
        <v>36</v>
      </c>
      <c r="D37" t="s">
        <v>57</v>
      </c>
      <c r="E37" t="s">
        <v>57</v>
      </c>
      <c r="F37">
        <v>0.25</v>
      </c>
      <c r="G37">
        <v>0.75</v>
      </c>
      <c r="J37">
        <v>719</v>
      </c>
      <c r="K37" t="s">
        <v>766</v>
      </c>
      <c r="L37" t="s">
        <v>766</v>
      </c>
      <c r="M37" t="s">
        <v>2333</v>
      </c>
    </row>
    <row r="38" spans="3:13">
      <c r="C38">
        <v>37</v>
      </c>
      <c r="D38" t="s">
        <v>58</v>
      </c>
      <c r="E38" t="s">
        <v>58</v>
      </c>
      <c r="F38">
        <v>0.25</v>
      </c>
      <c r="G38">
        <v>0.75</v>
      </c>
      <c r="J38">
        <v>720</v>
      </c>
      <c r="K38" t="s">
        <v>2289</v>
      </c>
      <c r="L38" t="s">
        <v>2289</v>
      </c>
      <c r="M38" t="s">
        <v>2333</v>
      </c>
    </row>
    <row r="39" spans="3:13">
      <c r="C39">
        <v>38</v>
      </c>
      <c r="D39" t="s">
        <v>59</v>
      </c>
      <c r="E39" t="s">
        <v>59</v>
      </c>
      <c r="F39">
        <v>0.25</v>
      </c>
      <c r="G39">
        <v>0.75</v>
      </c>
      <c r="J39">
        <v>721</v>
      </c>
      <c r="K39" t="s">
        <v>767</v>
      </c>
      <c r="L39" t="s">
        <v>767</v>
      </c>
      <c r="M39" t="s">
        <v>2333</v>
      </c>
    </row>
    <row r="40" spans="3:13">
      <c r="C40">
        <v>39</v>
      </c>
      <c r="D40" t="s">
        <v>60</v>
      </c>
      <c r="E40" t="s">
        <v>60</v>
      </c>
      <c r="F40">
        <v>0.25</v>
      </c>
      <c r="G40">
        <v>0.75</v>
      </c>
      <c r="J40">
        <v>722</v>
      </c>
      <c r="K40" t="s">
        <v>2147</v>
      </c>
      <c r="L40" t="s">
        <v>2147</v>
      </c>
      <c r="M40" t="s">
        <v>22</v>
      </c>
    </row>
    <row r="41" spans="3:13">
      <c r="C41">
        <v>40</v>
      </c>
      <c r="D41" t="s">
        <v>61</v>
      </c>
      <c r="E41" t="s">
        <v>61</v>
      </c>
      <c r="F41">
        <v>0.25</v>
      </c>
      <c r="G41">
        <v>0.75</v>
      </c>
      <c r="J41">
        <v>723</v>
      </c>
      <c r="K41" t="s">
        <v>2148</v>
      </c>
      <c r="L41" t="s">
        <v>2148</v>
      </c>
      <c r="M41" t="s">
        <v>22</v>
      </c>
    </row>
    <row r="42" spans="3:13">
      <c r="C42">
        <v>41</v>
      </c>
      <c r="D42" t="s">
        <v>62</v>
      </c>
      <c r="E42" t="s">
        <v>62</v>
      </c>
      <c r="F42">
        <v>0.5</v>
      </c>
      <c r="G42">
        <v>0.5</v>
      </c>
      <c r="J42">
        <v>183</v>
      </c>
      <c r="K42" t="s">
        <v>210</v>
      </c>
      <c r="L42" t="s">
        <v>210</v>
      </c>
      <c r="M42" t="s">
        <v>56</v>
      </c>
    </row>
    <row r="43" spans="3:13">
      <c r="C43">
        <v>42</v>
      </c>
      <c r="D43" t="s">
        <v>63</v>
      </c>
      <c r="E43" t="s">
        <v>63</v>
      </c>
      <c r="F43">
        <v>0.5</v>
      </c>
      <c r="G43">
        <v>0.5</v>
      </c>
      <c r="J43">
        <v>184</v>
      </c>
      <c r="K43" t="s">
        <v>211</v>
      </c>
      <c r="L43" t="s">
        <v>211</v>
      </c>
      <c r="M43" t="s">
        <v>56</v>
      </c>
    </row>
    <row r="44" spans="3:13">
      <c r="C44">
        <v>43</v>
      </c>
      <c r="D44" t="s">
        <v>64</v>
      </c>
      <c r="E44" t="s">
        <v>64</v>
      </c>
      <c r="F44">
        <v>0.5</v>
      </c>
      <c r="G44">
        <v>0.5</v>
      </c>
      <c r="J44">
        <v>185</v>
      </c>
      <c r="K44" t="s">
        <v>212</v>
      </c>
      <c r="L44" t="s">
        <v>212</v>
      </c>
      <c r="M44" t="s">
        <v>2112</v>
      </c>
    </row>
    <row r="45" spans="3:13">
      <c r="C45">
        <v>44</v>
      </c>
      <c r="D45" t="s">
        <v>65</v>
      </c>
      <c r="E45" t="s">
        <v>65</v>
      </c>
      <c r="F45">
        <v>0.5</v>
      </c>
      <c r="G45">
        <v>0.5</v>
      </c>
      <c r="J45">
        <v>186</v>
      </c>
      <c r="K45" t="s">
        <v>213</v>
      </c>
      <c r="L45" t="s">
        <v>213</v>
      </c>
      <c r="M45" t="s">
        <v>2331</v>
      </c>
    </row>
    <row r="46" spans="3:13">
      <c r="C46">
        <v>45</v>
      </c>
      <c r="D46" t="s">
        <v>66</v>
      </c>
      <c r="E46" t="s">
        <v>66</v>
      </c>
      <c r="F46">
        <v>0.5</v>
      </c>
      <c r="G46">
        <v>0.5</v>
      </c>
      <c r="J46">
        <v>187</v>
      </c>
      <c r="K46" t="s">
        <v>214</v>
      </c>
      <c r="L46" t="s">
        <v>214</v>
      </c>
      <c r="M46" t="s">
        <v>56</v>
      </c>
    </row>
    <row r="47" spans="3:13">
      <c r="C47">
        <v>46</v>
      </c>
      <c r="D47" t="s">
        <v>67</v>
      </c>
      <c r="E47" t="s">
        <v>67</v>
      </c>
      <c r="F47">
        <v>0.5</v>
      </c>
      <c r="G47">
        <v>0.5</v>
      </c>
      <c r="J47">
        <v>188</v>
      </c>
      <c r="K47" t="s">
        <v>215</v>
      </c>
      <c r="L47" t="s">
        <v>215</v>
      </c>
      <c r="M47" t="s">
        <v>56</v>
      </c>
    </row>
    <row r="48" spans="3:13">
      <c r="C48">
        <v>47</v>
      </c>
      <c r="D48" t="s">
        <v>68</v>
      </c>
      <c r="E48" t="s">
        <v>68</v>
      </c>
      <c r="F48">
        <v>0.5</v>
      </c>
      <c r="G48">
        <v>0.5</v>
      </c>
      <c r="J48">
        <v>189</v>
      </c>
      <c r="K48" t="s">
        <v>216</v>
      </c>
      <c r="L48" t="s">
        <v>216</v>
      </c>
      <c r="M48" t="s">
        <v>56</v>
      </c>
    </row>
    <row r="49" spans="3:13">
      <c r="C49">
        <v>48</v>
      </c>
      <c r="D49" t="s">
        <v>69</v>
      </c>
      <c r="E49" t="s">
        <v>69</v>
      </c>
      <c r="F49">
        <v>0.5</v>
      </c>
      <c r="G49">
        <v>0.5</v>
      </c>
      <c r="J49">
        <v>190</v>
      </c>
      <c r="K49" t="s">
        <v>217</v>
      </c>
      <c r="L49" t="s">
        <v>217</v>
      </c>
      <c r="M49" t="s">
        <v>2332</v>
      </c>
    </row>
    <row r="50" spans="3:13">
      <c r="C50">
        <v>49</v>
      </c>
      <c r="D50" t="s">
        <v>70</v>
      </c>
      <c r="E50" t="s">
        <v>70</v>
      </c>
      <c r="F50">
        <v>0.5</v>
      </c>
      <c r="G50">
        <v>0.5</v>
      </c>
      <c r="J50">
        <v>191</v>
      </c>
      <c r="K50" t="s">
        <v>218</v>
      </c>
      <c r="L50" t="s">
        <v>218</v>
      </c>
      <c r="M50" t="s">
        <v>14</v>
      </c>
    </row>
    <row r="51" spans="3:13">
      <c r="C51">
        <v>50</v>
      </c>
      <c r="D51" t="s">
        <v>71</v>
      </c>
      <c r="E51" t="s">
        <v>71</v>
      </c>
      <c r="F51">
        <v>0.5</v>
      </c>
      <c r="G51">
        <v>0.5</v>
      </c>
      <c r="J51">
        <v>192</v>
      </c>
      <c r="K51" t="s">
        <v>219</v>
      </c>
      <c r="L51" t="s">
        <v>219</v>
      </c>
      <c r="M51" t="s">
        <v>14</v>
      </c>
    </row>
    <row r="52" spans="3:13">
      <c r="C52">
        <v>51</v>
      </c>
      <c r="D52" t="s">
        <v>72</v>
      </c>
      <c r="E52" t="s">
        <v>72</v>
      </c>
      <c r="F52">
        <v>0.5</v>
      </c>
      <c r="G52">
        <v>0.5</v>
      </c>
      <c r="J52">
        <v>193</v>
      </c>
      <c r="K52" t="s">
        <v>220</v>
      </c>
      <c r="L52" t="s">
        <v>220</v>
      </c>
      <c r="M52" t="s">
        <v>29</v>
      </c>
    </row>
    <row r="53" spans="3:13">
      <c r="C53">
        <v>52</v>
      </c>
      <c r="D53" t="s">
        <v>73</v>
      </c>
      <c r="E53" t="s">
        <v>73</v>
      </c>
      <c r="F53">
        <v>0.5</v>
      </c>
      <c r="G53">
        <v>0.5</v>
      </c>
      <c r="J53">
        <v>194</v>
      </c>
      <c r="K53" t="s">
        <v>221</v>
      </c>
      <c r="L53" t="s">
        <v>221</v>
      </c>
      <c r="M53" t="s">
        <v>2331</v>
      </c>
    </row>
    <row r="54" spans="3:13">
      <c r="C54">
        <v>53</v>
      </c>
      <c r="D54" t="s">
        <v>74</v>
      </c>
      <c r="E54" t="s">
        <v>74</v>
      </c>
      <c r="F54">
        <v>0.5</v>
      </c>
      <c r="G54">
        <v>0.5</v>
      </c>
      <c r="J54">
        <v>195</v>
      </c>
      <c r="K54" t="s">
        <v>222</v>
      </c>
      <c r="L54" t="s">
        <v>222</v>
      </c>
      <c r="M54" t="s">
        <v>2331</v>
      </c>
    </row>
    <row r="55" spans="3:13">
      <c r="C55">
        <v>54</v>
      </c>
      <c r="D55" t="s">
        <v>75</v>
      </c>
      <c r="E55" t="s">
        <v>75</v>
      </c>
      <c r="F55">
        <v>0.5</v>
      </c>
      <c r="G55">
        <v>0.5</v>
      </c>
      <c r="J55">
        <v>196</v>
      </c>
      <c r="K55" t="s">
        <v>223</v>
      </c>
      <c r="L55" t="s">
        <v>223</v>
      </c>
      <c r="M55" t="s">
        <v>2332</v>
      </c>
    </row>
    <row r="56" spans="3:13">
      <c r="C56">
        <v>55</v>
      </c>
      <c r="D56" t="s">
        <v>76</v>
      </c>
      <c r="E56" t="s">
        <v>76</v>
      </c>
      <c r="F56">
        <v>0.5</v>
      </c>
      <c r="G56">
        <v>0.5</v>
      </c>
      <c r="J56">
        <v>197</v>
      </c>
      <c r="K56" t="s">
        <v>224</v>
      </c>
      <c r="L56" t="s">
        <v>224</v>
      </c>
      <c r="M56" t="s">
        <v>2332</v>
      </c>
    </row>
    <row r="57" spans="3:13">
      <c r="C57">
        <v>56</v>
      </c>
      <c r="D57" t="s">
        <v>77</v>
      </c>
      <c r="E57" t="s">
        <v>77</v>
      </c>
      <c r="F57">
        <v>0.5</v>
      </c>
      <c r="G57">
        <v>0.5</v>
      </c>
      <c r="J57">
        <v>198</v>
      </c>
      <c r="K57" t="s">
        <v>225</v>
      </c>
      <c r="L57" t="s">
        <v>225</v>
      </c>
      <c r="M57" t="s">
        <v>22</v>
      </c>
    </row>
    <row r="58" spans="3:13">
      <c r="C58">
        <v>57</v>
      </c>
      <c r="D58" t="s">
        <v>79</v>
      </c>
      <c r="E58" t="s">
        <v>79</v>
      </c>
      <c r="F58">
        <v>0.5</v>
      </c>
      <c r="G58">
        <v>0.5</v>
      </c>
      <c r="J58">
        <v>199</v>
      </c>
      <c r="K58" t="s">
        <v>226</v>
      </c>
      <c r="L58" t="s">
        <v>226</v>
      </c>
      <c r="M58" t="s">
        <v>2331</v>
      </c>
    </row>
    <row r="59" spans="3:13">
      <c r="C59">
        <v>58</v>
      </c>
      <c r="D59" t="s">
        <v>80</v>
      </c>
      <c r="E59" t="s">
        <v>80</v>
      </c>
      <c r="F59">
        <v>0.75</v>
      </c>
      <c r="G59">
        <v>0.25</v>
      </c>
      <c r="J59">
        <v>145</v>
      </c>
      <c r="K59" t="s">
        <v>173</v>
      </c>
      <c r="L59" t="s">
        <v>173</v>
      </c>
      <c r="M59" t="s">
        <v>2333</v>
      </c>
    </row>
    <row r="60" spans="3:13">
      <c r="C60">
        <v>59</v>
      </c>
      <c r="D60" t="s">
        <v>81</v>
      </c>
      <c r="E60" t="s">
        <v>81</v>
      </c>
      <c r="F60">
        <v>0.75</v>
      </c>
      <c r="G60">
        <v>0.25</v>
      </c>
      <c r="J60">
        <v>146</v>
      </c>
      <c r="K60" t="s">
        <v>174</v>
      </c>
      <c r="L60" t="s">
        <v>174</v>
      </c>
      <c r="M60" t="s">
        <v>2333</v>
      </c>
    </row>
    <row r="61" spans="3:13">
      <c r="C61">
        <v>60</v>
      </c>
      <c r="D61" t="s">
        <v>82</v>
      </c>
      <c r="E61" t="s">
        <v>82</v>
      </c>
      <c r="F61">
        <v>0.5</v>
      </c>
      <c r="G61">
        <v>0.5</v>
      </c>
      <c r="J61">
        <v>200</v>
      </c>
      <c r="K61" t="s">
        <v>227</v>
      </c>
      <c r="L61" t="s">
        <v>227</v>
      </c>
      <c r="M61" t="s">
        <v>2336</v>
      </c>
    </row>
    <row r="62" spans="3:13">
      <c r="C62">
        <v>61</v>
      </c>
      <c r="D62" t="s">
        <v>83</v>
      </c>
      <c r="E62" t="s">
        <v>83</v>
      </c>
      <c r="F62">
        <v>0.5</v>
      </c>
      <c r="G62">
        <v>0.5</v>
      </c>
      <c r="J62">
        <v>201</v>
      </c>
      <c r="K62" t="s">
        <v>228</v>
      </c>
      <c r="L62" t="s">
        <v>228</v>
      </c>
      <c r="M62" t="s">
        <v>2333</v>
      </c>
    </row>
    <row r="63" spans="3:13">
      <c r="C63">
        <v>62</v>
      </c>
      <c r="D63" t="s">
        <v>84</v>
      </c>
      <c r="E63" t="s">
        <v>84</v>
      </c>
      <c r="F63">
        <v>0.5</v>
      </c>
      <c r="G63">
        <v>0.5</v>
      </c>
      <c r="J63">
        <v>202</v>
      </c>
      <c r="K63" t="s">
        <v>229</v>
      </c>
      <c r="L63" t="s">
        <v>229</v>
      </c>
      <c r="M63" t="s">
        <v>2336</v>
      </c>
    </row>
    <row r="64" spans="3:13">
      <c r="C64">
        <v>63</v>
      </c>
      <c r="D64" t="s">
        <v>85</v>
      </c>
      <c r="E64" t="s">
        <v>85</v>
      </c>
      <c r="F64">
        <v>0.75</v>
      </c>
      <c r="G64">
        <v>0.25</v>
      </c>
      <c r="J64">
        <v>147</v>
      </c>
      <c r="K64" t="s">
        <v>175</v>
      </c>
      <c r="L64" t="s">
        <v>175</v>
      </c>
      <c r="M64" t="s">
        <v>23</v>
      </c>
    </row>
    <row r="65" spans="3:13">
      <c r="C65">
        <v>64</v>
      </c>
      <c r="D65" t="s">
        <v>87</v>
      </c>
      <c r="E65" t="s">
        <v>87</v>
      </c>
      <c r="F65">
        <v>0.75</v>
      </c>
      <c r="G65">
        <v>0.25</v>
      </c>
      <c r="J65">
        <v>148</v>
      </c>
      <c r="K65" t="s">
        <v>176</v>
      </c>
      <c r="L65" t="s">
        <v>176</v>
      </c>
      <c r="M65" t="s">
        <v>23</v>
      </c>
    </row>
    <row r="66" spans="3:13">
      <c r="C66">
        <v>65</v>
      </c>
      <c r="D66" t="s">
        <v>88</v>
      </c>
      <c r="E66" t="s">
        <v>88</v>
      </c>
      <c r="F66">
        <v>0.75</v>
      </c>
      <c r="G66">
        <v>0.25</v>
      </c>
      <c r="J66">
        <v>149</v>
      </c>
      <c r="K66" t="s">
        <v>177</v>
      </c>
      <c r="L66" t="s">
        <v>177</v>
      </c>
      <c r="M66" t="s">
        <v>23</v>
      </c>
    </row>
    <row r="67" spans="3:13">
      <c r="C67">
        <v>66</v>
      </c>
      <c r="D67" t="s">
        <v>89</v>
      </c>
      <c r="E67" t="s">
        <v>89</v>
      </c>
      <c r="F67">
        <v>0.75</v>
      </c>
      <c r="G67">
        <v>0.25</v>
      </c>
      <c r="J67">
        <v>150</v>
      </c>
      <c r="K67" t="s">
        <v>178</v>
      </c>
      <c r="L67" t="s">
        <v>178</v>
      </c>
      <c r="M67" t="s">
        <v>2333</v>
      </c>
    </row>
    <row r="68" spans="3:13">
      <c r="C68">
        <v>67</v>
      </c>
      <c r="D68" t="s">
        <v>90</v>
      </c>
      <c r="E68" t="s">
        <v>90</v>
      </c>
      <c r="F68">
        <v>0.75</v>
      </c>
      <c r="G68">
        <v>0.25</v>
      </c>
      <c r="J68">
        <v>151</v>
      </c>
      <c r="K68" t="s">
        <v>179</v>
      </c>
      <c r="L68" t="s">
        <v>179</v>
      </c>
      <c r="M68" t="s">
        <v>2333</v>
      </c>
    </row>
    <row r="69" spans="3:13">
      <c r="C69">
        <v>68</v>
      </c>
      <c r="D69" t="s">
        <v>91</v>
      </c>
      <c r="E69" t="s">
        <v>91</v>
      </c>
      <c r="F69">
        <v>0.75</v>
      </c>
      <c r="G69">
        <v>0.25</v>
      </c>
      <c r="J69">
        <v>152</v>
      </c>
      <c r="K69" t="s">
        <v>180</v>
      </c>
      <c r="L69" t="s">
        <v>180</v>
      </c>
      <c r="M69" t="s">
        <v>14</v>
      </c>
    </row>
    <row r="70" spans="3:13">
      <c r="C70">
        <v>69</v>
      </c>
      <c r="D70" t="s">
        <v>92</v>
      </c>
      <c r="E70" t="s">
        <v>92</v>
      </c>
      <c r="F70">
        <v>0.5</v>
      </c>
      <c r="G70">
        <v>0.5</v>
      </c>
      <c r="J70">
        <v>203</v>
      </c>
      <c r="K70" t="s">
        <v>230</v>
      </c>
      <c r="L70" t="s">
        <v>230</v>
      </c>
      <c r="M70" t="s">
        <v>2332</v>
      </c>
    </row>
    <row r="71" spans="3:13">
      <c r="C71">
        <v>70</v>
      </c>
      <c r="D71" t="s">
        <v>93</v>
      </c>
      <c r="E71" t="s">
        <v>93</v>
      </c>
      <c r="F71">
        <v>0.5</v>
      </c>
      <c r="G71">
        <v>0.5</v>
      </c>
      <c r="J71">
        <v>204</v>
      </c>
      <c r="K71" t="s">
        <v>231</v>
      </c>
      <c r="L71" t="s">
        <v>231</v>
      </c>
      <c r="M71" t="s">
        <v>29</v>
      </c>
    </row>
    <row r="72" spans="3:13">
      <c r="C72">
        <v>71</v>
      </c>
      <c r="D72" t="s">
        <v>94</v>
      </c>
      <c r="E72" t="s">
        <v>94</v>
      </c>
      <c r="F72">
        <v>0.5</v>
      </c>
      <c r="G72">
        <v>0.5</v>
      </c>
      <c r="J72">
        <v>205</v>
      </c>
      <c r="K72" t="s">
        <v>232</v>
      </c>
      <c r="L72" t="s">
        <v>232</v>
      </c>
      <c r="M72" t="s">
        <v>29</v>
      </c>
    </row>
    <row r="73" spans="3:13">
      <c r="C73">
        <v>72</v>
      </c>
      <c r="D73" t="s">
        <v>95</v>
      </c>
      <c r="E73" t="s">
        <v>95</v>
      </c>
      <c r="F73">
        <v>0.5</v>
      </c>
      <c r="G73">
        <v>0.5</v>
      </c>
      <c r="J73">
        <v>206</v>
      </c>
      <c r="K73" t="s">
        <v>233</v>
      </c>
      <c r="L73" t="s">
        <v>233</v>
      </c>
      <c r="M73" t="s">
        <v>2332</v>
      </c>
    </row>
    <row r="74" spans="3:13">
      <c r="C74">
        <v>73</v>
      </c>
      <c r="D74" t="s">
        <v>96</v>
      </c>
      <c r="E74" t="s">
        <v>96</v>
      </c>
      <c r="F74">
        <v>0.5</v>
      </c>
      <c r="G74">
        <v>0.5</v>
      </c>
      <c r="J74">
        <v>207</v>
      </c>
      <c r="K74" t="s">
        <v>234</v>
      </c>
      <c r="L74" t="s">
        <v>234</v>
      </c>
      <c r="M74" t="s">
        <v>29</v>
      </c>
    </row>
    <row r="75" spans="3:13">
      <c r="C75">
        <v>74</v>
      </c>
      <c r="D75" t="s">
        <v>97</v>
      </c>
      <c r="E75" t="s">
        <v>97</v>
      </c>
      <c r="F75">
        <v>0.5</v>
      </c>
      <c r="G75">
        <v>0.5</v>
      </c>
      <c r="J75">
        <v>208</v>
      </c>
      <c r="K75" t="s">
        <v>235</v>
      </c>
      <c r="L75" t="s">
        <v>235</v>
      </c>
      <c r="M75" t="s">
        <v>2112</v>
      </c>
    </row>
    <row r="76" spans="3:13">
      <c r="C76">
        <v>75</v>
      </c>
      <c r="D76" t="s">
        <v>99</v>
      </c>
      <c r="E76" t="s">
        <v>99</v>
      </c>
      <c r="F76">
        <v>0.5</v>
      </c>
      <c r="G76">
        <v>0.5</v>
      </c>
      <c r="J76">
        <v>209</v>
      </c>
      <c r="K76" t="s">
        <v>236</v>
      </c>
      <c r="L76" t="s">
        <v>236</v>
      </c>
      <c r="M76" t="s">
        <v>2332</v>
      </c>
    </row>
    <row r="77" spans="3:13">
      <c r="C77">
        <v>76</v>
      </c>
      <c r="D77" t="s">
        <v>100</v>
      </c>
      <c r="E77" t="s">
        <v>100</v>
      </c>
      <c r="F77">
        <v>0.5</v>
      </c>
      <c r="G77">
        <v>0.5</v>
      </c>
      <c r="J77">
        <v>210</v>
      </c>
      <c r="K77" t="s">
        <v>237</v>
      </c>
      <c r="L77" t="s">
        <v>237</v>
      </c>
      <c r="M77" t="s">
        <v>2332</v>
      </c>
    </row>
    <row r="78" spans="3:13">
      <c r="C78">
        <v>77</v>
      </c>
      <c r="D78" t="s">
        <v>101</v>
      </c>
      <c r="E78" t="s">
        <v>101</v>
      </c>
      <c r="F78">
        <v>0.5</v>
      </c>
      <c r="G78">
        <v>0.5</v>
      </c>
      <c r="J78">
        <v>211</v>
      </c>
      <c r="K78" t="s">
        <v>238</v>
      </c>
      <c r="L78" t="s">
        <v>238</v>
      </c>
      <c r="M78" t="s">
        <v>2337</v>
      </c>
    </row>
    <row r="79" spans="3:13">
      <c r="C79">
        <v>78</v>
      </c>
      <c r="D79" t="s">
        <v>102</v>
      </c>
      <c r="E79" t="s">
        <v>102</v>
      </c>
      <c r="F79">
        <v>0.5</v>
      </c>
      <c r="G79">
        <v>0.5</v>
      </c>
      <c r="J79">
        <v>212</v>
      </c>
      <c r="K79" t="s">
        <v>239</v>
      </c>
      <c r="L79" t="s">
        <v>239</v>
      </c>
      <c r="M79" t="s">
        <v>29</v>
      </c>
    </row>
    <row r="80" spans="3:13">
      <c r="C80">
        <v>79</v>
      </c>
      <c r="D80" t="s">
        <v>103</v>
      </c>
      <c r="E80" t="s">
        <v>103</v>
      </c>
      <c r="F80">
        <v>0.5</v>
      </c>
      <c r="G80">
        <v>0.5</v>
      </c>
      <c r="J80">
        <v>213</v>
      </c>
      <c r="K80" t="s">
        <v>240</v>
      </c>
      <c r="L80" t="s">
        <v>240</v>
      </c>
      <c r="M80" t="s">
        <v>29</v>
      </c>
    </row>
    <row r="81" spans="3:13">
      <c r="C81">
        <v>80</v>
      </c>
      <c r="D81" t="s">
        <v>104</v>
      </c>
      <c r="E81" t="s">
        <v>104</v>
      </c>
      <c r="F81">
        <v>0.5</v>
      </c>
      <c r="G81">
        <v>0.5</v>
      </c>
      <c r="J81">
        <v>214</v>
      </c>
      <c r="K81" t="s">
        <v>241</v>
      </c>
      <c r="L81" t="s">
        <v>241</v>
      </c>
      <c r="M81" t="s">
        <v>29</v>
      </c>
    </row>
    <row r="82" spans="3:13">
      <c r="C82">
        <v>81</v>
      </c>
      <c r="D82" t="s">
        <v>105</v>
      </c>
      <c r="E82" t="s">
        <v>105</v>
      </c>
      <c r="F82" s="123" t="s">
        <v>1109</v>
      </c>
      <c r="G82" s="123" t="s">
        <v>1109</v>
      </c>
      <c r="J82">
        <v>777</v>
      </c>
      <c r="K82" t="s">
        <v>2208</v>
      </c>
      <c r="L82" t="s">
        <v>2208</v>
      </c>
      <c r="M82" t="s">
        <v>56</v>
      </c>
    </row>
    <row r="83" spans="3:13">
      <c r="C83">
        <v>82</v>
      </c>
      <c r="D83" t="s">
        <v>107</v>
      </c>
      <c r="E83" t="s">
        <v>107</v>
      </c>
      <c r="F83" s="123" t="s">
        <v>1109</v>
      </c>
      <c r="G83" s="123" t="s">
        <v>1109</v>
      </c>
      <c r="J83">
        <v>778</v>
      </c>
      <c r="K83" t="s">
        <v>2209</v>
      </c>
      <c r="L83" t="s">
        <v>2209</v>
      </c>
      <c r="M83" t="s">
        <v>2336</v>
      </c>
    </row>
    <row r="84" spans="3:13">
      <c r="C84">
        <v>83</v>
      </c>
      <c r="D84" t="s">
        <v>108</v>
      </c>
      <c r="E84" t="s">
        <v>108</v>
      </c>
      <c r="F84">
        <v>0.5</v>
      </c>
      <c r="G84">
        <v>0.5</v>
      </c>
      <c r="J84">
        <v>215</v>
      </c>
      <c r="K84" t="s">
        <v>242</v>
      </c>
      <c r="L84" t="s">
        <v>242</v>
      </c>
      <c r="M84" t="s">
        <v>2332</v>
      </c>
    </row>
    <row r="85" spans="3:13">
      <c r="C85">
        <v>84</v>
      </c>
      <c r="D85" t="s">
        <v>109</v>
      </c>
      <c r="E85" t="s">
        <v>109</v>
      </c>
      <c r="F85">
        <v>0.5</v>
      </c>
      <c r="G85">
        <v>0.5</v>
      </c>
      <c r="J85">
        <v>216</v>
      </c>
      <c r="K85" t="s">
        <v>243</v>
      </c>
      <c r="L85" t="s">
        <v>243</v>
      </c>
      <c r="M85" t="s">
        <v>2332</v>
      </c>
    </row>
    <row r="86" spans="3:13">
      <c r="C86">
        <v>85</v>
      </c>
      <c r="D86" t="s">
        <v>110</v>
      </c>
      <c r="E86" t="s">
        <v>110</v>
      </c>
      <c r="F86">
        <v>0.5</v>
      </c>
      <c r="G86">
        <v>0.5</v>
      </c>
      <c r="J86">
        <v>217</v>
      </c>
      <c r="K86" t="s">
        <v>244</v>
      </c>
      <c r="L86" t="s">
        <v>244</v>
      </c>
      <c r="M86" t="s">
        <v>2332</v>
      </c>
    </row>
    <row r="87" spans="3:13">
      <c r="C87">
        <v>86</v>
      </c>
      <c r="D87" t="s">
        <v>111</v>
      </c>
      <c r="E87" t="s">
        <v>111</v>
      </c>
      <c r="F87">
        <v>0.5</v>
      </c>
      <c r="G87">
        <v>0.5</v>
      </c>
      <c r="J87">
        <v>218</v>
      </c>
      <c r="K87" t="s">
        <v>245</v>
      </c>
      <c r="L87" t="s">
        <v>245</v>
      </c>
      <c r="M87" t="s">
        <v>2336</v>
      </c>
    </row>
    <row r="88" spans="3:13">
      <c r="C88">
        <v>87</v>
      </c>
      <c r="D88" t="s">
        <v>112</v>
      </c>
      <c r="E88" t="s">
        <v>112</v>
      </c>
      <c r="F88">
        <v>0.5</v>
      </c>
      <c r="G88">
        <v>0.5</v>
      </c>
      <c r="J88">
        <v>219</v>
      </c>
      <c r="K88" t="s">
        <v>246</v>
      </c>
      <c r="L88" t="s">
        <v>246</v>
      </c>
      <c r="M88" t="s">
        <v>2336</v>
      </c>
    </row>
    <row r="89" spans="3:13">
      <c r="C89">
        <v>88</v>
      </c>
      <c r="D89" t="s">
        <v>114</v>
      </c>
      <c r="E89" t="s">
        <v>114</v>
      </c>
      <c r="F89">
        <v>0.5</v>
      </c>
      <c r="G89">
        <v>0.5</v>
      </c>
      <c r="J89">
        <v>220</v>
      </c>
      <c r="K89" t="s">
        <v>247</v>
      </c>
      <c r="L89" t="s">
        <v>247</v>
      </c>
      <c r="M89" t="s">
        <v>2332</v>
      </c>
    </row>
    <row r="90" spans="3:13">
      <c r="C90">
        <v>89</v>
      </c>
      <c r="D90" t="s">
        <v>115</v>
      </c>
      <c r="E90" t="s">
        <v>115</v>
      </c>
      <c r="F90">
        <v>0.5</v>
      </c>
      <c r="G90">
        <v>0.5</v>
      </c>
      <c r="J90">
        <v>221</v>
      </c>
      <c r="K90" t="s">
        <v>248</v>
      </c>
      <c r="L90" t="s">
        <v>248</v>
      </c>
      <c r="M90" t="s">
        <v>2332</v>
      </c>
    </row>
    <row r="91" spans="3:13">
      <c r="C91">
        <v>90</v>
      </c>
      <c r="D91" t="s">
        <v>116</v>
      </c>
      <c r="E91" t="s">
        <v>116</v>
      </c>
      <c r="F91">
        <v>0.5</v>
      </c>
      <c r="G91">
        <v>0.5</v>
      </c>
      <c r="J91">
        <v>222</v>
      </c>
      <c r="K91" t="s">
        <v>249</v>
      </c>
      <c r="L91" t="s">
        <v>249</v>
      </c>
      <c r="M91" t="s">
        <v>2335</v>
      </c>
    </row>
    <row r="92" spans="3:13">
      <c r="C92">
        <v>91</v>
      </c>
      <c r="D92" t="s">
        <v>117</v>
      </c>
      <c r="E92" t="s">
        <v>117</v>
      </c>
      <c r="F92">
        <v>0.5</v>
      </c>
      <c r="G92">
        <v>0.5</v>
      </c>
      <c r="J92">
        <v>223</v>
      </c>
      <c r="K92" t="s">
        <v>250</v>
      </c>
      <c r="L92" t="s">
        <v>250</v>
      </c>
      <c r="M92" t="s">
        <v>2337</v>
      </c>
    </row>
    <row r="93" spans="3:13">
      <c r="C93">
        <v>92</v>
      </c>
      <c r="D93" t="s">
        <v>118</v>
      </c>
      <c r="E93" t="s">
        <v>118</v>
      </c>
      <c r="F93">
        <v>0.5</v>
      </c>
      <c r="G93">
        <v>0.5</v>
      </c>
      <c r="J93">
        <v>224</v>
      </c>
      <c r="K93" t="s">
        <v>251</v>
      </c>
      <c r="L93" t="s">
        <v>251</v>
      </c>
      <c r="M93" t="s">
        <v>2337</v>
      </c>
    </row>
    <row r="94" spans="3:13">
      <c r="C94">
        <v>93</v>
      </c>
      <c r="D94" t="s">
        <v>120</v>
      </c>
      <c r="E94" t="s">
        <v>120</v>
      </c>
      <c r="F94">
        <v>0.5</v>
      </c>
      <c r="G94">
        <v>0.5</v>
      </c>
      <c r="J94">
        <v>225</v>
      </c>
      <c r="K94" t="s">
        <v>252</v>
      </c>
      <c r="L94" t="s">
        <v>252</v>
      </c>
      <c r="M94" t="s">
        <v>2332</v>
      </c>
    </row>
    <row r="95" spans="3:13">
      <c r="C95">
        <v>94</v>
      </c>
      <c r="D95" t="s">
        <v>121</v>
      </c>
      <c r="E95" t="s">
        <v>121</v>
      </c>
      <c r="F95">
        <v>0.5</v>
      </c>
      <c r="G95">
        <v>0.5</v>
      </c>
      <c r="J95">
        <v>226</v>
      </c>
      <c r="K95" t="s">
        <v>253</v>
      </c>
      <c r="L95" t="s">
        <v>253</v>
      </c>
      <c r="M95" t="s">
        <v>2335</v>
      </c>
    </row>
    <row r="96" spans="3:13">
      <c r="C96">
        <v>95</v>
      </c>
      <c r="D96" t="s">
        <v>122</v>
      </c>
      <c r="E96" t="s">
        <v>122</v>
      </c>
      <c r="F96">
        <v>0.5</v>
      </c>
      <c r="G96">
        <v>0.5</v>
      </c>
      <c r="J96">
        <v>227</v>
      </c>
      <c r="K96" t="s">
        <v>254</v>
      </c>
      <c r="L96" t="s">
        <v>254</v>
      </c>
      <c r="M96" t="s">
        <v>22</v>
      </c>
    </row>
    <row r="97" spans="3:13">
      <c r="C97">
        <v>96</v>
      </c>
      <c r="D97" t="s">
        <v>123</v>
      </c>
      <c r="E97" t="s">
        <v>123</v>
      </c>
      <c r="F97">
        <v>0.5</v>
      </c>
      <c r="G97">
        <v>0.5</v>
      </c>
      <c r="J97">
        <v>228</v>
      </c>
      <c r="K97" t="s">
        <v>255</v>
      </c>
      <c r="L97" t="s">
        <v>255</v>
      </c>
      <c r="M97" t="s">
        <v>2332</v>
      </c>
    </row>
    <row r="98" spans="3:13">
      <c r="C98">
        <v>97</v>
      </c>
      <c r="D98" t="s">
        <v>124</v>
      </c>
      <c r="E98" t="s">
        <v>124</v>
      </c>
      <c r="F98">
        <v>0.5</v>
      </c>
      <c r="G98">
        <v>0.5</v>
      </c>
      <c r="J98">
        <v>229</v>
      </c>
      <c r="K98" t="s">
        <v>256</v>
      </c>
      <c r="L98" t="s">
        <v>256</v>
      </c>
      <c r="M98" t="s">
        <v>2332</v>
      </c>
    </row>
    <row r="99" spans="3:13">
      <c r="C99">
        <v>98</v>
      </c>
      <c r="D99" t="s">
        <v>125</v>
      </c>
      <c r="E99" t="s">
        <v>125</v>
      </c>
      <c r="F99">
        <v>0.5</v>
      </c>
      <c r="G99">
        <v>0.5</v>
      </c>
      <c r="J99">
        <v>230</v>
      </c>
      <c r="K99" t="s">
        <v>257</v>
      </c>
      <c r="L99" t="s">
        <v>257</v>
      </c>
      <c r="M99" t="s">
        <v>23</v>
      </c>
    </row>
    <row r="100" spans="3:13">
      <c r="C100">
        <v>99</v>
      </c>
      <c r="D100" t="s">
        <v>126</v>
      </c>
      <c r="E100" t="s">
        <v>126</v>
      </c>
      <c r="F100">
        <v>0.5</v>
      </c>
      <c r="G100">
        <v>0.5</v>
      </c>
      <c r="J100">
        <v>231</v>
      </c>
      <c r="K100" t="s">
        <v>258</v>
      </c>
      <c r="L100" t="s">
        <v>258</v>
      </c>
      <c r="M100" t="s">
        <v>2332</v>
      </c>
    </row>
    <row r="101" spans="3:13">
      <c r="C101">
        <v>100</v>
      </c>
      <c r="D101" t="s">
        <v>127</v>
      </c>
      <c r="E101" t="s">
        <v>127</v>
      </c>
      <c r="F101" s="123" t="s">
        <v>1109</v>
      </c>
      <c r="G101" s="123" t="s">
        <v>1109</v>
      </c>
      <c r="J101">
        <v>779</v>
      </c>
      <c r="K101" t="s">
        <v>2210</v>
      </c>
      <c r="L101" t="s">
        <v>2210</v>
      </c>
      <c r="M101" t="s">
        <v>2337</v>
      </c>
    </row>
    <row r="102" spans="3:13">
      <c r="C102">
        <v>101</v>
      </c>
      <c r="D102" t="s">
        <v>128</v>
      </c>
      <c r="E102" t="s">
        <v>128</v>
      </c>
      <c r="F102" s="123" t="s">
        <v>1109</v>
      </c>
      <c r="G102" s="123" t="s">
        <v>1109</v>
      </c>
      <c r="J102">
        <v>780</v>
      </c>
      <c r="K102" t="s">
        <v>2211</v>
      </c>
      <c r="L102" t="s">
        <v>2211</v>
      </c>
      <c r="M102" t="s">
        <v>23</v>
      </c>
    </row>
    <row r="103" spans="3:13">
      <c r="C103">
        <v>102</v>
      </c>
      <c r="D103" t="s">
        <v>129</v>
      </c>
      <c r="E103" t="s">
        <v>129</v>
      </c>
      <c r="F103">
        <v>0.5</v>
      </c>
      <c r="G103">
        <v>0.5</v>
      </c>
      <c r="J103">
        <v>232</v>
      </c>
      <c r="K103" t="s">
        <v>259</v>
      </c>
      <c r="L103" t="s">
        <v>259</v>
      </c>
      <c r="M103" t="s">
        <v>2332</v>
      </c>
    </row>
    <row r="104" spans="3:13">
      <c r="C104">
        <v>103</v>
      </c>
      <c r="D104" t="s">
        <v>130</v>
      </c>
      <c r="E104" t="s">
        <v>130</v>
      </c>
      <c r="F104">
        <v>0.5</v>
      </c>
      <c r="G104">
        <v>0.5</v>
      </c>
      <c r="J104">
        <v>233</v>
      </c>
      <c r="K104" t="s">
        <v>260</v>
      </c>
      <c r="L104" t="s">
        <v>260</v>
      </c>
      <c r="M104" t="s">
        <v>2112</v>
      </c>
    </row>
    <row r="105" spans="3:13">
      <c r="C105">
        <v>104</v>
      </c>
      <c r="D105" t="s">
        <v>131</v>
      </c>
      <c r="E105" t="s">
        <v>131</v>
      </c>
      <c r="F105">
        <v>0.5</v>
      </c>
      <c r="G105">
        <v>0.5</v>
      </c>
      <c r="J105">
        <v>234</v>
      </c>
      <c r="K105" t="s">
        <v>261</v>
      </c>
      <c r="L105" t="s">
        <v>261</v>
      </c>
      <c r="M105" t="s">
        <v>2332</v>
      </c>
    </row>
    <row r="106" spans="3:13">
      <c r="C106">
        <v>105</v>
      </c>
      <c r="D106" t="s">
        <v>132</v>
      </c>
      <c r="E106" t="s">
        <v>132</v>
      </c>
      <c r="F106">
        <v>0.5</v>
      </c>
      <c r="G106">
        <v>0.5</v>
      </c>
      <c r="J106">
        <v>235</v>
      </c>
      <c r="K106" t="s">
        <v>262</v>
      </c>
      <c r="L106" t="s">
        <v>262</v>
      </c>
      <c r="M106" t="s">
        <v>2332</v>
      </c>
    </row>
    <row r="107" spans="3:13">
      <c r="C107">
        <v>106</v>
      </c>
      <c r="D107" t="s">
        <v>133</v>
      </c>
      <c r="E107" t="s">
        <v>133</v>
      </c>
      <c r="F107">
        <v>1</v>
      </c>
      <c r="G107">
        <v>0</v>
      </c>
      <c r="J107">
        <v>4</v>
      </c>
      <c r="K107" t="s">
        <v>18</v>
      </c>
      <c r="L107" t="s">
        <v>18</v>
      </c>
      <c r="M107" t="s">
        <v>23</v>
      </c>
    </row>
    <row r="108" spans="3:13">
      <c r="C108">
        <v>107</v>
      </c>
      <c r="D108" t="s">
        <v>134</v>
      </c>
      <c r="E108" t="s">
        <v>134</v>
      </c>
      <c r="F108">
        <v>1</v>
      </c>
      <c r="G108">
        <v>0</v>
      </c>
      <c r="J108">
        <v>5</v>
      </c>
      <c r="K108" t="s">
        <v>20</v>
      </c>
      <c r="L108" t="s">
        <v>20</v>
      </c>
      <c r="M108" t="s">
        <v>23</v>
      </c>
    </row>
    <row r="109" spans="3:13">
      <c r="C109">
        <v>108</v>
      </c>
      <c r="D109" t="s">
        <v>135</v>
      </c>
      <c r="E109" t="s">
        <v>135</v>
      </c>
      <c r="F109">
        <v>0.5</v>
      </c>
      <c r="G109">
        <v>0.5</v>
      </c>
      <c r="J109">
        <v>236</v>
      </c>
      <c r="K109" t="s">
        <v>263</v>
      </c>
      <c r="L109" t="s">
        <v>263</v>
      </c>
      <c r="M109" t="s">
        <v>2333</v>
      </c>
    </row>
    <row r="110" spans="3:13">
      <c r="C110">
        <v>109</v>
      </c>
      <c r="D110" t="s">
        <v>136</v>
      </c>
      <c r="E110" t="s">
        <v>136</v>
      </c>
      <c r="F110">
        <v>0.5</v>
      </c>
      <c r="G110">
        <v>0.5</v>
      </c>
      <c r="J110">
        <v>237</v>
      </c>
      <c r="K110" t="s">
        <v>264</v>
      </c>
      <c r="L110" t="s">
        <v>264</v>
      </c>
      <c r="M110" t="s">
        <v>2334</v>
      </c>
    </row>
    <row r="111" spans="3:13">
      <c r="C111">
        <v>110</v>
      </c>
      <c r="D111" t="s">
        <v>137</v>
      </c>
      <c r="E111" t="s">
        <v>137</v>
      </c>
      <c r="F111">
        <v>0.5</v>
      </c>
      <c r="G111">
        <v>0.5</v>
      </c>
      <c r="J111">
        <v>238</v>
      </c>
      <c r="K111" t="s">
        <v>265</v>
      </c>
      <c r="L111" t="s">
        <v>265</v>
      </c>
      <c r="M111" t="s">
        <v>2333</v>
      </c>
    </row>
    <row r="112" spans="3:13">
      <c r="C112">
        <v>111</v>
      </c>
      <c r="D112" t="s">
        <v>138</v>
      </c>
      <c r="E112" t="s">
        <v>138</v>
      </c>
      <c r="F112">
        <v>0.5</v>
      </c>
      <c r="G112">
        <v>0.5</v>
      </c>
      <c r="J112">
        <v>239</v>
      </c>
      <c r="K112" t="s">
        <v>266</v>
      </c>
      <c r="L112" t="s">
        <v>266</v>
      </c>
      <c r="M112" t="s">
        <v>2333</v>
      </c>
    </row>
    <row r="113" spans="3:13">
      <c r="C113">
        <v>112</v>
      </c>
      <c r="D113" t="s">
        <v>139</v>
      </c>
      <c r="E113" t="s">
        <v>139</v>
      </c>
      <c r="F113">
        <v>0.5</v>
      </c>
      <c r="G113">
        <v>0.5</v>
      </c>
      <c r="J113">
        <v>240</v>
      </c>
      <c r="K113" t="s">
        <v>267</v>
      </c>
      <c r="L113" t="s">
        <v>267</v>
      </c>
      <c r="M113" t="s">
        <v>2333</v>
      </c>
    </row>
    <row r="114" spans="3:13">
      <c r="C114">
        <v>113</v>
      </c>
      <c r="D114" t="s">
        <v>140</v>
      </c>
      <c r="E114" t="s">
        <v>140</v>
      </c>
      <c r="F114">
        <v>0</v>
      </c>
      <c r="G114">
        <v>1</v>
      </c>
      <c r="J114">
        <v>746</v>
      </c>
      <c r="K114" t="s">
        <v>2186</v>
      </c>
      <c r="L114" t="s">
        <v>2186</v>
      </c>
      <c r="M114" t="s">
        <v>2337</v>
      </c>
    </row>
    <row r="115" spans="3:13">
      <c r="C115">
        <v>114</v>
      </c>
      <c r="D115" t="s">
        <v>141</v>
      </c>
      <c r="E115" t="s">
        <v>141</v>
      </c>
      <c r="F115">
        <v>0.5</v>
      </c>
      <c r="G115">
        <v>0.5</v>
      </c>
      <c r="J115">
        <v>241</v>
      </c>
      <c r="K115" t="s">
        <v>268</v>
      </c>
      <c r="L115" t="s">
        <v>268</v>
      </c>
      <c r="M115" t="s">
        <v>2332</v>
      </c>
    </row>
    <row r="116" spans="3:13">
      <c r="C116">
        <v>115</v>
      </c>
      <c r="D116" t="s">
        <v>142</v>
      </c>
      <c r="E116" t="s">
        <v>142</v>
      </c>
      <c r="F116">
        <v>0</v>
      </c>
      <c r="G116">
        <v>1</v>
      </c>
      <c r="J116">
        <v>747</v>
      </c>
      <c r="K116" t="s">
        <v>2187</v>
      </c>
      <c r="L116" t="s">
        <v>2187</v>
      </c>
      <c r="M116" t="s">
        <v>2337</v>
      </c>
    </row>
    <row r="117" spans="3:13">
      <c r="C117">
        <v>116</v>
      </c>
      <c r="D117" t="s">
        <v>143</v>
      </c>
      <c r="E117" t="s">
        <v>143</v>
      </c>
      <c r="F117">
        <v>0.5</v>
      </c>
      <c r="G117">
        <v>0.5</v>
      </c>
      <c r="J117">
        <v>242</v>
      </c>
      <c r="K117" t="s">
        <v>269</v>
      </c>
      <c r="L117" t="s">
        <v>269</v>
      </c>
      <c r="M117" t="s">
        <v>56</v>
      </c>
    </row>
    <row r="118" spans="3:13">
      <c r="C118">
        <v>117</v>
      </c>
      <c r="D118" t="s">
        <v>144</v>
      </c>
      <c r="E118" t="s">
        <v>144</v>
      </c>
      <c r="F118">
        <v>0.5</v>
      </c>
      <c r="G118">
        <v>0.5</v>
      </c>
      <c r="J118">
        <v>243</v>
      </c>
      <c r="K118" t="s">
        <v>270</v>
      </c>
      <c r="L118" t="s">
        <v>270</v>
      </c>
      <c r="M118" t="s">
        <v>2333</v>
      </c>
    </row>
    <row r="119" spans="3:13">
      <c r="C119">
        <v>118</v>
      </c>
      <c r="D119" t="s">
        <v>145</v>
      </c>
      <c r="E119" t="s">
        <v>145</v>
      </c>
      <c r="F119">
        <v>0.5</v>
      </c>
      <c r="G119">
        <v>0.5</v>
      </c>
      <c r="J119">
        <v>244</v>
      </c>
      <c r="K119" t="s">
        <v>271</v>
      </c>
      <c r="L119" t="s">
        <v>271</v>
      </c>
      <c r="M119" t="s">
        <v>2333</v>
      </c>
    </row>
    <row r="120" spans="3:13">
      <c r="C120">
        <v>119</v>
      </c>
      <c r="D120" t="s">
        <v>146</v>
      </c>
      <c r="E120" t="s">
        <v>146</v>
      </c>
      <c r="F120">
        <v>0.5</v>
      </c>
      <c r="G120">
        <v>0.5</v>
      </c>
      <c r="J120">
        <v>245</v>
      </c>
      <c r="K120" t="s">
        <v>272</v>
      </c>
      <c r="L120" t="s">
        <v>272</v>
      </c>
      <c r="M120" t="s">
        <v>2333</v>
      </c>
    </row>
    <row r="121" spans="3:13">
      <c r="C121">
        <v>120</v>
      </c>
      <c r="D121" t="s">
        <v>147</v>
      </c>
      <c r="E121" t="s">
        <v>147</v>
      </c>
      <c r="F121" s="123" t="s">
        <v>1109</v>
      </c>
      <c r="G121" s="123" t="s">
        <v>1109</v>
      </c>
      <c r="J121">
        <v>781</v>
      </c>
      <c r="K121" t="s">
        <v>2283</v>
      </c>
      <c r="L121" t="s">
        <v>2283</v>
      </c>
      <c r="M121" t="s">
        <v>2112</v>
      </c>
    </row>
    <row r="122" spans="3:13">
      <c r="C122">
        <v>121</v>
      </c>
      <c r="D122" t="s">
        <v>148</v>
      </c>
      <c r="E122" t="s">
        <v>148</v>
      </c>
      <c r="F122" s="123" t="s">
        <v>1109</v>
      </c>
      <c r="G122" s="123" t="s">
        <v>1109</v>
      </c>
      <c r="J122">
        <v>782</v>
      </c>
      <c r="K122" t="s">
        <v>2212</v>
      </c>
      <c r="L122" t="s">
        <v>2212</v>
      </c>
      <c r="M122" t="s">
        <v>23</v>
      </c>
    </row>
    <row r="123" spans="3:13">
      <c r="C123">
        <v>122</v>
      </c>
      <c r="D123" t="s">
        <v>149</v>
      </c>
      <c r="E123" t="s">
        <v>149</v>
      </c>
      <c r="F123">
        <v>0.5</v>
      </c>
      <c r="G123">
        <v>0.5</v>
      </c>
      <c r="J123">
        <v>246</v>
      </c>
      <c r="K123" t="s">
        <v>273</v>
      </c>
      <c r="L123" t="s">
        <v>273</v>
      </c>
      <c r="M123" t="s">
        <v>2330</v>
      </c>
    </row>
    <row r="124" spans="3:13">
      <c r="C124">
        <v>123</v>
      </c>
      <c r="D124" t="s">
        <v>150</v>
      </c>
      <c r="E124" t="s">
        <v>150</v>
      </c>
      <c r="F124">
        <v>0.5</v>
      </c>
      <c r="G124">
        <v>0.5</v>
      </c>
      <c r="J124">
        <v>247</v>
      </c>
      <c r="K124" t="s">
        <v>274</v>
      </c>
      <c r="L124" t="s">
        <v>274</v>
      </c>
      <c r="M124" t="s">
        <v>2330</v>
      </c>
    </row>
    <row r="125" spans="3:13">
      <c r="C125">
        <v>124</v>
      </c>
      <c r="D125" t="s">
        <v>151</v>
      </c>
      <c r="E125" t="s">
        <v>151</v>
      </c>
      <c r="F125">
        <v>0</v>
      </c>
      <c r="G125">
        <v>1</v>
      </c>
      <c r="J125">
        <v>748</v>
      </c>
      <c r="K125" t="s">
        <v>2188</v>
      </c>
      <c r="L125" t="s">
        <v>2188</v>
      </c>
      <c r="M125" t="s">
        <v>2337</v>
      </c>
    </row>
    <row r="126" spans="3:13">
      <c r="C126">
        <v>125</v>
      </c>
      <c r="D126" t="s">
        <v>152</v>
      </c>
      <c r="E126" t="s">
        <v>152</v>
      </c>
      <c r="F126">
        <v>0.75</v>
      </c>
      <c r="G126">
        <v>0.25</v>
      </c>
      <c r="J126">
        <v>153</v>
      </c>
      <c r="K126" t="s">
        <v>181</v>
      </c>
      <c r="L126" t="s">
        <v>181</v>
      </c>
      <c r="M126" t="s">
        <v>14</v>
      </c>
    </row>
    <row r="127" spans="3:13">
      <c r="C127">
        <v>126</v>
      </c>
      <c r="D127" t="s">
        <v>153</v>
      </c>
      <c r="E127" t="s">
        <v>153</v>
      </c>
      <c r="F127">
        <v>0.75</v>
      </c>
      <c r="G127">
        <v>0.25</v>
      </c>
      <c r="J127">
        <v>154</v>
      </c>
      <c r="K127" t="s">
        <v>1963</v>
      </c>
      <c r="L127" t="s">
        <v>1963</v>
      </c>
      <c r="M127" t="s">
        <v>14</v>
      </c>
    </row>
    <row r="128" spans="3:13">
      <c r="C128">
        <v>127</v>
      </c>
      <c r="D128" t="s">
        <v>154</v>
      </c>
      <c r="E128" t="s">
        <v>154</v>
      </c>
      <c r="F128">
        <v>0.5</v>
      </c>
      <c r="G128">
        <v>0.5</v>
      </c>
      <c r="J128">
        <v>248</v>
      </c>
      <c r="K128" t="s">
        <v>275</v>
      </c>
      <c r="L128" t="s">
        <v>275</v>
      </c>
      <c r="M128" t="s">
        <v>2330</v>
      </c>
    </row>
    <row r="129" spans="3:13">
      <c r="C129">
        <v>128</v>
      </c>
      <c r="D129" t="s">
        <v>155</v>
      </c>
      <c r="E129" t="s">
        <v>155</v>
      </c>
      <c r="F129">
        <v>1</v>
      </c>
      <c r="G129">
        <v>0</v>
      </c>
      <c r="J129">
        <v>6</v>
      </c>
      <c r="K129" t="s">
        <v>21</v>
      </c>
      <c r="L129" t="s">
        <v>21</v>
      </c>
      <c r="M129" t="s">
        <v>23</v>
      </c>
    </row>
    <row r="130" spans="3:13">
      <c r="C130">
        <v>129</v>
      </c>
      <c r="D130" t="s">
        <v>156</v>
      </c>
      <c r="E130" t="s">
        <v>156</v>
      </c>
      <c r="F130">
        <v>0.5</v>
      </c>
      <c r="G130">
        <v>0.5</v>
      </c>
      <c r="J130">
        <v>249</v>
      </c>
      <c r="K130" t="s">
        <v>276</v>
      </c>
      <c r="L130" t="s">
        <v>276</v>
      </c>
      <c r="M130" t="s">
        <v>2333</v>
      </c>
    </row>
    <row r="131" spans="3:13">
      <c r="C131">
        <v>130</v>
      </c>
      <c r="D131" t="s">
        <v>157</v>
      </c>
      <c r="E131" t="s">
        <v>157</v>
      </c>
      <c r="F131">
        <v>0.5</v>
      </c>
      <c r="G131">
        <v>0.5</v>
      </c>
      <c r="J131">
        <v>250</v>
      </c>
      <c r="K131" t="s">
        <v>1489</v>
      </c>
      <c r="L131" t="s">
        <v>1489</v>
      </c>
      <c r="M131" t="s">
        <v>2333</v>
      </c>
    </row>
    <row r="132" spans="3:13">
      <c r="C132">
        <v>131</v>
      </c>
      <c r="D132" t="s">
        <v>159</v>
      </c>
      <c r="E132" t="s">
        <v>159</v>
      </c>
      <c r="F132">
        <v>0.5</v>
      </c>
      <c r="G132">
        <v>0.5</v>
      </c>
      <c r="J132">
        <v>251</v>
      </c>
      <c r="K132" t="s">
        <v>278</v>
      </c>
      <c r="L132" t="s">
        <v>278</v>
      </c>
      <c r="M132" t="s">
        <v>2333</v>
      </c>
    </row>
    <row r="133" spans="3:13">
      <c r="C133">
        <v>132</v>
      </c>
      <c r="D133" t="s">
        <v>160</v>
      </c>
      <c r="E133" t="s">
        <v>2287</v>
      </c>
      <c r="F133" s="123" t="s">
        <v>1109</v>
      </c>
      <c r="G133" s="123" t="s">
        <v>1109</v>
      </c>
      <c r="J133">
        <v>812</v>
      </c>
      <c r="K133" t="s">
        <v>2159</v>
      </c>
      <c r="L133" t="s">
        <v>2159</v>
      </c>
      <c r="M133" t="s">
        <v>14</v>
      </c>
    </row>
    <row r="134" spans="3:13">
      <c r="C134">
        <v>133</v>
      </c>
      <c r="D134" t="s">
        <v>161</v>
      </c>
      <c r="E134" t="s">
        <v>161</v>
      </c>
      <c r="F134">
        <v>0.85</v>
      </c>
      <c r="G134">
        <v>0.15</v>
      </c>
      <c r="J134">
        <v>32</v>
      </c>
      <c r="K134" t="s">
        <v>2132</v>
      </c>
      <c r="L134" t="s">
        <v>2132</v>
      </c>
      <c r="M134" t="s">
        <v>2332</v>
      </c>
    </row>
    <row r="135" spans="3:13">
      <c r="C135">
        <v>134</v>
      </c>
      <c r="D135" t="s">
        <v>162</v>
      </c>
      <c r="E135" t="s">
        <v>162</v>
      </c>
      <c r="F135">
        <v>0.85</v>
      </c>
      <c r="G135">
        <v>0.15</v>
      </c>
      <c r="J135">
        <v>33</v>
      </c>
      <c r="K135" t="s">
        <v>53</v>
      </c>
      <c r="L135" t="s">
        <v>53</v>
      </c>
      <c r="M135" t="s">
        <v>2332</v>
      </c>
    </row>
    <row r="136" spans="3:13">
      <c r="C136">
        <v>135</v>
      </c>
      <c r="D136" t="s">
        <v>163</v>
      </c>
      <c r="E136" t="s">
        <v>163</v>
      </c>
      <c r="F136">
        <v>0.85</v>
      </c>
      <c r="G136">
        <v>0.15</v>
      </c>
      <c r="J136">
        <v>34</v>
      </c>
      <c r="K136" t="s">
        <v>54</v>
      </c>
      <c r="L136" t="s">
        <v>54</v>
      </c>
      <c r="M136" t="s">
        <v>2332</v>
      </c>
    </row>
    <row r="137" spans="3:13">
      <c r="C137">
        <v>136</v>
      </c>
      <c r="D137" t="s">
        <v>164</v>
      </c>
      <c r="E137" t="s">
        <v>164</v>
      </c>
      <c r="F137">
        <v>0.85</v>
      </c>
      <c r="G137">
        <v>0.15</v>
      </c>
      <c r="J137">
        <v>35</v>
      </c>
      <c r="K137" t="s">
        <v>55</v>
      </c>
      <c r="L137" t="s">
        <v>55</v>
      </c>
      <c r="M137" t="s">
        <v>56</v>
      </c>
    </row>
    <row r="138" spans="3:13">
      <c r="C138">
        <v>137</v>
      </c>
      <c r="D138" t="s">
        <v>165</v>
      </c>
      <c r="E138" t="s">
        <v>165</v>
      </c>
      <c r="F138" s="123" t="s">
        <v>1109</v>
      </c>
      <c r="G138" s="123" t="s">
        <v>1109</v>
      </c>
      <c r="J138">
        <v>783</v>
      </c>
      <c r="K138" t="s">
        <v>2213</v>
      </c>
      <c r="L138" t="s">
        <v>2213</v>
      </c>
      <c r="M138" t="s">
        <v>23</v>
      </c>
    </row>
    <row r="139" spans="3:13">
      <c r="C139">
        <v>138</v>
      </c>
      <c r="D139" t="s">
        <v>166</v>
      </c>
      <c r="E139" t="s">
        <v>166</v>
      </c>
      <c r="F139">
        <v>0.85</v>
      </c>
      <c r="G139">
        <v>0.15</v>
      </c>
      <c r="J139">
        <v>36</v>
      </c>
      <c r="K139" t="s">
        <v>57</v>
      </c>
      <c r="L139" t="s">
        <v>57</v>
      </c>
      <c r="M139" t="s">
        <v>56</v>
      </c>
    </row>
    <row r="140" spans="3:13">
      <c r="C140">
        <v>139</v>
      </c>
      <c r="D140" t="s">
        <v>167</v>
      </c>
      <c r="E140" t="s">
        <v>167</v>
      </c>
      <c r="F140">
        <v>0.85</v>
      </c>
      <c r="G140">
        <v>0.15</v>
      </c>
      <c r="J140">
        <v>37</v>
      </c>
      <c r="K140" t="s">
        <v>58</v>
      </c>
      <c r="L140" t="s">
        <v>58</v>
      </c>
      <c r="M140" t="s">
        <v>2332</v>
      </c>
    </row>
    <row r="141" spans="3:13">
      <c r="C141">
        <v>140</v>
      </c>
      <c r="D141" t="s">
        <v>168</v>
      </c>
      <c r="E141" t="s">
        <v>168</v>
      </c>
      <c r="F141">
        <v>0.85</v>
      </c>
      <c r="G141">
        <v>0.15</v>
      </c>
      <c r="J141">
        <v>38</v>
      </c>
      <c r="K141" t="s">
        <v>59</v>
      </c>
      <c r="L141" t="s">
        <v>59</v>
      </c>
      <c r="M141" t="s">
        <v>2332</v>
      </c>
    </row>
    <row r="142" spans="3:13">
      <c r="C142">
        <v>141</v>
      </c>
      <c r="D142" t="s">
        <v>169</v>
      </c>
      <c r="E142" t="s">
        <v>169</v>
      </c>
      <c r="F142">
        <v>0.85</v>
      </c>
      <c r="G142">
        <v>0.15</v>
      </c>
      <c r="J142">
        <v>39</v>
      </c>
      <c r="K142" t="s">
        <v>60</v>
      </c>
      <c r="L142" t="s">
        <v>60</v>
      </c>
      <c r="M142" t="s">
        <v>56</v>
      </c>
    </row>
    <row r="143" spans="3:13">
      <c r="C143">
        <v>142</v>
      </c>
      <c r="D143" t="s">
        <v>170</v>
      </c>
      <c r="E143" t="s">
        <v>170</v>
      </c>
      <c r="F143">
        <v>0.85</v>
      </c>
      <c r="G143">
        <v>0.15</v>
      </c>
      <c r="J143">
        <v>40</v>
      </c>
      <c r="K143" t="s">
        <v>61</v>
      </c>
      <c r="L143" t="s">
        <v>61</v>
      </c>
      <c r="M143" t="s">
        <v>56</v>
      </c>
    </row>
    <row r="144" spans="3:13">
      <c r="C144">
        <v>143</v>
      </c>
      <c r="D144" t="s">
        <v>171</v>
      </c>
      <c r="E144" t="s">
        <v>171</v>
      </c>
      <c r="F144">
        <v>0.85</v>
      </c>
      <c r="G144">
        <v>0.15</v>
      </c>
      <c r="J144">
        <v>41</v>
      </c>
      <c r="K144" t="s">
        <v>62</v>
      </c>
      <c r="L144" t="s">
        <v>62</v>
      </c>
      <c r="M144" t="s">
        <v>22</v>
      </c>
    </row>
    <row r="145" spans="3:13">
      <c r="C145">
        <v>144</v>
      </c>
      <c r="D145" t="s">
        <v>172</v>
      </c>
      <c r="E145" t="s">
        <v>172</v>
      </c>
      <c r="F145" s="123" t="s">
        <v>1109</v>
      </c>
      <c r="G145" s="123" t="s">
        <v>1109</v>
      </c>
      <c r="J145">
        <v>813</v>
      </c>
      <c r="K145" t="s">
        <v>2160</v>
      </c>
      <c r="L145" t="s">
        <v>2160</v>
      </c>
      <c r="M145" t="s">
        <v>2332</v>
      </c>
    </row>
    <row r="146" spans="3:13">
      <c r="C146">
        <v>145</v>
      </c>
      <c r="D146" t="s">
        <v>173</v>
      </c>
      <c r="E146" t="s">
        <v>173</v>
      </c>
      <c r="F146" s="123" t="s">
        <v>1109</v>
      </c>
      <c r="G146" s="123" t="s">
        <v>1109</v>
      </c>
      <c r="J146">
        <v>814</v>
      </c>
      <c r="K146" t="s">
        <v>2161</v>
      </c>
      <c r="L146" t="s">
        <v>2161</v>
      </c>
      <c r="M146" t="s">
        <v>2332</v>
      </c>
    </row>
    <row r="147" spans="3:13">
      <c r="C147">
        <v>146</v>
      </c>
      <c r="D147" t="s">
        <v>174</v>
      </c>
      <c r="E147" t="s">
        <v>174</v>
      </c>
      <c r="F147" s="123" t="s">
        <v>1109</v>
      </c>
      <c r="G147" s="123" t="s">
        <v>1109</v>
      </c>
      <c r="J147">
        <v>815</v>
      </c>
      <c r="K147" t="s">
        <v>2162</v>
      </c>
      <c r="L147" t="s">
        <v>2162</v>
      </c>
      <c r="M147" t="s">
        <v>2332</v>
      </c>
    </row>
    <row r="148" spans="3:13">
      <c r="C148">
        <v>147</v>
      </c>
      <c r="D148" t="s">
        <v>175</v>
      </c>
      <c r="E148" t="s">
        <v>175</v>
      </c>
      <c r="F148">
        <v>0.5</v>
      </c>
      <c r="G148">
        <v>0.5</v>
      </c>
      <c r="J148">
        <v>252</v>
      </c>
      <c r="K148" t="s">
        <v>279</v>
      </c>
      <c r="L148" t="s">
        <v>279</v>
      </c>
      <c r="M148" t="s">
        <v>23</v>
      </c>
    </row>
    <row r="149" spans="3:13">
      <c r="C149">
        <v>148</v>
      </c>
      <c r="D149" t="s">
        <v>176</v>
      </c>
      <c r="E149" t="s">
        <v>176</v>
      </c>
      <c r="F149">
        <v>0.5</v>
      </c>
      <c r="G149">
        <v>0.5</v>
      </c>
      <c r="J149">
        <v>253</v>
      </c>
      <c r="K149" t="s">
        <v>280</v>
      </c>
      <c r="L149" t="s">
        <v>280</v>
      </c>
      <c r="M149" t="s">
        <v>23</v>
      </c>
    </row>
    <row r="150" spans="3:13">
      <c r="C150">
        <v>149</v>
      </c>
      <c r="D150" t="s">
        <v>177</v>
      </c>
      <c r="E150" t="s">
        <v>177</v>
      </c>
      <c r="F150">
        <v>0.5</v>
      </c>
      <c r="G150">
        <v>0.5</v>
      </c>
      <c r="J150">
        <v>254</v>
      </c>
      <c r="K150" t="s">
        <v>281</v>
      </c>
      <c r="L150" t="s">
        <v>281</v>
      </c>
      <c r="M150" t="s">
        <v>23</v>
      </c>
    </row>
    <row r="151" spans="3:13">
      <c r="C151">
        <v>150</v>
      </c>
      <c r="D151" t="s">
        <v>178</v>
      </c>
      <c r="E151" t="s">
        <v>178</v>
      </c>
      <c r="F151" s="123" t="s">
        <v>1109</v>
      </c>
      <c r="G151" s="123" t="s">
        <v>1109</v>
      </c>
      <c r="J151">
        <v>816</v>
      </c>
      <c r="K151" t="s">
        <v>2163</v>
      </c>
      <c r="L151" t="s">
        <v>2163</v>
      </c>
      <c r="M151" t="s">
        <v>2331</v>
      </c>
    </row>
    <row r="152" spans="3:13">
      <c r="C152">
        <v>151</v>
      </c>
      <c r="D152" t="s">
        <v>179</v>
      </c>
      <c r="E152" t="s">
        <v>179</v>
      </c>
      <c r="F152" s="123" t="s">
        <v>1109</v>
      </c>
      <c r="G152" s="123" t="s">
        <v>1109</v>
      </c>
      <c r="J152">
        <v>817</v>
      </c>
      <c r="K152" t="s">
        <v>2164</v>
      </c>
      <c r="L152" t="s">
        <v>2164</v>
      </c>
      <c r="M152" t="s">
        <v>2331</v>
      </c>
    </row>
    <row r="153" spans="3:13">
      <c r="C153">
        <v>152</v>
      </c>
      <c r="D153" t="s">
        <v>180</v>
      </c>
      <c r="E153" t="s">
        <v>180</v>
      </c>
      <c r="F153">
        <v>0.85</v>
      </c>
      <c r="G153">
        <v>0.15</v>
      </c>
      <c r="J153">
        <v>42</v>
      </c>
      <c r="K153" t="s">
        <v>63</v>
      </c>
      <c r="L153" t="s">
        <v>63</v>
      </c>
      <c r="M153" t="s">
        <v>22</v>
      </c>
    </row>
    <row r="154" spans="3:13">
      <c r="C154">
        <v>153</v>
      </c>
      <c r="D154" t="s">
        <v>181</v>
      </c>
      <c r="E154" t="s">
        <v>181</v>
      </c>
      <c r="F154">
        <v>0.85</v>
      </c>
      <c r="G154">
        <v>0.15</v>
      </c>
      <c r="J154">
        <v>43</v>
      </c>
      <c r="K154" t="s">
        <v>64</v>
      </c>
      <c r="L154" t="s">
        <v>64</v>
      </c>
      <c r="M154" t="s">
        <v>14</v>
      </c>
    </row>
    <row r="155" spans="3:13">
      <c r="C155">
        <v>154</v>
      </c>
      <c r="D155" t="s">
        <v>1963</v>
      </c>
      <c r="E155" t="s">
        <v>1963</v>
      </c>
      <c r="F155">
        <v>0.85</v>
      </c>
      <c r="G155">
        <v>0.15</v>
      </c>
      <c r="J155">
        <v>44</v>
      </c>
      <c r="K155" t="s">
        <v>65</v>
      </c>
      <c r="L155" t="s">
        <v>65</v>
      </c>
      <c r="M155" t="s">
        <v>14</v>
      </c>
    </row>
    <row r="156" spans="3:13">
      <c r="C156">
        <v>155</v>
      </c>
      <c r="D156" t="s">
        <v>182</v>
      </c>
      <c r="E156" t="s">
        <v>182</v>
      </c>
      <c r="F156">
        <v>0.85</v>
      </c>
      <c r="G156">
        <v>0.15</v>
      </c>
      <c r="J156">
        <v>45</v>
      </c>
      <c r="K156" t="s">
        <v>66</v>
      </c>
      <c r="L156" t="s">
        <v>66</v>
      </c>
      <c r="M156" t="s">
        <v>14</v>
      </c>
    </row>
    <row r="157" spans="3:13">
      <c r="C157">
        <v>156</v>
      </c>
      <c r="D157" t="s">
        <v>183</v>
      </c>
      <c r="E157" t="s">
        <v>183</v>
      </c>
      <c r="F157">
        <v>0.85</v>
      </c>
      <c r="G157">
        <v>0.15</v>
      </c>
      <c r="J157">
        <v>46</v>
      </c>
      <c r="K157" t="s">
        <v>67</v>
      </c>
      <c r="L157" t="s">
        <v>67</v>
      </c>
      <c r="M157" t="s">
        <v>29</v>
      </c>
    </row>
    <row r="158" spans="3:13">
      <c r="C158">
        <v>157</v>
      </c>
      <c r="D158" t="s">
        <v>184</v>
      </c>
      <c r="E158" t="s">
        <v>184</v>
      </c>
      <c r="F158">
        <v>0.85</v>
      </c>
      <c r="G158">
        <v>0.15</v>
      </c>
      <c r="J158">
        <v>47</v>
      </c>
      <c r="K158" t="s">
        <v>68</v>
      </c>
      <c r="L158" t="s">
        <v>68</v>
      </c>
      <c r="M158" t="s">
        <v>29</v>
      </c>
    </row>
    <row r="159" spans="3:13">
      <c r="C159">
        <v>158</v>
      </c>
      <c r="D159" t="s">
        <v>185</v>
      </c>
      <c r="E159" t="s">
        <v>185</v>
      </c>
      <c r="F159">
        <v>0.85</v>
      </c>
      <c r="G159">
        <v>0.15</v>
      </c>
      <c r="J159">
        <v>48</v>
      </c>
      <c r="K159" t="s">
        <v>69</v>
      </c>
      <c r="L159" t="s">
        <v>69</v>
      </c>
      <c r="M159" t="s">
        <v>29</v>
      </c>
    </row>
    <row r="160" spans="3:13">
      <c r="C160">
        <v>159</v>
      </c>
      <c r="D160" t="s">
        <v>186</v>
      </c>
      <c r="E160" t="s">
        <v>186</v>
      </c>
      <c r="F160">
        <v>0.85</v>
      </c>
      <c r="G160">
        <v>0.15</v>
      </c>
      <c r="J160">
        <v>49</v>
      </c>
      <c r="K160" t="s">
        <v>70</v>
      </c>
      <c r="L160" t="s">
        <v>70</v>
      </c>
      <c r="M160" t="s">
        <v>29</v>
      </c>
    </row>
    <row r="161" spans="3:13">
      <c r="C161">
        <v>160</v>
      </c>
      <c r="D161" t="s">
        <v>187</v>
      </c>
      <c r="E161" t="s">
        <v>187</v>
      </c>
      <c r="F161">
        <v>0.85</v>
      </c>
      <c r="G161">
        <v>0.15</v>
      </c>
      <c r="J161">
        <v>50</v>
      </c>
      <c r="K161" t="s">
        <v>71</v>
      </c>
      <c r="L161" t="s">
        <v>71</v>
      </c>
      <c r="M161" t="s">
        <v>2332</v>
      </c>
    </row>
    <row r="162" spans="3:13" ht="16" customHeight="1">
      <c r="C162">
        <v>161</v>
      </c>
      <c r="D162" t="s">
        <v>188</v>
      </c>
      <c r="E162" t="s">
        <v>188</v>
      </c>
      <c r="F162">
        <v>0.5</v>
      </c>
      <c r="G162">
        <v>0.5</v>
      </c>
      <c r="J162">
        <v>255</v>
      </c>
      <c r="K162" t="s">
        <v>282</v>
      </c>
      <c r="L162" t="s">
        <v>282</v>
      </c>
      <c r="M162" t="s">
        <v>2332</v>
      </c>
    </row>
    <row r="163" spans="3:13">
      <c r="C163">
        <v>162</v>
      </c>
      <c r="D163" t="s">
        <v>189</v>
      </c>
      <c r="E163" t="s">
        <v>189</v>
      </c>
      <c r="F163">
        <v>0.5</v>
      </c>
      <c r="G163">
        <v>0.5</v>
      </c>
      <c r="J163">
        <v>256</v>
      </c>
      <c r="K163" t="s">
        <v>283</v>
      </c>
      <c r="L163" t="s">
        <v>283</v>
      </c>
      <c r="M163" t="s">
        <v>2332</v>
      </c>
    </row>
    <row r="164" spans="3:13">
      <c r="C164">
        <v>163</v>
      </c>
      <c r="D164" t="s">
        <v>190</v>
      </c>
      <c r="E164" t="s">
        <v>190</v>
      </c>
      <c r="F164">
        <v>0.5</v>
      </c>
      <c r="G164">
        <v>0.5</v>
      </c>
      <c r="J164">
        <v>257</v>
      </c>
      <c r="K164" t="s">
        <v>284</v>
      </c>
      <c r="L164" t="s">
        <v>284</v>
      </c>
      <c r="M164" t="s">
        <v>2332</v>
      </c>
    </row>
    <row r="165" spans="3:13">
      <c r="C165">
        <v>164</v>
      </c>
      <c r="D165" t="s">
        <v>191</v>
      </c>
      <c r="E165" t="s">
        <v>191</v>
      </c>
      <c r="F165">
        <v>0.5</v>
      </c>
      <c r="G165">
        <v>0.5</v>
      </c>
      <c r="J165">
        <v>258</v>
      </c>
      <c r="K165" t="s">
        <v>285</v>
      </c>
      <c r="L165" t="s">
        <v>285</v>
      </c>
      <c r="M165" t="s">
        <v>2331</v>
      </c>
    </row>
    <row r="166" spans="3:13">
      <c r="C166">
        <v>165</v>
      </c>
      <c r="D166" t="s">
        <v>192</v>
      </c>
      <c r="E166" t="s">
        <v>192</v>
      </c>
      <c r="F166">
        <v>0.5</v>
      </c>
      <c r="G166">
        <v>0.5</v>
      </c>
      <c r="J166">
        <v>259</v>
      </c>
      <c r="K166" t="s">
        <v>286</v>
      </c>
      <c r="L166" t="s">
        <v>286</v>
      </c>
      <c r="M166" t="s">
        <v>2331</v>
      </c>
    </row>
    <row r="167" spans="3:13">
      <c r="C167">
        <v>166</v>
      </c>
      <c r="D167" t="s">
        <v>193</v>
      </c>
      <c r="E167" t="s">
        <v>193</v>
      </c>
      <c r="F167">
        <v>0.5</v>
      </c>
      <c r="G167">
        <v>0.5</v>
      </c>
      <c r="J167">
        <v>260</v>
      </c>
      <c r="K167" t="s">
        <v>287</v>
      </c>
      <c r="L167" t="s">
        <v>287</v>
      </c>
      <c r="M167" t="s">
        <v>2331</v>
      </c>
    </row>
    <row r="168" spans="3:13">
      <c r="C168">
        <v>167</v>
      </c>
      <c r="D168" t="s">
        <v>194</v>
      </c>
      <c r="E168" t="s">
        <v>194</v>
      </c>
      <c r="F168">
        <v>0.5</v>
      </c>
      <c r="G168">
        <v>0.5</v>
      </c>
      <c r="J168">
        <v>261</v>
      </c>
      <c r="K168" t="s">
        <v>288</v>
      </c>
      <c r="L168" t="s">
        <v>288</v>
      </c>
      <c r="M168" t="s">
        <v>2332</v>
      </c>
    </row>
    <row r="169" spans="3:13">
      <c r="C169">
        <v>168</v>
      </c>
      <c r="D169" t="s">
        <v>195</v>
      </c>
      <c r="E169" t="s">
        <v>195</v>
      </c>
      <c r="F169">
        <v>0.5</v>
      </c>
      <c r="G169">
        <v>0.5</v>
      </c>
      <c r="J169">
        <v>262</v>
      </c>
      <c r="K169" t="s">
        <v>289</v>
      </c>
      <c r="L169" t="s">
        <v>289</v>
      </c>
      <c r="M169" t="s">
        <v>2332</v>
      </c>
    </row>
    <row r="170" spans="3:13">
      <c r="C170">
        <v>169</v>
      </c>
      <c r="D170" t="s">
        <v>196</v>
      </c>
      <c r="E170" t="s">
        <v>196</v>
      </c>
      <c r="F170">
        <v>0.5</v>
      </c>
      <c r="G170">
        <v>0.5</v>
      </c>
      <c r="J170">
        <v>263</v>
      </c>
      <c r="K170" t="s">
        <v>290</v>
      </c>
      <c r="L170" t="s">
        <v>290</v>
      </c>
      <c r="M170" t="s">
        <v>2332</v>
      </c>
    </row>
    <row r="171" spans="3:13">
      <c r="C171">
        <v>170</v>
      </c>
      <c r="D171" t="s">
        <v>197</v>
      </c>
      <c r="E171" t="s">
        <v>197</v>
      </c>
      <c r="F171">
        <v>0.5</v>
      </c>
      <c r="G171">
        <v>0.5</v>
      </c>
      <c r="J171">
        <v>264</v>
      </c>
      <c r="K171" t="s">
        <v>291</v>
      </c>
      <c r="L171" t="s">
        <v>291</v>
      </c>
      <c r="M171" t="s">
        <v>2332</v>
      </c>
    </row>
    <row r="172" spans="3:13">
      <c r="C172">
        <v>171</v>
      </c>
      <c r="D172" t="s">
        <v>198</v>
      </c>
      <c r="E172" t="s">
        <v>198</v>
      </c>
      <c r="F172">
        <v>0.5</v>
      </c>
      <c r="G172">
        <v>0.5</v>
      </c>
      <c r="J172">
        <v>265</v>
      </c>
      <c r="K172" t="s">
        <v>292</v>
      </c>
      <c r="L172" t="s">
        <v>292</v>
      </c>
      <c r="M172" t="s">
        <v>29</v>
      </c>
    </row>
    <row r="173" spans="3:13">
      <c r="C173">
        <v>172</v>
      </c>
      <c r="D173" t="s">
        <v>199</v>
      </c>
      <c r="E173" t="s">
        <v>199</v>
      </c>
      <c r="F173">
        <v>0.5</v>
      </c>
      <c r="G173">
        <v>0.5</v>
      </c>
      <c r="J173">
        <v>709</v>
      </c>
      <c r="K173" t="s">
        <v>759</v>
      </c>
      <c r="L173" t="s">
        <v>759</v>
      </c>
      <c r="M173" t="s">
        <v>2336</v>
      </c>
    </row>
    <row r="174" spans="3:13">
      <c r="C174">
        <v>173</v>
      </c>
      <c r="D174" t="s">
        <v>200</v>
      </c>
      <c r="E174" t="s">
        <v>200</v>
      </c>
      <c r="F174">
        <v>0.25</v>
      </c>
      <c r="G174">
        <v>0.75</v>
      </c>
      <c r="J174">
        <v>740</v>
      </c>
      <c r="K174" t="s">
        <v>2181</v>
      </c>
      <c r="L174" t="s">
        <v>2181</v>
      </c>
      <c r="M174" t="s">
        <v>2335</v>
      </c>
    </row>
    <row r="175" spans="3:13">
      <c r="C175">
        <v>174</v>
      </c>
      <c r="D175" t="s">
        <v>201</v>
      </c>
      <c r="E175" t="s">
        <v>201</v>
      </c>
      <c r="F175">
        <v>0.25</v>
      </c>
      <c r="G175">
        <v>0.75</v>
      </c>
      <c r="J175">
        <v>741</v>
      </c>
      <c r="K175" t="s">
        <v>2268</v>
      </c>
      <c r="L175" t="s">
        <v>2268</v>
      </c>
      <c r="M175" t="s">
        <v>22</v>
      </c>
    </row>
    <row r="176" spans="3:13">
      <c r="C176">
        <v>175</v>
      </c>
      <c r="D176" t="s">
        <v>202</v>
      </c>
      <c r="E176" t="s">
        <v>202</v>
      </c>
      <c r="F176">
        <v>0.85</v>
      </c>
      <c r="G176">
        <v>0.15</v>
      </c>
      <c r="J176">
        <v>140</v>
      </c>
      <c r="K176" t="s">
        <v>168</v>
      </c>
      <c r="L176" t="s">
        <v>168</v>
      </c>
      <c r="M176" t="s">
        <v>2337</v>
      </c>
    </row>
    <row r="177" spans="3:13">
      <c r="C177">
        <v>176</v>
      </c>
      <c r="D177" t="s">
        <v>203</v>
      </c>
      <c r="E177" t="s">
        <v>203</v>
      </c>
      <c r="F177">
        <v>0.85</v>
      </c>
      <c r="G177">
        <v>0.15</v>
      </c>
      <c r="J177">
        <v>51</v>
      </c>
      <c r="K177" t="s">
        <v>72</v>
      </c>
      <c r="L177" t="s">
        <v>72</v>
      </c>
      <c r="M177" t="s">
        <v>2332</v>
      </c>
    </row>
    <row r="178" spans="3:13">
      <c r="C178">
        <v>177</v>
      </c>
      <c r="D178" t="s">
        <v>204</v>
      </c>
      <c r="E178" t="s">
        <v>204</v>
      </c>
      <c r="F178">
        <v>0.5</v>
      </c>
      <c r="G178">
        <v>0.5</v>
      </c>
      <c r="J178">
        <v>266</v>
      </c>
      <c r="K178" t="s">
        <v>293</v>
      </c>
      <c r="L178" t="s">
        <v>293</v>
      </c>
      <c r="M178" t="s">
        <v>29</v>
      </c>
    </row>
    <row r="179" spans="3:13">
      <c r="C179">
        <v>178</v>
      </c>
      <c r="D179" t="s">
        <v>205</v>
      </c>
      <c r="E179" t="s">
        <v>205</v>
      </c>
      <c r="F179">
        <v>0.5</v>
      </c>
      <c r="G179">
        <v>0.5</v>
      </c>
      <c r="J179">
        <v>267</v>
      </c>
      <c r="K179" t="s">
        <v>294</v>
      </c>
      <c r="L179" t="s">
        <v>294</v>
      </c>
      <c r="M179" t="s">
        <v>29</v>
      </c>
    </row>
    <row r="180" spans="3:13">
      <c r="C180">
        <v>179</v>
      </c>
      <c r="D180" t="s">
        <v>206</v>
      </c>
      <c r="E180" t="s">
        <v>206</v>
      </c>
      <c r="F180">
        <v>0.5</v>
      </c>
      <c r="G180">
        <v>0.5</v>
      </c>
      <c r="J180">
        <v>268</v>
      </c>
      <c r="K180" t="s">
        <v>295</v>
      </c>
      <c r="L180" t="s">
        <v>295</v>
      </c>
      <c r="M180" t="s">
        <v>29</v>
      </c>
    </row>
    <row r="181" spans="3:13">
      <c r="C181">
        <v>180</v>
      </c>
      <c r="D181" t="s">
        <v>207</v>
      </c>
      <c r="E181" t="s">
        <v>207</v>
      </c>
      <c r="F181">
        <v>0.5</v>
      </c>
      <c r="G181">
        <v>0.5</v>
      </c>
      <c r="J181">
        <v>269</v>
      </c>
      <c r="K181" t="s">
        <v>296</v>
      </c>
      <c r="L181" t="s">
        <v>296</v>
      </c>
      <c r="M181" t="s">
        <v>29</v>
      </c>
    </row>
    <row r="182" spans="3:13">
      <c r="C182">
        <v>181</v>
      </c>
      <c r="D182" t="s">
        <v>208</v>
      </c>
      <c r="E182" t="s">
        <v>208</v>
      </c>
      <c r="F182">
        <v>0.5</v>
      </c>
      <c r="G182">
        <v>0.5</v>
      </c>
      <c r="J182">
        <v>270</v>
      </c>
      <c r="K182" t="s">
        <v>297</v>
      </c>
      <c r="L182" t="s">
        <v>297</v>
      </c>
      <c r="M182" t="s">
        <v>2331</v>
      </c>
    </row>
    <row r="183" spans="3:13">
      <c r="C183">
        <v>182</v>
      </c>
      <c r="D183" t="s">
        <v>209</v>
      </c>
      <c r="E183" t="s">
        <v>209</v>
      </c>
      <c r="F183">
        <v>0.5</v>
      </c>
      <c r="G183">
        <v>0.5</v>
      </c>
      <c r="J183">
        <v>271</v>
      </c>
      <c r="K183" t="s">
        <v>298</v>
      </c>
      <c r="L183" t="s">
        <v>298</v>
      </c>
      <c r="M183" t="s">
        <v>2331</v>
      </c>
    </row>
    <row r="184" spans="3:13">
      <c r="C184">
        <v>183</v>
      </c>
      <c r="D184" t="s">
        <v>210</v>
      </c>
      <c r="E184" t="s">
        <v>210</v>
      </c>
      <c r="F184">
        <v>0.5</v>
      </c>
      <c r="G184">
        <v>0.5</v>
      </c>
      <c r="J184">
        <v>272</v>
      </c>
      <c r="K184" t="s">
        <v>299</v>
      </c>
      <c r="L184" t="s">
        <v>299</v>
      </c>
      <c r="M184" t="s">
        <v>2331</v>
      </c>
    </row>
    <row r="185" spans="3:13">
      <c r="C185">
        <v>184</v>
      </c>
      <c r="D185" t="s">
        <v>211</v>
      </c>
      <c r="E185" t="s">
        <v>211</v>
      </c>
      <c r="F185">
        <v>0.5</v>
      </c>
      <c r="G185">
        <v>0.5</v>
      </c>
      <c r="J185">
        <v>273</v>
      </c>
      <c r="K185" t="s">
        <v>300</v>
      </c>
      <c r="L185" t="s">
        <v>300</v>
      </c>
      <c r="M185" t="s">
        <v>14</v>
      </c>
    </row>
    <row r="186" spans="3:13">
      <c r="C186">
        <v>185</v>
      </c>
      <c r="D186" t="s">
        <v>212</v>
      </c>
      <c r="E186" t="s">
        <v>212</v>
      </c>
      <c r="F186">
        <v>0.5</v>
      </c>
      <c r="G186">
        <v>0.5</v>
      </c>
      <c r="J186">
        <v>274</v>
      </c>
      <c r="K186" t="s">
        <v>301</v>
      </c>
      <c r="L186" t="s">
        <v>301</v>
      </c>
      <c r="M186" t="s">
        <v>14</v>
      </c>
    </row>
    <row r="187" spans="3:13">
      <c r="C187">
        <v>186</v>
      </c>
      <c r="D187" t="s">
        <v>213</v>
      </c>
      <c r="E187" t="s">
        <v>213</v>
      </c>
      <c r="F187">
        <v>0.5</v>
      </c>
      <c r="G187">
        <v>0.5</v>
      </c>
      <c r="J187">
        <v>275</v>
      </c>
      <c r="K187" t="s">
        <v>302</v>
      </c>
      <c r="L187" t="s">
        <v>302</v>
      </c>
      <c r="M187" t="s">
        <v>14</v>
      </c>
    </row>
    <row r="188" spans="3:13">
      <c r="C188">
        <v>187</v>
      </c>
      <c r="D188" t="s">
        <v>214</v>
      </c>
      <c r="E188" t="s">
        <v>214</v>
      </c>
      <c r="F188">
        <v>0.5</v>
      </c>
      <c r="G188">
        <v>0.5</v>
      </c>
      <c r="J188">
        <v>276</v>
      </c>
      <c r="K188" t="s">
        <v>303</v>
      </c>
      <c r="L188" t="s">
        <v>303</v>
      </c>
      <c r="M188" t="s">
        <v>22</v>
      </c>
    </row>
    <row r="189" spans="3:13">
      <c r="C189">
        <v>188</v>
      </c>
      <c r="D189" t="s">
        <v>215</v>
      </c>
      <c r="E189" t="s">
        <v>215</v>
      </c>
      <c r="F189">
        <v>0.5</v>
      </c>
      <c r="G189">
        <v>0.5</v>
      </c>
      <c r="J189">
        <v>277</v>
      </c>
      <c r="K189" t="s">
        <v>304</v>
      </c>
      <c r="L189" t="s">
        <v>304</v>
      </c>
      <c r="M189" t="s">
        <v>22</v>
      </c>
    </row>
    <row r="190" spans="3:13">
      <c r="C190">
        <v>189</v>
      </c>
      <c r="D190" t="s">
        <v>216</v>
      </c>
      <c r="E190" t="s">
        <v>216</v>
      </c>
      <c r="F190">
        <v>0.5</v>
      </c>
      <c r="G190">
        <v>0.5</v>
      </c>
      <c r="J190">
        <v>278</v>
      </c>
      <c r="K190" t="s">
        <v>305</v>
      </c>
      <c r="L190" t="s">
        <v>305</v>
      </c>
      <c r="M190" t="s">
        <v>22</v>
      </c>
    </row>
    <row r="191" spans="3:13">
      <c r="C191">
        <v>190</v>
      </c>
      <c r="D191" t="s">
        <v>217</v>
      </c>
      <c r="E191" t="s">
        <v>217</v>
      </c>
      <c r="F191">
        <v>0.5</v>
      </c>
      <c r="G191">
        <v>0.5</v>
      </c>
      <c r="J191">
        <v>279</v>
      </c>
      <c r="K191" t="s">
        <v>306</v>
      </c>
      <c r="L191" t="s">
        <v>306</v>
      </c>
      <c r="M191" t="s">
        <v>22</v>
      </c>
    </row>
    <row r="192" spans="3:13">
      <c r="C192">
        <v>191</v>
      </c>
      <c r="D192" t="s">
        <v>218</v>
      </c>
      <c r="E192" t="s">
        <v>218</v>
      </c>
      <c r="F192">
        <v>0.5</v>
      </c>
      <c r="G192">
        <v>0.5</v>
      </c>
      <c r="J192">
        <v>280</v>
      </c>
      <c r="K192" t="s">
        <v>307</v>
      </c>
      <c r="L192" t="s">
        <v>307</v>
      </c>
      <c r="M192" t="s">
        <v>2334</v>
      </c>
    </row>
    <row r="193" spans="3:13">
      <c r="C193">
        <v>192</v>
      </c>
      <c r="D193" t="s">
        <v>219</v>
      </c>
      <c r="E193" t="s">
        <v>219</v>
      </c>
      <c r="F193">
        <v>0.5</v>
      </c>
      <c r="G193">
        <v>0.5</v>
      </c>
      <c r="J193">
        <v>281</v>
      </c>
      <c r="K193" t="s">
        <v>308</v>
      </c>
      <c r="L193" t="s">
        <v>308</v>
      </c>
      <c r="M193" t="s">
        <v>2334</v>
      </c>
    </row>
    <row r="194" spans="3:13">
      <c r="C194">
        <v>193</v>
      </c>
      <c r="D194" t="s">
        <v>220</v>
      </c>
      <c r="E194" t="s">
        <v>220</v>
      </c>
      <c r="F194">
        <v>0.5</v>
      </c>
      <c r="G194">
        <v>0.5</v>
      </c>
      <c r="J194">
        <v>282</v>
      </c>
      <c r="K194" t="s">
        <v>309</v>
      </c>
      <c r="L194" t="s">
        <v>309</v>
      </c>
      <c r="M194" t="s">
        <v>2334</v>
      </c>
    </row>
    <row r="195" spans="3:13">
      <c r="C195">
        <v>194</v>
      </c>
      <c r="D195" t="s">
        <v>221</v>
      </c>
      <c r="E195" t="s">
        <v>221</v>
      </c>
      <c r="F195">
        <v>0.5</v>
      </c>
      <c r="G195">
        <v>0.5</v>
      </c>
      <c r="J195">
        <v>283</v>
      </c>
      <c r="K195" t="s">
        <v>310</v>
      </c>
      <c r="L195" t="s">
        <v>310</v>
      </c>
      <c r="M195" t="s">
        <v>29</v>
      </c>
    </row>
    <row r="196" spans="3:13">
      <c r="C196">
        <v>195</v>
      </c>
      <c r="D196" t="s">
        <v>222</v>
      </c>
      <c r="E196" t="s">
        <v>222</v>
      </c>
      <c r="F196">
        <v>0.5</v>
      </c>
      <c r="G196">
        <v>0.5</v>
      </c>
      <c r="J196">
        <v>284</v>
      </c>
      <c r="K196" t="s">
        <v>311</v>
      </c>
      <c r="L196" t="s">
        <v>311</v>
      </c>
      <c r="M196" t="s">
        <v>29</v>
      </c>
    </row>
    <row r="197" spans="3:13">
      <c r="C197">
        <v>196</v>
      </c>
      <c r="D197" t="s">
        <v>223</v>
      </c>
      <c r="E197" t="s">
        <v>223</v>
      </c>
      <c r="F197">
        <v>0.85</v>
      </c>
      <c r="G197">
        <v>0.15</v>
      </c>
      <c r="J197">
        <v>52</v>
      </c>
      <c r="K197" t="s">
        <v>73</v>
      </c>
      <c r="L197" t="s">
        <v>73</v>
      </c>
      <c r="M197" t="s">
        <v>2332</v>
      </c>
    </row>
    <row r="198" spans="3:13">
      <c r="C198">
        <v>197</v>
      </c>
      <c r="D198" t="s">
        <v>224</v>
      </c>
      <c r="E198" t="s">
        <v>224</v>
      </c>
      <c r="F198">
        <v>0.85</v>
      </c>
      <c r="G198">
        <v>0.15</v>
      </c>
      <c r="J198">
        <v>53</v>
      </c>
      <c r="K198" t="s">
        <v>74</v>
      </c>
      <c r="L198" t="s">
        <v>74</v>
      </c>
      <c r="M198" t="s">
        <v>2332</v>
      </c>
    </row>
    <row r="199" spans="3:13">
      <c r="C199">
        <v>198</v>
      </c>
      <c r="D199" t="s">
        <v>225</v>
      </c>
      <c r="E199" t="s">
        <v>225</v>
      </c>
      <c r="F199">
        <v>0.5</v>
      </c>
      <c r="G199">
        <v>0.5</v>
      </c>
      <c r="J199">
        <v>285</v>
      </c>
      <c r="K199" t="s">
        <v>312</v>
      </c>
      <c r="L199" t="s">
        <v>312</v>
      </c>
      <c r="M199" t="s">
        <v>14</v>
      </c>
    </row>
    <row r="200" spans="3:13">
      <c r="C200">
        <v>199</v>
      </c>
      <c r="D200" t="s">
        <v>226</v>
      </c>
      <c r="E200" t="s">
        <v>226</v>
      </c>
      <c r="F200">
        <v>0.5</v>
      </c>
      <c r="G200">
        <v>0.5</v>
      </c>
      <c r="J200">
        <v>286</v>
      </c>
      <c r="K200" t="s">
        <v>313</v>
      </c>
      <c r="L200" t="s">
        <v>313</v>
      </c>
      <c r="M200" t="s">
        <v>14</v>
      </c>
    </row>
    <row r="201" spans="3:13">
      <c r="C201">
        <v>200</v>
      </c>
      <c r="D201" t="s">
        <v>227</v>
      </c>
      <c r="E201" t="s">
        <v>227</v>
      </c>
      <c r="F201">
        <v>0.5</v>
      </c>
      <c r="G201">
        <v>0.5</v>
      </c>
      <c r="J201">
        <v>287</v>
      </c>
      <c r="K201" t="s">
        <v>314</v>
      </c>
      <c r="L201" t="s">
        <v>314</v>
      </c>
      <c r="M201" t="s">
        <v>2332</v>
      </c>
    </row>
    <row r="202" spans="3:13">
      <c r="C202">
        <v>201</v>
      </c>
      <c r="D202" t="s">
        <v>228</v>
      </c>
      <c r="E202" t="s">
        <v>228</v>
      </c>
      <c r="F202" s="123" t="s">
        <v>1109</v>
      </c>
      <c r="G202" s="123" t="s">
        <v>1109</v>
      </c>
      <c r="J202">
        <v>818</v>
      </c>
      <c r="K202" t="s">
        <v>2165</v>
      </c>
      <c r="L202" t="s">
        <v>2165</v>
      </c>
      <c r="M202" t="s">
        <v>2331</v>
      </c>
    </row>
    <row r="203" spans="3:13">
      <c r="C203">
        <v>202</v>
      </c>
      <c r="D203" t="s">
        <v>229</v>
      </c>
      <c r="E203" t="s">
        <v>229</v>
      </c>
      <c r="F203">
        <v>0.5</v>
      </c>
      <c r="G203">
        <v>0.5</v>
      </c>
      <c r="J203">
        <v>288</v>
      </c>
      <c r="K203" t="s">
        <v>315</v>
      </c>
      <c r="L203" t="s">
        <v>315</v>
      </c>
      <c r="M203" t="s">
        <v>2332</v>
      </c>
    </row>
    <row r="204" spans="3:13">
      <c r="C204">
        <v>203</v>
      </c>
      <c r="D204" t="s">
        <v>230</v>
      </c>
      <c r="E204" t="s">
        <v>230</v>
      </c>
      <c r="F204">
        <v>0.5</v>
      </c>
      <c r="G204">
        <v>0.5</v>
      </c>
      <c r="J204">
        <v>289</v>
      </c>
      <c r="K204" t="s">
        <v>316</v>
      </c>
      <c r="L204" t="s">
        <v>316</v>
      </c>
      <c r="M204" t="s">
        <v>2332</v>
      </c>
    </row>
    <row r="205" spans="3:13">
      <c r="C205">
        <v>204</v>
      </c>
      <c r="D205" t="s">
        <v>231</v>
      </c>
      <c r="E205" t="s">
        <v>231</v>
      </c>
      <c r="F205">
        <v>0.5</v>
      </c>
      <c r="G205">
        <v>0.5</v>
      </c>
      <c r="J205">
        <v>290</v>
      </c>
      <c r="K205" t="s">
        <v>317</v>
      </c>
      <c r="L205" t="s">
        <v>317</v>
      </c>
      <c r="M205" t="s">
        <v>29</v>
      </c>
    </row>
    <row r="206" spans="3:13">
      <c r="C206">
        <v>205</v>
      </c>
      <c r="D206" t="s">
        <v>232</v>
      </c>
      <c r="E206" t="s">
        <v>232</v>
      </c>
      <c r="F206">
        <v>0.5</v>
      </c>
      <c r="G206">
        <v>0.5</v>
      </c>
      <c r="J206">
        <v>291</v>
      </c>
      <c r="K206" t="s">
        <v>318</v>
      </c>
      <c r="L206" t="s">
        <v>318</v>
      </c>
      <c r="M206" t="s">
        <v>29</v>
      </c>
    </row>
    <row r="207" spans="3:13">
      <c r="C207">
        <v>206</v>
      </c>
      <c r="D207" t="s">
        <v>233</v>
      </c>
      <c r="E207" t="s">
        <v>233</v>
      </c>
      <c r="F207">
        <v>0.5</v>
      </c>
      <c r="G207">
        <v>0.5</v>
      </c>
      <c r="J207">
        <v>292</v>
      </c>
      <c r="K207" t="s">
        <v>319</v>
      </c>
      <c r="L207" t="s">
        <v>319</v>
      </c>
      <c r="M207" t="s">
        <v>2112</v>
      </c>
    </row>
    <row r="208" spans="3:13">
      <c r="C208">
        <v>207</v>
      </c>
      <c r="D208" t="s">
        <v>234</v>
      </c>
      <c r="E208" t="s">
        <v>234</v>
      </c>
      <c r="F208">
        <v>0.5</v>
      </c>
      <c r="G208">
        <v>0.5</v>
      </c>
      <c r="J208">
        <v>293</v>
      </c>
      <c r="K208" t="s">
        <v>320</v>
      </c>
      <c r="L208" t="s">
        <v>320</v>
      </c>
      <c r="M208" t="s">
        <v>2332</v>
      </c>
    </row>
    <row r="209" spans="3:13">
      <c r="C209">
        <v>208</v>
      </c>
      <c r="D209" t="s">
        <v>235</v>
      </c>
      <c r="E209" t="s">
        <v>235</v>
      </c>
      <c r="F209">
        <v>0.5</v>
      </c>
      <c r="G209">
        <v>0.5</v>
      </c>
      <c r="J209">
        <v>294</v>
      </c>
      <c r="K209" t="s">
        <v>321</v>
      </c>
      <c r="L209" t="s">
        <v>321</v>
      </c>
      <c r="M209" t="s">
        <v>2332</v>
      </c>
    </row>
    <row r="210" spans="3:13">
      <c r="C210">
        <v>209</v>
      </c>
      <c r="D210" t="s">
        <v>236</v>
      </c>
      <c r="E210" t="s">
        <v>236</v>
      </c>
      <c r="F210">
        <v>0.25</v>
      </c>
      <c r="G210">
        <v>0.75</v>
      </c>
      <c r="J210">
        <v>724</v>
      </c>
      <c r="K210" t="s">
        <v>2149</v>
      </c>
      <c r="L210" t="s">
        <v>2149</v>
      </c>
      <c r="M210" t="s">
        <v>22</v>
      </c>
    </row>
    <row r="211" spans="3:13">
      <c r="C211">
        <v>210</v>
      </c>
      <c r="D211" t="s">
        <v>237</v>
      </c>
      <c r="E211" t="s">
        <v>237</v>
      </c>
      <c r="F211">
        <v>0.25</v>
      </c>
      <c r="G211">
        <v>0.75</v>
      </c>
      <c r="J211">
        <v>725</v>
      </c>
      <c r="K211" t="s">
        <v>2150</v>
      </c>
      <c r="L211" t="s">
        <v>2150</v>
      </c>
      <c r="M211" t="s">
        <v>2332</v>
      </c>
    </row>
    <row r="212" spans="3:13">
      <c r="C212">
        <v>211</v>
      </c>
      <c r="D212" t="s">
        <v>238</v>
      </c>
      <c r="E212" t="s">
        <v>238</v>
      </c>
      <c r="F212">
        <v>0.5</v>
      </c>
      <c r="G212">
        <v>0.5</v>
      </c>
      <c r="J212">
        <v>295</v>
      </c>
      <c r="K212" t="s">
        <v>322</v>
      </c>
      <c r="L212" t="s">
        <v>322</v>
      </c>
      <c r="M212" t="s">
        <v>2332</v>
      </c>
    </row>
    <row r="213" spans="3:13">
      <c r="C213">
        <v>212</v>
      </c>
      <c r="D213" t="s">
        <v>239</v>
      </c>
      <c r="E213" t="s">
        <v>239</v>
      </c>
      <c r="F213">
        <v>0.5</v>
      </c>
      <c r="G213">
        <v>0.5</v>
      </c>
      <c r="J213">
        <v>296</v>
      </c>
      <c r="K213" t="s">
        <v>323</v>
      </c>
      <c r="L213" t="s">
        <v>323</v>
      </c>
      <c r="M213" t="s">
        <v>2334</v>
      </c>
    </row>
    <row r="214" spans="3:13">
      <c r="C214">
        <v>213</v>
      </c>
      <c r="D214" t="s">
        <v>240</v>
      </c>
      <c r="E214" t="s">
        <v>240</v>
      </c>
      <c r="F214">
        <v>0.5</v>
      </c>
      <c r="G214">
        <v>0.5</v>
      </c>
      <c r="J214">
        <v>297</v>
      </c>
      <c r="K214" t="s">
        <v>324</v>
      </c>
      <c r="L214" t="s">
        <v>324</v>
      </c>
      <c r="M214" t="s">
        <v>2334</v>
      </c>
    </row>
    <row r="215" spans="3:13">
      <c r="C215">
        <v>214</v>
      </c>
      <c r="D215" t="s">
        <v>241</v>
      </c>
      <c r="E215" t="s">
        <v>241</v>
      </c>
      <c r="F215">
        <v>0.5</v>
      </c>
      <c r="G215">
        <v>0.5</v>
      </c>
      <c r="J215">
        <v>298</v>
      </c>
      <c r="K215" t="s">
        <v>325</v>
      </c>
      <c r="L215" t="s">
        <v>325</v>
      </c>
      <c r="M215" t="s">
        <v>2333</v>
      </c>
    </row>
    <row r="216" spans="3:13">
      <c r="C216">
        <v>215</v>
      </c>
      <c r="D216" t="s">
        <v>242</v>
      </c>
      <c r="E216" t="s">
        <v>242</v>
      </c>
      <c r="F216">
        <v>0.5</v>
      </c>
      <c r="G216">
        <v>0.5</v>
      </c>
      <c r="J216">
        <v>299</v>
      </c>
      <c r="K216" t="s">
        <v>326</v>
      </c>
      <c r="L216" t="s">
        <v>326</v>
      </c>
      <c r="M216" t="s">
        <v>2112</v>
      </c>
    </row>
    <row r="217" spans="3:13">
      <c r="C217">
        <v>216</v>
      </c>
      <c r="D217" t="s">
        <v>243</v>
      </c>
      <c r="E217" t="s">
        <v>243</v>
      </c>
      <c r="F217">
        <v>0.5</v>
      </c>
      <c r="G217">
        <v>0.5</v>
      </c>
      <c r="J217">
        <v>300</v>
      </c>
      <c r="K217" t="s">
        <v>327</v>
      </c>
      <c r="L217" t="s">
        <v>327</v>
      </c>
      <c r="M217" t="s">
        <v>56</v>
      </c>
    </row>
    <row r="218" spans="3:13">
      <c r="C218">
        <v>217</v>
      </c>
      <c r="D218" t="s">
        <v>244</v>
      </c>
      <c r="E218" t="s">
        <v>244</v>
      </c>
      <c r="F218">
        <v>0.5</v>
      </c>
      <c r="G218">
        <v>0.5</v>
      </c>
      <c r="J218">
        <v>301</v>
      </c>
      <c r="K218" t="s">
        <v>328</v>
      </c>
      <c r="L218" t="s">
        <v>328</v>
      </c>
      <c r="M218" t="s">
        <v>56</v>
      </c>
    </row>
    <row r="219" spans="3:13">
      <c r="C219">
        <v>218</v>
      </c>
      <c r="D219" t="s">
        <v>245</v>
      </c>
      <c r="E219" t="s">
        <v>245</v>
      </c>
      <c r="F219">
        <v>0.5</v>
      </c>
      <c r="G219">
        <v>0.5</v>
      </c>
      <c r="J219">
        <v>302</v>
      </c>
      <c r="K219" t="s">
        <v>329</v>
      </c>
      <c r="L219" t="s">
        <v>329</v>
      </c>
      <c r="M219" t="s">
        <v>2334</v>
      </c>
    </row>
    <row r="220" spans="3:13">
      <c r="C220">
        <v>219</v>
      </c>
      <c r="D220" t="s">
        <v>246</v>
      </c>
      <c r="E220" t="s">
        <v>246</v>
      </c>
      <c r="F220">
        <v>0.5</v>
      </c>
      <c r="G220">
        <v>0.5</v>
      </c>
      <c r="J220">
        <v>303</v>
      </c>
      <c r="K220" t="s">
        <v>330</v>
      </c>
      <c r="L220" t="s">
        <v>330</v>
      </c>
      <c r="M220" t="s">
        <v>56</v>
      </c>
    </row>
    <row r="221" spans="3:13">
      <c r="C221">
        <v>220</v>
      </c>
      <c r="D221" t="s">
        <v>247</v>
      </c>
      <c r="E221" t="s">
        <v>247</v>
      </c>
      <c r="F221">
        <v>0.5</v>
      </c>
      <c r="G221">
        <v>0.5</v>
      </c>
      <c r="J221">
        <v>304</v>
      </c>
      <c r="K221" t="s">
        <v>331</v>
      </c>
      <c r="L221" t="s">
        <v>331</v>
      </c>
      <c r="M221" t="s">
        <v>2330</v>
      </c>
    </row>
    <row r="222" spans="3:13">
      <c r="C222">
        <v>221</v>
      </c>
      <c r="D222" t="s">
        <v>248</v>
      </c>
      <c r="E222" t="s">
        <v>248</v>
      </c>
      <c r="F222">
        <v>0.5</v>
      </c>
      <c r="G222">
        <v>0.5</v>
      </c>
      <c r="J222">
        <v>305</v>
      </c>
      <c r="K222" t="s">
        <v>332</v>
      </c>
      <c r="L222" t="s">
        <v>332</v>
      </c>
      <c r="M222" t="s">
        <v>2330</v>
      </c>
    </row>
    <row r="223" spans="3:13">
      <c r="C223">
        <v>222</v>
      </c>
      <c r="D223" t="s">
        <v>249</v>
      </c>
      <c r="E223" t="s">
        <v>249</v>
      </c>
      <c r="F223">
        <v>0.25</v>
      </c>
      <c r="G223">
        <v>0.75</v>
      </c>
      <c r="J223">
        <v>726</v>
      </c>
      <c r="K223" t="s">
        <v>2151</v>
      </c>
      <c r="L223" t="s">
        <v>2151</v>
      </c>
      <c r="M223" t="s">
        <v>2332</v>
      </c>
    </row>
    <row r="224" spans="3:13">
      <c r="C224">
        <v>223</v>
      </c>
      <c r="D224" t="s">
        <v>250</v>
      </c>
      <c r="E224" t="s">
        <v>250</v>
      </c>
      <c r="F224">
        <v>0.5</v>
      </c>
      <c r="G224">
        <v>0.5</v>
      </c>
      <c r="J224">
        <v>306</v>
      </c>
      <c r="K224" t="s">
        <v>333</v>
      </c>
      <c r="L224" t="s">
        <v>333</v>
      </c>
      <c r="M224" t="s">
        <v>2330</v>
      </c>
    </row>
    <row r="225" spans="3:13">
      <c r="C225">
        <v>224</v>
      </c>
      <c r="D225" t="s">
        <v>251</v>
      </c>
      <c r="E225" t="s">
        <v>251</v>
      </c>
      <c r="F225">
        <v>0.5</v>
      </c>
      <c r="G225">
        <v>0.5</v>
      </c>
      <c r="J225">
        <v>307</v>
      </c>
      <c r="K225" t="s">
        <v>334</v>
      </c>
      <c r="L225" t="s">
        <v>334</v>
      </c>
      <c r="M225" t="s">
        <v>2334</v>
      </c>
    </row>
    <row r="226" spans="3:13">
      <c r="C226">
        <v>225</v>
      </c>
      <c r="D226" t="s">
        <v>252</v>
      </c>
      <c r="E226" t="s">
        <v>252</v>
      </c>
      <c r="F226">
        <v>0.5</v>
      </c>
      <c r="G226">
        <v>0.5</v>
      </c>
      <c r="J226">
        <v>308</v>
      </c>
      <c r="K226" t="s">
        <v>335</v>
      </c>
      <c r="L226" t="s">
        <v>335</v>
      </c>
      <c r="M226" t="s">
        <v>2334</v>
      </c>
    </row>
    <row r="227" spans="3:13">
      <c r="C227">
        <v>226</v>
      </c>
      <c r="D227" t="s">
        <v>253</v>
      </c>
      <c r="E227" t="s">
        <v>253</v>
      </c>
      <c r="F227">
        <v>0.5</v>
      </c>
      <c r="G227">
        <v>0.5</v>
      </c>
      <c r="J227">
        <v>309</v>
      </c>
      <c r="K227" t="s">
        <v>336</v>
      </c>
      <c r="L227" t="s">
        <v>336</v>
      </c>
      <c r="M227" t="s">
        <v>2332</v>
      </c>
    </row>
    <row r="228" spans="3:13">
      <c r="C228">
        <v>227</v>
      </c>
      <c r="D228" t="s">
        <v>254</v>
      </c>
      <c r="E228" t="s">
        <v>254</v>
      </c>
      <c r="F228">
        <v>0.5</v>
      </c>
      <c r="G228">
        <v>0.5</v>
      </c>
      <c r="J228">
        <v>310</v>
      </c>
      <c r="K228" t="s">
        <v>337</v>
      </c>
      <c r="L228" t="s">
        <v>337</v>
      </c>
      <c r="M228" t="s">
        <v>2332</v>
      </c>
    </row>
    <row r="229" spans="3:13">
      <c r="C229">
        <v>228</v>
      </c>
      <c r="D229" t="s">
        <v>255</v>
      </c>
      <c r="E229" t="s">
        <v>255</v>
      </c>
      <c r="F229">
        <v>0.5</v>
      </c>
      <c r="G229">
        <v>0.5</v>
      </c>
      <c r="J229">
        <v>311</v>
      </c>
      <c r="K229" t="s">
        <v>338</v>
      </c>
      <c r="L229" t="s">
        <v>338</v>
      </c>
      <c r="M229" t="s">
        <v>56</v>
      </c>
    </row>
    <row r="230" spans="3:13">
      <c r="C230">
        <v>229</v>
      </c>
      <c r="D230" t="s">
        <v>256</v>
      </c>
      <c r="E230" t="s">
        <v>256</v>
      </c>
      <c r="F230">
        <v>0.5</v>
      </c>
      <c r="G230">
        <v>0.5</v>
      </c>
      <c r="J230">
        <v>312</v>
      </c>
      <c r="K230" t="s">
        <v>339</v>
      </c>
      <c r="L230" t="s">
        <v>339</v>
      </c>
      <c r="M230" t="s">
        <v>56</v>
      </c>
    </row>
    <row r="231" spans="3:13">
      <c r="C231">
        <v>230</v>
      </c>
      <c r="D231" t="s">
        <v>257</v>
      </c>
      <c r="E231" t="s">
        <v>257</v>
      </c>
      <c r="F231">
        <v>0.5</v>
      </c>
      <c r="G231">
        <v>0.5</v>
      </c>
      <c r="J231">
        <v>313</v>
      </c>
      <c r="K231" t="s">
        <v>340</v>
      </c>
      <c r="L231" t="s">
        <v>340</v>
      </c>
      <c r="M231" t="s">
        <v>29</v>
      </c>
    </row>
    <row r="232" spans="3:13">
      <c r="C232">
        <v>231</v>
      </c>
      <c r="D232" t="s">
        <v>258</v>
      </c>
      <c r="E232" t="s">
        <v>258</v>
      </c>
      <c r="F232">
        <v>0.5</v>
      </c>
      <c r="G232">
        <v>0.5</v>
      </c>
      <c r="J232">
        <v>314</v>
      </c>
      <c r="K232" t="s">
        <v>341</v>
      </c>
      <c r="L232" t="s">
        <v>341</v>
      </c>
      <c r="M232" t="s">
        <v>29</v>
      </c>
    </row>
    <row r="233" spans="3:13">
      <c r="C233">
        <v>232</v>
      </c>
      <c r="D233" t="s">
        <v>259</v>
      </c>
      <c r="E233" t="s">
        <v>259</v>
      </c>
      <c r="F233">
        <v>0.5</v>
      </c>
      <c r="G233">
        <v>0.5</v>
      </c>
      <c r="J233">
        <v>315</v>
      </c>
      <c r="K233" t="s">
        <v>342</v>
      </c>
      <c r="L233" t="s">
        <v>342</v>
      </c>
      <c r="M233" t="s">
        <v>14</v>
      </c>
    </row>
    <row r="234" spans="3:13">
      <c r="C234">
        <v>233</v>
      </c>
      <c r="D234" t="s">
        <v>260</v>
      </c>
      <c r="E234" t="s">
        <v>260</v>
      </c>
      <c r="F234" s="123" t="s">
        <v>1109</v>
      </c>
      <c r="G234" s="123" t="s">
        <v>1109</v>
      </c>
      <c r="J234">
        <v>784</v>
      </c>
      <c r="K234" t="s">
        <v>2214</v>
      </c>
      <c r="L234" t="s">
        <v>2214</v>
      </c>
      <c r="M234" t="s">
        <v>23</v>
      </c>
    </row>
    <row r="235" spans="3:13">
      <c r="C235">
        <v>234</v>
      </c>
      <c r="D235" t="s">
        <v>261</v>
      </c>
      <c r="E235" t="s">
        <v>261</v>
      </c>
      <c r="F235">
        <v>0.5</v>
      </c>
      <c r="G235">
        <v>0.5</v>
      </c>
      <c r="J235">
        <v>316</v>
      </c>
      <c r="K235" t="s">
        <v>343</v>
      </c>
      <c r="L235" t="s">
        <v>343</v>
      </c>
      <c r="M235" t="s">
        <v>2336</v>
      </c>
    </row>
    <row r="236" spans="3:13">
      <c r="C236">
        <v>235</v>
      </c>
      <c r="D236" t="s">
        <v>262</v>
      </c>
      <c r="E236" t="s">
        <v>262</v>
      </c>
      <c r="F236">
        <v>0.5</v>
      </c>
      <c r="G236">
        <v>0.5</v>
      </c>
      <c r="J236">
        <v>317</v>
      </c>
      <c r="K236" t="s">
        <v>344</v>
      </c>
      <c r="L236" t="s">
        <v>344</v>
      </c>
      <c r="M236" t="s">
        <v>2336</v>
      </c>
    </row>
    <row r="237" spans="3:13">
      <c r="C237">
        <v>236</v>
      </c>
      <c r="D237" t="s">
        <v>263</v>
      </c>
      <c r="E237" t="s">
        <v>263</v>
      </c>
      <c r="F237">
        <v>1</v>
      </c>
      <c r="G237">
        <v>0</v>
      </c>
      <c r="J237">
        <v>18</v>
      </c>
      <c r="K237" t="s">
        <v>38</v>
      </c>
      <c r="L237" t="s">
        <v>38</v>
      </c>
      <c r="M237" t="s">
        <v>22</v>
      </c>
    </row>
    <row r="238" spans="3:13">
      <c r="C238">
        <v>237</v>
      </c>
      <c r="D238" t="s">
        <v>264</v>
      </c>
      <c r="E238" t="s">
        <v>264</v>
      </c>
      <c r="F238">
        <v>1</v>
      </c>
      <c r="G238">
        <v>0</v>
      </c>
      <c r="J238">
        <v>7</v>
      </c>
      <c r="K238" t="s">
        <v>24</v>
      </c>
      <c r="L238" t="s">
        <v>24</v>
      </c>
      <c r="M238" t="s">
        <v>2331</v>
      </c>
    </row>
    <row r="239" spans="3:13">
      <c r="C239">
        <v>238</v>
      </c>
      <c r="D239" t="s">
        <v>265</v>
      </c>
      <c r="E239" t="s">
        <v>265</v>
      </c>
      <c r="F239">
        <v>0</v>
      </c>
      <c r="G239">
        <v>1</v>
      </c>
      <c r="J239">
        <v>773</v>
      </c>
      <c r="K239" t="s">
        <v>2291</v>
      </c>
      <c r="L239" t="s">
        <v>2291</v>
      </c>
      <c r="M239" t="s">
        <v>2333</v>
      </c>
    </row>
    <row r="240" spans="3:13">
      <c r="C240">
        <v>239</v>
      </c>
      <c r="D240" t="s">
        <v>266</v>
      </c>
      <c r="E240" t="s">
        <v>266</v>
      </c>
      <c r="F240">
        <v>0.75</v>
      </c>
      <c r="G240">
        <v>0.25</v>
      </c>
      <c r="J240">
        <v>162</v>
      </c>
      <c r="K240" t="s">
        <v>189</v>
      </c>
      <c r="L240" t="s">
        <v>189</v>
      </c>
      <c r="M240" t="s">
        <v>2332</v>
      </c>
    </row>
    <row r="241" spans="3:13">
      <c r="C241">
        <v>240</v>
      </c>
      <c r="D241" t="s">
        <v>267</v>
      </c>
      <c r="E241" t="s">
        <v>267</v>
      </c>
      <c r="F241">
        <v>0.75</v>
      </c>
      <c r="G241">
        <v>0.25</v>
      </c>
      <c r="J241">
        <v>163</v>
      </c>
      <c r="K241" t="s">
        <v>190</v>
      </c>
      <c r="L241" t="s">
        <v>190</v>
      </c>
      <c r="M241" t="s">
        <v>22</v>
      </c>
    </row>
    <row r="242" spans="3:13">
      <c r="C242">
        <v>241</v>
      </c>
      <c r="D242" t="s">
        <v>268</v>
      </c>
      <c r="E242" t="s">
        <v>268</v>
      </c>
      <c r="F242">
        <v>0</v>
      </c>
      <c r="G242">
        <v>1</v>
      </c>
      <c r="J242">
        <v>749</v>
      </c>
      <c r="K242" t="s">
        <v>2189</v>
      </c>
      <c r="L242" t="s">
        <v>2189</v>
      </c>
      <c r="M242" t="s">
        <v>2332</v>
      </c>
    </row>
    <row r="243" spans="3:13">
      <c r="C243">
        <v>242</v>
      </c>
      <c r="D243" t="s">
        <v>269</v>
      </c>
      <c r="E243" t="s">
        <v>269</v>
      </c>
      <c r="F243">
        <v>0</v>
      </c>
      <c r="G243">
        <v>1</v>
      </c>
      <c r="J243">
        <v>750</v>
      </c>
      <c r="K243" t="s">
        <v>2190</v>
      </c>
      <c r="L243" t="s">
        <v>2190</v>
      </c>
      <c r="M243" t="s">
        <v>2332</v>
      </c>
    </row>
    <row r="244" spans="3:13">
      <c r="C244">
        <v>243</v>
      </c>
      <c r="D244" t="s">
        <v>270</v>
      </c>
      <c r="E244" t="s">
        <v>270</v>
      </c>
      <c r="F244" s="123" t="s">
        <v>1109</v>
      </c>
      <c r="G244" s="123" t="s">
        <v>1109</v>
      </c>
      <c r="J244">
        <v>819</v>
      </c>
      <c r="K244" t="s">
        <v>2215</v>
      </c>
      <c r="L244" t="s">
        <v>2215</v>
      </c>
      <c r="M244" t="s">
        <v>2332</v>
      </c>
    </row>
    <row r="245" spans="3:13">
      <c r="C245">
        <v>244</v>
      </c>
      <c r="D245" t="s">
        <v>271</v>
      </c>
      <c r="E245" t="s">
        <v>271</v>
      </c>
      <c r="F245" s="123" t="s">
        <v>1109</v>
      </c>
      <c r="G245" s="123" t="s">
        <v>1109</v>
      </c>
      <c r="J245">
        <v>820</v>
      </c>
      <c r="K245" t="s">
        <v>2216</v>
      </c>
      <c r="L245" t="s">
        <v>2216</v>
      </c>
      <c r="M245" t="s">
        <v>2332</v>
      </c>
    </row>
    <row r="246" spans="3:13">
      <c r="C246">
        <v>245</v>
      </c>
      <c r="D246" t="s">
        <v>272</v>
      </c>
      <c r="E246" t="s">
        <v>272</v>
      </c>
      <c r="F246" s="123" t="s">
        <v>1109</v>
      </c>
      <c r="G246" s="123" t="s">
        <v>1109</v>
      </c>
      <c r="J246">
        <v>821</v>
      </c>
      <c r="K246" t="s">
        <v>2217</v>
      </c>
      <c r="L246" t="s">
        <v>2217</v>
      </c>
      <c r="M246" t="s">
        <v>22</v>
      </c>
    </row>
    <row r="247" spans="3:13">
      <c r="C247">
        <v>246</v>
      </c>
      <c r="D247" t="s">
        <v>273</v>
      </c>
      <c r="E247" t="s">
        <v>273</v>
      </c>
      <c r="F247">
        <v>0.5</v>
      </c>
      <c r="G247">
        <v>0.5</v>
      </c>
      <c r="J247">
        <v>318</v>
      </c>
      <c r="K247" t="s">
        <v>345</v>
      </c>
      <c r="L247" t="s">
        <v>345</v>
      </c>
      <c r="M247" t="s">
        <v>2335</v>
      </c>
    </row>
    <row r="248" spans="3:13">
      <c r="C248">
        <v>247</v>
      </c>
      <c r="D248" t="s">
        <v>274</v>
      </c>
      <c r="E248" t="s">
        <v>274</v>
      </c>
      <c r="F248">
        <v>0.5</v>
      </c>
      <c r="G248">
        <v>0.5</v>
      </c>
      <c r="J248">
        <v>319</v>
      </c>
      <c r="K248" t="s">
        <v>346</v>
      </c>
      <c r="L248" t="s">
        <v>346</v>
      </c>
      <c r="M248" t="s">
        <v>2335</v>
      </c>
    </row>
    <row r="249" spans="3:13">
      <c r="C249">
        <v>248</v>
      </c>
      <c r="D249" t="s">
        <v>275</v>
      </c>
      <c r="E249" t="s">
        <v>275</v>
      </c>
      <c r="F249">
        <v>0.5</v>
      </c>
      <c r="G249">
        <v>0.5</v>
      </c>
      <c r="J249">
        <v>320</v>
      </c>
      <c r="K249" t="s">
        <v>347</v>
      </c>
      <c r="L249" t="s">
        <v>347</v>
      </c>
      <c r="M249" t="s">
        <v>2335</v>
      </c>
    </row>
    <row r="250" spans="3:13">
      <c r="C250">
        <v>249</v>
      </c>
      <c r="D250" t="s">
        <v>276</v>
      </c>
      <c r="E250" t="s">
        <v>276</v>
      </c>
      <c r="F250" s="123" t="s">
        <v>1109</v>
      </c>
      <c r="G250" s="123" t="s">
        <v>1109</v>
      </c>
      <c r="J250">
        <v>822</v>
      </c>
      <c r="K250" t="s">
        <v>2218</v>
      </c>
      <c r="L250" t="s">
        <v>2218</v>
      </c>
      <c r="M250" t="s">
        <v>22</v>
      </c>
    </row>
    <row r="251" spans="3:13">
      <c r="C251">
        <v>250</v>
      </c>
      <c r="D251" t="s">
        <v>1489</v>
      </c>
      <c r="E251" t="s">
        <v>1489</v>
      </c>
      <c r="F251" s="123" t="s">
        <v>1109</v>
      </c>
      <c r="G251" s="123" t="s">
        <v>1109</v>
      </c>
      <c r="J251">
        <v>823</v>
      </c>
      <c r="K251" t="s">
        <v>2219</v>
      </c>
      <c r="L251" t="s">
        <v>2219</v>
      </c>
      <c r="M251" t="s">
        <v>22</v>
      </c>
    </row>
    <row r="252" spans="3:13">
      <c r="C252">
        <v>251</v>
      </c>
      <c r="D252" t="s">
        <v>278</v>
      </c>
      <c r="E252" t="s">
        <v>278</v>
      </c>
      <c r="F252" s="123" t="s">
        <v>1109</v>
      </c>
      <c r="G252" s="123" t="s">
        <v>1109</v>
      </c>
      <c r="J252">
        <v>824</v>
      </c>
      <c r="K252" t="s">
        <v>2220</v>
      </c>
      <c r="L252" t="s">
        <v>2220</v>
      </c>
      <c r="M252" t="s">
        <v>29</v>
      </c>
    </row>
    <row r="253" spans="3:13">
      <c r="C253">
        <v>252</v>
      </c>
      <c r="D253" t="s">
        <v>279</v>
      </c>
      <c r="E253" t="s">
        <v>279</v>
      </c>
      <c r="F253">
        <v>0.85</v>
      </c>
      <c r="G253">
        <v>0.15</v>
      </c>
      <c r="J253">
        <v>54</v>
      </c>
      <c r="K253" t="s">
        <v>75</v>
      </c>
      <c r="L253" t="s">
        <v>75</v>
      </c>
      <c r="M253" t="s">
        <v>2331</v>
      </c>
    </row>
    <row r="254" spans="3:13">
      <c r="C254">
        <v>253</v>
      </c>
      <c r="D254" t="s">
        <v>280</v>
      </c>
      <c r="E254" t="s">
        <v>280</v>
      </c>
      <c r="F254">
        <v>0.85</v>
      </c>
      <c r="G254">
        <v>0.15</v>
      </c>
      <c r="J254">
        <v>55</v>
      </c>
      <c r="K254" t="s">
        <v>76</v>
      </c>
      <c r="L254" t="s">
        <v>76</v>
      </c>
      <c r="M254" t="s">
        <v>2331</v>
      </c>
    </row>
    <row r="255" spans="3:13">
      <c r="C255">
        <v>254</v>
      </c>
      <c r="D255" t="s">
        <v>281</v>
      </c>
      <c r="E255" t="s">
        <v>281</v>
      </c>
      <c r="F255">
        <v>0.85</v>
      </c>
      <c r="G255">
        <v>0.15</v>
      </c>
      <c r="J255">
        <v>56</v>
      </c>
      <c r="K255" t="s">
        <v>77</v>
      </c>
      <c r="L255" t="s">
        <v>77</v>
      </c>
      <c r="M255" t="s">
        <v>2332</v>
      </c>
    </row>
    <row r="256" spans="3:13">
      <c r="C256">
        <v>255</v>
      </c>
      <c r="D256" t="s">
        <v>282</v>
      </c>
      <c r="E256" t="s">
        <v>282</v>
      </c>
      <c r="F256">
        <v>0.85</v>
      </c>
      <c r="G256">
        <v>0.15</v>
      </c>
      <c r="J256">
        <v>57</v>
      </c>
      <c r="K256" t="s">
        <v>79</v>
      </c>
      <c r="L256" t="s">
        <v>79</v>
      </c>
      <c r="M256" t="s">
        <v>2332</v>
      </c>
    </row>
    <row r="257" spans="3:13">
      <c r="C257">
        <v>256</v>
      </c>
      <c r="D257" t="s">
        <v>283</v>
      </c>
      <c r="E257" t="s">
        <v>283</v>
      </c>
      <c r="F257">
        <v>0.85</v>
      </c>
      <c r="G257">
        <v>0.15</v>
      </c>
      <c r="J257">
        <v>58</v>
      </c>
      <c r="K257" t="s">
        <v>80</v>
      </c>
      <c r="L257" t="s">
        <v>80</v>
      </c>
      <c r="M257" t="s">
        <v>2332</v>
      </c>
    </row>
    <row r="258" spans="3:13">
      <c r="C258">
        <v>257</v>
      </c>
      <c r="D258" t="s">
        <v>284</v>
      </c>
      <c r="E258" t="s">
        <v>284</v>
      </c>
      <c r="F258">
        <v>0.85</v>
      </c>
      <c r="G258">
        <v>0.15</v>
      </c>
      <c r="J258">
        <v>59</v>
      </c>
      <c r="K258" t="s">
        <v>81</v>
      </c>
      <c r="L258" t="s">
        <v>81</v>
      </c>
      <c r="M258" t="s">
        <v>2332</v>
      </c>
    </row>
    <row r="259" spans="3:13">
      <c r="C259">
        <v>258</v>
      </c>
      <c r="D259" t="s">
        <v>285</v>
      </c>
      <c r="E259" t="s">
        <v>285</v>
      </c>
      <c r="F259">
        <v>0.85</v>
      </c>
      <c r="G259">
        <v>0.15</v>
      </c>
      <c r="J259">
        <v>60</v>
      </c>
      <c r="K259" t="s">
        <v>82</v>
      </c>
      <c r="L259" t="s">
        <v>82</v>
      </c>
      <c r="M259" t="s">
        <v>2331</v>
      </c>
    </row>
    <row r="260" spans="3:13">
      <c r="C260">
        <v>259</v>
      </c>
      <c r="D260" t="s">
        <v>286</v>
      </c>
      <c r="E260" t="s">
        <v>286</v>
      </c>
      <c r="F260">
        <v>0.85</v>
      </c>
      <c r="G260">
        <v>0.15</v>
      </c>
      <c r="J260">
        <v>61</v>
      </c>
      <c r="K260" t="s">
        <v>83</v>
      </c>
      <c r="L260" t="s">
        <v>83</v>
      </c>
      <c r="M260" t="s">
        <v>2331</v>
      </c>
    </row>
    <row r="261" spans="3:13">
      <c r="C261">
        <v>260</v>
      </c>
      <c r="D261" t="s">
        <v>287</v>
      </c>
      <c r="E261" t="s">
        <v>287</v>
      </c>
      <c r="F261">
        <v>0.85</v>
      </c>
      <c r="G261">
        <v>0.15</v>
      </c>
      <c r="J261">
        <v>62</v>
      </c>
      <c r="K261" t="s">
        <v>84</v>
      </c>
      <c r="L261" t="s">
        <v>84</v>
      </c>
      <c r="M261" t="s">
        <v>2331</v>
      </c>
    </row>
    <row r="262" spans="3:13">
      <c r="C262">
        <v>261</v>
      </c>
      <c r="D262" t="s">
        <v>288</v>
      </c>
      <c r="E262" t="s">
        <v>288</v>
      </c>
      <c r="F262">
        <v>0.5</v>
      </c>
      <c r="G262">
        <v>0.5</v>
      </c>
      <c r="J262">
        <v>321</v>
      </c>
      <c r="K262" t="s">
        <v>348</v>
      </c>
      <c r="L262" t="s">
        <v>348</v>
      </c>
      <c r="M262" t="s">
        <v>2335</v>
      </c>
    </row>
    <row r="263" spans="3:13">
      <c r="C263">
        <v>262</v>
      </c>
      <c r="D263" t="s">
        <v>289</v>
      </c>
      <c r="E263" t="s">
        <v>289</v>
      </c>
      <c r="F263">
        <v>0.5</v>
      </c>
      <c r="G263">
        <v>0.5</v>
      </c>
      <c r="J263">
        <v>322</v>
      </c>
      <c r="K263" t="s">
        <v>349</v>
      </c>
      <c r="L263" t="s">
        <v>349</v>
      </c>
      <c r="M263" t="s">
        <v>2332</v>
      </c>
    </row>
    <row r="264" spans="3:13">
      <c r="C264">
        <v>263</v>
      </c>
      <c r="D264" t="s">
        <v>290</v>
      </c>
      <c r="E264" t="s">
        <v>290</v>
      </c>
      <c r="F264">
        <v>0.5</v>
      </c>
      <c r="G264">
        <v>0.5</v>
      </c>
      <c r="J264">
        <v>323</v>
      </c>
      <c r="K264" t="s">
        <v>350</v>
      </c>
      <c r="L264" t="s">
        <v>350</v>
      </c>
      <c r="M264" t="s">
        <v>2332</v>
      </c>
    </row>
    <row r="265" spans="3:13">
      <c r="C265">
        <v>264</v>
      </c>
      <c r="D265" t="s">
        <v>291</v>
      </c>
      <c r="E265" t="s">
        <v>291</v>
      </c>
      <c r="F265">
        <v>0.5</v>
      </c>
      <c r="G265">
        <v>0.5</v>
      </c>
      <c r="J265">
        <v>324</v>
      </c>
      <c r="K265" t="s">
        <v>351</v>
      </c>
      <c r="L265" t="s">
        <v>351</v>
      </c>
      <c r="M265" t="s">
        <v>2332</v>
      </c>
    </row>
    <row r="266" spans="3:13">
      <c r="C266">
        <v>265</v>
      </c>
      <c r="D266" t="s">
        <v>292</v>
      </c>
      <c r="E266" t="s">
        <v>292</v>
      </c>
      <c r="F266">
        <v>0.5</v>
      </c>
      <c r="G266">
        <v>0.5</v>
      </c>
      <c r="J266">
        <v>325</v>
      </c>
      <c r="K266" t="s">
        <v>352</v>
      </c>
      <c r="L266" t="s">
        <v>352</v>
      </c>
      <c r="M266" t="s">
        <v>2332</v>
      </c>
    </row>
    <row r="267" spans="3:13">
      <c r="C267">
        <v>266</v>
      </c>
      <c r="D267" t="s">
        <v>293</v>
      </c>
      <c r="E267" t="s">
        <v>293</v>
      </c>
      <c r="F267">
        <v>0.5</v>
      </c>
      <c r="G267">
        <v>0.5</v>
      </c>
      <c r="J267">
        <v>326</v>
      </c>
      <c r="K267" t="s">
        <v>353</v>
      </c>
      <c r="L267" t="s">
        <v>353</v>
      </c>
      <c r="M267" t="s">
        <v>2332</v>
      </c>
    </row>
    <row r="268" spans="3:13">
      <c r="C268">
        <v>267</v>
      </c>
      <c r="D268" t="s">
        <v>294</v>
      </c>
      <c r="E268" t="s">
        <v>294</v>
      </c>
      <c r="F268">
        <v>0.5</v>
      </c>
      <c r="G268">
        <v>0.5</v>
      </c>
      <c r="J268">
        <v>327</v>
      </c>
      <c r="K268" t="s">
        <v>354</v>
      </c>
      <c r="L268" t="s">
        <v>354</v>
      </c>
      <c r="M268" t="s">
        <v>2332</v>
      </c>
    </row>
    <row r="269" spans="3:13">
      <c r="C269">
        <v>268</v>
      </c>
      <c r="D269" t="s">
        <v>295</v>
      </c>
      <c r="E269" t="s">
        <v>295</v>
      </c>
      <c r="F269">
        <v>0.5</v>
      </c>
      <c r="G269">
        <v>0.5</v>
      </c>
      <c r="J269">
        <v>328</v>
      </c>
      <c r="K269" t="s">
        <v>355</v>
      </c>
      <c r="L269" t="s">
        <v>355</v>
      </c>
      <c r="M269" t="s">
        <v>23</v>
      </c>
    </row>
    <row r="270" spans="3:13">
      <c r="C270">
        <v>269</v>
      </c>
      <c r="D270" t="s">
        <v>296</v>
      </c>
      <c r="E270" t="s">
        <v>296</v>
      </c>
      <c r="F270">
        <v>0.5</v>
      </c>
      <c r="G270">
        <v>0.5</v>
      </c>
      <c r="J270">
        <v>329</v>
      </c>
      <c r="K270" t="s">
        <v>356</v>
      </c>
      <c r="L270" t="s">
        <v>356</v>
      </c>
      <c r="M270" t="s">
        <v>23</v>
      </c>
    </row>
    <row r="271" spans="3:13">
      <c r="C271">
        <v>270</v>
      </c>
      <c r="D271" t="s">
        <v>297</v>
      </c>
      <c r="E271" t="s">
        <v>297</v>
      </c>
      <c r="F271">
        <v>0.5</v>
      </c>
      <c r="G271">
        <v>0.5</v>
      </c>
      <c r="J271">
        <v>330</v>
      </c>
      <c r="K271" t="s">
        <v>357</v>
      </c>
      <c r="L271" t="s">
        <v>357</v>
      </c>
      <c r="M271" t="s">
        <v>23</v>
      </c>
    </row>
    <row r="272" spans="3:13">
      <c r="C272">
        <v>271</v>
      </c>
      <c r="D272" t="s">
        <v>298</v>
      </c>
      <c r="E272" t="s">
        <v>298</v>
      </c>
      <c r="F272">
        <v>0.5</v>
      </c>
      <c r="G272">
        <v>0.5</v>
      </c>
      <c r="J272">
        <v>331</v>
      </c>
      <c r="K272" t="s">
        <v>358</v>
      </c>
      <c r="L272" t="s">
        <v>358</v>
      </c>
      <c r="M272" t="s">
        <v>2334</v>
      </c>
    </row>
    <row r="273" spans="3:13">
      <c r="C273">
        <v>272</v>
      </c>
      <c r="D273" t="s">
        <v>299</v>
      </c>
      <c r="E273" t="s">
        <v>299</v>
      </c>
      <c r="F273">
        <v>0.5</v>
      </c>
      <c r="G273">
        <v>0.5</v>
      </c>
      <c r="J273">
        <v>332</v>
      </c>
      <c r="K273" t="s">
        <v>359</v>
      </c>
      <c r="L273" t="s">
        <v>359</v>
      </c>
      <c r="M273" t="s">
        <v>2334</v>
      </c>
    </row>
    <row r="274" spans="3:13">
      <c r="C274">
        <v>273</v>
      </c>
      <c r="D274" t="s">
        <v>300</v>
      </c>
      <c r="E274" t="s">
        <v>300</v>
      </c>
      <c r="F274">
        <v>0.5</v>
      </c>
      <c r="G274">
        <v>0.5</v>
      </c>
      <c r="J274">
        <v>333</v>
      </c>
      <c r="K274" t="s">
        <v>360</v>
      </c>
      <c r="L274" t="s">
        <v>360</v>
      </c>
      <c r="M274" t="s">
        <v>22</v>
      </c>
    </row>
    <row r="275" spans="3:13">
      <c r="C275">
        <v>274</v>
      </c>
      <c r="D275" t="s">
        <v>301</v>
      </c>
      <c r="E275" t="s">
        <v>301</v>
      </c>
      <c r="F275">
        <v>0.5</v>
      </c>
      <c r="G275">
        <v>0.5</v>
      </c>
      <c r="J275">
        <v>334</v>
      </c>
      <c r="K275" t="s">
        <v>361</v>
      </c>
      <c r="L275" t="s">
        <v>361</v>
      </c>
      <c r="M275" t="s">
        <v>22</v>
      </c>
    </row>
    <row r="276" spans="3:13">
      <c r="C276">
        <v>275</v>
      </c>
      <c r="D276" t="s">
        <v>302</v>
      </c>
      <c r="E276" t="s">
        <v>302</v>
      </c>
      <c r="F276">
        <v>0.5</v>
      </c>
      <c r="G276">
        <v>0.5</v>
      </c>
      <c r="J276">
        <v>335</v>
      </c>
      <c r="K276" t="s">
        <v>362</v>
      </c>
      <c r="L276" t="s">
        <v>362</v>
      </c>
      <c r="M276" t="s">
        <v>2332</v>
      </c>
    </row>
    <row r="277" spans="3:13">
      <c r="C277">
        <v>276</v>
      </c>
      <c r="D277" t="s">
        <v>303</v>
      </c>
      <c r="E277" t="s">
        <v>303</v>
      </c>
      <c r="F277">
        <v>0.5</v>
      </c>
      <c r="G277">
        <v>0.5</v>
      </c>
      <c r="J277">
        <v>336</v>
      </c>
      <c r="K277" t="s">
        <v>363</v>
      </c>
      <c r="L277" t="s">
        <v>363</v>
      </c>
      <c r="M277" t="s">
        <v>2332</v>
      </c>
    </row>
    <row r="278" spans="3:13">
      <c r="C278">
        <v>277</v>
      </c>
      <c r="D278" t="s">
        <v>304</v>
      </c>
      <c r="E278" t="s">
        <v>304</v>
      </c>
      <c r="F278">
        <v>0.5</v>
      </c>
      <c r="G278">
        <v>0.5</v>
      </c>
      <c r="J278">
        <v>337</v>
      </c>
      <c r="K278" t="s">
        <v>364</v>
      </c>
      <c r="L278" t="s">
        <v>364</v>
      </c>
      <c r="M278" t="s">
        <v>2112</v>
      </c>
    </row>
    <row r="279" spans="3:13">
      <c r="C279">
        <v>278</v>
      </c>
      <c r="D279" t="s">
        <v>305</v>
      </c>
      <c r="E279" t="s">
        <v>305</v>
      </c>
      <c r="F279">
        <v>0.5</v>
      </c>
      <c r="G279">
        <v>0.5</v>
      </c>
      <c r="J279">
        <v>338</v>
      </c>
      <c r="K279" t="s">
        <v>365</v>
      </c>
      <c r="L279" t="s">
        <v>365</v>
      </c>
      <c r="M279" t="s">
        <v>2112</v>
      </c>
    </row>
    <row r="280" spans="3:13">
      <c r="C280">
        <v>279</v>
      </c>
      <c r="D280" t="s">
        <v>306</v>
      </c>
      <c r="E280" t="s">
        <v>306</v>
      </c>
      <c r="F280">
        <v>0.5</v>
      </c>
      <c r="G280">
        <v>0.5</v>
      </c>
      <c r="J280">
        <v>339</v>
      </c>
      <c r="K280" t="s">
        <v>366</v>
      </c>
      <c r="L280" t="s">
        <v>366</v>
      </c>
      <c r="M280" t="s">
        <v>2331</v>
      </c>
    </row>
    <row r="281" spans="3:13">
      <c r="C281">
        <v>280</v>
      </c>
      <c r="D281" t="s">
        <v>307</v>
      </c>
      <c r="E281" t="s">
        <v>307</v>
      </c>
      <c r="F281">
        <v>0.5</v>
      </c>
      <c r="G281">
        <v>0.5</v>
      </c>
      <c r="J281">
        <v>340</v>
      </c>
      <c r="K281" t="s">
        <v>367</v>
      </c>
      <c r="L281" t="s">
        <v>367</v>
      </c>
      <c r="M281" t="s">
        <v>2331</v>
      </c>
    </row>
    <row r="282" spans="3:13">
      <c r="C282">
        <v>281</v>
      </c>
      <c r="D282" t="s">
        <v>308</v>
      </c>
      <c r="E282" t="s">
        <v>308</v>
      </c>
      <c r="F282">
        <v>0.5</v>
      </c>
      <c r="G282">
        <v>0.5</v>
      </c>
      <c r="J282">
        <v>341</v>
      </c>
      <c r="K282" t="s">
        <v>368</v>
      </c>
      <c r="L282" t="s">
        <v>368</v>
      </c>
      <c r="M282" t="s">
        <v>2331</v>
      </c>
    </row>
    <row r="283" spans="3:13">
      <c r="C283">
        <v>282</v>
      </c>
      <c r="D283" t="s">
        <v>309</v>
      </c>
      <c r="E283" t="s">
        <v>309</v>
      </c>
      <c r="F283">
        <v>0.5</v>
      </c>
      <c r="G283">
        <v>0.5</v>
      </c>
      <c r="J283">
        <v>342</v>
      </c>
      <c r="K283" t="s">
        <v>369</v>
      </c>
      <c r="L283" t="s">
        <v>369</v>
      </c>
      <c r="M283" t="s">
        <v>2331</v>
      </c>
    </row>
    <row r="284" spans="3:13">
      <c r="C284">
        <v>283</v>
      </c>
      <c r="D284" t="s">
        <v>310</v>
      </c>
      <c r="E284" t="s">
        <v>310</v>
      </c>
      <c r="F284">
        <v>0.5</v>
      </c>
      <c r="G284">
        <v>0.5</v>
      </c>
      <c r="J284">
        <v>343</v>
      </c>
      <c r="K284" t="s">
        <v>370</v>
      </c>
      <c r="L284" t="s">
        <v>370</v>
      </c>
      <c r="M284" t="s">
        <v>2112</v>
      </c>
    </row>
    <row r="285" spans="3:13">
      <c r="C285">
        <v>284</v>
      </c>
      <c r="D285" t="s">
        <v>311</v>
      </c>
      <c r="E285" t="s">
        <v>311</v>
      </c>
      <c r="F285">
        <v>0.5</v>
      </c>
      <c r="G285">
        <v>0.5</v>
      </c>
      <c r="J285">
        <v>344</v>
      </c>
      <c r="K285" t="s">
        <v>371</v>
      </c>
      <c r="L285" t="s">
        <v>371</v>
      </c>
      <c r="M285" t="s">
        <v>2112</v>
      </c>
    </row>
    <row r="286" spans="3:13">
      <c r="C286">
        <v>285</v>
      </c>
      <c r="D286" t="s">
        <v>312</v>
      </c>
      <c r="E286" t="s">
        <v>312</v>
      </c>
      <c r="F286">
        <v>0.5</v>
      </c>
      <c r="G286">
        <v>0.5</v>
      </c>
      <c r="J286">
        <v>345</v>
      </c>
      <c r="K286" t="s">
        <v>372</v>
      </c>
      <c r="L286" t="s">
        <v>372</v>
      </c>
      <c r="M286" t="s">
        <v>2335</v>
      </c>
    </row>
    <row r="287" spans="3:13">
      <c r="C287">
        <v>286</v>
      </c>
      <c r="D287" t="s">
        <v>313</v>
      </c>
      <c r="E287" t="s">
        <v>313</v>
      </c>
      <c r="F287">
        <v>0.5</v>
      </c>
      <c r="G287">
        <v>0.5</v>
      </c>
      <c r="J287">
        <v>346</v>
      </c>
      <c r="K287" t="s">
        <v>373</v>
      </c>
      <c r="L287" t="s">
        <v>373</v>
      </c>
      <c r="M287" t="s">
        <v>2335</v>
      </c>
    </row>
    <row r="288" spans="3:13">
      <c r="C288">
        <v>287</v>
      </c>
      <c r="D288" t="s">
        <v>314</v>
      </c>
      <c r="E288" t="s">
        <v>314</v>
      </c>
      <c r="F288">
        <v>0.5</v>
      </c>
      <c r="G288">
        <v>0.5</v>
      </c>
      <c r="J288">
        <v>347</v>
      </c>
      <c r="K288" t="s">
        <v>374</v>
      </c>
      <c r="L288" t="s">
        <v>374</v>
      </c>
      <c r="M288" t="s">
        <v>2335</v>
      </c>
    </row>
    <row r="289" spans="3:13">
      <c r="C289">
        <v>288</v>
      </c>
      <c r="D289" t="s">
        <v>315</v>
      </c>
      <c r="E289" t="s">
        <v>315</v>
      </c>
      <c r="F289">
        <v>0.5</v>
      </c>
      <c r="G289">
        <v>0.5</v>
      </c>
      <c r="J289">
        <v>348</v>
      </c>
      <c r="K289" t="s">
        <v>375</v>
      </c>
      <c r="L289" t="s">
        <v>375</v>
      </c>
      <c r="M289" t="s">
        <v>2335</v>
      </c>
    </row>
    <row r="290" spans="3:13">
      <c r="C290">
        <v>289</v>
      </c>
      <c r="D290" t="s">
        <v>316</v>
      </c>
      <c r="E290" t="s">
        <v>316</v>
      </c>
      <c r="F290">
        <v>0.5</v>
      </c>
      <c r="G290">
        <v>0.5</v>
      </c>
      <c r="J290">
        <v>349</v>
      </c>
      <c r="K290" t="s">
        <v>376</v>
      </c>
      <c r="L290" t="s">
        <v>376</v>
      </c>
      <c r="M290" t="s">
        <v>2331</v>
      </c>
    </row>
    <row r="291" spans="3:13">
      <c r="C291">
        <v>290</v>
      </c>
      <c r="D291" t="s">
        <v>317</v>
      </c>
      <c r="E291" t="s">
        <v>317</v>
      </c>
      <c r="F291">
        <v>0.5</v>
      </c>
      <c r="G291">
        <v>0.5</v>
      </c>
      <c r="J291">
        <v>350</v>
      </c>
      <c r="K291" t="s">
        <v>377</v>
      </c>
      <c r="L291" t="s">
        <v>377</v>
      </c>
      <c r="M291" t="s">
        <v>2331</v>
      </c>
    </row>
    <row r="292" spans="3:13">
      <c r="C292">
        <v>291</v>
      </c>
      <c r="D292" t="s">
        <v>318</v>
      </c>
      <c r="E292" t="s">
        <v>318</v>
      </c>
      <c r="F292">
        <v>0.5</v>
      </c>
      <c r="G292">
        <v>0.5</v>
      </c>
      <c r="J292">
        <v>351</v>
      </c>
      <c r="K292" t="s">
        <v>378</v>
      </c>
      <c r="L292" t="s">
        <v>378</v>
      </c>
      <c r="M292" t="s">
        <v>2336</v>
      </c>
    </row>
    <row r="293" spans="3:13">
      <c r="C293">
        <v>292</v>
      </c>
      <c r="D293" t="s">
        <v>319</v>
      </c>
      <c r="E293" t="s">
        <v>319</v>
      </c>
      <c r="F293" s="123" t="s">
        <v>1109</v>
      </c>
      <c r="G293" s="123" t="s">
        <v>1109</v>
      </c>
      <c r="J293">
        <v>785</v>
      </c>
      <c r="K293" t="s">
        <v>2292</v>
      </c>
      <c r="L293" t="s">
        <v>2292</v>
      </c>
      <c r="M293" t="s">
        <v>2333</v>
      </c>
    </row>
    <row r="294" spans="3:13">
      <c r="C294">
        <v>293</v>
      </c>
      <c r="D294" t="s">
        <v>320</v>
      </c>
      <c r="E294" t="s">
        <v>320</v>
      </c>
      <c r="F294">
        <v>0.5</v>
      </c>
      <c r="G294">
        <v>0.5</v>
      </c>
      <c r="J294">
        <v>352</v>
      </c>
      <c r="K294" t="s">
        <v>379</v>
      </c>
      <c r="L294" t="s">
        <v>379</v>
      </c>
      <c r="M294" t="s">
        <v>2332</v>
      </c>
    </row>
    <row r="295" spans="3:13">
      <c r="C295">
        <v>294</v>
      </c>
      <c r="D295" t="s">
        <v>321</v>
      </c>
      <c r="E295" t="s">
        <v>321</v>
      </c>
      <c r="F295">
        <v>0.5</v>
      </c>
      <c r="G295">
        <v>0.5</v>
      </c>
      <c r="J295">
        <v>353</v>
      </c>
      <c r="K295" t="s">
        <v>380</v>
      </c>
      <c r="L295" t="s">
        <v>380</v>
      </c>
      <c r="M295" t="s">
        <v>2336</v>
      </c>
    </row>
    <row r="296" spans="3:13">
      <c r="C296">
        <v>295</v>
      </c>
      <c r="D296" t="s">
        <v>322</v>
      </c>
      <c r="E296" t="s">
        <v>322</v>
      </c>
      <c r="F296">
        <v>0.5</v>
      </c>
      <c r="G296">
        <v>0.5</v>
      </c>
      <c r="J296">
        <v>354</v>
      </c>
      <c r="K296" t="s">
        <v>381</v>
      </c>
      <c r="L296" t="s">
        <v>381</v>
      </c>
      <c r="M296" t="s">
        <v>2336</v>
      </c>
    </row>
    <row r="297" spans="3:13">
      <c r="C297">
        <v>296</v>
      </c>
      <c r="D297" t="s">
        <v>323</v>
      </c>
      <c r="E297" t="s">
        <v>323</v>
      </c>
      <c r="F297">
        <v>0.75</v>
      </c>
      <c r="G297">
        <v>0.25</v>
      </c>
      <c r="J297">
        <v>155</v>
      </c>
      <c r="K297" t="s">
        <v>182</v>
      </c>
      <c r="L297" t="s">
        <v>182</v>
      </c>
      <c r="M297" t="s">
        <v>2332</v>
      </c>
    </row>
    <row r="298" spans="3:13">
      <c r="C298">
        <v>297</v>
      </c>
      <c r="D298" t="s">
        <v>324</v>
      </c>
      <c r="E298" t="s">
        <v>324</v>
      </c>
      <c r="F298">
        <v>0.75</v>
      </c>
      <c r="G298">
        <v>0.25</v>
      </c>
      <c r="J298">
        <v>156</v>
      </c>
      <c r="K298" t="s">
        <v>183</v>
      </c>
      <c r="L298" t="s">
        <v>183</v>
      </c>
      <c r="M298" t="s">
        <v>2332</v>
      </c>
    </row>
    <row r="299" spans="3:13">
      <c r="C299">
        <v>298</v>
      </c>
      <c r="D299" t="s">
        <v>325</v>
      </c>
      <c r="E299" t="s">
        <v>325</v>
      </c>
      <c r="F299">
        <v>0.25</v>
      </c>
      <c r="G299">
        <v>0.75</v>
      </c>
      <c r="J299">
        <v>742</v>
      </c>
      <c r="K299" t="s">
        <v>2182</v>
      </c>
      <c r="L299" t="s">
        <v>2182</v>
      </c>
      <c r="M299" t="s">
        <v>29</v>
      </c>
    </row>
    <row r="300" spans="3:13">
      <c r="C300">
        <v>299</v>
      </c>
      <c r="D300" t="s">
        <v>326</v>
      </c>
      <c r="E300" t="s">
        <v>326</v>
      </c>
      <c r="F300">
        <v>0.5</v>
      </c>
      <c r="G300">
        <v>0.5</v>
      </c>
      <c r="J300">
        <v>355</v>
      </c>
      <c r="K300" t="s">
        <v>382</v>
      </c>
      <c r="L300" t="s">
        <v>382</v>
      </c>
      <c r="M300" t="s">
        <v>2336</v>
      </c>
    </row>
    <row r="301" spans="3:13">
      <c r="C301">
        <v>300</v>
      </c>
      <c r="D301" t="s">
        <v>327</v>
      </c>
      <c r="E301" t="s">
        <v>327</v>
      </c>
      <c r="F301">
        <v>0.25</v>
      </c>
      <c r="G301">
        <v>0.75</v>
      </c>
      <c r="J301">
        <v>727</v>
      </c>
      <c r="K301" t="s">
        <v>2152</v>
      </c>
      <c r="L301" t="s">
        <v>2152</v>
      </c>
      <c r="M301" t="s">
        <v>2332</v>
      </c>
    </row>
    <row r="302" spans="3:13">
      <c r="C302">
        <v>301</v>
      </c>
      <c r="D302" t="s">
        <v>328</v>
      </c>
      <c r="E302" t="s">
        <v>328</v>
      </c>
      <c r="F302">
        <v>0.25</v>
      </c>
      <c r="G302">
        <v>0.75</v>
      </c>
      <c r="J302">
        <v>728</v>
      </c>
      <c r="K302" t="s">
        <v>2153</v>
      </c>
      <c r="L302" t="s">
        <v>2153</v>
      </c>
      <c r="M302" t="s">
        <v>2331</v>
      </c>
    </row>
    <row r="303" spans="3:13">
      <c r="C303">
        <v>302</v>
      </c>
      <c r="D303" t="s">
        <v>329</v>
      </c>
      <c r="E303" t="s">
        <v>329</v>
      </c>
      <c r="F303">
        <v>0.5</v>
      </c>
      <c r="G303">
        <v>0.5</v>
      </c>
      <c r="J303">
        <v>356</v>
      </c>
      <c r="K303" t="s">
        <v>383</v>
      </c>
      <c r="L303" t="s">
        <v>383</v>
      </c>
      <c r="M303" t="s">
        <v>2336</v>
      </c>
    </row>
    <row r="304" spans="3:13">
      <c r="C304">
        <v>303</v>
      </c>
      <c r="D304" t="s">
        <v>330</v>
      </c>
      <c r="E304" t="s">
        <v>330</v>
      </c>
      <c r="F304">
        <v>0.5</v>
      </c>
      <c r="G304">
        <v>0.5</v>
      </c>
      <c r="J304">
        <v>357</v>
      </c>
      <c r="K304" t="s">
        <v>384</v>
      </c>
      <c r="L304" t="s">
        <v>384</v>
      </c>
      <c r="M304" t="s">
        <v>14</v>
      </c>
    </row>
    <row r="305" spans="3:13">
      <c r="C305">
        <v>304</v>
      </c>
      <c r="D305" t="s">
        <v>331</v>
      </c>
      <c r="E305" t="s">
        <v>331</v>
      </c>
      <c r="F305">
        <v>0.5</v>
      </c>
      <c r="G305">
        <v>0.5</v>
      </c>
      <c r="J305">
        <v>358</v>
      </c>
      <c r="K305" t="s">
        <v>385</v>
      </c>
      <c r="L305" t="s">
        <v>385</v>
      </c>
      <c r="M305" t="s">
        <v>2336</v>
      </c>
    </row>
    <row r="306" spans="3:13">
      <c r="C306">
        <v>305</v>
      </c>
      <c r="D306" t="s">
        <v>332</v>
      </c>
      <c r="E306" t="s">
        <v>332</v>
      </c>
      <c r="F306">
        <v>0.5</v>
      </c>
      <c r="G306">
        <v>0.5</v>
      </c>
      <c r="J306">
        <v>359</v>
      </c>
      <c r="K306" t="s">
        <v>386</v>
      </c>
      <c r="L306" t="s">
        <v>386</v>
      </c>
      <c r="M306" t="s">
        <v>2332</v>
      </c>
    </row>
    <row r="307" spans="3:13">
      <c r="C307">
        <v>306</v>
      </c>
      <c r="D307" t="s">
        <v>333</v>
      </c>
      <c r="E307" t="s">
        <v>333</v>
      </c>
      <c r="F307">
        <v>0.5</v>
      </c>
      <c r="G307">
        <v>0.5</v>
      </c>
      <c r="J307">
        <v>360</v>
      </c>
      <c r="K307" t="s">
        <v>387</v>
      </c>
      <c r="L307" t="s">
        <v>387</v>
      </c>
      <c r="M307" t="s">
        <v>2333</v>
      </c>
    </row>
    <row r="308" spans="3:13">
      <c r="C308">
        <v>307</v>
      </c>
      <c r="D308" t="s">
        <v>334</v>
      </c>
      <c r="E308" t="s">
        <v>334</v>
      </c>
      <c r="F308">
        <v>0.5</v>
      </c>
      <c r="G308">
        <v>0.5</v>
      </c>
      <c r="J308">
        <v>361</v>
      </c>
      <c r="K308" t="s">
        <v>388</v>
      </c>
      <c r="L308" t="s">
        <v>388</v>
      </c>
      <c r="M308" t="s">
        <v>2112</v>
      </c>
    </row>
    <row r="309" spans="3:13">
      <c r="C309">
        <v>308</v>
      </c>
      <c r="D309" t="s">
        <v>335</v>
      </c>
      <c r="E309" t="s">
        <v>335</v>
      </c>
      <c r="F309">
        <v>0.5</v>
      </c>
      <c r="G309">
        <v>0.5</v>
      </c>
      <c r="J309">
        <v>362</v>
      </c>
      <c r="K309" t="s">
        <v>389</v>
      </c>
      <c r="L309" t="s">
        <v>389</v>
      </c>
      <c r="M309" t="s">
        <v>2112</v>
      </c>
    </row>
    <row r="310" spans="3:13">
      <c r="C310">
        <v>309</v>
      </c>
      <c r="D310" t="s">
        <v>336</v>
      </c>
      <c r="E310" t="s">
        <v>336</v>
      </c>
      <c r="F310">
        <v>0.5</v>
      </c>
      <c r="G310">
        <v>0.5</v>
      </c>
      <c r="J310">
        <v>363</v>
      </c>
      <c r="K310" t="s">
        <v>390</v>
      </c>
      <c r="L310" t="s">
        <v>390</v>
      </c>
      <c r="M310" t="s">
        <v>2335</v>
      </c>
    </row>
    <row r="311" spans="3:13">
      <c r="C311">
        <v>310</v>
      </c>
      <c r="D311" t="s">
        <v>337</v>
      </c>
      <c r="E311" t="s">
        <v>337</v>
      </c>
      <c r="F311">
        <v>0.5</v>
      </c>
      <c r="G311">
        <v>0.5</v>
      </c>
      <c r="J311">
        <v>364</v>
      </c>
      <c r="K311" t="s">
        <v>391</v>
      </c>
      <c r="L311" t="s">
        <v>391</v>
      </c>
      <c r="M311" t="s">
        <v>2335</v>
      </c>
    </row>
    <row r="312" spans="3:13">
      <c r="C312">
        <v>311</v>
      </c>
      <c r="D312" t="s">
        <v>338</v>
      </c>
      <c r="E312" t="s">
        <v>338</v>
      </c>
      <c r="F312">
        <v>0.5</v>
      </c>
      <c r="G312">
        <v>0.5</v>
      </c>
      <c r="J312">
        <v>365</v>
      </c>
      <c r="K312" t="s">
        <v>392</v>
      </c>
      <c r="L312" t="s">
        <v>392</v>
      </c>
      <c r="M312" t="s">
        <v>2335</v>
      </c>
    </row>
    <row r="313" spans="3:13">
      <c r="C313">
        <v>312</v>
      </c>
      <c r="D313" t="s">
        <v>339</v>
      </c>
      <c r="E313" t="s">
        <v>339</v>
      </c>
      <c r="F313">
        <v>0.5</v>
      </c>
      <c r="G313">
        <v>0.5</v>
      </c>
      <c r="J313">
        <v>366</v>
      </c>
      <c r="K313" t="s">
        <v>393</v>
      </c>
      <c r="L313" t="s">
        <v>393</v>
      </c>
      <c r="M313" t="s">
        <v>2337</v>
      </c>
    </row>
    <row r="314" spans="3:13">
      <c r="C314">
        <v>313</v>
      </c>
      <c r="D314" t="s">
        <v>340</v>
      </c>
      <c r="E314" t="s">
        <v>340</v>
      </c>
      <c r="F314">
        <v>1</v>
      </c>
      <c r="G314">
        <v>0</v>
      </c>
      <c r="J314">
        <v>8</v>
      </c>
      <c r="K314" t="s">
        <v>26</v>
      </c>
      <c r="L314" t="s">
        <v>26</v>
      </c>
      <c r="M314" t="s">
        <v>2331</v>
      </c>
    </row>
    <row r="315" spans="3:13">
      <c r="C315">
        <v>314</v>
      </c>
      <c r="D315" t="s">
        <v>341</v>
      </c>
      <c r="E315" t="s">
        <v>341</v>
      </c>
      <c r="F315">
        <v>0</v>
      </c>
      <c r="G315">
        <v>1</v>
      </c>
      <c r="J315">
        <v>751</v>
      </c>
      <c r="K315" t="s">
        <v>2191</v>
      </c>
      <c r="L315" t="s">
        <v>2191</v>
      </c>
      <c r="M315" t="s">
        <v>29</v>
      </c>
    </row>
    <row r="316" spans="3:13">
      <c r="C316">
        <v>315</v>
      </c>
      <c r="D316" t="s">
        <v>342</v>
      </c>
      <c r="E316" t="s">
        <v>342</v>
      </c>
      <c r="F316">
        <v>0.5</v>
      </c>
      <c r="G316">
        <v>0.5</v>
      </c>
      <c r="J316">
        <v>367</v>
      </c>
      <c r="K316" t="s">
        <v>394</v>
      </c>
      <c r="L316" t="s">
        <v>394</v>
      </c>
      <c r="M316" t="s">
        <v>2337</v>
      </c>
    </row>
    <row r="317" spans="3:13">
      <c r="C317">
        <v>316</v>
      </c>
      <c r="D317" t="s">
        <v>343</v>
      </c>
      <c r="E317" t="s">
        <v>343</v>
      </c>
      <c r="F317">
        <v>0.5</v>
      </c>
      <c r="G317">
        <v>0.5</v>
      </c>
      <c r="J317">
        <v>368</v>
      </c>
      <c r="K317" t="s">
        <v>395</v>
      </c>
      <c r="L317" t="s">
        <v>395</v>
      </c>
      <c r="M317" t="s">
        <v>2337</v>
      </c>
    </row>
    <row r="318" spans="3:13">
      <c r="C318">
        <v>317</v>
      </c>
      <c r="D318" t="s">
        <v>344</v>
      </c>
      <c r="E318" t="s">
        <v>344</v>
      </c>
      <c r="F318">
        <v>0.5</v>
      </c>
      <c r="G318">
        <v>0.5</v>
      </c>
      <c r="J318">
        <v>369</v>
      </c>
      <c r="K318" t="s">
        <v>396</v>
      </c>
      <c r="L318" t="s">
        <v>396</v>
      </c>
      <c r="M318" t="s">
        <v>2337</v>
      </c>
    </row>
    <row r="319" spans="3:13">
      <c r="C319">
        <v>318</v>
      </c>
      <c r="D319" t="s">
        <v>345</v>
      </c>
      <c r="E319" t="s">
        <v>345</v>
      </c>
      <c r="F319">
        <v>0.5</v>
      </c>
      <c r="G319">
        <v>0.5</v>
      </c>
      <c r="J319">
        <v>370</v>
      </c>
      <c r="K319" t="s">
        <v>397</v>
      </c>
      <c r="L319" t="s">
        <v>397</v>
      </c>
      <c r="M319" t="s">
        <v>2335</v>
      </c>
    </row>
    <row r="320" spans="3:13">
      <c r="C320">
        <v>319</v>
      </c>
      <c r="D320" t="s">
        <v>346</v>
      </c>
      <c r="E320" t="s">
        <v>346</v>
      </c>
      <c r="F320">
        <v>0.5</v>
      </c>
      <c r="G320">
        <v>0.5</v>
      </c>
      <c r="J320">
        <v>371</v>
      </c>
      <c r="K320" t="s">
        <v>398</v>
      </c>
      <c r="L320" t="s">
        <v>398</v>
      </c>
      <c r="M320" t="s">
        <v>23</v>
      </c>
    </row>
    <row r="321" spans="3:13">
      <c r="C321">
        <v>320</v>
      </c>
      <c r="D321" t="s">
        <v>347</v>
      </c>
      <c r="E321" t="s">
        <v>347</v>
      </c>
      <c r="F321">
        <v>0.5</v>
      </c>
      <c r="G321">
        <v>0.5</v>
      </c>
      <c r="J321">
        <v>372</v>
      </c>
      <c r="K321" t="s">
        <v>399</v>
      </c>
      <c r="L321" t="s">
        <v>399</v>
      </c>
      <c r="M321" t="s">
        <v>23</v>
      </c>
    </row>
    <row r="322" spans="3:13">
      <c r="C322">
        <v>321</v>
      </c>
      <c r="D322" t="s">
        <v>348</v>
      </c>
      <c r="E322" t="s">
        <v>348</v>
      </c>
      <c r="F322">
        <v>0.5</v>
      </c>
      <c r="G322">
        <v>0.5</v>
      </c>
      <c r="J322">
        <v>373</v>
      </c>
      <c r="K322" t="s">
        <v>400</v>
      </c>
      <c r="L322" t="s">
        <v>400</v>
      </c>
      <c r="M322" t="s">
        <v>23</v>
      </c>
    </row>
    <row r="323" spans="3:13">
      <c r="C323">
        <v>322</v>
      </c>
      <c r="D323" t="s">
        <v>349</v>
      </c>
      <c r="E323" t="s">
        <v>349</v>
      </c>
      <c r="F323">
        <v>0.5</v>
      </c>
      <c r="G323">
        <v>0.5</v>
      </c>
      <c r="J323">
        <v>374</v>
      </c>
      <c r="K323" t="s">
        <v>401</v>
      </c>
      <c r="L323" t="s">
        <v>401</v>
      </c>
      <c r="M323" t="s">
        <v>2112</v>
      </c>
    </row>
    <row r="324" spans="3:13">
      <c r="C324">
        <v>323</v>
      </c>
      <c r="D324" t="s">
        <v>350</v>
      </c>
      <c r="E324" t="s">
        <v>350</v>
      </c>
      <c r="F324">
        <v>0.5</v>
      </c>
      <c r="G324">
        <v>0.5</v>
      </c>
      <c r="J324">
        <v>375</v>
      </c>
      <c r="K324" t="s">
        <v>402</v>
      </c>
      <c r="L324" t="s">
        <v>402</v>
      </c>
      <c r="M324" t="s">
        <v>2112</v>
      </c>
    </row>
    <row r="325" spans="3:13">
      <c r="C325">
        <v>324</v>
      </c>
      <c r="D325" t="s">
        <v>351</v>
      </c>
      <c r="E325" t="s">
        <v>351</v>
      </c>
      <c r="F325">
        <v>0.5</v>
      </c>
      <c r="G325">
        <v>0.5</v>
      </c>
      <c r="J325">
        <v>376</v>
      </c>
      <c r="K325" t="s">
        <v>403</v>
      </c>
      <c r="L325" t="s">
        <v>403</v>
      </c>
      <c r="M325" t="s">
        <v>2112</v>
      </c>
    </row>
    <row r="326" spans="3:13">
      <c r="C326">
        <v>325</v>
      </c>
      <c r="D326" t="s">
        <v>352</v>
      </c>
      <c r="E326" t="s">
        <v>352</v>
      </c>
      <c r="F326">
        <v>0.5</v>
      </c>
      <c r="G326">
        <v>0.5</v>
      </c>
      <c r="J326">
        <v>377</v>
      </c>
      <c r="K326" t="s">
        <v>404</v>
      </c>
      <c r="L326" t="s">
        <v>404</v>
      </c>
      <c r="M326" t="s">
        <v>2333</v>
      </c>
    </row>
    <row r="327" spans="3:13">
      <c r="C327">
        <v>326</v>
      </c>
      <c r="D327" t="s">
        <v>353</v>
      </c>
      <c r="E327" t="s">
        <v>353</v>
      </c>
      <c r="F327">
        <v>0.5</v>
      </c>
      <c r="G327">
        <v>0.5</v>
      </c>
      <c r="J327">
        <v>378</v>
      </c>
      <c r="K327" t="s">
        <v>405</v>
      </c>
      <c r="L327" t="s">
        <v>405</v>
      </c>
      <c r="M327" t="s">
        <v>2333</v>
      </c>
    </row>
    <row r="328" spans="3:13">
      <c r="C328">
        <v>327</v>
      </c>
      <c r="D328" t="s">
        <v>354</v>
      </c>
      <c r="E328" t="s">
        <v>354</v>
      </c>
      <c r="F328">
        <v>0.5</v>
      </c>
      <c r="G328">
        <v>0.5</v>
      </c>
      <c r="J328">
        <v>379</v>
      </c>
      <c r="K328" t="s">
        <v>406</v>
      </c>
      <c r="L328" t="s">
        <v>406</v>
      </c>
      <c r="M328" t="s">
        <v>2333</v>
      </c>
    </row>
    <row r="329" spans="3:13">
      <c r="C329">
        <v>328</v>
      </c>
      <c r="D329" t="s">
        <v>355</v>
      </c>
      <c r="E329" t="s">
        <v>355</v>
      </c>
      <c r="F329">
        <v>0.5</v>
      </c>
      <c r="G329">
        <v>0.5</v>
      </c>
      <c r="J329">
        <v>380</v>
      </c>
      <c r="K329" t="s">
        <v>407</v>
      </c>
      <c r="L329" t="s">
        <v>407</v>
      </c>
      <c r="M329" t="s">
        <v>2333</v>
      </c>
    </row>
    <row r="330" spans="3:13">
      <c r="C330">
        <v>329</v>
      </c>
      <c r="D330" t="s">
        <v>356</v>
      </c>
      <c r="E330" t="s">
        <v>356</v>
      </c>
      <c r="F330">
        <v>0.5</v>
      </c>
      <c r="G330">
        <v>0.5</v>
      </c>
      <c r="J330">
        <v>381</v>
      </c>
      <c r="K330" t="s">
        <v>408</v>
      </c>
      <c r="L330" t="s">
        <v>408</v>
      </c>
      <c r="M330" t="s">
        <v>2333</v>
      </c>
    </row>
    <row r="331" spans="3:13">
      <c r="C331">
        <v>330</v>
      </c>
      <c r="D331" t="s">
        <v>357</v>
      </c>
      <c r="E331" t="s">
        <v>357</v>
      </c>
      <c r="F331">
        <v>0.5</v>
      </c>
      <c r="G331">
        <v>0.5</v>
      </c>
      <c r="J331">
        <v>382</v>
      </c>
      <c r="K331" t="s">
        <v>409</v>
      </c>
      <c r="L331" t="s">
        <v>409</v>
      </c>
      <c r="M331" t="s">
        <v>2333</v>
      </c>
    </row>
    <row r="332" spans="3:13">
      <c r="C332">
        <v>331</v>
      </c>
      <c r="D332" t="s">
        <v>358</v>
      </c>
      <c r="E332" t="s">
        <v>358</v>
      </c>
      <c r="F332">
        <v>0.5</v>
      </c>
      <c r="G332">
        <v>0.5</v>
      </c>
      <c r="J332">
        <v>383</v>
      </c>
      <c r="K332" t="s">
        <v>411</v>
      </c>
      <c r="L332" t="s">
        <v>411</v>
      </c>
      <c r="M332" t="s">
        <v>2333</v>
      </c>
    </row>
    <row r="333" spans="3:13">
      <c r="C333">
        <v>332</v>
      </c>
      <c r="D333" t="s">
        <v>359</v>
      </c>
      <c r="E333" t="s">
        <v>359</v>
      </c>
      <c r="F333">
        <v>0.5</v>
      </c>
      <c r="G333">
        <v>0.5</v>
      </c>
      <c r="J333">
        <v>384</v>
      </c>
      <c r="K333" t="s">
        <v>413</v>
      </c>
      <c r="L333" t="s">
        <v>413</v>
      </c>
      <c r="M333" t="s">
        <v>2333</v>
      </c>
    </row>
    <row r="334" spans="3:13">
      <c r="C334">
        <v>333</v>
      </c>
      <c r="D334" t="s">
        <v>360</v>
      </c>
      <c r="E334" t="s">
        <v>360</v>
      </c>
      <c r="F334">
        <v>0.5</v>
      </c>
      <c r="G334">
        <v>0.5</v>
      </c>
      <c r="J334">
        <v>385</v>
      </c>
      <c r="K334" t="s">
        <v>414</v>
      </c>
      <c r="L334" t="s">
        <v>414</v>
      </c>
      <c r="M334" t="s">
        <v>2333</v>
      </c>
    </row>
    <row r="335" spans="3:13">
      <c r="C335">
        <v>334</v>
      </c>
      <c r="D335" t="s">
        <v>361</v>
      </c>
      <c r="E335" t="s">
        <v>361</v>
      </c>
      <c r="F335">
        <v>0.5</v>
      </c>
      <c r="G335">
        <v>0.5</v>
      </c>
      <c r="J335">
        <v>386</v>
      </c>
      <c r="K335" t="s">
        <v>2133</v>
      </c>
      <c r="L335" t="s">
        <v>2133</v>
      </c>
      <c r="M335" t="s">
        <v>2333</v>
      </c>
    </row>
    <row r="336" spans="3:13">
      <c r="C336">
        <v>335</v>
      </c>
      <c r="D336" t="s">
        <v>362</v>
      </c>
      <c r="E336" t="s">
        <v>362</v>
      </c>
      <c r="F336">
        <v>0.5</v>
      </c>
      <c r="G336">
        <v>0.5</v>
      </c>
      <c r="J336">
        <v>387</v>
      </c>
      <c r="K336" t="s">
        <v>419</v>
      </c>
      <c r="L336" t="s">
        <v>419</v>
      </c>
      <c r="M336" t="s">
        <v>14</v>
      </c>
    </row>
    <row r="337" spans="3:13">
      <c r="C337">
        <v>336</v>
      </c>
      <c r="D337" t="s">
        <v>363</v>
      </c>
      <c r="E337" t="s">
        <v>363</v>
      </c>
      <c r="F337">
        <v>0.5</v>
      </c>
      <c r="G337">
        <v>0.5</v>
      </c>
      <c r="J337">
        <v>388</v>
      </c>
      <c r="K337" t="s">
        <v>420</v>
      </c>
      <c r="L337" t="s">
        <v>420</v>
      </c>
      <c r="M337" t="s">
        <v>14</v>
      </c>
    </row>
    <row r="338" spans="3:13">
      <c r="C338">
        <v>337</v>
      </c>
      <c r="D338" t="s">
        <v>364</v>
      </c>
      <c r="E338" t="s">
        <v>364</v>
      </c>
      <c r="F338" s="123" t="s">
        <v>1109</v>
      </c>
      <c r="G338" s="123" t="s">
        <v>1109</v>
      </c>
      <c r="J338">
        <v>786</v>
      </c>
      <c r="K338" t="s">
        <v>2293</v>
      </c>
      <c r="L338" t="s">
        <v>2293</v>
      </c>
      <c r="M338" t="s">
        <v>2333</v>
      </c>
    </row>
    <row r="339" spans="3:13">
      <c r="C339">
        <v>338</v>
      </c>
      <c r="D339" t="s">
        <v>365</v>
      </c>
      <c r="E339" t="s">
        <v>365</v>
      </c>
      <c r="F339" s="123" t="s">
        <v>1109</v>
      </c>
      <c r="G339" s="123" t="s">
        <v>1109</v>
      </c>
      <c r="J339">
        <v>787</v>
      </c>
      <c r="K339" t="s">
        <v>2294</v>
      </c>
      <c r="L339" t="s">
        <v>2294</v>
      </c>
      <c r="M339" t="s">
        <v>2333</v>
      </c>
    </row>
    <row r="340" spans="3:13">
      <c r="C340">
        <v>339</v>
      </c>
      <c r="D340" t="s">
        <v>366</v>
      </c>
      <c r="E340" t="s">
        <v>366</v>
      </c>
      <c r="F340">
        <v>0.5</v>
      </c>
      <c r="G340">
        <v>0.5</v>
      </c>
      <c r="J340">
        <v>389</v>
      </c>
      <c r="K340" t="s">
        <v>421</v>
      </c>
      <c r="L340" t="s">
        <v>421</v>
      </c>
      <c r="M340" t="s">
        <v>14</v>
      </c>
    </row>
    <row r="341" spans="3:13">
      <c r="C341">
        <v>340</v>
      </c>
      <c r="D341" t="s">
        <v>367</v>
      </c>
      <c r="E341" t="s">
        <v>367</v>
      </c>
      <c r="F341">
        <v>0.5</v>
      </c>
      <c r="G341">
        <v>0.5</v>
      </c>
      <c r="J341">
        <v>390</v>
      </c>
      <c r="K341" t="s">
        <v>422</v>
      </c>
      <c r="L341" t="s">
        <v>422</v>
      </c>
      <c r="M341" t="s">
        <v>2334</v>
      </c>
    </row>
    <row r="342" spans="3:13">
      <c r="C342">
        <v>341</v>
      </c>
      <c r="D342" t="s">
        <v>368</v>
      </c>
      <c r="E342" t="s">
        <v>368</v>
      </c>
      <c r="F342">
        <v>0.5</v>
      </c>
      <c r="G342">
        <v>0.5</v>
      </c>
      <c r="J342">
        <v>391</v>
      </c>
      <c r="K342" t="s">
        <v>423</v>
      </c>
      <c r="L342" t="s">
        <v>423</v>
      </c>
      <c r="M342" t="s">
        <v>2334</v>
      </c>
    </row>
    <row r="343" spans="3:13">
      <c r="C343">
        <v>342</v>
      </c>
      <c r="D343" t="s">
        <v>369</v>
      </c>
      <c r="E343" t="s">
        <v>369</v>
      </c>
      <c r="F343">
        <v>0.5</v>
      </c>
      <c r="G343">
        <v>0.5</v>
      </c>
      <c r="J343">
        <v>392</v>
      </c>
      <c r="K343" t="s">
        <v>424</v>
      </c>
      <c r="L343" t="s">
        <v>424</v>
      </c>
      <c r="M343" t="s">
        <v>2334</v>
      </c>
    </row>
    <row r="344" spans="3:13">
      <c r="C344">
        <v>343</v>
      </c>
      <c r="D344" t="s">
        <v>370</v>
      </c>
      <c r="E344" t="s">
        <v>370</v>
      </c>
      <c r="F344" s="123" t="s">
        <v>1109</v>
      </c>
      <c r="G344" s="123" t="s">
        <v>1109</v>
      </c>
      <c r="J344">
        <v>788</v>
      </c>
      <c r="K344" t="s">
        <v>2295</v>
      </c>
      <c r="L344" t="s">
        <v>2295</v>
      </c>
      <c r="M344" t="s">
        <v>2333</v>
      </c>
    </row>
    <row r="345" spans="3:13">
      <c r="C345">
        <v>344</v>
      </c>
      <c r="D345" t="s">
        <v>371</v>
      </c>
      <c r="E345" t="s">
        <v>371</v>
      </c>
      <c r="F345" s="123" t="s">
        <v>1109</v>
      </c>
      <c r="G345" s="123" t="s">
        <v>1109</v>
      </c>
      <c r="J345">
        <v>789</v>
      </c>
      <c r="K345" t="s">
        <v>2296</v>
      </c>
      <c r="L345" t="s">
        <v>2296</v>
      </c>
      <c r="M345" t="s">
        <v>2333</v>
      </c>
    </row>
    <row r="346" spans="3:13">
      <c r="C346">
        <v>345</v>
      </c>
      <c r="D346" t="s">
        <v>372</v>
      </c>
      <c r="E346" t="s">
        <v>372</v>
      </c>
      <c r="F346">
        <v>0.85</v>
      </c>
      <c r="G346">
        <v>0.15</v>
      </c>
      <c r="J346">
        <v>63</v>
      </c>
      <c r="K346" t="s">
        <v>85</v>
      </c>
      <c r="L346" t="s">
        <v>85</v>
      </c>
      <c r="M346" t="s">
        <v>2334</v>
      </c>
    </row>
    <row r="347" spans="3:13">
      <c r="C347">
        <v>346</v>
      </c>
      <c r="D347" t="s">
        <v>373</v>
      </c>
      <c r="E347" t="s">
        <v>373</v>
      </c>
      <c r="F347">
        <v>0.85</v>
      </c>
      <c r="G347">
        <v>0.15</v>
      </c>
      <c r="J347">
        <v>64</v>
      </c>
      <c r="K347" t="s">
        <v>87</v>
      </c>
      <c r="L347" t="s">
        <v>87</v>
      </c>
      <c r="M347" t="s">
        <v>2334</v>
      </c>
    </row>
    <row r="348" spans="3:13">
      <c r="C348">
        <v>347</v>
      </c>
      <c r="D348" t="s">
        <v>374</v>
      </c>
      <c r="E348" t="s">
        <v>374</v>
      </c>
      <c r="F348">
        <v>0.85</v>
      </c>
      <c r="G348">
        <v>0.15</v>
      </c>
      <c r="J348">
        <v>65</v>
      </c>
      <c r="K348" t="s">
        <v>88</v>
      </c>
      <c r="L348" t="s">
        <v>88</v>
      </c>
      <c r="M348" t="s">
        <v>2334</v>
      </c>
    </row>
    <row r="349" spans="3:13">
      <c r="C349">
        <v>348</v>
      </c>
      <c r="D349" t="s">
        <v>375</v>
      </c>
      <c r="E349" t="s">
        <v>375</v>
      </c>
      <c r="F349">
        <v>0.85</v>
      </c>
      <c r="G349">
        <v>0.15</v>
      </c>
      <c r="J349">
        <v>66</v>
      </c>
      <c r="K349" t="s">
        <v>89</v>
      </c>
      <c r="L349" t="s">
        <v>89</v>
      </c>
      <c r="M349" t="s">
        <v>2334</v>
      </c>
    </row>
    <row r="350" spans="3:13">
      <c r="C350">
        <v>349</v>
      </c>
      <c r="D350" t="s">
        <v>376</v>
      </c>
      <c r="E350" t="s">
        <v>376</v>
      </c>
      <c r="F350">
        <v>0.5</v>
      </c>
      <c r="G350">
        <v>0.5</v>
      </c>
      <c r="J350">
        <v>393</v>
      </c>
      <c r="K350" t="s">
        <v>425</v>
      </c>
      <c r="L350" t="s">
        <v>425</v>
      </c>
      <c r="M350" t="s">
        <v>2331</v>
      </c>
    </row>
    <row r="351" spans="3:13">
      <c r="C351">
        <v>350</v>
      </c>
      <c r="D351" t="s">
        <v>377</v>
      </c>
      <c r="E351" t="s">
        <v>377</v>
      </c>
      <c r="F351">
        <v>0.5</v>
      </c>
      <c r="G351">
        <v>0.5</v>
      </c>
      <c r="J351">
        <v>394</v>
      </c>
      <c r="K351" t="s">
        <v>426</v>
      </c>
      <c r="L351" t="s">
        <v>426</v>
      </c>
      <c r="M351" t="s">
        <v>2331</v>
      </c>
    </row>
    <row r="352" spans="3:13">
      <c r="C352">
        <v>351</v>
      </c>
      <c r="D352" t="s">
        <v>378</v>
      </c>
      <c r="E352" t="s">
        <v>378</v>
      </c>
      <c r="F352">
        <v>0.5</v>
      </c>
      <c r="G352">
        <v>0.5</v>
      </c>
      <c r="J352">
        <v>395</v>
      </c>
      <c r="K352" t="s">
        <v>427</v>
      </c>
      <c r="L352" t="s">
        <v>427</v>
      </c>
      <c r="M352" t="s">
        <v>2331</v>
      </c>
    </row>
    <row r="353" spans="3:13">
      <c r="C353">
        <v>352</v>
      </c>
      <c r="D353" t="s">
        <v>379</v>
      </c>
      <c r="E353" t="s">
        <v>379</v>
      </c>
      <c r="F353">
        <v>0.5</v>
      </c>
      <c r="G353">
        <v>0.5</v>
      </c>
      <c r="J353">
        <v>396</v>
      </c>
      <c r="K353" t="s">
        <v>428</v>
      </c>
      <c r="L353" t="s">
        <v>428</v>
      </c>
      <c r="M353" t="s">
        <v>22</v>
      </c>
    </row>
    <row r="354" spans="3:13">
      <c r="C354">
        <v>353</v>
      </c>
      <c r="D354" t="s">
        <v>380</v>
      </c>
      <c r="E354" t="s">
        <v>380</v>
      </c>
      <c r="F354">
        <v>0.5</v>
      </c>
      <c r="G354">
        <v>0.5</v>
      </c>
      <c r="J354">
        <v>397</v>
      </c>
      <c r="K354" t="s">
        <v>429</v>
      </c>
      <c r="L354" t="s">
        <v>429</v>
      </c>
      <c r="M354" t="s">
        <v>22</v>
      </c>
    </row>
    <row r="355" spans="3:13">
      <c r="C355">
        <v>354</v>
      </c>
      <c r="D355" t="s">
        <v>381</v>
      </c>
      <c r="E355" t="s">
        <v>381</v>
      </c>
      <c r="F355">
        <v>0.5</v>
      </c>
      <c r="G355">
        <v>0.5</v>
      </c>
      <c r="J355">
        <v>398</v>
      </c>
      <c r="K355" t="s">
        <v>430</v>
      </c>
      <c r="L355" t="s">
        <v>430</v>
      </c>
      <c r="M355" t="s">
        <v>22</v>
      </c>
    </row>
    <row r="356" spans="3:13">
      <c r="C356">
        <v>355</v>
      </c>
      <c r="D356" t="s">
        <v>382</v>
      </c>
      <c r="E356" t="s">
        <v>382</v>
      </c>
      <c r="F356">
        <v>0.5</v>
      </c>
      <c r="G356">
        <v>0.5</v>
      </c>
      <c r="J356">
        <v>399</v>
      </c>
      <c r="K356" t="s">
        <v>431</v>
      </c>
      <c r="L356" t="s">
        <v>431</v>
      </c>
      <c r="M356" t="s">
        <v>2332</v>
      </c>
    </row>
    <row r="357" spans="3:13">
      <c r="C357">
        <v>356</v>
      </c>
      <c r="D357" t="s">
        <v>383</v>
      </c>
      <c r="E357" t="s">
        <v>383</v>
      </c>
      <c r="F357">
        <v>0.5</v>
      </c>
      <c r="G357">
        <v>0.5</v>
      </c>
      <c r="J357">
        <v>400</v>
      </c>
      <c r="K357" t="s">
        <v>432</v>
      </c>
      <c r="L357" t="s">
        <v>432</v>
      </c>
      <c r="M357" t="s">
        <v>2332</v>
      </c>
    </row>
    <row r="358" spans="3:13">
      <c r="C358">
        <v>357</v>
      </c>
      <c r="D358" t="s">
        <v>384</v>
      </c>
      <c r="E358" t="s">
        <v>384</v>
      </c>
      <c r="F358">
        <v>0.5</v>
      </c>
      <c r="G358">
        <v>0.5</v>
      </c>
      <c r="J358">
        <v>401</v>
      </c>
      <c r="K358" t="s">
        <v>433</v>
      </c>
      <c r="L358" t="s">
        <v>433</v>
      </c>
      <c r="M358" t="s">
        <v>29</v>
      </c>
    </row>
    <row r="359" spans="3:13">
      <c r="C359">
        <v>358</v>
      </c>
      <c r="D359" t="s">
        <v>385</v>
      </c>
      <c r="E359" t="s">
        <v>385</v>
      </c>
      <c r="F359">
        <v>0.5</v>
      </c>
      <c r="G359">
        <v>0.5</v>
      </c>
      <c r="J359">
        <v>402</v>
      </c>
      <c r="K359" t="s">
        <v>434</v>
      </c>
      <c r="L359" t="s">
        <v>434</v>
      </c>
      <c r="M359" t="s">
        <v>29</v>
      </c>
    </row>
    <row r="360" spans="3:13">
      <c r="C360">
        <v>359</v>
      </c>
      <c r="D360" t="s">
        <v>386</v>
      </c>
      <c r="E360" t="s">
        <v>386</v>
      </c>
      <c r="F360">
        <v>0.5</v>
      </c>
      <c r="G360">
        <v>0.5</v>
      </c>
      <c r="J360">
        <v>403</v>
      </c>
      <c r="K360" t="s">
        <v>435</v>
      </c>
      <c r="L360" t="s">
        <v>435</v>
      </c>
      <c r="M360" t="s">
        <v>2332</v>
      </c>
    </row>
    <row r="361" spans="3:13">
      <c r="C361">
        <v>360</v>
      </c>
      <c r="D361" t="s">
        <v>387</v>
      </c>
      <c r="E361" t="s">
        <v>387</v>
      </c>
      <c r="F361">
        <v>0.5</v>
      </c>
      <c r="G361">
        <v>0.5</v>
      </c>
      <c r="J361">
        <v>710</v>
      </c>
      <c r="K361" t="s">
        <v>2170</v>
      </c>
      <c r="L361" t="s">
        <v>2170</v>
      </c>
      <c r="M361" t="s">
        <v>2336</v>
      </c>
    </row>
    <row r="362" spans="3:13">
      <c r="C362">
        <v>361</v>
      </c>
      <c r="D362" t="s">
        <v>388</v>
      </c>
      <c r="E362" t="s">
        <v>388</v>
      </c>
      <c r="F362">
        <v>0.5</v>
      </c>
      <c r="G362">
        <v>0.5</v>
      </c>
      <c r="J362">
        <v>404</v>
      </c>
      <c r="K362" t="s">
        <v>436</v>
      </c>
      <c r="L362" t="s">
        <v>436</v>
      </c>
      <c r="M362" t="s">
        <v>2332</v>
      </c>
    </row>
    <row r="363" spans="3:13">
      <c r="C363">
        <v>362</v>
      </c>
      <c r="D363" t="s">
        <v>389</v>
      </c>
      <c r="E363" t="s">
        <v>389</v>
      </c>
      <c r="F363">
        <v>0.5</v>
      </c>
      <c r="G363">
        <v>0.5</v>
      </c>
      <c r="J363">
        <v>405</v>
      </c>
      <c r="K363" t="s">
        <v>437</v>
      </c>
      <c r="L363" t="s">
        <v>437</v>
      </c>
      <c r="M363" t="s">
        <v>2332</v>
      </c>
    </row>
    <row r="364" spans="3:13">
      <c r="C364">
        <v>363</v>
      </c>
      <c r="D364" t="s">
        <v>390</v>
      </c>
      <c r="E364" t="s">
        <v>390</v>
      </c>
      <c r="F364">
        <v>0.5</v>
      </c>
      <c r="G364">
        <v>0.5</v>
      </c>
      <c r="J364">
        <v>406</v>
      </c>
      <c r="K364" t="s">
        <v>438</v>
      </c>
      <c r="L364" t="s">
        <v>438</v>
      </c>
      <c r="M364" t="s">
        <v>2333</v>
      </c>
    </row>
    <row r="365" spans="3:13">
      <c r="C365">
        <v>364</v>
      </c>
      <c r="D365" t="s">
        <v>391</v>
      </c>
      <c r="E365" t="s">
        <v>391</v>
      </c>
      <c r="F365">
        <v>0.5</v>
      </c>
      <c r="G365">
        <v>0.5</v>
      </c>
      <c r="J365">
        <v>407</v>
      </c>
      <c r="K365" t="s">
        <v>439</v>
      </c>
      <c r="L365" t="s">
        <v>439</v>
      </c>
      <c r="M365" t="s">
        <v>14</v>
      </c>
    </row>
    <row r="366" spans="3:13">
      <c r="C366">
        <v>365</v>
      </c>
      <c r="D366" t="s">
        <v>392</v>
      </c>
      <c r="E366" t="s">
        <v>392</v>
      </c>
      <c r="F366">
        <v>0.5</v>
      </c>
      <c r="G366">
        <v>0.5</v>
      </c>
      <c r="J366">
        <v>408</v>
      </c>
      <c r="K366" t="s">
        <v>440</v>
      </c>
      <c r="L366" t="s">
        <v>440</v>
      </c>
      <c r="M366" t="s">
        <v>2330</v>
      </c>
    </row>
    <row r="367" spans="3:13">
      <c r="C367">
        <v>366</v>
      </c>
      <c r="D367" t="s">
        <v>393</v>
      </c>
      <c r="E367" t="s">
        <v>393</v>
      </c>
      <c r="F367">
        <v>0.5</v>
      </c>
      <c r="G367">
        <v>0.5</v>
      </c>
      <c r="J367">
        <v>409</v>
      </c>
      <c r="K367" t="s">
        <v>441</v>
      </c>
      <c r="L367" t="s">
        <v>441</v>
      </c>
      <c r="M367" t="s">
        <v>2330</v>
      </c>
    </row>
    <row r="368" spans="3:13">
      <c r="C368">
        <v>367</v>
      </c>
      <c r="D368" t="s">
        <v>394</v>
      </c>
      <c r="E368" t="s">
        <v>394</v>
      </c>
      <c r="F368">
        <v>0.5</v>
      </c>
      <c r="G368">
        <v>0.5</v>
      </c>
      <c r="J368">
        <v>410</v>
      </c>
      <c r="K368" t="s">
        <v>442</v>
      </c>
      <c r="L368" t="s">
        <v>442</v>
      </c>
      <c r="M368" t="s">
        <v>2330</v>
      </c>
    </row>
    <row r="369" spans="3:13">
      <c r="C369">
        <v>368</v>
      </c>
      <c r="D369" t="s">
        <v>395</v>
      </c>
      <c r="E369" t="s">
        <v>395</v>
      </c>
      <c r="F369">
        <v>0.5</v>
      </c>
      <c r="G369">
        <v>0.5</v>
      </c>
      <c r="J369">
        <v>411</v>
      </c>
      <c r="K369" t="s">
        <v>443</v>
      </c>
      <c r="L369" t="s">
        <v>443</v>
      </c>
      <c r="M369" t="s">
        <v>2330</v>
      </c>
    </row>
    <row r="370" spans="3:13">
      <c r="C370">
        <v>369</v>
      </c>
      <c r="D370" t="s">
        <v>396</v>
      </c>
      <c r="E370" t="s">
        <v>396</v>
      </c>
      <c r="F370">
        <v>0.85</v>
      </c>
      <c r="G370">
        <v>0.15</v>
      </c>
      <c r="J370">
        <v>67</v>
      </c>
      <c r="K370" t="s">
        <v>90</v>
      </c>
      <c r="L370" t="s">
        <v>90</v>
      </c>
      <c r="M370" t="s">
        <v>2334</v>
      </c>
    </row>
    <row r="371" spans="3:13">
      <c r="C371">
        <v>370</v>
      </c>
      <c r="D371" t="s">
        <v>397</v>
      </c>
      <c r="E371" t="s">
        <v>397</v>
      </c>
      <c r="F371">
        <v>0.25</v>
      </c>
      <c r="G371">
        <v>0.75</v>
      </c>
      <c r="J371">
        <v>729</v>
      </c>
      <c r="K371" t="s">
        <v>2154</v>
      </c>
      <c r="L371" t="s">
        <v>2154</v>
      </c>
      <c r="M371" t="s">
        <v>2331</v>
      </c>
    </row>
    <row r="372" spans="3:13">
      <c r="C372">
        <v>371</v>
      </c>
      <c r="D372" t="s">
        <v>398</v>
      </c>
      <c r="E372" t="s">
        <v>398</v>
      </c>
      <c r="F372">
        <v>0.5</v>
      </c>
      <c r="G372">
        <v>0.5</v>
      </c>
      <c r="J372">
        <v>412</v>
      </c>
      <c r="K372" t="s">
        <v>444</v>
      </c>
      <c r="L372" t="s">
        <v>444</v>
      </c>
      <c r="M372" t="s">
        <v>29</v>
      </c>
    </row>
    <row r="373" spans="3:13">
      <c r="C373">
        <v>372</v>
      </c>
      <c r="D373" t="s">
        <v>399</v>
      </c>
      <c r="E373" t="s">
        <v>399</v>
      </c>
      <c r="F373">
        <v>0.5</v>
      </c>
      <c r="G373">
        <v>0.5</v>
      </c>
      <c r="J373">
        <v>413</v>
      </c>
      <c r="K373" t="s">
        <v>2271</v>
      </c>
      <c r="L373" t="s">
        <v>2271</v>
      </c>
      <c r="M373" t="s">
        <v>29</v>
      </c>
    </row>
    <row r="374" spans="3:13">
      <c r="C374">
        <v>373</v>
      </c>
      <c r="D374" t="s">
        <v>400</v>
      </c>
      <c r="E374" t="s">
        <v>400</v>
      </c>
      <c r="F374">
        <v>0.5</v>
      </c>
      <c r="G374">
        <v>0.5</v>
      </c>
      <c r="J374">
        <v>414</v>
      </c>
      <c r="K374" t="s">
        <v>448</v>
      </c>
      <c r="L374" t="s">
        <v>448</v>
      </c>
      <c r="M374" t="s">
        <v>29</v>
      </c>
    </row>
    <row r="375" spans="3:13">
      <c r="C375">
        <v>374</v>
      </c>
      <c r="D375" t="s">
        <v>401</v>
      </c>
      <c r="E375" t="s">
        <v>401</v>
      </c>
      <c r="F375" s="123" t="s">
        <v>1109</v>
      </c>
      <c r="G375" s="123" t="s">
        <v>1109</v>
      </c>
      <c r="J375">
        <v>790</v>
      </c>
      <c r="K375" t="s">
        <v>2297</v>
      </c>
      <c r="L375" t="s">
        <v>2297</v>
      </c>
      <c r="M375" t="s">
        <v>2333</v>
      </c>
    </row>
    <row r="376" spans="3:13">
      <c r="C376">
        <v>375</v>
      </c>
      <c r="D376" t="s">
        <v>402</v>
      </c>
      <c r="E376" t="s">
        <v>402</v>
      </c>
      <c r="F376" s="123" t="s">
        <v>1109</v>
      </c>
      <c r="G376" s="123" t="s">
        <v>1109</v>
      </c>
      <c r="J376">
        <v>791</v>
      </c>
      <c r="K376" t="s">
        <v>2298</v>
      </c>
      <c r="L376" t="s">
        <v>2298</v>
      </c>
      <c r="M376" t="s">
        <v>2333</v>
      </c>
    </row>
    <row r="377" spans="3:13">
      <c r="C377">
        <v>376</v>
      </c>
      <c r="D377" t="s">
        <v>403</v>
      </c>
      <c r="E377" t="s">
        <v>403</v>
      </c>
      <c r="F377" s="123" t="s">
        <v>1109</v>
      </c>
      <c r="G377" s="123" t="s">
        <v>1109</v>
      </c>
      <c r="J377">
        <v>792</v>
      </c>
      <c r="K377" t="s">
        <v>2299</v>
      </c>
      <c r="L377" t="s">
        <v>2299</v>
      </c>
      <c r="M377" t="s">
        <v>2333</v>
      </c>
    </row>
    <row r="378" spans="3:13">
      <c r="C378">
        <v>377</v>
      </c>
      <c r="D378" t="s">
        <v>404</v>
      </c>
      <c r="E378" t="s">
        <v>404</v>
      </c>
      <c r="F378" s="123" t="s">
        <v>1109</v>
      </c>
      <c r="G378" s="123" t="s">
        <v>1109</v>
      </c>
      <c r="J378">
        <v>825</v>
      </c>
      <c r="K378" t="s">
        <v>2221</v>
      </c>
      <c r="L378" t="s">
        <v>2221</v>
      </c>
      <c r="M378" t="s">
        <v>29</v>
      </c>
    </row>
    <row r="379" spans="3:13">
      <c r="C379">
        <v>378</v>
      </c>
      <c r="D379" t="s">
        <v>405</v>
      </c>
      <c r="E379" t="s">
        <v>405</v>
      </c>
      <c r="F379" s="123" t="s">
        <v>1109</v>
      </c>
      <c r="G379" s="123" t="s">
        <v>1109</v>
      </c>
      <c r="J379">
        <v>826</v>
      </c>
      <c r="K379" t="s">
        <v>2222</v>
      </c>
      <c r="L379" t="s">
        <v>2222</v>
      </c>
      <c r="M379" t="s">
        <v>29</v>
      </c>
    </row>
    <row r="380" spans="3:13">
      <c r="C380">
        <v>379</v>
      </c>
      <c r="D380" t="s">
        <v>406</v>
      </c>
      <c r="E380" t="s">
        <v>406</v>
      </c>
      <c r="F380" s="123" t="s">
        <v>1109</v>
      </c>
      <c r="G380" s="123" t="s">
        <v>1109</v>
      </c>
      <c r="J380">
        <v>827</v>
      </c>
      <c r="K380" t="s">
        <v>2223</v>
      </c>
      <c r="L380" t="s">
        <v>2223</v>
      </c>
      <c r="M380" t="s">
        <v>2332</v>
      </c>
    </row>
    <row r="381" spans="3:13">
      <c r="C381">
        <v>380</v>
      </c>
      <c r="D381" t="s">
        <v>407</v>
      </c>
      <c r="E381" t="s">
        <v>407</v>
      </c>
      <c r="F381">
        <v>0</v>
      </c>
      <c r="G381">
        <v>1</v>
      </c>
      <c r="J381">
        <v>774</v>
      </c>
      <c r="K381" t="s">
        <v>2282</v>
      </c>
      <c r="L381" t="s">
        <v>2282</v>
      </c>
      <c r="M381" t="s">
        <v>2112</v>
      </c>
    </row>
    <row r="382" spans="3:13">
      <c r="C382">
        <v>381</v>
      </c>
      <c r="D382" t="s">
        <v>408</v>
      </c>
      <c r="E382" t="s">
        <v>408</v>
      </c>
      <c r="F382">
        <v>1</v>
      </c>
      <c r="G382">
        <v>0</v>
      </c>
      <c r="J382">
        <v>19</v>
      </c>
      <c r="K382" t="s">
        <v>39</v>
      </c>
      <c r="L382" t="s">
        <v>39</v>
      </c>
      <c r="M382" t="s">
        <v>2332</v>
      </c>
    </row>
    <row r="383" spans="3:13">
      <c r="C383">
        <v>382</v>
      </c>
      <c r="D383" t="s">
        <v>409</v>
      </c>
      <c r="E383" t="s">
        <v>409</v>
      </c>
      <c r="F383" s="123" t="s">
        <v>1109</v>
      </c>
      <c r="G383" s="123" t="s">
        <v>1109</v>
      </c>
      <c r="J383">
        <v>828</v>
      </c>
      <c r="K383" t="s">
        <v>2224</v>
      </c>
      <c r="L383" t="s">
        <v>2224</v>
      </c>
      <c r="M383" t="s">
        <v>2332</v>
      </c>
    </row>
    <row r="384" spans="3:13">
      <c r="C384">
        <v>383</v>
      </c>
      <c r="D384" t="s">
        <v>411</v>
      </c>
      <c r="E384" t="s">
        <v>411</v>
      </c>
      <c r="F384" s="123" t="s">
        <v>1109</v>
      </c>
      <c r="G384" s="123" t="s">
        <v>1109</v>
      </c>
      <c r="J384">
        <v>829</v>
      </c>
      <c r="K384" t="s">
        <v>2225</v>
      </c>
      <c r="L384" t="s">
        <v>2225</v>
      </c>
      <c r="M384" t="s">
        <v>14</v>
      </c>
    </row>
    <row r="385" spans="3:13">
      <c r="C385">
        <v>384</v>
      </c>
      <c r="D385" t="s">
        <v>413</v>
      </c>
      <c r="E385" t="s">
        <v>413</v>
      </c>
      <c r="F385" s="123" t="s">
        <v>1109</v>
      </c>
      <c r="G385" s="123" t="s">
        <v>1109</v>
      </c>
      <c r="J385">
        <v>830</v>
      </c>
      <c r="K385" t="s">
        <v>2226</v>
      </c>
      <c r="L385" t="s">
        <v>2226</v>
      </c>
      <c r="M385" t="s">
        <v>14</v>
      </c>
    </row>
    <row r="386" spans="3:13">
      <c r="C386">
        <v>385</v>
      </c>
      <c r="D386" t="s">
        <v>414</v>
      </c>
      <c r="E386" t="s">
        <v>414</v>
      </c>
      <c r="F386" s="123" t="s">
        <v>1109</v>
      </c>
      <c r="G386" s="123" t="s">
        <v>1109</v>
      </c>
      <c r="J386">
        <v>831</v>
      </c>
      <c r="K386" t="s">
        <v>2227</v>
      </c>
      <c r="L386" t="s">
        <v>2227</v>
      </c>
      <c r="M386" t="s">
        <v>2332</v>
      </c>
    </row>
    <row r="387" spans="3:13">
      <c r="C387">
        <v>386</v>
      </c>
      <c r="D387" t="s">
        <v>2133</v>
      </c>
      <c r="E387" t="s">
        <v>2133</v>
      </c>
      <c r="F387" s="123" t="s">
        <v>1109</v>
      </c>
      <c r="G387" s="123" t="s">
        <v>1109</v>
      </c>
      <c r="J387">
        <v>832</v>
      </c>
      <c r="K387" t="s">
        <v>2228</v>
      </c>
      <c r="L387" t="s">
        <v>2228</v>
      </c>
      <c r="M387" t="s">
        <v>2332</v>
      </c>
    </row>
    <row r="388" spans="3:13">
      <c r="C388">
        <v>387</v>
      </c>
      <c r="D388" t="s">
        <v>419</v>
      </c>
      <c r="E388" t="s">
        <v>419</v>
      </c>
      <c r="F388">
        <v>0.85</v>
      </c>
      <c r="G388">
        <v>0.15</v>
      </c>
      <c r="J388">
        <v>68</v>
      </c>
      <c r="K388" t="s">
        <v>91</v>
      </c>
      <c r="L388" t="s">
        <v>91</v>
      </c>
      <c r="M388" t="s">
        <v>2334</v>
      </c>
    </row>
    <row r="389" spans="3:13">
      <c r="C389">
        <v>388</v>
      </c>
      <c r="D389" t="s">
        <v>420</v>
      </c>
      <c r="E389" t="s">
        <v>420</v>
      </c>
      <c r="F389">
        <v>0.85</v>
      </c>
      <c r="G389">
        <v>0.15</v>
      </c>
      <c r="J389">
        <v>69</v>
      </c>
      <c r="K389" t="s">
        <v>92</v>
      </c>
      <c r="L389" t="s">
        <v>92</v>
      </c>
      <c r="M389" t="s">
        <v>14</v>
      </c>
    </row>
    <row r="390" spans="3:13">
      <c r="C390">
        <v>389</v>
      </c>
      <c r="D390" t="s">
        <v>421</v>
      </c>
      <c r="E390" t="s">
        <v>421</v>
      </c>
      <c r="F390">
        <v>0.85</v>
      </c>
      <c r="G390">
        <v>0.15</v>
      </c>
      <c r="J390">
        <v>70</v>
      </c>
      <c r="K390" t="s">
        <v>93</v>
      </c>
      <c r="L390" t="s">
        <v>93</v>
      </c>
      <c r="M390" t="s">
        <v>14</v>
      </c>
    </row>
    <row r="391" spans="3:13">
      <c r="C391">
        <v>390</v>
      </c>
      <c r="D391" t="s">
        <v>422</v>
      </c>
      <c r="E391" t="s">
        <v>422</v>
      </c>
      <c r="F391">
        <v>0.85</v>
      </c>
      <c r="G391">
        <v>0.15</v>
      </c>
      <c r="J391">
        <v>71</v>
      </c>
      <c r="K391" t="s">
        <v>94</v>
      </c>
      <c r="L391" t="s">
        <v>94</v>
      </c>
      <c r="M391" t="s">
        <v>14</v>
      </c>
    </row>
    <row r="392" spans="3:13">
      <c r="C392">
        <v>391</v>
      </c>
      <c r="D392" t="s">
        <v>423</v>
      </c>
      <c r="E392" t="s">
        <v>423</v>
      </c>
      <c r="F392">
        <v>0.85</v>
      </c>
      <c r="G392">
        <v>0.15</v>
      </c>
      <c r="J392">
        <v>72</v>
      </c>
      <c r="K392" t="s">
        <v>95</v>
      </c>
      <c r="L392" t="s">
        <v>95</v>
      </c>
      <c r="M392" t="s">
        <v>2335</v>
      </c>
    </row>
    <row r="393" spans="3:13">
      <c r="C393">
        <v>392</v>
      </c>
      <c r="D393" t="s">
        <v>424</v>
      </c>
      <c r="E393" t="s">
        <v>424</v>
      </c>
      <c r="F393">
        <v>0.85</v>
      </c>
      <c r="G393">
        <v>0.15</v>
      </c>
      <c r="J393">
        <v>73</v>
      </c>
      <c r="K393" t="s">
        <v>96</v>
      </c>
      <c r="L393" t="s">
        <v>96</v>
      </c>
      <c r="M393" t="s">
        <v>2335</v>
      </c>
    </row>
    <row r="394" spans="3:13">
      <c r="C394">
        <v>393</v>
      </c>
      <c r="D394" t="s">
        <v>425</v>
      </c>
      <c r="E394" t="s">
        <v>425</v>
      </c>
      <c r="F394">
        <v>0.85</v>
      </c>
      <c r="G394">
        <v>0.15</v>
      </c>
      <c r="J394">
        <v>74</v>
      </c>
      <c r="K394" t="s">
        <v>97</v>
      </c>
      <c r="L394" t="s">
        <v>97</v>
      </c>
      <c r="M394" t="s">
        <v>2112</v>
      </c>
    </row>
    <row r="395" spans="3:13">
      <c r="C395">
        <v>394</v>
      </c>
      <c r="D395" t="s">
        <v>426</v>
      </c>
      <c r="E395" t="s">
        <v>426</v>
      </c>
      <c r="F395">
        <v>0.85</v>
      </c>
      <c r="G395">
        <v>0.15</v>
      </c>
      <c r="J395">
        <v>75</v>
      </c>
      <c r="K395" t="s">
        <v>99</v>
      </c>
      <c r="L395" t="s">
        <v>99</v>
      </c>
      <c r="M395" t="s">
        <v>2112</v>
      </c>
    </row>
    <row r="396" spans="3:13">
      <c r="C396">
        <v>395</v>
      </c>
      <c r="D396" t="s">
        <v>427</v>
      </c>
      <c r="E396" t="s">
        <v>427</v>
      </c>
      <c r="F396">
        <v>0.85</v>
      </c>
      <c r="G396">
        <v>0.15</v>
      </c>
      <c r="J396">
        <v>76</v>
      </c>
      <c r="K396" t="s">
        <v>100</v>
      </c>
      <c r="L396" t="s">
        <v>100</v>
      </c>
      <c r="M396" t="s">
        <v>2112</v>
      </c>
    </row>
    <row r="397" spans="3:13">
      <c r="C397">
        <v>396</v>
      </c>
      <c r="D397" t="s">
        <v>428</v>
      </c>
      <c r="E397" t="s">
        <v>428</v>
      </c>
      <c r="F397">
        <v>0.5</v>
      </c>
      <c r="G397">
        <v>0.5</v>
      </c>
      <c r="J397">
        <v>415</v>
      </c>
      <c r="K397" t="s">
        <v>449</v>
      </c>
      <c r="L397" t="s">
        <v>449</v>
      </c>
      <c r="M397" t="s">
        <v>29</v>
      </c>
    </row>
    <row r="398" spans="3:13">
      <c r="C398">
        <v>397</v>
      </c>
      <c r="D398" t="s">
        <v>429</v>
      </c>
      <c r="E398" t="s">
        <v>429</v>
      </c>
      <c r="F398">
        <v>0.5</v>
      </c>
      <c r="G398">
        <v>0.5</v>
      </c>
      <c r="J398">
        <v>416</v>
      </c>
      <c r="K398" t="s">
        <v>450</v>
      </c>
      <c r="L398" t="s">
        <v>450</v>
      </c>
      <c r="M398" t="s">
        <v>29</v>
      </c>
    </row>
    <row r="399" spans="3:13">
      <c r="C399">
        <v>398</v>
      </c>
      <c r="D399" t="s">
        <v>430</v>
      </c>
      <c r="E399" t="s">
        <v>430</v>
      </c>
      <c r="F399">
        <v>0.5</v>
      </c>
      <c r="G399">
        <v>0.5</v>
      </c>
      <c r="J399">
        <v>417</v>
      </c>
      <c r="K399" t="s">
        <v>451</v>
      </c>
      <c r="L399" t="s">
        <v>451</v>
      </c>
      <c r="M399" t="s">
        <v>56</v>
      </c>
    </row>
    <row r="400" spans="3:13">
      <c r="C400">
        <v>399</v>
      </c>
      <c r="D400" t="s">
        <v>431</v>
      </c>
      <c r="E400" t="s">
        <v>431</v>
      </c>
      <c r="F400">
        <v>0.5</v>
      </c>
      <c r="G400">
        <v>0.5</v>
      </c>
      <c r="J400">
        <v>418</v>
      </c>
      <c r="K400" t="s">
        <v>452</v>
      </c>
      <c r="L400" t="s">
        <v>452</v>
      </c>
      <c r="M400" t="s">
        <v>2332</v>
      </c>
    </row>
    <row r="401" spans="3:13">
      <c r="C401">
        <v>400</v>
      </c>
      <c r="D401" t="s">
        <v>432</v>
      </c>
      <c r="E401" t="s">
        <v>432</v>
      </c>
      <c r="F401">
        <v>0.5</v>
      </c>
      <c r="G401">
        <v>0.5</v>
      </c>
      <c r="J401">
        <v>419</v>
      </c>
      <c r="K401" t="s">
        <v>453</v>
      </c>
      <c r="L401" t="s">
        <v>453</v>
      </c>
      <c r="M401" t="s">
        <v>2332</v>
      </c>
    </row>
    <row r="402" spans="3:13">
      <c r="C402">
        <v>401</v>
      </c>
      <c r="D402" t="s">
        <v>433</v>
      </c>
      <c r="E402" t="s">
        <v>433</v>
      </c>
      <c r="F402">
        <v>0.5</v>
      </c>
      <c r="G402">
        <v>0.5</v>
      </c>
      <c r="J402">
        <v>420</v>
      </c>
      <c r="K402" t="s">
        <v>454</v>
      </c>
      <c r="L402" t="s">
        <v>454</v>
      </c>
      <c r="M402" t="s">
        <v>14</v>
      </c>
    </row>
    <row r="403" spans="3:13">
      <c r="C403">
        <v>402</v>
      </c>
      <c r="D403" t="s">
        <v>434</v>
      </c>
      <c r="E403" t="s">
        <v>434</v>
      </c>
      <c r="F403">
        <v>0.5</v>
      </c>
      <c r="G403">
        <v>0.5</v>
      </c>
      <c r="J403">
        <v>421</v>
      </c>
      <c r="K403" t="s">
        <v>455</v>
      </c>
      <c r="L403" t="s">
        <v>455</v>
      </c>
      <c r="M403" t="s">
        <v>14</v>
      </c>
    </row>
    <row r="404" spans="3:13">
      <c r="C404">
        <v>403</v>
      </c>
      <c r="D404" t="s">
        <v>435</v>
      </c>
      <c r="E404" t="s">
        <v>435</v>
      </c>
      <c r="F404">
        <v>0.5</v>
      </c>
      <c r="G404">
        <v>0.5</v>
      </c>
      <c r="J404">
        <v>422</v>
      </c>
      <c r="K404" t="s">
        <v>456</v>
      </c>
      <c r="L404" t="s">
        <v>456</v>
      </c>
      <c r="M404" t="s">
        <v>2336</v>
      </c>
    </row>
    <row r="405" spans="3:13">
      <c r="C405">
        <v>404</v>
      </c>
      <c r="D405" t="s">
        <v>436</v>
      </c>
      <c r="E405" t="s">
        <v>436</v>
      </c>
      <c r="F405">
        <v>0.5</v>
      </c>
      <c r="G405">
        <v>0.5</v>
      </c>
      <c r="J405">
        <v>423</v>
      </c>
      <c r="K405" t="s">
        <v>457</v>
      </c>
      <c r="L405" t="s">
        <v>457</v>
      </c>
      <c r="M405" t="s">
        <v>2336</v>
      </c>
    </row>
    <row r="406" spans="3:13">
      <c r="C406">
        <v>405</v>
      </c>
      <c r="D406" t="s">
        <v>437</v>
      </c>
      <c r="E406" t="s">
        <v>437</v>
      </c>
      <c r="F406">
        <v>0.5</v>
      </c>
      <c r="G406">
        <v>0.5</v>
      </c>
      <c r="J406">
        <v>424</v>
      </c>
      <c r="K406" t="s">
        <v>458</v>
      </c>
      <c r="L406" t="s">
        <v>458</v>
      </c>
      <c r="M406" t="s">
        <v>2332</v>
      </c>
    </row>
    <row r="407" spans="3:13">
      <c r="C407">
        <v>406</v>
      </c>
      <c r="D407" t="s">
        <v>438</v>
      </c>
      <c r="E407" t="s">
        <v>438</v>
      </c>
      <c r="F407">
        <v>0.5</v>
      </c>
      <c r="G407">
        <v>0.5</v>
      </c>
      <c r="J407">
        <v>711</v>
      </c>
      <c r="K407" t="s">
        <v>2171</v>
      </c>
      <c r="L407" t="s">
        <v>2171</v>
      </c>
      <c r="M407" t="s">
        <v>2336</v>
      </c>
    </row>
    <row r="408" spans="3:13">
      <c r="C408">
        <v>407</v>
      </c>
      <c r="D408" t="s">
        <v>439</v>
      </c>
      <c r="E408" t="s">
        <v>439</v>
      </c>
      <c r="F408">
        <v>0.5</v>
      </c>
      <c r="G408">
        <v>0.5</v>
      </c>
      <c r="J408">
        <v>425</v>
      </c>
      <c r="K408" t="s">
        <v>459</v>
      </c>
      <c r="L408" t="s">
        <v>459</v>
      </c>
      <c r="M408" t="s">
        <v>2336</v>
      </c>
    </row>
    <row r="409" spans="3:13">
      <c r="C409">
        <v>408</v>
      </c>
      <c r="D409" t="s">
        <v>440</v>
      </c>
      <c r="E409" t="s">
        <v>440</v>
      </c>
      <c r="F409">
        <v>0.85</v>
      </c>
      <c r="G409">
        <v>0.15</v>
      </c>
      <c r="J409">
        <v>77</v>
      </c>
      <c r="K409" t="s">
        <v>101</v>
      </c>
      <c r="L409" t="s">
        <v>101</v>
      </c>
      <c r="M409" t="s">
        <v>2332</v>
      </c>
    </row>
    <row r="410" spans="3:13">
      <c r="C410">
        <v>409</v>
      </c>
      <c r="D410" t="s">
        <v>441</v>
      </c>
      <c r="E410" t="s">
        <v>441</v>
      </c>
      <c r="F410">
        <v>0.85</v>
      </c>
      <c r="G410">
        <v>0.15</v>
      </c>
      <c r="J410">
        <v>78</v>
      </c>
      <c r="K410" t="s">
        <v>102</v>
      </c>
      <c r="L410" t="s">
        <v>102</v>
      </c>
      <c r="M410" t="s">
        <v>2332</v>
      </c>
    </row>
    <row r="411" spans="3:13">
      <c r="C411">
        <v>410</v>
      </c>
      <c r="D411" t="s">
        <v>442</v>
      </c>
      <c r="E411" t="s">
        <v>442</v>
      </c>
      <c r="F411">
        <v>0.85</v>
      </c>
      <c r="G411">
        <v>0.15</v>
      </c>
      <c r="J411">
        <v>79</v>
      </c>
      <c r="K411" t="s">
        <v>103</v>
      </c>
      <c r="L411" t="s">
        <v>103</v>
      </c>
      <c r="M411" t="s">
        <v>2331</v>
      </c>
    </row>
    <row r="412" spans="3:13">
      <c r="C412">
        <v>411</v>
      </c>
      <c r="D412" t="s">
        <v>443</v>
      </c>
      <c r="E412" t="s">
        <v>443</v>
      </c>
      <c r="F412">
        <v>0.85</v>
      </c>
      <c r="G412">
        <v>0.15</v>
      </c>
      <c r="J412">
        <v>80</v>
      </c>
      <c r="K412" t="s">
        <v>104</v>
      </c>
      <c r="L412" t="s">
        <v>104</v>
      </c>
      <c r="M412" t="s">
        <v>2331</v>
      </c>
    </row>
    <row r="413" spans="3:13">
      <c r="C413">
        <v>412</v>
      </c>
      <c r="D413" t="s">
        <v>444</v>
      </c>
      <c r="E413" t="s">
        <v>444</v>
      </c>
      <c r="F413">
        <v>0.5</v>
      </c>
      <c r="G413">
        <v>0.5</v>
      </c>
      <c r="J413">
        <v>426</v>
      </c>
      <c r="K413" t="s">
        <v>460</v>
      </c>
      <c r="L413" t="s">
        <v>460</v>
      </c>
      <c r="M413" t="s">
        <v>2336</v>
      </c>
    </row>
    <row r="414" spans="3:13">
      <c r="C414">
        <v>413</v>
      </c>
      <c r="D414" t="s">
        <v>2271</v>
      </c>
      <c r="E414" t="s">
        <v>2271</v>
      </c>
      <c r="F414">
        <v>0</v>
      </c>
      <c r="G414">
        <v>1</v>
      </c>
      <c r="J414">
        <v>752</v>
      </c>
      <c r="K414" t="s">
        <v>2192</v>
      </c>
      <c r="L414" t="s">
        <v>2192</v>
      </c>
      <c r="M414" t="s">
        <v>29</v>
      </c>
    </row>
    <row r="415" spans="3:13">
      <c r="C415">
        <v>414</v>
      </c>
      <c r="D415" t="s">
        <v>448</v>
      </c>
      <c r="E415" t="s">
        <v>448</v>
      </c>
      <c r="F415">
        <v>1</v>
      </c>
      <c r="G415">
        <v>0</v>
      </c>
      <c r="J415">
        <v>9</v>
      </c>
      <c r="K415" t="s">
        <v>27</v>
      </c>
      <c r="L415" t="s">
        <v>27</v>
      </c>
      <c r="M415" t="s">
        <v>2331</v>
      </c>
    </row>
    <row r="416" spans="3:13">
      <c r="C416">
        <v>415</v>
      </c>
      <c r="D416" t="s">
        <v>449</v>
      </c>
      <c r="E416" t="s">
        <v>449</v>
      </c>
      <c r="F416">
        <v>0.85</v>
      </c>
      <c r="G416">
        <v>0.15</v>
      </c>
      <c r="J416">
        <v>81</v>
      </c>
      <c r="K416" t="s">
        <v>105</v>
      </c>
      <c r="L416" t="s">
        <v>105</v>
      </c>
      <c r="M416" t="s">
        <v>2112</v>
      </c>
    </row>
    <row r="417" spans="3:13">
      <c r="C417">
        <v>416</v>
      </c>
      <c r="D417" t="s">
        <v>450</v>
      </c>
      <c r="E417" t="s">
        <v>450</v>
      </c>
      <c r="F417">
        <v>0</v>
      </c>
      <c r="G417">
        <v>1</v>
      </c>
      <c r="J417">
        <v>753</v>
      </c>
      <c r="K417" t="s">
        <v>2193</v>
      </c>
      <c r="L417" t="s">
        <v>2193</v>
      </c>
      <c r="M417" t="s">
        <v>14</v>
      </c>
    </row>
    <row r="418" spans="3:13">
      <c r="C418">
        <v>417</v>
      </c>
      <c r="D418" t="s">
        <v>451</v>
      </c>
      <c r="E418" t="s">
        <v>451</v>
      </c>
      <c r="F418">
        <v>0.5</v>
      </c>
      <c r="G418">
        <v>0.5</v>
      </c>
      <c r="J418">
        <v>427</v>
      </c>
      <c r="K418" t="s">
        <v>461</v>
      </c>
      <c r="L418" t="s">
        <v>461</v>
      </c>
      <c r="M418" t="s">
        <v>2334</v>
      </c>
    </row>
    <row r="419" spans="3:13">
      <c r="C419">
        <v>418</v>
      </c>
      <c r="D419" t="s">
        <v>452</v>
      </c>
      <c r="E419" t="s">
        <v>452</v>
      </c>
      <c r="F419">
        <v>0.5</v>
      </c>
      <c r="G419">
        <v>0.5</v>
      </c>
      <c r="J419">
        <v>428</v>
      </c>
      <c r="K419" t="s">
        <v>462</v>
      </c>
      <c r="L419" t="s">
        <v>462</v>
      </c>
      <c r="M419" t="s">
        <v>2334</v>
      </c>
    </row>
    <row r="420" spans="3:13">
      <c r="C420">
        <v>419</v>
      </c>
      <c r="D420" t="s">
        <v>453</v>
      </c>
      <c r="E420" t="s">
        <v>453</v>
      </c>
      <c r="F420">
        <v>0.5</v>
      </c>
      <c r="G420">
        <v>0.5</v>
      </c>
      <c r="J420">
        <v>429</v>
      </c>
      <c r="K420" t="s">
        <v>463</v>
      </c>
      <c r="L420" t="s">
        <v>463</v>
      </c>
      <c r="M420" t="s">
        <v>2336</v>
      </c>
    </row>
    <row r="421" spans="3:13">
      <c r="C421">
        <v>420</v>
      </c>
      <c r="D421" t="s">
        <v>454</v>
      </c>
      <c r="E421" t="s">
        <v>454</v>
      </c>
      <c r="F421">
        <v>0.5</v>
      </c>
      <c r="G421">
        <v>0.5</v>
      </c>
      <c r="J421">
        <v>430</v>
      </c>
      <c r="K421" t="s">
        <v>464</v>
      </c>
      <c r="L421" t="s">
        <v>464</v>
      </c>
      <c r="M421" t="s">
        <v>22</v>
      </c>
    </row>
    <row r="422" spans="3:13">
      <c r="C422">
        <v>421</v>
      </c>
      <c r="D422" t="s">
        <v>455</v>
      </c>
      <c r="E422" t="s">
        <v>455</v>
      </c>
      <c r="F422">
        <v>0.5</v>
      </c>
      <c r="G422">
        <v>0.5</v>
      </c>
      <c r="J422">
        <v>431</v>
      </c>
      <c r="K422" t="s">
        <v>465</v>
      </c>
      <c r="L422" t="s">
        <v>465</v>
      </c>
      <c r="M422" t="s">
        <v>2332</v>
      </c>
    </row>
    <row r="423" spans="3:13">
      <c r="C423">
        <v>422</v>
      </c>
      <c r="D423" t="s">
        <v>456</v>
      </c>
      <c r="E423" t="s">
        <v>456</v>
      </c>
      <c r="F423">
        <v>0.5</v>
      </c>
      <c r="G423">
        <v>0.5</v>
      </c>
      <c r="J423">
        <v>432</v>
      </c>
      <c r="K423" t="s">
        <v>466</v>
      </c>
      <c r="L423" t="s">
        <v>466</v>
      </c>
      <c r="M423" t="s">
        <v>2332</v>
      </c>
    </row>
    <row r="424" spans="3:13">
      <c r="C424">
        <v>423</v>
      </c>
      <c r="D424" t="s">
        <v>457</v>
      </c>
      <c r="E424" t="s">
        <v>457</v>
      </c>
      <c r="F424">
        <v>0.5</v>
      </c>
      <c r="G424">
        <v>0.5</v>
      </c>
      <c r="J424">
        <v>433</v>
      </c>
      <c r="K424" t="s">
        <v>467</v>
      </c>
      <c r="L424" t="s">
        <v>467</v>
      </c>
      <c r="M424" t="s">
        <v>2333</v>
      </c>
    </row>
    <row r="425" spans="3:13">
      <c r="C425">
        <v>424</v>
      </c>
      <c r="D425" t="s">
        <v>458</v>
      </c>
      <c r="E425" t="s">
        <v>458</v>
      </c>
      <c r="F425">
        <v>0.5</v>
      </c>
      <c r="G425">
        <v>0.5</v>
      </c>
      <c r="J425">
        <v>434</v>
      </c>
      <c r="K425" t="s">
        <v>468</v>
      </c>
      <c r="L425" t="s">
        <v>468</v>
      </c>
      <c r="M425" t="s">
        <v>2332</v>
      </c>
    </row>
    <row r="426" spans="3:13">
      <c r="C426">
        <v>425</v>
      </c>
      <c r="D426" t="s">
        <v>459</v>
      </c>
      <c r="E426" t="s">
        <v>459</v>
      </c>
      <c r="F426">
        <v>0.5</v>
      </c>
      <c r="G426">
        <v>0.5</v>
      </c>
      <c r="J426">
        <v>435</v>
      </c>
      <c r="K426" t="s">
        <v>469</v>
      </c>
      <c r="L426" t="s">
        <v>469</v>
      </c>
      <c r="M426" t="s">
        <v>2332</v>
      </c>
    </row>
    <row r="427" spans="3:13">
      <c r="C427">
        <v>426</v>
      </c>
      <c r="D427" t="s">
        <v>460</v>
      </c>
      <c r="E427" t="s">
        <v>460</v>
      </c>
      <c r="F427">
        <v>0.5</v>
      </c>
      <c r="G427">
        <v>0.5</v>
      </c>
      <c r="J427">
        <v>436</v>
      </c>
      <c r="K427" t="s">
        <v>470</v>
      </c>
      <c r="L427" t="s">
        <v>470</v>
      </c>
      <c r="M427" t="s">
        <v>2112</v>
      </c>
    </row>
    <row r="428" spans="3:13">
      <c r="C428">
        <v>427</v>
      </c>
      <c r="D428" t="s">
        <v>461</v>
      </c>
      <c r="E428" t="s">
        <v>461</v>
      </c>
      <c r="F428">
        <v>0.5</v>
      </c>
      <c r="G428">
        <v>0.5</v>
      </c>
      <c r="J428">
        <v>437</v>
      </c>
      <c r="K428" t="s">
        <v>471</v>
      </c>
      <c r="L428" t="s">
        <v>471</v>
      </c>
      <c r="M428" t="s">
        <v>2112</v>
      </c>
    </row>
    <row r="429" spans="3:13">
      <c r="C429">
        <v>428</v>
      </c>
      <c r="D429" t="s">
        <v>462</v>
      </c>
      <c r="E429" t="s">
        <v>462</v>
      </c>
      <c r="F429">
        <v>0.5</v>
      </c>
      <c r="G429">
        <v>0.5</v>
      </c>
      <c r="J429">
        <v>438</v>
      </c>
      <c r="K429" t="s">
        <v>472</v>
      </c>
      <c r="L429" t="s">
        <v>472</v>
      </c>
      <c r="M429" t="s">
        <v>2333</v>
      </c>
    </row>
    <row r="430" spans="3:13">
      <c r="C430">
        <v>429</v>
      </c>
      <c r="D430" t="s">
        <v>463</v>
      </c>
      <c r="E430" t="s">
        <v>463</v>
      </c>
      <c r="F430">
        <v>0.5</v>
      </c>
      <c r="G430">
        <v>0.5</v>
      </c>
      <c r="J430">
        <v>439</v>
      </c>
      <c r="K430" t="s">
        <v>473</v>
      </c>
      <c r="L430" t="s">
        <v>473</v>
      </c>
      <c r="M430" t="s">
        <v>2333</v>
      </c>
    </row>
    <row r="431" spans="3:13">
      <c r="C431">
        <v>430</v>
      </c>
      <c r="D431" t="s">
        <v>464</v>
      </c>
      <c r="E431" t="s">
        <v>464</v>
      </c>
      <c r="F431">
        <v>0.5</v>
      </c>
      <c r="G431">
        <v>0.5</v>
      </c>
      <c r="J431">
        <v>440</v>
      </c>
      <c r="K431" t="s">
        <v>474</v>
      </c>
      <c r="L431" t="s">
        <v>474</v>
      </c>
      <c r="M431" t="s">
        <v>2333</v>
      </c>
    </row>
    <row r="432" spans="3:13">
      <c r="C432">
        <v>431</v>
      </c>
      <c r="D432" t="s">
        <v>465</v>
      </c>
      <c r="E432" t="s">
        <v>465</v>
      </c>
      <c r="F432">
        <v>0.25</v>
      </c>
      <c r="G432">
        <v>0.75</v>
      </c>
      <c r="J432">
        <v>730</v>
      </c>
      <c r="K432" t="s">
        <v>2155</v>
      </c>
      <c r="L432" t="s">
        <v>2155</v>
      </c>
      <c r="M432" t="s">
        <v>2331</v>
      </c>
    </row>
    <row r="433" spans="3:13">
      <c r="C433">
        <v>432</v>
      </c>
      <c r="D433" t="s">
        <v>466</v>
      </c>
      <c r="E433" t="s">
        <v>466</v>
      </c>
      <c r="F433">
        <v>0.25</v>
      </c>
      <c r="G433">
        <v>0.75</v>
      </c>
      <c r="J433">
        <v>731</v>
      </c>
      <c r="K433" t="s">
        <v>2172</v>
      </c>
      <c r="L433" t="s">
        <v>2172</v>
      </c>
      <c r="M433" t="s">
        <v>22</v>
      </c>
    </row>
    <row r="434" spans="3:13">
      <c r="C434">
        <v>433</v>
      </c>
      <c r="D434" t="s">
        <v>467</v>
      </c>
      <c r="E434" t="s">
        <v>467</v>
      </c>
      <c r="F434">
        <v>0.5</v>
      </c>
      <c r="G434">
        <v>0.5</v>
      </c>
      <c r="J434">
        <v>712</v>
      </c>
      <c r="K434" t="s">
        <v>760</v>
      </c>
      <c r="L434" t="s">
        <v>760</v>
      </c>
      <c r="M434" t="s">
        <v>2112</v>
      </c>
    </row>
    <row r="435" spans="3:13">
      <c r="C435">
        <v>434</v>
      </c>
      <c r="D435" t="s">
        <v>468</v>
      </c>
      <c r="E435" t="s">
        <v>468</v>
      </c>
      <c r="F435">
        <v>0.5</v>
      </c>
      <c r="G435">
        <v>0.5</v>
      </c>
      <c r="J435">
        <v>441</v>
      </c>
      <c r="K435" t="s">
        <v>475</v>
      </c>
      <c r="L435" t="s">
        <v>475</v>
      </c>
      <c r="M435" t="s">
        <v>22</v>
      </c>
    </row>
    <row r="436" spans="3:13">
      <c r="C436">
        <v>435</v>
      </c>
      <c r="D436" t="s">
        <v>469</v>
      </c>
      <c r="E436" t="s">
        <v>469</v>
      </c>
      <c r="F436">
        <v>0.5</v>
      </c>
      <c r="G436">
        <v>0.5</v>
      </c>
      <c r="J436">
        <v>442</v>
      </c>
      <c r="K436" t="s">
        <v>476</v>
      </c>
      <c r="L436" t="s">
        <v>476</v>
      </c>
      <c r="M436" t="s">
        <v>2336</v>
      </c>
    </row>
    <row r="437" spans="3:13">
      <c r="C437">
        <v>436</v>
      </c>
      <c r="D437" t="s">
        <v>470</v>
      </c>
      <c r="E437" t="s">
        <v>470</v>
      </c>
      <c r="F437" s="123" t="s">
        <v>1109</v>
      </c>
      <c r="G437" s="123" t="s">
        <v>1109</v>
      </c>
      <c r="J437">
        <v>793</v>
      </c>
      <c r="K437" t="s">
        <v>2300</v>
      </c>
      <c r="L437" t="s">
        <v>2300</v>
      </c>
      <c r="M437" t="s">
        <v>2333</v>
      </c>
    </row>
    <row r="438" spans="3:13">
      <c r="C438">
        <v>437</v>
      </c>
      <c r="D438" t="s">
        <v>471</v>
      </c>
      <c r="E438" t="s">
        <v>471</v>
      </c>
      <c r="F438" s="123" t="s">
        <v>1109</v>
      </c>
      <c r="G438" s="123" t="s">
        <v>1109</v>
      </c>
      <c r="J438">
        <v>794</v>
      </c>
      <c r="K438" t="s">
        <v>2301</v>
      </c>
      <c r="L438" t="s">
        <v>2301</v>
      </c>
      <c r="M438" t="s">
        <v>2333</v>
      </c>
    </row>
    <row r="439" spans="3:13">
      <c r="C439">
        <v>438</v>
      </c>
      <c r="D439" t="s">
        <v>472</v>
      </c>
      <c r="E439" t="s">
        <v>472</v>
      </c>
      <c r="F439">
        <v>0.5</v>
      </c>
      <c r="G439">
        <v>0.5</v>
      </c>
      <c r="J439">
        <v>713</v>
      </c>
      <c r="K439" t="s">
        <v>761</v>
      </c>
      <c r="L439" t="s">
        <v>761</v>
      </c>
      <c r="M439" t="s">
        <v>2112</v>
      </c>
    </row>
    <row r="440" spans="3:13">
      <c r="C440">
        <v>439</v>
      </c>
      <c r="D440" t="s">
        <v>473</v>
      </c>
      <c r="E440" t="s">
        <v>473</v>
      </c>
      <c r="F440">
        <v>0.5</v>
      </c>
      <c r="G440">
        <v>0.5</v>
      </c>
      <c r="J440">
        <v>714</v>
      </c>
      <c r="K440" t="s">
        <v>762</v>
      </c>
      <c r="L440" t="s">
        <v>762</v>
      </c>
      <c r="M440" t="s">
        <v>22</v>
      </c>
    </row>
    <row r="441" spans="3:13">
      <c r="C441">
        <v>440</v>
      </c>
      <c r="D441" t="s">
        <v>474</v>
      </c>
      <c r="E441" t="s">
        <v>474</v>
      </c>
      <c r="F441">
        <v>0</v>
      </c>
      <c r="G441">
        <v>1</v>
      </c>
      <c r="J441">
        <v>775</v>
      </c>
      <c r="K441" t="s">
        <v>2206</v>
      </c>
      <c r="L441" t="s">
        <v>2206</v>
      </c>
      <c r="M441" t="s">
        <v>2332</v>
      </c>
    </row>
    <row r="442" spans="3:13">
      <c r="C442">
        <v>441</v>
      </c>
      <c r="D442" t="s">
        <v>475</v>
      </c>
      <c r="E442" t="s">
        <v>475</v>
      </c>
      <c r="F442">
        <v>0.5</v>
      </c>
      <c r="G442">
        <v>0.5</v>
      </c>
      <c r="J442">
        <v>443</v>
      </c>
      <c r="K442" t="s">
        <v>477</v>
      </c>
      <c r="L442" t="s">
        <v>477</v>
      </c>
      <c r="M442" t="s">
        <v>23</v>
      </c>
    </row>
    <row r="443" spans="3:13">
      <c r="C443">
        <v>442</v>
      </c>
      <c r="D443" t="s">
        <v>476</v>
      </c>
      <c r="E443" t="s">
        <v>476</v>
      </c>
      <c r="F443">
        <v>0.5</v>
      </c>
      <c r="G443">
        <v>0.5</v>
      </c>
      <c r="J443">
        <v>444</v>
      </c>
      <c r="K443" t="s">
        <v>478</v>
      </c>
      <c r="L443" t="s">
        <v>478</v>
      </c>
      <c r="M443" t="s">
        <v>23</v>
      </c>
    </row>
    <row r="444" spans="3:13">
      <c r="C444">
        <v>443</v>
      </c>
      <c r="D444" t="s">
        <v>477</v>
      </c>
      <c r="E444" t="s">
        <v>477</v>
      </c>
      <c r="F444">
        <v>0.5</v>
      </c>
      <c r="G444">
        <v>0.5</v>
      </c>
      <c r="J444">
        <v>445</v>
      </c>
      <c r="K444" t="s">
        <v>479</v>
      </c>
      <c r="L444" t="s">
        <v>479</v>
      </c>
      <c r="M444" t="s">
        <v>23</v>
      </c>
    </row>
    <row r="445" spans="3:13">
      <c r="C445">
        <v>444</v>
      </c>
      <c r="D445" t="s">
        <v>478</v>
      </c>
      <c r="E445" t="s">
        <v>478</v>
      </c>
      <c r="F445">
        <v>0.5</v>
      </c>
      <c r="G445">
        <v>0.5</v>
      </c>
      <c r="J445">
        <v>446</v>
      </c>
      <c r="K445" t="s">
        <v>480</v>
      </c>
      <c r="L445" t="s">
        <v>480</v>
      </c>
      <c r="M445" t="s">
        <v>2333</v>
      </c>
    </row>
    <row r="446" spans="3:13">
      <c r="C446">
        <v>445</v>
      </c>
      <c r="D446" t="s">
        <v>479</v>
      </c>
      <c r="E446" t="s">
        <v>479</v>
      </c>
      <c r="F446">
        <v>0.5</v>
      </c>
      <c r="G446">
        <v>0.5</v>
      </c>
      <c r="J446">
        <v>447</v>
      </c>
      <c r="K446" t="s">
        <v>481</v>
      </c>
      <c r="L446" t="s">
        <v>481</v>
      </c>
      <c r="M446" t="s">
        <v>2333</v>
      </c>
    </row>
    <row r="447" spans="3:13">
      <c r="C447">
        <v>446</v>
      </c>
      <c r="D447" t="s">
        <v>480</v>
      </c>
      <c r="E447" t="s">
        <v>480</v>
      </c>
      <c r="F447">
        <v>0.85</v>
      </c>
      <c r="G447">
        <v>0.15</v>
      </c>
      <c r="J447">
        <v>141</v>
      </c>
      <c r="K447" t="s">
        <v>169</v>
      </c>
      <c r="L447" t="s">
        <v>169</v>
      </c>
      <c r="M447" t="s">
        <v>2337</v>
      </c>
    </row>
    <row r="448" spans="3:13">
      <c r="C448">
        <v>447</v>
      </c>
      <c r="D448" t="s">
        <v>481</v>
      </c>
      <c r="E448" t="s">
        <v>481</v>
      </c>
      <c r="F448">
        <v>0.85</v>
      </c>
      <c r="G448">
        <v>0.15</v>
      </c>
      <c r="J448">
        <v>142</v>
      </c>
      <c r="K448" t="s">
        <v>170</v>
      </c>
      <c r="L448" t="s">
        <v>170</v>
      </c>
      <c r="M448" t="s">
        <v>22</v>
      </c>
    </row>
    <row r="449" spans="3:13">
      <c r="C449">
        <v>448</v>
      </c>
      <c r="D449" t="s">
        <v>482</v>
      </c>
      <c r="E449" t="s">
        <v>482</v>
      </c>
      <c r="F449">
        <v>0.85</v>
      </c>
      <c r="G449">
        <v>0.15</v>
      </c>
      <c r="J449">
        <v>82</v>
      </c>
      <c r="K449" t="s">
        <v>107</v>
      </c>
      <c r="L449" t="s">
        <v>107</v>
      </c>
      <c r="M449" t="s">
        <v>2112</v>
      </c>
    </row>
    <row r="450" spans="3:13">
      <c r="C450">
        <v>449</v>
      </c>
      <c r="D450" t="s">
        <v>483</v>
      </c>
      <c r="E450" t="s">
        <v>483</v>
      </c>
      <c r="F450">
        <v>0.5</v>
      </c>
      <c r="G450">
        <v>0.5</v>
      </c>
      <c r="J450">
        <v>448</v>
      </c>
      <c r="K450" t="s">
        <v>482</v>
      </c>
      <c r="L450" t="s">
        <v>482</v>
      </c>
      <c r="M450" t="s">
        <v>2334</v>
      </c>
    </row>
    <row r="451" spans="3:13">
      <c r="C451">
        <v>450</v>
      </c>
      <c r="D451" t="s">
        <v>484</v>
      </c>
      <c r="E451" t="s">
        <v>484</v>
      </c>
      <c r="F451">
        <v>0.5</v>
      </c>
      <c r="G451">
        <v>0.5</v>
      </c>
      <c r="J451">
        <v>449</v>
      </c>
      <c r="K451" t="s">
        <v>483</v>
      </c>
      <c r="L451" t="s">
        <v>483</v>
      </c>
      <c r="M451" t="s">
        <v>2332</v>
      </c>
    </row>
    <row r="452" spans="3:13">
      <c r="C452">
        <v>451</v>
      </c>
      <c r="D452" t="s">
        <v>485</v>
      </c>
      <c r="E452" t="s">
        <v>485</v>
      </c>
      <c r="F452">
        <v>0.5</v>
      </c>
      <c r="G452">
        <v>0.5</v>
      </c>
      <c r="J452">
        <v>450</v>
      </c>
      <c r="K452" t="s">
        <v>484</v>
      </c>
      <c r="L452" t="s">
        <v>484</v>
      </c>
      <c r="M452" t="s">
        <v>2332</v>
      </c>
    </row>
    <row r="453" spans="3:13">
      <c r="C453">
        <v>452</v>
      </c>
      <c r="D453" t="s">
        <v>486</v>
      </c>
      <c r="E453" t="s">
        <v>486</v>
      </c>
      <c r="F453">
        <v>0.5</v>
      </c>
      <c r="G453">
        <v>0.5</v>
      </c>
      <c r="J453">
        <v>451</v>
      </c>
      <c r="K453" t="s">
        <v>485</v>
      </c>
      <c r="L453" t="s">
        <v>485</v>
      </c>
      <c r="M453" t="s">
        <v>29</v>
      </c>
    </row>
    <row r="454" spans="3:13">
      <c r="C454">
        <v>453</v>
      </c>
      <c r="D454" t="s">
        <v>487</v>
      </c>
      <c r="E454" t="s">
        <v>487</v>
      </c>
      <c r="F454">
        <v>0.5</v>
      </c>
      <c r="G454">
        <v>0.5</v>
      </c>
      <c r="J454">
        <v>452</v>
      </c>
      <c r="K454" t="s">
        <v>486</v>
      </c>
      <c r="L454" t="s">
        <v>486</v>
      </c>
      <c r="M454" t="s">
        <v>29</v>
      </c>
    </row>
    <row r="455" spans="3:13">
      <c r="C455">
        <v>454</v>
      </c>
      <c r="D455" t="s">
        <v>488</v>
      </c>
      <c r="E455" t="s">
        <v>488</v>
      </c>
      <c r="F455">
        <v>0.5</v>
      </c>
      <c r="G455">
        <v>0.5</v>
      </c>
      <c r="J455">
        <v>453</v>
      </c>
      <c r="K455" t="s">
        <v>487</v>
      </c>
      <c r="L455" t="s">
        <v>487</v>
      </c>
      <c r="M455" t="s">
        <v>2334</v>
      </c>
    </row>
    <row r="456" spans="3:13">
      <c r="C456">
        <v>455</v>
      </c>
      <c r="D456" t="s">
        <v>489</v>
      </c>
      <c r="E456" t="s">
        <v>489</v>
      </c>
      <c r="F456">
        <v>0.5</v>
      </c>
      <c r="G456">
        <v>0.5</v>
      </c>
      <c r="J456">
        <v>454</v>
      </c>
      <c r="K456" t="s">
        <v>488</v>
      </c>
      <c r="L456" t="s">
        <v>488</v>
      </c>
      <c r="M456" t="s">
        <v>2334</v>
      </c>
    </row>
    <row r="457" spans="3:13">
      <c r="C457">
        <v>456</v>
      </c>
      <c r="D457" t="s">
        <v>490</v>
      </c>
      <c r="E457" t="s">
        <v>490</v>
      </c>
      <c r="F457">
        <v>0.5</v>
      </c>
      <c r="G457">
        <v>0.5</v>
      </c>
      <c r="J457">
        <v>455</v>
      </c>
      <c r="K457" t="s">
        <v>489</v>
      </c>
      <c r="L457" t="s">
        <v>489</v>
      </c>
      <c r="M457" t="s">
        <v>14</v>
      </c>
    </row>
    <row r="458" spans="3:13">
      <c r="C458">
        <v>457</v>
      </c>
      <c r="D458" t="s">
        <v>491</v>
      </c>
      <c r="E458" t="s">
        <v>491</v>
      </c>
      <c r="F458">
        <v>0.5</v>
      </c>
      <c r="G458">
        <v>0.5</v>
      </c>
      <c r="J458">
        <v>456</v>
      </c>
      <c r="K458" t="s">
        <v>490</v>
      </c>
      <c r="L458" t="s">
        <v>490</v>
      </c>
      <c r="M458" t="s">
        <v>2337</v>
      </c>
    </row>
    <row r="459" spans="3:13">
      <c r="C459">
        <v>458</v>
      </c>
      <c r="D459" t="s">
        <v>492</v>
      </c>
      <c r="E459" t="s">
        <v>492</v>
      </c>
      <c r="F459">
        <v>0.5</v>
      </c>
      <c r="G459">
        <v>0.5</v>
      </c>
      <c r="J459">
        <v>715</v>
      </c>
      <c r="K459" t="s">
        <v>763</v>
      </c>
      <c r="L459" t="s">
        <v>763</v>
      </c>
      <c r="M459" t="s">
        <v>22</v>
      </c>
    </row>
    <row r="460" spans="3:13">
      <c r="C460">
        <v>459</v>
      </c>
      <c r="D460" t="s">
        <v>493</v>
      </c>
      <c r="E460" t="s">
        <v>493</v>
      </c>
      <c r="F460">
        <v>0.5</v>
      </c>
      <c r="G460">
        <v>0.5</v>
      </c>
      <c r="J460">
        <v>457</v>
      </c>
      <c r="K460" t="s">
        <v>491</v>
      </c>
      <c r="L460" t="s">
        <v>491</v>
      </c>
      <c r="M460" t="s">
        <v>2337</v>
      </c>
    </row>
    <row r="461" spans="3:13">
      <c r="C461">
        <v>460</v>
      </c>
      <c r="D461" t="s">
        <v>494</v>
      </c>
      <c r="E461" t="s">
        <v>494</v>
      </c>
      <c r="F461">
        <v>0.5</v>
      </c>
      <c r="G461">
        <v>0.5</v>
      </c>
      <c r="J461">
        <v>458</v>
      </c>
      <c r="K461" t="s">
        <v>492</v>
      </c>
      <c r="L461" t="s">
        <v>492</v>
      </c>
      <c r="M461" t="s">
        <v>2333</v>
      </c>
    </row>
    <row r="462" spans="3:13">
      <c r="C462">
        <v>461</v>
      </c>
      <c r="D462" t="s">
        <v>495</v>
      </c>
      <c r="E462" t="s">
        <v>495</v>
      </c>
      <c r="F462">
        <v>0.5</v>
      </c>
      <c r="G462">
        <v>0.5</v>
      </c>
      <c r="J462">
        <v>459</v>
      </c>
      <c r="K462" t="s">
        <v>493</v>
      </c>
      <c r="L462" t="s">
        <v>493</v>
      </c>
      <c r="M462" t="s">
        <v>14</v>
      </c>
    </row>
    <row r="463" spans="3:13">
      <c r="C463">
        <v>462</v>
      </c>
      <c r="D463" t="s">
        <v>496</v>
      </c>
      <c r="E463" t="s">
        <v>496</v>
      </c>
      <c r="F463" s="123" t="s">
        <v>1109</v>
      </c>
      <c r="G463" s="123" t="s">
        <v>1109</v>
      </c>
      <c r="J463">
        <v>795</v>
      </c>
      <c r="K463" t="s">
        <v>2302</v>
      </c>
      <c r="L463" t="s">
        <v>2302</v>
      </c>
      <c r="M463" t="s">
        <v>2333</v>
      </c>
    </row>
    <row r="464" spans="3:13">
      <c r="C464">
        <v>463</v>
      </c>
      <c r="D464" t="s">
        <v>497</v>
      </c>
      <c r="E464" t="s">
        <v>497</v>
      </c>
      <c r="F464">
        <v>0.5</v>
      </c>
      <c r="G464">
        <v>0.5</v>
      </c>
      <c r="J464">
        <v>460</v>
      </c>
      <c r="K464" t="s">
        <v>494</v>
      </c>
      <c r="L464" t="s">
        <v>494</v>
      </c>
      <c r="M464" t="s">
        <v>14</v>
      </c>
    </row>
    <row r="465" spans="3:13">
      <c r="C465">
        <v>464</v>
      </c>
      <c r="D465" t="s">
        <v>498</v>
      </c>
      <c r="E465" t="s">
        <v>498</v>
      </c>
      <c r="F465">
        <v>0.5</v>
      </c>
      <c r="G465">
        <v>0.5</v>
      </c>
      <c r="J465">
        <v>461</v>
      </c>
      <c r="K465" t="s">
        <v>495</v>
      </c>
      <c r="L465" t="s">
        <v>495</v>
      </c>
      <c r="M465" t="s">
        <v>2332</v>
      </c>
    </row>
    <row r="466" spans="3:13">
      <c r="C466">
        <v>465</v>
      </c>
      <c r="D466" t="s">
        <v>499</v>
      </c>
      <c r="E466" t="s">
        <v>499</v>
      </c>
      <c r="F466">
        <v>0.5</v>
      </c>
      <c r="G466">
        <v>0.5</v>
      </c>
      <c r="J466">
        <v>462</v>
      </c>
      <c r="K466" t="s">
        <v>496</v>
      </c>
      <c r="L466" t="s">
        <v>496</v>
      </c>
      <c r="M466" t="s">
        <v>2112</v>
      </c>
    </row>
    <row r="467" spans="3:13">
      <c r="C467">
        <v>466</v>
      </c>
      <c r="D467" t="s">
        <v>500</v>
      </c>
      <c r="E467" t="s">
        <v>500</v>
      </c>
      <c r="F467">
        <v>0.75</v>
      </c>
      <c r="G467">
        <v>0.25</v>
      </c>
      <c r="J467">
        <v>157</v>
      </c>
      <c r="K467" t="s">
        <v>184</v>
      </c>
      <c r="L467" t="s">
        <v>184</v>
      </c>
      <c r="M467" t="s">
        <v>2332</v>
      </c>
    </row>
    <row r="468" spans="3:13">
      <c r="C468">
        <v>467</v>
      </c>
      <c r="D468" t="s">
        <v>501</v>
      </c>
      <c r="E468" t="s">
        <v>501</v>
      </c>
      <c r="F468">
        <v>0.75</v>
      </c>
      <c r="G468">
        <v>0.25</v>
      </c>
      <c r="J468">
        <v>158</v>
      </c>
      <c r="K468" t="s">
        <v>185</v>
      </c>
      <c r="L468" t="s">
        <v>185</v>
      </c>
      <c r="M468" t="s">
        <v>2331</v>
      </c>
    </row>
    <row r="469" spans="3:13">
      <c r="C469">
        <v>468</v>
      </c>
      <c r="D469" t="s">
        <v>502</v>
      </c>
      <c r="E469" t="s">
        <v>502</v>
      </c>
      <c r="F469">
        <v>0.85</v>
      </c>
      <c r="G469">
        <v>0.15</v>
      </c>
      <c r="J469">
        <v>83</v>
      </c>
      <c r="K469" t="s">
        <v>108</v>
      </c>
      <c r="L469" t="s">
        <v>108</v>
      </c>
      <c r="M469" t="s">
        <v>22</v>
      </c>
    </row>
    <row r="470" spans="3:13">
      <c r="C470">
        <v>469</v>
      </c>
      <c r="D470" t="s">
        <v>2140</v>
      </c>
      <c r="E470" t="s">
        <v>2140</v>
      </c>
      <c r="F470">
        <v>0.5</v>
      </c>
      <c r="G470">
        <v>0.5</v>
      </c>
      <c r="J470">
        <v>463</v>
      </c>
      <c r="K470" t="s">
        <v>497</v>
      </c>
      <c r="L470" t="s">
        <v>497</v>
      </c>
      <c r="M470" t="s">
        <v>2330</v>
      </c>
    </row>
    <row r="471" spans="3:13">
      <c r="C471">
        <v>470</v>
      </c>
      <c r="D471" t="s">
        <v>503</v>
      </c>
      <c r="E471" t="s">
        <v>503</v>
      </c>
      <c r="F471">
        <v>0.85</v>
      </c>
      <c r="G471">
        <v>0.15</v>
      </c>
      <c r="J471">
        <v>84</v>
      </c>
      <c r="K471" t="s">
        <v>109</v>
      </c>
      <c r="L471" t="s">
        <v>109</v>
      </c>
      <c r="M471" t="s">
        <v>22</v>
      </c>
    </row>
    <row r="472" spans="3:13">
      <c r="C472">
        <v>471</v>
      </c>
      <c r="D472" t="s">
        <v>504</v>
      </c>
      <c r="E472" t="s">
        <v>504</v>
      </c>
      <c r="F472">
        <v>0.85</v>
      </c>
      <c r="G472">
        <v>0.15</v>
      </c>
      <c r="J472">
        <v>85</v>
      </c>
      <c r="K472" t="s">
        <v>110</v>
      </c>
      <c r="L472" t="s">
        <v>110</v>
      </c>
      <c r="M472" t="s">
        <v>22</v>
      </c>
    </row>
    <row r="473" spans="3:13">
      <c r="C473">
        <v>472</v>
      </c>
      <c r="D473" t="s">
        <v>505</v>
      </c>
      <c r="E473" t="s">
        <v>505</v>
      </c>
      <c r="F473">
        <v>0.5</v>
      </c>
      <c r="G473">
        <v>0.5</v>
      </c>
      <c r="J473">
        <v>464</v>
      </c>
      <c r="K473" t="s">
        <v>498</v>
      </c>
      <c r="L473" t="s">
        <v>498</v>
      </c>
      <c r="M473" t="s">
        <v>2332</v>
      </c>
    </row>
    <row r="474" spans="3:13">
      <c r="C474">
        <v>473</v>
      </c>
      <c r="D474" t="s">
        <v>506</v>
      </c>
      <c r="E474" t="s">
        <v>506</v>
      </c>
      <c r="F474">
        <v>0.5</v>
      </c>
      <c r="G474">
        <v>0.5</v>
      </c>
      <c r="J474">
        <v>465</v>
      </c>
      <c r="K474" t="s">
        <v>499</v>
      </c>
      <c r="L474" t="s">
        <v>499</v>
      </c>
      <c r="M474" t="s">
        <v>14</v>
      </c>
    </row>
    <row r="475" spans="3:13">
      <c r="C475">
        <v>474</v>
      </c>
      <c r="D475" t="s">
        <v>507</v>
      </c>
      <c r="E475" t="s">
        <v>507</v>
      </c>
      <c r="F475" s="123" t="s">
        <v>1109</v>
      </c>
      <c r="G475" s="123" t="s">
        <v>1109</v>
      </c>
      <c r="J475">
        <v>796</v>
      </c>
      <c r="K475" t="s">
        <v>2303</v>
      </c>
      <c r="L475" t="s">
        <v>2303</v>
      </c>
      <c r="M475" t="s">
        <v>2333</v>
      </c>
    </row>
    <row r="476" spans="3:13">
      <c r="C476">
        <v>475</v>
      </c>
      <c r="D476" t="s">
        <v>508</v>
      </c>
      <c r="E476" t="s">
        <v>508</v>
      </c>
      <c r="F476">
        <v>1</v>
      </c>
      <c r="G476">
        <v>0</v>
      </c>
      <c r="J476">
        <v>10</v>
      </c>
      <c r="K476" t="s">
        <v>28</v>
      </c>
      <c r="L476" t="s">
        <v>28</v>
      </c>
      <c r="M476" t="s">
        <v>29</v>
      </c>
    </row>
    <row r="477" spans="3:13">
      <c r="C477">
        <v>476</v>
      </c>
      <c r="D477" t="s">
        <v>509</v>
      </c>
      <c r="E477" t="s">
        <v>509</v>
      </c>
      <c r="F477">
        <v>0.5</v>
      </c>
      <c r="G477">
        <v>0.5</v>
      </c>
      <c r="J477">
        <v>466</v>
      </c>
      <c r="K477" t="s">
        <v>500</v>
      </c>
      <c r="L477" t="s">
        <v>500</v>
      </c>
      <c r="M477" t="s">
        <v>2334</v>
      </c>
    </row>
    <row r="478" spans="3:13">
      <c r="C478">
        <v>477</v>
      </c>
      <c r="D478" t="s">
        <v>510</v>
      </c>
      <c r="E478" t="s">
        <v>510</v>
      </c>
      <c r="F478">
        <v>0.5</v>
      </c>
      <c r="G478">
        <v>0.5</v>
      </c>
      <c r="J478">
        <v>467</v>
      </c>
      <c r="K478" t="s">
        <v>501</v>
      </c>
      <c r="L478" t="s">
        <v>501</v>
      </c>
      <c r="M478" t="s">
        <v>2334</v>
      </c>
    </row>
    <row r="479" spans="3:13">
      <c r="C479">
        <v>478</v>
      </c>
      <c r="D479" t="s">
        <v>511</v>
      </c>
      <c r="E479" t="s">
        <v>511</v>
      </c>
      <c r="F479">
        <v>0</v>
      </c>
      <c r="G479">
        <v>1</v>
      </c>
      <c r="J479">
        <v>754</v>
      </c>
      <c r="K479" t="s">
        <v>2194</v>
      </c>
      <c r="L479" t="s">
        <v>2194</v>
      </c>
      <c r="M479" t="s">
        <v>14</v>
      </c>
    </row>
    <row r="480" spans="3:13">
      <c r="C480">
        <v>479</v>
      </c>
      <c r="D480" t="s">
        <v>512</v>
      </c>
      <c r="E480" t="s">
        <v>512</v>
      </c>
      <c r="F480" s="123" t="s">
        <v>1109</v>
      </c>
      <c r="G480" s="123" t="s">
        <v>1109</v>
      </c>
      <c r="J480">
        <v>797</v>
      </c>
      <c r="K480" t="s">
        <v>2304</v>
      </c>
      <c r="L480" t="s">
        <v>2304</v>
      </c>
      <c r="M480" t="s">
        <v>2333</v>
      </c>
    </row>
    <row r="481" spans="3:13">
      <c r="C481">
        <v>480</v>
      </c>
      <c r="D481" t="s">
        <v>518</v>
      </c>
      <c r="E481" t="s">
        <v>518</v>
      </c>
      <c r="F481" s="123" t="s">
        <v>1109</v>
      </c>
      <c r="G481" s="123" t="s">
        <v>1109</v>
      </c>
      <c r="J481">
        <v>833</v>
      </c>
      <c r="K481" t="s">
        <v>2229</v>
      </c>
      <c r="L481" t="s">
        <v>2229</v>
      </c>
      <c r="M481" t="s">
        <v>2331</v>
      </c>
    </row>
    <row r="482" spans="3:13">
      <c r="C482">
        <v>481</v>
      </c>
      <c r="D482" t="s">
        <v>519</v>
      </c>
      <c r="E482" t="s">
        <v>519</v>
      </c>
      <c r="F482" s="123" t="s">
        <v>1109</v>
      </c>
      <c r="G482" s="123" t="s">
        <v>1109</v>
      </c>
      <c r="J482">
        <v>834</v>
      </c>
      <c r="K482" t="s">
        <v>2230</v>
      </c>
      <c r="L482" t="s">
        <v>2230</v>
      </c>
      <c r="M482" t="s">
        <v>2331</v>
      </c>
    </row>
    <row r="483" spans="3:13">
      <c r="C483">
        <v>482</v>
      </c>
      <c r="D483" t="s">
        <v>520</v>
      </c>
      <c r="E483" t="s">
        <v>520</v>
      </c>
      <c r="F483" s="123" t="s">
        <v>1109</v>
      </c>
      <c r="G483" s="123" t="s">
        <v>1109</v>
      </c>
      <c r="J483">
        <v>835</v>
      </c>
      <c r="K483" t="s">
        <v>2231</v>
      </c>
      <c r="L483" t="s">
        <v>2231</v>
      </c>
      <c r="M483" t="s">
        <v>2332</v>
      </c>
    </row>
    <row r="484" spans="3:13">
      <c r="C484">
        <v>483</v>
      </c>
      <c r="D484" t="s">
        <v>521</v>
      </c>
      <c r="E484" t="s">
        <v>521</v>
      </c>
      <c r="F484" s="123" t="s">
        <v>1109</v>
      </c>
      <c r="G484" s="123" t="s">
        <v>1109</v>
      </c>
      <c r="J484">
        <v>836</v>
      </c>
      <c r="K484" t="s">
        <v>2232</v>
      </c>
      <c r="L484" t="s">
        <v>2232</v>
      </c>
      <c r="M484" t="s">
        <v>2332</v>
      </c>
    </row>
    <row r="485" spans="3:13">
      <c r="C485">
        <v>484</v>
      </c>
      <c r="D485" t="s">
        <v>522</v>
      </c>
      <c r="E485" t="s">
        <v>522</v>
      </c>
      <c r="F485" s="123" t="s">
        <v>1109</v>
      </c>
      <c r="G485" s="123" t="s">
        <v>1109</v>
      </c>
      <c r="J485">
        <v>837</v>
      </c>
      <c r="K485" t="s">
        <v>2233</v>
      </c>
      <c r="L485" t="s">
        <v>2233</v>
      </c>
      <c r="M485" t="s">
        <v>2112</v>
      </c>
    </row>
    <row r="486" spans="3:13">
      <c r="C486">
        <v>485</v>
      </c>
      <c r="D486" t="s">
        <v>523</v>
      </c>
      <c r="E486" t="s">
        <v>523</v>
      </c>
      <c r="F486">
        <v>0.5</v>
      </c>
      <c r="G486">
        <v>0.5</v>
      </c>
      <c r="J486">
        <v>716</v>
      </c>
      <c r="K486" t="s">
        <v>764</v>
      </c>
      <c r="L486" t="s">
        <v>764</v>
      </c>
      <c r="M486" t="s">
        <v>2333</v>
      </c>
    </row>
    <row r="487" spans="3:13">
      <c r="C487">
        <v>486</v>
      </c>
      <c r="D487" t="s">
        <v>524</v>
      </c>
      <c r="E487" t="s">
        <v>524</v>
      </c>
      <c r="F487" s="123" t="s">
        <v>1109</v>
      </c>
      <c r="G487" s="123" t="s">
        <v>1109</v>
      </c>
      <c r="J487">
        <v>838</v>
      </c>
      <c r="K487" t="s">
        <v>2234</v>
      </c>
      <c r="L487" t="s">
        <v>2234</v>
      </c>
      <c r="M487" t="s">
        <v>2112</v>
      </c>
    </row>
    <row r="488" spans="3:13">
      <c r="C488">
        <v>487</v>
      </c>
      <c r="D488" t="s">
        <v>2139</v>
      </c>
      <c r="E488" t="s">
        <v>2139</v>
      </c>
      <c r="F488" s="123" t="s">
        <v>1109</v>
      </c>
      <c r="G488" s="123" t="s">
        <v>1109</v>
      </c>
      <c r="J488">
        <v>839</v>
      </c>
      <c r="K488" t="s">
        <v>2235</v>
      </c>
      <c r="L488" t="s">
        <v>2235</v>
      </c>
      <c r="M488" t="s">
        <v>2112</v>
      </c>
    </row>
    <row r="489" spans="3:13">
      <c r="C489">
        <v>488</v>
      </c>
      <c r="D489" t="s">
        <v>527</v>
      </c>
      <c r="E489" t="s">
        <v>527</v>
      </c>
      <c r="F489">
        <v>0</v>
      </c>
      <c r="G489">
        <v>1</v>
      </c>
      <c r="J489">
        <v>776</v>
      </c>
      <c r="K489" t="s">
        <v>2207</v>
      </c>
      <c r="L489" t="s">
        <v>2207</v>
      </c>
      <c r="M489" t="s">
        <v>23</v>
      </c>
    </row>
    <row r="490" spans="3:13">
      <c r="C490">
        <v>489</v>
      </c>
      <c r="D490" t="s">
        <v>528</v>
      </c>
      <c r="E490" t="s">
        <v>528</v>
      </c>
      <c r="F490" s="123" t="s">
        <v>1109</v>
      </c>
      <c r="G490" s="123" t="s">
        <v>1109</v>
      </c>
      <c r="J490">
        <v>798</v>
      </c>
      <c r="K490" t="s">
        <v>2305</v>
      </c>
      <c r="L490" t="s">
        <v>2305</v>
      </c>
      <c r="M490" t="s">
        <v>2333</v>
      </c>
    </row>
    <row r="491" spans="3:13">
      <c r="C491">
        <v>490</v>
      </c>
      <c r="D491" t="s">
        <v>529</v>
      </c>
      <c r="E491" t="s">
        <v>529</v>
      </c>
      <c r="F491" s="123" t="s">
        <v>1109</v>
      </c>
      <c r="G491" s="123" t="s">
        <v>1109</v>
      </c>
      <c r="J491">
        <v>799</v>
      </c>
      <c r="K491" t="s">
        <v>2306</v>
      </c>
      <c r="L491" t="s">
        <v>2306</v>
      </c>
      <c r="M491" t="s">
        <v>2333</v>
      </c>
    </row>
    <row r="492" spans="3:13">
      <c r="C492">
        <v>491</v>
      </c>
      <c r="D492" t="s">
        <v>530</v>
      </c>
      <c r="E492" t="s">
        <v>530</v>
      </c>
      <c r="F492" s="123" t="s">
        <v>1109</v>
      </c>
      <c r="G492" s="123" t="s">
        <v>1109</v>
      </c>
      <c r="J492">
        <v>840</v>
      </c>
      <c r="K492" t="s">
        <v>2236</v>
      </c>
      <c r="L492" t="s">
        <v>2236</v>
      </c>
      <c r="M492" t="s">
        <v>23</v>
      </c>
    </row>
    <row r="493" spans="3:13">
      <c r="C493">
        <v>492</v>
      </c>
      <c r="D493" t="s">
        <v>2138</v>
      </c>
      <c r="E493" t="s">
        <v>2138</v>
      </c>
      <c r="F493" s="123" t="s">
        <v>1109</v>
      </c>
      <c r="G493" s="123" t="s">
        <v>1109</v>
      </c>
      <c r="J493">
        <v>841</v>
      </c>
      <c r="K493" t="s">
        <v>2237</v>
      </c>
      <c r="L493" t="s">
        <v>2237</v>
      </c>
      <c r="M493" t="s">
        <v>23</v>
      </c>
    </row>
    <row r="494" spans="3:13">
      <c r="C494">
        <v>493</v>
      </c>
      <c r="D494" t="s">
        <v>533</v>
      </c>
      <c r="E494" t="s">
        <v>533</v>
      </c>
      <c r="F494" s="123" t="s">
        <v>1109</v>
      </c>
      <c r="G494" s="123" t="s">
        <v>1109</v>
      </c>
      <c r="J494">
        <v>842</v>
      </c>
      <c r="K494" t="s">
        <v>2238</v>
      </c>
      <c r="L494" t="s">
        <v>2238</v>
      </c>
      <c r="M494" t="s">
        <v>23</v>
      </c>
    </row>
    <row r="495" spans="3:13">
      <c r="C495">
        <v>494</v>
      </c>
      <c r="D495" t="s">
        <v>534</v>
      </c>
      <c r="E495" t="s">
        <v>534</v>
      </c>
      <c r="F495" s="123" t="s">
        <v>1109</v>
      </c>
      <c r="G495" s="123" t="s">
        <v>1109</v>
      </c>
      <c r="J495">
        <v>843</v>
      </c>
      <c r="K495" t="s">
        <v>2239</v>
      </c>
      <c r="L495" t="s">
        <v>2239</v>
      </c>
      <c r="M495" t="s">
        <v>2332</v>
      </c>
    </row>
    <row r="496" spans="3:13">
      <c r="C496">
        <v>495</v>
      </c>
      <c r="D496" t="s">
        <v>535</v>
      </c>
      <c r="E496" t="s">
        <v>535</v>
      </c>
      <c r="F496">
        <v>0.85</v>
      </c>
      <c r="G496">
        <v>0.15</v>
      </c>
      <c r="J496">
        <v>86</v>
      </c>
      <c r="K496" t="s">
        <v>111</v>
      </c>
      <c r="L496" t="s">
        <v>111</v>
      </c>
      <c r="M496" t="s">
        <v>2335</v>
      </c>
    </row>
    <row r="497" spans="3:13">
      <c r="C497">
        <v>496</v>
      </c>
      <c r="D497" t="s">
        <v>536</v>
      </c>
      <c r="E497" t="s">
        <v>536</v>
      </c>
      <c r="F497">
        <v>0.85</v>
      </c>
      <c r="G497">
        <v>0.15</v>
      </c>
      <c r="J497">
        <v>87</v>
      </c>
      <c r="K497" t="s">
        <v>112</v>
      </c>
      <c r="L497" t="s">
        <v>112</v>
      </c>
      <c r="M497" t="s">
        <v>2335</v>
      </c>
    </row>
    <row r="498" spans="3:13">
      <c r="C498">
        <v>497</v>
      </c>
      <c r="D498" t="s">
        <v>537</v>
      </c>
      <c r="E498" t="s">
        <v>537</v>
      </c>
      <c r="F498">
        <v>0.85</v>
      </c>
      <c r="G498">
        <v>0.15</v>
      </c>
      <c r="J498">
        <v>88</v>
      </c>
      <c r="K498" t="s">
        <v>114</v>
      </c>
      <c r="L498" t="s">
        <v>114</v>
      </c>
      <c r="M498" t="s">
        <v>2336</v>
      </c>
    </row>
    <row r="499" spans="3:13">
      <c r="C499">
        <v>498</v>
      </c>
      <c r="D499" t="s">
        <v>538</v>
      </c>
      <c r="E499" t="s">
        <v>538</v>
      </c>
      <c r="F499">
        <v>0.85</v>
      </c>
      <c r="G499">
        <v>0.15</v>
      </c>
      <c r="J499">
        <v>89</v>
      </c>
      <c r="K499" t="s">
        <v>115</v>
      </c>
      <c r="L499" t="s">
        <v>115</v>
      </c>
      <c r="M499" t="s">
        <v>2336</v>
      </c>
    </row>
    <row r="500" spans="3:13">
      <c r="C500">
        <v>499</v>
      </c>
      <c r="D500" t="s">
        <v>539</v>
      </c>
      <c r="E500" t="s">
        <v>539</v>
      </c>
      <c r="F500">
        <v>0.85</v>
      </c>
      <c r="G500">
        <v>0.15</v>
      </c>
      <c r="J500">
        <v>90</v>
      </c>
      <c r="K500" t="s">
        <v>116</v>
      </c>
      <c r="L500" t="s">
        <v>116</v>
      </c>
      <c r="M500" t="s">
        <v>2335</v>
      </c>
    </row>
    <row r="501" spans="3:13">
      <c r="C501">
        <v>500</v>
      </c>
      <c r="D501" t="s">
        <v>540</v>
      </c>
      <c r="E501" t="s">
        <v>540</v>
      </c>
      <c r="F501">
        <v>0.85</v>
      </c>
      <c r="G501">
        <v>0.15</v>
      </c>
      <c r="J501">
        <v>91</v>
      </c>
      <c r="K501" t="s">
        <v>117</v>
      </c>
      <c r="L501" t="s">
        <v>117</v>
      </c>
      <c r="M501" t="s">
        <v>2337</v>
      </c>
    </row>
    <row r="502" spans="3:13">
      <c r="C502">
        <v>501</v>
      </c>
      <c r="D502" t="s">
        <v>541</v>
      </c>
      <c r="E502" t="s">
        <v>541</v>
      </c>
      <c r="F502">
        <v>0.85</v>
      </c>
      <c r="G502">
        <v>0.15</v>
      </c>
      <c r="J502">
        <v>92</v>
      </c>
      <c r="K502" t="s">
        <v>118</v>
      </c>
      <c r="L502" t="s">
        <v>118</v>
      </c>
      <c r="M502" t="s">
        <v>2336</v>
      </c>
    </row>
    <row r="503" spans="3:13">
      <c r="C503">
        <v>502</v>
      </c>
      <c r="D503" t="s">
        <v>542</v>
      </c>
      <c r="E503" t="s">
        <v>542</v>
      </c>
      <c r="F503">
        <v>0.85</v>
      </c>
      <c r="G503">
        <v>0.15</v>
      </c>
      <c r="J503">
        <v>93</v>
      </c>
      <c r="K503" t="s">
        <v>120</v>
      </c>
      <c r="L503" t="s">
        <v>120</v>
      </c>
      <c r="M503" t="s">
        <v>2336</v>
      </c>
    </row>
    <row r="504" spans="3:13">
      <c r="C504">
        <v>503</v>
      </c>
      <c r="D504" t="s">
        <v>543</v>
      </c>
      <c r="E504" t="s">
        <v>543</v>
      </c>
      <c r="F504">
        <v>0.85</v>
      </c>
      <c r="G504">
        <v>0.15</v>
      </c>
      <c r="J504">
        <v>94</v>
      </c>
      <c r="K504" t="s">
        <v>121</v>
      </c>
      <c r="L504" t="s">
        <v>121</v>
      </c>
      <c r="M504" t="s">
        <v>2336</v>
      </c>
    </row>
    <row r="505" spans="3:13">
      <c r="C505">
        <v>504</v>
      </c>
      <c r="D505" t="s">
        <v>544</v>
      </c>
      <c r="E505" t="s">
        <v>544</v>
      </c>
      <c r="F505">
        <v>0.5</v>
      </c>
      <c r="G505">
        <v>0.5</v>
      </c>
      <c r="J505">
        <v>468</v>
      </c>
      <c r="K505" t="s">
        <v>502</v>
      </c>
      <c r="L505" t="s">
        <v>502</v>
      </c>
      <c r="M505" t="s">
        <v>56</v>
      </c>
    </row>
    <row r="506" spans="3:13">
      <c r="C506">
        <v>505</v>
      </c>
      <c r="D506" t="s">
        <v>545</v>
      </c>
      <c r="E506" t="s">
        <v>545</v>
      </c>
      <c r="F506">
        <v>0.5</v>
      </c>
      <c r="G506">
        <v>0.5</v>
      </c>
      <c r="J506">
        <v>469</v>
      </c>
      <c r="K506" t="s">
        <v>2140</v>
      </c>
      <c r="L506" t="s">
        <v>2140</v>
      </c>
      <c r="M506" t="s">
        <v>29</v>
      </c>
    </row>
    <row r="507" spans="3:13">
      <c r="C507">
        <v>506</v>
      </c>
      <c r="D507" t="s">
        <v>546</v>
      </c>
      <c r="E507" t="s">
        <v>546</v>
      </c>
      <c r="F507">
        <v>0.5</v>
      </c>
      <c r="G507">
        <v>0.5</v>
      </c>
      <c r="J507">
        <v>470</v>
      </c>
      <c r="K507" t="s">
        <v>503</v>
      </c>
      <c r="L507" t="s">
        <v>503</v>
      </c>
      <c r="M507" t="s">
        <v>2332</v>
      </c>
    </row>
    <row r="508" spans="3:13">
      <c r="C508">
        <v>507</v>
      </c>
      <c r="D508" t="s">
        <v>547</v>
      </c>
      <c r="E508" t="s">
        <v>547</v>
      </c>
      <c r="F508">
        <v>0.5</v>
      </c>
      <c r="G508">
        <v>0.5</v>
      </c>
      <c r="J508">
        <v>471</v>
      </c>
      <c r="K508" t="s">
        <v>504</v>
      </c>
      <c r="L508" t="s">
        <v>504</v>
      </c>
      <c r="M508" t="s">
        <v>2332</v>
      </c>
    </row>
    <row r="509" spans="3:13">
      <c r="C509">
        <v>508</v>
      </c>
      <c r="D509" t="s">
        <v>548</v>
      </c>
      <c r="E509" t="s">
        <v>548</v>
      </c>
      <c r="F509">
        <v>0.5</v>
      </c>
      <c r="G509">
        <v>0.5</v>
      </c>
      <c r="J509">
        <v>472</v>
      </c>
      <c r="K509" t="s">
        <v>505</v>
      </c>
      <c r="L509" t="s">
        <v>505</v>
      </c>
      <c r="M509" t="s">
        <v>29</v>
      </c>
    </row>
    <row r="510" spans="3:13">
      <c r="C510">
        <v>509</v>
      </c>
      <c r="D510" t="s">
        <v>549</v>
      </c>
      <c r="E510" t="s">
        <v>549</v>
      </c>
      <c r="F510">
        <v>0.5</v>
      </c>
      <c r="G510">
        <v>0.5</v>
      </c>
      <c r="J510">
        <v>473</v>
      </c>
      <c r="K510" t="s">
        <v>506</v>
      </c>
      <c r="L510" t="s">
        <v>506</v>
      </c>
      <c r="M510" t="s">
        <v>2332</v>
      </c>
    </row>
    <row r="511" spans="3:13">
      <c r="C511">
        <v>510</v>
      </c>
      <c r="D511" t="s">
        <v>550</v>
      </c>
      <c r="E511" t="s">
        <v>550</v>
      </c>
      <c r="F511">
        <v>0.5</v>
      </c>
      <c r="G511">
        <v>0.5</v>
      </c>
      <c r="J511">
        <v>474</v>
      </c>
      <c r="K511" t="s">
        <v>507</v>
      </c>
      <c r="L511" t="s">
        <v>507</v>
      </c>
      <c r="M511" t="s">
        <v>2112</v>
      </c>
    </row>
    <row r="512" spans="3:13">
      <c r="C512">
        <v>511</v>
      </c>
      <c r="D512" t="s">
        <v>551</v>
      </c>
      <c r="E512" t="s">
        <v>551</v>
      </c>
      <c r="F512">
        <v>0.85</v>
      </c>
      <c r="G512">
        <v>0.15</v>
      </c>
      <c r="J512">
        <v>95</v>
      </c>
      <c r="K512" t="s">
        <v>122</v>
      </c>
      <c r="L512" t="s">
        <v>122</v>
      </c>
      <c r="M512" t="s">
        <v>2112</v>
      </c>
    </row>
    <row r="513" spans="3:13">
      <c r="C513">
        <v>512</v>
      </c>
      <c r="D513" t="s">
        <v>552</v>
      </c>
      <c r="E513" t="s">
        <v>552</v>
      </c>
      <c r="F513">
        <v>0.85</v>
      </c>
      <c r="G513">
        <v>0.15</v>
      </c>
      <c r="J513">
        <v>96</v>
      </c>
      <c r="K513" t="s">
        <v>123</v>
      </c>
      <c r="L513" t="s">
        <v>123</v>
      </c>
      <c r="M513" t="s">
        <v>2334</v>
      </c>
    </row>
    <row r="514" spans="3:13">
      <c r="C514">
        <v>513</v>
      </c>
      <c r="D514" t="s">
        <v>553</v>
      </c>
      <c r="E514" t="s">
        <v>553</v>
      </c>
      <c r="F514">
        <v>0.85</v>
      </c>
      <c r="G514">
        <v>0.15</v>
      </c>
      <c r="J514">
        <v>97</v>
      </c>
      <c r="K514" t="s">
        <v>124</v>
      </c>
      <c r="L514" t="s">
        <v>124</v>
      </c>
      <c r="M514" t="s">
        <v>2334</v>
      </c>
    </row>
    <row r="515" spans="3:13">
      <c r="C515">
        <v>514</v>
      </c>
      <c r="D515" t="s">
        <v>554</v>
      </c>
      <c r="E515" t="s">
        <v>554</v>
      </c>
      <c r="F515">
        <v>0.85</v>
      </c>
      <c r="G515">
        <v>0.15</v>
      </c>
      <c r="J515">
        <v>98</v>
      </c>
      <c r="K515" t="s">
        <v>125</v>
      </c>
      <c r="L515" t="s">
        <v>125</v>
      </c>
      <c r="M515" t="s">
        <v>2335</v>
      </c>
    </row>
    <row r="516" spans="3:13">
      <c r="C516">
        <v>515</v>
      </c>
      <c r="D516" t="s">
        <v>555</v>
      </c>
      <c r="E516" t="s">
        <v>555</v>
      </c>
      <c r="F516">
        <v>0.85</v>
      </c>
      <c r="G516">
        <v>0.15</v>
      </c>
      <c r="J516">
        <v>99</v>
      </c>
      <c r="K516" t="s">
        <v>126</v>
      </c>
      <c r="L516" t="s">
        <v>126</v>
      </c>
      <c r="M516" t="s">
        <v>2335</v>
      </c>
    </row>
    <row r="517" spans="3:13">
      <c r="C517">
        <v>516</v>
      </c>
      <c r="D517" t="s">
        <v>556</v>
      </c>
      <c r="E517" t="s">
        <v>556</v>
      </c>
      <c r="F517">
        <v>0.85</v>
      </c>
      <c r="G517">
        <v>0.15</v>
      </c>
      <c r="J517">
        <v>100</v>
      </c>
      <c r="K517" t="s">
        <v>127</v>
      </c>
      <c r="L517" t="s">
        <v>127</v>
      </c>
      <c r="M517" t="s">
        <v>2112</v>
      </c>
    </row>
    <row r="518" spans="3:13">
      <c r="C518">
        <v>517</v>
      </c>
      <c r="D518" t="s">
        <v>557</v>
      </c>
      <c r="E518" t="s">
        <v>557</v>
      </c>
      <c r="F518">
        <v>0.5</v>
      </c>
      <c r="G518">
        <v>0.5</v>
      </c>
      <c r="J518">
        <v>475</v>
      </c>
      <c r="K518" t="s">
        <v>508</v>
      </c>
      <c r="L518" t="s">
        <v>508</v>
      </c>
      <c r="M518" t="s">
        <v>2334</v>
      </c>
    </row>
    <row r="519" spans="3:13">
      <c r="C519">
        <v>518</v>
      </c>
      <c r="D519" t="s">
        <v>558</v>
      </c>
      <c r="E519" t="s">
        <v>558</v>
      </c>
      <c r="F519">
        <v>0.5</v>
      </c>
      <c r="G519">
        <v>0.5</v>
      </c>
      <c r="J519">
        <v>476</v>
      </c>
      <c r="K519" t="s">
        <v>509</v>
      </c>
      <c r="L519" t="s">
        <v>509</v>
      </c>
      <c r="M519" t="s">
        <v>2112</v>
      </c>
    </row>
    <row r="520" spans="3:13">
      <c r="C520">
        <v>519</v>
      </c>
      <c r="D520" t="s">
        <v>559</v>
      </c>
      <c r="E520" t="s">
        <v>559</v>
      </c>
      <c r="F520">
        <v>0.5</v>
      </c>
      <c r="G520">
        <v>0.5</v>
      </c>
      <c r="J520">
        <v>477</v>
      </c>
      <c r="K520" t="s">
        <v>510</v>
      </c>
      <c r="L520" t="s">
        <v>510</v>
      </c>
      <c r="M520" t="s">
        <v>2336</v>
      </c>
    </row>
    <row r="521" spans="3:13">
      <c r="C521">
        <v>520</v>
      </c>
      <c r="D521" t="s">
        <v>560</v>
      </c>
      <c r="E521" t="s">
        <v>560</v>
      </c>
      <c r="F521">
        <v>0.5</v>
      </c>
      <c r="G521">
        <v>0.5</v>
      </c>
      <c r="J521">
        <v>478</v>
      </c>
      <c r="K521" t="s">
        <v>511</v>
      </c>
      <c r="L521" t="s">
        <v>511</v>
      </c>
      <c r="M521" t="s">
        <v>56</v>
      </c>
    </row>
    <row r="522" spans="3:13">
      <c r="C522">
        <v>521</v>
      </c>
      <c r="D522" t="s">
        <v>561</v>
      </c>
      <c r="E522" t="s">
        <v>561</v>
      </c>
      <c r="F522">
        <v>0.5</v>
      </c>
      <c r="G522">
        <v>0.5</v>
      </c>
      <c r="J522">
        <v>479</v>
      </c>
      <c r="K522" t="s">
        <v>512</v>
      </c>
      <c r="L522" t="s">
        <v>512</v>
      </c>
      <c r="M522" t="s">
        <v>2336</v>
      </c>
    </row>
    <row r="523" spans="3:13">
      <c r="C523">
        <v>522</v>
      </c>
      <c r="D523" t="s">
        <v>562</v>
      </c>
      <c r="E523" t="s">
        <v>562</v>
      </c>
      <c r="F523">
        <v>0.5</v>
      </c>
      <c r="G523">
        <v>0.5</v>
      </c>
      <c r="J523">
        <v>480</v>
      </c>
      <c r="K523" t="s">
        <v>518</v>
      </c>
      <c r="L523" t="s">
        <v>518</v>
      </c>
      <c r="M523" t="s">
        <v>2333</v>
      </c>
    </row>
    <row r="524" spans="3:13">
      <c r="C524">
        <v>523</v>
      </c>
      <c r="D524" t="s">
        <v>563</v>
      </c>
      <c r="E524" t="s">
        <v>563</v>
      </c>
      <c r="F524">
        <v>0.5</v>
      </c>
      <c r="G524">
        <v>0.5</v>
      </c>
      <c r="J524">
        <v>481</v>
      </c>
      <c r="K524" t="s">
        <v>519</v>
      </c>
      <c r="L524" t="s">
        <v>519</v>
      </c>
      <c r="M524" t="s">
        <v>2333</v>
      </c>
    </row>
    <row r="525" spans="3:13">
      <c r="C525">
        <v>524</v>
      </c>
      <c r="D525" t="s">
        <v>564</v>
      </c>
      <c r="E525" t="s">
        <v>564</v>
      </c>
      <c r="F525">
        <v>0.5</v>
      </c>
      <c r="G525">
        <v>0.5</v>
      </c>
      <c r="J525">
        <v>482</v>
      </c>
      <c r="K525" t="s">
        <v>520</v>
      </c>
      <c r="L525" t="s">
        <v>520</v>
      </c>
      <c r="M525" t="s">
        <v>2333</v>
      </c>
    </row>
    <row r="526" spans="3:13">
      <c r="C526">
        <v>525</v>
      </c>
      <c r="D526" t="s">
        <v>565</v>
      </c>
      <c r="E526" t="s">
        <v>565</v>
      </c>
      <c r="F526">
        <v>0.5</v>
      </c>
      <c r="G526">
        <v>0.5</v>
      </c>
      <c r="J526">
        <v>483</v>
      </c>
      <c r="K526" t="s">
        <v>521</v>
      </c>
      <c r="L526" t="s">
        <v>521</v>
      </c>
      <c r="M526" t="s">
        <v>2333</v>
      </c>
    </row>
    <row r="527" spans="3:13">
      <c r="C527">
        <v>526</v>
      </c>
      <c r="D527" t="s">
        <v>566</v>
      </c>
      <c r="E527" t="s">
        <v>566</v>
      </c>
      <c r="F527">
        <v>0.5</v>
      </c>
      <c r="G527">
        <v>0.5</v>
      </c>
      <c r="J527">
        <v>484</v>
      </c>
      <c r="K527" t="s">
        <v>522</v>
      </c>
      <c r="L527" t="s">
        <v>522</v>
      </c>
      <c r="M527" t="s">
        <v>2333</v>
      </c>
    </row>
    <row r="528" spans="3:13">
      <c r="C528">
        <v>527</v>
      </c>
      <c r="D528" t="s">
        <v>567</v>
      </c>
      <c r="E528" t="s">
        <v>567</v>
      </c>
      <c r="F528">
        <v>0.5</v>
      </c>
      <c r="G528">
        <v>0.5</v>
      </c>
      <c r="J528">
        <v>485</v>
      </c>
      <c r="K528" t="s">
        <v>523</v>
      </c>
      <c r="L528" t="s">
        <v>523</v>
      </c>
      <c r="M528" t="s">
        <v>2333</v>
      </c>
    </row>
    <row r="529" spans="3:13">
      <c r="C529">
        <v>528</v>
      </c>
      <c r="D529" t="s">
        <v>568</v>
      </c>
      <c r="E529" t="s">
        <v>568</v>
      </c>
      <c r="F529">
        <v>0.5</v>
      </c>
      <c r="G529">
        <v>0.5</v>
      </c>
      <c r="J529">
        <v>486</v>
      </c>
      <c r="K529" t="s">
        <v>524</v>
      </c>
      <c r="L529" t="s">
        <v>524</v>
      </c>
      <c r="M529" t="s">
        <v>2333</v>
      </c>
    </row>
    <row r="530" spans="3:13">
      <c r="C530">
        <v>529</v>
      </c>
      <c r="D530" t="s">
        <v>569</v>
      </c>
      <c r="E530" t="s">
        <v>569</v>
      </c>
      <c r="F530">
        <v>0.5</v>
      </c>
      <c r="G530">
        <v>0.5</v>
      </c>
      <c r="J530">
        <v>487</v>
      </c>
      <c r="K530" t="s">
        <v>2139</v>
      </c>
      <c r="L530" t="s">
        <v>2139</v>
      </c>
      <c r="M530" t="s">
        <v>2333</v>
      </c>
    </row>
    <row r="531" spans="3:13">
      <c r="C531">
        <v>530</v>
      </c>
      <c r="D531" t="s">
        <v>570</v>
      </c>
      <c r="E531" t="s">
        <v>570</v>
      </c>
      <c r="F531">
        <v>0.5</v>
      </c>
      <c r="G531">
        <v>0.5</v>
      </c>
      <c r="J531">
        <v>488</v>
      </c>
      <c r="K531" t="s">
        <v>527</v>
      </c>
      <c r="L531" t="s">
        <v>527</v>
      </c>
      <c r="M531" t="s">
        <v>2333</v>
      </c>
    </row>
    <row r="532" spans="3:13">
      <c r="C532">
        <v>531</v>
      </c>
      <c r="D532" t="s">
        <v>571</v>
      </c>
      <c r="E532" t="s">
        <v>571</v>
      </c>
      <c r="F532">
        <v>0.5</v>
      </c>
      <c r="G532">
        <v>0.5</v>
      </c>
      <c r="J532">
        <v>489</v>
      </c>
      <c r="K532" t="s">
        <v>528</v>
      </c>
      <c r="L532" t="s">
        <v>528</v>
      </c>
      <c r="M532" t="s">
        <v>56</v>
      </c>
    </row>
    <row r="533" spans="3:13">
      <c r="C533">
        <v>532</v>
      </c>
      <c r="D533" t="s">
        <v>572</v>
      </c>
      <c r="E533" t="s">
        <v>572</v>
      </c>
      <c r="F533">
        <v>0.75</v>
      </c>
      <c r="G533">
        <v>0.25</v>
      </c>
      <c r="J533">
        <v>159</v>
      </c>
      <c r="K533" t="s">
        <v>186</v>
      </c>
      <c r="L533" t="s">
        <v>186</v>
      </c>
      <c r="M533" t="s">
        <v>2331</v>
      </c>
    </row>
    <row r="534" spans="3:13">
      <c r="C534">
        <v>533</v>
      </c>
      <c r="D534" t="s">
        <v>573</v>
      </c>
      <c r="E534" t="s">
        <v>573</v>
      </c>
      <c r="F534">
        <v>0.75</v>
      </c>
      <c r="G534">
        <v>0.25</v>
      </c>
      <c r="J534">
        <v>160</v>
      </c>
      <c r="K534" t="s">
        <v>187</v>
      </c>
      <c r="L534" t="s">
        <v>187</v>
      </c>
      <c r="M534" t="s">
        <v>2331</v>
      </c>
    </row>
    <row r="535" spans="3:13">
      <c r="C535">
        <v>534</v>
      </c>
      <c r="D535" t="s">
        <v>574</v>
      </c>
      <c r="E535" t="s">
        <v>574</v>
      </c>
      <c r="F535">
        <v>0.75</v>
      </c>
      <c r="G535">
        <v>0.25</v>
      </c>
      <c r="J535">
        <v>161</v>
      </c>
      <c r="K535" t="s">
        <v>188</v>
      </c>
      <c r="L535" t="s">
        <v>188</v>
      </c>
      <c r="M535" t="s">
        <v>2332</v>
      </c>
    </row>
    <row r="536" spans="3:13">
      <c r="C536">
        <v>535</v>
      </c>
      <c r="D536" t="s">
        <v>575</v>
      </c>
      <c r="E536" t="s">
        <v>575</v>
      </c>
      <c r="F536">
        <v>0.5</v>
      </c>
      <c r="G536">
        <v>0.5</v>
      </c>
      <c r="J536">
        <v>490</v>
      </c>
      <c r="K536" t="s">
        <v>529</v>
      </c>
      <c r="L536" t="s">
        <v>529</v>
      </c>
      <c r="M536" t="s">
        <v>56</v>
      </c>
    </row>
    <row r="537" spans="3:13">
      <c r="C537">
        <v>536</v>
      </c>
      <c r="D537" t="s">
        <v>576</v>
      </c>
      <c r="E537" t="s">
        <v>576</v>
      </c>
      <c r="F537">
        <v>0.5</v>
      </c>
      <c r="G537">
        <v>0.5</v>
      </c>
      <c r="J537">
        <v>491</v>
      </c>
      <c r="K537" t="s">
        <v>530</v>
      </c>
      <c r="L537" t="s">
        <v>530</v>
      </c>
      <c r="M537" t="s">
        <v>2333</v>
      </c>
    </row>
    <row r="538" spans="3:13">
      <c r="C538">
        <v>537</v>
      </c>
      <c r="D538" t="s">
        <v>577</v>
      </c>
      <c r="E538" t="s">
        <v>577</v>
      </c>
      <c r="F538">
        <v>0.5</v>
      </c>
      <c r="G538">
        <v>0.5</v>
      </c>
      <c r="J538">
        <v>492</v>
      </c>
      <c r="K538" t="s">
        <v>2138</v>
      </c>
      <c r="L538" t="s">
        <v>2138</v>
      </c>
      <c r="M538" t="s">
        <v>2333</v>
      </c>
    </row>
    <row r="539" spans="3:13">
      <c r="C539">
        <v>538</v>
      </c>
      <c r="D539" t="s">
        <v>578</v>
      </c>
      <c r="E539" t="s">
        <v>578</v>
      </c>
      <c r="F539">
        <v>1</v>
      </c>
      <c r="G539">
        <v>0</v>
      </c>
      <c r="J539">
        <v>11</v>
      </c>
      <c r="K539" t="s">
        <v>30</v>
      </c>
      <c r="L539" t="s">
        <v>30</v>
      </c>
      <c r="M539" t="s">
        <v>29</v>
      </c>
    </row>
    <row r="540" spans="3:13">
      <c r="C540">
        <v>539</v>
      </c>
      <c r="D540" t="s">
        <v>579</v>
      </c>
      <c r="E540" t="s">
        <v>579</v>
      </c>
      <c r="F540">
        <v>1</v>
      </c>
      <c r="G540">
        <v>0</v>
      </c>
      <c r="J540">
        <v>12</v>
      </c>
      <c r="K540" t="s">
        <v>31</v>
      </c>
      <c r="L540" t="s">
        <v>31</v>
      </c>
      <c r="M540" t="s">
        <v>29</v>
      </c>
    </row>
    <row r="541" spans="3:13">
      <c r="C541">
        <v>540</v>
      </c>
      <c r="D541" t="s">
        <v>580</v>
      </c>
      <c r="E541" t="s">
        <v>580</v>
      </c>
      <c r="F541">
        <v>0.5</v>
      </c>
      <c r="G541">
        <v>0.5</v>
      </c>
      <c r="J541">
        <v>493</v>
      </c>
      <c r="K541" t="s">
        <v>533</v>
      </c>
      <c r="L541" t="s">
        <v>533</v>
      </c>
      <c r="M541" t="s">
        <v>2333</v>
      </c>
    </row>
    <row r="542" spans="3:13">
      <c r="C542">
        <v>541</v>
      </c>
      <c r="D542" t="s">
        <v>581</v>
      </c>
      <c r="E542" t="s">
        <v>581</v>
      </c>
      <c r="F542">
        <v>0.5</v>
      </c>
      <c r="G542">
        <v>0.5</v>
      </c>
      <c r="J542">
        <v>494</v>
      </c>
      <c r="K542" t="s">
        <v>534</v>
      </c>
      <c r="L542" t="s">
        <v>534</v>
      </c>
      <c r="M542" t="s">
        <v>2333</v>
      </c>
    </row>
    <row r="543" spans="3:13">
      <c r="C543">
        <v>542</v>
      </c>
      <c r="D543" t="s">
        <v>582</v>
      </c>
      <c r="E543" t="s">
        <v>582</v>
      </c>
      <c r="F543">
        <v>0.5</v>
      </c>
      <c r="G543">
        <v>0.5</v>
      </c>
      <c r="J543">
        <v>495</v>
      </c>
      <c r="K543" t="s">
        <v>535</v>
      </c>
      <c r="L543" t="s">
        <v>535</v>
      </c>
      <c r="M543" t="s">
        <v>2332</v>
      </c>
    </row>
    <row r="544" spans="3:13">
      <c r="C544">
        <v>543</v>
      </c>
      <c r="D544" t="s">
        <v>583</v>
      </c>
      <c r="E544" t="s">
        <v>583</v>
      </c>
      <c r="F544">
        <v>0.5</v>
      </c>
      <c r="G544">
        <v>0.5</v>
      </c>
      <c r="J544">
        <v>496</v>
      </c>
      <c r="K544" t="s">
        <v>536</v>
      </c>
      <c r="L544" t="s">
        <v>536</v>
      </c>
      <c r="M544" t="s">
        <v>2332</v>
      </c>
    </row>
    <row r="545" spans="3:13">
      <c r="C545">
        <v>544</v>
      </c>
      <c r="D545" t="s">
        <v>584</v>
      </c>
      <c r="E545" t="s">
        <v>584</v>
      </c>
      <c r="F545">
        <v>0.5</v>
      </c>
      <c r="G545">
        <v>0.5</v>
      </c>
      <c r="J545">
        <v>497</v>
      </c>
      <c r="K545" t="s">
        <v>537</v>
      </c>
      <c r="L545" t="s">
        <v>537</v>
      </c>
      <c r="M545" t="s">
        <v>2332</v>
      </c>
    </row>
    <row r="546" spans="3:13">
      <c r="C546">
        <v>545</v>
      </c>
      <c r="D546" t="s">
        <v>585</v>
      </c>
      <c r="E546" t="s">
        <v>585</v>
      </c>
      <c r="F546">
        <v>0.5</v>
      </c>
      <c r="G546">
        <v>0.5</v>
      </c>
      <c r="J546">
        <v>498</v>
      </c>
      <c r="K546" t="s">
        <v>538</v>
      </c>
      <c r="L546" t="s">
        <v>538</v>
      </c>
      <c r="M546" t="s">
        <v>2332</v>
      </c>
    </row>
    <row r="547" spans="3:13">
      <c r="C547">
        <v>546</v>
      </c>
      <c r="D547" t="s">
        <v>586</v>
      </c>
      <c r="E547" t="s">
        <v>586</v>
      </c>
      <c r="F547">
        <v>0.5</v>
      </c>
      <c r="G547">
        <v>0.5</v>
      </c>
      <c r="J547">
        <v>499</v>
      </c>
      <c r="K547" t="s">
        <v>539</v>
      </c>
      <c r="L547" t="s">
        <v>539</v>
      </c>
      <c r="M547" t="s">
        <v>2332</v>
      </c>
    </row>
    <row r="548" spans="3:13">
      <c r="C548">
        <v>547</v>
      </c>
      <c r="D548" t="s">
        <v>587</v>
      </c>
      <c r="E548" t="s">
        <v>587</v>
      </c>
      <c r="F548">
        <v>0.5</v>
      </c>
      <c r="G548">
        <v>0.5</v>
      </c>
      <c r="J548">
        <v>500</v>
      </c>
      <c r="K548" t="s">
        <v>540</v>
      </c>
      <c r="L548" t="s">
        <v>540</v>
      </c>
      <c r="M548" t="s">
        <v>2332</v>
      </c>
    </row>
    <row r="549" spans="3:13">
      <c r="C549">
        <v>548</v>
      </c>
      <c r="D549" t="s">
        <v>588</v>
      </c>
      <c r="E549" t="s">
        <v>588</v>
      </c>
      <c r="F549">
        <v>0</v>
      </c>
      <c r="G549">
        <v>1</v>
      </c>
      <c r="J549">
        <v>755</v>
      </c>
      <c r="K549" t="s">
        <v>2195</v>
      </c>
      <c r="L549" t="s">
        <v>2195</v>
      </c>
      <c r="M549" t="s">
        <v>14</v>
      </c>
    </row>
    <row r="550" spans="3:13">
      <c r="C550">
        <v>549</v>
      </c>
      <c r="D550" t="s">
        <v>589</v>
      </c>
      <c r="E550" t="s">
        <v>589</v>
      </c>
      <c r="F550">
        <v>0</v>
      </c>
      <c r="G550">
        <v>1</v>
      </c>
      <c r="J550">
        <v>756</v>
      </c>
      <c r="K550" t="s">
        <v>2196</v>
      </c>
      <c r="L550" t="s">
        <v>2196</v>
      </c>
      <c r="M550" t="s">
        <v>14</v>
      </c>
    </row>
    <row r="551" spans="3:13">
      <c r="C551">
        <v>550</v>
      </c>
      <c r="D551" t="s">
        <v>590</v>
      </c>
      <c r="E551" t="s">
        <v>590</v>
      </c>
      <c r="F551">
        <v>0.5</v>
      </c>
      <c r="G551">
        <v>0.5</v>
      </c>
      <c r="J551">
        <v>501</v>
      </c>
      <c r="K551" t="s">
        <v>541</v>
      </c>
      <c r="L551" t="s">
        <v>541</v>
      </c>
      <c r="M551" t="s">
        <v>2332</v>
      </c>
    </row>
    <row r="552" spans="3:13">
      <c r="C552">
        <v>551</v>
      </c>
      <c r="D552" t="s">
        <v>591</v>
      </c>
      <c r="E552" t="s">
        <v>591</v>
      </c>
      <c r="F552">
        <v>0.5</v>
      </c>
      <c r="G552">
        <v>0.5</v>
      </c>
      <c r="J552">
        <v>502</v>
      </c>
      <c r="K552" t="s">
        <v>542</v>
      </c>
      <c r="L552" t="s">
        <v>542</v>
      </c>
      <c r="M552" t="s">
        <v>2332</v>
      </c>
    </row>
    <row r="553" spans="3:13">
      <c r="C553">
        <v>552</v>
      </c>
      <c r="D553" t="s">
        <v>592</v>
      </c>
      <c r="E553" t="s">
        <v>592</v>
      </c>
      <c r="F553">
        <v>0.5</v>
      </c>
      <c r="G553">
        <v>0.5</v>
      </c>
      <c r="J553">
        <v>503</v>
      </c>
      <c r="K553" t="s">
        <v>543</v>
      </c>
      <c r="L553" t="s">
        <v>543</v>
      </c>
      <c r="M553" t="s">
        <v>2332</v>
      </c>
    </row>
    <row r="554" spans="3:13">
      <c r="C554">
        <v>553</v>
      </c>
      <c r="D554" t="s">
        <v>593</v>
      </c>
      <c r="E554" t="s">
        <v>593</v>
      </c>
      <c r="F554">
        <v>0.5</v>
      </c>
      <c r="G554">
        <v>0.5</v>
      </c>
      <c r="J554">
        <v>504</v>
      </c>
      <c r="K554" t="s">
        <v>544</v>
      </c>
      <c r="L554" t="s">
        <v>544</v>
      </c>
      <c r="M554" t="s">
        <v>2332</v>
      </c>
    </row>
    <row r="555" spans="3:13">
      <c r="C555">
        <v>554</v>
      </c>
      <c r="D555" t="s">
        <v>594</v>
      </c>
      <c r="E555" t="s">
        <v>594</v>
      </c>
      <c r="F555">
        <v>0.5</v>
      </c>
      <c r="G555">
        <v>0.5</v>
      </c>
      <c r="J555">
        <v>505</v>
      </c>
      <c r="K555" t="s">
        <v>545</v>
      </c>
      <c r="L555" t="s">
        <v>545</v>
      </c>
      <c r="M555" t="s">
        <v>2332</v>
      </c>
    </row>
    <row r="556" spans="3:13">
      <c r="C556">
        <v>555</v>
      </c>
      <c r="D556" t="s">
        <v>2122</v>
      </c>
      <c r="E556" t="s">
        <v>2122</v>
      </c>
      <c r="F556">
        <v>0.5</v>
      </c>
      <c r="G556">
        <v>0.5</v>
      </c>
      <c r="J556">
        <v>506</v>
      </c>
      <c r="K556" t="s">
        <v>546</v>
      </c>
      <c r="L556" t="s">
        <v>546</v>
      </c>
      <c r="M556" t="s">
        <v>2332</v>
      </c>
    </row>
    <row r="557" spans="3:13">
      <c r="C557">
        <v>556</v>
      </c>
      <c r="D557" t="s">
        <v>597</v>
      </c>
      <c r="E557" t="s">
        <v>597</v>
      </c>
      <c r="F557">
        <v>0.5</v>
      </c>
      <c r="G557">
        <v>0.5</v>
      </c>
      <c r="J557">
        <v>507</v>
      </c>
      <c r="K557" t="s">
        <v>547</v>
      </c>
      <c r="L557" t="s">
        <v>547</v>
      </c>
      <c r="M557" t="s">
        <v>2332</v>
      </c>
    </row>
    <row r="558" spans="3:13">
      <c r="C558">
        <v>557</v>
      </c>
      <c r="D558" t="s">
        <v>598</v>
      </c>
      <c r="E558" t="s">
        <v>598</v>
      </c>
      <c r="F558">
        <v>0.5</v>
      </c>
      <c r="G558">
        <v>0.5</v>
      </c>
      <c r="J558">
        <v>508</v>
      </c>
      <c r="K558" t="s">
        <v>548</v>
      </c>
      <c r="L558" t="s">
        <v>548</v>
      </c>
      <c r="M558" t="s">
        <v>2332</v>
      </c>
    </row>
    <row r="559" spans="3:13">
      <c r="C559">
        <v>558</v>
      </c>
      <c r="D559" t="s">
        <v>599</v>
      </c>
      <c r="E559" t="s">
        <v>599</v>
      </c>
      <c r="F559">
        <v>0.5</v>
      </c>
      <c r="G559">
        <v>0.5</v>
      </c>
      <c r="J559">
        <v>509</v>
      </c>
      <c r="K559" t="s">
        <v>549</v>
      </c>
      <c r="L559" t="s">
        <v>549</v>
      </c>
      <c r="M559" t="s">
        <v>2332</v>
      </c>
    </row>
    <row r="560" spans="3:13">
      <c r="C560">
        <v>559</v>
      </c>
      <c r="D560" t="s">
        <v>600</v>
      </c>
      <c r="E560" t="s">
        <v>600</v>
      </c>
      <c r="F560">
        <v>0.5</v>
      </c>
      <c r="G560">
        <v>0.5</v>
      </c>
      <c r="J560">
        <v>510</v>
      </c>
      <c r="K560" t="s">
        <v>550</v>
      </c>
      <c r="L560" t="s">
        <v>550</v>
      </c>
      <c r="M560" t="s">
        <v>2332</v>
      </c>
    </row>
    <row r="561" spans="3:13">
      <c r="C561">
        <v>560</v>
      </c>
      <c r="D561" t="s">
        <v>601</v>
      </c>
      <c r="E561" t="s">
        <v>601</v>
      </c>
      <c r="F561">
        <v>0.5</v>
      </c>
      <c r="G561">
        <v>0.5</v>
      </c>
      <c r="J561">
        <v>511</v>
      </c>
      <c r="K561" t="s">
        <v>551</v>
      </c>
      <c r="L561" t="s">
        <v>551</v>
      </c>
      <c r="M561" t="s">
        <v>2332</v>
      </c>
    </row>
    <row r="562" spans="3:13">
      <c r="C562">
        <v>561</v>
      </c>
      <c r="D562" t="s">
        <v>602</v>
      </c>
      <c r="E562" t="s">
        <v>602</v>
      </c>
      <c r="F562">
        <v>0.5</v>
      </c>
      <c r="G562">
        <v>0.5</v>
      </c>
      <c r="J562">
        <v>512</v>
      </c>
      <c r="K562" t="s">
        <v>552</v>
      </c>
      <c r="L562" t="s">
        <v>552</v>
      </c>
      <c r="M562" t="s">
        <v>2332</v>
      </c>
    </row>
    <row r="563" spans="3:13">
      <c r="C563">
        <v>562</v>
      </c>
      <c r="D563" t="s">
        <v>603</v>
      </c>
      <c r="E563" t="s">
        <v>603</v>
      </c>
      <c r="F563">
        <v>0.5</v>
      </c>
      <c r="G563">
        <v>0.5</v>
      </c>
      <c r="J563">
        <v>513</v>
      </c>
      <c r="K563" t="s">
        <v>553</v>
      </c>
      <c r="L563" t="s">
        <v>553</v>
      </c>
      <c r="M563" t="s">
        <v>2332</v>
      </c>
    </row>
    <row r="564" spans="3:13">
      <c r="C564">
        <v>563</v>
      </c>
      <c r="D564" t="s">
        <v>604</v>
      </c>
      <c r="E564" t="s">
        <v>604</v>
      </c>
      <c r="F564">
        <v>0.5</v>
      </c>
      <c r="G564">
        <v>0.5</v>
      </c>
      <c r="J564">
        <v>514</v>
      </c>
      <c r="K564" t="s">
        <v>554</v>
      </c>
      <c r="L564" t="s">
        <v>554</v>
      </c>
      <c r="M564" t="s">
        <v>2332</v>
      </c>
    </row>
    <row r="565" spans="3:13">
      <c r="C565">
        <v>564</v>
      </c>
      <c r="D565" t="s">
        <v>605</v>
      </c>
      <c r="E565" t="s">
        <v>605</v>
      </c>
      <c r="F565">
        <v>0.85</v>
      </c>
      <c r="G565">
        <v>0.15</v>
      </c>
      <c r="J565">
        <v>101</v>
      </c>
      <c r="K565" t="s">
        <v>128</v>
      </c>
      <c r="L565" t="s">
        <v>128</v>
      </c>
      <c r="M565" t="s">
        <v>2112</v>
      </c>
    </row>
    <row r="566" spans="3:13">
      <c r="C566">
        <v>565</v>
      </c>
      <c r="D566" t="s">
        <v>606</v>
      </c>
      <c r="E566" t="s">
        <v>606</v>
      </c>
      <c r="F566">
        <v>0.85</v>
      </c>
      <c r="G566">
        <v>0.15</v>
      </c>
      <c r="J566">
        <v>102</v>
      </c>
      <c r="K566" t="s">
        <v>129</v>
      </c>
      <c r="L566" t="s">
        <v>129</v>
      </c>
      <c r="M566" t="s">
        <v>14</v>
      </c>
    </row>
    <row r="567" spans="3:13">
      <c r="C567">
        <v>566</v>
      </c>
      <c r="D567" t="s">
        <v>607</v>
      </c>
      <c r="E567" t="s">
        <v>607</v>
      </c>
      <c r="F567">
        <v>0.85</v>
      </c>
      <c r="G567">
        <v>0.15</v>
      </c>
      <c r="J567">
        <v>103</v>
      </c>
      <c r="K567" t="s">
        <v>130</v>
      </c>
      <c r="L567" t="s">
        <v>130</v>
      </c>
      <c r="M567" t="s">
        <v>14</v>
      </c>
    </row>
    <row r="568" spans="3:13">
      <c r="C568">
        <v>567</v>
      </c>
      <c r="D568" t="s">
        <v>608</v>
      </c>
      <c r="E568" t="s">
        <v>608</v>
      </c>
      <c r="F568">
        <v>0.85</v>
      </c>
      <c r="G568">
        <v>0.15</v>
      </c>
      <c r="J568">
        <v>104</v>
      </c>
      <c r="K568" t="s">
        <v>131</v>
      </c>
      <c r="L568" t="s">
        <v>131</v>
      </c>
      <c r="M568" t="s">
        <v>2330</v>
      </c>
    </row>
    <row r="569" spans="3:13">
      <c r="C569">
        <v>568</v>
      </c>
      <c r="D569" t="s">
        <v>609</v>
      </c>
      <c r="E569" t="s">
        <v>609</v>
      </c>
      <c r="F569">
        <v>0.5</v>
      </c>
      <c r="G569">
        <v>0.5</v>
      </c>
      <c r="J569">
        <v>515</v>
      </c>
      <c r="K569" t="s">
        <v>555</v>
      </c>
      <c r="L569" t="s">
        <v>555</v>
      </c>
      <c r="M569" t="s">
        <v>2332</v>
      </c>
    </row>
    <row r="570" spans="3:13">
      <c r="C570">
        <v>569</v>
      </c>
      <c r="D570" t="s">
        <v>610</v>
      </c>
      <c r="E570" t="s">
        <v>610</v>
      </c>
      <c r="F570">
        <v>0.5</v>
      </c>
      <c r="G570">
        <v>0.5</v>
      </c>
      <c r="J570">
        <v>516</v>
      </c>
      <c r="K570" t="s">
        <v>556</v>
      </c>
      <c r="L570" t="s">
        <v>556</v>
      </c>
      <c r="M570" t="s">
        <v>2332</v>
      </c>
    </row>
    <row r="571" spans="3:13">
      <c r="C571">
        <v>570</v>
      </c>
      <c r="D571" t="s">
        <v>611</v>
      </c>
      <c r="E571" t="s">
        <v>611</v>
      </c>
      <c r="F571">
        <v>0.85</v>
      </c>
      <c r="G571">
        <v>0.15</v>
      </c>
      <c r="J571">
        <v>105</v>
      </c>
      <c r="K571" t="s">
        <v>132</v>
      </c>
      <c r="L571" t="s">
        <v>132</v>
      </c>
      <c r="M571" t="s">
        <v>2330</v>
      </c>
    </row>
    <row r="572" spans="3:13">
      <c r="C572">
        <v>571</v>
      </c>
      <c r="D572" t="s">
        <v>612</v>
      </c>
      <c r="E572" t="s">
        <v>612</v>
      </c>
      <c r="F572">
        <v>0.85</v>
      </c>
      <c r="G572">
        <v>0.15</v>
      </c>
      <c r="J572">
        <v>106</v>
      </c>
      <c r="K572" t="s">
        <v>133</v>
      </c>
      <c r="L572" t="s">
        <v>133</v>
      </c>
      <c r="M572" t="s">
        <v>2334</v>
      </c>
    </row>
    <row r="573" spans="3:13">
      <c r="C573">
        <v>572</v>
      </c>
      <c r="D573" t="s">
        <v>613</v>
      </c>
      <c r="E573" t="s">
        <v>613</v>
      </c>
      <c r="F573">
        <v>0.25</v>
      </c>
      <c r="G573">
        <v>0.75</v>
      </c>
      <c r="J573">
        <v>732</v>
      </c>
      <c r="K573" t="s">
        <v>2173</v>
      </c>
      <c r="L573" t="s">
        <v>2173</v>
      </c>
      <c r="M573" t="s">
        <v>22</v>
      </c>
    </row>
    <row r="574" spans="3:13">
      <c r="C574">
        <v>573</v>
      </c>
      <c r="D574" t="s">
        <v>614</v>
      </c>
      <c r="E574" t="s">
        <v>614</v>
      </c>
      <c r="F574">
        <v>0.25</v>
      </c>
      <c r="G574">
        <v>0.75</v>
      </c>
      <c r="J574">
        <v>733</v>
      </c>
      <c r="K574" t="s">
        <v>2174</v>
      </c>
      <c r="L574" t="s">
        <v>2174</v>
      </c>
      <c r="M574" t="s">
        <v>22</v>
      </c>
    </row>
    <row r="575" spans="3:13">
      <c r="C575">
        <v>574</v>
      </c>
      <c r="D575" t="s">
        <v>615</v>
      </c>
      <c r="E575" t="s">
        <v>615</v>
      </c>
      <c r="F575">
        <v>0.25</v>
      </c>
      <c r="G575">
        <v>0.75</v>
      </c>
      <c r="J575">
        <v>734</v>
      </c>
      <c r="K575" t="s">
        <v>2175</v>
      </c>
      <c r="L575" t="s">
        <v>2175</v>
      </c>
      <c r="M575" t="s">
        <v>2332</v>
      </c>
    </row>
    <row r="576" spans="3:13">
      <c r="C576">
        <v>575</v>
      </c>
      <c r="D576" t="s">
        <v>616</v>
      </c>
      <c r="E576" t="s">
        <v>616</v>
      </c>
      <c r="F576">
        <v>0.25</v>
      </c>
      <c r="G576">
        <v>0.75</v>
      </c>
      <c r="J576">
        <v>735</v>
      </c>
      <c r="K576" t="s">
        <v>2176</v>
      </c>
      <c r="L576" t="s">
        <v>2176</v>
      </c>
      <c r="M576" t="s">
        <v>2332</v>
      </c>
    </row>
    <row r="577" spans="3:13">
      <c r="C577">
        <v>576</v>
      </c>
      <c r="D577" t="s">
        <v>617</v>
      </c>
      <c r="E577" t="s">
        <v>617</v>
      </c>
      <c r="F577">
        <v>0.25</v>
      </c>
      <c r="G577">
        <v>0.75</v>
      </c>
      <c r="J577">
        <v>736</v>
      </c>
      <c r="K577" t="s">
        <v>2177</v>
      </c>
      <c r="L577" t="s">
        <v>2177</v>
      </c>
      <c r="M577" t="s">
        <v>29</v>
      </c>
    </row>
    <row r="578" spans="3:13">
      <c r="C578">
        <v>577</v>
      </c>
      <c r="D578" t="s">
        <v>618</v>
      </c>
      <c r="E578" t="s">
        <v>618</v>
      </c>
      <c r="F578">
        <v>0.5</v>
      </c>
      <c r="G578">
        <v>0.5</v>
      </c>
      <c r="J578">
        <v>517</v>
      </c>
      <c r="K578" t="s">
        <v>557</v>
      </c>
      <c r="L578" t="s">
        <v>557</v>
      </c>
      <c r="M578" t="s">
        <v>2332</v>
      </c>
    </row>
    <row r="579" spans="3:13">
      <c r="C579">
        <v>578</v>
      </c>
      <c r="D579" t="s">
        <v>619</v>
      </c>
      <c r="E579" t="s">
        <v>619</v>
      </c>
      <c r="F579">
        <v>0.5</v>
      </c>
      <c r="G579">
        <v>0.5</v>
      </c>
      <c r="J579">
        <v>518</v>
      </c>
      <c r="K579" t="s">
        <v>558</v>
      </c>
      <c r="L579" t="s">
        <v>558</v>
      </c>
      <c r="M579" t="s">
        <v>2332</v>
      </c>
    </row>
    <row r="580" spans="3:13">
      <c r="C580">
        <v>579</v>
      </c>
      <c r="D580" t="s">
        <v>620</v>
      </c>
      <c r="E580" t="s">
        <v>620</v>
      </c>
      <c r="F580">
        <v>0.5</v>
      </c>
      <c r="G580">
        <v>0.5</v>
      </c>
      <c r="J580">
        <v>519</v>
      </c>
      <c r="K580" t="s">
        <v>559</v>
      </c>
      <c r="L580" t="s">
        <v>559</v>
      </c>
      <c r="M580" t="s">
        <v>22</v>
      </c>
    </row>
    <row r="581" spans="3:13">
      <c r="C581">
        <v>580</v>
      </c>
      <c r="D581" t="s">
        <v>621</v>
      </c>
      <c r="E581" t="s">
        <v>621</v>
      </c>
      <c r="F581">
        <v>0.5</v>
      </c>
      <c r="G581">
        <v>0.5</v>
      </c>
      <c r="J581">
        <v>520</v>
      </c>
      <c r="K581" t="s">
        <v>560</v>
      </c>
      <c r="L581" t="s">
        <v>560</v>
      </c>
      <c r="M581" t="s">
        <v>22</v>
      </c>
    </row>
    <row r="582" spans="3:13">
      <c r="C582">
        <v>581</v>
      </c>
      <c r="D582" t="s">
        <v>622</v>
      </c>
      <c r="E582" t="s">
        <v>622</v>
      </c>
      <c r="F582">
        <v>0.5</v>
      </c>
      <c r="G582">
        <v>0.5</v>
      </c>
      <c r="J582">
        <v>521</v>
      </c>
      <c r="K582" t="s">
        <v>561</v>
      </c>
      <c r="L582" t="s">
        <v>561</v>
      </c>
      <c r="M582" t="s">
        <v>22</v>
      </c>
    </row>
    <row r="583" spans="3:13">
      <c r="C583">
        <v>582</v>
      </c>
      <c r="D583" t="s">
        <v>623</v>
      </c>
      <c r="E583" t="s">
        <v>623</v>
      </c>
      <c r="F583">
        <v>0.5</v>
      </c>
      <c r="G583">
        <v>0.5</v>
      </c>
      <c r="J583">
        <v>522</v>
      </c>
      <c r="K583" t="s">
        <v>562</v>
      </c>
      <c r="L583" t="s">
        <v>562</v>
      </c>
      <c r="M583" t="s">
        <v>2332</v>
      </c>
    </row>
    <row r="584" spans="3:13">
      <c r="C584">
        <v>583</v>
      </c>
      <c r="D584" t="s">
        <v>624</v>
      </c>
      <c r="E584" t="s">
        <v>624</v>
      </c>
      <c r="F584">
        <v>0.5</v>
      </c>
      <c r="G584">
        <v>0.5</v>
      </c>
      <c r="J584">
        <v>523</v>
      </c>
      <c r="K584" t="s">
        <v>563</v>
      </c>
      <c r="L584" t="s">
        <v>563</v>
      </c>
      <c r="M584" t="s">
        <v>2332</v>
      </c>
    </row>
    <row r="585" spans="3:13">
      <c r="C585">
        <v>584</v>
      </c>
      <c r="D585" t="s">
        <v>625</v>
      </c>
      <c r="E585" t="s">
        <v>625</v>
      </c>
      <c r="F585">
        <v>0.5</v>
      </c>
      <c r="G585">
        <v>0.5</v>
      </c>
      <c r="J585">
        <v>524</v>
      </c>
      <c r="K585" t="s">
        <v>564</v>
      </c>
      <c r="L585" t="s">
        <v>564</v>
      </c>
      <c r="M585" t="s">
        <v>2112</v>
      </c>
    </row>
    <row r="586" spans="3:13">
      <c r="C586">
        <v>585</v>
      </c>
      <c r="D586" t="s">
        <v>626</v>
      </c>
      <c r="E586" t="s">
        <v>626</v>
      </c>
      <c r="F586">
        <v>0.5</v>
      </c>
      <c r="G586">
        <v>0.5</v>
      </c>
      <c r="J586">
        <v>525</v>
      </c>
      <c r="K586" t="s">
        <v>565</v>
      </c>
      <c r="L586" t="s">
        <v>565</v>
      </c>
      <c r="M586" t="s">
        <v>2112</v>
      </c>
    </row>
    <row r="587" spans="3:13">
      <c r="C587">
        <v>586</v>
      </c>
      <c r="D587" t="s">
        <v>627</v>
      </c>
      <c r="E587" t="s">
        <v>627</v>
      </c>
      <c r="F587">
        <v>0.5</v>
      </c>
      <c r="G587">
        <v>0.5</v>
      </c>
      <c r="J587">
        <v>526</v>
      </c>
      <c r="K587" t="s">
        <v>566</v>
      </c>
      <c r="L587" t="s">
        <v>566</v>
      </c>
      <c r="M587" t="s">
        <v>2112</v>
      </c>
    </row>
    <row r="588" spans="3:13">
      <c r="C588">
        <v>587</v>
      </c>
      <c r="D588" t="s">
        <v>628</v>
      </c>
      <c r="E588" t="s">
        <v>628</v>
      </c>
      <c r="F588">
        <v>0.5</v>
      </c>
      <c r="G588">
        <v>0.5</v>
      </c>
      <c r="J588">
        <v>527</v>
      </c>
      <c r="K588" t="s">
        <v>567</v>
      </c>
      <c r="L588" t="s">
        <v>567</v>
      </c>
      <c r="M588" t="s">
        <v>22</v>
      </c>
    </row>
    <row r="589" spans="3:13">
      <c r="C589">
        <v>588</v>
      </c>
      <c r="D589" t="s">
        <v>629</v>
      </c>
      <c r="E589" t="s">
        <v>629</v>
      </c>
      <c r="F589">
        <v>0.5</v>
      </c>
      <c r="G589">
        <v>0.5</v>
      </c>
      <c r="J589">
        <v>528</v>
      </c>
      <c r="K589" t="s">
        <v>568</v>
      </c>
      <c r="L589" t="s">
        <v>568</v>
      </c>
      <c r="M589" t="s">
        <v>22</v>
      </c>
    </row>
    <row r="590" spans="3:13">
      <c r="C590">
        <v>589</v>
      </c>
      <c r="D590" t="s">
        <v>630</v>
      </c>
      <c r="E590" t="s">
        <v>630</v>
      </c>
      <c r="F590">
        <v>0.5</v>
      </c>
      <c r="G590">
        <v>0.5</v>
      </c>
      <c r="J590">
        <v>529</v>
      </c>
      <c r="K590" t="s">
        <v>569</v>
      </c>
      <c r="L590" t="s">
        <v>569</v>
      </c>
      <c r="M590" t="s">
        <v>2332</v>
      </c>
    </row>
    <row r="591" spans="3:13">
      <c r="C591">
        <v>590</v>
      </c>
      <c r="D591" t="s">
        <v>631</v>
      </c>
      <c r="E591" t="s">
        <v>631</v>
      </c>
      <c r="F591">
        <v>0.5</v>
      </c>
      <c r="G591">
        <v>0.5</v>
      </c>
      <c r="J591">
        <v>530</v>
      </c>
      <c r="K591" t="s">
        <v>570</v>
      </c>
      <c r="L591" t="s">
        <v>570</v>
      </c>
      <c r="M591" t="s">
        <v>2332</v>
      </c>
    </row>
    <row r="592" spans="3:13">
      <c r="C592">
        <v>591</v>
      </c>
      <c r="D592" t="s">
        <v>632</v>
      </c>
      <c r="E592" t="s">
        <v>632</v>
      </c>
      <c r="F592">
        <v>0.5</v>
      </c>
      <c r="G592">
        <v>0.5</v>
      </c>
      <c r="J592">
        <v>531</v>
      </c>
      <c r="K592" t="s">
        <v>571</v>
      </c>
      <c r="L592" t="s">
        <v>571</v>
      </c>
      <c r="M592" t="s">
        <v>56</v>
      </c>
    </row>
    <row r="593" spans="3:13">
      <c r="C593">
        <v>592</v>
      </c>
      <c r="D593" t="s">
        <v>633</v>
      </c>
      <c r="E593" t="s">
        <v>633</v>
      </c>
      <c r="F593">
        <v>0.5</v>
      </c>
      <c r="G593">
        <v>0.5</v>
      </c>
      <c r="J593">
        <v>532</v>
      </c>
      <c r="K593" t="s">
        <v>572</v>
      </c>
      <c r="L593" t="s">
        <v>572</v>
      </c>
      <c r="M593" t="s">
        <v>2334</v>
      </c>
    </row>
    <row r="594" spans="3:13">
      <c r="C594">
        <v>593</v>
      </c>
      <c r="D594" t="s">
        <v>634</v>
      </c>
      <c r="E594" t="s">
        <v>634</v>
      </c>
      <c r="F594">
        <v>0.5</v>
      </c>
      <c r="G594">
        <v>0.5</v>
      </c>
      <c r="J594">
        <v>533</v>
      </c>
      <c r="K594" t="s">
        <v>573</v>
      </c>
      <c r="L594" t="s">
        <v>573</v>
      </c>
      <c r="M594" t="s">
        <v>2334</v>
      </c>
    </row>
    <row r="595" spans="3:13">
      <c r="C595">
        <v>594</v>
      </c>
      <c r="D595" t="s">
        <v>635</v>
      </c>
      <c r="E595" t="s">
        <v>635</v>
      </c>
      <c r="F595">
        <v>0.5</v>
      </c>
      <c r="G595">
        <v>0.5</v>
      </c>
      <c r="J595">
        <v>534</v>
      </c>
      <c r="K595" t="s">
        <v>574</v>
      </c>
      <c r="L595" t="s">
        <v>574</v>
      </c>
      <c r="M595" t="s">
        <v>2334</v>
      </c>
    </row>
    <row r="596" spans="3:13">
      <c r="C596">
        <v>595</v>
      </c>
      <c r="D596" t="s">
        <v>636</v>
      </c>
      <c r="E596" t="s">
        <v>636</v>
      </c>
      <c r="F596">
        <v>0.5</v>
      </c>
      <c r="G596">
        <v>0.5</v>
      </c>
      <c r="J596">
        <v>535</v>
      </c>
      <c r="K596" t="s">
        <v>575</v>
      </c>
      <c r="L596" t="s">
        <v>575</v>
      </c>
      <c r="M596" t="s">
        <v>2331</v>
      </c>
    </row>
    <row r="597" spans="3:13">
      <c r="C597">
        <v>596</v>
      </c>
      <c r="D597" t="s">
        <v>637</v>
      </c>
      <c r="E597" t="s">
        <v>637</v>
      </c>
      <c r="F597">
        <v>0.5</v>
      </c>
      <c r="G597">
        <v>0.5</v>
      </c>
      <c r="J597">
        <v>536</v>
      </c>
      <c r="K597" t="s">
        <v>576</v>
      </c>
      <c r="L597" t="s">
        <v>576</v>
      </c>
      <c r="M597" t="s">
        <v>2331</v>
      </c>
    </row>
    <row r="598" spans="3:13">
      <c r="C598">
        <v>597</v>
      </c>
      <c r="D598" t="s">
        <v>638</v>
      </c>
      <c r="E598" t="s">
        <v>638</v>
      </c>
      <c r="F598">
        <v>0.5</v>
      </c>
      <c r="G598">
        <v>0.5</v>
      </c>
      <c r="J598">
        <v>537</v>
      </c>
      <c r="K598" t="s">
        <v>577</v>
      </c>
      <c r="L598" t="s">
        <v>577</v>
      </c>
      <c r="M598" t="s">
        <v>2331</v>
      </c>
    </row>
    <row r="599" spans="3:13">
      <c r="C599">
        <v>598</v>
      </c>
      <c r="D599" t="s">
        <v>639</v>
      </c>
      <c r="E599" t="s">
        <v>639</v>
      </c>
      <c r="F599">
        <v>0.5</v>
      </c>
      <c r="G599">
        <v>0.5</v>
      </c>
      <c r="J599">
        <v>538</v>
      </c>
      <c r="K599" t="s">
        <v>578</v>
      </c>
      <c r="L599" t="s">
        <v>578</v>
      </c>
      <c r="M599" t="s">
        <v>2334</v>
      </c>
    </row>
    <row r="600" spans="3:13">
      <c r="C600">
        <v>599</v>
      </c>
      <c r="D600" t="s">
        <v>640</v>
      </c>
      <c r="E600" t="s">
        <v>640</v>
      </c>
      <c r="F600" s="123" t="s">
        <v>1109</v>
      </c>
      <c r="G600" s="123" t="s">
        <v>1109</v>
      </c>
      <c r="J600">
        <v>800</v>
      </c>
      <c r="K600" t="s">
        <v>2307</v>
      </c>
      <c r="L600" t="s">
        <v>2307</v>
      </c>
      <c r="M600" t="s">
        <v>2333</v>
      </c>
    </row>
    <row r="601" spans="3:13">
      <c r="C601">
        <v>600</v>
      </c>
      <c r="D601" t="s">
        <v>641</v>
      </c>
      <c r="E601" t="s">
        <v>641</v>
      </c>
      <c r="F601" s="123" t="s">
        <v>1109</v>
      </c>
      <c r="G601" s="123" t="s">
        <v>1109</v>
      </c>
      <c r="J601">
        <v>801</v>
      </c>
      <c r="K601" t="s">
        <v>2308</v>
      </c>
      <c r="L601" t="s">
        <v>2308</v>
      </c>
      <c r="M601" t="s">
        <v>2333</v>
      </c>
    </row>
    <row r="602" spans="3:13">
      <c r="C602">
        <v>601</v>
      </c>
      <c r="D602" t="s">
        <v>642</v>
      </c>
      <c r="E602" t="s">
        <v>642</v>
      </c>
      <c r="F602" s="123" t="s">
        <v>1109</v>
      </c>
      <c r="G602" s="123" t="s">
        <v>1109</v>
      </c>
      <c r="J602">
        <v>802</v>
      </c>
      <c r="K602" t="s">
        <v>2309</v>
      </c>
      <c r="L602" t="s">
        <v>2309</v>
      </c>
      <c r="M602" t="s">
        <v>2333</v>
      </c>
    </row>
    <row r="603" spans="3:13">
      <c r="C603">
        <v>602</v>
      </c>
      <c r="D603" t="s">
        <v>643</v>
      </c>
      <c r="E603" t="s">
        <v>643</v>
      </c>
      <c r="F603">
        <v>0.5</v>
      </c>
      <c r="G603">
        <v>0.5</v>
      </c>
      <c r="J603">
        <v>539</v>
      </c>
      <c r="K603" t="s">
        <v>579</v>
      </c>
      <c r="L603" t="s">
        <v>579</v>
      </c>
      <c r="M603" t="s">
        <v>2334</v>
      </c>
    </row>
    <row r="604" spans="3:13">
      <c r="C604">
        <v>603</v>
      </c>
      <c r="D604" t="s">
        <v>644</v>
      </c>
      <c r="E604" t="s">
        <v>644</v>
      </c>
      <c r="F604">
        <v>0.5</v>
      </c>
      <c r="G604">
        <v>0.5</v>
      </c>
      <c r="J604">
        <v>540</v>
      </c>
      <c r="K604" t="s">
        <v>580</v>
      </c>
      <c r="L604" t="s">
        <v>580</v>
      </c>
      <c r="M604" t="s">
        <v>29</v>
      </c>
    </row>
    <row r="605" spans="3:13">
      <c r="C605">
        <v>604</v>
      </c>
      <c r="D605" t="s">
        <v>645</v>
      </c>
      <c r="E605" t="s">
        <v>645</v>
      </c>
      <c r="F605">
        <v>0.5</v>
      </c>
      <c r="G605">
        <v>0.5</v>
      </c>
      <c r="J605">
        <v>541</v>
      </c>
      <c r="K605" t="s">
        <v>581</v>
      </c>
      <c r="L605" t="s">
        <v>581</v>
      </c>
      <c r="M605" t="s">
        <v>29</v>
      </c>
    </row>
    <row r="606" spans="3:13">
      <c r="C606">
        <v>605</v>
      </c>
      <c r="D606" t="s">
        <v>646</v>
      </c>
      <c r="E606" t="s">
        <v>646</v>
      </c>
      <c r="F606">
        <v>0.5</v>
      </c>
      <c r="G606">
        <v>0.5</v>
      </c>
      <c r="J606">
        <v>542</v>
      </c>
      <c r="K606" t="s">
        <v>582</v>
      </c>
      <c r="L606" t="s">
        <v>582</v>
      </c>
      <c r="M606" t="s">
        <v>29</v>
      </c>
    </row>
    <row r="607" spans="3:13">
      <c r="C607">
        <v>606</v>
      </c>
      <c r="D607" t="s">
        <v>647</v>
      </c>
      <c r="E607" t="s">
        <v>647</v>
      </c>
      <c r="F607">
        <v>0.5</v>
      </c>
      <c r="G607">
        <v>0.5</v>
      </c>
      <c r="J607">
        <v>543</v>
      </c>
      <c r="K607" t="s">
        <v>583</v>
      </c>
      <c r="L607" t="s">
        <v>583</v>
      </c>
      <c r="M607" t="s">
        <v>29</v>
      </c>
    </row>
    <row r="608" spans="3:13">
      <c r="C608">
        <v>607</v>
      </c>
      <c r="D608" t="s">
        <v>648</v>
      </c>
      <c r="E608" t="s">
        <v>648</v>
      </c>
      <c r="F608">
        <v>0.5</v>
      </c>
      <c r="G608">
        <v>0.5</v>
      </c>
      <c r="J608">
        <v>544</v>
      </c>
      <c r="K608" t="s">
        <v>584</v>
      </c>
      <c r="L608" t="s">
        <v>584</v>
      </c>
      <c r="M608" t="s">
        <v>29</v>
      </c>
    </row>
    <row r="609" spans="3:13">
      <c r="C609">
        <v>608</v>
      </c>
      <c r="D609" t="s">
        <v>649</v>
      </c>
      <c r="E609" t="s">
        <v>649</v>
      </c>
      <c r="F609">
        <v>0.5</v>
      </c>
      <c r="G609">
        <v>0.5</v>
      </c>
      <c r="J609">
        <v>545</v>
      </c>
      <c r="K609" t="s">
        <v>585</v>
      </c>
      <c r="L609" t="s">
        <v>585</v>
      </c>
      <c r="M609" t="s">
        <v>29</v>
      </c>
    </row>
    <row r="610" spans="3:13">
      <c r="C610">
        <v>609</v>
      </c>
      <c r="D610" t="s">
        <v>650</v>
      </c>
      <c r="E610" t="s">
        <v>650</v>
      </c>
      <c r="F610">
        <v>0.5</v>
      </c>
      <c r="G610">
        <v>0.5</v>
      </c>
      <c r="J610">
        <v>546</v>
      </c>
      <c r="K610" t="s">
        <v>586</v>
      </c>
      <c r="L610" t="s">
        <v>586</v>
      </c>
      <c r="M610" t="s">
        <v>56</v>
      </c>
    </row>
    <row r="611" spans="3:13">
      <c r="C611">
        <v>610</v>
      </c>
      <c r="D611" t="s">
        <v>651</v>
      </c>
      <c r="E611" t="s">
        <v>651</v>
      </c>
      <c r="F611">
        <v>0.5</v>
      </c>
      <c r="G611">
        <v>0.5</v>
      </c>
      <c r="J611">
        <v>547</v>
      </c>
      <c r="K611" t="s">
        <v>587</v>
      </c>
      <c r="L611" t="s">
        <v>587</v>
      </c>
      <c r="M611" t="s">
        <v>56</v>
      </c>
    </row>
    <row r="612" spans="3:13">
      <c r="C612">
        <v>611</v>
      </c>
      <c r="D612" t="s">
        <v>652</v>
      </c>
      <c r="E612" t="s">
        <v>652</v>
      </c>
      <c r="F612">
        <v>0.5</v>
      </c>
      <c r="G612">
        <v>0.5</v>
      </c>
      <c r="J612">
        <v>548</v>
      </c>
      <c r="K612" t="s">
        <v>588</v>
      </c>
      <c r="L612" t="s">
        <v>588</v>
      </c>
      <c r="M612" t="s">
        <v>14</v>
      </c>
    </row>
    <row r="613" spans="3:13">
      <c r="C613">
        <v>612</v>
      </c>
      <c r="D613" t="s">
        <v>653</v>
      </c>
      <c r="E613" t="s">
        <v>653</v>
      </c>
      <c r="F613">
        <v>0.5</v>
      </c>
      <c r="G613">
        <v>0.5</v>
      </c>
      <c r="J613">
        <v>549</v>
      </c>
      <c r="K613" t="s">
        <v>589</v>
      </c>
      <c r="L613" t="s">
        <v>589</v>
      </c>
      <c r="M613" t="s">
        <v>14</v>
      </c>
    </row>
    <row r="614" spans="3:13">
      <c r="C614">
        <v>613</v>
      </c>
      <c r="D614" t="s">
        <v>654</v>
      </c>
      <c r="E614" t="s">
        <v>654</v>
      </c>
      <c r="F614">
        <v>0.5</v>
      </c>
      <c r="G614">
        <v>0.5</v>
      </c>
      <c r="J614">
        <v>550</v>
      </c>
      <c r="K614" t="s">
        <v>590</v>
      </c>
      <c r="L614" t="s">
        <v>590</v>
      </c>
      <c r="M614" t="s">
        <v>2337</v>
      </c>
    </row>
    <row r="615" spans="3:13">
      <c r="C615">
        <v>614</v>
      </c>
      <c r="D615" t="s">
        <v>655</v>
      </c>
      <c r="E615" t="s">
        <v>655</v>
      </c>
      <c r="F615">
        <v>0.5</v>
      </c>
      <c r="G615">
        <v>0.5</v>
      </c>
      <c r="J615">
        <v>551</v>
      </c>
      <c r="K615" t="s">
        <v>591</v>
      </c>
      <c r="L615" t="s">
        <v>591</v>
      </c>
      <c r="M615" t="s">
        <v>2332</v>
      </c>
    </row>
    <row r="616" spans="3:13">
      <c r="C616">
        <v>615</v>
      </c>
      <c r="D616" t="s">
        <v>656</v>
      </c>
      <c r="E616" t="s">
        <v>656</v>
      </c>
      <c r="F616" s="123" t="s">
        <v>1109</v>
      </c>
      <c r="G616" s="123" t="s">
        <v>1109</v>
      </c>
      <c r="J616">
        <v>803</v>
      </c>
      <c r="K616" t="s">
        <v>2310</v>
      </c>
      <c r="L616" t="s">
        <v>2310</v>
      </c>
      <c r="M616" t="s">
        <v>2333</v>
      </c>
    </row>
    <row r="617" spans="3:13">
      <c r="C617">
        <v>616</v>
      </c>
      <c r="D617" t="s">
        <v>657</v>
      </c>
      <c r="E617" t="s">
        <v>657</v>
      </c>
      <c r="F617">
        <v>0.5</v>
      </c>
      <c r="G617">
        <v>0.5</v>
      </c>
      <c r="J617">
        <v>552</v>
      </c>
      <c r="K617" t="s">
        <v>592</v>
      </c>
      <c r="L617" t="s">
        <v>592</v>
      </c>
      <c r="M617" t="s">
        <v>2332</v>
      </c>
    </row>
    <row r="618" spans="3:13">
      <c r="C618">
        <v>617</v>
      </c>
      <c r="D618" t="s">
        <v>658</v>
      </c>
      <c r="E618" t="s">
        <v>658</v>
      </c>
      <c r="F618">
        <v>0.5</v>
      </c>
      <c r="G618">
        <v>0.5</v>
      </c>
      <c r="J618">
        <v>553</v>
      </c>
      <c r="K618" t="s">
        <v>593</v>
      </c>
      <c r="L618" t="s">
        <v>593</v>
      </c>
      <c r="M618" t="s">
        <v>2332</v>
      </c>
    </row>
    <row r="619" spans="3:13">
      <c r="C619">
        <v>618</v>
      </c>
      <c r="D619" t="s">
        <v>659</v>
      </c>
      <c r="E619" t="s">
        <v>659</v>
      </c>
      <c r="F619">
        <v>0.5</v>
      </c>
      <c r="G619">
        <v>0.5</v>
      </c>
      <c r="J619">
        <v>554</v>
      </c>
      <c r="K619" t="s">
        <v>594</v>
      </c>
      <c r="L619" t="s">
        <v>594</v>
      </c>
      <c r="M619" t="s">
        <v>2332</v>
      </c>
    </row>
    <row r="620" spans="3:13">
      <c r="C620">
        <v>619</v>
      </c>
      <c r="D620" t="s">
        <v>660</v>
      </c>
      <c r="E620" t="s">
        <v>660</v>
      </c>
      <c r="F620">
        <v>0.5</v>
      </c>
      <c r="G620">
        <v>0.5</v>
      </c>
      <c r="J620">
        <v>555</v>
      </c>
      <c r="K620" t="s">
        <v>2122</v>
      </c>
      <c r="L620" t="s">
        <v>2122</v>
      </c>
      <c r="M620" t="s">
        <v>2332</v>
      </c>
    </row>
    <row r="621" spans="3:13">
      <c r="C621">
        <v>620</v>
      </c>
      <c r="D621" t="s">
        <v>661</v>
      </c>
      <c r="E621" t="s">
        <v>661</v>
      </c>
      <c r="F621">
        <v>0.5</v>
      </c>
      <c r="G621">
        <v>0.5</v>
      </c>
      <c r="J621">
        <v>556</v>
      </c>
      <c r="K621" t="s">
        <v>597</v>
      </c>
      <c r="L621" t="s">
        <v>597</v>
      </c>
      <c r="M621" t="s">
        <v>14</v>
      </c>
    </row>
    <row r="622" spans="3:13">
      <c r="C622">
        <v>621</v>
      </c>
      <c r="D622" t="s">
        <v>662</v>
      </c>
      <c r="E622" t="s">
        <v>662</v>
      </c>
      <c r="F622">
        <v>0.5</v>
      </c>
      <c r="G622">
        <v>0.5</v>
      </c>
      <c r="J622">
        <v>557</v>
      </c>
      <c r="K622" t="s">
        <v>598</v>
      </c>
      <c r="L622" t="s">
        <v>598</v>
      </c>
      <c r="M622" t="s">
        <v>2112</v>
      </c>
    </row>
    <row r="623" spans="3:13">
      <c r="C623">
        <v>622</v>
      </c>
      <c r="D623" t="s">
        <v>663</v>
      </c>
      <c r="E623" t="s">
        <v>663</v>
      </c>
      <c r="F623" s="123" t="s">
        <v>1109</v>
      </c>
      <c r="G623" s="123" t="s">
        <v>1109</v>
      </c>
      <c r="J623">
        <v>804</v>
      </c>
      <c r="K623" t="s">
        <v>2311</v>
      </c>
      <c r="L623" t="s">
        <v>2311</v>
      </c>
      <c r="M623" t="s">
        <v>2333</v>
      </c>
    </row>
    <row r="624" spans="3:13">
      <c r="C624">
        <v>623</v>
      </c>
      <c r="D624" t="s">
        <v>664</v>
      </c>
      <c r="E624" t="s">
        <v>664</v>
      </c>
      <c r="F624" s="123" t="s">
        <v>1109</v>
      </c>
      <c r="G624" s="123" t="s">
        <v>1109</v>
      </c>
      <c r="J624">
        <v>805</v>
      </c>
      <c r="K624" t="s">
        <v>2312</v>
      </c>
      <c r="L624" t="s">
        <v>2312</v>
      </c>
      <c r="M624" t="s">
        <v>2333</v>
      </c>
    </row>
    <row r="625" spans="3:13">
      <c r="C625">
        <v>624</v>
      </c>
      <c r="D625" t="s">
        <v>665</v>
      </c>
      <c r="E625" t="s">
        <v>665</v>
      </c>
      <c r="F625">
        <v>0.5</v>
      </c>
      <c r="G625">
        <v>0.5</v>
      </c>
      <c r="J625">
        <v>558</v>
      </c>
      <c r="K625" t="s">
        <v>599</v>
      </c>
      <c r="L625" t="s">
        <v>599</v>
      </c>
      <c r="M625" t="s">
        <v>2112</v>
      </c>
    </row>
    <row r="626" spans="3:13">
      <c r="C626">
        <v>625</v>
      </c>
      <c r="D626" t="s">
        <v>666</v>
      </c>
      <c r="E626" t="s">
        <v>666</v>
      </c>
      <c r="F626">
        <v>0.5</v>
      </c>
      <c r="G626">
        <v>0.5</v>
      </c>
      <c r="J626">
        <v>559</v>
      </c>
      <c r="K626" t="s">
        <v>600</v>
      </c>
      <c r="L626" t="s">
        <v>600</v>
      </c>
      <c r="M626" t="s">
        <v>2332</v>
      </c>
    </row>
    <row r="627" spans="3:13">
      <c r="C627">
        <v>626</v>
      </c>
      <c r="D627" t="s">
        <v>667</v>
      </c>
      <c r="E627" t="s">
        <v>667</v>
      </c>
      <c r="F627">
        <v>0.5</v>
      </c>
      <c r="G627">
        <v>0.5</v>
      </c>
      <c r="J627">
        <v>560</v>
      </c>
      <c r="K627" t="s">
        <v>601</v>
      </c>
      <c r="L627" t="s">
        <v>601</v>
      </c>
      <c r="M627" t="s">
        <v>2332</v>
      </c>
    </row>
    <row r="628" spans="3:13">
      <c r="C628">
        <v>627</v>
      </c>
      <c r="D628" t="s">
        <v>668</v>
      </c>
      <c r="E628" t="s">
        <v>668</v>
      </c>
      <c r="F628">
        <v>1</v>
      </c>
      <c r="G628">
        <v>0</v>
      </c>
      <c r="J628">
        <v>13</v>
      </c>
      <c r="K628" t="s">
        <v>32</v>
      </c>
      <c r="L628" t="s">
        <v>32</v>
      </c>
      <c r="M628" t="s">
        <v>29</v>
      </c>
    </row>
    <row r="629" spans="3:13">
      <c r="C629">
        <v>628</v>
      </c>
      <c r="D629" t="s">
        <v>669</v>
      </c>
      <c r="E629" t="s">
        <v>669</v>
      </c>
      <c r="F629">
        <v>1</v>
      </c>
      <c r="G629">
        <v>0</v>
      </c>
      <c r="J629">
        <v>14</v>
      </c>
      <c r="K629" t="s">
        <v>33</v>
      </c>
      <c r="L629" t="s">
        <v>33</v>
      </c>
      <c r="M629" t="s">
        <v>29</v>
      </c>
    </row>
    <row r="630" spans="3:13">
      <c r="C630">
        <v>629</v>
      </c>
      <c r="D630" t="s">
        <v>670</v>
      </c>
      <c r="E630" t="s">
        <v>670</v>
      </c>
      <c r="F630">
        <v>0</v>
      </c>
      <c r="G630">
        <v>1</v>
      </c>
      <c r="J630">
        <v>757</v>
      </c>
      <c r="K630" t="s">
        <v>2156</v>
      </c>
      <c r="L630" t="s">
        <v>2156</v>
      </c>
      <c r="M630" t="s">
        <v>23</v>
      </c>
    </row>
    <row r="631" spans="3:13">
      <c r="C631">
        <v>630</v>
      </c>
      <c r="D631" t="s">
        <v>671</v>
      </c>
      <c r="E631" t="s">
        <v>671</v>
      </c>
      <c r="F631">
        <v>0</v>
      </c>
      <c r="G631">
        <v>1</v>
      </c>
      <c r="J631">
        <v>758</v>
      </c>
      <c r="K631" t="s">
        <v>2273</v>
      </c>
      <c r="L631" t="s">
        <v>2273</v>
      </c>
      <c r="M631" t="s">
        <v>23</v>
      </c>
    </row>
    <row r="632" spans="3:13">
      <c r="C632">
        <v>631</v>
      </c>
      <c r="D632" t="s">
        <v>672</v>
      </c>
      <c r="E632" t="s">
        <v>672</v>
      </c>
      <c r="F632">
        <v>0.5</v>
      </c>
      <c r="G632">
        <v>0.5</v>
      </c>
      <c r="J632">
        <v>561</v>
      </c>
      <c r="K632" t="s">
        <v>602</v>
      </c>
      <c r="L632" t="s">
        <v>602</v>
      </c>
      <c r="M632" t="s">
        <v>22</v>
      </c>
    </row>
    <row r="633" spans="3:13">
      <c r="C633">
        <v>632</v>
      </c>
      <c r="D633" t="s">
        <v>673</v>
      </c>
      <c r="E633" t="s">
        <v>673</v>
      </c>
      <c r="F633">
        <v>0.5</v>
      </c>
      <c r="G633">
        <v>0.5</v>
      </c>
      <c r="J633">
        <v>562</v>
      </c>
      <c r="K633" t="s">
        <v>603</v>
      </c>
      <c r="L633" t="s">
        <v>603</v>
      </c>
      <c r="M633" t="s">
        <v>2336</v>
      </c>
    </row>
    <row r="634" spans="3:13">
      <c r="C634">
        <v>633</v>
      </c>
      <c r="D634" t="s">
        <v>674</v>
      </c>
      <c r="E634" t="s">
        <v>674</v>
      </c>
      <c r="F634">
        <v>0.5</v>
      </c>
      <c r="G634">
        <v>0.5</v>
      </c>
      <c r="J634">
        <v>563</v>
      </c>
      <c r="K634" t="s">
        <v>604</v>
      </c>
      <c r="L634" t="s">
        <v>604</v>
      </c>
      <c r="M634" t="s">
        <v>2336</v>
      </c>
    </row>
    <row r="635" spans="3:13">
      <c r="C635">
        <v>634</v>
      </c>
      <c r="D635" t="s">
        <v>675</v>
      </c>
      <c r="E635" t="s">
        <v>675</v>
      </c>
      <c r="F635">
        <v>0.5</v>
      </c>
      <c r="G635">
        <v>0.5</v>
      </c>
      <c r="J635">
        <v>564</v>
      </c>
      <c r="K635" t="s">
        <v>605</v>
      </c>
      <c r="L635" t="s">
        <v>605</v>
      </c>
      <c r="M635" t="s">
        <v>2335</v>
      </c>
    </row>
    <row r="636" spans="3:13">
      <c r="C636">
        <v>635</v>
      </c>
      <c r="D636" t="s">
        <v>676</v>
      </c>
      <c r="E636" t="s">
        <v>676</v>
      </c>
      <c r="F636">
        <v>0.5</v>
      </c>
      <c r="G636">
        <v>0.5</v>
      </c>
      <c r="J636">
        <v>565</v>
      </c>
      <c r="K636" t="s">
        <v>606</v>
      </c>
      <c r="L636" t="s">
        <v>606</v>
      </c>
      <c r="M636" t="s">
        <v>2335</v>
      </c>
    </row>
    <row r="637" spans="3:13">
      <c r="C637">
        <v>636</v>
      </c>
      <c r="D637" t="s">
        <v>677</v>
      </c>
      <c r="E637" t="s">
        <v>677</v>
      </c>
      <c r="F637">
        <v>0.5</v>
      </c>
      <c r="G637">
        <v>0.5</v>
      </c>
      <c r="J637">
        <v>566</v>
      </c>
      <c r="K637" t="s">
        <v>607</v>
      </c>
      <c r="L637" t="s">
        <v>607</v>
      </c>
      <c r="M637" t="s">
        <v>22</v>
      </c>
    </row>
    <row r="638" spans="3:13">
      <c r="C638">
        <v>637</v>
      </c>
      <c r="D638" t="s">
        <v>678</v>
      </c>
      <c r="E638" t="s">
        <v>678</v>
      </c>
      <c r="F638">
        <v>0.5</v>
      </c>
      <c r="G638">
        <v>0.5</v>
      </c>
      <c r="J638">
        <v>567</v>
      </c>
      <c r="K638" t="s">
        <v>608</v>
      </c>
      <c r="L638" t="s">
        <v>608</v>
      </c>
      <c r="M638" t="s">
        <v>22</v>
      </c>
    </row>
    <row r="639" spans="3:13">
      <c r="C639">
        <v>638</v>
      </c>
      <c r="D639" t="s">
        <v>679</v>
      </c>
      <c r="E639" t="s">
        <v>679</v>
      </c>
      <c r="F639" s="123" t="s">
        <v>1109</v>
      </c>
      <c r="G639" s="123" t="s">
        <v>1109</v>
      </c>
      <c r="J639">
        <v>844</v>
      </c>
      <c r="K639" t="s">
        <v>2240</v>
      </c>
      <c r="L639" t="s">
        <v>2240</v>
      </c>
      <c r="M639" t="s">
        <v>2332</v>
      </c>
    </row>
    <row r="640" spans="3:13">
      <c r="C640">
        <v>639</v>
      </c>
      <c r="D640" t="s">
        <v>680</v>
      </c>
      <c r="E640" t="s">
        <v>680</v>
      </c>
      <c r="F640" s="123" t="s">
        <v>1109</v>
      </c>
      <c r="G640" s="123" t="s">
        <v>1109</v>
      </c>
      <c r="J640">
        <v>845</v>
      </c>
      <c r="K640" t="s">
        <v>2241</v>
      </c>
      <c r="L640" t="s">
        <v>2241</v>
      </c>
      <c r="M640" t="s">
        <v>22</v>
      </c>
    </row>
    <row r="641" spans="3:13">
      <c r="C641">
        <v>640</v>
      </c>
      <c r="D641" t="s">
        <v>681</v>
      </c>
      <c r="E641" t="s">
        <v>681</v>
      </c>
      <c r="F641" s="123" t="s">
        <v>1109</v>
      </c>
      <c r="G641" s="123" t="s">
        <v>1109</v>
      </c>
      <c r="J641">
        <v>846</v>
      </c>
      <c r="K641" t="s">
        <v>2242</v>
      </c>
      <c r="L641" t="s">
        <v>2242</v>
      </c>
      <c r="M641" t="s">
        <v>2335</v>
      </c>
    </row>
    <row r="642" spans="3:13">
      <c r="C642">
        <v>641</v>
      </c>
      <c r="D642" t="s">
        <v>2137</v>
      </c>
      <c r="E642" t="s">
        <v>2137</v>
      </c>
      <c r="F642">
        <v>1</v>
      </c>
      <c r="G642">
        <v>0</v>
      </c>
      <c r="J642">
        <v>20</v>
      </c>
      <c r="K642" t="s">
        <v>40</v>
      </c>
      <c r="L642" t="s">
        <v>40</v>
      </c>
      <c r="M642" t="s">
        <v>2332</v>
      </c>
    </row>
    <row r="643" spans="3:13">
      <c r="C643">
        <v>642</v>
      </c>
      <c r="D643" t="s">
        <v>2136</v>
      </c>
      <c r="E643" t="s">
        <v>2136</v>
      </c>
      <c r="F643">
        <v>1</v>
      </c>
      <c r="G643">
        <v>0</v>
      </c>
      <c r="J643">
        <v>21</v>
      </c>
      <c r="K643" t="s">
        <v>41</v>
      </c>
      <c r="L643" t="s">
        <v>41</v>
      </c>
      <c r="M643" t="s">
        <v>22</v>
      </c>
    </row>
    <row r="644" spans="3:13">
      <c r="C644">
        <v>643</v>
      </c>
      <c r="D644" t="s">
        <v>686</v>
      </c>
      <c r="E644" t="s">
        <v>686</v>
      </c>
      <c r="F644" s="123" t="s">
        <v>1109</v>
      </c>
      <c r="G644" s="123" t="s">
        <v>1109</v>
      </c>
      <c r="J644">
        <v>847</v>
      </c>
      <c r="K644" t="s">
        <v>2243</v>
      </c>
      <c r="L644" t="s">
        <v>2243</v>
      </c>
      <c r="M644" t="s">
        <v>2335</v>
      </c>
    </row>
    <row r="645" spans="3:13">
      <c r="C645">
        <v>644</v>
      </c>
      <c r="D645" t="s">
        <v>687</v>
      </c>
      <c r="E645" t="s">
        <v>687</v>
      </c>
      <c r="F645" s="123" t="s">
        <v>1109</v>
      </c>
      <c r="G645" s="123" t="s">
        <v>1109</v>
      </c>
      <c r="J645">
        <v>848</v>
      </c>
      <c r="K645" t="s">
        <v>2267</v>
      </c>
      <c r="L645" t="s">
        <v>2267</v>
      </c>
      <c r="M645" t="s">
        <v>2333</v>
      </c>
    </row>
    <row r="646" spans="3:13">
      <c r="C646">
        <v>645</v>
      </c>
      <c r="D646" t="s">
        <v>2135</v>
      </c>
      <c r="E646" t="s">
        <v>2135</v>
      </c>
      <c r="F646">
        <v>1</v>
      </c>
      <c r="G646">
        <v>0</v>
      </c>
      <c r="J646">
        <v>22</v>
      </c>
      <c r="K646" t="s">
        <v>42</v>
      </c>
      <c r="L646" t="s">
        <v>42</v>
      </c>
      <c r="M646" t="s">
        <v>22</v>
      </c>
    </row>
    <row r="647" spans="3:13">
      <c r="C647">
        <v>646</v>
      </c>
      <c r="D647" t="s">
        <v>690</v>
      </c>
      <c r="E647" t="s">
        <v>690</v>
      </c>
      <c r="F647" s="123" t="s">
        <v>1109</v>
      </c>
      <c r="G647" s="123" t="s">
        <v>1109</v>
      </c>
      <c r="J647">
        <v>849</v>
      </c>
      <c r="K647" t="s">
        <v>2244</v>
      </c>
      <c r="L647" t="s">
        <v>2244</v>
      </c>
      <c r="M647" t="s">
        <v>2334</v>
      </c>
    </row>
    <row r="648" spans="3:13">
      <c r="C648">
        <v>647</v>
      </c>
      <c r="D648" t="s">
        <v>2123</v>
      </c>
      <c r="E648" t="s">
        <v>2123</v>
      </c>
      <c r="F648" s="123" t="s">
        <v>1109</v>
      </c>
      <c r="G648" s="123" t="s">
        <v>1109</v>
      </c>
      <c r="J648">
        <v>850</v>
      </c>
      <c r="K648" t="s">
        <v>2245</v>
      </c>
      <c r="L648" t="s">
        <v>2245</v>
      </c>
      <c r="M648" t="s">
        <v>29</v>
      </c>
    </row>
    <row r="649" spans="3:13">
      <c r="C649">
        <v>648</v>
      </c>
      <c r="D649" t="s">
        <v>2134</v>
      </c>
      <c r="E649" t="s">
        <v>2134</v>
      </c>
      <c r="F649" s="123" t="s">
        <v>1109</v>
      </c>
      <c r="G649" s="123" t="s">
        <v>1109</v>
      </c>
      <c r="J649">
        <v>851</v>
      </c>
      <c r="K649" t="s">
        <v>2246</v>
      </c>
      <c r="L649" t="s">
        <v>2246</v>
      </c>
      <c r="M649" t="s">
        <v>29</v>
      </c>
    </row>
    <row r="650" spans="3:13">
      <c r="C650">
        <v>649</v>
      </c>
      <c r="D650" t="s">
        <v>697</v>
      </c>
      <c r="E650" t="s">
        <v>697</v>
      </c>
      <c r="F650" s="123" t="s">
        <v>1109</v>
      </c>
      <c r="G650" s="123" t="s">
        <v>1109</v>
      </c>
      <c r="J650">
        <v>852</v>
      </c>
      <c r="K650" t="s">
        <v>2247</v>
      </c>
      <c r="L650" t="s">
        <v>2247</v>
      </c>
      <c r="M650" t="s">
        <v>2334</v>
      </c>
    </row>
    <row r="651" spans="3:13">
      <c r="C651">
        <v>650</v>
      </c>
      <c r="D651" t="s">
        <v>698</v>
      </c>
      <c r="E651" t="s">
        <v>698</v>
      </c>
      <c r="F651">
        <v>0.85</v>
      </c>
      <c r="G651">
        <v>0.15</v>
      </c>
      <c r="J651">
        <v>107</v>
      </c>
      <c r="K651" t="s">
        <v>134</v>
      </c>
      <c r="L651" t="s">
        <v>134</v>
      </c>
      <c r="M651" t="s">
        <v>2334</v>
      </c>
    </row>
    <row r="652" spans="3:13">
      <c r="C652">
        <v>651</v>
      </c>
      <c r="D652" t="s">
        <v>699</v>
      </c>
      <c r="E652" t="s">
        <v>699</v>
      </c>
      <c r="F652">
        <v>0.85</v>
      </c>
      <c r="G652">
        <v>0.15</v>
      </c>
      <c r="J652">
        <v>108</v>
      </c>
      <c r="K652" t="s">
        <v>135</v>
      </c>
      <c r="L652" t="s">
        <v>135</v>
      </c>
      <c r="M652" t="s">
        <v>2330</v>
      </c>
    </row>
    <row r="653" spans="3:13">
      <c r="C653">
        <v>652</v>
      </c>
      <c r="D653" t="s">
        <v>700</v>
      </c>
      <c r="E653" t="s">
        <v>700</v>
      </c>
      <c r="F653">
        <v>0.85</v>
      </c>
      <c r="G653">
        <v>0.15</v>
      </c>
      <c r="J653">
        <v>109</v>
      </c>
      <c r="K653" t="s">
        <v>136</v>
      </c>
      <c r="L653" t="s">
        <v>136</v>
      </c>
      <c r="M653" t="s">
        <v>2336</v>
      </c>
    </row>
    <row r="654" spans="3:13">
      <c r="C654">
        <v>653</v>
      </c>
      <c r="D654" t="s">
        <v>701</v>
      </c>
      <c r="E654" t="s">
        <v>701</v>
      </c>
      <c r="F654">
        <v>0.85</v>
      </c>
      <c r="G654">
        <v>0.15</v>
      </c>
      <c r="J654">
        <v>110</v>
      </c>
      <c r="K654" t="s">
        <v>137</v>
      </c>
      <c r="L654" t="s">
        <v>137</v>
      </c>
      <c r="M654" t="s">
        <v>2336</v>
      </c>
    </row>
    <row r="655" spans="3:13">
      <c r="C655">
        <v>654</v>
      </c>
      <c r="D655" t="s">
        <v>702</v>
      </c>
      <c r="E655" t="s">
        <v>702</v>
      </c>
      <c r="F655">
        <v>0.85</v>
      </c>
      <c r="G655">
        <v>0.15</v>
      </c>
      <c r="J655">
        <v>111</v>
      </c>
      <c r="K655" t="s">
        <v>138</v>
      </c>
      <c r="L655" t="s">
        <v>138</v>
      </c>
      <c r="M655" t="s">
        <v>2332</v>
      </c>
    </row>
    <row r="656" spans="3:13">
      <c r="C656">
        <v>655</v>
      </c>
      <c r="D656" t="s">
        <v>703</v>
      </c>
      <c r="E656" t="s">
        <v>703</v>
      </c>
      <c r="F656">
        <v>0.85</v>
      </c>
      <c r="G656">
        <v>0.15</v>
      </c>
      <c r="J656">
        <v>112</v>
      </c>
      <c r="K656" t="s">
        <v>139</v>
      </c>
      <c r="L656" t="s">
        <v>139</v>
      </c>
      <c r="M656" t="s">
        <v>2332</v>
      </c>
    </row>
    <row r="657" spans="3:13">
      <c r="C657">
        <v>656</v>
      </c>
      <c r="D657" t="s">
        <v>704</v>
      </c>
      <c r="E657" t="s">
        <v>704</v>
      </c>
      <c r="F657">
        <v>0.85</v>
      </c>
      <c r="G657">
        <v>0.15</v>
      </c>
      <c r="J657">
        <v>113</v>
      </c>
      <c r="K657" t="s">
        <v>140</v>
      </c>
      <c r="L657" t="s">
        <v>140</v>
      </c>
      <c r="M657" t="s">
        <v>56</v>
      </c>
    </row>
    <row r="658" spans="3:13">
      <c r="C658">
        <v>657</v>
      </c>
      <c r="D658" t="s">
        <v>705</v>
      </c>
      <c r="E658" t="s">
        <v>705</v>
      </c>
      <c r="F658">
        <v>0.85</v>
      </c>
      <c r="G658">
        <v>0.15</v>
      </c>
      <c r="J658">
        <v>114</v>
      </c>
      <c r="K658" t="s">
        <v>141</v>
      </c>
      <c r="L658" t="s">
        <v>141</v>
      </c>
      <c r="M658" t="s">
        <v>14</v>
      </c>
    </row>
    <row r="659" spans="3:13">
      <c r="C659">
        <v>658</v>
      </c>
      <c r="D659" t="s">
        <v>706</v>
      </c>
      <c r="E659" t="s">
        <v>706</v>
      </c>
      <c r="F659">
        <v>0.85</v>
      </c>
      <c r="G659">
        <v>0.15</v>
      </c>
      <c r="J659">
        <v>115</v>
      </c>
      <c r="K659" t="s">
        <v>142</v>
      </c>
      <c r="L659" t="s">
        <v>142</v>
      </c>
      <c r="M659" t="s">
        <v>2330</v>
      </c>
    </row>
    <row r="660" spans="3:13">
      <c r="C660">
        <v>659</v>
      </c>
      <c r="D660" t="s">
        <v>707</v>
      </c>
      <c r="E660" t="s">
        <v>707</v>
      </c>
      <c r="F660">
        <v>0.5</v>
      </c>
      <c r="G660">
        <v>0.5</v>
      </c>
      <c r="J660">
        <v>568</v>
      </c>
      <c r="K660" t="s">
        <v>609</v>
      </c>
      <c r="L660" t="s">
        <v>609</v>
      </c>
      <c r="M660" t="s">
        <v>2112</v>
      </c>
    </row>
    <row r="661" spans="3:13">
      <c r="C661">
        <v>660</v>
      </c>
      <c r="D661" t="s">
        <v>708</v>
      </c>
      <c r="E661" t="s">
        <v>708</v>
      </c>
      <c r="F661">
        <v>0.5</v>
      </c>
      <c r="G661">
        <v>0.5</v>
      </c>
      <c r="J661">
        <v>569</v>
      </c>
      <c r="K661" t="s">
        <v>610</v>
      </c>
      <c r="L661" t="s">
        <v>610</v>
      </c>
      <c r="M661" t="s">
        <v>2112</v>
      </c>
    </row>
    <row r="662" spans="3:13">
      <c r="C662">
        <v>661</v>
      </c>
      <c r="D662" t="s">
        <v>709</v>
      </c>
      <c r="E662" t="s">
        <v>709</v>
      </c>
      <c r="F662">
        <v>0.5</v>
      </c>
      <c r="G662">
        <v>0.5</v>
      </c>
      <c r="J662">
        <v>570</v>
      </c>
      <c r="K662" t="s">
        <v>611</v>
      </c>
      <c r="L662" t="s">
        <v>611</v>
      </c>
      <c r="M662" t="s">
        <v>2332</v>
      </c>
    </row>
    <row r="663" spans="3:13">
      <c r="C663">
        <v>662</v>
      </c>
      <c r="D663" t="s">
        <v>710</v>
      </c>
      <c r="E663" t="s">
        <v>710</v>
      </c>
      <c r="F663">
        <v>0.5</v>
      </c>
      <c r="G663">
        <v>0.5</v>
      </c>
      <c r="J663">
        <v>571</v>
      </c>
      <c r="K663" t="s">
        <v>612</v>
      </c>
      <c r="L663" t="s">
        <v>612</v>
      </c>
      <c r="M663" t="s">
        <v>2332</v>
      </c>
    </row>
    <row r="664" spans="3:13">
      <c r="C664">
        <v>663</v>
      </c>
      <c r="D664" t="s">
        <v>711</v>
      </c>
      <c r="E664" t="s">
        <v>711</v>
      </c>
      <c r="F664">
        <v>0.5</v>
      </c>
      <c r="G664">
        <v>0.5</v>
      </c>
      <c r="J664">
        <v>572</v>
      </c>
      <c r="K664" t="s">
        <v>613</v>
      </c>
      <c r="L664" t="s">
        <v>613</v>
      </c>
      <c r="M664" t="s">
        <v>2332</v>
      </c>
    </row>
    <row r="665" spans="3:13">
      <c r="C665">
        <v>664</v>
      </c>
      <c r="D665" t="s">
        <v>712</v>
      </c>
      <c r="E665" t="s">
        <v>712</v>
      </c>
      <c r="F665">
        <v>0.5</v>
      </c>
      <c r="G665">
        <v>0.5</v>
      </c>
      <c r="J665">
        <v>573</v>
      </c>
      <c r="K665" t="s">
        <v>614</v>
      </c>
      <c r="L665" t="s">
        <v>614</v>
      </c>
      <c r="M665" t="s">
        <v>2332</v>
      </c>
    </row>
    <row r="666" spans="3:13">
      <c r="C666">
        <v>665</v>
      </c>
      <c r="D666" t="s">
        <v>713</v>
      </c>
      <c r="E666" t="s">
        <v>713</v>
      </c>
      <c r="F666">
        <v>0.5</v>
      </c>
      <c r="G666">
        <v>0.5</v>
      </c>
      <c r="J666">
        <v>574</v>
      </c>
      <c r="K666" t="s">
        <v>615</v>
      </c>
      <c r="L666" t="s">
        <v>615</v>
      </c>
      <c r="M666" t="s">
        <v>2334</v>
      </c>
    </row>
    <row r="667" spans="3:13">
      <c r="C667">
        <v>666</v>
      </c>
      <c r="D667" t="s">
        <v>714</v>
      </c>
      <c r="E667" t="s">
        <v>714</v>
      </c>
      <c r="F667">
        <v>0.5</v>
      </c>
      <c r="G667">
        <v>0.5</v>
      </c>
      <c r="J667">
        <v>575</v>
      </c>
      <c r="K667" t="s">
        <v>616</v>
      </c>
      <c r="L667" t="s">
        <v>616</v>
      </c>
      <c r="M667" t="s">
        <v>2334</v>
      </c>
    </row>
    <row r="668" spans="3:13">
      <c r="C668">
        <v>667</v>
      </c>
      <c r="D668" t="s">
        <v>715</v>
      </c>
      <c r="E668" t="s">
        <v>715</v>
      </c>
      <c r="F668">
        <v>0.15</v>
      </c>
      <c r="G668">
        <v>0.85</v>
      </c>
      <c r="J668">
        <v>743</v>
      </c>
      <c r="K668" t="s">
        <v>2183</v>
      </c>
      <c r="L668" t="s">
        <v>2183</v>
      </c>
      <c r="M668" t="s">
        <v>29</v>
      </c>
    </row>
    <row r="669" spans="3:13">
      <c r="C669">
        <v>668</v>
      </c>
      <c r="D669" t="s">
        <v>716</v>
      </c>
      <c r="E669" t="s">
        <v>716</v>
      </c>
      <c r="F669">
        <v>0.15</v>
      </c>
      <c r="G669">
        <v>0.85</v>
      </c>
      <c r="J669">
        <v>744</v>
      </c>
      <c r="K669" t="s">
        <v>2184</v>
      </c>
      <c r="L669" t="s">
        <v>2184</v>
      </c>
      <c r="M669" t="s">
        <v>2332</v>
      </c>
    </row>
    <row r="670" spans="3:13">
      <c r="C670">
        <v>669</v>
      </c>
      <c r="D670" t="s">
        <v>2272</v>
      </c>
      <c r="E670" t="s">
        <v>2272</v>
      </c>
      <c r="F670">
        <v>0</v>
      </c>
      <c r="G670">
        <v>1</v>
      </c>
      <c r="J670">
        <v>759</v>
      </c>
      <c r="K670" t="s">
        <v>2197</v>
      </c>
      <c r="L670" t="s">
        <v>2197</v>
      </c>
      <c r="M670" t="s">
        <v>2332</v>
      </c>
    </row>
    <row r="671" spans="3:13">
      <c r="C671">
        <v>670</v>
      </c>
      <c r="D671" t="s">
        <v>718</v>
      </c>
      <c r="E671" t="s">
        <v>718</v>
      </c>
      <c r="F671">
        <v>0</v>
      </c>
      <c r="G671">
        <v>1</v>
      </c>
      <c r="J671">
        <v>760</v>
      </c>
      <c r="K671" t="s">
        <v>2198</v>
      </c>
      <c r="L671" t="s">
        <v>2198</v>
      </c>
      <c r="M671" t="s">
        <v>2332</v>
      </c>
    </row>
    <row r="672" spans="3:13">
      <c r="C672">
        <v>671</v>
      </c>
      <c r="D672" t="s">
        <v>719</v>
      </c>
      <c r="E672" t="s">
        <v>719</v>
      </c>
      <c r="F672">
        <v>0</v>
      </c>
      <c r="G672">
        <v>1</v>
      </c>
      <c r="J672">
        <v>761</v>
      </c>
      <c r="K672" t="s">
        <v>2274</v>
      </c>
      <c r="L672" t="s">
        <v>2274</v>
      </c>
      <c r="M672" t="s">
        <v>14</v>
      </c>
    </row>
    <row r="673" spans="3:13">
      <c r="C673">
        <v>672</v>
      </c>
      <c r="D673" t="s">
        <v>720</v>
      </c>
      <c r="E673" t="s">
        <v>720</v>
      </c>
      <c r="F673">
        <v>0.5</v>
      </c>
      <c r="G673">
        <v>0.5</v>
      </c>
      <c r="J673">
        <v>576</v>
      </c>
      <c r="K673" t="s">
        <v>617</v>
      </c>
      <c r="L673" t="s">
        <v>617</v>
      </c>
      <c r="M673" t="s">
        <v>2334</v>
      </c>
    </row>
    <row r="674" spans="3:13">
      <c r="C674">
        <v>673</v>
      </c>
      <c r="D674" t="s">
        <v>721</v>
      </c>
      <c r="E674" t="s">
        <v>721</v>
      </c>
      <c r="F674">
        <v>0.5</v>
      </c>
      <c r="G674">
        <v>0.5</v>
      </c>
      <c r="J674">
        <v>577</v>
      </c>
      <c r="K674" t="s">
        <v>618</v>
      </c>
      <c r="L674" t="s">
        <v>618</v>
      </c>
      <c r="M674" t="s">
        <v>2336</v>
      </c>
    </row>
    <row r="675" spans="3:13">
      <c r="C675">
        <v>674</v>
      </c>
      <c r="D675" t="s">
        <v>722</v>
      </c>
      <c r="E675" t="s">
        <v>722</v>
      </c>
      <c r="F675">
        <v>0.5</v>
      </c>
      <c r="G675">
        <v>0.5</v>
      </c>
      <c r="J675">
        <v>578</v>
      </c>
      <c r="K675" t="s">
        <v>619</v>
      </c>
      <c r="L675" t="s">
        <v>619</v>
      </c>
      <c r="M675" t="s">
        <v>2336</v>
      </c>
    </row>
    <row r="676" spans="3:13">
      <c r="C676">
        <v>675</v>
      </c>
      <c r="D676" t="s">
        <v>723</v>
      </c>
      <c r="E676" t="s">
        <v>723</v>
      </c>
      <c r="F676">
        <v>0.5</v>
      </c>
      <c r="G676">
        <v>0.5</v>
      </c>
      <c r="J676">
        <v>579</v>
      </c>
      <c r="K676" t="s">
        <v>620</v>
      </c>
      <c r="L676" t="s">
        <v>620</v>
      </c>
      <c r="M676" t="s">
        <v>2336</v>
      </c>
    </row>
    <row r="677" spans="3:13">
      <c r="C677">
        <v>676</v>
      </c>
      <c r="D677" t="s">
        <v>724</v>
      </c>
      <c r="E677" t="s">
        <v>724</v>
      </c>
      <c r="F677">
        <v>0.5</v>
      </c>
      <c r="G677">
        <v>0.5</v>
      </c>
      <c r="J677">
        <v>580</v>
      </c>
      <c r="K677" t="s">
        <v>621</v>
      </c>
      <c r="L677" t="s">
        <v>621</v>
      </c>
      <c r="M677" t="s">
        <v>22</v>
      </c>
    </row>
    <row r="678" spans="3:13">
      <c r="C678">
        <v>677</v>
      </c>
      <c r="D678" t="s">
        <v>725</v>
      </c>
      <c r="E678" t="s">
        <v>725</v>
      </c>
      <c r="F678">
        <v>0.5</v>
      </c>
      <c r="G678">
        <v>0.5</v>
      </c>
      <c r="J678">
        <v>581</v>
      </c>
      <c r="K678" t="s">
        <v>622</v>
      </c>
      <c r="L678" t="s">
        <v>622</v>
      </c>
      <c r="M678" t="s">
        <v>22</v>
      </c>
    </row>
    <row r="679" spans="3:13">
      <c r="C679">
        <v>678</v>
      </c>
      <c r="D679" t="s">
        <v>2168</v>
      </c>
      <c r="E679" t="s">
        <v>2168</v>
      </c>
      <c r="F679">
        <v>0.5</v>
      </c>
      <c r="G679">
        <v>0.5</v>
      </c>
      <c r="J679">
        <v>582</v>
      </c>
      <c r="K679" t="s">
        <v>623</v>
      </c>
      <c r="L679" t="s">
        <v>623</v>
      </c>
      <c r="M679" t="s">
        <v>2112</v>
      </c>
    </row>
    <row r="680" spans="3:13">
      <c r="C680">
        <v>679</v>
      </c>
      <c r="D680" t="s">
        <v>728</v>
      </c>
      <c r="E680" t="s">
        <v>728</v>
      </c>
      <c r="F680">
        <v>0.5</v>
      </c>
      <c r="G680">
        <v>0.5</v>
      </c>
      <c r="J680">
        <v>583</v>
      </c>
      <c r="K680" t="s">
        <v>624</v>
      </c>
      <c r="L680" t="s">
        <v>624</v>
      </c>
      <c r="M680" t="s">
        <v>2112</v>
      </c>
    </row>
    <row r="681" spans="3:13">
      <c r="C681">
        <v>680</v>
      </c>
      <c r="D681" t="s">
        <v>729</v>
      </c>
      <c r="E681" t="s">
        <v>729</v>
      </c>
      <c r="F681">
        <v>0.5</v>
      </c>
      <c r="G681">
        <v>0.5</v>
      </c>
      <c r="J681">
        <v>584</v>
      </c>
      <c r="K681" t="s">
        <v>625</v>
      </c>
      <c r="L681" t="s">
        <v>625</v>
      </c>
      <c r="M681" t="s">
        <v>2112</v>
      </c>
    </row>
    <row r="682" spans="3:13">
      <c r="C682">
        <v>681</v>
      </c>
      <c r="D682" t="s">
        <v>2169</v>
      </c>
      <c r="E682" t="s">
        <v>2169</v>
      </c>
      <c r="F682">
        <v>0.5</v>
      </c>
      <c r="G682">
        <v>0.5</v>
      </c>
      <c r="J682">
        <v>585</v>
      </c>
      <c r="K682" t="s">
        <v>626</v>
      </c>
      <c r="L682" t="s">
        <v>626</v>
      </c>
      <c r="M682" t="s">
        <v>2332</v>
      </c>
    </row>
    <row r="683" spans="3:13">
      <c r="C683">
        <v>682</v>
      </c>
      <c r="D683" t="s">
        <v>732</v>
      </c>
      <c r="E683" t="s">
        <v>732</v>
      </c>
      <c r="F683">
        <v>0.5</v>
      </c>
      <c r="G683">
        <v>0.5</v>
      </c>
      <c r="J683">
        <v>586</v>
      </c>
      <c r="K683" t="s">
        <v>627</v>
      </c>
      <c r="L683" t="s">
        <v>627</v>
      </c>
      <c r="M683" t="s">
        <v>2332</v>
      </c>
    </row>
    <row r="684" spans="3:13">
      <c r="C684">
        <v>683</v>
      </c>
      <c r="D684" t="s">
        <v>733</v>
      </c>
      <c r="E684" t="s">
        <v>733</v>
      </c>
      <c r="F684">
        <v>0.5</v>
      </c>
      <c r="G684">
        <v>0.5</v>
      </c>
      <c r="J684">
        <v>587</v>
      </c>
      <c r="K684" t="s">
        <v>628</v>
      </c>
      <c r="L684" t="s">
        <v>628</v>
      </c>
      <c r="M684" t="s">
        <v>2332</v>
      </c>
    </row>
    <row r="685" spans="3:13">
      <c r="C685">
        <v>684</v>
      </c>
      <c r="D685" t="s">
        <v>734</v>
      </c>
      <c r="E685" t="s">
        <v>734</v>
      </c>
      <c r="F685">
        <v>0.5</v>
      </c>
      <c r="G685">
        <v>0.5</v>
      </c>
      <c r="J685">
        <v>588</v>
      </c>
      <c r="K685" t="s">
        <v>629</v>
      </c>
      <c r="L685" t="s">
        <v>629</v>
      </c>
      <c r="M685" t="s">
        <v>29</v>
      </c>
    </row>
    <row r="686" spans="3:13">
      <c r="C686">
        <v>685</v>
      </c>
      <c r="D686" t="s">
        <v>735</v>
      </c>
      <c r="E686" t="s">
        <v>735</v>
      </c>
      <c r="F686">
        <v>0.5</v>
      </c>
      <c r="G686">
        <v>0.5</v>
      </c>
      <c r="J686">
        <v>589</v>
      </c>
      <c r="K686" t="s">
        <v>630</v>
      </c>
      <c r="L686" t="s">
        <v>630</v>
      </c>
      <c r="M686" t="s">
        <v>29</v>
      </c>
    </row>
    <row r="687" spans="3:13">
      <c r="C687">
        <v>686</v>
      </c>
      <c r="D687" t="s">
        <v>736</v>
      </c>
      <c r="E687" t="s">
        <v>736</v>
      </c>
      <c r="F687">
        <v>0.5</v>
      </c>
      <c r="G687">
        <v>0.5</v>
      </c>
      <c r="J687">
        <v>590</v>
      </c>
      <c r="K687" t="s">
        <v>631</v>
      </c>
      <c r="L687" t="s">
        <v>631</v>
      </c>
      <c r="M687" t="s">
        <v>14</v>
      </c>
    </row>
    <row r="688" spans="3:13">
      <c r="C688">
        <v>687</v>
      </c>
      <c r="D688" t="s">
        <v>737</v>
      </c>
      <c r="E688" t="s">
        <v>737</v>
      </c>
      <c r="F688">
        <v>0.5</v>
      </c>
      <c r="G688">
        <v>0.5</v>
      </c>
      <c r="J688">
        <v>591</v>
      </c>
      <c r="K688" t="s">
        <v>632</v>
      </c>
      <c r="L688" t="s">
        <v>632</v>
      </c>
      <c r="M688" t="s">
        <v>14</v>
      </c>
    </row>
    <row r="689" spans="3:13">
      <c r="C689">
        <v>688</v>
      </c>
      <c r="D689" t="s">
        <v>738</v>
      </c>
      <c r="E689" t="s">
        <v>738</v>
      </c>
      <c r="F689">
        <v>0.5</v>
      </c>
      <c r="G689">
        <v>0.5</v>
      </c>
      <c r="J689">
        <v>592</v>
      </c>
      <c r="K689" t="s">
        <v>633</v>
      </c>
      <c r="L689" t="s">
        <v>633</v>
      </c>
      <c r="M689" t="s">
        <v>2336</v>
      </c>
    </row>
    <row r="690" spans="3:13">
      <c r="C690">
        <v>689</v>
      </c>
      <c r="D690" t="s">
        <v>739</v>
      </c>
      <c r="E690" t="s">
        <v>739</v>
      </c>
      <c r="F690">
        <v>0.5</v>
      </c>
      <c r="G690">
        <v>0.5</v>
      </c>
      <c r="J690">
        <v>593</v>
      </c>
      <c r="K690" t="s">
        <v>634</v>
      </c>
      <c r="L690" t="s">
        <v>634</v>
      </c>
      <c r="M690" t="s">
        <v>2336</v>
      </c>
    </row>
    <row r="691" spans="3:13">
      <c r="C691">
        <v>690</v>
      </c>
      <c r="D691" t="s">
        <v>740</v>
      </c>
      <c r="E691" t="s">
        <v>740</v>
      </c>
      <c r="F691">
        <v>0.5</v>
      </c>
      <c r="G691">
        <v>0.5</v>
      </c>
      <c r="J691">
        <v>594</v>
      </c>
      <c r="K691" t="s">
        <v>635</v>
      </c>
      <c r="L691" t="s">
        <v>635</v>
      </c>
      <c r="M691" t="s">
        <v>2337</v>
      </c>
    </row>
    <row r="692" spans="3:13">
      <c r="C692">
        <v>691</v>
      </c>
      <c r="D692" t="s">
        <v>741</v>
      </c>
      <c r="E692" t="s">
        <v>741</v>
      </c>
      <c r="F692">
        <v>0.5</v>
      </c>
      <c r="G692">
        <v>0.5</v>
      </c>
      <c r="J692">
        <v>595</v>
      </c>
      <c r="K692" t="s">
        <v>636</v>
      </c>
      <c r="L692" t="s">
        <v>636</v>
      </c>
      <c r="M692" t="s">
        <v>29</v>
      </c>
    </row>
    <row r="693" spans="3:13">
      <c r="C693">
        <v>692</v>
      </c>
      <c r="D693" t="s">
        <v>742</v>
      </c>
      <c r="E693" t="s">
        <v>742</v>
      </c>
      <c r="F693">
        <v>0.5</v>
      </c>
      <c r="G693">
        <v>0.5</v>
      </c>
      <c r="J693">
        <v>596</v>
      </c>
      <c r="K693" t="s">
        <v>637</v>
      </c>
      <c r="L693" t="s">
        <v>637</v>
      </c>
      <c r="M693" t="s">
        <v>29</v>
      </c>
    </row>
    <row r="694" spans="3:13">
      <c r="C694">
        <v>693</v>
      </c>
      <c r="D694" t="s">
        <v>743</v>
      </c>
      <c r="E694" t="s">
        <v>743</v>
      </c>
      <c r="F694">
        <v>0.5</v>
      </c>
      <c r="G694">
        <v>0.5</v>
      </c>
      <c r="J694">
        <v>597</v>
      </c>
      <c r="K694" t="s">
        <v>638</v>
      </c>
      <c r="L694" t="s">
        <v>638</v>
      </c>
      <c r="M694" t="s">
        <v>2112</v>
      </c>
    </row>
    <row r="695" spans="3:13">
      <c r="C695">
        <v>694</v>
      </c>
      <c r="D695" t="s">
        <v>744</v>
      </c>
      <c r="E695" t="s">
        <v>744</v>
      </c>
      <c r="F695">
        <v>0.5</v>
      </c>
      <c r="G695">
        <v>0.5</v>
      </c>
      <c r="J695">
        <v>598</v>
      </c>
      <c r="K695" t="s">
        <v>639</v>
      </c>
      <c r="L695" t="s">
        <v>639</v>
      </c>
      <c r="M695" t="s">
        <v>2112</v>
      </c>
    </row>
    <row r="696" spans="3:13">
      <c r="C696">
        <v>695</v>
      </c>
      <c r="D696" t="s">
        <v>745</v>
      </c>
      <c r="E696" t="s">
        <v>745</v>
      </c>
      <c r="F696">
        <v>0.5</v>
      </c>
      <c r="G696">
        <v>0.5</v>
      </c>
      <c r="J696">
        <v>599</v>
      </c>
      <c r="K696" t="s">
        <v>640</v>
      </c>
      <c r="L696" t="s">
        <v>640</v>
      </c>
      <c r="M696" t="s">
        <v>2112</v>
      </c>
    </row>
    <row r="697" spans="3:13">
      <c r="C697">
        <v>696</v>
      </c>
      <c r="D697" t="s">
        <v>746</v>
      </c>
      <c r="E697" t="s">
        <v>746</v>
      </c>
      <c r="F697">
        <v>0.85</v>
      </c>
      <c r="G697">
        <v>0.15</v>
      </c>
      <c r="J697">
        <v>116</v>
      </c>
      <c r="K697" t="s">
        <v>143</v>
      </c>
      <c r="L697" t="s">
        <v>143</v>
      </c>
      <c r="M697" t="s">
        <v>23</v>
      </c>
    </row>
    <row r="698" spans="3:13">
      <c r="C698">
        <v>697</v>
      </c>
      <c r="D698" t="s">
        <v>747</v>
      </c>
      <c r="E698" t="s">
        <v>747</v>
      </c>
      <c r="F698">
        <v>0.85</v>
      </c>
      <c r="G698">
        <v>0.15</v>
      </c>
      <c r="J698">
        <v>117</v>
      </c>
      <c r="K698" t="s">
        <v>144</v>
      </c>
      <c r="L698" t="s">
        <v>144</v>
      </c>
      <c r="M698" t="s">
        <v>23</v>
      </c>
    </row>
    <row r="699" spans="3:13">
      <c r="C699">
        <v>698</v>
      </c>
      <c r="D699" t="s">
        <v>748</v>
      </c>
      <c r="E699" t="s">
        <v>748</v>
      </c>
      <c r="F699">
        <v>0.85</v>
      </c>
      <c r="G699">
        <v>0.15</v>
      </c>
      <c r="J699">
        <v>118</v>
      </c>
      <c r="K699" t="s">
        <v>145</v>
      </c>
      <c r="L699" t="s">
        <v>145</v>
      </c>
      <c r="M699" t="s">
        <v>2337</v>
      </c>
    </row>
    <row r="700" spans="3:13">
      <c r="C700">
        <v>699</v>
      </c>
      <c r="D700" t="s">
        <v>749</v>
      </c>
      <c r="E700" t="s">
        <v>749</v>
      </c>
      <c r="F700">
        <v>0.85</v>
      </c>
      <c r="G700">
        <v>0.15</v>
      </c>
      <c r="J700">
        <v>119</v>
      </c>
      <c r="K700" t="s">
        <v>146</v>
      </c>
      <c r="L700" t="s">
        <v>146</v>
      </c>
      <c r="M700" t="s">
        <v>2337</v>
      </c>
    </row>
    <row r="701" spans="3:13">
      <c r="C701">
        <v>700</v>
      </c>
      <c r="D701" t="s">
        <v>750</v>
      </c>
      <c r="E701" t="s">
        <v>750</v>
      </c>
      <c r="F701">
        <v>0.85</v>
      </c>
      <c r="G701">
        <v>0.15</v>
      </c>
      <c r="J701">
        <v>120</v>
      </c>
      <c r="K701" t="s">
        <v>147</v>
      </c>
      <c r="L701" t="s">
        <v>147</v>
      </c>
      <c r="M701" t="s">
        <v>2335</v>
      </c>
    </row>
    <row r="702" spans="3:13">
      <c r="C702">
        <v>701</v>
      </c>
      <c r="D702" t="s">
        <v>751</v>
      </c>
      <c r="E702" t="s">
        <v>751</v>
      </c>
      <c r="F702">
        <v>0.5</v>
      </c>
      <c r="G702">
        <v>0.5</v>
      </c>
      <c r="J702">
        <v>600</v>
      </c>
      <c r="K702" t="s">
        <v>641</v>
      </c>
      <c r="L702" t="s">
        <v>641</v>
      </c>
      <c r="M702" t="s">
        <v>2112</v>
      </c>
    </row>
    <row r="703" spans="3:13">
      <c r="C703">
        <v>702</v>
      </c>
      <c r="D703" t="s">
        <v>752</v>
      </c>
      <c r="E703" t="s">
        <v>752</v>
      </c>
      <c r="F703">
        <v>0.5</v>
      </c>
      <c r="G703">
        <v>0.5</v>
      </c>
      <c r="J703">
        <v>601</v>
      </c>
      <c r="K703" t="s">
        <v>642</v>
      </c>
      <c r="L703" t="s">
        <v>642</v>
      </c>
      <c r="M703" t="s">
        <v>2112</v>
      </c>
    </row>
    <row r="704" spans="3:13">
      <c r="C704">
        <v>703</v>
      </c>
      <c r="D704" t="s">
        <v>753</v>
      </c>
      <c r="E704" t="s">
        <v>753</v>
      </c>
      <c r="F704" s="123" t="s">
        <v>1109</v>
      </c>
      <c r="G704" s="123" t="s">
        <v>1109</v>
      </c>
      <c r="J704">
        <v>806</v>
      </c>
      <c r="K704" t="s">
        <v>2313</v>
      </c>
      <c r="L704" t="s">
        <v>2313</v>
      </c>
      <c r="M704" t="s">
        <v>2333</v>
      </c>
    </row>
    <row r="705" spans="3:13">
      <c r="C705">
        <v>704</v>
      </c>
      <c r="D705" t="s">
        <v>754</v>
      </c>
      <c r="E705" t="s">
        <v>754</v>
      </c>
      <c r="F705">
        <v>0.5</v>
      </c>
      <c r="G705">
        <v>0.5</v>
      </c>
      <c r="J705">
        <v>602</v>
      </c>
      <c r="K705" t="s">
        <v>643</v>
      </c>
      <c r="L705" t="s">
        <v>643</v>
      </c>
      <c r="M705" t="s">
        <v>2336</v>
      </c>
    </row>
    <row r="706" spans="3:13">
      <c r="C706">
        <v>705</v>
      </c>
      <c r="D706" t="s">
        <v>755</v>
      </c>
      <c r="E706" t="s">
        <v>755</v>
      </c>
      <c r="F706">
        <v>0.5</v>
      </c>
      <c r="G706">
        <v>0.5</v>
      </c>
      <c r="J706">
        <v>603</v>
      </c>
      <c r="K706" t="s">
        <v>644</v>
      </c>
      <c r="L706" t="s">
        <v>644</v>
      </c>
      <c r="M706" t="s">
        <v>2336</v>
      </c>
    </row>
    <row r="707" spans="3:13">
      <c r="C707">
        <v>706</v>
      </c>
      <c r="D707" t="s">
        <v>756</v>
      </c>
      <c r="E707" t="s">
        <v>756</v>
      </c>
      <c r="F707">
        <v>0.5</v>
      </c>
      <c r="G707">
        <v>0.5</v>
      </c>
      <c r="J707">
        <v>604</v>
      </c>
      <c r="K707" t="s">
        <v>645</v>
      </c>
      <c r="L707" t="s">
        <v>645</v>
      </c>
      <c r="M707" t="s">
        <v>2336</v>
      </c>
    </row>
    <row r="708" spans="3:13">
      <c r="C708">
        <v>707</v>
      </c>
      <c r="D708" t="s">
        <v>757</v>
      </c>
      <c r="E708" t="s">
        <v>757</v>
      </c>
      <c r="F708">
        <v>0.5</v>
      </c>
      <c r="G708">
        <v>0.5</v>
      </c>
      <c r="J708">
        <v>605</v>
      </c>
      <c r="K708" t="s">
        <v>646</v>
      </c>
      <c r="L708" t="s">
        <v>646</v>
      </c>
      <c r="M708" t="s">
        <v>2334</v>
      </c>
    </row>
    <row r="709" spans="3:13">
      <c r="C709">
        <v>708</v>
      </c>
      <c r="D709" t="s">
        <v>758</v>
      </c>
      <c r="E709" t="s">
        <v>758</v>
      </c>
      <c r="F709">
        <v>0.5</v>
      </c>
      <c r="G709">
        <v>0.5</v>
      </c>
      <c r="J709">
        <v>606</v>
      </c>
      <c r="K709" t="s">
        <v>647</v>
      </c>
      <c r="L709" t="s">
        <v>647</v>
      </c>
      <c r="M709" t="s">
        <v>2334</v>
      </c>
    </row>
    <row r="710" spans="3:13">
      <c r="C710">
        <v>709</v>
      </c>
      <c r="D710" t="s">
        <v>759</v>
      </c>
      <c r="E710" t="s">
        <v>759</v>
      </c>
      <c r="F710">
        <v>0.5</v>
      </c>
      <c r="G710">
        <v>0.5</v>
      </c>
      <c r="J710">
        <v>607</v>
      </c>
      <c r="K710" t="s">
        <v>648</v>
      </c>
      <c r="L710" t="s">
        <v>648</v>
      </c>
      <c r="M710" t="s">
        <v>2336</v>
      </c>
    </row>
    <row r="711" spans="3:13">
      <c r="C711">
        <v>710</v>
      </c>
      <c r="D711" t="s">
        <v>2170</v>
      </c>
      <c r="E711" t="s">
        <v>2170</v>
      </c>
      <c r="F711">
        <v>0.5</v>
      </c>
      <c r="G711">
        <v>0.5</v>
      </c>
      <c r="J711">
        <v>608</v>
      </c>
      <c r="K711" t="s">
        <v>649</v>
      </c>
      <c r="L711" t="s">
        <v>649</v>
      </c>
      <c r="M711" t="s">
        <v>2336</v>
      </c>
    </row>
    <row r="712" spans="3:13">
      <c r="C712">
        <v>711</v>
      </c>
      <c r="D712" t="s">
        <v>2171</v>
      </c>
      <c r="E712" t="s">
        <v>2171</v>
      </c>
      <c r="F712">
        <v>0.5</v>
      </c>
      <c r="G712">
        <v>0.5</v>
      </c>
      <c r="J712">
        <v>609</v>
      </c>
      <c r="K712" t="s">
        <v>650</v>
      </c>
      <c r="L712" t="s">
        <v>650</v>
      </c>
      <c r="M712" t="s">
        <v>2336</v>
      </c>
    </row>
    <row r="713" spans="3:13">
      <c r="C713">
        <v>712</v>
      </c>
      <c r="D713" t="s">
        <v>760</v>
      </c>
      <c r="E713" t="s">
        <v>760</v>
      </c>
      <c r="F713">
        <v>0.5</v>
      </c>
      <c r="G713">
        <v>0.5</v>
      </c>
      <c r="J713">
        <v>610</v>
      </c>
      <c r="K713" t="s">
        <v>651</v>
      </c>
      <c r="L713" t="s">
        <v>651</v>
      </c>
      <c r="M713" t="s">
        <v>23</v>
      </c>
    </row>
    <row r="714" spans="3:13">
      <c r="C714">
        <v>713</v>
      </c>
      <c r="D714" t="s">
        <v>761</v>
      </c>
      <c r="E714" t="s">
        <v>761</v>
      </c>
      <c r="F714">
        <v>0.5</v>
      </c>
      <c r="G714">
        <v>0.5</v>
      </c>
      <c r="J714">
        <v>611</v>
      </c>
      <c r="K714" t="s">
        <v>652</v>
      </c>
      <c r="L714" t="s">
        <v>652</v>
      </c>
      <c r="M714" t="s">
        <v>23</v>
      </c>
    </row>
    <row r="715" spans="3:13">
      <c r="C715">
        <v>714</v>
      </c>
      <c r="D715" t="s">
        <v>762</v>
      </c>
      <c r="E715" t="s">
        <v>762</v>
      </c>
      <c r="F715">
        <v>0.5</v>
      </c>
      <c r="G715">
        <v>0.5</v>
      </c>
      <c r="J715">
        <v>612</v>
      </c>
      <c r="K715" t="s">
        <v>653</v>
      </c>
      <c r="L715" t="s">
        <v>653</v>
      </c>
      <c r="M715" t="s">
        <v>23</v>
      </c>
    </row>
    <row r="716" spans="3:13">
      <c r="C716">
        <v>715</v>
      </c>
      <c r="D716" t="s">
        <v>763</v>
      </c>
      <c r="E716" t="s">
        <v>763</v>
      </c>
      <c r="F716">
        <v>0.5</v>
      </c>
      <c r="G716">
        <v>0.5</v>
      </c>
      <c r="J716">
        <v>613</v>
      </c>
      <c r="K716" t="s">
        <v>654</v>
      </c>
      <c r="L716" t="s">
        <v>654</v>
      </c>
      <c r="M716" t="s">
        <v>2332</v>
      </c>
    </row>
    <row r="717" spans="3:13">
      <c r="C717">
        <v>716</v>
      </c>
      <c r="D717" t="s">
        <v>764</v>
      </c>
      <c r="E717" t="s">
        <v>764</v>
      </c>
      <c r="F717" s="123" t="s">
        <v>1109</v>
      </c>
      <c r="G717" s="123" t="s">
        <v>1109</v>
      </c>
      <c r="J717">
        <v>853</v>
      </c>
      <c r="K717" t="s">
        <v>2248</v>
      </c>
      <c r="L717" t="s">
        <v>2248</v>
      </c>
      <c r="M717" t="s">
        <v>2334</v>
      </c>
    </row>
    <row r="718" spans="3:13">
      <c r="C718">
        <v>717</v>
      </c>
      <c r="D718" t="s">
        <v>765</v>
      </c>
      <c r="E718" t="s">
        <v>765</v>
      </c>
      <c r="F718" s="123" t="s">
        <v>1109</v>
      </c>
      <c r="G718" s="123" t="s">
        <v>1109</v>
      </c>
      <c r="J718">
        <v>854</v>
      </c>
      <c r="K718" t="s">
        <v>2284</v>
      </c>
      <c r="L718" t="s">
        <v>2284</v>
      </c>
      <c r="M718" t="s">
        <v>2336</v>
      </c>
    </row>
    <row r="719" spans="3:13">
      <c r="C719">
        <v>718</v>
      </c>
      <c r="D719" t="s">
        <v>2288</v>
      </c>
      <c r="E719" t="s">
        <v>2288</v>
      </c>
      <c r="F719" s="123" t="s">
        <v>1109</v>
      </c>
      <c r="G719" s="123" t="s">
        <v>1109</v>
      </c>
      <c r="J719">
        <v>855</v>
      </c>
      <c r="K719" t="s">
        <v>2285</v>
      </c>
      <c r="L719" t="s">
        <v>2285</v>
      </c>
      <c r="M719" t="s">
        <v>2336</v>
      </c>
    </row>
    <row r="720" spans="3:13">
      <c r="C720">
        <v>719</v>
      </c>
      <c r="D720" t="s">
        <v>766</v>
      </c>
      <c r="E720" t="s">
        <v>766</v>
      </c>
      <c r="F720" s="123" t="s">
        <v>1109</v>
      </c>
      <c r="G720" s="123" t="s">
        <v>1109</v>
      </c>
      <c r="J720">
        <v>856</v>
      </c>
      <c r="K720" t="s">
        <v>2277</v>
      </c>
      <c r="L720" t="s">
        <v>2277</v>
      </c>
      <c r="M720" t="s">
        <v>56</v>
      </c>
    </row>
    <row r="721" spans="3:13">
      <c r="C721">
        <v>720</v>
      </c>
      <c r="D721" t="s">
        <v>2289</v>
      </c>
      <c r="E721" t="s">
        <v>2289</v>
      </c>
      <c r="F721" s="123" t="s">
        <v>1109</v>
      </c>
      <c r="G721" s="123" t="s">
        <v>1109</v>
      </c>
      <c r="J721">
        <v>857</v>
      </c>
      <c r="K721" t="s">
        <v>2278</v>
      </c>
      <c r="L721" t="s">
        <v>2278</v>
      </c>
      <c r="M721" t="s">
        <v>56</v>
      </c>
    </row>
    <row r="722" spans="3:13">
      <c r="C722">
        <v>721</v>
      </c>
      <c r="D722" t="s">
        <v>767</v>
      </c>
      <c r="E722" t="s">
        <v>767</v>
      </c>
      <c r="F722" s="123" t="s">
        <v>1109</v>
      </c>
      <c r="G722" s="123" t="s">
        <v>1109</v>
      </c>
      <c r="J722">
        <v>858</v>
      </c>
      <c r="K722" t="s">
        <v>2279</v>
      </c>
      <c r="L722" t="s">
        <v>2279</v>
      </c>
      <c r="M722" t="s">
        <v>56</v>
      </c>
    </row>
    <row r="723" spans="3:13">
      <c r="C723">
        <v>722</v>
      </c>
      <c r="D723" t="s">
        <v>2147</v>
      </c>
      <c r="E723" t="s">
        <v>2147</v>
      </c>
      <c r="F723">
        <v>0.85</v>
      </c>
      <c r="G723">
        <v>0.15</v>
      </c>
      <c r="J723">
        <v>121</v>
      </c>
      <c r="K723" t="s">
        <v>148</v>
      </c>
      <c r="L723" t="s">
        <v>148</v>
      </c>
      <c r="M723" t="s">
        <v>2335</v>
      </c>
    </row>
    <row r="724" spans="3:13">
      <c r="C724">
        <v>723</v>
      </c>
      <c r="D724" t="s">
        <v>2148</v>
      </c>
      <c r="E724" t="s">
        <v>2148</v>
      </c>
      <c r="F724">
        <v>0.85</v>
      </c>
      <c r="G724">
        <v>0.15</v>
      </c>
      <c r="J724">
        <v>122</v>
      </c>
      <c r="K724" t="s">
        <v>149</v>
      </c>
      <c r="L724" t="s">
        <v>149</v>
      </c>
      <c r="M724" t="s">
        <v>2334</v>
      </c>
    </row>
    <row r="725" spans="3:13">
      <c r="C725">
        <v>724</v>
      </c>
      <c r="D725" t="s">
        <v>2149</v>
      </c>
      <c r="E725" t="s">
        <v>2149</v>
      </c>
      <c r="F725">
        <v>0.85</v>
      </c>
      <c r="G725">
        <v>0.15</v>
      </c>
      <c r="J725">
        <v>123</v>
      </c>
      <c r="K725" t="s">
        <v>150</v>
      </c>
      <c r="L725" t="s">
        <v>150</v>
      </c>
      <c r="M725" t="s">
        <v>29</v>
      </c>
    </row>
    <row r="726" spans="3:13">
      <c r="C726">
        <v>725</v>
      </c>
      <c r="D726" t="s">
        <v>2150</v>
      </c>
      <c r="E726" t="s">
        <v>2150</v>
      </c>
      <c r="F726">
        <v>0.85</v>
      </c>
      <c r="G726">
        <v>0.15</v>
      </c>
      <c r="J726">
        <v>124</v>
      </c>
      <c r="K726" t="s">
        <v>151</v>
      </c>
      <c r="L726" t="s">
        <v>151</v>
      </c>
      <c r="M726" t="s">
        <v>2334</v>
      </c>
    </row>
    <row r="727" spans="3:13">
      <c r="C727">
        <v>726</v>
      </c>
      <c r="D727" t="s">
        <v>2151</v>
      </c>
      <c r="E727" t="s">
        <v>2151</v>
      </c>
      <c r="F727">
        <v>0.85</v>
      </c>
      <c r="G727">
        <v>0.15</v>
      </c>
      <c r="J727">
        <v>125</v>
      </c>
      <c r="K727" t="s">
        <v>152</v>
      </c>
      <c r="L727" t="s">
        <v>152</v>
      </c>
      <c r="M727" t="s">
        <v>2334</v>
      </c>
    </row>
    <row r="728" spans="3:13">
      <c r="C728">
        <v>727</v>
      </c>
      <c r="D728" t="s">
        <v>2152</v>
      </c>
      <c r="E728" t="s">
        <v>2152</v>
      </c>
      <c r="F728">
        <v>0.85</v>
      </c>
      <c r="G728">
        <v>0.15</v>
      </c>
      <c r="J728">
        <v>126</v>
      </c>
      <c r="K728" t="s">
        <v>153</v>
      </c>
      <c r="L728" t="s">
        <v>153</v>
      </c>
      <c r="M728" t="s">
        <v>2334</v>
      </c>
    </row>
    <row r="729" spans="3:13">
      <c r="C729">
        <v>728</v>
      </c>
      <c r="D729" t="s">
        <v>2153</v>
      </c>
      <c r="E729" t="s">
        <v>2153</v>
      </c>
      <c r="F729">
        <v>0.85</v>
      </c>
      <c r="G729">
        <v>0.15</v>
      </c>
      <c r="J729">
        <v>127</v>
      </c>
      <c r="K729" t="s">
        <v>154</v>
      </c>
      <c r="L729" t="s">
        <v>154</v>
      </c>
      <c r="M729" t="s">
        <v>29</v>
      </c>
    </row>
    <row r="730" spans="3:13">
      <c r="C730">
        <v>729</v>
      </c>
      <c r="D730" t="s">
        <v>2154</v>
      </c>
      <c r="E730" t="s">
        <v>2154</v>
      </c>
      <c r="F730">
        <v>0.85</v>
      </c>
      <c r="G730">
        <v>0.15</v>
      </c>
      <c r="J730">
        <v>128</v>
      </c>
      <c r="K730" t="s">
        <v>155</v>
      </c>
      <c r="L730" t="s">
        <v>155</v>
      </c>
      <c r="M730" t="s">
        <v>2332</v>
      </c>
    </row>
    <row r="731" spans="3:13">
      <c r="C731">
        <v>730</v>
      </c>
      <c r="D731" t="s">
        <v>2155</v>
      </c>
      <c r="E731" t="s">
        <v>2155</v>
      </c>
      <c r="F731">
        <v>0.85</v>
      </c>
      <c r="G731">
        <v>0.15</v>
      </c>
      <c r="J731">
        <v>129</v>
      </c>
      <c r="K731" t="s">
        <v>156</v>
      </c>
      <c r="L731" t="s">
        <v>156</v>
      </c>
      <c r="M731" t="s">
        <v>23</v>
      </c>
    </row>
    <row r="732" spans="3:13">
      <c r="C732">
        <v>731</v>
      </c>
      <c r="D732" t="s">
        <v>2172</v>
      </c>
      <c r="E732" t="s">
        <v>2172</v>
      </c>
      <c r="F732">
        <v>0.5</v>
      </c>
      <c r="G732">
        <v>0.5</v>
      </c>
      <c r="J732">
        <v>614</v>
      </c>
      <c r="K732" t="s">
        <v>655</v>
      </c>
      <c r="L732" t="s">
        <v>655</v>
      </c>
      <c r="M732" t="s">
        <v>2332</v>
      </c>
    </row>
    <row r="733" spans="3:13">
      <c r="C733">
        <v>732</v>
      </c>
      <c r="D733" t="s">
        <v>2173</v>
      </c>
      <c r="E733" t="s">
        <v>2173</v>
      </c>
      <c r="F733">
        <v>0.5</v>
      </c>
      <c r="G733">
        <v>0.5</v>
      </c>
      <c r="J733">
        <v>615</v>
      </c>
      <c r="K733" t="s">
        <v>656</v>
      </c>
      <c r="L733" t="s">
        <v>656</v>
      </c>
      <c r="M733" t="s">
        <v>2112</v>
      </c>
    </row>
    <row r="734" spans="3:13">
      <c r="C734">
        <v>733</v>
      </c>
      <c r="D734" t="s">
        <v>2174</v>
      </c>
      <c r="E734" t="s">
        <v>2174</v>
      </c>
      <c r="F734">
        <v>0.5</v>
      </c>
      <c r="G734">
        <v>0.5</v>
      </c>
      <c r="J734">
        <v>616</v>
      </c>
      <c r="K734" t="s">
        <v>657</v>
      </c>
      <c r="L734" t="s">
        <v>657</v>
      </c>
      <c r="M734" t="s">
        <v>29</v>
      </c>
    </row>
    <row r="735" spans="3:13">
      <c r="C735">
        <v>734</v>
      </c>
      <c r="D735" t="s">
        <v>2175</v>
      </c>
      <c r="E735" t="s">
        <v>2175</v>
      </c>
      <c r="F735">
        <v>0.5</v>
      </c>
      <c r="G735">
        <v>0.5</v>
      </c>
      <c r="J735">
        <v>617</v>
      </c>
      <c r="K735" t="s">
        <v>658</v>
      </c>
      <c r="L735" t="s">
        <v>658</v>
      </c>
      <c r="M735" t="s">
        <v>29</v>
      </c>
    </row>
    <row r="736" spans="3:13">
      <c r="C736">
        <v>735</v>
      </c>
      <c r="D736" t="s">
        <v>2176</v>
      </c>
      <c r="E736" t="s">
        <v>2176</v>
      </c>
      <c r="F736">
        <v>0.5</v>
      </c>
      <c r="G736">
        <v>0.5</v>
      </c>
      <c r="J736">
        <v>618</v>
      </c>
      <c r="K736" t="s">
        <v>659</v>
      </c>
      <c r="L736" t="s">
        <v>659</v>
      </c>
      <c r="M736" t="s">
        <v>2336</v>
      </c>
    </row>
    <row r="737" spans="3:13">
      <c r="C737">
        <v>736</v>
      </c>
      <c r="D737" t="s">
        <v>2177</v>
      </c>
      <c r="E737" t="s">
        <v>2177</v>
      </c>
      <c r="F737">
        <v>0.5</v>
      </c>
      <c r="G737">
        <v>0.5</v>
      </c>
      <c r="J737">
        <v>619</v>
      </c>
      <c r="K737" t="s">
        <v>660</v>
      </c>
      <c r="L737" t="s">
        <v>660</v>
      </c>
      <c r="M737" t="s">
        <v>2334</v>
      </c>
    </row>
    <row r="738" spans="3:13">
      <c r="C738">
        <v>737</v>
      </c>
      <c r="D738" t="s">
        <v>2178</v>
      </c>
      <c r="E738" t="s">
        <v>2178</v>
      </c>
      <c r="F738">
        <v>0.5</v>
      </c>
      <c r="G738">
        <v>0.5</v>
      </c>
      <c r="J738">
        <v>620</v>
      </c>
      <c r="K738" t="s">
        <v>661</v>
      </c>
      <c r="L738" t="s">
        <v>661</v>
      </c>
      <c r="M738" t="s">
        <v>2334</v>
      </c>
    </row>
    <row r="739" spans="3:13">
      <c r="C739">
        <v>738</v>
      </c>
      <c r="D739" t="s">
        <v>2179</v>
      </c>
      <c r="E739" t="s">
        <v>2179</v>
      </c>
      <c r="F739">
        <v>0.5</v>
      </c>
      <c r="G739">
        <v>0.5</v>
      </c>
      <c r="J739">
        <v>621</v>
      </c>
      <c r="K739" t="s">
        <v>662</v>
      </c>
      <c r="L739" t="s">
        <v>662</v>
      </c>
      <c r="M739" t="s">
        <v>23</v>
      </c>
    </row>
    <row r="740" spans="3:13">
      <c r="C740">
        <v>739</v>
      </c>
      <c r="D740" t="s">
        <v>2180</v>
      </c>
      <c r="E740" t="s">
        <v>2180</v>
      </c>
      <c r="F740">
        <v>0.5</v>
      </c>
      <c r="G740">
        <v>0.5</v>
      </c>
      <c r="J740">
        <v>622</v>
      </c>
      <c r="K740" t="s">
        <v>663</v>
      </c>
      <c r="L740" t="s">
        <v>663</v>
      </c>
      <c r="M740" t="s">
        <v>2112</v>
      </c>
    </row>
    <row r="741" spans="3:13">
      <c r="C741">
        <v>740</v>
      </c>
      <c r="D741" t="s">
        <v>2181</v>
      </c>
      <c r="E741" t="s">
        <v>2181</v>
      </c>
      <c r="F741">
        <v>0.5</v>
      </c>
      <c r="G741">
        <v>0.5</v>
      </c>
      <c r="J741">
        <v>623</v>
      </c>
      <c r="K741" t="s">
        <v>664</v>
      </c>
      <c r="L741" t="s">
        <v>664</v>
      </c>
      <c r="M741" t="s">
        <v>2112</v>
      </c>
    </row>
    <row r="742" spans="3:13">
      <c r="C742">
        <v>741</v>
      </c>
      <c r="D742" t="s">
        <v>2268</v>
      </c>
      <c r="E742" t="s">
        <v>2268</v>
      </c>
      <c r="F742">
        <v>0.25</v>
      </c>
      <c r="G742">
        <v>0.75</v>
      </c>
      <c r="J742">
        <v>737</v>
      </c>
      <c r="K742" t="s">
        <v>2178</v>
      </c>
      <c r="L742" t="s">
        <v>2178</v>
      </c>
      <c r="M742" t="s">
        <v>29</v>
      </c>
    </row>
    <row r="743" spans="3:13">
      <c r="C743">
        <v>742</v>
      </c>
      <c r="D743" t="s">
        <v>2182</v>
      </c>
      <c r="E743" t="s">
        <v>2182</v>
      </c>
      <c r="F743">
        <v>0.5</v>
      </c>
      <c r="G743">
        <v>0.5</v>
      </c>
      <c r="J743">
        <v>624</v>
      </c>
      <c r="K743" t="s">
        <v>665</v>
      </c>
      <c r="L743" t="s">
        <v>665</v>
      </c>
      <c r="M743" t="s">
        <v>2334</v>
      </c>
    </row>
    <row r="744" spans="3:13">
      <c r="C744">
        <v>743</v>
      </c>
      <c r="D744" t="s">
        <v>2183</v>
      </c>
      <c r="E744" t="s">
        <v>2183</v>
      </c>
      <c r="F744">
        <v>0.5</v>
      </c>
      <c r="G744">
        <v>0.5</v>
      </c>
      <c r="J744">
        <v>625</v>
      </c>
      <c r="K744" t="s">
        <v>666</v>
      </c>
      <c r="L744" t="s">
        <v>666</v>
      </c>
      <c r="M744" t="s">
        <v>2334</v>
      </c>
    </row>
    <row r="745" spans="3:13">
      <c r="C745">
        <v>744</v>
      </c>
      <c r="D745" t="s">
        <v>2184</v>
      </c>
      <c r="E745" t="s">
        <v>2184</v>
      </c>
      <c r="F745">
        <v>0.5</v>
      </c>
      <c r="G745">
        <v>0.5</v>
      </c>
      <c r="J745">
        <v>626</v>
      </c>
      <c r="K745" t="s">
        <v>667</v>
      </c>
      <c r="L745" t="s">
        <v>667</v>
      </c>
      <c r="M745" t="s">
        <v>2332</v>
      </c>
    </row>
    <row r="746" spans="3:13">
      <c r="C746">
        <v>745</v>
      </c>
      <c r="D746" t="s">
        <v>2185</v>
      </c>
      <c r="E746" t="s">
        <v>2185</v>
      </c>
      <c r="F746">
        <v>0.5</v>
      </c>
      <c r="G746">
        <v>0.5</v>
      </c>
      <c r="J746">
        <v>627</v>
      </c>
      <c r="K746" t="s">
        <v>668</v>
      </c>
      <c r="L746" t="s">
        <v>668</v>
      </c>
      <c r="M746" t="s">
        <v>22</v>
      </c>
    </row>
    <row r="747" spans="3:13">
      <c r="C747">
        <v>746</v>
      </c>
      <c r="D747" t="s">
        <v>2186</v>
      </c>
      <c r="E747" t="s">
        <v>2186</v>
      </c>
      <c r="F747">
        <v>0.5</v>
      </c>
      <c r="G747">
        <v>0.5</v>
      </c>
      <c r="J747">
        <v>628</v>
      </c>
      <c r="K747" t="s">
        <v>669</v>
      </c>
      <c r="L747" t="s">
        <v>669</v>
      </c>
      <c r="M747" t="s">
        <v>22</v>
      </c>
    </row>
    <row r="748" spans="3:13">
      <c r="C748">
        <v>747</v>
      </c>
      <c r="D748" t="s">
        <v>2187</v>
      </c>
      <c r="E748" t="s">
        <v>2187</v>
      </c>
      <c r="F748">
        <v>0.5</v>
      </c>
      <c r="G748">
        <v>0.5</v>
      </c>
      <c r="J748">
        <v>629</v>
      </c>
      <c r="K748" t="s">
        <v>670</v>
      </c>
      <c r="L748" t="s">
        <v>670</v>
      </c>
      <c r="M748" t="s">
        <v>22</v>
      </c>
    </row>
    <row r="749" spans="3:13">
      <c r="C749">
        <v>748</v>
      </c>
      <c r="D749" t="s">
        <v>2188</v>
      </c>
      <c r="E749" t="s">
        <v>2188</v>
      </c>
      <c r="F749">
        <v>0.5</v>
      </c>
      <c r="G749">
        <v>0.5</v>
      </c>
      <c r="J749">
        <v>630</v>
      </c>
      <c r="K749" t="s">
        <v>671</v>
      </c>
      <c r="L749" t="s">
        <v>671</v>
      </c>
      <c r="M749" t="s">
        <v>22</v>
      </c>
    </row>
    <row r="750" spans="3:13">
      <c r="C750">
        <v>749</v>
      </c>
      <c r="D750" t="s">
        <v>2189</v>
      </c>
      <c r="E750" t="s">
        <v>2189</v>
      </c>
      <c r="F750">
        <v>0.5</v>
      </c>
      <c r="G750">
        <v>0.5</v>
      </c>
      <c r="J750">
        <v>631</v>
      </c>
      <c r="K750" t="s">
        <v>672</v>
      </c>
      <c r="L750" t="s">
        <v>672</v>
      </c>
      <c r="M750" t="s">
        <v>2332</v>
      </c>
    </row>
    <row r="751" spans="3:13">
      <c r="C751">
        <v>750</v>
      </c>
      <c r="D751" t="s">
        <v>2190</v>
      </c>
      <c r="E751" t="s">
        <v>2190</v>
      </c>
      <c r="F751">
        <v>0.5</v>
      </c>
      <c r="G751">
        <v>0.5</v>
      </c>
      <c r="J751">
        <v>632</v>
      </c>
      <c r="K751" t="s">
        <v>673</v>
      </c>
      <c r="L751" t="s">
        <v>673</v>
      </c>
      <c r="M751" t="s">
        <v>29</v>
      </c>
    </row>
    <row r="752" spans="3:13">
      <c r="C752">
        <v>751</v>
      </c>
      <c r="D752" t="s">
        <v>2191</v>
      </c>
      <c r="E752" t="s">
        <v>2191</v>
      </c>
      <c r="F752">
        <v>0.5</v>
      </c>
      <c r="G752">
        <v>0.5</v>
      </c>
      <c r="J752">
        <v>633</v>
      </c>
      <c r="K752" t="s">
        <v>674</v>
      </c>
      <c r="L752" t="s">
        <v>674</v>
      </c>
      <c r="M752" t="s">
        <v>23</v>
      </c>
    </row>
    <row r="753" spans="3:13">
      <c r="C753">
        <v>752</v>
      </c>
      <c r="D753" t="s">
        <v>2192</v>
      </c>
      <c r="E753" t="s">
        <v>2192</v>
      </c>
      <c r="F753">
        <v>0.5</v>
      </c>
      <c r="G753">
        <v>0.5</v>
      </c>
      <c r="J753">
        <v>634</v>
      </c>
      <c r="K753" t="s">
        <v>675</v>
      </c>
      <c r="L753" t="s">
        <v>675</v>
      </c>
      <c r="M753" t="s">
        <v>23</v>
      </c>
    </row>
    <row r="754" spans="3:13">
      <c r="C754">
        <v>753</v>
      </c>
      <c r="D754" t="s">
        <v>2193</v>
      </c>
      <c r="E754" t="s">
        <v>2193</v>
      </c>
      <c r="F754">
        <v>0.5</v>
      </c>
      <c r="G754">
        <v>0.5</v>
      </c>
      <c r="J754">
        <v>635</v>
      </c>
      <c r="K754" t="s">
        <v>676</v>
      </c>
      <c r="L754" t="s">
        <v>676</v>
      </c>
      <c r="M754" t="s">
        <v>23</v>
      </c>
    </row>
    <row r="755" spans="3:13">
      <c r="C755">
        <v>754</v>
      </c>
      <c r="D755" t="s">
        <v>2194</v>
      </c>
      <c r="E755" t="s">
        <v>2194</v>
      </c>
      <c r="F755">
        <v>0.5</v>
      </c>
      <c r="G755">
        <v>0.5</v>
      </c>
      <c r="J755">
        <v>636</v>
      </c>
      <c r="K755" t="s">
        <v>677</v>
      </c>
      <c r="L755" t="s">
        <v>677</v>
      </c>
      <c r="M755" t="s">
        <v>29</v>
      </c>
    </row>
    <row r="756" spans="3:13">
      <c r="C756">
        <v>755</v>
      </c>
      <c r="D756" t="s">
        <v>2195</v>
      </c>
      <c r="E756" t="s">
        <v>2195</v>
      </c>
      <c r="F756">
        <v>0.5</v>
      </c>
      <c r="G756">
        <v>0.5</v>
      </c>
      <c r="J756">
        <v>637</v>
      </c>
      <c r="K756" t="s">
        <v>678</v>
      </c>
      <c r="L756" t="s">
        <v>678</v>
      </c>
      <c r="M756" t="s">
        <v>29</v>
      </c>
    </row>
    <row r="757" spans="3:13">
      <c r="C757">
        <v>756</v>
      </c>
      <c r="D757" t="s">
        <v>2196</v>
      </c>
      <c r="E757" t="s">
        <v>2196</v>
      </c>
      <c r="F757">
        <v>0.5</v>
      </c>
      <c r="G757">
        <v>0.5</v>
      </c>
      <c r="J757">
        <v>638</v>
      </c>
      <c r="K757" t="s">
        <v>679</v>
      </c>
      <c r="L757" t="s">
        <v>679</v>
      </c>
      <c r="M757" t="s">
        <v>2333</v>
      </c>
    </row>
    <row r="758" spans="3:13">
      <c r="C758">
        <v>757</v>
      </c>
      <c r="D758" t="s">
        <v>2156</v>
      </c>
      <c r="E758" t="s">
        <v>2156</v>
      </c>
      <c r="F758">
        <v>0.85</v>
      </c>
      <c r="G758">
        <v>0.15</v>
      </c>
      <c r="J758">
        <v>130</v>
      </c>
      <c r="K758" t="s">
        <v>157</v>
      </c>
      <c r="L758" t="s">
        <v>157</v>
      </c>
      <c r="M758" t="s">
        <v>23</v>
      </c>
    </row>
    <row r="759" spans="3:13">
      <c r="C759">
        <v>758</v>
      </c>
      <c r="D759" t="s">
        <v>2273</v>
      </c>
      <c r="E759" t="s">
        <v>2273</v>
      </c>
      <c r="F759">
        <v>0</v>
      </c>
      <c r="G759">
        <v>1</v>
      </c>
      <c r="J759">
        <v>762</v>
      </c>
      <c r="K759" t="s">
        <v>2275</v>
      </c>
      <c r="L759" t="s">
        <v>2275</v>
      </c>
      <c r="M759" t="s">
        <v>14</v>
      </c>
    </row>
    <row r="760" spans="3:13">
      <c r="C760">
        <v>759</v>
      </c>
      <c r="D760" t="s">
        <v>2197</v>
      </c>
      <c r="E760" t="s">
        <v>2197</v>
      </c>
      <c r="F760">
        <v>0.5</v>
      </c>
      <c r="G760">
        <v>0.5</v>
      </c>
      <c r="J760">
        <v>639</v>
      </c>
      <c r="K760" t="s">
        <v>680</v>
      </c>
      <c r="L760" t="s">
        <v>680</v>
      </c>
      <c r="M760" t="s">
        <v>2333</v>
      </c>
    </row>
    <row r="761" spans="3:13">
      <c r="C761">
        <v>760</v>
      </c>
      <c r="D761" t="s">
        <v>2198</v>
      </c>
      <c r="E761" t="s">
        <v>2198</v>
      </c>
      <c r="F761">
        <v>0.5</v>
      </c>
      <c r="G761">
        <v>0.5</v>
      </c>
      <c r="J761">
        <v>640</v>
      </c>
      <c r="K761" t="s">
        <v>681</v>
      </c>
      <c r="L761" t="s">
        <v>681</v>
      </c>
      <c r="M761" t="s">
        <v>2333</v>
      </c>
    </row>
    <row r="762" spans="3:13">
      <c r="C762">
        <v>761</v>
      </c>
      <c r="D762" t="s">
        <v>2274</v>
      </c>
      <c r="E762" t="s">
        <v>2274</v>
      </c>
      <c r="F762">
        <v>0</v>
      </c>
      <c r="G762">
        <v>1</v>
      </c>
      <c r="J762">
        <v>763</v>
      </c>
      <c r="K762" t="s">
        <v>2276</v>
      </c>
      <c r="L762" t="s">
        <v>2276</v>
      </c>
      <c r="M762" t="s">
        <v>14</v>
      </c>
    </row>
    <row r="763" spans="3:13">
      <c r="C763">
        <v>762</v>
      </c>
      <c r="D763" t="s">
        <v>2275</v>
      </c>
      <c r="E763" t="s">
        <v>2275</v>
      </c>
      <c r="F763">
        <v>0</v>
      </c>
      <c r="G763">
        <v>1</v>
      </c>
      <c r="J763">
        <v>764</v>
      </c>
      <c r="K763" t="s">
        <v>2269</v>
      </c>
      <c r="L763" t="s">
        <v>2269</v>
      </c>
      <c r="M763" t="s">
        <v>14</v>
      </c>
    </row>
    <row r="764" spans="3:13">
      <c r="C764">
        <v>763</v>
      </c>
      <c r="D764" t="s">
        <v>2276</v>
      </c>
      <c r="E764" t="s">
        <v>2276</v>
      </c>
      <c r="F764">
        <v>0</v>
      </c>
      <c r="G764">
        <v>1</v>
      </c>
      <c r="J764">
        <v>765</v>
      </c>
      <c r="K764" t="s">
        <v>2199</v>
      </c>
      <c r="L764" t="s">
        <v>2199</v>
      </c>
      <c r="M764" t="s">
        <v>2332</v>
      </c>
    </row>
    <row r="765" spans="3:13">
      <c r="C765">
        <v>764</v>
      </c>
      <c r="D765" t="s">
        <v>2269</v>
      </c>
      <c r="E765" t="s">
        <v>2269</v>
      </c>
      <c r="F765">
        <v>0.25</v>
      </c>
      <c r="G765">
        <v>0.75</v>
      </c>
      <c r="J765">
        <v>738</v>
      </c>
      <c r="K765" t="s">
        <v>2179</v>
      </c>
      <c r="L765" t="s">
        <v>2179</v>
      </c>
      <c r="M765" t="s">
        <v>29</v>
      </c>
    </row>
    <row r="766" spans="3:13">
      <c r="C766">
        <v>765</v>
      </c>
      <c r="D766" t="s">
        <v>2199</v>
      </c>
      <c r="E766" t="s">
        <v>2199</v>
      </c>
      <c r="F766">
        <v>0.5</v>
      </c>
      <c r="G766">
        <v>0.5</v>
      </c>
      <c r="J766">
        <v>641</v>
      </c>
      <c r="K766" t="s">
        <v>2137</v>
      </c>
      <c r="L766" t="s">
        <v>2137</v>
      </c>
      <c r="M766" t="s">
        <v>2333</v>
      </c>
    </row>
    <row r="767" spans="3:13">
      <c r="C767">
        <v>766</v>
      </c>
      <c r="D767" t="s">
        <v>2200</v>
      </c>
      <c r="E767" t="s">
        <v>2200</v>
      </c>
      <c r="F767">
        <v>0.5</v>
      </c>
      <c r="G767">
        <v>0.5</v>
      </c>
      <c r="J767">
        <v>642</v>
      </c>
      <c r="K767" t="s">
        <v>2136</v>
      </c>
      <c r="L767" t="s">
        <v>2136</v>
      </c>
      <c r="M767" t="s">
        <v>2333</v>
      </c>
    </row>
    <row r="768" spans="3:13">
      <c r="C768">
        <v>767</v>
      </c>
      <c r="D768" t="s">
        <v>2201</v>
      </c>
      <c r="E768" t="s">
        <v>2201</v>
      </c>
      <c r="F768">
        <v>0.5</v>
      </c>
      <c r="G768">
        <v>0.5</v>
      </c>
      <c r="J768">
        <v>643</v>
      </c>
      <c r="K768" t="s">
        <v>686</v>
      </c>
      <c r="L768" t="s">
        <v>686</v>
      </c>
      <c r="M768" t="s">
        <v>2333</v>
      </c>
    </row>
    <row r="769" spans="3:13">
      <c r="C769">
        <v>768</v>
      </c>
      <c r="D769" t="s">
        <v>2202</v>
      </c>
      <c r="E769" t="s">
        <v>2202</v>
      </c>
      <c r="F769">
        <v>0.5</v>
      </c>
      <c r="G769">
        <v>0.5</v>
      </c>
      <c r="J769">
        <v>644</v>
      </c>
      <c r="K769" t="s">
        <v>687</v>
      </c>
      <c r="L769" t="s">
        <v>687</v>
      </c>
      <c r="M769" t="s">
        <v>2333</v>
      </c>
    </row>
    <row r="770" spans="3:13">
      <c r="C770">
        <v>769</v>
      </c>
      <c r="D770" t="s">
        <v>2203</v>
      </c>
      <c r="E770" t="s">
        <v>2203</v>
      </c>
      <c r="F770">
        <v>0.5</v>
      </c>
      <c r="G770">
        <v>0.5</v>
      </c>
      <c r="J770">
        <v>645</v>
      </c>
      <c r="K770" t="s">
        <v>2135</v>
      </c>
      <c r="L770" t="s">
        <v>2135</v>
      </c>
      <c r="M770" t="s">
        <v>2333</v>
      </c>
    </row>
    <row r="771" spans="3:13">
      <c r="C771">
        <v>770</v>
      </c>
      <c r="D771" t="s">
        <v>2204</v>
      </c>
      <c r="E771" t="s">
        <v>2204</v>
      </c>
      <c r="F771">
        <v>0.5</v>
      </c>
      <c r="G771">
        <v>0.5</v>
      </c>
      <c r="J771">
        <v>646</v>
      </c>
      <c r="K771" t="s">
        <v>690</v>
      </c>
      <c r="L771" t="s">
        <v>690</v>
      </c>
      <c r="M771" t="s">
        <v>2333</v>
      </c>
    </row>
    <row r="772" spans="3:13">
      <c r="C772">
        <v>771</v>
      </c>
      <c r="D772" t="s">
        <v>2205</v>
      </c>
      <c r="E772" t="s">
        <v>2205</v>
      </c>
      <c r="F772">
        <v>0.5</v>
      </c>
      <c r="G772">
        <v>0.5</v>
      </c>
      <c r="J772">
        <v>647</v>
      </c>
      <c r="K772" t="s">
        <v>2123</v>
      </c>
      <c r="L772" t="s">
        <v>2123</v>
      </c>
      <c r="M772" t="s">
        <v>2333</v>
      </c>
    </row>
    <row r="773" spans="3:13">
      <c r="C773">
        <v>772</v>
      </c>
      <c r="D773" t="s">
        <v>2290</v>
      </c>
      <c r="E773" t="s">
        <v>2290</v>
      </c>
      <c r="F773" s="123" t="s">
        <v>1109</v>
      </c>
      <c r="G773" s="123" t="s">
        <v>1109</v>
      </c>
      <c r="J773">
        <v>859</v>
      </c>
      <c r="K773" t="s">
        <v>2144</v>
      </c>
      <c r="L773" t="s">
        <v>2144</v>
      </c>
      <c r="M773" t="s">
        <v>56</v>
      </c>
    </row>
    <row r="774" spans="3:13">
      <c r="C774">
        <v>773</v>
      </c>
      <c r="D774" t="s">
        <v>2291</v>
      </c>
      <c r="E774" t="s">
        <v>2291</v>
      </c>
      <c r="F774" s="123" t="s">
        <v>1109</v>
      </c>
      <c r="G774" s="123" t="s">
        <v>1109</v>
      </c>
      <c r="J774">
        <v>860</v>
      </c>
      <c r="K774" t="s">
        <v>2145</v>
      </c>
      <c r="L774" t="s">
        <v>2145</v>
      </c>
      <c r="M774" t="s">
        <v>56</v>
      </c>
    </row>
    <row r="775" spans="3:13">
      <c r="C775">
        <v>774</v>
      </c>
      <c r="D775" t="s">
        <v>2282</v>
      </c>
      <c r="E775" t="s">
        <v>2282</v>
      </c>
      <c r="F775" s="123" t="s">
        <v>1109</v>
      </c>
      <c r="G775" s="123" t="s">
        <v>1109</v>
      </c>
      <c r="J775">
        <v>807</v>
      </c>
      <c r="K775" t="s">
        <v>2314</v>
      </c>
      <c r="L775" t="s">
        <v>2314</v>
      </c>
      <c r="M775" t="s">
        <v>2333</v>
      </c>
    </row>
    <row r="776" spans="3:13">
      <c r="C776">
        <v>775</v>
      </c>
      <c r="D776" t="s">
        <v>2206</v>
      </c>
      <c r="E776" t="s">
        <v>2206</v>
      </c>
      <c r="F776">
        <v>0.5</v>
      </c>
      <c r="G776">
        <v>0.5</v>
      </c>
      <c r="J776">
        <v>648</v>
      </c>
      <c r="K776" t="s">
        <v>2134</v>
      </c>
      <c r="L776" t="s">
        <v>2134</v>
      </c>
      <c r="M776" t="s">
        <v>2333</v>
      </c>
    </row>
    <row r="777" spans="3:13">
      <c r="C777">
        <v>776</v>
      </c>
      <c r="D777" t="s">
        <v>2207</v>
      </c>
      <c r="E777" t="s">
        <v>2207</v>
      </c>
      <c r="F777">
        <v>0.5</v>
      </c>
      <c r="G777">
        <v>0.5</v>
      </c>
      <c r="J777">
        <v>649</v>
      </c>
      <c r="K777" t="s">
        <v>697</v>
      </c>
      <c r="L777" t="s">
        <v>697</v>
      </c>
      <c r="M777" t="s">
        <v>2333</v>
      </c>
    </row>
    <row r="778" spans="3:13">
      <c r="C778">
        <v>777</v>
      </c>
      <c r="D778" t="s">
        <v>2208</v>
      </c>
      <c r="E778" t="s">
        <v>2208</v>
      </c>
      <c r="F778">
        <v>0.5</v>
      </c>
      <c r="G778">
        <v>0.5</v>
      </c>
      <c r="J778">
        <v>650</v>
      </c>
      <c r="K778" t="s">
        <v>698</v>
      </c>
      <c r="L778" t="s">
        <v>698</v>
      </c>
      <c r="M778" t="s">
        <v>2332</v>
      </c>
    </row>
    <row r="779" spans="3:13">
      <c r="C779">
        <v>778</v>
      </c>
      <c r="D779" t="s">
        <v>2209</v>
      </c>
      <c r="E779" t="s">
        <v>2209</v>
      </c>
      <c r="F779">
        <v>0.5</v>
      </c>
      <c r="G779">
        <v>0.5</v>
      </c>
      <c r="J779">
        <v>651</v>
      </c>
      <c r="K779" t="s">
        <v>699</v>
      </c>
      <c r="L779" t="s">
        <v>699</v>
      </c>
      <c r="M779" t="s">
        <v>2332</v>
      </c>
    </row>
    <row r="780" spans="3:13">
      <c r="C780">
        <v>779</v>
      </c>
      <c r="D780" t="s">
        <v>2210</v>
      </c>
      <c r="E780" t="s">
        <v>2210</v>
      </c>
      <c r="F780">
        <v>0.5</v>
      </c>
      <c r="G780">
        <v>0.5</v>
      </c>
      <c r="J780">
        <v>652</v>
      </c>
      <c r="K780" t="s">
        <v>700</v>
      </c>
      <c r="L780" t="s">
        <v>700</v>
      </c>
      <c r="M780" t="s">
        <v>2332</v>
      </c>
    </row>
    <row r="781" spans="3:13">
      <c r="C781">
        <v>780</v>
      </c>
      <c r="D781" t="s">
        <v>2211</v>
      </c>
      <c r="E781" t="s">
        <v>2211</v>
      </c>
      <c r="F781">
        <v>0.5</v>
      </c>
      <c r="G781">
        <v>0.5</v>
      </c>
      <c r="J781">
        <v>653</v>
      </c>
      <c r="K781" t="s">
        <v>701</v>
      </c>
      <c r="L781" t="s">
        <v>701</v>
      </c>
      <c r="M781" t="s">
        <v>2332</v>
      </c>
    </row>
    <row r="782" spans="3:13">
      <c r="C782">
        <v>781</v>
      </c>
      <c r="D782" t="s">
        <v>2283</v>
      </c>
      <c r="E782" t="s">
        <v>2283</v>
      </c>
      <c r="F782" s="123" t="s">
        <v>1109</v>
      </c>
      <c r="G782" s="123" t="s">
        <v>1109</v>
      </c>
      <c r="J782">
        <v>808</v>
      </c>
      <c r="K782" t="s">
        <v>2315</v>
      </c>
      <c r="L782" t="s">
        <v>2315</v>
      </c>
      <c r="M782" t="s">
        <v>2333</v>
      </c>
    </row>
    <row r="783" spans="3:13">
      <c r="C783">
        <v>782</v>
      </c>
      <c r="D783" t="s">
        <v>2212</v>
      </c>
      <c r="E783" t="s">
        <v>2212</v>
      </c>
      <c r="F783">
        <v>0.5</v>
      </c>
      <c r="G783">
        <v>0.5</v>
      </c>
      <c r="J783">
        <v>654</v>
      </c>
      <c r="K783" t="s">
        <v>702</v>
      </c>
      <c r="L783" t="s">
        <v>702</v>
      </c>
      <c r="M783" t="s">
        <v>2332</v>
      </c>
    </row>
    <row r="784" spans="3:13">
      <c r="C784">
        <v>783</v>
      </c>
      <c r="D784" t="s">
        <v>2213</v>
      </c>
      <c r="E784" t="s">
        <v>2213</v>
      </c>
      <c r="F784">
        <v>0.5</v>
      </c>
      <c r="G784">
        <v>0.5</v>
      </c>
      <c r="J784">
        <v>655</v>
      </c>
      <c r="K784" t="s">
        <v>703</v>
      </c>
      <c r="L784" t="s">
        <v>703</v>
      </c>
      <c r="M784" t="s">
        <v>2332</v>
      </c>
    </row>
    <row r="785" spans="3:13">
      <c r="C785">
        <v>784</v>
      </c>
      <c r="D785" t="s">
        <v>2214</v>
      </c>
      <c r="E785" t="s">
        <v>2214</v>
      </c>
      <c r="F785">
        <v>0.5</v>
      </c>
      <c r="G785">
        <v>0.5</v>
      </c>
      <c r="J785">
        <v>656</v>
      </c>
      <c r="K785" t="s">
        <v>704</v>
      </c>
      <c r="L785" t="s">
        <v>704</v>
      </c>
      <c r="M785" t="s">
        <v>2331</v>
      </c>
    </row>
    <row r="786" spans="3:13">
      <c r="C786">
        <v>785</v>
      </c>
      <c r="D786" t="s">
        <v>2292</v>
      </c>
      <c r="E786" t="s">
        <v>2292</v>
      </c>
      <c r="F786" s="123" t="s">
        <v>1109</v>
      </c>
      <c r="G786" s="123" t="s">
        <v>1109</v>
      </c>
      <c r="J786">
        <v>861</v>
      </c>
      <c r="K786" t="s">
        <v>2146</v>
      </c>
      <c r="L786" t="s">
        <v>2146</v>
      </c>
      <c r="M786" t="s">
        <v>56</v>
      </c>
    </row>
    <row r="787" spans="3:13">
      <c r="C787">
        <v>786</v>
      </c>
      <c r="D787" t="s">
        <v>2293</v>
      </c>
      <c r="E787" t="s">
        <v>2293</v>
      </c>
      <c r="F787" s="123" t="s">
        <v>1109</v>
      </c>
      <c r="G787" s="123" t="s">
        <v>1109</v>
      </c>
      <c r="J787">
        <v>862</v>
      </c>
      <c r="K787" t="s">
        <v>2249</v>
      </c>
      <c r="L787" t="s">
        <v>2249</v>
      </c>
      <c r="M787" t="s">
        <v>2332</v>
      </c>
    </row>
    <row r="788" spans="3:13">
      <c r="C788">
        <v>787</v>
      </c>
      <c r="D788" t="s">
        <v>2294</v>
      </c>
      <c r="E788" t="s">
        <v>2294</v>
      </c>
      <c r="F788" s="123" t="s">
        <v>1109</v>
      </c>
      <c r="G788" s="123" t="s">
        <v>1109</v>
      </c>
      <c r="J788">
        <v>863</v>
      </c>
      <c r="K788" t="s">
        <v>2250</v>
      </c>
      <c r="L788" t="s">
        <v>2250</v>
      </c>
      <c r="M788" t="s">
        <v>2332</v>
      </c>
    </row>
    <row r="789" spans="3:13">
      <c r="C789">
        <v>788</v>
      </c>
      <c r="D789" t="s">
        <v>2295</v>
      </c>
      <c r="E789" t="s">
        <v>2295</v>
      </c>
      <c r="F789" s="123" t="s">
        <v>1109</v>
      </c>
      <c r="G789" s="123" t="s">
        <v>1109</v>
      </c>
      <c r="J789">
        <v>864</v>
      </c>
      <c r="K789" t="s">
        <v>2270</v>
      </c>
      <c r="L789" t="s">
        <v>2270</v>
      </c>
      <c r="M789" t="s">
        <v>2337</v>
      </c>
    </row>
    <row r="790" spans="3:13">
      <c r="C790">
        <v>789</v>
      </c>
      <c r="D790" t="s">
        <v>2296</v>
      </c>
      <c r="E790" t="s">
        <v>2296</v>
      </c>
      <c r="F790" s="123" t="s">
        <v>1109</v>
      </c>
      <c r="G790" s="123" t="s">
        <v>1109</v>
      </c>
      <c r="J790">
        <v>865</v>
      </c>
      <c r="K790" t="s">
        <v>2251</v>
      </c>
      <c r="L790" t="s">
        <v>2251</v>
      </c>
      <c r="M790" t="s">
        <v>22</v>
      </c>
    </row>
    <row r="791" spans="3:13">
      <c r="C791">
        <v>790</v>
      </c>
      <c r="D791" t="s">
        <v>2297</v>
      </c>
      <c r="E791" t="s">
        <v>2297</v>
      </c>
      <c r="F791" s="123" t="s">
        <v>1109</v>
      </c>
      <c r="G791" s="123" t="s">
        <v>1109</v>
      </c>
      <c r="J791">
        <v>866</v>
      </c>
      <c r="K791" t="s">
        <v>2252</v>
      </c>
      <c r="L791" t="s">
        <v>2252</v>
      </c>
      <c r="M791" t="s">
        <v>2334</v>
      </c>
    </row>
    <row r="792" spans="3:13">
      <c r="C792">
        <v>791</v>
      </c>
      <c r="D792" t="s">
        <v>2298</v>
      </c>
      <c r="E792" t="s">
        <v>2298</v>
      </c>
      <c r="F792" s="123" t="s">
        <v>1109</v>
      </c>
      <c r="G792" s="123" t="s">
        <v>1109</v>
      </c>
      <c r="J792">
        <v>867</v>
      </c>
      <c r="K792" t="s">
        <v>2253</v>
      </c>
      <c r="L792" t="s">
        <v>2253</v>
      </c>
      <c r="M792" t="s">
        <v>2336</v>
      </c>
    </row>
    <row r="793" spans="3:13">
      <c r="C793">
        <v>792</v>
      </c>
      <c r="D793" t="s">
        <v>2299</v>
      </c>
      <c r="E793" t="s">
        <v>2299</v>
      </c>
      <c r="F793" s="123" t="s">
        <v>1109</v>
      </c>
      <c r="G793" s="123" t="s">
        <v>1109</v>
      </c>
      <c r="J793">
        <v>868</v>
      </c>
      <c r="K793" t="s">
        <v>2280</v>
      </c>
      <c r="L793" t="s">
        <v>2280</v>
      </c>
      <c r="M793" t="s">
        <v>2336</v>
      </c>
    </row>
    <row r="794" spans="3:13">
      <c r="C794">
        <v>793</v>
      </c>
      <c r="D794" t="s">
        <v>2300</v>
      </c>
      <c r="E794" t="s">
        <v>2300</v>
      </c>
      <c r="F794" s="123" t="s">
        <v>1109</v>
      </c>
      <c r="G794" s="123" t="s">
        <v>1109</v>
      </c>
      <c r="J794">
        <v>869</v>
      </c>
      <c r="K794" t="s">
        <v>2281</v>
      </c>
      <c r="L794" t="s">
        <v>2281</v>
      </c>
      <c r="M794" t="s">
        <v>2336</v>
      </c>
    </row>
    <row r="795" spans="3:13">
      <c r="C795">
        <v>794</v>
      </c>
      <c r="D795" t="s">
        <v>2301</v>
      </c>
      <c r="E795" t="s">
        <v>2301</v>
      </c>
      <c r="F795" s="123" t="s">
        <v>1109</v>
      </c>
      <c r="G795" s="123" t="s">
        <v>1109</v>
      </c>
      <c r="J795">
        <v>870</v>
      </c>
      <c r="K795" t="s">
        <v>2286</v>
      </c>
      <c r="L795" t="s">
        <v>2286</v>
      </c>
      <c r="M795" t="s">
        <v>2112</v>
      </c>
    </row>
    <row r="796" spans="3:13">
      <c r="C796">
        <v>795</v>
      </c>
      <c r="D796" t="s">
        <v>2302</v>
      </c>
      <c r="E796" t="s">
        <v>2302</v>
      </c>
      <c r="F796" s="123" t="s">
        <v>1109</v>
      </c>
      <c r="G796" s="123" t="s">
        <v>1109</v>
      </c>
      <c r="J796">
        <v>871</v>
      </c>
      <c r="K796" t="s">
        <v>2254</v>
      </c>
      <c r="L796" t="s">
        <v>2254</v>
      </c>
      <c r="M796" t="s">
        <v>2336</v>
      </c>
    </row>
    <row r="797" spans="3:13">
      <c r="C797">
        <v>796</v>
      </c>
      <c r="D797" t="s">
        <v>2303</v>
      </c>
      <c r="E797" t="s">
        <v>2303</v>
      </c>
      <c r="F797" s="123" t="s">
        <v>1109</v>
      </c>
      <c r="G797" s="123" t="s">
        <v>1109</v>
      </c>
      <c r="J797">
        <v>872</v>
      </c>
      <c r="K797" t="s">
        <v>2255</v>
      </c>
      <c r="L797" t="s">
        <v>2255</v>
      </c>
      <c r="M797" t="s">
        <v>29</v>
      </c>
    </row>
    <row r="798" spans="3:13">
      <c r="C798">
        <v>797</v>
      </c>
      <c r="D798" t="s">
        <v>2304</v>
      </c>
      <c r="E798" t="s">
        <v>2304</v>
      </c>
      <c r="F798" s="123" t="s">
        <v>1109</v>
      </c>
      <c r="G798" s="123" t="s">
        <v>1109</v>
      </c>
      <c r="J798">
        <v>873</v>
      </c>
      <c r="K798" t="s">
        <v>2256</v>
      </c>
      <c r="L798" t="s">
        <v>2256</v>
      </c>
      <c r="M798" t="s">
        <v>29</v>
      </c>
    </row>
    <row r="799" spans="3:13">
      <c r="C799">
        <v>798</v>
      </c>
      <c r="D799" t="s">
        <v>2305</v>
      </c>
      <c r="E799" t="s">
        <v>2305</v>
      </c>
      <c r="F799" s="123" t="s">
        <v>1109</v>
      </c>
      <c r="G799" s="123" t="s">
        <v>1109</v>
      </c>
      <c r="J799">
        <v>874</v>
      </c>
      <c r="K799" t="s">
        <v>2257</v>
      </c>
      <c r="L799" t="s">
        <v>2257</v>
      </c>
      <c r="M799" t="s">
        <v>2112</v>
      </c>
    </row>
    <row r="800" spans="3:13">
      <c r="C800">
        <v>799</v>
      </c>
      <c r="D800" t="s">
        <v>2306</v>
      </c>
      <c r="E800" t="s">
        <v>2306</v>
      </c>
      <c r="F800" s="123" t="s">
        <v>1109</v>
      </c>
      <c r="G800" s="123" t="s">
        <v>1109</v>
      </c>
      <c r="J800">
        <v>875</v>
      </c>
      <c r="K800" t="s">
        <v>2258</v>
      </c>
      <c r="L800" t="s">
        <v>2258</v>
      </c>
      <c r="M800" t="s">
        <v>2332</v>
      </c>
    </row>
    <row r="801" spans="3:13">
      <c r="C801">
        <v>800</v>
      </c>
      <c r="D801" t="s">
        <v>2307</v>
      </c>
      <c r="E801" t="s">
        <v>2307</v>
      </c>
      <c r="F801" s="123" t="s">
        <v>1109</v>
      </c>
      <c r="G801" s="123" t="s">
        <v>1109</v>
      </c>
      <c r="J801">
        <v>876</v>
      </c>
      <c r="K801" t="s">
        <v>2259</v>
      </c>
      <c r="L801" t="s">
        <v>2259</v>
      </c>
      <c r="M801" t="s">
        <v>56</v>
      </c>
    </row>
    <row r="802" spans="3:13">
      <c r="C802">
        <v>801</v>
      </c>
      <c r="D802" t="s">
        <v>2308</v>
      </c>
      <c r="E802" t="s">
        <v>2308</v>
      </c>
      <c r="F802" s="123" t="s">
        <v>1109</v>
      </c>
      <c r="G802" s="123" t="s">
        <v>1109</v>
      </c>
      <c r="J802">
        <v>877</v>
      </c>
      <c r="K802" t="s">
        <v>2260</v>
      </c>
      <c r="L802" t="s">
        <v>2260</v>
      </c>
      <c r="M802" t="s">
        <v>2332</v>
      </c>
    </row>
    <row r="803" spans="3:13">
      <c r="C803">
        <v>802</v>
      </c>
      <c r="D803" t="s">
        <v>2309</v>
      </c>
      <c r="E803" t="s">
        <v>2309</v>
      </c>
      <c r="F803" s="123" t="s">
        <v>1109</v>
      </c>
      <c r="G803" s="123" t="s">
        <v>1109</v>
      </c>
      <c r="J803">
        <v>878</v>
      </c>
      <c r="K803" t="s">
        <v>2261</v>
      </c>
      <c r="L803" t="s">
        <v>2261</v>
      </c>
      <c r="M803" t="s">
        <v>2112</v>
      </c>
    </row>
    <row r="804" spans="3:13">
      <c r="C804">
        <v>803</v>
      </c>
      <c r="D804" t="s">
        <v>2310</v>
      </c>
      <c r="E804" t="s">
        <v>2310</v>
      </c>
      <c r="F804" s="123" t="s">
        <v>1109</v>
      </c>
      <c r="G804" s="123" t="s">
        <v>1109</v>
      </c>
      <c r="J804">
        <v>879</v>
      </c>
      <c r="K804" t="s">
        <v>2262</v>
      </c>
      <c r="L804" t="s">
        <v>2262</v>
      </c>
      <c r="M804" t="s">
        <v>2112</v>
      </c>
    </row>
    <row r="805" spans="3:13">
      <c r="C805">
        <v>804</v>
      </c>
      <c r="D805" t="s">
        <v>2311</v>
      </c>
      <c r="E805" t="s">
        <v>2311</v>
      </c>
      <c r="F805" s="123" t="s">
        <v>1109</v>
      </c>
      <c r="G805" s="123" t="s">
        <v>1109</v>
      </c>
      <c r="J805">
        <v>880</v>
      </c>
      <c r="K805" t="s">
        <v>2317</v>
      </c>
      <c r="L805" t="s">
        <v>2317</v>
      </c>
      <c r="M805" t="s">
        <v>2333</v>
      </c>
    </row>
    <row r="806" spans="3:13">
      <c r="C806">
        <v>805</v>
      </c>
      <c r="D806" t="s">
        <v>2312</v>
      </c>
      <c r="E806" t="s">
        <v>2312</v>
      </c>
      <c r="F806" s="123" t="s">
        <v>1109</v>
      </c>
      <c r="G806" s="123" t="s">
        <v>1109</v>
      </c>
      <c r="J806">
        <v>881</v>
      </c>
      <c r="K806" t="s">
        <v>2318</v>
      </c>
      <c r="L806" t="s">
        <v>2318</v>
      </c>
      <c r="M806" t="s">
        <v>2333</v>
      </c>
    </row>
    <row r="807" spans="3:13">
      <c r="C807">
        <v>806</v>
      </c>
      <c r="D807" t="s">
        <v>2313</v>
      </c>
      <c r="E807" t="s">
        <v>2313</v>
      </c>
      <c r="F807" s="123" t="s">
        <v>1109</v>
      </c>
      <c r="G807" s="123" t="s">
        <v>1109</v>
      </c>
      <c r="J807">
        <v>882</v>
      </c>
      <c r="K807" t="s">
        <v>2319</v>
      </c>
      <c r="L807" t="s">
        <v>2319</v>
      </c>
      <c r="M807" t="s">
        <v>2333</v>
      </c>
    </row>
    <row r="808" spans="3:13">
      <c r="C808">
        <v>807</v>
      </c>
      <c r="D808" t="s">
        <v>2314</v>
      </c>
      <c r="E808" t="s">
        <v>2314</v>
      </c>
      <c r="F808" s="123" t="s">
        <v>1109</v>
      </c>
      <c r="G808" s="123" t="s">
        <v>1109</v>
      </c>
      <c r="J808">
        <v>883</v>
      </c>
      <c r="K808" t="s">
        <v>2320</v>
      </c>
      <c r="L808" t="s">
        <v>2320</v>
      </c>
      <c r="M808" t="s">
        <v>2333</v>
      </c>
    </row>
    <row r="809" spans="3:13">
      <c r="C809">
        <v>808</v>
      </c>
      <c r="D809" t="s">
        <v>2315</v>
      </c>
      <c r="E809" t="s">
        <v>2315</v>
      </c>
      <c r="F809" s="123" t="s">
        <v>1109</v>
      </c>
      <c r="G809" s="123" t="s">
        <v>1109</v>
      </c>
      <c r="J809">
        <v>884</v>
      </c>
      <c r="K809" t="s">
        <v>2263</v>
      </c>
      <c r="L809" t="s">
        <v>2263</v>
      </c>
      <c r="M809" t="s">
        <v>23</v>
      </c>
    </row>
    <row r="810" spans="3:13">
      <c r="C810">
        <v>809</v>
      </c>
      <c r="D810" t="s">
        <v>2316</v>
      </c>
      <c r="E810" t="s">
        <v>2316</v>
      </c>
      <c r="F810" s="123" t="s">
        <v>1109</v>
      </c>
      <c r="G810" s="123" t="s">
        <v>1109</v>
      </c>
      <c r="J810">
        <v>885</v>
      </c>
      <c r="K810" t="s">
        <v>2264</v>
      </c>
      <c r="L810" t="s">
        <v>2264</v>
      </c>
      <c r="M810" t="s">
        <v>2336</v>
      </c>
    </row>
    <row r="811" spans="3:13">
      <c r="C811">
        <v>810</v>
      </c>
      <c r="D811" t="s">
        <v>2157</v>
      </c>
      <c r="E811" t="s">
        <v>2157</v>
      </c>
      <c r="F811">
        <v>0.85</v>
      </c>
      <c r="G811">
        <v>0.15</v>
      </c>
      <c r="J811">
        <v>131</v>
      </c>
      <c r="K811" t="s">
        <v>159</v>
      </c>
      <c r="L811" t="s">
        <v>159</v>
      </c>
      <c r="M811" t="s">
        <v>2335</v>
      </c>
    </row>
    <row r="812" spans="3:13">
      <c r="C812">
        <v>811</v>
      </c>
      <c r="D812" t="s">
        <v>2158</v>
      </c>
      <c r="E812" t="s">
        <v>2158</v>
      </c>
      <c r="F812">
        <v>0.85</v>
      </c>
      <c r="G812">
        <v>0.15</v>
      </c>
      <c r="J812">
        <v>132</v>
      </c>
      <c r="K812" t="s">
        <v>160</v>
      </c>
      <c r="L812" t="s">
        <v>160</v>
      </c>
      <c r="M812" t="s">
        <v>160</v>
      </c>
    </row>
    <row r="813" spans="3:13">
      <c r="C813">
        <v>812</v>
      </c>
      <c r="D813" t="s">
        <v>2159</v>
      </c>
      <c r="E813" t="s">
        <v>2159</v>
      </c>
      <c r="F813">
        <v>0.85</v>
      </c>
      <c r="G813">
        <v>0.15</v>
      </c>
      <c r="J813">
        <v>133</v>
      </c>
      <c r="K813" t="s">
        <v>161</v>
      </c>
      <c r="L813" t="s">
        <v>161</v>
      </c>
      <c r="M813" t="s">
        <v>2332</v>
      </c>
    </row>
    <row r="814" spans="3:13">
      <c r="C814">
        <v>813</v>
      </c>
      <c r="D814" t="s">
        <v>2160</v>
      </c>
      <c r="E814" t="s">
        <v>2160</v>
      </c>
      <c r="F814">
        <v>0.85</v>
      </c>
      <c r="G814">
        <v>0.15</v>
      </c>
      <c r="J814">
        <v>134</v>
      </c>
      <c r="K814" t="s">
        <v>162</v>
      </c>
      <c r="L814" t="s">
        <v>162</v>
      </c>
      <c r="M814" t="s">
        <v>2332</v>
      </c>
    </row>
    <row r="815" spans="3:13">
      <c r="C815">
        <v>814</v>
      </c>
      <c r="D815" t="s">
        <v>2161</v>
      </c>
      <c r="E815" t="s">
        <v>2161</v>
      </c>
      <c r="F815">
        <v>0.85</v>
      </c>
      <c r="G815">
        <v>0.15</v>
      </c>
      <c r="J815">
        <v>135</v>
      </c>
      <c r="K815" t="s">
        <v>163</v>
      </c>
      <c r="L815" t="s">
        <v>163</v>
      </c>
      <c r="M815" t="s">
        <v>2332</v>
      </c>
    </row>
    <row r="816" spans="3:13">
      <c r="C816">
        <v>815</v>
      </c>
      <c r="D816" t="s">
        <v>2162</v>
      </c>
      <c r="E816" t="s">
        <v>2162</v>
      </c>
      <c r="F816">
        <v>0.85</v>
      </c>
      <c r="G816">
        <v>0.15</v>
      </c>
      <c r="J816">
        <v>136</v>
      </c>
      <c r="K816" t="s">
        <v>164</v>
      </c>
      <c r="L816" t="s">
        <v>164</v>
      </c>
      <c r="M816" t="s">
        <v>2332</v>
      </c>
    </row>
    <row r="817" spans="3:13">
      <c r="C817">
        <v>816</v>
      </c>
      <c r="D817" t="s">
        <v>2163</v>
      </c>
      <c r="E817" t="s">
        <v>2163</v>
      </c>
      <c r="F817">
        <v>0.85</v>
      </c>
      <c r="G817">
        <v>0.15</v>
      </c>
      <c r="J817">
        <v>137</v>
      </c>
      <c r="K817" t="s">
        <v>165</v>
      </c>
      <c r="L817" t="s">
        <v>165</v>
      </c>
      <c r="M817" t="s">
        <v>2112</v>
      </c>
    </row>
    <row r="818" spans="3:13">
      <c r="C818">
        <v>817</v>
      </c>
      <c r="D818" t="s">
        <v>2164</v>
      </c>
      <c r="E818" t="s">
        <v>2164</v>
      </c>
      <c r="F818">
        <v>0.85</v>
      </c>
      <c r="G818">
        <v>0.15</v>
      </c>
      <c r="J818">
        <v>138</v>
      </c>
      <c r="K818" t="s">
        <v>166</v>
      </c>
      <c r="L818" t="s">
        <v>166</v>
      </c>
      <c r="M818" t="s">
        <v>2337</v>
      </c>
    </row>
    <row r="819" spans="3:13">
      <c r="C819">
        <v>818</v>
      </c>
      <c r="D819" t="s">
        <v>2165</v>
      </c>
      <c r="E819" t="s">
        <v>2165</v>
      </c>
      <c r="F819">
        <v>0.85</v>
      </c>
      <c r="G819">
        <v>0.15</v>
      </c>
      <c r="J819">
        <v>139</v>
      </c>
      <c r="K819" t="s">
        <v>167</v>
      </c>
      <c r="L819" t="s">
        <v>167</v>
      </c>
      <c r="M819" t="s">
        <v>2337</v>
      </c>
    </row>
    <row r="820" spans="3:13">
      <c r="C820">
        <v>819</v>
      </c>
      <c r="D820" t="s">
        <v>2215</v>
      </c>
      <c r="E820" t="s">
        <v>2215</v>
      </c>
      <c r="F820">
        <v>0.5</v>
      </c>
      <c r="G820">
        <v>0.5</v>
      </c>
      <c r="J820">
        <v>657</v>
      </c>
      <c r="K820" t="s">
        <v>705</v>
      </c>
      <c r="L820" t="s">
        <v>705</v>
      </c>
      <c r="M820" t="s">
        <v>2331</v>
      </c>
    </row>
    <row r="821" spans="3:13">
      <c r="C821">
        <v>820</v>
      </c>
      <c r="D821" t="s">
        <v>2216</v>
      </c>
      <c r="E821" t="s">
        <v>2216</v>
      </c>
      <c r="F821">
        <v>0.5</v>
      </c>
      <c r="G821">
        <v>0.5</v>
      </c>
      <c r="J821">
        <v>658</v>
      </c>
      <c r="K821" t="s">
        <v>706</v>
      </c>
      <c r="L821" t="s">
        <v>706</v>
      </c>
      <c r="M821" t="s">
        <v>2331</v>
      </c>
    </row>
    <row r="822" spans="3:13">
      <c r="C822">
        <v>821</v>
      </c>
      <c r="D822" t="s">
        <v>2217</v>
      </c>
      <c r="E822" t="s">
        <v>2217</v>
      </c>
      <c r="F822">
        <v>0.5</v>
      </c>
      <c r="G822">
        <v>0.5</v>
      </c>
      <c r="J822">
        <v>659</v>
      </c>
      <c r="K822" t="s">
        <v>707</v>
      </c>
      <c r="L822" t="s">
        <v>707</v>
      </c>
      <c r="M822" t="s">
        <v>2332</v>
      </c>
    </row>
    <row r="823" spans="3:13">
      <c r="C823">
        <v>822</v>
      </c>
      <c r="D823" t="s">
        <v>2218</v>
      </c>
      <c r="E823" t="s">
        <v>2218</v>
      </c>
      <c r="F823">
        <v>0.5</v>
      </c>
      <c r="G823">
        <v>0.5</v>
      </c>
      <c r="J823">
        <v>660</v>
      </c>
      <c r="K823" t="s">
        <v>708</v>
      </c>
      <c r="L823" t="s">
        <v>708</v>
      </c>
      <c r="M823" t="s">
        <v>2332</v>
      </c>
    </row>
    <row r="824" spans="3:13">
      <c r="C824">
        <v>823</v>
      </c>
      <c r="D824" t="s">
        <v>2219</v>
      </c>
      <c r="E824" t="s">
        <v>2219</v>
      </c>
      <c r="F824">
        <v>0.5</v>
      </c>
      <c r="G824">
        <v>0.5</v>
      </c>
      <c r="J824">
        <v>661</v>
      </c>
      <c r="K824" t="s">
        <v>709</v>
      </c>
      <c r="L824" t="s">
        <v>709</v>
      </c>
      <c r="M824" t="s">
        <v>22</v>
      </c>
    </row>
    <row r="825" spans="3:13">
      <c r="C825">
        <v>824</v>
      </c>
      <c r="D825" t="s">
        <v>2220</v>
      </c>
      <c r="E825" t="s">
        <v>2220</v>
      </c>
      <c r="F825">
        <v>0.5</v>
      </c>
      <c r="G825">
        <v>0.5</v>
      </c>
      <c r="J825">
        <v>662</v>
      </c>
      <c r="K825" t="s">
        <v>710</v>
      </c>
      <c r="L825" t="s">
        <v>710</v>
      </c>
      <c r="M825" t="s">
        <v>22</v>
      </c>
    </row>
    <row r="826" spans="3:13">
      <c r="C826">
        <v>825</v>
      </c>
      <c r="D826" t="s">
        <v>2221</v>
      </c>
      <c r="E826" t="s">
        <v>2221</v>
      </c>
      <c r="F826">
        <v>0.5</v>
      </c>
      <c r="G826">
        <v>0.5</v>
      </c>
      <c r="J826">
        <v>663</v>
      </c>
      <c r="K826" t="s">
        <v>711</v>
      </c>
      <c r="L826" t="s">
        <v>711</v>
      </c>
      <c r="M826" t="s">
        <v>22</v>
      </c>
    </row>
    <row r="827" spans="3:13">
      <c r="C827">
        <v>826</v>
      </c>
      <c r="D827" t="s">
        <v>2222</v>
      </c>
      <c r="E827" t="s">
        <v>2222</v>
      </c>
      <c r="F827">
        <v>0.5</v>
      </c>
      <c r="G827">
        <v>0.5</v>
      </c>
      <c r="J827">
        <v>664</v>
      </c>
      <c r="K827" t="s">
        <v>712</v>
      </c>
      <c r="L827" t="s">
        <v>712</v>
      </c>
      <c r="M827" t="s">
        <v>29</v>
      </c>
    </row>
    <row r="828" spans="3:13">
      <c r="C828">
        <v>827</v>
      </c>
      <c r="D828" t="s">
        <v>2223</v>
      </c>
      <c r="E828" t="s">
        <v>2223</v>
      </c>
      <c r="F828">
        <v>0.5</v>
      </c>
      <c r="G828">
        <v>0.5</v>
      </c>
      <c r="J828">
        <v>665</v>
      </c>
      <c r="K828" t="s">
        <v>713</v>
      </c>
      <c r="L828" t="s">
        <v>713</v>
      </c>
      <c r="M828" t="s">
        <v>29</v>
      </c>
    </row>
    <row r="829" spans="3:13">
      <c r="C829">
        <v>828</v>
      </c>
      <c r="D829" t="s">
        <v>2224</v>
      </c>
      <c r="E829" t="s">
        <v>2224</v>
      </c>
      <c r="F829">
        <v>0.5</v>
      </c>
      <c r="G829">
        <v>0.5</v>
      </c>
      <c r="J829">
        <v>666</v>
      </c>
      <c r="K829" t="s">
        <v>714</v>
      </c>
      <c r="L829" t="s">
        <v>714</v>
      </c>
      <c r="M829" t="s">
        <v>29</v>
      </c>
    </row>
    <row r="830" spans="3:13">
      <c r="C830">
        <v>829</v>
      </c>
      <c r="D830" t="s">
        <v>2225</v>
      </c>
      <c r="E830" t="s">
        <v>2225</v>
      </c>
      <c r="F830">
        <v>0.5</v>
      </c>
      <c r="G830">
        <v>0.5</v>
      </c>
      <c r="J830">
        <v>667</v>
      </c>
      <c r="K830" t="s">
        <v>715</v>
      </c>
      <c r="L830" t="s">
        <v>715</v>
      </c>
      <c r="M830" t="s">
        <v>2332</v>
      </c>
    </row>
    <row r="831" spans="3:13">
      <c r="C831">
        <v>830</v>
      </c>
      <c r="D831" t="s">
        <v>2226</v>
      </c>
      <c r="E831" t="s">
        <v>2226</v>
      </c>
      <c r="F831">
        <v>0.5</v>
      </c>
      <c r="G831">
        <v>0.5</v>
      </c>
      <c r="J831">
        <v>668</v>
      </c>
      <c r="K831" t="s">
        <v>716</v>
      </c>
      <c r="L831" t="s">
        <v>716</v>
      </c>
      <c r="M831" t="s">
        <v>2332</v>
      </c>
    </row>
    <row r="832" spans="3:13">
      <c r="C832">
        <v>831</v>
      </c>
      <c r="D832" t="s">
        <v>2227</v>
      </c>
      <c r="E832" t="s">
        <v>2227</v>
      </c>
      <c r="F832">
        <v>0.5</v>
      </c>
      <c r="G832">
        <v>0.5</v>
      </c>
      <c r="J832">
        <v>669</v>
      </c>
      <c r="K832" t="s">
        <v>2272</v>
      </c>
      <c r="L832" t="s">
        <v>2272</v>
      </c>
      <c r="M832" t="s">
        <v>56</v>
      </c>
    </row>
    <row r="833" spans="3:13">
      <c r="C833">
        <v>832</v>
      </c>
      <c r="D833" t="s">
        <v>2228</v>
      </c>
      <c r="E833" t="s">
        <v>2228</v>
      </c>
      <c r="F833">
        <v>0.5</v>
      </c>
      <c r="G833">
        <v>0.5</v>
      </c>
      <c r="J833">
        <v>670</v>
      </c>
      <c r="K833" t="s">
        <v>718</v>
      </c>
      <c r="L833" t="s">
        <v>718</v>
      </c>
      <c r="M833" t="s">
        <v>56</v>
      </c>
    </row>
    <row r="834" spans="3:13">
      <c r="C834">
        <v>833</v>
      </c>
      <c r="D834" t="s">
        <v>2229</v>
      </c>
      <c r="E834" t="s">
        <v>2229</v>
      </c>
      <c r="F834">
        <v>0.5</v>
      </c>
      <c r="G834">
        <v>0.5</v>
      </c>
      <c r="J834">
        <v>671</v>
      </c>
      <c r="K834" t="s">
        <v>719</v>
      </c>
      <c r="L834" t="s">
        <v>719</v>
      </c>
      <c r="M834" t="s">
        <v>56</v>
      </c>
    </row>
    <row r="835" spans="3:13">
      <c r="C835">
        <v>834</v>
      </c>
      <c r="D835" t="s">
        <v>2230</v>
      </c>
      <c r="E835" t="s">
        <v>2230</v>
      </c>
      <c r="F835">
        <v>0.5</v>
      </c>
      <c r="G835">
        <v>0.5</v>
      </c>
      <c r="J835">
        <v>672</v>
      </c>
      <c r="K835" t="s">
        <v>720</v>
      </c>
      <c r="L835" t="s">
        <v>720</v>
      </c>
      <c r="M835" t="s">
        <v>2332</v>
      </c>
    </row>
    <row r="836" spans="3:13">
      <c r="C836">
        <v>835</v>
      </c>
      <c r="D836" t="s">
        <v>2231</v>
      </c>
      <c r="E836" t="s">
        <v>2231</v>
      </c>
      <c r="F836">
        <v>0.5</v>
      </c>
      <c r="G836">
        <v>0.5</v>
      </c>
      <c r="J836">
        <v>673</v>
      </c>
      <c r="K836" t="s">
        <v>721</v>
      </c>
      <c r="L836" t="s">
        <v>721</v>
      </c>
      <c r="M836" t="s">
        <v>2332</v>
      </c>
    </row>
    <row r="837" spans="3:13">
      <c r="C837">
        <v>836</v>
      </c>
      <c r="D837" t="s">
        <v>2232</v>
      </c>
      <c r="E837" t="s">
        <v>2232</v>
      </c>
      <c r="F837">
        <v>0.5</v>
      </c>
      <c r="G837">
        <v>0.5</v>
      </c>
      <c r="J837">
        <v>674</v>
      </c>
      <c r="K837" t="s">
        <v>722</v>
      </c>
      <c r="L837" t="s">
        <v>722</v>
      </c>
      <c r="M837" t="s">
        <v>2332</v>
      </c>
    </row>
    <row r="838" spans="3:13">
      <c r="C838">
        <v>837</v>
      </c>
      <c r="D838" t="s">
        <v>2233</v>
      </c>
      <c r="E838" t="s">
        <v>2233</v>
      </c>
      <c r="F838">
        <v>0.5</v>
      </c>
      <c r="G838">
        <v>0.5</v>
      </c>
      <c r="J838">
        <v>675</v>
      </c>
      <c r="K838" t="s">
        <v>723</v>
      </c>
      <c r="L838" t="s">
        <v>723</v>
      </c>
      <c r="M838" t="s">
        <v>2332</v>
      </c>
    </row>
    <row r="839" spans="3:13">
      <c r="C839">
        <v>838</v>
      </c>
      <c r="D839" t="s">
        <v>2234</v>
      </c>
      <c r="E839" t="s">
        <v>2234</v>
      </c>
      <c r="F839">
        <v>0.5</v>
      </c>
      <c r="G839">
        <v>0.5</v>
      </c>
      <c r="J839">
        <v>676</v>
      </c>
      <c r="K839" t="s">
        <v>724</v>
      </c>
      <c r="L839" t="s">
        <v>724</v>
      </c>
      <c r="M839" t="s">
        <v>2332</v>
      </c>
    </row>
    <row r="840" spans="3:13">
      <c r="C840">
        <v>839</v>
      </c>
      <c r="D840" t="s">
        <v>2235</v>
      </c>
      <c r="E840" t="s">
        <v>2235</v>
      </c>
      <c r="F840">
        <v>0.5</v>
      </c>
      <c r="G840">
        <v>0.5</v>
      </c>
      <c r="J840">
        <v>677</v>
      </c>
      <c r="K840" t="s">
        <v>725</v>
      </c>
      <c r="L840" t="s">
        <v>725</v>
      </c>
      <c r="M840" t="s">
        <v>2332</v>
      </c>
    </row>
    <row r="841" spans="3:13">
      <c r="C841">
        <v>840</v>
      </c>
      <c r="D841" t="s">
        <v>2236</v>
      </c>
      <c r="E841" t="s">
        <v>2236</v>
      </c>
      <c r="F841">
        <v>0.5</v>
      </c>
      <c r="G841">
        <v>0.5</v>
      </c>
      <c r="J841">
        <v>678</v>
      </c>
      <c r="K841" t="s">
        <v>2168</v>
      </c>
      <c r="L841" t="s">
        <v>2168</v>
      </c>
      <c r="M841" t="s">
        <v>2332</v>
      </c>
    </row>
    <row r="842" spans="3:13">
      <c r="C842">
        <v>841</v>
      </c>
      <c r="D842" t="s">
        <v>2237</v>
      </c>
      <c r="E842" t="s">
        <v>2237</v>
      </c>
      <c r="F842">
        <v>0.5</v>
      </c>
      <c r="G842">
        <v>0.5</v>
      </c>
      <c r="J842">
        <v>679</v>
      </c>
      <c r="K842" t="s">
        <v>728</v>
      </c>
      <c r="L842" t="s">
        <v>728</v>
      </c>
      <c r="M842" t="s">
        <v>2112</v>
      </c>
    </row>
    <row r="843" spans="3:13">
      <c r="C843">
        <v>842</v>
      </c>
      <c r="D843" t="s">
        <v>2238</v>
      </c>
      <c r="E843" t="s">
        <v>2238</v>
      </c>
      <c r="F843">
        <v>0.5</v>
      </c>
      <c r="G843">
        <v>0.5</v>
      </c>
      <c r="J843">
        <v>680</v>
      </c>
      <c r="K843" t="s">
        <v>729</v>
      </c>
      <c r="L843" t="s">
        <v>729</v>
      </c>
      <c r="M843" t="s">
        <v>2112</v>
      </c>
    </row>
    <row r="844" spans="3:13">
      <c r="C844">
        <v>843</v>
      </c>
      <c r="D844" t="s">
        <v>2239</v>
      </c>
      <c r="E844" t="s">
        <v>2239</v>
      </c>
      <c r="F844">
        <v>0.5</v>
      </c>
      <c r="G844">
        <v>0.5</v>
      </c>
      <c r="J844">
        <v>681</v>
      </c>
      <c r="K844" t="s">
        <v>2169</v>
      </c>
      <c r="L844" t="s">
        <v>2169</v>
      </c>
      <c r="M844" t="s">
        <v>2112</v>
      </c>
    </row>
    <row r="845" spans="3:13">
      <c r="C845">
        <v>844</v>
      </c>
      <c r="D845" t="s">
        <v>2240</v>
      </c>
      <c r="E845" t="s">
        <v>2240</v>
      </c>
      <c r="F845">
        <v>0.5</v>
      </c>
      <c r="G845">
        <v>0.5</v>
      </c>
      <c r="J845">
        <v>682</v>
      </c>
      <c r="K845" t="s">
        <v>732</v>
      </c>
      <c r="L845" t="s">
        <v>732</v>
      </c>
      <c r="M845" t="s">
        <v>56</v>
      </c>
    </row>
    <row r="846" spans="3:13">
      <c r="C846">
        <v>845</v>
      </c>
      <c r="D846" t="s">
        <v>2241</v>
      </c>
      <c r="E846" t="s">
        <v>2241</v>
      </c>
      <c r="F846">
        <v>0.5</v>
      </c>
      <c r="G846">
        <v>0.5</v>
      </c>
      <c r="J846">
        <v>683</v>
      </c>
      <c r="K846" t="s">
        <v>733</v>
      </c>
      <c r="L846" t="s">
        <v>733</v>
      </c>
      <c r="M846" t="s">
        <v>56</v>
      </c>
    </row>
    <row r="847" spans="3:13">
      <c r="C847">
        <v>846</v>
      </c>
      <c r="D847" t="s">
        <v>2242</v>
      </c>
      <c r="E847" t="s">
        <v>2242</v>
      </c>
      <c r="F847">
        <v>0.5</v>
      </c>
      <c r="G847">
        <v>0.5</v>
      </c>
      <c r="J847">
        <v>684</v>
      </c>
      <c r="K847" t="s">
        <v>734</v>
      </c>
      <c r="L847" t="s">
        <v>734</v>
      </c>
      <c r="M847" t="s">
        <v>56</v>
      </c>
    </row>
    <row r="848" spans="3:13">
      <c r="C848">
        <v>847</v>
      </c>
      <c r="D848" t="s">
        <v>2243</v>
      </c>
      <c r="E848" t="s">
        <v>2243</v>
      </c>
      <c r="F848">
        <v>0.5</v>
      </c>
      <c r="G848">
        <v>0.5</v>
      </c>
      <c r="J848">
        <v>685</v>
      </c>
      <c r="K848" t="s">
        <v>735</v>
      </c>
      <c r="L848" t="s">
        <v>735</v>
      </c>
      <c r="M848" t="s">
        <v>56</v>
      </c>
    </row>
    <row r="849" spans="3:13">
      <c r="C849">
        <v>848</v>
      </c>
      <c r="D849" t="s">
        <v>2267</v>
      </c>
      <c r="E849" t="s">
        <v>2267</v>
      </c>
      <c r="F849">
        <v>0.5</v>
      </c>
      <c r="G849">
        <v>0.5</v>
      </c>
      <c r="J849">
        <v>717</v>
      </c>
      <c r="K849" t="s">
        <v>765</v>
      </c>
      <c r="L849" t="s">
        <v>765</v>
      </c>
      <c r="M849" t="s">
        <v>2333</v>
      </c>
    </row>
    <row r="850" spans="3:13">
      <c r="C850">
        <v>849</v>
      </c>
      <c r="D850" t="s">
        <v>2244</v>
      </c>
      <c r="E850" t="s">
        <v>2244</v>
      </c>
      <c r="F850">
        <v>0.5</v>
      </c>
      <c r="G850">
        <v>0.5</v>
      </c>
      <c r="J850">
        <v>686</v>
      </c>
      <c r="K850" t="s">
        <v>736</v>
      </c>
      <c r="L850" t="s">
        <v>736</v>
      </c>
      <c r="M850" t="s">
        <v>2331</v>
      </c>
    </row>
    <row r="851" spans="3:13">
      <c r="C851">
        <v>850</v>
      </c>
      <c r="D851" t="s">
        <v>2245</v>
      </c>
      <c r="E851" t="s">
        <v>2245</v>
      </c>
      <c r="F851">
        <v>0.5</v>
      </c>
      <c r="G851">
        <v>0.5</v>
      </c>
      <c r="J851">
        <v>687</v>
      </c>
      <c r="K851" t="s">
        <v>737</v>
      </c>
      <c r="L851" t="s">
        <v>737</v>
      </c>
      <c r="M851" t="s">
        <v>2331</v>
      </c>
    </row>
    <row r="852" spans="3:13">
      <c r="C852">
        <v>851</v>
      </c>
      <c r="D852" t="s">
        <v>2246</v>
      </c>
      <c r="E852" t="s">
        <v>2246</v>
      </c>
      <c r="F852">
        <v>0.5</v>
      </c>
      <c r="G852">
        <v>0.5</v>
      </c>
      <c r="J852">
        <v>688</v>
      </c>
      <c r="K852" t="s">
        <v>738</v>
      </c>
      <c r="L852" t="s">
        <v>738</v>
      </c>
      <c r="M852" t="s">
        <v>2337</v>
      </c>
    </row>
    <row r="853" spans="3:13">
      <c r="C853">
        <v>852</v>
      </c>
      <c r="D853" t="s">
        <v>2247</v>
      </c>
      <c r="E853" t="s">
        <v>2247</v>
      </c>
      <c r="F853">
        <v>0.5</v>
      </c>
      <c r="G853">
        <v>0.5</v>
      </c>
      <c r="J853">
        <v>689</v>
      </c>
      <c r="K853" t="s">
        <v>739</v>
      </c>
      <c r="L853" t="s">
        <v>739</v>
      </c>
      <c r="M853" t="s">
        <v>2337</v>
      </c>
    </row>
    <row r="854" spans="3:13">
      <c r="C854">
        <v>853</v>
      </c>
      <c r="D854" t="s">
        <v>2248</v>
      </c>
      <c r="E854" t="s">
        <v>2248</v>
      </c>
      <c r="F854">
        <v>0.5</v>
      </c>
      <c r="G854">
        <v>0.5</v>
      </c>
      <c r="J854">
        <v>690</v>
      </c>
      <c r="K854" t="s">
        <v>740</v>
      </c>
      <c r="L854" t="s">
        <v>740</v>
      </c>
      <c r="M854" t="s">
        <v>23</v>
      </c>
    </row>
    <row r="855" spans="3:13">
      <c r="C855">
        <v>854</v>
      </c>
      <c r="D855" t="s">
        <v>2284</v>
      </c>
      <c r="E855" t="s">
        <v>2284</v>
      </c>
      <c r="F855" s="123" t="s">
        <v>1109</v>
      </c>
      <c r="G855" s="123" t="s">
        <v>1109</v>
      </c>
      <c r="J855">
        <v>809</v>
      </c>
      <c r="K855" t="s">
        <v>2316</v>
      </c>
      <c r="L855" t="s">
        <v>2316</v>
      </c>
      <c r="M855" t="s">
        <v>2333</v>
      </c>
    </row>
    <row r="856" spans="3:13">
      <c r="C856">
        <v>855</v>
      </c>
      <c r="D856" t="s">
        <v>2285</v>
      </c>
      <c r="E856" t="s">
        <v>2285</v>
      </c>
      <c r="F856" s="123" t="s">
        <v>1109</v>
      </c>
      <c r="G856" s="123" t="s">
        <v>1109</v>
      </c>
      <c r="J856">
        <v>810</v>
      </c>
      <c r="K856" t="s">
        <v>2157</v>
      </c>
      <c r="L856" t="s">
        <v>2157</v>
      </c>
      <c r="M856" t="s">
        <v>14</v>
      </c>
    </row>
    <row r="857" spans="3:13">
      <c r="C857">
        <v>856</v>
      </c>
      <c r="D857" t="s">
        <v>2277</v>
      </c>
      <c r="E857" t="s">
        <v>2277</v>
      </c>
      <c r="F857">
        <v>0</v>
      </c>
      <c r="G857">
        <v>1</v>
      </c>
      <c r="J857">
        <v>766</v>
      </c>
      <c r="K857" t="s">
        <v>2200</v>
      </c>
      <c r="L857" t="s">
        <v>2200</v>
      </c>
      <c r="M857" t="s">
        <v>2332</v>
      </c>
    </row>
    <row r="858" spans="3:13">
      <c r="C858">
        <v>857</v>
      </c>
      <c r="D858" t="s">
        <v>2278</v>
      </c>
      <c r="E858" t="s">
        <v>2278</v>
      </c>
      <c r="F858">
        <v>0</v>
      </c>
      <c r="G858">
        <v>1</v>
      </c>
      <c r="J858">
        <v>767</v>
      </c>
      <c r="K858" t="s">
        <v>2201</v>
      </c>
      <c r="L858" t="s">
        <v>2201</v>
      </c>
      <c r="M858" t="s">
        <v>29</v>
      </c>
    </row>
    <row r="859" spans="3:13">
      <c r="C859">
        <v>858</v>
      </c>
      <c r="D859" t="s">
        <v>2279</v>
      </c>
      <c r="E859" t="s">
        <v>2279</v>
      </c>
      <c r="F859">
        <v>0</v>
      </c>
      <c r="G859">
        <v>1</v>
      </c>
      <c r="J859">
        <v>768</v>
      </c>
      <c r="K859" t="s">
        <v>2202</v>
      </c>
      <c r="L859" t="s">
        <v>2202</v>
      </c>
      <c r="M859" t="s">
        <v>29</v>
      </c>
    </row>
    <row r="860" spans="3:13">
      <c r="C860">
        <v>859</v>
      </c>
      <c r="D860" t="s">
        <v>2144</v>
      </c>
      <c r="E860" t="s">
        <v>2144</v>
      </c>
      <c r="F860">
        <v>1</v>
      </c>
      <c r="G860">
        <v>0</v>
      </c>
      <c r="J860">
        <v>15</v>
      </c>
      <c r="K860" t="s">
        <v>34</v>
      </c>
      <c r="L860" t="s">
        <v>34</v>
      </c>
      <c r="M860" t="s">
        <v>29</v>
      </c>
    </row>
    <row r="861" spans="3:13">
      <c r="C861">
        <v>860</v>
      </c>
      <c r="D861" t="s">
        <v>2145</v>
      </c>
      <c r="E861" t="s">
        <v>2145</v>
      </c>
      <c r="F861">
        <v>1</v>
      </c>
      <c r="G861">
        <v>0</v>
      </c>
      <c r="J861">
        <v>16</v>
      </c>
      <c r="K861" t="s">
        <v>35</v>
      </c>
      <c r="L861" t="s">
        <v>35</v>
      </c>
      <c r="M861" t="s">
        <v>22</v>
      </c>
    </row>
    <row r="862" spans="3:13">
      <c r="C862">
        <v>861</v>
      </c>
      <c r="D862" t="s">
        <v>2146</v>
      </c>
      <c r="E862" t="s">
        <v>2146</v>
      </c>
      <c r="F862">
        <v>1</v>
      </c>
      <c r="G862">
        <v>0</v>
      </c>
      <c r="J862">
        <v>17</v>
      </c>
      <c r="K862" t="s">
        <v>37</v>
      </c>
      <c r="L862" t="s">
        <v>37</v>
      </c>
      <c r="M862" t="s">
        <v>22</v>
      </c>
    </row>
    <row r="863" spans="3:13">
      <c r="C863">
        <v>862</v>
      </c>
      <c r="D863" t="s">
        <v>2249</v>
      </c>
      <c r="E863" t="s">
        <v>2249</v>
      </c>
      <c r="F863">
        <v>0.5</v>
      </c>
      <c r="G863">
        <v>0.5</v>
      </c>
      <c r="J863">
        <v>691</v>
      </c>
      <c r="K863" t="s">
        <v>741</v>
      </c>
      <c r="L863" t="s">
        <v>741</v>
      </c>
      <c r="M863" t="s">
        <v>23</v>
      </c>
    </row>
    <row r="864" spans="3:13">
      <c r="C864">
        <v>863</v>
      </c>
      <c r="D864" t="s">
        <v>2250</v>
      </c>
      <c r="E864" t="s">
        <v>2250</v>
      </c>
      <c r="F864">
        <v>0.5</v>
      </c>
      <c r="G864">
        <v>0.5</v>
      </c>
      <c r="J864">
        <v>692</v>
      </c>
      <c r="K864" t="s">
        <v>742</v>
      </c>
      <c r="L864" t="s">
        <v>742</v>
      </c>
      <c r="M864" t="s">
        <v>2337</v>
      </c>
    </row>
    <row r="865" spans="3:13">
      <c r="C865">
        <v>864</v>
      </c>
      <c r="D865" t="s">
        <v>2270</v>
      </c>
      <c r="E865" t="s">
        <v>2270</v>
      </c>
      <c r="F865">
        <v>0.25</v>
      </c>
      <c r="G865">
        <v>0.75</v>
      </c>
      <c r="J865">
        <v>739</v>
      </c>
      <c r="K865" t="s">
        <v>2180</v>
      </c>
      <c r="L865" t="s">
        <v>2180</v>
      </c>
      <c r="M865" t="s">
        <v>2335</v>
      </c>
    </row>
    <row r="866" spans="3:13">
      <c r="C866">
        <v>865</v>
      </c>
      <c r="D866" t="s">
        <v>2251</v>
      </c>
      <c r="E866" t="s">
        <v>2251</v>
      </c>
      <c r="F866">
        <v>0.5</v>
      </c>
      <c r="G866">
        <v>0.5</v>
      </c>
      <c r="J866">
        <v>693</v>
      </c>
      <c r="K866" t="s">
        <v>743</v>
      </c>
      <c r="L866" t="s">
        <v>743</v>
      </c>
      <c r="M866" t="s">
        <v>2337</v>
      </c>
    </row>
    <row r="867" spans="3:13">
      <c r="C867">
        <v>866</v>
      </c>
      <c r="D867" t="s">
        <v>2252</v>
      </c>
      <c r="E867" t="s">
        <v>2252</v>
      </c>
      <c r="F867">
        <v>0.5</v>
      </c>
      <c r="G867">
        <v>0.5</v>
      </c>
      <c r="J867">
        <v>694</v>
      </c>
      <c r="K867" t="s">
        <v>744</v>
      </c>
      <c r="L867" t="s">
        <v>744</v>
      </c>
      <c r="M867" t="s">
        <v>23</v>
      </c>
    </row>
    <row r="868" spans="3:13">
      <c r="C868">
        <v>867</v>
      </c>
      <c r="D868" t="s">
        <v>2253</v>
      </c>
      <c r="E868" t="s">
        <v>2253</v>
      </c>
      <c r="F868">
        <v>0.5</v>
      </c>
      <c r="G868">
        <v>0.5</v>
      </c>
      <c r="J868">
        <v>695</v>
      </c>
      <c r="K868" t="s">
        <v>745</v>
      </c>
      <c r="L868" t="s">
        <v>745</v>
      </c>
      <c r="M868" t="s">
        <v>23</v>
      </c>
    </row>
    <row r="869" spans="3:13">
      <c r="C869">
        <v>868</v>
      </c>
      <c r="D869" t="s">
        <v>2280</v>
      </c>
      <c r="E869" t="s">
        <v>2280</v>
      </c>
      <c r="F869">
        <v>0</v>
      </c>
      <c r="G869">
        <v>1</v>
      </c>
      <c r="J869">
        <v>769</v>
      </c>
      <c r="K869" t="s">
        <v>2203</v>
      </c>
      <c r="L869" t="s">
        <v>2203</v>
      </c>
      <c r="M869" t="s">
        <v>2336</v>
      </c>
    </row>
    <row r="870" spans="3:13">
      <c r="C870">
        <v>869</v>
      </c>
      <c r="D870" t="s">
        <v>2281</v>
      </c>
      <c r="E870" t="s">
        <v>2281</v>
      </c>
      <c r="F870">
        <v>0</v>
      </c>
      <c r="G870">
        <v>1</v>
      </c>
      <c r="J870">
        <v>770</v>
      </c>
      <c r="K870" t="s">
        <v>2204</v>
      </c>
      <c r="L870" t="s">
        <v>2204</v>
      </c>
      <c r="M870" t="s">
        <v>2336</v>
      </c>
    </row>
    <row r="871" spans="3:13">
      <c r="C871">
        <v>870</v>
      </c>
      <c r="D871" t="s">
        <v>2286</v>
      </c>
      <c r="E871" t="s">
        <v>2286</v>
      </c>
      <c r="F871" s="123" t="s">
        <v>1109</v>
      </c>
      <c r="G871" s="123" t="s">
        <v>1109</v>
      </c>
      <c r="J871">
        <v>811</v>
      </c>
      <c r="K871" t="s">
        <v>2158</v>
      </c>
      <c r="L871" t="s">
        <v>2158</v>
      </c>
      <c r="M871" t="s">
        <v>14</v>
      </c>
    </row>
    <row r="872" spans="3:13">
      <c r="C872">
        <v>871</v>
      </c>
      <c r="D872" t="s">
        <v>2254</v>
      </c>
      <c r="E872" t="s">
        <v>2254</v>
      </c>
      <c r="F872">
        <v>0.5</v>
      </c>
      <c r="G872">
        <v>0.5</v>
      </c>
      <c r="J872">
        <v>696</v>
      </c>
      <c r="K872" t="s">
        <v>746</v>
      </c>
      <c r="L872" t="s">
        <v>746</v>
      </c>
      <c r="M872" t="s">
        <v>23</v>
      </c>
    </row>
    <row r="873" spans="3:13">
      <c r="C873">
        <v>872</v>
      </c>
      <c r="D873" t="s">
        <v>2255</v>
      </c>
      <c r="E873" t="s">
        <v>2255</v>
      </c>
      <c r="F873">
        <v>0.5</v>
      </c>
      <c r="G873">
        <v>0.5</v>
      </c>
      <c r="J873">
        <v>697</v>
      </c>
      <c r="K873" t="s">
        <v>747</v>
      </c>
      <c r="L873" t="s">
        <v>747</v>
      </c>
      <c r="M873" t="s">
        <v>23</v>
      </c>
    </row>
    <row r="874" spans="3:13">
      <c r="C874">
        <v>873</v>
      </c>
      <c r="D874" t="s">
        <v>2256</v>
      </c>
      <c r="E874" t="s">
        <v>2256</v>
      </c>
      <c r="F874">
        <v>0.5</v>
      </c>
      <c r="G874">
        <v>0.5</v>
      </c>
      <c r="J874">
        <v>698</v>
      </c>
      <c r="K874" t="s">
        <v>748</v>
      </c>
      <c r="L874" t="s">
        <v>748</v>
      </c>
      <c r="M874" t="s">
        <v>2330</v>
      </c>
    </row>
    <row r="875" spans="3:13">
      <c r="C875">
        <v>874</v>
      </c>
      <c r="D875" t="s">
        <v>2257</v>
      </c>
      <c r="E875" t="s">
        <v>2257</v>
      </c>
      <c r="F875">
        <v>0.5</v>
      </c>
      <c r="G875">
        <v>0.5</v>
      </c>
      <c r="J875">
        <v>699</v>
      </c>
      <c r="K875" t="s">
        <v>749</v>
      </c>
      <c r="L875" t="s">
        <v>749</v>
      </c>
      <c r="M875" t="s">
        <v>2330</v>
      </c>
    </row>
    <row r="876" spans="3:13">
      <c r="C876">
        <v>875</v>
      </c>
      <c r="D876" t="s">
        <v>2258</v>
      </c>
      <c r="E876" t="s">
        <v>2258</v>
      </c>
      <c r="F876">
        <v>0.5</v>
      </c>
      <c r="G876">
        <v>0.5</v>
      </c>
      <c r="J876">
        <v>700</v>
      </c>
      <c r="K876" t="s">
        <v>750</v>
      </c>
      <c r="L876" t="s">
        <v>750</v>
      </c>
      <c r="M876" t="s">
        <v>2332</v>
      </c>
    </row>
    <row r="877" spans="3:13">
      <c r="C877">
        <v>876</v>
      </c>
      <c r="D877" t="s">
        <v>2259</v>
      </c>
      <c r="E877" t="s">
        <v>2259</v>
      </c>
      <c r="F877">
        <v>0.5</v>
      </c>
      <c r="G877">
        <v>0.5</v>
      </c>
      <c r="J877">
        <v>701</v>
      </c>
      <c r="K877" t="s">
        <v>751</v>
      </c>
      <c r="L877" t="s">
        <v>751</v>
      </c>
      <c r="M877" t="s">
        <v>22</v>
      </c>
    </row>
    <row r="878" spans="3:13">
      <c r="C878">
        <v>877</v>
      </c>
      <c r="D878" t="s">
        <v>2260</v>
      </c>
      <c r="E878" t="s">
        <v>2260</v>
      </c>
      <c r="F878">
        <v>0.5</v>
      </c>
      <c r="G878">
        <v>0.5</v>
      </c>
      <c r="J878">
        <v>702</v>
      </c>
      <c r="K878" t="s">
        <v>752</v>
      </c>
      <c r="L878" t="s">
        <v>752</v>
      </c>
      <c r="M878" t="s">
        <v>2332</v>
      </c>
    </row>
    <row r="879" spans="3:13">
      <c r="C879">
        <v>878</v>
      </c>
      <c r="D879" t="s">
        <v>2261</v>
      </c>
      <c r="E879" t="s">
        <v>2261</v>
      </c>
      <c r="F879">
        <v>0.5</v>
      </c>
      <c r="G879">
        <v>0.5</v>
      </c>
      <c r="J879">
        <v>703</v>
      </c>
      <c r="K879" t="s">
        <v>753</v>
      </c>
      <c r="L879" t="s">
        <v>753</v>
      </c>
      <c r="M879" t="s">
        <v>2112</v>
      </c>
    </row>
    <row r="880" spans="3:13">
      <c r="C880">
        <v>879</v>
      </c>
      <c r="D880" t="s">
        <v>2262</v>
      </c>
      <c r="E880" t="s">
        <v>2262</v>
      </c>
      <c r="F880">
        <v>0.5</v>
      </c>
      <c r="G880">
        <v>0.5</v>
      </c>
      <c r="J880">
        <v>704</v>
      </c>
      <c r="K880" t="s">
        <v>754</v>
      </c>
      <c r="L880" t="s">
        <v>754</v>
      </c>
      <c r="M880" t="s">
        <v>23</v>
      </c>
    </row>
    <row r="881" spans="3:13">
      <c r="C881">
        <v>880</v>
      </c>
      <c r="D881" t="s">
        <v>2317</v>
      </c>
      <c r="E881" t="s">
        <v>2317</v>
      </c>
      <c r="F881" s="123" t="s">
        <v>1109</v>
      </c>
      <c r="G881" s="123" t="s">
        <v>1109</v>
      </c>
      <c r="J881">
        <v>886</v>
      </c>
      <c r="K881" t="s">
        <v>2265</v>
      </c>
      <c r="L881" t="s">
        <v>2265</v>
      </c>
      <c r="M881" t="s">
        <v>2336</v>
      </c>
    </row>
    <row r="882" spans="3:13">
      <c r="C882">
        <v>881</v>
      </c>
      <c r="D882" t="s">
        <v>2318</v>
      </c>
      <c r="E882" t="s">
        <v>2318</v>
      </c>
      <c r="F882" s="123" t="s">
        <v>1109</v>
      </c>
      <c r="G882" s="123" t="s">
        <v>1109</v>
      </c>
      <c r="J882">
        <v>887</v>
      </c>
      <c r="K882" t="s">
        <v>2266</v>
      </c>
      <c r="L882" t="s">
        <v>2266</v>
      </c>
      <c r="M882" t="s">
        <v>2336</v>
      </c>
    </row>
    <row r="883" spans="3:13">
      <c r="C883">
        <v>882</v>
      </c>
      <c r="D883" t="s">
        <v>2319</v>
      </c>
      <c r="E883" t="s">
        <v>2319</v>
      </c>
      <c r="F883" s="123" t="s">
        <v>1109</v>
      </c>
      <c r="G883" s="123" t="s">
        <v>1109</v>
      </c>
      <c r="J883">
        <v>888</v>
      </c>
      <c r="K883" t="s">
        <v>2321</v>
      </c>
      <c r="L883" t="s">
        <v>2321</v>
      </c>
      <c r="M883" t="s">
        <v>2333</v>
      </c>
    </row>
    <row r="884" spans="3:13">
      <c r="C884">
        <v>883</v>
      </c>
      <c r="D884" t="s">
        <v>2320</v>
      </c>
      <c r="E884" t="s">
        <v>2320</v>
      </c>
      <c r="F884" s="123" t="s">
        <v>1109</v>
      </c>
      <c r="G884" s="123" t="s">
        <v>1109</v>
      </c>
      <c r="J884">
        <v>889</v>
      </c>
      <c r="K884" t="s">
        <v>2322</v>
      </c>
      <c r="L884" t="s">
        <v>2322</v>
      </c>
      <c r="M884" t="s">
        <v>2333</v>
      </c>
    </row>
    <row r="885" spans="3:13">
      <c r="C885">
        <v>884</v>
      </c>
      <c r="D885" t="s">
        <v>2263</v>
      </c>
      <c r="E885" t="s">
        <v>2263</v>
      </c>
      <c r="F885">
        <v>0.5</v>
      </c>
      <c r="G885">
        <v>0.5</v>
      </c>
      <c r="J885">
        <v>705</v>
      </c>
      <c r="K885" t="s">
        <v>755</v>
      </c>
      <c r="L885" t="s">
        <v>755</v>
      </c>
      <c r="M885" t="s">
        <v>23</v>
      </c>
    </row>
    <row r="886" spans="3:13">
      <c r="C886">
        <v>885</v>
      </c>
      <c r="D886" t="s">
        <v>2264</v>
      </c>
      <c r="E886" t="s">
        <v>2264</v>
      </c>
      <c r="F886">
        <v>0.5</v>
      </c>
      <c r="G886">
        <v>0.5</v>
      </c>
      <c r="J886">
        <v>706</v>
      </c>
      <c r="K886" t="s">
        <v>756</v>
      </c>
      <c r="L886" t="s">
        <v>756</v>
      </c>
      <c r="M886" t="s">
        <v>23</v>
      </c>
    </row>
    <row r="887" spans="3:13">
      <c r="C887">
        <v>886</v>
      </c>
      <c r="D887" t="s">
        <v>2265</v>
      </c>
      <c r="E887" t="s">
        <v>2265</v>
      </c>
      <c r="F887">
        <v>0.5</v>
      </c>
      <c r="G887">
        <v>0.5</v>
      </c>
      <c r="J887">
        <v>707</v>
      </c>
      <c r="K887" t="s">
        <v>757</v>
      </c>
      <c r="L887" t="s">
        <v>757</v>
      </c>
      <c r="M887" t="s">
        <v>2112</v>
      </c>
    </row>
    <row r="888" spans="3:13">
      <c r="C888">
        <v>887</v>
      </c>
      <c r="D888" t="s">
        <v>2266</v>
      </c>
      <c r="E888" t="s">
        <v>2266</v>
      </c>
      <c r="F888">
        <v>0.5</v>
      </c>
      <c r="G888">
        <v>0.5</v>
      </c>
      <c r="J888">
        <v>708</v>
      </c>
      <c r="K888" t="s">
        <v>758</v>
      </c>
      <c r="L888" t="s">
        <v>758</v>
      </c>
      <c r="M888" t="s">
        <v>2336</v>
      </c>
    </row>
    <row r="889" spans="3:13">
      <c r="C889">
        <v>888</v>
      </c>
      <c r="D889" t="s">
        <v>2321</v>
      </c>
      <c r="E889" t="s">
        <v>2321</v>
      </c>
      <c r="F889" s="123" t="s">
        <v>1109</v>
      </c>
      <c r="G889" s="123" t="s">
        <v>1109</v>
      </c>
      <c r="J889">
        <v>890</v>
      </c>
      <c r="K889" t="s">
        <v>2323</v>
      </c>
      <c r="L889" t="s">
        <v>2323</v>
      </c>
      <c r="M889" t="s">
        <v>2333</v>
      </c>
    </row>
    <row r="890" spans="3:13">
      <c r="C890">
        <v>889</v>
      </c>
      <c r="D890" t="s">
        <v>2322</v>
      </c>
      <c r="E890" t="s">
        <v>2322</v>
      </c>
      <c r="F890" s="123" t="s">
        <v>1109</v>
      </c>
      <c r="G890" s="123" t="s">
        <v>1109</v>
      </c>
      <c r="J890">
        <v>891</v>
      </c>
      <c r="K890" t="s">
        <v>2166</v>
      </c>
      <c r="L890" t="s">
        <v>2166</v>
      </c>
      <c r="M890" t="s">
        <v>2333</v>
      </c>
    </row>
    <row r="891" spans="3:13">
      <c r="C891">
        <v>890</v>
      </c>
      <c r="D891" t="s">
        <v>2323</v>
      </c>
      <c r="E891" t="s">
        <v>2323</v>
      </c>
      <c r="F891" s="123" t="s">
        <v>1109</v>
      </c>
      <c r="G891" s="123" t="s">
        <v>1109</v>
      </c>
      <c r="J891">
        <v>892</v>
      </c>
      <c r="K891" t="s">
        <v>2167</v>
      </c>
      <c r="L891" t="s">
        <v>2167</v>
      </c>
      <c r="M891" t="s">
        <v>2333</v>
      </c>
    </row>
    <row r="892" spans="3:13">
      <c r="C892">
        <v>891</v>
      </c>
      <c r="D892" t="s">
        <v>2166</v>
      </c>
      <c r="E892" t="s">
        <v>2166</v>
      </c>
      <c r="F892">
        <v>0.85</v>
      </c>
      <c r="G892">
        <v>0.15</v>
      </c>
      <c r="J892">
        <v>143</v>
      </c>
      <c r="K892" t="s">
        <v>171</v>
      </c>
      <c r="L892" t="s">
        <v>171</v>
      </c>
      <c r="M892" t="s">
        <v>2330</v>
      </c>
    </row>
    <row r="893" spans="3:13">
      <c r="C893">
        <v>892</v>
      </c>
      <c r="D893" t="s">
        <v>2167</v>
      </c>
      <c r="E893" t="s">
        <v>2167</v>
      </c>
      <c r="F893">
        <v>0.85</v>
      </c>
      <c r="G893">
        <v>0.15</v>
      </c>
      <c r="J893">
        <v>144</v>
      </c>
      <c r="K893" t="s">
        <v>172</v>
      </c>
      <c r="L893" t="s">
        <v>172</v>
      </c>
      <c r="M893" t="s">
        <v>2333</v>
      </c>
    </row>
    <row r="894" spans="3:13">
      <c r="C894">
        <v>893</v>
      </c>
      <c r="D894" t="s">
        <v>2324</v>
      </c>
      <c r="E894" t="s">
        <v>2324</v>
      </c>
      <c r="F894" s="123" t="s">
        <v>1109</v>
      </c>
      <c r="G894" s="123" t="s">
        <v>1109</v>
      </c>
      <c r="J894">
        <v>893</v>
      </c>
      <c r="K894" t="s">
        <v>2324</v>
      </c>
      <c r="L894" t="s">
        <v>2324</v>
      </c>
      <c r="M894" t="s">
        <v>2333</v>
      </c>
    </row>
    <row r="895" spans="3:13">
      <c r="C895">
        <v>894</v>
      </c>
      <c r="D895" t="s">
        <v>2325</v>
      </c>
      <c r="E895" t="s">
        <v>2325</v>
      </c>
      <c r="F895" s="123" t="s">
        <v>1109</v>
      </c>
      <c r="G895" s="123" t="s">
        <v>1109</v>
      </c>
      <c r="J895">
        <v>894</v>
      </c>
      <c r="K895" t="s">
        <v>2325</v>
      </c>
      <c r="L895" t="s">
        <v>2325</v>
      </c>
      <c r="M895" t="s">
        <v>2333</v>
      </c>
    </row>
    <row r="896" spans="3:13">
      <c r="C896">
        <v>895</v>
      </c>
      <c r="D896" t="s">
        <v>2326</v>
      </c>
      <c r="E896" t="s">
        <v>2326</v>
      </c>
      <c r="F896" s="123" t="s">
        <v>1109</v>
      </c>
      <c r="G896" s="123" t="s">
        <v>1109</v>
      </c>
      <c r="J896">
        <v>895</v>
      </c>
      <c r="K896" t="s">
        <v>2326</v>
      </c>
      <c r="L896" t="s">
        <v>2326</v>
      </c>
      <c r="M896" t="s">
        <v>2333</v>
      </c>
    </row>
    <row r="897" spans="3:13">
      <c r="C897">
        <v>896</v>
      </c>
      <c r="D897" t="s">
        <v>2327</v>
      </c>
      <c r="E897" t="s">
        <v>2327</v>
      </c>
      <c r="F897" s="123" t="s">
        <v>1109</v>
      </c>
      <c r="G897" s="123" t="s">
        <v>1109</v>
      </c>
      <c r="J897">
        <v>896</v>
      </c>
      <c r="K897" t="s">
        <v>2327</v>
      </c>
      <c r="L897" t="s">
        <v>2327</v>
      </c>
      <c r="M897" t="s">
        <v>2333</v>
      </c>
    </row>
    <row r="898" spans="3:13">
      <c r="C898">
        <v>897</v>
      </c>
      <c r="D898" t="s">
        <v>2328</v>
      </c>
      <c r="E898" t="s">
        <v>2328</v>
      </c>
      <c r="F898" s="123" t="s">
        <v>1109</v>
      </c>
      <c r="G898" s="123" t="s">
        <v>1109</v>
      </c>
      <c r="J898">
        <v>897</v>
      </c>
      <c r="K898" t="s">
        <v>2328</v>
      </c>
      <c r="L898" t="s">
        <v>2328</v>
      </c>
      <c r="M898" t="s">
        <v>2333</v>
      </c>
    </row>
    <row r="899" spans="3:13">
      <c r="C899">
        <v>898</v>
      </c>
      <c r="D899" t="s">
        <v>2329</v>
      </c>
      <c r="E899" t="s">
        <v>2329</v>
      </c>
      <c r="F899" s="123" t="s">
        <v>1109</v>
      </c>
      <c r="G899" s="123" t="s">
        <v>1109</v>
      </c>
      <c r="J899">
        <v>898</v>
      </c>
      <c r="K899" t="s">
        <v>2329</v>
      </c>
      <c r="L899" t="s">
        <v>2329</v>
      </c>
      <c r="M899" t="s">
        <v>2333</v>
      </c>
    </row>
    <row r="900" spans="3:13">
      <c r="J900">
        <v>899</v>
      </c>
      <c r="K900" t="s">
        <v>2338</v>
      </c>
      <c r="L900" t="s">
        <v>2338</v>
      </c>
      <c r="M900" t="s">
        <v>2332</v>
      </c>
    </row>
    <row r="901" spans="3:13">
      <c r="J901">
        <v>900</v>
      </c>
      <c r="K901" t="s">
        <v>2339</v>
      </c>
      <c r="L901" t="s">
        <v>2339</v>
      </c>
      <c r="M901" t="s">
        <v>29</v>
      </c>
    </row>
    <row r="902" spans="3:13">
      <c r="J902">
        <v>901</v>
      </c>
      <c r="K902" t="s">
        <v>2340</v>
      </c>
      <c r="L902" t="s">
        <v>2340</v>
      </c>
      <c r="M902" t="s">
        <v>2332</v>
      </c>
    </row>
    <row r="903" spans="3:13">
      <c r="J903">
        <v>902</v>
      </c>
      <c r="K903" t="s">
        <v>2341</v>
      </c>
      <c r="L903" t="s">
        <v>2341</v>
      </c>
      <c r="M903" t="s">
        <v>2337</v>
      </c>
    </row>
    <row r="904" spans="3:13">
      <c r="J904">
        <v>903</v>
      </c>
      <c r="K904" t="s">
        <v>2342</v>
      </c>
      <c r="L904" t="s">
        <v>2342</v>
      </c>
      <c r="M904" t="s">
        <v>2332</v>
      </c>
    </row>
    <row r="905" spans="3:13">
      <c r="J905">
        <v>904</v>
      </c>
      <c r="K905" t="s">
        <v>2343</v>
      </c>
      <c r="L905" t="s">
        <v>2343</v>
      </c>
      <c r="M905" t="s">
        <v>2337</v>
      </c>
    </row>
    <row r="906" spans="3:13">
      <c r="J906">
        <v>905</v>
      </c>
      <c r="K906" t="s">
        <v>2344</v>
      </c>
      <c r="L906" t="s">
        <v>2344</v>
      </c>
      <c r="M906" t="s">
        <v>2333</v>
      </c>
    </row>
  </sheetData>
  <autoFilter ref="C1:M899" xr:uid="{2A4612A5-72CE-8E43-8717-6DC00CF34293}">
    <sortState xmlns:xlrd2="http://schemas.microsoft.com/office/spreadsheetml/2017/richdata2" ref="C2:M899">
      <sortCondition ref="C1:C899"/>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J255"/>
  <sheetViews>
    <sheetView topLeftCell="I1" zoomScale="110" zoomScaleNormal="110" workbookViewId="0">
      <selection activeCell="X4" sqref="X4"/>
    </sheetView>
  </sheetViews>
  <sheetFormatPr baseColWidth="10" defaultColWidth="8.83203125" defaultRowHeight="15" outlineLevelCol="1"/>
  <cols>
    <col min="1" max="1" width="5.1640625" style="5" bestFit="1" customWidth="1"/>
    <col min="2" max="3" width="19.83203125" style="5" customWidth="1"/>
    <col min="4" max="4" width="8.6640625" style="5" bestFit="1" customWidth="1"/>
    <col min="5" max="5" width="8.6640625" style="5" customWidth="1"/>
    <col min="6" max="6" width="8.6640625" style="5" bestFit="1" customWidth="1"/>
    <col min="7" max="7" width="7.83203125" style="5" customWidth="1" outlineLevel="1"/>
    <col min="8" max="9" width="10.5" style="5" customWidth="1" outlineLevel="1"/>
    <col min="10" max="11" width="17" style="5" customWidth="1" outlineLevel="1"/>
    <col min="12" max="18" width="9.5" style="5" customWidth="1" outlineLevel="1"/>
    <col min="19" max="19" width="5" style="5" customWidth="1" outlineLevel="1"/>
    <col min="20" max="25" width="7.33203125" style="5" customWidth="1" outlineLevel="1"/>
    <col min="26" max="29" width="9" style="5" customWidth="1"/>
    <col min="30" max="30" width="8.83203125" style="5"/>
    <col min="31" max="31" width="18" style="5" customWidth="1" outlineLevel="1"/>
    <col min="32" max="32" width="5.83203125" style="5" customWidth="1" outlineLevel="1"/>
    <col min="33" max="33" width="18" style="5" customWidth="1" outlineLevel="1"/>
    <col min="34" max="34" width="6.1640625" style="5" customWidth="1" outlineLevel="1"/>
    <col min="35" max="38" width="17.83203125" style="5" customWidth="1" outlineLevel="1"/>
    <col min="39" max="39" width="54.83203125" style="106" customWidth="1" outlineLevel="1"/>
    <col min="40" max="42" width="46.83203125" style="5" customWidth="1" outlineLevel="1"/>
    <col min="44" max="16384" width="8.83203125" style="5"/>
  </cols>
  <sheetData>
    <row r="1" spans="1:62">
      <c r="A1" s="170" t="s">
        <v>770</v>
      </c>
      <c r="B1" s="170"/>
      <c r="C1" s="170"/>
      <c r="D1" s="170"/>
      <c r="E1" s="170"/>
      <c r="F1" s="170"/>
      <c r="G1" s="170"/>
      <c r="H1" s="170"/>
      <c r="I1" s="170"/>
      <c r="J1" s="170"/>
      <c r="K1" s="170"/>
      <c r="L1" s="170"/>
      <c r="M1" s="170"/>
      <c r="N1" s="170"/>
      <c r="O1" s="170"/>
      <c r="P1" s="170"/>
      <c r="Q1" s="170"/>
      <c r="R1" s="170"/>
      <c r="S1" s="170"/>
      <c r="T1" s="170"/>
      <c r="U1" s="170"/>
      <c r="V1" s="170"/>
      <c r="W1" s="170"/>
      <c r="X1" s="170"/>
      <c r="Y1" s="170"/>
      <c r="Z1" s="175" t="s">
        <v>936</v>
      </c>
      <c r="AA1" s="175"/>
      <c r="AB1" s="175"/>
      <c r="AC1" s="175"/>
      <c r="AD1" s="175"/>
      <c r="AE1" s="173" t="s">
        <v>1976</v>
      </c>
      <c r="AF1" s="173"/>
      <c r="AG1" s="173"/>
      <c r="AH1" s="173"/>
      <c r="AI1" s="173"/>
      <c r="AJ1" s="173"/>
      <c r="AK1" s="173"/>
      <c r="AL1" s="173"/>
      <c r="AM1" s="174" t="s">
        <v>1977</v>
      </c>
      <c r="AN1" s="174"/>
      <c r="AO1" s="174"/>
      <c r="AP1" s="174"/>
      <c r="AQ1" s="5"/>
    </row>
    <row r="2" spans="1:62">
      <c r="A2" s="170" t="s">
        <v>1975</v>
      </c>
      <c r="B2" s="170"/>
      <c r="C2" s="170"/>
      <c r="D2" s="170"/>
      <c r="E2" s="170"/>
      <c r="F2" s="170"/>
      <c r="G2" s="170" t="s">
        <v>1978</v>
      </c>
      <c r="H2" s="170"/>
      <c r="I2" s="170"/>
      <c r="J2" s="170"/>
      <c r="K2" s="170"/>
      <c r="L2" s="170" t="s">
        <v>2035</v>
      </c>
      <c r="M2" s="170"/>
      <c r="N2" s="170"/>
      <c r="O2" s="170"/>
      <c r="P2" s="170"/>
      <c r="Q2" s="170"/>
      <c r="R2" s="170"/>
      <c r="S2" s="170" t="s">
        <v>2028</v>
      </c>
      <c r="T2" s="170"/>
      <c r="U2" s="170"/>
      <c r="V2" s="170"/>
      <c r="W2" s="170"/>
      <c r="X2" s="170"/>
      <c r="Y2" s="170"/>
      <c r="Z2" s="175"/>
      <c r="AA2" s="175"/>
      <c r="AB2" s="175"/>
      <c r="AC2" s="175"/>
      <c r="AD2" s="175"/>
      <c r="AE2" s="173" t="s">
        <v>2036</v>
      </c>
      <c r="AF2" s="173"/>
      <c r="AG2" s="173"/>
      <c r="AH2" s="173"/>
      <c r="AI2" s="173" t="s">
        <v>2037</v>
      </c>
      <c r="AJ2" s="173"/>
      <c r="AK2" s="173"/>
      <c r="AL2" s="173"/>
      <c r="AM2" s="108"/>
      <c r="AN2" s="108"/>
      <c r="AO2" s="108"/>
      <c r="AP2" s="108"/>
      <c r="AQ2" s="5"/>
    </row>
    <row r="3" spans="1:62">
      <c r="A3" s="109" t="s">
        <v>0</v>
      </c>
      <c r="B3" s="109" t="s">
        <v>1</v>
      </c>
      <c r="C3" s="109" t="s">
        <v>11</v>
      </c>
      <c r="D3" s="109" t="s">
        <v>2</v>
      </c>
      <c r="E3" s="109" t="s">
        <v>3</v>
      </c>
      <c r="F3" s="109" t="s">
        <v>2029</v>
      </c>
      <c r="G3" s="109" t="s">
        <v>1965</v>
      </c>
      <c r="H3" s="109" t="s">
        <v>1967</v>
      </c>
      <c r="I3" s="109" t="s">
        <v>1966</v>
      </c>
      <c r="J3" s="109" t="s">
        <v>1802</v>
      </c>
      <c r="K3" s="109" t="s">
        <v>1971</v>
      </c>
      <c r="L3" s="109" t="s">
        <v>1989</v>
      </c>
      <c r="M3" s="109" t="s">
        <v>1990</v>
      </c>
      <c r="N3" s="109" t="s">
        <v>1991</v>
      </c>
      <c r="O3" s="109" t="s">
        <v>2001</v>
      </c>
      <c r="P3" s="109" t="s">
        <v>1992</v>
      </c>
      <c r="Q3" s="109" t="s">
        <v>2021</v>
      </c>
      <c r="R3" s="109" t="s">
        <v>2027</v>
      </c>
      <c r="S3" s="109" t="s">
        <v>4</v>
      </c>
      <c r="T3" s="109" t="s">
        <v>5</v>
      </c>
      <c r="U3" s="109" t="s">
        <v>6</v>
      </c>
      <c r="V3" s="109" t="s">
        <v>7</v>
      </c>
      <c r="W3" s="109" t="s">
        <v>8</v>
      </c>
      <c r="X3" s="109" t="s">
        <v>9</v>
      </c>
      <c r="Y3" s="109" t="s">
        <v>10</v>
      </c>
      <c r="Z3" s="110" t="s">
        <v>5</v>
      </c>
      <c r="AA3" s="110" t="s">
        <v>6</v>
      </c>
      <c r="AB3" s="110" t="s">
        <v>10</v>
      </c>
      <c r="AC3" s="110" t="s">
        <v>773</v>
      </c>
      <c r="AD3" s="110" t="s">
        <v>1544</v>
      </c>
      <c r="AE3" s="111" t="s">
        <v>1572</v>
      </c>
      <c r="AF3" s="111" t="s">
        <v>942</v>
      </c>
      <c r="AG3" s="111" t="s">
        <v>1571</v>
      </c>
      <c r="AH3" s="111" t="s">
        <v>942</v>
      </c>
      <c r="AI3" s="112" t="s">
        <v>938</v>
      </c>
      <c r="AJ3" s="112" t="s">
        <v>939</v>
      </c>
      <c r="AK3" s="112" t="s">
        <v>1569</v>
      </c>
      <c r="AL3" s="112" t="s">
        <v>1570</v>
      </c>
      <c r="AM3" s="108" t="s">
        <v>1022</v>
      </c>
      <c r="AN3" s="108" t="s">
        <v>1021</v>
      </c>
      <c r="AO3" s="108" t="s">
        <v>1801</v>
      </c>
      <c r="AP3" s="108" t="s">
        <v>1481</v>
      </c>
      <c r="AQ3" s="5"/>
    </row>
    <row r="4" spans="1:62" customFormat="1">
      <c r="A4" s="113">
        <v>149</v>
      </c>
      <c r="B4" s="113" t="s">
        <v>177</v>
      </c>
      <c r="C4" s="113" t="s">
        <v>1973</v>
      </c>
      <c r="D4" s="113" t="s">
        <v>23</v>
      </c>
      <c r="E4" s="113" t="s">
        <v>22</v>
      </c>
      <c r="F4" s="118" t="s">
        <v>2031</v>
      </c>
      <c r="G4" s="113" t="s">
        <v>1477</v>
      </c>
      <c r="H4" s="113" t="s">
        <v>175</v>
      </c>
      <c r="I4" s="113">
        <v>31</v>
      </c>
      <c r="J4" s="113" t="s">
        <v>176</v>
      </c>
      <c r="K4" s="113" t="s">
        <v>1804</v>
      </c>
      <c r="L4" s="115"/>
      <c r="M4" s="115"/>
      <c r="N4" s="115"/>
      <c r="O4" s="115"/>
      <c r="P4" s="115"/>
      <c r="Q4" s="115"/>
      <c r="R4" s="115"/>
      <c r="S4" s="113">
        <v>600</v>
      </c>
      <c r="T4" s="113">
        <v>91</v>
      </c>
      <c r="U4" s="113">
        <v>134</v>
      </c>
      <c r="V4" s="113">
        <v>95</v>
      </c>
      <c r="W4" s="113">
        <v>100</v>
      </c>
      <c r="X4" s="113">
        <v>100</v>
      </c>
      <c r="Y4" s="113">
        <v>80</v>
      </c>
      <c r="Z4" s="116">
        <v>19</v>
      </c>
      <c r="AA4" s="116">
        <v>9.5</v>
      </c>
      <c r="AB4" s="116">
        <v>8</v>
      </c>
      <c r="AC4" s="117">
        <f t="shared" ref="AC4:AC67" si="0">SUM(Z4:AB4)</f>
        <v>36.5</v>
      </c>
      <c r="AD4" s="113" t="s">
        <v>1537</v>
      </c>
      <c r="AE4" s="113" t="s">
        <v>1149</v>
      </c>
      <c r="AF4" s="113" t="s">
        <v>946</v>
      </c>
      <c r="AG4" s="113"/>
      <c r="AH4" s="113" t="s">
        <v>946</v>
      </c>
      <c r="AI4" s="113" t="s">
        <v>1151</v>
      </c>
      <c r="AJ4" s="113" t="s">
        <v>1659</v>
      </c>
      <c r="AK4" s="113" t="s">
        <v>1308</v>
      </c>
      <c r="AL4" s="113" t="s">
        <v>1658</v>
      </c>
      <c r="AM4" s="113" t="s">
        <v>1329</v>
      </c>
      <c r="AN4" s="113" t="s">
        <v>1328</v>
      </c>
      <c r="AO4" s="113" t="s">
        <v>1329</v>
      </c>
      <c r="AP4" s="113" t="s">
        <v>1328</v>
      </c>
      <c r="AR4" s="5"/>
      <c r="AS4" s="5"/>
      <c r="AT4" s="5"/>
      <c r="AU4" s="5"/>
      <c r="AV4" s="5"/>
      <c r="AW4" s="5"/>
      <c r="AX4" s="5"/>
      <c r="AY4" s="5"/>
      <c r="AZ4" s="5"/>
      <c r="BA4" s="5"/>
      <c r="BB4" s="5"/>
      <c r="BC4" s="5"/>
      <c r="BD4" s="5"/>
      <c r="BE4" s="5"/>
      <c r="BF4" s="5"/>
      <c r="BG4" s="5"/>
      <c r="BH4" s="5"/>
      <c r="BI4" s="5"/>
    </row>
    <row r="5" spans="1:62" customFormat="1">
      <c r="A5" s="114">
        <v>248</v>
      </c>
      <c r="B5" s="114" t="s">
        <v>275</v>
      </c>
      <c r="C5" s="114" t="s">
        <v>1974</v>
      </c>
      <c r="D5" s="113" t="s">
        <v>98</v>
      </c>
      <c r="E5" s="113" t="s">
        <v>158</v>
      </c>
      <c r="F5" s="118" t="s">
        <v>2031</v>
      </c>
      <c r="G5" s="113" t="s">
        <v>1477</v>
      </c>
      <c r="H5" s="113" t="s">
        <v>273</v>
      </c>
      <c r="I5" s="113">
        <v>31</v>
      </c>
      <c r="J5" s="113" t="s">
        <v>274</v>
      </c>
      <c r="K5" s="113" t="s">
        <v>1804</v>
      </c>
      <c r="L5" s="115"/>
      <c r="M5" s="115"/>
      <c r="N5" s="115"/>
      <c r="O5" s="115"/>
      <c r="P5" s="115"/>
      <c r="Q5" s="115"/>
      <c r="R5" s="115"/>
      <c r="S5" s="113">
        <v>600</v>
      </c>
      <c r="T5" s="113">
        <v>100</v>
      </c>
      <c r="U5" s="113">
        <v>134</v>
      </c>
      <c r="V5" s="113">
        <v>110</v>
      </c>
      <c r="W5" s="113">
        <v>95</v>
      </c>
      <c r="X5" s="113">
        <v>100</v>
      </c>
      <c r="Y5" s="113">
        <v>61</v>
      </c>
      <c r="Z5" s="116">
        <v>21</v>
      </c>
      <c r="AA5" s="116">
        <v>10.5</v>
      </c>
      <c r="AB5" s="116">
        <v>6</v>
      </c>
      <c r="AC5" s="117">
        <f t="shared" si="0"/>
        <v>37.5</v>
      </c>
      <c r="AD5" s="113" t="s">
        <v>1479</v>
      </c>
      <c r="AE5" s="113"/>
      <c r="AF5" s="113"/>
      <c r="AG5" s="113"/>
      <c r="AH5" s="113"/>
      <c r="AI5" s="113"/>
      <c r="AJ5" s="113"/>
      <c r="AK5" s="113"/>
      <c r="AL5" s="113"/>
      <c r="AM5" s="118"/>
      <c r="AN5" s="113"/>
      <c r="AO5" s="113"/>
      <c r="AP5" s="113"/>
      <c r="AR5" s="5"/>
      <c r="AS5" s="5"/>
      <c r="AT5" s="5"/>
      <c r="AU5" s="5"/>
      <c r="AV5" s="5"/>
      <c r="AW5" s="5"/>
      <c r="AX5" s="5"/>
      <c r="AY5" s="5"/>
      <c r="AZ5" s="5"/>
      <c r="BA5" s="5"/>
      <c r="BB5" s="5"/>
      <c r="BC5" s="5"/>
      <c r="BD5" s="5"/>
      <c r="BE5" s="5"/>
      <c r="BF5" s="5"/>
      <c r="BG5" s="5"/>
      <c r="BH5" s="5"/>
      <c r="BI5" s="5"/>
    </row>
    <row r="6" spans="1:62" customFormat="1">
      <c r="A6" s="113">
        <v>136</v>
      </c>
      <c r="B6" s="113" t="s">
        <v>164</v>
      </c>
      <c r="C6" s="113" t="s">
        <v>1973</v>
      </c>
      <c r="D6" s="113" t="s">
        <v>19</v>
      </c>
      <c r="E6" s="113"/>
      <c r="F6" s="118" t="s">
        <v>2031</v>
      </c>
      <c r="G6" s="113" t="s">
        <v>1477</v>
      </c>
      <c r="H6" s="113" t="s">
        <v>161</v>
      </c>
      <c r="I6" s="113">
        <v>23</v>
      </c>
      <c r="J6" s="113" t="s">
        <v>161</v>
      </c>
      <c r="K6" s="113" t="s">
        <v>1804</v>
      </c>
      <c r="L6" s="115"/>
      <c r="M6" s="115"/>
      <c r="N6" s="115"/>
      <c r="O6" s="115" t="s">
        <v>2014</v>
      </c>
      <c r="P6" s="115"/>
      <c r="Q6" s="115"/>
      <c r="R6" s="115"/>
      <c r="S6" s="113">
        <v>525</v>
      </c>
      <c r="T6" s="113">
        <v>65</v>
      </c>
      <c r="U6" s="113">
        <v>130</v>
      </c>
      <c r="V6" s="113">
        <v>60</v>
      </c>
      <c r="W6" s="113">
        <v>95</v>
      </c>
      <c r="X6" s="113">
        <v>110</v>
      </c>
      <c r="Y6" s="113">
        <v>65</v>
      </c>
      <c r="Z6" s="116">
        <v>16</v>
      </c>
      <c r="AA6" s="116">
        <v>8.5</v>
      </c>
      <c r="AB6" s="116">
        <v>7</v>
      </c>
      <c r="AC6" s="117">
        <f t="shared" si="0"/>
        <v>31.5</v>
      </c>
      <c r="AD6" s="113" t="s">
        <v>1538</v>
      </c>
      <c r="AE6" s="113" t="s">
        <v>963</v>
      </c>
      <c r="AF6" s="113" t="s">
        <v>946</v>
      </c>
      <c r="AG6" s="113"/>
      <c r="AH6" s="113" t="s">
        <v>946</v>
      </c>
      <c r="AI6" s="113" t="s">
        <v>1122</v>
      </c>
      <c r="AJ6" s="113" t="s">
        <v>1686</v>
      </c>
      <c r="AK6" s="113" t="s">
        <v>1687</v>
      </c>
      <c r="AL6" s="113" t="s">
        <v>1240</v>
      </c>
      <c r="AM6" s="113" t="s">
        <v>1030</v>
      </c>
      <c r="AN6" s="113" t="s">
        <v>1029</v>
      </c>
      <c r="AO6" s="113" t="s">
        <v>1030</v>
      </c>
      <c r="AP6" s="113" t="s">
        <v>1029</v>
      </c>
      <c r="AR6" s="5"/>
      <c r="AS6" s="5"/>
      <c r="AT6" s="5"/>
      <c r="AU6" s="5"/>
      <c r="AV6" s="5"/>
      <c r="AW6" s="5"/>
      <c r="AX6" s="5"/>
      <c r="AY6" s="5"/>
      <c r="AZ6" s="5"/>
      <c r="BA6" s="5"/>
      <c r="BB6" s="5"/>
      <c r="BC6" s="5"/>
      <c r="BD6" s="5"/>
      <c r="BE6" s="5"/>
      <c r="BF6" s="5"/>
      <c r="BG6" s="5"/>
      <c r="BH6" s="5"/>
      <c r="BI6" s="5"/>
    </row>
    <row r="7" spans="1:62" customFormat="1">
      <c r="A7" s="114">
        <v>250</v>
      </c>
      <c r="B7" s="114" t="s">
        <v>277</v>
      </c>
      <c r="C7" s="114" t="s">
        <v>1974</v>
      </c>
      <c r="D7" s="113" t="s">
        <v>19</v>
      </c>
      <c r="E7" s="113" t="s">
        <v>22</v>
      </c>
      <c r="F7" s="118" t="s">
        <v>2032</v>
      </c>
      <c r="G7" s="113" t="s">
        <v>1477</v>
      </c>
      <c r="H7" s="113" t="s">
        <v>277</v>
      </c>
      <c r="I7" s="113">
        <v>11</v>
      </c>
      <c r="J7" s="113" t="s">
        <v>1109</v>
      </c>
      <c r="K7" s="113" t="s">
        <v>1804</v>
      </c>
      <c r="L7" s="115"/>
      <c r="M7" s="115"/>
      <c r="N7" s="115"/>
      <c r="O7" s="115"/>
      <c r="P7" s="115"/>
      <c r="Q7" s="115"/>
      <c r="R7" s="115"/>
      <c r="S7" s="113">
        <v>680</v>
      </c>
      <c r="T7" s="113">
        <v>106</v>
      </c>
      <c r="U7" s="113">
        <v>130</v>
      </c>
      <c r="V7" s="113">
        <v>90</v>
      </c>
      <c r="W7" s="113">
        <v>110</v>
      </c>
      <c r="X7" s="113">
        <v>154</v>
      </c>
      <c r="Y7" s="113">
        <v>90</v>
      </c>
      <c r="Z7" s="116">
        <v>23</v>
      </c>
      <c r="AA7" s="116">
        <v>12</v>
      </c>
      <c r="AB7" s="116">
        <v>9</v>
      </c>
      <c r="AC7" s="117">
        <f t="shared" si="0"/>
        <v>44</v>
      </c>
      <c r="AD7" s="113" t="s">
        <v>1479</v>
      </c>
      <c r="AE7" s="113"/>
      <c r="AF7" s="113"/>
      <c r="AG7" s="113"/>
      <c r="AH7" s="113"/>
      <c r="AI7" s="113"/>
      <c r="AJ7" s="113"/>
      <c r="AK7" s="113"/>
      <c r="AL7" s="113"/>
      <c r="AM7" s="118"/>
      <c r="AN7" s="113"/>
      <c r="AO7" s="113"/>
      <c r="AP7" s="113"/>
      <c r="AR7" s="5"/>
      <c r="AS7" s="5"/>
      <c r="AT7" s="5"/>
      <c r="AU7" s="5"/>
      <c r="AV7" s="5"/>
      <c r="AW7" s="5"/>
      <c r="AX7" s="5"/>
      <c r="AY7" s="5"/>
      <c r="AZ7" s="5"/>
      <c r="BA7" s="5"/>
      <c r="BB7" s="5"/>
      <c r="BC7" s="5"/>
      <c r="BD7" s="5"/>
      <c r="BE7" s="5"/>
      <c r="BF7" s="5"/>
      <c r="BG7" s="5"/>
      <c r="BH7" s="5"/>
      <c r="BI7" s="5"/>
    </row>
    <row r="8" spans="1:62" customFormat="1">
      <c r="A8" s="113">
        <v>99</v>
      </c>
      <c r="B8" s="113" t="s">
        <v>126</v>
      </c>
      <c r="C8" s="113" t="s">
        <v>1973</v>
      </c>
      <c r="D8" s="113" t="s">
        <v>25</v>
      </c>
      <c r="E8" s="113"/>
      <c r="F8" s="118" t="s">
        <v>2031</v>
      </c>
      <c r="G8" s="113" t="s">
        <v>1477</v>
      </c>
      <c r="H8" s="113" t="s">
        <v>125</v>
      </c>
      <c r="I8" s="113">
        <v>21</v>
      </c>
      <c r="J8" s="113" t="s">
        <v>125</v>
      </c>
      <c r="K8" s="113" t="s">
        <v>1804</v>
      </c>
      <c r="L8" s="115"/>
      <c r="M8" s="115"/>
      <c r="N8" s="115"/>
      <c r="O8" s="115"/>
      <c r="P8" s="115"/>
      <c r="Q8" s="115"/>
      <c r="R8" s="115"/>
      <c r="S8" s="113">
        <v>475</v>
      </c>
      <c r="T8" s="113">
        <v>55</v>
      </c>
      <c r="U8" s="113">
        <v>130</v>
      </c>
      <c r="V8" s="113">
        <v>115</v>
      </c>
      <c r="W8" s="113">
        <v>50</v>
      </c>
      <c r="X8" s="113">
        <v>50</v>
      </c>
      <c r="Y8" s="113">
        <v>75</v>
      </c>
      <c r="Z8" s="116">
        <v>15</v>
      </c>
      <c r="AA8" s="116">
        <v>8.5</v>
      </c>
      <c r="AB8" s="116">
        <v>8</v>
      </c>
      <c r="AC8" s="117">
        <f t="shared" si="0"/>
        <v>31.5</v>
      </c>
      <c r="AD8" s="113" t="s">
        <v>1538</v>
      </c>
      <c r="AE8" s="113" t="s">
        <v>1193</v>
      </c>
      <c r="AF8" s="113" t="s">
        <v>943</v>
      </c>
      <c r="AG8" s="113"/>
      <c r="AH8" s="113" t="s">
        <v>943</v>
      </c>
      <c r="AI8" s="113" t="s">
        <v>1332</v>
      </c>
      <c r="AJ8" s="113" t="s">
        <v>1367</v>
      </c>
      <c r="AK8" s="113" t="s">
        <v>1240</v>
      </c>
      <c r="AL8" s="113" t="s">
        <v>1722</v>
      </c>
      <c r="AM8" s="113" t="s">
        <v>1026</v>
      </c>
      <c r="AN8" s="113" t="s">
        <v>1025</v>
      </c>
      <c r="AO8" s="113" t="s">
        <v>1026</v>
      </c>
      <c r="AP8" s="113" t="s">
        <v>1025</v>
      </c>
      <c r="AR8" s="5"/>
      <c r="AS8" s="5"/>
      <c r="AT8" s="5"/>
      <c r="AU8" s="5"/>
      <c r="AV8" s="5"/>
      <c r="AW8" s="5"/>
      <c r="AX8" s="5"/>
      <c r="AY8" s="5"/>
      <c r="AZ8" s="5"/>
      <c r="BA8" s="5"/>
      <c r="BB8" s="5"/>
      <c r="BC8" s="5"/>
      <c r="BD8" s="5"/>
      <c r="BE8" s="5"/>
      <c r="BF8" s="5"/>
      <c r="BG8" s="5"/>
      <c r="BH8" s="5"/>
      <c r="BI8" s="5"/>
    </row>
    <row r="9" spans="1:62" customFormat="1">
      <c r="A9" s="113">
        <v>68</v>
      </c>
      <c r="B9" s="113" t="s">
        <v>91</v>
      </c>
      <c r="C9" s="113" t="s">
        <v>1973</v>
      </c>
      <c r="D9" s="113" t="s">
        <v>78</v>
      </c>
      <c r="E9" s="113"/>
      <c r="F9" s="118" t="s">
        <v>2031</v>
      </c>
      <c r="G9" s="113" t="s">
        <v>1477</v>
      </c>
      <c r="H9" s="113" t="s">
        <v>89</v>
      </c>
      <c r="I9" s="113">
        <v>31</v>
      </c>
      <c r="J9" s="113" t="s">
        <v>90</v>
      </c>
      <c r="K9" s="113" t="s">
        <v>1804</v>
      </c>
      <c r="L9" s="115"/>
      <c r="M9" s="115"/>
      <c r="N9" s="115"/>
      <c r="O9" s="115"/>
      <c r="P9" s="115"/>
      <c r="Q9" s="115"/>
      <c r="R9" s="115"/>
      <c r="S9" s="113">
        <v>505</v>
      </c>
      <c r="T9" s="113">
        <v>90</v>
      </c>
      <c r="U9" s="113">
        <v>130</v>
      </c>
      <c r="V9" s="113">
        <v>80</v>
      </c>
      <c r="W9" s="113">
        <v>65</v>
      </c>
      <c r="X9" s="113">
        <v>85</v>
      </c>
      <c r="Y9" s="113">
        <v>55</v>
      </c>
      <c r="Z9" s="116">
        <v>17</v>
      </c>
      <c r="AA9" s="116">
        <v>7.5</v>
      </c>
      <c r="AB9" s="116">
        <v>6</v>
      </c>
      <c r="AC9" s="117">
        <f t="shared" si="0"/>
        <v>30.5</v>
      </c>
      <c r="AD9" s="113" t="s">
        <v>1538</v>
      </c>
      <c r="AE9" s="113" t="s">
        <v>1146</v>
      </c>
      <c r="AF9" s="113" t="s">
        <v>943</v>
      </c>
      <c r="AG9" s="113"/>
      <c r="AH9" s="113" t="s">
        <v>943</v>
      </c>
      <c r="AI9" s="113" t="s">
        <v>1292</v>
      </c>
      <c r="AJ9" s="113" t="s">
        <v>1293</v>
      </c>
      <c r="AK9" s="113" t="s">
        <v>1019</v>
      </c>
      <c r="AL9" s="113" t="s">
        <v>1665</v>
      </c>
      <c r="AM9" s="113" t="s">
        <v>1280</v>
      </c>
      <c r="AN9" s="113" t="s">
        <v>1279</v>
      </c>
      <c r="AO9" s="113" t="s">
        <v>1280</v>
      </c>
      <c r="AP9" s="113" t="s">
        <v>1279</v>
      </c>
      <c r="AR9" s="5"/>
      <c r="AS9" s="5"/>
      <c r="AT9" s="5"/>
      <c r="AU9" s="5"/>
      <c r="AV9" s="5"/>
      <c r="AW9" s="5"/>
      <c r="AX9" s="5"/>
      <c r="AY9" s="5"/>
      <c r="AZ9" s="5"/>
      <c r="BA9" s="5"/>
      <c r="BB9" s="5"/>
      <c r="BC9" s="5"/>
      <c r="BD9" s="5"/>
      <c r="BE9" s="5"/>
      <c r="BF9" s="5"/>
      <c r="BG9" s="5"/>
      <c r="BH9" s="5"/>
      <c r="BI9" s="5"/>
    </row>
    <row r="10" spans="1:62" customFormat="1">
      <c r="A10" s="113">
        <v>112</v>
      </c>
      <c r="B10" s="113" t="s">
        <v>139</v>
      </c>
      <c r="C10" s="113" t="s">
        <v>1973</v>
      </c>
      <c r="D10" s="113" t="s">
        <v>49</v>
      </c>
      <c r="E10" s="113" t="s">
        <v>98</v>
      </c>
      <c r="F10" s="118" t="s">
        <v>2031</v>
      </c>
      <c r="G10" s="113" t="s">
        <v>1477</v>
      </c>
      <c r="H10" s="113" t="s">
        <v>138</v>
      </c>
      <c r="I10" s="113">
        <v>21</v>
      </c>
      <c r="J10" s="113" t="s">
        <v>138</v>
      </c>
      <c r="K10" s="113" t="s">
        <v>1804</v>
      </c>
      <c r="L10" s="115"/>
      <c r="M10" s="115"/>
      <c r="N10" s="115"/>
      <c r="O10" s="115"/>
      <c r="P10" s="115"/>
      <c r="Q10" s="115"/>
      <c r="R10" s="115"/>
      <c r="S10" s="113">
        <v>485</v>
      </c>
      <c r="T10" s="113">
        <v>105</v>
      </c>
      <c r="U10" s="113">
        <v>130</v>
      </c>
      <c r="V10" s="113">
        <v>120</v>
      </c>
      <c r="W10" s="113">
        <v>45</v>
      </c>
      <c r="X10" s="113">
        <v>45</v>
      </c>
      <c r="Y10" s="113">
        <v>40</v>
      </c>
      <c r="Z10" s="116">
        <v>18</v>
      </c>
      <c r="AA10" s="116">
        <v>7.5</v>
      </c>
      <c r="AB10" s="116">
        <v>4</v>
      </c>
      <c r="AC10" s="117">
        <f t="shared" si="0"/>
        <v>29.5</v>
      </c>
      <c r="AD10" s="113" t="s">
        <v>1538</v>
      </c>
      <c r="AE10" s="113" t="s">
        <v>1095</v>
      </c>
      <c r="AF10" s="113" t="s">
        <v>946</v>
      </c>
      <c r="AG10" s="113"/>
      <c r="AH10" s="113" t="s">
        <v>946</v>
      </c>
      <c r="AI10" s="113" t="s">
        <v>1244</v>
      </c>
      <c r="AJ10" s="113" t="s">
        <v>1790</v>
      </c>
      <c r="AK10" s="113" t="s">
        <v>1791</v>
      </c>
      <c r="AL10" s="113" t="s">
        <v>1235</v>
      </c>
      <c r="AM10" s="113" t="s">
        <v>1306</v>
      </c>
      <c r="AN10" s="113" t="s">
        <v>1305</v>
      </c>
      <c r="AO10" s="113" t="s">
        <v>1306</v>
      </c>
      <c r="AP10" s="113" t="s">
        <v>1305</v>
      </c>
      <c r="AR10" s="5"/>
      <c r="AS10" s="5"/>
      <c r="AT10" s="5"/>
      <c r="AU10" s="5"/>
      <c r="AV10" s="5"/>
      <c r="AW10" s="5"/>
      <c r="AX10" s="5"/>
      <c r="AY10" s="5"/>
      <c r="AZ10" s="5"/>
      <c r="BA10" s="5"/>
      <c r="BB10" s="5"/>
      <c r="BC10" s="5"/>
      <c r="BD10" s="5"/>
      <c r="BE10" s="5"/>
      <c r="BF10" s="5"/>
      <c r="BG10" s="5"/>
      <c r="BH10" s="5"/>
      <c r="BI10" s="5"/>
    </row>
    <row r="11" spans="1:62">
      <c r="A11" s="114">
        <v>212</v>
      </c>
      <c r="B11" s="114" t="s">
        <v>239</v>
      </c>
      <c r="C11" s="114" t="s">
        <v>1974</v>
      </c>
      <c r="D11" s="113" t="s">
        <v>29</v>
      </c>
      <c r="E11" s="113" t="s">
        <v>106</v>
      </c>
      <c r="F11" s="118" t="s">
        <v>2031</v>
      </c>
      <c r="G11" s="113" t="s">
        <v>1477</v>
      </c>
      <c r="H11" s="113" t="s">
        <v>150</v>
      </c>
      <c r="I11" s="113">
        <v>21</v>
      </c>
      <c r="J11" s="113" t="s">
        <v>150</v>
      </c>
      <c r="K11" s="113" t="s">
        <v>1804</v>
      </c>
      <c r="L11" s="115"/>
      <c r="M11" s="115"/>
      <c r="N11" s="115" t="s">
        <v>2000</v>
      </c>
      <c r="O11" s="115"/>
      <c r="P11" s="115"/>
      <c r="Q11" s="115"/>
      <c r="R11" s="115"/>
      <c r="S11" s="113">
        <v>500</v>
      </c>
      <c r="T11" s="113">
        <v>70</v>
      </c>
      <c r="U11" s="113">
        <v>130</v>
      </c>
      <c r="V11" s="113">
        <v>100</v>
      </c>
      <c r="W11" s="113">
        <v>55</v>
      </c>
      <c r="X11" s="113">
        <v>80</v>
      </c>
      <c r="Y11" s="113">
        <v>65</v>
      </c>
      <c r="Z11" s="116">
        <v>17</v>
      </c>
      <c r="AA11" s="116">
        <v>8.5</v>
      </c>
      <c r="AB11" s="116">
        <v>7</v>
      </c>
      <c r="AC11" s="117">
        <f t="shared" si="0"/>
        <v>32.5</v>
      </c>
      <c r="AD11" s="113" t="s">
        <v>1538</v>
      </c>
      <c r="AE11" s="113"/>
      <c r="AF11" s="113"/>
      <c r="AG11" s="113"/>
      <c r="AH11" s="113"/>
      <c r="AI11" s="113"/>
      <c r="AJ11" s="113"/>
      <c r="AK11" s="113"/>
      <c r="AL11" s="113"/>
      <c r="AM11" s="118"/>
      <c r="AN11" s="113"/>
      <c r="AO11" s="113"/>
      <c r="AP11" s="113"/>
      <c r="BJ11"/>
    </row>
    <row r="12" spans="1:62" customFormat="1">
      <c r="A12" s="114">
        <v>217</v>
      </c>
      <c r="B12" s="114" t="s">
        <v>244</v>
      </c>
      <c r="C12" s="114" t="s">
        <v>1974</v>
      </c>
      <c r="D12" s="113" t="s">
        <v>36</v>
      </c>
      <c r="E12" s="113"/>
      <c r="F12" s="118" t="s">
        <v>2031</v>
      </c>
      <c r="G12" s="113" t="s">
        <v>1477</v>
      </c>
      <c r="H12" s="113" t="s">
        <v>243</v>
      </c>
      <c r="I12" s="113">
        <v>21</v>
      </c>
      <c r="J12" s="113" t="s">
        <v>243</v>
      </c>
      <c r="K12" s="113" t="s">
        <v>1804</v>
      </c>
      <c r="L12" s="115"/>
      <c r="M12" s="115"/>
      <c r="N12" s="115"/>
      <c r="O12" s="115"/>
      <c r="P12" s="115"/>
      <c r="Q12" s="115"/>
      <c r="R12" s="115"/>
      <c r="S12" s="113">
        <v>500</v>
      </c>
      <c r="T12" s="113">
        <v>90</v>
      </c>
      <c r="U12" s="113">
        <v>130</v>
      </c>
      <c r="V12" s="113">
        <v>75</v>
      </c>
      <c r="W12" s="113">
        <v>75</v>
      </c>
      <c r="X12" s="113">
        <v>75</v>
      </c>
      <c r="Y12" s="113">
        <v>55</v>
      </c>
      <c r="Z12" s="116">
        <v>16</v>
      </c>
      <c r="AA12" s="116">
        <v>9.5</v>
      </c>
      <c r="AB12" s="116">
        <v>6</v>
      </c>
      <c r="AC12" s="117">
        <f t="shared" si="0"/>
        <v>31.5</v>
      </c>
      <c r="AD12" s="113" t="s">
        <v>1538</v>
      </c>
      <c r="AE12" s="113"/>
      <c r="AF12" s="113"/>
      <c r="AG12" s="113"/>
      <c r="AH12" s="113"/>
      <c r="AI12" s="113"/>
      <c r="AJ12" s="113"/>
      <c r="AK12" s="113"/>
      <c r="AL12" s="113"/>
      <c r="AM12" s="118"/>
      <c r="AN12" s="113"/>
      <c r="AO12" s="113"/>
      <c r="AP12" s="113"/>
      <c r="AR12" s="5"/>
      <c r="AS12" s="5"/>
      <c r="AT12" s="5"/>
      <c r="AU12" s="5"/>
      <c r="AV12" s="5"/>
      <c r="AW12" s="5"/>
      <c r="AX12" s="5"/>
      <c r="AY12" s="5"/>
      <c r="AZ12" s="5"/>
      <c r="BA12" s="5"/>
      <c r="BB12" s="5"/>
      <c r="BC12" s="5"/>
      <c r="BD12" s="5"/>
      <c r="BE12" s="5"/>
      <c r="BF12" s="5"/>
      <c r="BG12" s="5"/>
      <c r="BH12" s="5"/>
      <c r="BI12" s="5"/>
    </row>
    <row r="13" spans="1:62" customFormat="1">
      <c r="A13" s="114">
        <v>214</v>
      </c>
      <c r="B13" s="114" t="s">
        <v>241</v>
      </c>
      <c r="C13" s="114" t="s">
        <v>1974</v>
      </c>
      <c r="D13" s="113" t="s">
        <v>29</v>
      </c>
      <c r="E13" s="113" t="s">
        <v>78</v>
      </c>
      <c r="F13" s="118" t="s">
        <v>2031</v>
      </c>
      <c r="G13" s="113" t="s">
        <v>1477</v>
      </c>
      <c r="H13" s="113" t="s">
        <v>241</v>
      </c>
      <c r="I13" s="113">
        <v>11</v>
      </c>
      <c r="J13" s="113" t="s">
        <v>1109</v>
      </c>
      <c r="K13" s="113" t="s">
        <v>1804</v>
      </c>
      <c r="L13" s="115"/>
      <c r="M13" s="115"/>
      <c r="N13" s="115"/>
      <c r="O13" s="115"/>
      <c r="P13" s="115"/>
      <c r="Q13" s="115"/>
      <c r="R13" s="115"/>
      <c r="S13" s="113">
        <v>500</v>
      </c>
      <c r="T13" s="113">
        <v>80</v>
      </c>
      <c r="U13" s="113">
        <v>125</v>
      </c>
      <c r="V13" s="113">
        <v>75</v>
      </c>
      <c r="W13" s="113">
        <v>40</v>
      </c>
      <c r="X13" s="113">
        <v>95</v>
      </c>
      <c r="Y13" s="113">
        <v>85</v>
      </c>
      <c r="Z13" s="116">
        <v>17</v>
      </c>
      <c r="AA13" s="116">
        <v>7.5</v>
      </c>
      <c r="AB13" s="116">
        <v>9</v>
      </c>
      <c r="AC13" s="117">
        <f t="shared" si="0"/>
        <v>33.5</v>
      </c>
      <c r="AD13" s="113" t="s">
        <v>1537</v>
      </c>
      <c r="AE13" s="113"/>
      <c r="AF13" s="113"/>
      <c r="AG13" s="113"/>
      <c r="AH13" s="113"/>
      <c r="AI13" s="113"/>
      <c r="AJ13" s="113"/>
      <c r="AK13" s="113"/>
      <c r="AL13" s="113"/>
      <c r="AM13" s="118"/>
      <c r="AN13" s="113"/>
      <c r="AO13" s="113"/>
      <c r="AP13" s="113"/>
      <c r="AR13" s="5"/>
      <c r="AS13" s="5"/>
      <c r="AT13" s="5"/>
      <c r="AU13" s="5"/>
      <c r="AV13" s="5"/>
      <c r="AW13" s="5"/>
      <c r="AX13" s="5"/>
      <c r="AY13" s="5"/>
      <c r="AZ13" s="5"/>
      <c r="BA13" s="5"/>
      <c r="BB13" s="5"/>
      <c r="BC13" s="5"/>
      <c r="BD13" s="5"/>
      <c r="BE13" s="5"/>
      <c r="BF13" s="5"/>
      <c r="BG13" s="5"/>
      <c r="BH13" s="5"/>
      <c r="BI13" s="5"/>
    </row>
    <row r="14" spans="1:62" customFormat="1">
      <c r="A14" s="113">
        <v>130</v>
      </c>
      <c r="B14" s="113" t="s">
        <v>157</v>
      </c>
      <c r="C14" s="113" t="s">
        <v>1973</v>
      </c>
      <c r="D14" s="113" t="s">
        <v>25</v>
      </c>
      <c r="E14" s="113" t="s">
        <v>22</v>
      </c>
      <c r="F14" s="118" t="s">
        <v>2031</v>
      </c>
      <c r="G14" s="113" t="s">
        <v>1477</v>
      </c>
      <c r="H14" s="113" t="s">
        <v>156</v>
      </c>
      <c r="I14" s="113">
        <v>21</v>
      </c>
      <c r="J14" s="113" t="s">
        <v>156</v>
      </c>
      <c r="K14" s="113" t="s">
        <v>1804</v>
      </c>
      <c r="L14" s="115"/>
      <c r="M14" s="115"/>
      <c r="N14" s="115"/>
      <c r="O14" s="115"/>
      <c r="P14" s="115"/>
      <c r="Q14" s="115"/>
      <c r="R14" s="115"/>
      <c r="S14" s="113">
        <v>540</v>
      </c>
      <c r="T14" s="113">
        <v>95</v>
      </c>
      <c r="U14" s="113">
        <v>125</v>
      </c>
      <c r="V14" s="113">
        <v>79</v>
      </c>
      <c r="W14" s="113">
        <v>60</v>
      </c>
      <c r="X14" s="113">
        <v>100</v>
      </c>
      <c r="Y14" s="113">
        <v>81</v>
      </c>
      <c r="Z14" s="116">
        <v>18</v>
      </c>
      <c r="AA14" s="116">
        <v>9.5</v>
      </c>
      <c r="AB14" s="116">
        <v>8</v>
      </c>
      <c r="AC14" s="117">
        <f t="shared" si="0"/>
        <v>35.5</v>
      </c>
      <c r="AD14" s="113" t="s">
        <v>1537</v>
      </c>
      <c r="AE14" s="113" t="s">
        <v>949</v>
      </c>
      <c r="AF14" s="113" t="s">
        <v>946</v>
      </c>
      <c r="AG14" s="113"/>
      <c r="AH14" s="113" t="s">
        <v>946</v>
      </c>
      <c r="AI14" s="113" t="s">
        <v>1288</v>
      </c>
      <c r="AJ14" s="113" t="s">
        <v>1330</v>
      </c>
      <c r="AK14" s="113" t="s">
        <v>1150</v>
      </c>
      <c r="AL14" s="113" t="s">
        <v>1658</v>
      </c>
      <c r="AM14" s="113" t="s">
        <v>1337</v>
      </c>
      <c r="AN14" s="113" t="s">
        <v>1336</v>
      </c>
      <c r="AO14" s="113" t="s">
        <v>1337</v>
      </c>
      <c r="AP14" s="113" t="s">
        <v>1336</v>
      </c>
      <c r="AR14" s="5"/>
      <c r="AS14" s="5"/>
      <c r="AT14" s="5"/>
      <c r="AU14" s="5"/>
      <c r="AV14" s="5"/>
      <c r="AW14" s="5"/>
      <c r="AX14" s="5"/>
      <c r="AY14" s="5"/>
      <c r="AZ14" s="5"/>
      <c r="BA14" s="5"/>
      <c r="BB14" s="5"/>
      <c r="BC14" s="5"/>
      <c r="BD14" s="5"/>
      <c r="BE14" s="5"/>
      <c r="BF14" s="5"/>
      <c r="BG14" s="5"/>
      <c r="BH14" s="5"/>
      <c r="BI14" s="5"/>
    </row>
    <row r="15" spans="1:62" customFormat="1">
      <c r="A15" s="113">
        <v>127</v>
      </c>
      <c r="B15" s="113" t="s">
        <v>154</v>
      </c>
      <c r="C15" s="113" t="s">
        <v>1973</v>
      </c>
      <c r="D15" s="113" t="s">
        <v>29</v>
      </c>
      <c r="E15" s="113"/>
      <c r="F15" s="118" t="s">
        <v>2031</v>
      </c>
      <c r="G15" s="113" t="s">
        <v>1477</v>
      </c>
      <c r="H15" s="113" t="s">
        <v>154</v>
      </c>
      <c r="I15" s="113">
        <v>11</v>
      </c>
      <c r="J15" s="113" t="s">
        <v>1109</v>
      </c>
      <c r="K15" s="113" t="s">
        <v>1804</v>
      </c>
      <c r="L15" s="115"/>
      <c r="M15" s="115"/>
      <c r="N15" s="115"/>
      <c r="O15" s="115"/>
      <c r="P15" s="115"/>
      <c r="Q15" s="115"/>
      <c r="R15" s="115"/>
      <c r="S15" s="113">
        <v>500</v>
      </c>
      <c r="T15" s="113">
        <v>65</v>
      </c>
      <c r="U15" s="113">
        <v>125</v>
      </c>
      <c r="V15" s="113">
        <v>100</v>
      </c>
      <c r="W15" s="113">
        <v>55</v>
      </c>
      <c r="X15" s="113">
        <v>70</v>
      </c>
      <c r="Y15" s="113">
        <v>85</v>
      </c>
      <c r="Z15" s="116">
        <v>16</v>
      </c>
      <c r="AA15" s="116">
        <v>7</v>
      </c>
      <c r="AB15" s="116">
        <v>9</v>
      </c>
      <c r="AC15" s="117">
        <f t="shared" si="0"/>
        <v>32</v>
      </c>
      <c r="AD15" s="113" t="s">
        <v>1538</v>
      </c>
      <c r="AE15" s="113" t="s">
        <v>1141</v>
      </c>
      <c r="AF15" s="113" t="s">
        <v>943</v>
      </c>
      <c r="AG15" s="113"/>
      <c r="AH15" s="113" t="s">
        <v>943</v>
      </c>
      <c r="AI15" s="113" t="s">
        <v>1618</v>
      </c>
      <c r="AJ15" s="113" t="s">
        <v>1683</v>
      </c>
      <c r="AK15" s="113" t="s">
        <v>1281</v>
      </c>
      <c r="AL15" s="113" t="s">
        <v>969</v>
      </c>
      <c r="AM15" s="113" t="s">
        <v>1024</v>
      </c>
      <c r="AN15" s="113" t="s">
        <v>1023</v>
      </c>
      <c r="AO15" s="113" t="s">
        <v>1024</v>
      </c>
      <c r="AP15" s="113" t="s">
        <v>1023</v>
      </c>
      <c r="AR15" s="5"/>
      <c r="AS15" s="5"/>
      <c r="AT15" s="5"/>
      <c r="AU15" s="5"/>
      <c r="AV15" s="5"/>
      <c r="AW15" s="5"/>
      <c r="AX15" s="5"/>
      <c r="AY15" s="5"/>
      <c r="AZ15" s="5"/>
      <c r="BA15" s="5"/>
      <c r="BB15" s="5"/>
      <c r="BC15" s="5"/>
      <c r="BD15" s="5"/>
      <c r="BE15" s="5"/>
      <c r="BF15" s="5"/>
      <c r="BG15" s="5"/>
      <c r="BH15" s="5"/>
      <c r="BI15" s="5"/>
    </row>
    <row r="16" spans="1:62" customFormat="1">
      <c r="A16" s="113">
        <v>76</v>
      </c>
      <c r="B16" s="113" t="s">
        <v>100</v>
      </c>
      <c r="C16" s="113" t="s">
        <v>1973</v>
      </c>
      <c r="D16" s="113" t="s">
        <v>98</v>
      </c>
      <c r="E16" s="113" t="s">
        <v>49</v>
      </c>
      <c r="F16" s="118" t="s">
        <v>2031</v>
      </c>
      <c r="G16" s="113" t="s">
        <v>1477</v>
      </c>
      <c r="H16" s="113" t="s">
        <v>97</v>
      </c>
      <c r="I16" s="113">
        <v>31</v>
      </c>
      <c r="J16" s="113" t="s">
        <v>99</v>
      </c>
      <c r="K16" s="113" t="s">
        <v>1804</v>
      </c>
      <c r="L16" s="115"/>
      <c r="M16" s="115"/>
      <c r="N16" s="115"/>
      <c r="O16" s="115"/>
      <c r="P16" s="115"/>
      <c r="Q16" s="115"/>
      <c r="R16" s="115"/>
      <c r="S16" s="113">
        <v>495</v>
      </c>
      <c r="T16" s="113">
        <v>80</v>
      </c>
      <c r="U16" s="113">
        <v>120</v>
      </c>
      <c r="V16" s="113">
        <v>130</v>
      </c>
      <c r="W16" s="113">
        <v>55</v>
      </c>
      <c r="X16" s="113">
        <v>65</v>
      </c>
      <c r="Y16" s="113">
        <v>45</v>
      </c>
      <c r="Z16" s="116">
        <v>18</v>
      </c>
      <c r="AA16" s="116">
        <v>7.5</v>
      </c>
      <c r="AB16" s="116">
        <v>5</v>
      </c>
      <c r="AC16" s="117">
        <f t="shared" si="0"/>
        <v>30.5</v>
      </c>
      <c r="AD16" s="113" t="s">
        <v>1538</v>
      </c>
      <c r="AE16" s="113" t="s">
        <v>1152</v>
      </c>
      <c r="AF16" s="113" t="s">
        <v>943</v>
      </c>
      <c r="AG16" s="113" t="s">
        <v>950</v>
      </c>
      <c r="AH16" s="113" t="s">
        <v>946</v>
      </c>
      <c r="AI16" s="113" t="s">
        <v>1281</v>
      </c>
      <c r="AJ16" s="113" t="s">
        <v>1235</v>
      </c>
      <c r="AK16" s="113" t="s">
        <v>1374</v>
      </c>
      <c r="AL16" s="113" t="s">
        <v>1715</v>
      </c>
      <c r="AM16" s="113" t="s">
        <v>1306</v>
      </c>
      <c r="AN16" s="113" t="s">
        <v>1305</v>
      </c>
      <c r="AO16" s="113" t="s">
        <v>1306</v>
      </c>
      <c r="AP16" s="113" t="s">
        <v>1305</v>
      </c>
      <c r="AR16" s="5"/>
      <c r="AS16" s="5"/>
      <c r="AT16" s="5"/>
      <c r="AU16" s="5"/>
      <c r="AV16" s="5"/>
      <c r="AW16" s="5"/>
      <c r="AX16" s="5"/>
      <c r="AY16" s="5"/>
      <c r="AZ16" s="5"/>
      <c r="BA16" s="5"/>
      <c r="BB16" s="5"/>
      <c r="BC16" s="5"/>
      <c r="BD16" s="5"/>
      <c r="BE16" s="5"/>
      <c r="BF16" s="5"/>
      <c r="BG16" s="5"/>
      <c r="BH16" s="5"/>
      <c r="BI16" s="5"/>
    </row>
    <row r="17" spans="1:62" customFormat="1">
      <c r="A17" s="114">
        <v>232</v>
      </c>
      <c r="B17" s="114" t="s">
        <v>259</v>
      </c>
      <c r="C17" s="114" t="s">
        <v>1974</v>
      </c>
      <c r="D17" s="113" t="s">
        <v>49</v>
      </c>
      <c r="E17" s="113"/>
      <c r="F17" s="118" t="s">
        <v>2031</v>
      </c>
      <c r="G17" s="113" t="s">
        <v>1477</v>
      </c>
      <c r="H17" s="113" t="s">
        <v>258</v>
      </c>
      <c r="I17" s="113">
        <v>21</v>
      </c>
      <c r="J17" s="113" t="s">
        <v>258</v>
      </c>
      <c r="K17" s="113" t="s">
        <v>1804</v>
      </c>
      <c r="L17" s="115"/>
      <c r="M17" s="115"/>
      <c r="N17" s="115"/>
      <c r="O17" s="115"/>
      <c r="P17" s="115"/>
      <c r="Q17" s="115"/>
      <c r="R17" s="115"/>
      <c r="S17" s="113">
        <v>500</v>
      </c>
      <c r="T17" s="113">
        <v>90</v>
      </c>
      <c r="U17" s="113">
        <v>120</v>
      </c>
      <c r="V17" s="113">
        <v>120</v>
      </c>
      <c r="W17" s="113">
        <v>60</v>
      </c>
      <c r="X17" s="113">
        <v>60</v>
      </c>
      <c r="Y17" s="113">
        <v>50</v>
      </c>
      <c r="Z17" s="116">
        <v>18</v>
      </c>
      <c r="AA17" s="116">
        <v>8.5</v>
      </c>
      <c r="AB17" s="116">
        <v>5</v>
      </c>
      <c r="AC17" s="117">
        <f t="shared" si="0"/>
        <v>31.5</v>
      </c>
      <c r="AD17" s="113" t="s">
        <v>1538</v>
      </c>
      <c r="AE17" s="113"/>
      <c r="AF17" s="113"/>
      <c r="AG17" s="113"/>
      <c r="AH17" s="113"/>
      <c r="AI17" s="113"/>
      <c r="AJ17" s="113"/>
      <c r="AK17" s="113"/>
      <c r="AL17" s="113"/>
      <c r="AM17" s="118"/>
      <c r="AN17" s="113"/>
      <c r="AO17" s="113"/>
      <c r="AP17" s="113"/>
      <c r="AR17" s="5"/>
      <c r="AS17" s="5"/>
      <c r="AT17" s="5"/>
      <c r="AU17" s="5"/>
      <c r="AV17" s="5"/>
      <c r="AW17" s="5"/>
      <c r="AX17" s="5"/>
      <c r="AY17" s="5"/>
      <c r="AZ17" s="5"/>
      <c r="BA17" s="5"/>
      <c r="BB17" s="5"/>
      <c r="BC17" s="5"/>
      <c r="BD17" s="5"/>
      <c r="BE17" s="5"/>
      <c r="BF17" s="5"/>
      <c r="BG17" s="5"/>
      <c r="BH17" s="5"/>
      <c r="BI17" s="5"/>
    </row>
    <row r="18" spans="1:62" customFormat="1">
      <c r="A18" s="114">
        <v>210</v>
      </c>
      <c r="B18" s="114" t="s">
        <v>237</v>
      </c>
      <c r="C18" s="114" t="s">
        <v>1974</v>
      </c>
      <c r="D18" s="113" t="s">
        <v>56</v>
      </c>
      <c r="E18" s="113"/>
      <c r="F18" s="118" t="s">
        <v>2031</v>
      </c>
      <c r="G18" s="113" t="s">
        <v>1477</v>
      </c>
      <c r="H18" s="113" t="s">
        <v>236</v>
      </c>
      <c r="I18" s="113">
        <v>21</v>
      </c>
      <c r="J18" s="113" t="s">
        <v>236</v>
      </c>
      <c r="K18" s="113" t="s">
        <v>1804</v>
      </c>
      <c r="L18" s="115"/>
      <c r="M18" s="115"/>
      <c r="N18" s="115"/>
      <c r="O18" s="115"/>
      <c r="P18" s="115"/>
      <c r="Q18" s="115"/>
      <c r="R18" s="115"/>
      <c r="S18" s="113">
        <v>450</v>
      </c>
      <c r="T18" s="113">
        <v>90</v>
      </c>
      <c r="U18" s="113">
        <v>120</v>
      </c>
      <c r="V18" s="113">
        <v>75</v>
      </c>
      <c r="W18" s="113">
        <v>60</v>
      </c>
      <c r="X18" s="113">
        <v>60</v>
      </c>
      <c r="Y18" s="113">
        <v>45</v>
      </c>
      <c r="Z18" s="116">
        <v>15</v>
      </c>
      <c r="AA18" s="116">
        <v>8.5</v>
      </c>
      <c r="AB18" s="116">
        <v>5</v>
      </c>
      <c r="AC18" s="117">
        <f t="shared" si="0"/>
        <v>28.5</v>
      </c>
      <c r="AD18" s="113" t="s">
        <v>946</v>
      </c>
      <c r="AE18" s="113"/>
      <c r="AF18" s="113"/>
      <c r="AG18" s="113"/>
      <c r="AH18" s="113"/>
      <c r="AI18" s="113"/>
      <c r="AJ18" s="113"/>
      <c r="AK18" s="113"/>
      <c r="AL18" s="113"/>
      <c r="AM18" s="118"/>
      <c r="AN18" s="113"/>
      <c r="AO18" s="113"/>
      <c r="AP18" s="113"/>
      <c r="AR18" s="5"/>
      <c r="AS18" s="5"/>
      <c r="AT18" s="5"/>
      <c r="AU18" s="5"/>
      <c r="AV18" s="5"/>
      <c r="AW18" s="5"/>
      <c r="AX18" s="5"/>
      <c r="AY18" s="5"/>
      <c r="AZ18" s="5"/>
      <c r="BA18" s="5"/>
      <c r="BB18" s="5"/>
      <c r="BC18" s="5"/>
      <c r="BD18" s="5"/>
      <c r="BE18" s="5"/>
      <c r="BF18" s="5"/>
      <c r="BG18" s="5"/>
      <c r="BH18" s="5"/>
      <c r="BI18" s="5"/>
    </row>
    <row r="19" spans="1:62" customFormat="1">
      <c r="A19" s="113">
        <v>106</v>
      </c>
      <c r="B19" s="113" t="s">
        <v>133</v>
      </c>
      <c r="C19" s="113" t="s">
        <v>1973</v>
      </c>
      <c r="D19" s="113" t="s">
        <v>78</v>
      </c>
      <c r="E19" s="113"/>
      <c r="F19" s="118" t="s">
        <v>2031</v>
      </c>
      <c r="G19" s="113" t="s">
        <v>1477</v>
      </c>
      <c r="H19" s="113" t="s">
        <v>263</v>
      </c>
      <c r="I19" s="113">
        <v>21</v>
      </c>
      <c r="J19" s="114" t="s">
        <v>263</v>
      </c>
      <c r="K19" s="113" t="s">
        <v>1804</v>
      </c>
      <c r="L19" s="115"/>
      <c r="M19" s="115"/>
      <c r="N19" s="115"/>
      <c r="O19" s="115"/>
      <c r="P19" s="115"/>
      <c r="Q19" s="115"/>
      <c r="R19" s="115" t="s">
        <v>2024</v>
      </c>
      <c r="S19" s="113">
        <v>455</v>
      </c>
      <c r="T19" s="113">
        <v>50</v>
      </c>
      <c r="U19" s="113">
        <v>120</v>
      </c>
      <c r="V19" s="113">
        <v>53</v>
      </c>
      <c r="W19" s="113">
        <v>35</v>
      </c>
      <c r="X19" s="113">
        <v>110</v>
      </c>
      <c r="Y19" s="113">
        <v>87</v>
      </c>
      <c r="Z19" s="116">
        <v>14</v>
      </c>
      <c r="AA19" s="116">
        <v>7</v>
      </c>
      <c r="AB19" s="116">
        <v>9</v>
      </c>
      <c r="AC19" s="117">
        <f t="shared" si="0"/>
        <v>30</v>
      </c>
      <c r="AD19" s="113" t="s">
        <v>1538</v>
      </c>
      <c r="AE19" s="113" t="s">
        <v>1190</v>
      </c>
      <c r="AF19" s="113" t="s">
        <v>943</v>
      </c>
      <c r="AG19" s="113"/>
      <c r="AH19" s="113" t="s">
        <v>943</v>
      </c>
      <c r="AI19" s="113" t="s">
        <v>1298</v>
      </c>
      <c r="AJ19" s="113" t="s">
        <v>1299</v>
      </c>
      <c r="AK19" s="113" t="s">
        <v>1584</v>
      </c>
      <c r="AL19" s="113" t="s">
        <v>1676</v>
      </c>
      <c r="AM19" s="113" t="s">
        <v>1280</v>
      </c>
      <c r="AN19" s="113" t="s">
        <v>1279</v>
      </c>
      <c r="AO19" s="113" t="s">
        <v>1280</v>
      </c>
      <c r="AP19" s="113" t="s">
        <v>1279</v>
      </c>
      <c r="AR19" s="5"/>
      <c r="AS19" s="5"/>
      <c r="AT19" s="5"/>
      <c r="AU19" s="5"/>
      <c r="AV19" s="5"/>
      <c r="AW19" s="5"/>
      <c r="AX19" s="5"/>
      <c r="AY19" s="5"/>
      <c r="AZ19" s="5"/>
      <c r="BA19" s="5"/>
      <c r="BB19" s="5"/>
      <c r="BC19" s="5"/>
      <c r="BD19" s="5"/>
      <c r="BE19" s="5"/>
      <c r="BF19" s="5"/>
      <c r="BG19" s="5"/>
      <c r="BH19" s="5"/>
      <c r="BI19" s="5"/>
    </row>
    <row r="20" spans="1:62" customFormat="1">
      <c r="A20" s="114">
        <v>244</v>
      </c>
      <c r="B20" s="114" t="s">
        <v>271</v>
      </c>
      <c r="C20" s="114" t="s">
        <v>1974</v>
      </c>
      <c r="D20" s="113" t="s">
        <v>19</v>
      </c>
      <c r="E20" s="113"/>
      <c r="F20" s="118" t="s">
        <v>2032</v>
      </c>
      <c r="G20" s="113" t="s">
        <v>1477</v>
      </c>
      <c r="H20" s="113" t="s">
        <v>271</v>
      </c>
      <c r="I20" s="113">
        <v>11</v>
      </c>
      <c r="J20" s="113" t="s">
        <v>1109</v>
      </c>
      <c r="K20" s="113" t="s">
        <v>1804</v>
      </c>
      <c r="L20" s="115"/>
      <c r="M20" s="115"/>
      <c r="N20" s="115"/>
      <c r="O20" s="115"/>
      <c r="P20" s="115"/>
      <c r="Q20" s="115"/>
      <c r="R20" s="115"/>
      <c r="S20" s="113">
        <v>580</v>
      </c>
      <c r="T20" s="113">
        <v>115</v>
      </c>
      <c r="U20" s="113">
        <v>115</v>
      </c>
      <c r="V20" s="113">
        <v>85</v>
      </c>
      <c r="W20" s="113">
        <v>90</v>
      </c>
      <c r="X20" s="113">
        <v>75</v>
      </c>
      <c r="Y20" s="113">
        <v>100</v>
      </c>
      <c r="Z20" s="116">
        <v>18</v>
      </c>
      <c r="AA20" s="116">
        <v>9.5</v>
      </c>
      <c r="AB20" s="116">
        <v>10</v>
      </c>
      <c r="AC20" s="117">
        <f t="shared" si="0"/>
        <v>37.5</v>
      </c>
      <c r="AD20" s="113" t="s">
        <v>1479</v>
      </c>
      <c r="AE20" s="113"/>
      <c r="AF20" s="113"/>
      <c r="AG20" s="113"/>
      <c r="AH20" s="113"/>
      <c r="AI20" s="113"/>
      <c r="AJ20" s="113"/>
      <c r="AK20" s="113"/>
      <c r="AL20" s="113"/>
      <c r="AM20" s="118"/>
      <c r="AN20" s="113"/>
      <c r="AO20" s="113"/>
      <c r="AP20" s="113"/>
      <c r="AR20" s="5"/>
      <c r="AS20" s="5"/>
      <c r="AT20" s="5"/>
      <c r="AU20" s="5"/>
      <c r="AV20" s="5"/>
      <c r="AW20" s="5"/>
      <c r="AX20" s="5"/>
      <c r="AY20" s="5"/>
      <c r="AZ20" s="5"/>
      <c r="BA20" s="5"/>
      <c r="BB20" s="5"/>
      <c r="BC20" s="5"/>
      <c r="BD20" s="5"/>
      <c r="BE20" s="5"/>
      <c r="BF20" s="5"/>
      <c r="BG20" s="5"/>
      <c r="BH20" s="5"/>
      <c r="BI20" s="5"/>
    </row>
    <row r="21" spans="1:62" customFormat="1">
      <c r="A21" s="113">
        <v>141</v>
      </c>
      <c r="B21" s="113" t="s">
        <v>169</v>
      </c>
      <c r="C21" s="113" t="s">
        <v>1973</v>
      </c>
      <c r="D21" s="113" t="s">
        <v>98</v>
      </c>
      <c r="E21" s="113" t="s">
        <v>25</v>
      </c>
      <c r="F21" s="118" t="s">
        <v>2031</v>
      </c>
      <c r="G21" s="113" t="s">
        <v>1477</v>
      </c>
      <c r="H21" s="113" t="s">
        <v>168</v>
      </c>
      <c r="I21" s="113">
        <v>21</v>
      </c>
      <c r="J21" s="113" t="s">
        <v>168</v>
      </c>
      <c r="K21" s="113" t="s">
        <v>1804</v>
      </c>
      <c r="L21" s="115"/>
      <c r="M21" s="115"/>
      <c r="N21" s="115"/>
      <c r="O21" s="115"/>
      <c r="P21" s="115"/>
      <c r="Q21" s="115"/>
      <c r="R21" s="115"/>
      <c r="S21" s="113">
        <v>495</v>
      </c>
      <c r="T21" s="113">
        <v>60</v>
      </c>
      <c r="U21" s="113">
        <v>115</v>
      </c>
      <c r="V21" s="113">
        <v>105</v>
      </c>
      <c r="W21" s="113">
        <v>65</v>
      </c>
      <c r="X21" s="113">
        <v>70</v>
      </c>
      <c r="Y21" s="113">
        <v>80</v>
      </c>
      <c r="Z21" s="116">
        <v>16</v>
      </c>
      <c r="AA21" s="116">
        <v>10.5</v>
      </c>
      <c r="AB21" s="116">
        <v>8</v>
      </c>
      <c r="AC21" s="117">
        <f t="shared" si="0"/>
        <v>34.5</v>
      </c>
      <c r="AD21" s="113" t="s">
        <v>1537</v>
      </c>
      <c r="AE21" s="113" t="s">
        <v>1077</v>
      </c>
      <c r="AF21" s="113" t="s">
        <v>943</v>
      </c>
      <c r="AG21" s="113"/>
      <c r="AH21" s="113" t="s">
        <v>943</v>
      </c>
      <c r="AI21" s="113" t="s">
        <v>1316</v>
      </c>
      <c r="AJ21" s="113" t="s">
        <v>1263</v>
      </c>
      <c r="AK21" s="113" t="s">
        <v>1076</v>
      </c>
      <c r="AL21" s="113" t="s">
        <v>1241</v>
      </c>
      <c r="AM21" s="113" t="s">
        <v>1323</v>
      </c>
      <c r="AN21" s="113" t="s">
        <v>1322</v>
      </c>
      <c r="AO21" s="113" t="s">
        <v>1323</v>
      </c>
      <c r="AP21" s="113" t="s">
        <v>1322</v>
      </c>
      <c r="AR21" s="5"/>
      <c r="AS21" s="5"/>
      <c r="AT21" s="5"/>
      <c r="AU21" s="5"/>
      <c r="AV21" s="5"/>
      <c r="AW21" s="5"/>
      <c r="AX21" s="5"/>
      <c r="AY21" s="5"/>
      <c r="AZ21" s="5"/>
      <c r="BA21" s="5"/>
      <c r="BB21" s="5"/>
      <c r="BC21" s="5"/>
      <c r="BD21" s="5"/>
      <c r="BE21" s="5"/>
      <c r="BF21" s="5"/>
      <c r="BG21" s="5"/>
      <c r="BH21" s="5"/>
      <c r="BI21" s="5"/>
    </row>
    <row r="22" spans="1:62" customFormat="1">
      <c r="A22" s="113">
        <v>85</v>
      </c>
      <c r="B22" s="113" t="s">
        <v>110</v>
      </c>
      <c r="C22" s="113" t="s">
        <v>1973</v>
      </c>
      <c r="D22" s="113" t="s">
        <v>22</v>
      </c>
      <c r="E22" s="113" t="s">
        <v>36</v>
      </c>
      <c r="F22" s="118" t="s">
        <v>2031</v>
      </c>
      <c r="G22" s="113" t="s">
        <v>1477</v>
      </c>
      <c r="H22" s="113" t="s">
        <v>109</v>
      </c>
      <c r="I22" s="113">
        <v>21</v>
      </c>
      <c r="J22" s="113" t="s">
        <v>109</v>
      </c>
      <c r="K22" s="113" t="s">
        <v>1804</v>
      </c>
      <c r="L22" s="115"/>
      <c r="M22" s="115"/>
      <c r="N22" s="115"/>
      <c r="O22" s="115"/>
      <c r="P22" s="115"/>
      <c r="Q22" s="115"/>
      <c r="R22" s="115"/>
      <c r="S22" s="113">
        <v>460</v>
      </c>
      <c r="T22" s="113">
        <v>60</v>
      </c>
      <c r="U22" s="113">
        <v>110</v>
      </c>
      <c r="V22" s="113">
        <v>70</v>
      </c>
      <c r="W22" s="113">
        <v>60</v>
      </c>
      <c r="X22" s="113">
        <v>60</v>
      </c>
      <c r="Y22" s="113">
        <v>100</v>
      </c>
      <c r="Z22" s="116">
        <v>13</v>
      </c>
      <c r="AA22" s="116">
        <v>8.5</v>
      </c>
      <c r="AB22" s="116">
        <v>10</v>
      </c>
      <c r="AC22" s="117">
        <f t="shared" si="0"/>
        <v>31.5</v>
      </c>
      <c r="AD22" s="113" t="s">
        <v>1538</v>
      </c>
      <c r="AE22" s="113" t="s">
        <v>1157</v>
      </c>
      <c r="AF22" s="113" t="s">
        <v>943</v>
      </c>
      <c r="AG22" s="113"/>
      <c r="AH22" s="113" t="s">
        <v>943</v>
      </c>
      <c r="AI22" s="113" t="s">
        <v>1221</v>
      </c>
      <c r="AJ22" s="113" t="s">
        <v>1320</v>
      </c>
      <c r="AK22" s="113" t="s">
        <v>1751</v>
      </c>
      <c r="AL22" s="113" t="s">
        <v>1220</v>
      </c>
      <c r="AM22" s="113" t="s">
        <v>1044</v>
      </c>
      <c r="AN22" s="113" t="s">
        <v>1043</v>
      </c>
      <c r="AO22" s="113" t="s">
        <v>1044</v>
      </c>
      <c r="AP22" s="113" t="s">
        <v>1043</v>
      </c>
      <c r="AR22" s="5"/>
      <c r="AS22" s="5"/>
      <c r="AT22" s="5"/>
      <c r="AU22" s="5"/>
      <c r="AV22" s="5"/>
      <c r="AW22" s="5"/>
      <c r="AX22" s="5"/>
      <c r="AY22" s="5"/>
      <c r="AZ22" s="5"/>
      <c r="BA22" s="5"/>
      <c r="BB22" s="5"/>
      <c r="BC22" s="5"/>
      <c r="BD22" s="5"/>
      <c r="BE22" s="5"/>
      <c r="BF22" s="5"/>
      <c r="BG22" s="5"/>
      <c r="BH22" s="5"/>
      <c r="BI22" s="5"/>
    </row>
    <row r="23" spans="1:62" customFormat="1">
      <c r="A23" s="113">
        <v>59</v>
      </c>
      <c r="B23" s="113" t="s">
        <v>81</v>
      </c>
      <c r="C23" s="113" t="s">
        <v>1973</v>
      </c>
      <c r="D23" s="113" t="s">
        <v>19</v>
      </c>
      <c r="E23" s="113"/>
      <c r="F23" s="118" t="s">
        <v>2031</v>
      </c>
      <c r="G23" s="113" t="s">
        <v>1477</v>
      </c>
      <c r="H23" s="113" t="s">
        <v>80</v>
      </c>
      <c r="I23" s="113">
        <v>21</v>
      </c>
      <c r="J23" s="113" t="s">
        <v>80</v>
      </c>
      <c r="K23" s="113" t="s">
        <v>1804</v>
      </c>
      <c r="L23" s="115"/>
      <c r="M23" s="115"/>
      <c r="N23" s="115"/>
      <c r="O23" s="115"/>
      <c r="P23" s="115"/>
      <c r="Q23" s="115"/>
      <c r="R23" s="115"/>
      <c r="S23" s="113">
        <v>555</v>
      </c>
      <c r="T23" s="113">
        <v>90</v>
      </c>
      <c r="U23" s="113">
        <v>110</v>
      </c>
      <c r="V23" s="113">
        <v>80</v>
      </c>
      <c r="W23" s="113">
        <v>100</v>
      </c>
      <c r="X23" s="113">
        <v>80</v>
      </c>
      <c r="Y23" s="113">
        <v>95</v>
      </c>
      <c r="Z23" s="116">
        <v>17</v>
      </c>
      <c r="AA23" s="116">
        <v>7.5</v>
      </c>
      <c r="AB23" s="116">
        <v>10</v>
      </c>
      <c r="AC23" s="117">
        <f t="shared" si="0"/>
        <v>34.5</v>
      </c>
      <c r="AD23" s="113" t="s">
        <v>1537</v>
      </c>
      <c r="AE23" s="113" t="s">
        <v>1148</v>
      </c>
      <c r="AF23" s="113" t="s">
        <v>943</v>
      </c>
      <c r="AG23" s="113"/>
      <c r="AH23" s="113" t="s">
        <v>943</v>
      </c>
      <c r="AI23" s="113" t="s">
        <v>1284</v>
      </c>
      <c r="AJ23" s="113" t="s">
        <v>1713</v>
      </c>
      <c r="AK23" s="113" t="s">
        <v>1151</v>
      </c>
      <c r="AL23" s="113" t="s">
        <v>1712</v>
      </c>
      <c r="AM23" s="113" t="s">
        <v>1030</v>
      </c>
      <c r="AN23" s="113" t="s">
        <v>1029</v>
      </c>
      <c r="AO23" s="113" t="s">
        <v>1030</v>
      </c>
      <c r="AP23" s="113" t="s">
        <v>1029</v>
      </c>
      <c r="AR23" s="5"/>
      <c r="AS23" s="5"/>
      <c r="AT23" s="5"/>
      <c r="AU23" s="5"/>
      <c r="AV23" s="5"/>
      <c r="AW23" s="5"/>
      <c r="AX23" s="5"/>
      <c r="AY23" s="5"/>
      <c r="AZ23" s="5"/>
      <c r="BA23" s="5"/>
      <c r="BB23" s="5"/>
      <c r="BC23" s="5"/>
      <c r="BD23" s="5"/>
      <c r="BE23" s="5"/>
      <c r="BF23" s="5"/>
      <c r="BG23" s="5"/>
      <c r="BH23" s="5"/>
      <c r="BI23" s="5"/>
    </row>
    <row r="24" spans="1:62" customFormat="1">
      <c r="A24" s="113">
        <v>150</v>
      </c>
      <c r="B24" s="113" t="s">
        <v>178</v>
      </c>
      <c r="C24" s="113" t="s">
        <v>1973</v>
      </c>
      <c r="D24" s="113" t="s">
        <v>86</v>
      </c>
      <c r="E24" s="113"/>
      <c r="F24" s="118" t="s">
        <v>2032</v>
      </c>
      <c r="G24" s="113" t="s">
        <v>1477</v>
      </c>
      <c r="H24" s="113" t="s">
        <v>178</v>
      </c>
      <c r="I24" s="113">
        <v>11</v>
      </c>
      <c r="J24" s="113" t="s">
        <v>1109</v>
      </c>
      <c r="K24" s="113" t="s">
        <v>1804</v>
      </c>
      <c r="L24" s="115"/>
      <c r="M24" s="115"/>
      <c r="N24" s="115"/>
      <c r="O24" s="115"/>
      <c r="P24" s="115"/>
      <c r="Q24" s="115"/>
      <c r="R24" s="115"/>
      <c r="S24" s="113">
        <v>680</v>
      </c>
      <c r="T24" s="113">
        <v>106</v>
      </c>
      <c r="U24" s="113">
        <v>110</v>
      </c>
      <c r="V24" s="113">
        <v>90</v>
      </c>
      <c r="W24" s="113">
        <v>154</v>
      </c>
      <c r="X24" s="113">
        <v>90</v>
      </c>
      <c r="Y24" s="113">
        <v>130</v>
      </c>
      <c r="Z24" s="116">
        <v>19</v>
      </c>
      <c r="AA24" s="116">
        <v>12</v>
      </c>
      <c r="AB24" s="116">
        <v>13</v>
      </c>
      <c r="AC24" s="117">
        <f t="shared" si="0"/>
        <v>44</v>
      </c>
      <c r="AD24" s="113" t="s">
        <v>1479</v>
      </c>
      <c r="AE24" s="113" t="s">
        <v>1082</v>
      </c>
      <c r="AF24" s="113" t="s">
        <v>943</v>
      </c>
      <c r="AG24" s="113"/>
      <c r="AH24" s="113" t="s">
        <v>943</v>
      </c>
      <c r="AI24" s="113" t="s">
        <v>1796</v>
      </c>
      <c r="AJ24" s="113" t="s">
        <v>1084</v>
      </c>
      <c r="AK24" s="113" t="s">
        <v>1797</v>
      </c>
      <c r="AL24" s="113" t="s">
        <v>1102</v>
      </c>
      <c r="AM24" s="113" t="s">
        <v>1104</v>
      </c>
      <c r="AN24" s="113" t="s">
        <v>1103</v>
      </c>
      <c r="AO24" s="113" t="s">
        <v>1104</v>
      </c>
      <c r="AP24" s="113" t="s">
        <v>1103</v>
      </c>
      <c r="AR24" s="5"/>
      <c r="AS24" s="5"/>
      <c r="AT24" s="5"/>
      <c r="AU24" s="5"/>
      <c r="AV24" s="5"/>
      <c r="AW24" s="5"/>
      <c r="AX24" s="5"/>
      <c r="AY24" s="5"/>
      <c r="AZ24" s="5"/>
      <c r="BA24" s="5"/>
      <c r="BB24" s="5"/>
      <c r="BC24" s="5"/>
      <c r="BD24" s="5"/>
      <c r="BE24" s="5"/>
      <c r="BF24" s="5"/>
      <c r="BG24" s="5"/>
      <c r="BH24" s="5"/>
      <c r="BI24" s="5"/>
      <c r="BJ24" s="5"/>
    </row>
    <row r="25" spans="1:62" customFormat="1">
      <c r="A25" s="113">
        <v>123</v>
      </c>
      <c r="B25" s="113" t="s">
        <v>150</v>
      </c>
      <c r="C25" s="113" t="s">
        <v>1973</v>
      </c>
      <c r="D25" s="113" t="s">
        <v>29</v>
      </c>
      <c r="E25" s="113" t="s">
        <v>22</v>
      </c>
      <c r="F25" s="118" t="s">
        <v>2031</v>
      </c>
      <c r="G25" s="113" t="s">
        <v>1479</v>
      </c>
      <c r="H25" s="113" t="s">
        <v>150</v>
      </c>
      <c r="I25" s="113">
        <v>11</v>
      </c>
      <c r="J25" s="113" t="s">
        <v>1109</v>
      </c>
      <c r="K25" s="113" t="s">
        <v>1964</v>
      </c>
      <c r="L25" s="115"/>
      <c r="M25" s="115"/>
      <c r="N25" s="115"/>
      <c r="O25" s="115"/>
      <c r="P25" s="115"/>
      <c r="Q25" s="115"/>
      <c r="R25" s="115"/>
      <c r="S25" s="113">
        <v>500</v>
      </c>
      <c r="T25" s="113">
        <v>70</v>
      </c>
      <c r="U25" s="113">
        <v>110</v>
      </c>
      <c r="V25" s="113">
        <v>80</v>
      </c>
      <c r="W25" s="113">
        <v>55</v>
      </c>
      <c r="X25" s="113">
        <v>80</v>
      </c>
      <c r="Y25" s="113">
        <v>105</v>
      </c>
      <c r="Z25" s="116">
        <v>15</v>
      </c>
      <c r="AA25" s="116">
        <v>6</v>
      </c>
      <c r="AB25" s="116">
        <v>11</v>
      </c>
      <c r="AC25" s="117">
        <f t="shared" si="0"/>
        <v>32</v>
      </c>
      <c r="AD25" s="113" t="s">
        <v>1538</v>
      </c>
      <c r="AE25" s="113" t="s">
        <v>945</v>
      </c>
      <c r="AF25" s="113" t="s">
        <v>946</v>
      </c>
      <c r="AG25" s="113"/>
      <c r="AH25" s="113" t="s">
        <v>946</v>
      </c>
      <c r="AI25" s="113" t="s">
        <v>1332</v>
      </c>
      <c r="AJ25" s="113" t="s">
        <v>1611</v>
      </c>
      <c r="AK25" s="113" t="s">
        <v>1766</v>
      </c>
      <c r="AL25" s="113" t="s">
        <v>1767</v>
      </c>
      <c r="AM25" s="113" t="s">
        <v>1041</v>
      </c>
      <c r="AN25" s="113" t="s">
        <v>1042</v>
      </c>
      <c r="AO25" s="113" t="s">
        <v>1041</v>
      </c>
      <c r="AP25" s="113" t="s">
        <v>1042</v>
      </c>
      <c r="AR25" s="5"/>
      <c r="AS25" s="5"/>
      <c r="AT25" s="5"/>
      <c r="AU25" s="5"/>
      <c r="AV25" s="5"/>
      <c r="AW25" s="5"/>
      <c r="AX25" s="5"/>
      <c r="AY25" s="5"/>
      <c r="AZ25" s="5"/>
      <c r="BA25" s="5"/>
      <c r="BB25" s="5"/>
      <c r="BC25" s="5"/>
      <c r="BD25" s="5"/>
      <c r="BE25" s="5"/>
      <c r="BF25" s="5"/>
      <c r="BG25" s="5"/>
      <c r="BH25" s="5"/>
      <c r="BI25" s="5"/>
    </row>
    <row r="26" spans="1:62" customFormat="1">
      <c r="A26" s="113">
        <v>143</v>
      </c>
      <c r="B26" s="113" t="s">
        <v>171</v>
      </c>
      <c r="C26" s="113" t="s">
        <v>1973</v>
      </c>
      <c r="D26" s="113" t="s">
        <v>36</v>
      </c>
      <c r="E26" s="113"/>
      <c r="F26" s="118" t="s">
        <v>2031</v>
      </c>
      <c r="G26" s="113" t="s">
        <v>1477</v>
      </c>
      <c r="H26" s="113" t="s">
        <v>171</v>
      </c>
      <c r="I26" s="113">
        <v>11</v>
      </c>
      <c r="J26" s="113" t="s">
        <v>1109</v>
      </c>
      <c r="K26" s="113" t="s">
        <v>1804</v>
      </c>
      <c r="L26" s="115"/>
      <c r="M26" s="115"/>
      <c r="N26" s="115"/>
      <c r="O26" s="115"/>
      <c r="P26" s="115"/>
      <c r="Q26" s="115"/>
      <c r="R26" s="115"/>
      <c r="S26" s="113">
        <v>540</v>
      </c>
      <c r="T26" s="113">
        <v>160</v>
      </c>
      <c r="U26" s="113">
        <v>110</v>
      </c>
      <c r="V26" s="113">
        <v>65</v>
      </c>
      <c r="W26" s="113">
        <v>65</v>
      </c>
      <c r="X26" s="113">
        <v>110</v>
      </c>
      <c r="Y26" s="113">
        <v>30</v>
      </c>
      <c r="Z26" s="116">
        <v>22</v>
      </c>
      <c r="AA26" s="116">
        <v>9.5</v>
      </c>
      <c r="AB26" s="116">
        <v>3</v>
      </c>
      <c r="AC26" s="117">
        <f t="shared" si="0"/>
        <v>34.5</v>
      </c>
      <c r="AD26" s="113" t="s">
        <v>1537</v>
      </c>
      <c r="AE26" s="113" t="s">
        <v>1081</v>
      </c>
      <c r="AF26" s="113" t="s">
        <v>943</v>
      </c>
      <c r="AG26" s="113" t="s">
        <v>1693</v>
      </c>
      <c r="AH26" s="113" t="s">
        <v>946</v>
      </c>
      <c r="AI26" s="113" t="s">
        <v>1079</v>
      </c>
      <c r="AJ26" s="113" t="s">
        <v>1080</v>
      </c>
      <c r="AK26" s="113" t="s">
        <v>1691</v>
      </c>
      <c r="AL26" s="113" t="s">
        <v>1682</v>
      </c>
      <c r="AM26" s="113" t="s">
        <v>1055</v>
      </c>
      <c r="AN26" s="113" t="s">
        <v>1054</v>
      </c>
      <c r="AO26" s="113" t="s">
        <v>1055</v>
      </c>
      <c r="AP26" s="113" t="s">
        <v>1054</v>
      </c>
      <c r="AR26" s="5"/>
      <c r="AS26" s="5"/>
      <c r="AT26" s="5"/>
      <c r="AU26" s="5"/>
      <c r="AV26" s="5"/>
      <c r="AW26" s="5"/>
      <c r="AX26" s="5"/>
      <c r="AY26" s="5"/>
      <c r="AZ26" s="5"/>
      <c r="BA26" s="5"/>
      <c r="BB26" s="5"/>
      <c r="BC26" s="5"/>
      <c r="BD26" s="5"/>
      <c r="BE26" s="5"/>
      <c r="BF26" s="5"/>
      <c r="BG26" s="5"/>
      <c r="BH26" s="5"/>
      <c r="BI26" s="5"/>
    </row>
    <row r="27" spans="1:62" customFormat="1">
      <c r="A27" s="113">
        <v>142</v>
      </c>
      <c r="B27" s="113" t="s">
        <v>170</v>
      </c>
      <c r="C27" s="113" t="s">
        <v>1973</v>
      </c>
      <c r="D27" s="113" t="s">
        <v>98</v>
      </c>
      <c r="E27" s="113" t="s">
        <v>22</v>
      </c>
      <c r="F27" s="118" t="s">
        <v>2031</v>
      </c>
      <c r="G27" s="113" t="s">
        <v>1477</v>
      </c>
      <c r="H27" s="113" t="s">
        <v>170</v>
      </c>
      <c r="I27" s="113">
        <v>11</v>
      </c>
      <c r="J27" s="113" t="s">
        <v>1109</v>
      </c>
      <c r="K27" s="113" t="s">
        <v>1804</v>
      </c>
      <c r="L27" s="115"/>
      <c r="M27" s="115"/>
      <c r="N27" s="115"/>
      <c r="O27" s="115"/>
      <c r="P27" s="115"/>
      <c r="Q27" s="115"/>
      <c r="R27" s="115"/>
      <c r="S27" s="113">
        <v>515</v>
      </c>
      <c r="T27" s="113">
        <v>80</v>
      </c>
      <c r="U27" s="113">
        <v>105</v>
      </c>
      <c r="V27" s="113">
        <v>65</v>
      </c>
      <c r="W27" s="113">
        <v>60</v>
      </c>
      <c r="X27" s="113">
        <v>75</v>
      </c>
      <c r="Y27" s="113">
        <v>130</v>
      </c>
      <c r="Z27" s="116">
        <v>15</v>
      </c>
      <c r="AA27" s="116">
        <v>7.5</v>
      </c>
      <c r="AB27" s="116">
        <v>13</v>
      </c>
      <c r="AC27" s="117">
        <f t="shared" si="0"/>
        <v>35.5</v>
      </c>
      <c r="AD27" s="113" t="s">
        <v>1537</v>
      </c>
      <c r="AE27" s="113" t="s">
        <v>1078</v>
      </c>
      <c r="AF27" s="113" t="s">
        <v>943</v>
      </c>
      <c r="AG27" s="113"/>
      <c r="AH27" s="113" t="s">
        <v>943</v>
      </c>
      <c r="AI27" s="113" t="s">
        <v>1761</v>
      </c>
      <c r="AJ27" s="113" t="s">
        <v>1317</v>
      </c>
      <c r="AK27" s="113" t="s">
        <v>1760</v>
      </c>
      <c r="AL27" s="113" t="s">
        <v>1285</v>
      </c>
      <c r="AM27" s="113" t="s">
        <v>1325</v>
      </c>
      <c r="AN27" s="113" t="s">
        <v>1324</v>
      </c>
      <c r="AO27" s="113" t="s">
        <v>1325</v>
      </c>
      <c r="AP27" s="113" t="s">
        <v>1324</v>
      </c>
      <c r="AR27" s="5"/>
      <c r="AS27" s="5"/>
      <c r="AT27" s="5"/>
      <c r="AU27" s="5"/>
      <c r="AV27" s="5"/>
      <c r="AW27" s="5"/>
      <c r="AX27" s="5"/>
      <c r="AY27" s="5"/>
      <c r="AZ27" s="5"/>
      <c r="BA27" s="5"/>
      <c r="BB27" s="5"/>
      <c r="BC27" s="5"/>
      <c r="BD27" s="5"/>
      <c r="BE27" s="5"/>
      <c r="BF27" s="5"/>
      <c r="BG27" s="5"/>
      <c r="BH27" s="5"/>
      <c r="BI27" s="5"/>
    </row>
    <row r="28" spans="1:62" customFormat="1">
      <c r="A28" s="113">
        <v>71</v>
      </c>
      <c r="B28" s="113" t="s">
        <v>94</v>
      </c>
      <c r="C28" s="113" t="s">
        <v>1973</v>
      </c>
      <c r="D28" s="113" t="s">
        <v>14</v>
      </c>
      <c r="E28" s="113" t="s">
        <v>15</v>
      </c>
      <c r="F28" s="118" t="s">
        <v>2031</v>
      </c>
      <c r="G28" s="113" t="s">
        <v>1477</v>
      </c>
      <c r="H28" s="113" t="s">
        <v>92</v>
      </c>
      <c r="I28" s="113">
        <v>31</v>
      </c>
      <c r="J28" s="113" t="s">
        <v>93</v>
      </c>
      <c r="K28" s="113" t="s">
        <v>1804</v>
      </c>
      <c r="L28" s="115"/>
      <c r="M28" s="115"/>
      <c r="N28" s="115"/>
      <c r="O28" s="115"/>
      <c r="P28" s="115"/>
      <c r="Q28" s="115"/>
      <c r="R28" s="115"/>
      <c r="S28" s="113">
        <v>490</v>
      </c>
      <c r="T28" s="113">
        <v>80</v>
      </c>
      <c r="U28" s="113">
        <v>105</v>
      </c>
      <c r="V28" s="113">
        <v>65</v>
      </c>
      <c r="W28" s="113">
        <v>100</v>
      </c>
      <c r="X28" s="113">
        <v>70</v>
      </c>
      <c r="Y28" s="113">
        <v>70</v>
      </c>
      <c r="Z28" s="116">
        <v>14</v>
      </c>
      <c r="AA28" s="116">
        <v>7</v>
      </c>
      <c r="AB28" s="116">
        <v>7</v>
      </c>
      <c r="AC28" s="117">
        <f t="shared" si="0"/>
        <v>28</v>
      </c>
      <c r="AD28" s="113" t="s">
        <v>946</v>
      </c>
      <c r="AE28" s="113" t="s">
        <v>1162</v>
      </c>
      <c r="AF28" s="113" t="s">
        <v>943</v>
      </c>
      <c r="AG28" s="113" t="s">
        <v>1547</v>
      </c>
      <c r="AH28" s="113" t="s">
        <v>946</v>
      </c>
      <c r="AI28" s="113" t="s">
        <v>1296</v>
      </c>
      <c r="AJ28" s="113" t="s">
        <v>1297</v>
      </c>
      <c r="AK28" s="113" t="s">
        <v>1583</v>
      </c>
      <c r="AL28" s="113" t="s">
        <v>1584</v>
      </c>
      <c r="AM28" s="113" t="s">
        <v>1028</v>
      </c>
      <c r="AN28" s="113" t="s">
        <v>1027</v>
      </c>
      <c r="AO28" s="113" t="s">
        <v>1028</v>
      </c>
      <c r="AP28" s="113" t="s">
        <v>1027</v>
      </c>
      <c r="AR28" s="5"/>
      <c r="AS28" s="5"/>
      <c r="AT28" s="5"/>
      <c r="AU28" s="5"/>
      <c r="AV28" s="5"/>
      <c r="AW28" s="5"/>
      <c r="AX28" s="5"/>
      <c r="AY28" s="5"/>
      <c r="AZ28" s="5"/>
      <c r="BA28" s="5"/>
      <c r="BB28" s="5"/>
      <c r="BC28" s="5"/>
      <c r="BD28" s="5"/>
      <c r="BE28" s="5"/>
      <c r="BF28" s="5"/>
      <c r="BG28" s="5"/>
      <c r="BH28" s="5"/>
      <c r="BI28" s="5"/>
    </row>
    <row r="29" spans="1:62" customFormat="1">
      <c r="A29" s="113">
        <v>89</v>
      </c>
      <c r="B29" s="113" t="s">
        <v>115</v>
      </c>
      <c r="C29" s="113" t="s">
        <v>1973</v>
      </c>
      <c r="D29" s="113" t="s">
        <v>15</v>
      </c>
      <c r="E29" s="113"/>
      <c r="F29" s="118" t="s">
        <v>2031</v>
      </c>
      <c r="G29" s="113" t="s">
        <v>1477</v>
      </c>
      <c r="H29" s="113" t="s">
        <v>114</v>
      </c>
      <c r="I29" s="113">
        <v>21</v>
      </c>
      <c r="J29" s="113" t="s">
        <v>114</v>
      </c>
      <c r="K29" s="113" t="s">
        <v>1804</v>
      </c>
      <c r="L29" s="115"/>
      <c r="M29" s="115"/>
      <c r="N29" s="115"/>
      <c r="O29" s="115"/>
      <c r="P29" s="115"/>
      <c r="Q29" s="115"/>
      <c r="R29" s="115"/>
      <c r="S29" s="113">
        <v>500</v>
      </c>
      <c r="T29" s="113">
        <v>105</v>
      </c>
      <c r="U29" s="113">
        <v>105</v>
      </c>
      <c r="V29" s="113">
        <v>75</v>
      </c>
      <c r="W29" s="113">
        <v>65</v>
      </c>
      <c r="X29" s="113">
        <v>100</v>
      </c>
      <c r="Y29" s="113">
        <v>50</v>
      </c>
      <c r="Z29" s="116">
        <v>19</v>
      </c>
      <c r="AA29" s="116">
        <v>6</v>
      </c>
      <c r="AB29" s="116">
        <v>5</v>
      </c>
      <c r="AC29" s="117">
        <f t="shared" si="0"/>
        <v>30</v>
      </c>
      <c r="AD29" s="113" t="s">
        <v>1538</v>
      </c>
      <c r="AE29" s="113" t="s">
        <v>1159</v>
      </c>
      <c r="AF29" s="113" t="s">
        <v>943</v>
      </c>
      <c r="AG29" s="113" t="s">
        <v>1566</v>
      </c>
      <c r="AH29" s="113" t="s">
        <v>946</v>
      </c>
      <c r="AI29" s="113" t="s">
        <v>1360</v>
      </c>
      <c r="AJ29" s="113" t="s">
        <v>1285</v>
      </c>
      <c r="AK29" s="113" t="s">
        <v>1758</v>
      </c>
      <c r="AL29" s="113" t="s">
        <v>1759</v>
      </c>
      <c r="AM29" s="113" t="s">
        <v>1226</v>
      </c>
      <c r="AN29" s="113" t="s">
        <v>1227</v>
      </c>
      <c r="AO29" s="113" t="s">
        <v>1226</v>
      </c>
      <c r="AP29" s="113" t="s">
        <v>1227</v>
      </c>
      <c r="AR29" s="5"/>
      <c r="AS29" s="5"/>
      <c r="AT29" s="5"/>
      <c r="AU29" s="5"/>
      <c r="AV29" s="5"/>
      <c r="AW29" s="5"/>
      <c r="AX29" s="5"/>
      <c r="AY29" s="5"/>
      <c r="AZ29" s="5"/>
      <c r="BA29" s="5"/>
      <c r="BB29" s="5"/>
      <c r="BC29" s="5"/>
      <c r="BD29" s="5"/>
      <c r="BE29" s="5"/>
      <c r="BF29" s="5"/>
      <c r="BG29" s="5"/>
      <c r="BH29" s="5"/>
      <c r="BI29" s="5"/>
      <c r="BJ29" s="5"/>
    </row>
    <row r="30" spans="1:62" customFormat="1">
      <c r="A30" s="113">
        <v>98</v>
      </c>
      <c r="B30" s="113" t="s">
        <v>125</v>
      </c>
      <c r="C30" s="113" t="s">
        <v>1973</v>
      </c>
      <c r="D30" s="113" t="s">
        <v>25</v>
      </c>
      <c r="E30" s="113"/>
      <c r="F30" s="118" t="s">
        <v>2031</v>
      </c>
      <c r="G30" s="113" t="s">
        <v>1479</v>
      </c>
      <c r="H30" s="113" t="s">
        <v>125</v>
      </c>
      <c r="I30" s="113">
        <v>11</v>
      </c>
      <c r="J30" s="113" t="s">
        <v>1109</v>
      </c>
      <c r="K30" s="115" t="s">
        <v>1968</v>
      </c>
      <c r="L30" s="115"/>
      <c r="M30" s="115"/>
      <c r="N30" s="115"/>
      <c r="O30" s="115"/>
      <c r="P30" s="115"/>
      <c r="Q30" s="115"/>
      <c r="R30" s="115"/>
      <c r="S30" s="113">
        <v>325</v>
      </c>
      <c r="T30" s="113">
        <v>30</v>
      </c>
      <c r="U30" s="113">
        <v>105</v>
      </c>
      <c r="V30" s="113">
        <v>90</v>
      </c>
      <c r="W30" s="113">
        <v>25</v>
      </c>
      <c r="X30" s="113">
        <v>25</v>
      </c>
      <c r="Y30" s="113">
        <v>50</v>
      </c>
      <c r="Z30" s="116">
        <v>10</v>
      </c>
      <c r="AA30" s="116">
        <v>5</v>
      </c>
      <c r="AB30" s="116">
        <v>5</v>
      </c>
      <c r="AC30" s="117">
        <f t="shared" si="0"/>
        <v>20</v>
      </c>
      <c r="AD30" s="113" t="s">
        <v>1545</v>
      </c>
      <c r="AE30" s="113" t="s">
        <v>1193</v>
      </c>
      <c r="AF30" s="113" t="s">
        <v>943</v>
      </c>
      <c r="AG30" s="113"/>
      <c r="AH30" s="113" t="s">
        <v>943</v>
      </c>
      <c r="AI30" s="113" t="s">
        <v>1365</v>
      </c>
      <c r="AJ30" s="113" t="s">
        <v>1366</v>
      </c>
      <c r="AK30" s="113" t="s">
        <v>1282</v>
      </c>
      <c r="AL30" s="113" t="s">
        <v>1782</v>
      </c>
      <c r="AM30" s="113" t="s">
        <v>1026</v>
      </c>
      <c r="AN30" s="113" t="s">
        <v>1025</v>
      </c>
      <c r="AO30" s="113" t="s">
        <v>1026</v>
      </c>
      <c r="AP30" s="113" t="s">
        <v>1025</v>
      </c>
      <c r="AR30" s="5"/>
      <c r="AS30" s="5"/>
      <c r="AT30" s="5"/>
      <c r="AU30" s="5"/>
      <c r="AV30" s="5"/>
      <c r="AW30" s="5"/>
      <c r="AX30" s="5"/>
      <c r="AY30" s="5"/>
      <c r="AZ30" s="5"/>
      <c r="BA30" s="5"/>
      <c r="BB30" s="5"/>
      <c r="BC30" s="5"/>
      <c r="BD30" s="5"/>
      <c r="BE30" s="5"/>
      <c r="BF30" s="5"/>
      <c r="BG30" s="5"/>
      <c r="BH30" s="5"/>
      <c r="BI30" s="5"/>
    </row>
    <row r="31" spans="1:62">
      <c r="A31" s="113">
        <v>57</v>
      </c>
      <c r="B31" s="113" t="s">
        <v>79</v>
      </c>
      <c r="C31" s="113" t="s">
        <v>1973</v>
      </c>
      <c r="D31" s="113" t="s">
        <v>78</v>
      </c>
      <c r="E31" s="113"/>
      <c r="F31" s="118" t="s">
        <v>2031</v>
      </c>
      <c r="G31" s="113" t="s">
        <v>1477</v>
      </c>
      <c r="H31" s="113" t="s">
        <v>77</v>
      </c>
      <c r="I31" s="113">
        <v>21</v>
      </c>
      <c r="J31" s="113" t="s">
        <v>77</v>
      </c>
      <c r="K31" s="113" t="s">
        <v>1804</v>
      </c>
      <c r="L31" s="115"/>
      <c r="M31" s="115"/>
      <c r="N31" s="115"/>
      <c r="O31" s="115"/>
      <c r="P31" s="115"/>
      <c r="Q31" s="115"/>
      <c r="R31" s="115"/>
      <c r="S31" s="113">
        <v>455</v>
      </c>
      <c r="T31" s="113">
        <v>65</v>
      </c>
      <c r="U31" s="113">
        <v>105</v>
      </c>
      <c r="V31" s="113">
        <v>60</v>
      </c>
      <c r="W31" s="113">
        <v>60</v>
      </c>
      <c r="X31" s="113">
        <v>70</v>
      </c>
      <c r="Y31" s="113">
        <v>95</v>
      </c>
      <c r="Z31" s="116">
        <v>13</v>
      </c>
      <c r="AA31" s="116">
        <v>6</v>
      </c>
      <c r="AB31" s="116">
        <v>10</v>
      </c>
      <c r="AC31" s="117">
        <f t="shared" si="0"/>
        <v>29</v>
      </c>
      <c r="AD31" s="113" t="s">
        <v>946</v>
      </c>
      <c r="AE31" s="113" t="s">
        <v>1066</v>
      </c>
      <c r="AF31" s="113" t="s">
        <v>946</v>
      </c>
      <c r="AG31" s="113"/>
      <c r="AH31" s="113" t="s">
        <v>946</v>
      </c>
      <c r="AI31" s="113" t="s">
        <v>1281</v>
      </c>
      <c r="AJ31" s="113" t="s">
        <v>1282</v>
      </c>
      <c r="AK31" s="113" t="s">
        <v>1150</v>
      </c>
      <c r="AL31" s="113" t="s">
        <v>1711</v>
      </c>
      <c r="AM31" s="113" t="s">
        <v>1280</v>
      </c>
      <c r="AN31" s="113" t="s">
        <v>1279</v>
      </c>
      <c r="AO31" s="113" t="s">
        <v>1280</v>
      </c>
      <c r="AP31" s="113" t="s">
        <v>1279</v>
      </c>
      <c r="BJ31"/>
    </row>
    <row r="32" spans="1:62" customFormat="1">
      <c r="A32" s="114">
        <v>224</v>
      </c>
      <c r="B32" s="114" t="s">
        <v>251</v>
      </c>
      <c r="C32" s="114" t="s">
        <v>1974</v>
      </c>
      <c r="D32" s="113" t="s">
        <v>25</v>
      </c>
      <c r="E32" s="113"/>
      <c r="F32" s="118" t="s">
        <v>2031</v>
      </c>
      <c r="G32" s="113" t="s">
        <v>1477</v>
      </c>
      <c r="H32" s="113" t="s">
        <v>250</v>
      </c>
      <c r="I32" s="113">
        <v>21</v>
      </c>
      <c r="J32" s="113" t="s">
        <v>250</v>
      </c>
      <c r="K32" s="113" t="s">
        <v>1804</v>
      </c>
      <c r="L32" s="115"/>
      <c r="M32" s="115"/>
      <c r="N32" s="115"/>
      <c r="O32" s="115"/>
      <c r="P32" s="115"/>
      <c r="Q32" s="115"/>
      <c r="R32" s="115"/>
      <c r="S32" s="113">
        <v>480</v>
      </c>
      <c r="T32" s="113">
        <v>75</v>
      </c>
      <c r="U32" s="113">
        <v>105</v>
      </c>
      <c r="V32" s="113">
        <v>75</v>
      </c>
      <c r="W32" s="113">
        <v>105</v>
      </c>
      <c r="X32" s="113">
        <v>75</v>
      </c>
      <c r="Y32" s="113">
        <v>45</v>
      </c>
      <c r="Z32" s="116">
        <v>15</v>
      </c>
      <c r="AA32" s="116">
        <v>10.5</v>
      </c>
      <c r="AB32" s="116">
        <v>5</v>
      </c>
      <c r="AC32" s="117">
        <f t="shared" si="0"/>
        <v>30.5</v>
      </c>
      <c r="AD32" s="113" t="s">
        <v>1538</v>
      </c>
      <c r="AE32" s="113"/>
      <c r="AF32" s="113"/>
      <c r="AG32" s="113"/>
      <c r="AH32" s="113"/>
      <c r="AI32" s="113"/>
      <c r="AJ32" s="113"/>
      <c r="AK32" s="113"/>
      <c r="AL32" s="113"/>
      <c r="AM32" s="118"/>
      <c r="AN32" s="113"/>
      <c r="AO32" s="113"/>
      <c r="AP32" s="113"/>
      <c r="AR32" s="5"/>
      <c r="AS32" s="5"/>
      <c r="AT32" s="5"/>
      <c r="AU32" s="5"/>
      <c r="AV32" s="5"/>
      <c r="AW32" s="5"/>
      <c r="AX32" s="5"/>
      <c r="AY32" s="5"/>
      <c r="AZ32" s="5"/>
      <c r="BA32" s="5"/>
      <c r="BB32" s="5"/>
      <c r="BC32" s="5"/>
      <c r="BD32" s="5"/>
      <c r="BE32" s="5"/>
      <c r="BF32" s="5"/>
      <c r="BG32" s="5"/>
      <c r="BH32" s="5"/>
      <c r="BI32" s="5"/>
    </row>
    <row r="33" spans="1:62" customFormat="1">
      <c r="A33" s="114">
        <v>160</v>
      </c>
      <c r="B33" s="114" t="s">
        <v>187</v>
      </c>
      <c r="C33" s="114" t="s">
        <v>1974</v>
      </c>
      <c r="D33" s="113" t="s">
        <v>25</v>
      </c>
      <c r="E33" s="113"/>
      <c r="F33" s="118" t="s">
        <v>2030</v>
      </c>
      <c r="G33" s="113" t="s">
        <v>1477</v>
      </c>
      <c r="H33" s="113" t="s">
        <v>185</v>
      </c>
      <c r="I33" s="113">
        <v>31</v>
      </c>
      <c r="J33" s="114" t="s">
        <v>186</v>
      </c>
      <c r="K33" s="113" t="s">
        <v>1804</v>
      </c>
      <c r="L33" s="115"/>
      <c r="M33" s="115"/>
      <c r="N33" s="115"/>
      <c r="O33" s="115"/>
      <c r="P33" s="115"/>
      <c r="Q33" s="115"/>
      <c r="R33" s="115"/>
      <c r="S33" s="113">
        <v>530</v>
      </c>
      <c r="T33" s="113">
        <v>85</v>
      </c>
      <c r="U33" s="113">
        <v>105</v>
      </c>
      <c r="V33" s="113">
        <v>100</v>
      </c>
      <c r="W33" s="113">
        <v>79</v>
      </c>
      <c r="X33" s="113">
        <v>83</v>
      </c>
      <c r="Y33" s="113">
        <v>78</v>
      </c>
      <c r="Z33" s="116">
        <v>18</v>
      </c>
      <c r="AA33" s="116">
        <v>8.5</v>
      </c>
      <c r="AB33" s="116">
        <v>8</v>
      </c>
      <c r="AC33" s="117">
        <f t="shared" si="0"/>
        <v>34.5</v>
      </c>
      <c r="AD33" s="113" t="s">
        <v>1537</v>
      </c>
      <c r="AE33" s="113"/>
      <c r="AF33" s="113"/>
      <c r="AG33" s="113"/>
      <c r="AH33" s="113"/>
      <c r="AI33" s="113"/>
      <c r="AJ33" s="113"/>
      <c r="AK33" s="113"/>
      <c r="AL33" s="113"/>
      <c r="AM33" s="118"/>
      <c r="AN33" s="113"/>
      <c r="AO33" s="113"/>
      <c r="AP33" s="113"/>
      <c r="AR33" s="5"/>
      <c r="AS33" s="5"/>
      <c r="AT33" s="5"/>
      <c r="AU33" s="5"/>
      <c r="AV33" s="5"/>
      <c r="AW33" s="5"/>
      <c r="AX33" s="5"/>
      <c r="AY33" s="5"/>
      <c r="AZ33" s="5"/>
      <c r="BA33" s="5"/>
      <c r="BB33" s="5"/>
      <c r="BC33" s="5"/>
      <c r="BD33" s="5"/>
      <c r="BE33" s="5"/>
      <c r="BF33" s="5"/>
      <c r="BG33" s="5"/>
      <c r="BH33" s="5"/>
      <c r="BI33" s="5"/>
    </row>
    <row r="34" spans="1:62" customFormat="1">
      <c r="A34" s="113">
        <v>107</v>
      </c>
      <c r="B34" s="113" t="s">
        <v>134</v>
      </c>
      <c r="C34" s="113" t="s">
        <v>1973</v>
      </c>
      <c r="D34" s="113" t="s">
        <v>78</v>
      </c>
      <c r="E34" s="113"/>
      <c r="F34" s="118" t="s">
        <v>2031</v>
      </c>
      <c r="G34" s="113" t="s">
        <v>1477</v>
      </c>
      <c r="H34" s="113" t="s">
        <v>263</v>
      </c>
      <c r="I34" s="113">
        <v>22</v>
      </c>
      <c r="J34" s="114" t="s">
        <v>263</v>
      </c>
      <c r="K34" s="113" t="s">
        <v>1804</v>
      </c>
      <c r="L34" s="115"/>
      <c r="M34" s="115"/>
      <c r="N34" s="115"/>
      <c r="O34" s="115"/>
      <c r="P34" s="115"/>
      <c r="Q34" s="115"/>
      <c r="R34" s="115" t="s">
        <v>2025</v>
      </c>
      <c r="S34" s="113">
        <v>455</v>
      </c>
      <c r="T34" s="113">
        <v>50</v>
      </c>
      <c r="U34" s="113">
        <v>105</v>
      </c>
      <c r="V34" s="113">
        <v>79</v>
      </c>
      <c r="W34" s="113">
        <v>35</v>
      </c>
      <c r="X34" s="113">
        <v>110</v>
      </c>
      <c r="Y34" s="113">
        <v>76</v>
      </c>
      <c r="Z34" s="116">
        <v>16</v>
      </c>
      <c r="AA34" s="116">
        <v>7</v>
      </c>
      <c r="AB34" s="116">
        <v>8</v>
      </c>
      <c r="AC34" s="117">
        <f t="shared" si="0"/>
        <v>31</v>
      </c>
      <c r="AD34" s="113" t="s">
        <v>1538</v>
      </c>
      <c r="AE34" s="113" t="s">
        <v>1178</v>
      </c>
      <c r="AF34" s="113" t="s">
        <v>943</v>
      </c>
      <c r="AG34" s="113"/>
      <c r="AH34" s="113" t="s">
        <v>943</v>
      </c>
      <c r="AI34" s="113" t="s">
        <v>1019</v>
      </c>
      <c r="AJ34" s="113" t="s">
        <v>1300</v>
      </c>
      <c r="AK34" s="113" t="s">
        <v>1292</v>
      </c>
      <c r="AL34" s="113" t="s">
        <v>1295</v>
      </c>
      <c r="AM34" s="113" t="s">
        <v>1280</v>
      </c>
      <c r="AN34" s="113" t="s">
        <v>1279</v>
      </c>
      <c r="AO34" s="113" t="s">
        <v>1280</v>
      </c>
      <c r="AP34" s="113" t="s">
        <v>1279</v>
      </c>
      <c r="AR34" s="5"/>
      <c r="AS34" s="5"/>
      <c r="AT34" s="5"/>
      <c r="AU34" s="5"/>
      <c r="AV34" s="5"/>
      <c r="AW34" s="5"/>
      <c r="AX34" s="5"/>
      <c r="AY34" s="5"/>
      <c r="AZ34" s="5"/>
      <c r="BA34" s="5"/>
      <c r="BB34" s="5"/>
      <c r="BC34" s="5"/>
      <c r="BD34" s="5"/>
      <c r="BE34" s="5"/>
      <c r="BF34" s="5"/>
      <c r="BG34" s="5"/>
      <c r="BH34" s="5"/>
      <c r="BI34" s="5"/>
    </row>
    <row r="35" spans="1:62" customFormat="1">
      <c r="A35" s="113">
        <v>34</v>
      </c>
      <c r="B35" s="113" t="s">
        <v>54</v>
      </c>
      <c r="C35" s="113" t="s">
        <v>1973</v>
      </c>
      <c r="D35" s="113" t="s">
        <v>15</v>
      </c>
      <c r="E35" s="113" t="s">
        <v>49</v>
      </c>
      <c r="F35" s="118" t="s">
        <v>2031</v>
      </c>
      <c r="G35" s="113" t="s">
        <v>1477</v>
      </c>
      <c r="H35" s="113" t="s">
        <v>769</v>
      </c>
      <c r="I35" s="113">
        <v>31</v>
      </c>
      <c r="J35" s="113" t="s">
        <v>53</v>
      </c>
      <c r="K35" s="113" t="s">
        <v>1804</v>
      </c>
      <c r="L35" s="115"/>
      <c r="M35" s="115"/>
      <c r="N35" s="115"/>
      <c r="O35" s="115"/>
      <c r="P35" s="115"/>
      <c r="Q35" s="115"/>
      <c r="R35" s="115"/>
      <c r="S35" s="113">
        <v>505</v>
      </c>
      <c r="T35" s="113">
        <v>81</v>
      </c>
      <c r="U35" s="113">
        <v>102</v>
      </c>
      <c r="V35" s="113">
        <v>77</v>
      </c>
      <c r="W35" s="113">
        <v>85</v>
      </c>
      <c r="X35" s="113">
        <v>75</v>
      </c>
      <c r="Y35" s="113">
        <v>85</v>
      </c>
      <c r="Z35" s="116">
        <v>16</v>
      </c>
      <c r="AA35" s="116">
        <v>7.5</v>
      </c>
      <c r="AB35" s="116">
        <v>9</v>
      </c>
      <c r="AC35" s="117">
        <f t="shared" si="0"/>
        <v>32.5</v>
      </c>
      <c r="AD35" s="113" t="s">
        <v>1538</v>
      </c>
      <c r="AE35" s="113" t="s">
        <v>1090</v>
      </c>
      <c r="AF35" s="113" t="s">
        <v>946</v>
      </c>
      <c r="AG35" s="113"/>
      <c r="AH35" s="113" t="s">
        <v>946</v>
      </c>
      <c r="AI35" s="113" t="s">
        <v>1235</v>
      </c>
      <c r="AJ35" s="113" t="s">
        <v>1011</v>
      </c>
      <c r="AK35" s="113" t="s">
        <v>1246</v>
      </c>
      <c r="AL35" s="113" t="s">
        <v>1233</v>
      </c>
      <c r="AM35" s="113" t="s">
        <v>1253</v>
      </c>
      <c r="AN35" s="113" t="s">
        <v>1254</v>
      </c>
      <c r="AO35" s="113" t="s">
        <v>1253</v>
      </c>
      <c r="AP35" s="113" t="s">
        <v>1254</v>
      </c>
      <c r="AR35" s="5"/>
      <c r="AS35" s="5"/>
      <c r="AT35" s="5"/>
      <c r="AU35" s="5"/>
      <c r="AV35" s="5"/>
      <c r="AW35" s="5"/>
      <c r="AX35" s="5"/>
      <c r="AY35" s="5"/>
      <c r="AZ35" s="5"/>
      <c r="BA35" s="5"/>
      <c r="BB35" s="5"/>
      <c r="BC35" s="5"/>
      <c r="BD35" s="5"/>
      <c r="BE35" s="5"/>
      <c r="BF35" s="5"/>
      <c r="BG35" s="5"/>
      <c r="BH35" s="5"/>
      <c r="BI35" s="5"/>
    </row>
    <row r="36" spans="1:62" customFormat="1">
      <c r="A36" s="114">
        <v>251</v>
      </c>
      <c r="B36" s="114" t="s">
        <v>278</v>
      </c>
      <c r="C36" s="114" t="s">
        <v>1974</v>
      </c>
      <c r="D36" s="113" t="s">
        <v>86</v>
      </c>
      <c r="E36" s="113" t="s">
        <v>14</v>
      </c>
      <c r="F36" s="118" t="s">
        <v>2031</v>
      </c>
      <c r="G36" s="113" t="s">
        <v>1477</v>
      </c>
      <c r="H36" s="113" t="s">
        <v>278</v>
      </c>
      <c r="I36" s="113">
        <v>11</v>
      </c>
      <c r="J36" s="113" t="s">
        <v>1109</v>
      </c>
      <c r="K36" s="113" t="s">
        <v>1804</v>
      </c>
      <c r="L36" s="115"/>
      <c r="M36" s="115"/>
      <c r="N36" s="115"/>
      <c r="O36" s="115"/>
      <c r="P36" s="115"/>
      <c r="Q36" s="115"/>
      <c r="R36" s="115"/>
      <c r="S36" s="113">
        <v>600</v>
      </c>
      <c r="T36" s="113">
        <v>100</v>
      </c>
      <c r="U36" s="113">
        <v>100</v>
      </c>
      <c r="V36" s="113">
        <v>100</v>
      </c>
      <c r="W36" s="113">
        <v>100</v>
      </c>
      <c r="X36" s="113">
        <v>100</v>
      </c>
      <c r="Y36" s="113">
        <v>100</v>
      </c>
      <c r="Z36" s="116">
        <v>20</v>
      </c>
      <c r="AA36" s="116">
        <v>9.5</v>
      </c>
      <c r="AB36" s="116">
        <v>10</v>
      </c>
      <c r="AC36" s="117">
        <f t="shared" si="0"/>
        <v>39.5</v>
      </c>
      <c r="AD36" s="113" t="s">
        <v>1479</v>
      </c>
      <c r="AE36" s="113"/>
      <c r="AF36" s="113"/>
      <c r="AG36" s="113"/>
      <c r="AH36" s="113"/>
      <c r="AI36" s="113"/>
      <c r="AJ36" s="113"/>
      <c r="AK36" s="113"/>
      <c r="AL36" s="113"/>
      <c r="AM36" s="118"/>
      <c r="AN36" s="113"/>
      <c r="AO36" s="113"/>
      <c r="AP36" s="113"/>
      <c r="AR36" s="5"/>
      <c r="AS36" s="5"/>
      <c r="AT36" s="5"/>
      <c r="AU36" s="5"/>
      <c r="AV36" s="5"/>
      <c r="AW36" s="5"/>
      <c r="AX36" s="5"/>
      <c r="AY36" s="5"/>
      <c r="AZ36" s="5"/>
      <c r="BA36" s="5"/>
      <c r="BB36" s="5"/>
      <c r="BC36" s="5"/>
      <c r="BD36" s="5"/>
      <c r="BE36" s="5"/>
      <c r="BF36" s="5"/>
      <c r="BG36" s="5"/>
      <c r="BH36" s="5"/>
      <c r="BI36" s="5"/>
    </row>
    <row r="37" spans="1:62" customFormat="1">
      <c r="A37" s="113">
        <v>67</v>
      </c>
      <c r="B37" s="113" t="s">
        <v>90</v>
      </c>
      <c r="C37" s="113" t="s">
        <v>1973</v>
      </c>
      <c r="D37" s="113" t="s">
        <v>78</v>
      </c>
      <c r="E37" s="113"/>
      <c r="F37" s="118" t="s">
        <v>2031</v>
      </c>
      <c r="G37" s="113" t="s">
        <v>1478</v>
      </c>
      <c r="H37" s="113" t="s">
        <v>89</v>
      </c>
      <c r="I37" s="113">
        <v>21</v>
      </c>
      <c r="J37" s="113" t="s">
        <v>89</v>
      </c>
      <c r="K37" s="114" t="s">
        <v>1964</v>
      </c>
      <c r="L37" s="115"/>
      <c r="M37" s="115"/>
      <c r="N37" s="115"/>
      <c r="O37" s="115"/>
      <c r="P37" s="115"/>
      <c r="Q37" s="115"/>
      <c r="R37" s="115"/>
      <c r="S37" s="113">
        <v>405</v>
      </c>
      <c r="T37" s="113">
        <v>80</v>
      </c>
      <c r="U37" s="113">
        <v>100</v>
      </c>
      <c r="V37" s="113">
        <v>70</v>
      </c>
      <c r="W37" s="113">
        <v>50</v>
      </c>
      <c r="X37" s="113">
        <v>60</v>
      </c>
      <c r="Y37" s="113">
        <v>45</v>
      </c>
      <c r="Z37" s="116">
        <v>14</v>
      </c>
      <c r="AA37" s="116">
        <v>6</v>
      </c>
      <c r="AB37" s="116">
        <v>5</v>
      </c>
      <c r="AC37" s="117">
        <f t="shared" si="0"/>
        <v>25</v>
      </c>
      <c r="AD37" s="113" t="s">
        <v>1545</v>
      </c>
      <c r="AE37" s="113" t="s">
        <v>1146</v>
      </c>
      <c r="AF37" s="113" t="s">
        <v>943</v>
      </c>
      <c r="AG37" s="113"/>
      <c r="AH37" s="113" t="s">
        <v>943</v>
      </c>
      <c r="AI37" s="113" t="s">
        <v>1245</v>
      </c>
      <c r="AJ37" s="113" t="s">
        <v>1282</v>
      </c>
      <c r="AK37" s="113" t="s">
        <v>1019</v>
      </c>
      <c r="AL37" s="113" t="s">
        <v>1664</v>
      </c>
      <c r="AM37" s="113" t="s">
        <v>1280</v>
      </c>
      <c r="AN37" s="113" t="s">
        <v>1279</v>
      </c>
      <c r="AO37" s="113" t="s">
        <v>1280</v>
      </c>
      <c r="AP37" s="113" t="s">
        <v>1279</v>
      </c>
      <c r="AR37" s="5"/>
      <c r="AS37" s="5"/>
      <c r="AT37" s="5"/>
      <c r="AU37" s="5"/>
      <c r="AV37" s="5"/>
      <c r="AW37" s="5"/>
      <c r="AX37" s="5"/>
      <c r="AY37" s="5"/>
      <c r="AZ37" s="5"/>
      <c r="BA37" s="5"/>
      <c r="BB37" s="5"/>
      <c r="BC37" s="5"/>
      <c r="BD37" s="5"/>
      <c r="BE37" s="5"/>
      <c r="BF37" s="5"/>
      <c r="BG37" s="5"/>
      <c r="BH37" s="5"/>
      <c r="BI37" s="5"/>
    </row>
    <row r="38" spans="1:62" customFormat="1">
      <c r="A38" s="113">
        <v>151</v>
      </c>
      <c r="B38" s="113" t="s">
        <v>179</v>
      </c>
      <c r="C38" s="113" t="s">
        <v>1973</v>
      </c>
      <c r="D38" s="113" t="s">
        <v>86</v>
      </c>
      <c r="E38" s="113"/>
      <c r="F38" s="118" t="s">
        <v>2032</v>
      </c>
      <c r="G38" s="113" t="s">
        <v>1477</v>
      </c>
      <c r="H38" s="113" t="s">
        <v>179</v>
      </c>
      <c r="I38" s="113">
        <v>11</v>
      </c>
      <c r="J38" s="113" t="s">
        <v>1109</v>
      </c>
      <c r="K38" s="113" t="s">
        <v>1804</v>
      </c>
      <c r="L38" s="115"/>
      <c r="M38" s="115"/>
      <c r="N38" s="115"/>
      <c r="O38" s="115"/>
      <c r="P38" s="115"/>
      <c r="Q38" s="115"/>
      <c r="R38" s="115"/>
      <c r="S38" s="113">
        <v>600</v>
      </c>
      <c r="T38" s="113">
        <v>100</v>
      </c>
      <c r="U38" s="113">
        <v>100</v>
      </c>
      <c r="V38" s="113">
        <v>100</v>
      </c>
      <c r="W38" s="113">
        <v>100</v>
      </c>
      <c r="X38" s="113">
        <v>100</v>
      </c>
      <c r="Y38" s="113">
        <v>100</v>
      </c>
      <c r="Z38" s="116">
        <v>20</v>
      </c>
      <c r="AA38" s="116">
        <v>9.5</v>
      </c>
      <c r="AB38" s="116">
        <v>10</v>
      </c>
      <c r="AC38" s="117">
        <f t="shared" si="0"/>
        <v>39.5</v>
      </c>
      <c r="AD38" s="113" t="s">
        <v>1479</v>
      </c>
      <c r="AE38" s="113" t="s">
        <v>1100</v>
      </c>
      <c r="AF38" s="113" t="s">
        <v>943</v>
      </c>
      <c r="AG38" s="113"/>
      <c r="AH38" s="113" t="s">
        <v>943</v>
      </c>
      <c r="AI38" s="113" t="s">
        <v>1083</v>
      </c>
      <c r="AJ38" s="113" t="s">
        <v>1798</v>
      </c>
      <c r="AK38" s="113" t="s">
        <v>1799</v>
      </c>
      <c r="AL38" s="113" t="s">
        <v>1102</v>
      </c>
      <c r="AM38" s="113" t="s">
        <v>1104</v>
      </c>
      <c r="AN38" s="113" t="s">
        <v>1103</v>
      </c>
      <c r="AO38" s="113" t="s">
        <v>1104</v>
      </c>
      <c r="AP38" s="113" t="s">
        <v>1103</v>
      </c>
      <c r="AR38" s="5"/>
      <c r="AS38" s="5"/>
      <c r="AT38" s="5"/>
      <c r="AU38" s="5"/>
      <c r="AV38" s="5"/>
      <c r="AW38" s="5"/>
      <c r="AX38" s="5"/>
      <c r="AY38" s="5"/>
      <c r="AZ38" s="5"/>
      <c r="BA38" s="5"/>
      <c r="BB38" s="5"/>
      <c r="BC38" s="5"/>
      <c r="BD38" s="5"/>
      <c r="BE38" s="5"/>
      <c r="BF38" s="5"/>
      <c r="BG38" s="5"/>
      <c r="BH38" s="5"/>
      <c r="BI38" s="5"/>
      <c r="BJ38" s="5"/>
    </row>
    <row r="39" spans="1:62" customFormat="1">
      <c r="A39" s="113">
        <v>146</v>
      </c>
      <c r="B39" s="113" t="s">
        <v>174</v>
      </c>
      <c r="C39" s="113" t="s">
        <v>1973</v>
      </c>
      <c r="D39" s="113" t="s">
        <v>19</v>
      </c>
      <c r="E39" s="113" t="s">
        <v>22</v>
      </c>
      <c r="F39" s="118" t="s">
        <v>2032</v>
      </c>
      <c r="G39" s="113" t="s">
        <v>1477</v>
      </c>
      <c r="H39" s="113" t="s">
        <v>174</v>
      </c>
      <c r="I39" s="113">
        <v>11</v>
      </c>
      <c r="J39" s="113" t="s">
        <v>1109</v>
      </c>
      <c r="K39" s="113" t="s">
        <v>1804</v>
      </c>
      <c r="L39" s="115"/>
      <c r="M39" s="115"/>
      <c r="N39" s="115"/>
      <c r="O39" s="115"/>
      <c r="P39" s="115"/>
      <c r="Q39" s="115"/>
      <c r="R39" s="115"/>
      <c r="S39" s="113">
        <v>580</v>
      </c>
      <c r="T39" s="113">
        <v>90</v>
      </c>
      <c r="U39" s="113">
        <v>100</v>
      </c>
      <c r="V39" s="113">
        <v>90</v>
      </c>
      <c r="W39" s="113">
        <v>125</v>
      </c>
      <c r="X39" s="113">
        <v>85</v>
      </c>
      <c r="Y39" s="113">
        <v>90</v>
      </c>
      <c r="Z39" s="116">
        <v>18</v>
      </c>
      <c r="AA39" s="116">
        <v>10.5</v>
      </c>
      <c r="AB39" s="116">
        <v>9</v>
      </c>
      <c r="AC39" s="117">
        <f t="shared" si="0"/>
        <v>37.5</v>
      </c>
      <c r="AD39" s="113" t="s">
        <v>1479</v>
      </c>
      <c r="AE39" s="113" t="s">
        <v>1098</v>
      </c>
      <c r="AF39" s="113" t="s">
        <v>943</v>
      </c>
      <c r="AG39" s="113"/>
      <c r="AH39" s="113" t="s">
        <v>943</v>
      </c>
      <c r="AI39" s="113" t="s">
        <v>1309</v>
      </c>
      <c r="AJ39" s="113" t="s">
        <v>1285</v>
      </c>
      <c r="AK39" s="113" t="s">
        <v>1795</v>
      </c>
      <c r="AL39" s="113" t="s">
        <v>1687</v>
      </c>
      <c r="AM39" s="113" t="s">
        <v>1032</v>
      </c>
      <c r="AN39" s="113" t="s">
        <v>1031</v>
      </c>
      <c r="AO39" s="113" t="s">
        <v>1032</v>
      </c>
      <c r="AP39" s="113" t="s">
        <v>1031</v>
      </c>
      <c r="AR39" s="5"/>
      <c r="AS39" s="5"/>
      <c r="AT39" s="5"/>
      <c r="AU39" s="5"/>
      <c r="AV39" s="5"/>
      <c r="AW39" s="5"/>
      <c r="AX39" s="5"/>
      <c r="AY39" s="5"/>
      <c r="AZ39" s="5"/>
      <c r="BA39" s="5"/>
      <c r="BB39" s="5"/>
      <c r="BC39" s="5"/>
      <c r="BD39" s="5"/>
      <c r="BE39" s="5"/>
      <c r="BF39" s="5"/>
      <c r="BG39" s="5"/>
      <c r="BH39" s="5"/>
      <c r="BI39" s="5"/>
      <c r="BJ39" s="5"/>
    </row>
    <row r="40" spans="1:62" customFormat="1">
      <c r="A40" s="113">
        <v>78</v>
      </c>
      <c r="B40" s="113" t="s">
        <v>102</v>
      </c>
      <c r="C40" s="113" t="s">
        <v>1973</v>
      </c>
      <c r="D40" s="113" t="s">
        <v>19</v>
      </c>
      <c r="E40" s="113"/>
      <c r="F40" s="118" t="s">
        <v>2031</v>
      </c>
      <c r="G40" s="113" t="s">
        <v>1477</v>
      </c>
      <c r="H40" s="113" t="s">
        <v>101</v>
      </c>
      <c r="I40" s="113">
        <v>21</v>
      </c>
      <c r="J40" s="113" t="s">
        <v>101</v>
      </c>
      <c r="K40" s="113" t="s">
        <v>1804</v>
      </c>
      <c r="L40" s="115"/>
      <c r="M40" s="115"/>
      <c r="N40" s="115"/>
      <c r="O40" s="115"/>
      <c r="P40" s="115"/>
      <c r="Q40" s="115"/>
      <c r="R40" s="115"/>
      <c r="S40" s="113">
        <v>500</v>
      </c>
      <c r="T40" s="113">
        <v>65</v>
      </c>
      <c r="U40" s="113">
        <v>100</v>
      </c>
      <c r="V40" s="113">
        <v>70</v>
      </c>
      <c r="W40" s="113">
        <v>80</v>
      </c>
      <c r="X40" s="113">
        <v>80</v>
      </c>
      <c r="Y40" s="113">
        <v>105</v>
      </c>
      <c r="Z40" s="116">
        <v>14</v>
      </c>
      <c r="AA40" s="116">
        <v>7.5</v>
      </c>
      <c r="AB40" s="116">
        <v>11</v>
      </c>
      <c r="AC40" s="117">
        <f t="shared" si="0"/>
        <v>32.5</v>
      </c>
      <c r="AD40" s="113" t="s">
        <v>1538</v>
      </c>
      <c r="AE40" s="113" t="s">
        <v>1157</v>
      </c>
      <c r="AF40" s="113" t="s">
        <v>943</v>
      </c>
      <c r="AG40" s="113"/>
      <c r="AH40" s="113" t="s">
        <v>943</v>
      </c>
      <c r="AI40" s="113" t="s">
        <v>1676</v>
      </c>
      <c r="AJ40" s="113" t="s">
        <v>1285</v>
      </c>
      <c r="AK40" s="113" t="s">
        <v>1124</v>
      </c>
      <c r="AL40" s="113" t="s">
        <v>1722</v>
      </c>
      <c r="AM40" s="113" t="s">
        <v>1030</v>
      </c>
      <c r="AN40" s="113" t="s">
        <v>1029</v>
      </c>
      <c r="AO40" s="113" t="s">
        <v>1030</v>
      </c>
      <c r="AP40" s="113" t="s">
        <v>1029</v>
      </c>
      <c r="AR40" s="5"/>
      <c r="AS40" s="5"/>
      <c r="AT40" s="5"/>
      <c r="AU40" s="5"/>
      <c r="AV40" s="5"/>
      <c r="AW40" s="5"/>
      <c r="AX40" s="5"/>
      <c r="AY40" s="5"/>
      <c r="AZ40" s="5"/>
      <c r="BA40" s="5"/>
      <c r="BB40" s="5"/>
      <c r="BC40" s="5"/>
      <c r="BD40" s="5"/>
      <c r="BE40" s="5"/>
      <c r="BF40" s="5"/>
      <c r="BG40" s="5"/>
      <c r="BH40" s="5"/>
      <c r="BI40" s="5"/>
    </row>
    <row r="41" spans="1:62" customFormat="1">
      <c r="A41" s="113">
        <v>28</v>
      </c>
      <c r="B41" s="113" t="s">
        <v>50</v>
      </c>
      <c r="C41" s="113" t="s">
        <v>1973</v>
      </c>
      <c r="D41" s="113" t="s">
        <v>49</v>
      </c>
      <c r="E41" s="113"/>
      <c r="F41" s="118" t="s">
        <v>2031</v>
      </c>
      <c r="G41" s="113" t="s">
        <v>1477</v>
      </c>
      <c r="H41" s="113" t="s">
        <v>48</v>
      </c>
      <c r="I41" s="113">
        <v>21</v>
      </c>
      <c r="J41" s="113" t="s">
        <v>48</v>
      </c>
      <c r="K41" s="113" t="s">
        <v>1804</v>
      </c>
      <c r="L41" s="115"/>
      <c r="M41" s="115"/>
      <c r="N41" s="115"/>
      <c r="O41" s="115"/>
      <c r="P41" s="115"/>
      <c r="Q41" s="115"/>
      <c r="R41" s="115"/>
      <c r="S41" s="113">
        <v>450</v>
      </c>
      <c r="T41" s="113">
        <v>75</v>
      </c>
      <c r="U41" s="113">
        <v>100</v>
      </c>
      <c r="V41" s="113">
        <v>110</v>
      </c>
      <c r="W41" s="113">
        <v>45</v>
      </c>
      <c r="X41" s="113">
        <v>55</v>
      </c>
      <c r="Y41" s="113">
        <v>65</v>
      </c>
      <c r="Z41" s="116">
        <v>16</v>
      </c>
      <c r="AA41" s="116">
        <v>7.5</v>
      </c>
      <c r="AB41" s="116">
        <v>7</v>
      </c>
      <c r="AC41" s="117">
        <f t="shared" si="0"/>
        <v>30.5</v>
      </c>
      <c r="AD41" s="113" t="s">
        <v>1538</v>
      </c>
      <c r="AE41" s="113" t="s">
        <v>1182</v>
      </c>
      <c r="AF41" s="113" t="s">
        <v>943</v>
      </c>
      <c r="AG41" s="113"/>
      <c r="AH41" s="113" t="s">
        <v>943</v>
      </c>
      <c r="AI41" s="113" t="s">
        <v>1637</v>
      </c>
      <c r="AJ41" s="113" t="s">
        <v>1235</v>
      </c>
      <c r="AK41" s="113" t="s">
        <v>1037</v>
      </c>
      <c r="AL41" s="113" t="s">
        <v>1281</v>
      </c>
      <c r="AM41" s="113" t="s">
        <v>1237</v>
      </c>
      <c r="AN41" s="113" t="s">
        <v>1236</v>
      </c>
      <c r="AO41" s="113" t="s">
        <v>1237</v>
      </c>
      <c r="AP41" s="113" t="s">
        <v>1236</v>
      </c>
      <c r="AR41" s="5"/>
      <c r="AS41" s="5"/>
      <c r="AT41" s="5"/>
      <c r="AU41" s="5"/>
      <c r="AV41" s="5"/>
      <c r="AW41" s="5"/>
      <c r="AX41" s="5"/>
      <c r="AY41" s="5"/>
      <c r="AZ41" s="5"/>
      <c r="BA41" s="5"/>
      <c r="BB41" s="5"/>
      <c r="BC41" s="5"/>
      <c r="BD41" s="5"/>
      <c r="BE41" s="5"/>
      <c r="BF41" s="5"/>
      <c r="BG41" s="5"/>
      <c r="BH41" s="5"/>
      <c r="BI41" s="5"/>
    </row>
    <row r="42" spans="1:62" customFormat="1">
      <c r="A42" s="114">
        <v>185</v>
      </c>
      <c r="B42" s="114" t="s">
        <v>212</v>
      </c>
      <c r="C42" s="114" t="s">
        <v>1974</v>
      </c>
      <c r="D42" s="113" t="s">
        <v>98</v>
      </c>
      <c r="E42" s="113"/>
      <c r="F42" s="118" t="s">
        <v>2031</v>
      </c>
      <c r="G42" s="113" t="s">
        <v>1477</v>
      </c>
      <c r="H42" s="113" t="s">
        <v>212</v>
      </c>
      <c r="I42" s="113">
        <v>11</v>
      </c>
      <c r="J42" s="113" t="s">
        <v>1109</v>
      </c>
      <c r="K42" s="113" t="s">
        <v>1804</v>
      </c>
      <c r="L42" s="115"/>
      <c r="M42" s="115"/>
      <c r="N42" s="115"/>
      <c r="O42" s="115"/>
      <c r="P42" s="115"/>
      <c r="Q42" s="115"/>
      <c r="R42" s="115"/>
      <c r="S42" s="113">
        <v>410</v>
      </c>
      <c r="T42" s="113">
        <v>70</v>
      </c>
      <c r="U42" s="113">
        <v>100</v>
      </c>
      <c r="V42" s="113">
        <v>115</v>
      </c>
      <c r="W42" s="113">
        <v>30</v>
      </c>
      <c r="X42" s="113">
        <v>65</v>
      </c>
      <c r="Y42" s="113">
        <v>30</v>
      </c>
      <c r="Z42" s="116">
        <v>17</v>
      </c>
      <c r="AA42" s="116">
        <v>7</v>
      </c>
      <c r="AB42" s="116">
        <v>3</v>
      </c>
      <c r="AC42" s="117">
        <f t="shared" si="0"/>
        <v>27</v>
      </c>
      <c r="AD42" s="113" t="s">
        <v>946</v>
      </c>
      <c r="AE42" s="113"/>
      <c r="AF42" s="113"/>
      <c r="AG42" s="113"/>
      <c r="AH42" s="113"/>
      <c r="AI42" s="113"/>
      <c r="AJ42" s="113"/>
      <c r="AK42" s="113"/>
      <c r="AL42" s="113"/>
      <c r="AM42" s="118"/>
      <c r="AN42" s="113"/>
      <c r="AO42" s="113"/>
      <c r="AP42" s="113"/>
      <c r="AR42" s="5"/>
      <c r="AS42" s="5"/>
      <c r="AT42" s="5"/>
      <c r="AU42" s="5"/>
      <c r="AV42" s="5"/>
      <c r="AW42" s="5"/>
      <c r="AX42" s="5"/>
      <c r="AY42" s="5"/>
      <c r="AZ42" s="5"/>
      <c r="BA42" s="5"/>
      <c r="BB42" s="5"/>
      <c r="BC42" s="5"/>
      <c r="BD42" s="5"/>
      <c r="BE42" s="5"/>
      <c r="BF42" s="5"/>
      <c r="BG42" s="5"/>
      <c r="BH42" s="5"/>
      <c r="BI42" s="5"/>
    </row>
    <row r="43" spans="1:62" customFormat="1">
      <c r="A43" s="114">
        <v>221</v>
      </c>
      <c r="B43" s="114" t="s">
        <v>248</v>
      </c>
      <c r="C43" s="114" t="s">
        <v>1974</v>
      </c>
      <c r="D43" s="113" t="s">
        <v>113</v>
      </c>
      <c r="E43" s="113" t="s">
        <v>49</v>
      </c>
      <c r="F43" s="118" t="s">
        <v>2031</v>
      </c>
      <c r="G43" s="113" t="s">
        <v>1477</v>
      </c>
      <c r="H43" s="113" t="s">
        <v>247</v>
      </c>
      <c r="I43" s="113">
        <v>21</v>
      </c>
      <c r="J43" s="113" t="s">
        <v>247</v>
      </c>
      <c r="K43" s="113" t="s">
        <v>1804</v>
      </c>
      <c r="L43" s="115"/>
      <c r="M43" s="115"/>
      <c r="N43" s="115"/>
      <c r="O43" s="115"/>
      <c r="P43" s="115"/>
      <c r="Q43" s="115"/>
      <c r="R43" s="115"/>
      <c r="S43" s="113">
        <v>450</v>
      </c>
      <c r="T43" s="113">
        <v>100</v>
      </c>
      <c r="U43" s="113">
        <v>100</v>
      </c>
      <c r="V43" s="113">
        <v>80</v>
      </c>
      <c r="W43" s="113">
        <v>60</v>
      </c>
      <c r="X43" s="113">
        <v>60</v>
      </c>
      <c r="Y43" s="113">
        <v>50</v>
      </c>
      <c r="Z43" s="116">
        <v>16</v>
      </c>
      <c r="AA43" s="116">
        <v>7.5</v>
      </c>
      <c r="AB43" s="116">
        <v>5</v>
      </c>
      <c r="AC43" s="117">
        <f t="shared" si="0"/>
        <v>28.5</v>
      </c>
      <c r="AD43" s="113" t="s">
        <v>946</v>
      </c>
      <c r="AE43" s="113"/>
      <c r="AF43" s="113"/>
      <c r="AG43" s="113"/>
      <c r="AH43" s="113"/>
      <c r="AI43" s="113"/>
      <c r="AJ43" s="113"/>
      <c r="AK43" s="113"/>
      <c r="AL43" s="113"/>
      <c r="AM43" s="118"/>
      <c r="AN43" s="113"/>
      <c r="AO43" s="113"/>
      <c r="AP43" s="113"/>
      <c r="AR43" s="5"/>
      <c r="AS43" s="5"/>
      <c r="AT43" s="5"/>
      <c r="AU43" s="5"/>
      <c r="AV43" s="5"/>
      <c r="AW43" s="5"/>
      <c r="AX43" s="5"/>
      <c r="AY43" s="5"/>
      <c r="AZ43" s="5"/>
      <c r="BA43" s="5"/>
      <c r="BB43" s="5"/>
      <c r="BC43" s="5"/>
      <c r="BD43" s="5"/>
      <c r="BE43" s="5"/>
      <c r="BF43" s="5"/>
      <c r="BG43" s="5"/>
      <c r="BH43" s="5"/>
      <c r="BI43" s="5"/>
    </row>
    <row r="44" spans="1:62" customFormat="1">
      <c r="A44" s="113">
        <v>128</v>
      </c>
      <c r="B44" s="113" t="s">
        <v>155</v>
      </c>
      <c r="C44" s="113" t="s">
        <v>1973</v>
      </c>
      <c r="D44" s="113" t="s">
        <v>36</v>
      </c>
      <c r="E44" s="113"/>
      <c r="F44" s="118" t="s">
        <v>2031</v>
      </c>
      <c r="G44" s="113" t="s">
        <v>1477</v>
      </c>
      <c r="H44" s="113" t="s">
        <v>155</v>
      </c>
      <c r="I44" s="113">
        <v>11</v>
      </c>
      <c r="J44" s="113" t="s">
        <v>1109</v>
      </c>
      <c r="K44" s="113" t="s">
        <v>1804</v>
      </c>
      <c r="L44" s="115"/>
      <c r="M44" s="115"/>
      <c r="N44" s="115"/>
      <c r="O44" s="115"/>
      <c r="P44" s="115"/>
      <c r="Q44" s="115"/>
      <c r="R44" s="115"/>
      <c r="S44" s="113">
        <v>490</v>
      </c>
      <c r="T44" s="113">
        <v>75</v>
      </c>
      <c r="U44" s="113">
        <v>100</v>
      </c>
      <c r="V44" s="113">
        <v>95</v>
      </c>
      <c r="W44" s="113">
        <v>40</v>
      </c>
      <c r="X44" s="113">
        <v>70</v>
      </c>
      <c r="Y44" s="113">
        <v>110</v>
      </c>
      <c r="Z44" s="116">
        <v>16</v>
      </c>
      <c r="AA44" s="116">
        <v>6</v>
      </c>
      <c r="AB44" s="116">
        <v>11</v>
      </c>
      <c r="AC44" s="117">
        <f t="shared" si="0"/>
        <v>33</v>
      </c>
      <c r="AD44" s="113" t="s">
        <v>1538</v>
      </c>
      <c r="AE44" s="113" t="s">
        <v>1212</v>
      </c>
      <c r="AF44" s="113" t="s">
        <v>946</v>
      </c>
      <c r="AG44" s="113"/>
      <c r="AH44" s="113" t="s">
        <v>946</v>
      </c>
      <c r="AI44" s="113" t="s">
        <v>1331</v>
      </c>
      <c r="AJ44" s="113" t="s">
        <v>1020</v>
      </c>
      <c r="AK44" s="113" t="s">
        <v>1277</v>
      </c>
      <c r="AL44" s="113" t="s">
        <v>1285</v>
      </c>
      <c r="AM44" s="113" t="s">
        <v>1055</v>
      </c>
      <c r="AN44" s="113" t="s">
        <v>1054</v>
      </c>
      <c r="AO44" s="113" t="s">
        <v>1055</v>
      </c>
      <c r="AP44" s="113" t="s">
        <v>1054</v>
      </c>
      <c r="AQ44" s="5"/>
      <c r="AR44" s="5"/>
      <c r="AS44" s="5"/>
      <c r="AT44" s="5"/>
      <c r="AU44" s="5"/>
      <c r="AV44" s="5"/>
      <c r="AW44" s="5"/>
      <c r="AX44" s="5"/>
      <c r="AY44" s="5"/>
      <c r="AZ44" s="5"/>
      <c r="BA44" s="5"/>
      <c r="BB44" s="5"/>
      <c r="BC44" s="5"/>
      <c r="BD44" s="5"/>
      <c r="BE44" s="5"/>
      <c r="BF44" s="5"/>
      <c r="BG44" s="5"/>
      <c r="BH44" s="5"/>
      <c r="BI44" s="5"/>
    </row>
    <row r="45" spans="1:62" customFormat="1">
      <c r="A45" s="113">
        <v>103</v>
      </c>
      <c r="B45" s="113" t="s">
        <v>130</v>
      </c>
      <c r="C45" s="113" t="s">
        <v>1973</v>
      </c>
      <c r="D45" s="113" t="s">
        <v>14</v>
      </c>
      <c r="E45" s="113" t="s">
        <v>86</v>
      </c>
      <c r="F45" s="118" t="s">
        <v>2031</v>
      </c>
      <c r="G45" s="113" t="s">
        <v>1477</v>
      </c>
      <c r="H45" s="113" t="s">
        <v>129</v>
      </c>
      <c r="I45" s="113">
        <v>21</v>
      </c>
      <c r="J45" s="113" t="s">
        <v>129</v>
      </c>
      <c r="K45" s="113" t="s">
        <v>1804</v>
      </c>
      <c r="L45" s="115"/>
      <c r="M45" s="115"/>
      <c r="N45" s="115"/>
      <c r="O45" s="115"/>
      <c r="P45" s="115"/>
      <c r="Q45" s="115"/>
      <c r="R45" s="115"/>
      <c r="S45" s="113">
        <v>520</v>
      </c>
      <c r="T45" s="113">
        <v>95</v>
      </c>
      <c r="U45" s="113">
        <v>95</v>
      </c>
      <c r="V45" s="113">
        <v>85</v>
      </c>
      <c r="W45" s="113">
        <v>125</v>
      </c>
      <c r="X45" s="113">
        <v>65</v>
      </c>
      <c r="Y45" s="113">
        <v>55</v>
      </c>
      <c r="Z45" s="116">
        <v>16</v>
      </c>
      <c r="AA45" s="116">
        <v>7.5</v>
      </c>
      <c r="AB45" s="116">
        <v>6</v>
      </c>
      <c r="AC45" s="117">
        <f t="shared" si="0"/>
        <v>29.5</v>
      </c>
      <c r="AD45" s="113" t="s">
        <v>1538</v>
      </c>
      <c r="AE45" s="113" t="s">
        <v>1214</v>
      </c>
      <c r="AF45" s="113" t="s">
        <v>946</v>
      </c>
      <c r="AG45" s="113" t="s">
        <v>1591</v>
      </c>
      <c r="AH45" s="113" t="s">
        <v>946</v>
      </c>
      <c r="AI45" s="113" t="s">
        <v>1588</v>
      </c>
      <c r="AJ45" s="113" t="s">
        <v>1083</v>
      </c>
      <c r="AK45" s="113" t="s">
        <v>1008</v>
      </c>
      <c r="AL45" s="113" t="s">
        <v>1589</v>
      </c>
      <c r="AM45" s="113" t="s">
        <v>1372</v>
      </c>
      <c r="AN45" s="113" t="s">
        <v>1373</v>
      </c>
      <c r="AO45" s="113" t="s">
        <v>1372</v>
      </c>
      <c r="AP45" s="113" t="s">
        <v>1373</v>
      </c>
      <c r="AR45" s="5"/>
      <c r="AS45" s="5"/>
      <c r="AT45" s="5"/>
      <c r="AU45" s="5"/>
      <c r="AV45" s="5"/>
      <c r="AW45" s="5"/>
      <c r="AX45" s="5"/>
      <c r="AY45" s="5"/>
      <c r="AZ45" s="5"/>
      <c r="BA45" s="5"/>
      <c r="BB45" s="5"/>
      <c r="BC45" s="5"/>
      <c r="BD45" s="5"/>
      <c r="BE45" s="5"/>
      <c r="BF45" s="5"/>
      <c r="BG45" s="5"/>
      <c r="BH45" s="5"/>
      <c r="BI45" s="5"/>
    </row>
    <row r="46" spans="1:62" customFormat="1">
      <c r="A46" s="113">
        <v>75</v>
      </c>
      <c r="B46" s="113" t="s">
        <v>99</v>
      </c>
      <c r="C46" s="113" t="s">
        <v>1973</v>
      </c>
      <c r="D46" s="113" t="s">
        <v>98</v>
      </c>
      <c r="E46" s="113" t="s">
        <v>49</v>
      </c>
      <c r="F46" s="118" t="s">
        <v>2031</v>
      </c>
      <c r="G46" s="113" t="s">
        <v>1478</v>
      </c>
      <c r="H46" s="113" t="s">
        <v>97</v>
      </c>
      <c r="I46" s="113">
        <v>21</v>
      </c>
      <c r="J46" s="113" t="s">
        <v>97</v>
      </c>
      <c r="K46" s="114" t="s">
        <v>1964</v>
      </c>
      <c r="L46" s="115"/>
      <c r="M46" s="115"/>
      <c r="N46" s="115"/>
      <c r="O46" s="115"/>
      <c r="P46" s="115"/>
      <c r="Q46" s="115"/>
      <c r="R46" s="115"/>
      <c r="S46" s="113">
        <v>390</v>
      </c>
      <c r="T46" s="113">
        <v>55</v>
      </c>
      <c r="U46" s="113">
        <v>95</v>
      </c>
      <c r="V46" s="113">
        <v>115</v>
      </c>
      <c r="W46" s="113">
        <v>45</v>
      </c>
      <c r="X46" s="113">
        <v>45</v>
      </c>
      <c r="Y46" s="113">
        <v>35</v>
      </c>
      <c r="Z46" s="116">
        <v>14</v>
      </c>
      <c r="AA46" s="116">
        <v>4</v>
      </c>
      <c r="AB46" s="116">
        <v>4</v>
      </c>
      <c r="AC46" s="117">
        <f t="shared" si="0"/>
        <v>22</v>
      </c>
      <c r="AD46" s="113" t="s">
        <v>1545</v>
      </c>
      <c r="AE46" s="113" t="s">
        <v>1152</v>
      </c>
      <c r="AF46" s="113" t="s">
        <v>943</v>
      </c>
      <c r="AG46" s="113" t="s">
        <v>950</v>
      </c>
      <c r="AH46" s="113" t="s">
        <v>943</v>
      </c>
      <c r="AI46" s="113" t="s">
        <v>1307</v>
      </c>
      <c r="AJ46" s="113" t="s">
        <v>1304</v>
      </c>
      <c r="AK46" s="113" t="s">
        <v>1721</v>
      </c>
      <c r="AL46" s="113" t="s">
        <v>1716</v>
      </c>
      <c r="AM46" s="113" t="s">
        <v>1306</v>
      </c>
      <c r="AN46" s="113" t="s">
        <v>1305</v>
      </c>
      <c r="AO46" s="113" t="s">
        <v>1306</v>
      </c>
      <c r="AP46" s="113" t="s">
        <v>1305</v>
      </c>
      <c r="AR46" s="5"/>
      <c r="AS46" s="5"/>
      <c r="AT46" s="5"/>
      <c r="AU46" s="5"/>
      <c r="AV46" s="5"/>
      <c r="AW46" s="5"/>
      <c r="AX46" s="5"/>
      <c r="AY46" s="5"/>
      <c r="AZ46" s="5"/>
      <c r="BA46" s="5"/>
      <c r="BB46" s="5"/>
      <c r="BC46" s="5"/>
      <c r="BD46" s="5"/>
      <c r="BE46" s="5"/>
      <c r="BF46" s="5"/>
      <c r="BG46" s="5"/>
      <c r="BH46" s="5"/>
      <c r="BI46" s="5"/>
    </row>
    <row r="47" spans="1:62" customFormat="1">
      <c r="A47" s="114">
        <v>230</v>
      </c>
      <c r="B47" s="114" t="s">
        <v>257</v>
      </c>
      <c r="C47" s="114" t="s">
        <v>1974</v>
      </c>
      <c r="D47" s="113" t="s">
        <v>25</v>
      </c>
      <c r="E47" s="113" t="s">
        <v>23</v>
      </c>
      <c r="F47" s="118" t="s">
        <v>2031</v>
      </c>
      <c r="G47" s="113" t="s">
        <v>1477</v>
      </c>
      <c r="H47" s="113" t="s">
        <v>143</v>
      </c>
      <c r="I47" s="113">
        <v>31</v>
      </c>
      <c r="J47" s="113" t="s">
        <v>144</v>
      </c>
      <c r="K47" s="113" t="s">
        <v>1804</v>
      </c>
      <c r="L47" s="115"/>
      <c r="M47" s="115"/>
      <c r="N47" s="115" t="s">
        <v>1998</v>
      </c>
      <c r="O47" s="115"/>
      <c r="P47" s="115"/>
      <c r="Q47" s="115"/>
      <c r="R47" s="115"/>
      <c r="S47" s="113">
        <v>540</v>
      </c>
      <c r="T47" s="113">
        <v>75</v>
      </c>
      <c r="U47" s="113">
        <v>95</v>
      </c>
      <c r="V47" s="113">
        <v>95</v>
      </c>
      <c r="W47" s="113">
        <v>95</v>
      </c>
      <c r="X47" s="113">
        <v>95</v>
      </c>
      <c r="Y47" s="113">
        <v>85</v>
      </c>
      <c r="Z47" s="116">
        <v>18</v>
      </c>
      <c r="AA47" s="116">
        <v>9.5</v>
      </c>
      <c r="AB47" s="116">
        <v>9</v>
      </c>
      <c r="AC47" s="117">
        <f t="shared" si="0"/>
        <v>36.5</v>
      </c>
      <c r="AD47" s="113" t="s">
        <v>1537</v>
      </c>
      <c r="AE47" s="113"/>
      <c r="AF47" s="113"/>
      <c r="AG47" s="113"/>
      <c r="AH47" s="113"/>
      <c r="AI47" s="113"/>
      <c r="AJ47" s="113"/>
      <c r="AK47" s="113"/>
      <c r="AL47" s="113"/>
      <c r="AM47" s="118"/>
      <c r="AN47" s="113"/>
      <c r="AO47" s="113"/>
      <c r="AP47" s="113"/>
      <c r="AR47" s="5"/>
      <c r="AS47" s="5"/>
      <c r="AT47" s="5"/>
      <c r="AU47" s="5"/>
      <c r="AV47" s="5"/>
      <c r="AW47" s="5"/>
      <c r="AX47" s="5"/>
      <c r="AY47" s="5"/>
      <c r="AZ47" s="5"/>
      <c r="BA47" s="5"/>
      <c r="BB47" s="5"/>
      <c r="BC47" s="5"/>
      <c r="BD47" s="5"/>
      <c r="BE47" s="5"/>
      <c r="BF47" s="5"/>
      <c r="BG47" s="5"/>
      <c r="BH47" s="5"/>
      <c r="BI47" s="5"/>
    </row>
    <row r="48" spans="1:62" customFormat="1">
      <c r="A48" s="113">
        <v>115</v>
      </c>
      <c r="B48" s="113" t="s">
        <v>142</v>
      </c>
      <c r="C48" s="113" t="s">
        <v>1973</v>
      </c>
      <c r="D48" s="113" t="s">
        <v>36</v>
      </c>
      <c r="E48" s="113"/>
      <c r="F48" s="118" t="s">
        <v>2031</v>
      </c>
      <c r="G48" s="113" t="s">
        <v>1477</v>
      </c>
      <c r="H48" s="113" t="s">
        <v>142</v>
      </c>
      <c r="I48" s="113">
        <v>11</v>
      </c>
      <c r="J48" s="113" t="s">
        <v>1109</v>
      </c>
      <c r="K48" s="113" t="s">
        <v>1804</v>
      </c>
      <c r="L48" s="115"/>
      <c r="M48" s="115"/>
      <c r="N48" s="115"/>
      <c r="O48" s="115"/>
      <c r="P48" s="115"/>
      <c r="Q48" s="115"/>
      <c r="R48" s="115"/>
      <c r="S48" s="113">
        <v>490</v>
      </c>
      <c r="T48" s="113">
        <v>105</v>
      </c>
      <c r="U48" s="113">
        <v>95</v>
      </c>
      <c r="V48" s="113">
        <v>80</v>
      </c>
      <c r="W48" s="113">
        <v>40</v>
      </c>
      <c r="X48" s="113">
        <v>80</v>
      </c>
      <c r="Y48" s="113">
        <v>90</v>
      </c>
      <c r="Z48" s="116">
        <v>18</v>
      </c>
      <c r="AA48" s="116">
        <v>10.5</v>
      </c>
      <c r="AB48" s="116">
        <v>9</v>
      </c>
      <c r="AC48" s="117">
        <f t="shared" si="0"/>
        <v>37.5</v>
      </c>
      <c r="AD48" s="113" t="s">
        <v>1479</v>
      </c>
      <c r="AE48" s="113" t="s">
        <v>1164</v>
      </c>
      <c r="AF48" s="113" t="s">
        <v>943</v>
      </c>
      <c r="AG48" s="113"/>
      <c r="AH48" s="113" t="s">
        <v>943</v>
      </c>
      <c r="AI48" s="113" t="s">
        <v>1348</v>
      </c>
      <c r="AJ48" s="113" t="s">
        <v>1330</v>
      </c>
      <c r="AK48" s="113" t="s">
        <v>1679</v>
      </c>
      <c r="AL48" s="113" t="s">
        <v>1682</v>
      </c>
      <c r="AM48" s="113" t="s">
        <v>1055</v>
      </c>
      <c r="AN48" s="113" t="s">
        <v>1054</v>
      </c>
      <c r="AO48" s="113" t="s">
        <v>1055</v>
      </c>
      <c r="AP48" s="113" t="s">
        <v>1054</v>
      </c>
      <c r="AR48" s="5"/>
      <c r="AS48" s="5"/>
      <c r="AT48" s="5"/>
      <c r="AU48" s="5"/>
      <c r="AV48" s="5"/>
      <c r="AW48" s="5"/>
      <c r="AX48" s="5"/>
      <c r="AY48" s="5"/>
      <c r="AZ48" s="5"/>
      <c r="BA48" s="5"/>
      <c r="BB48" s="5"/>
      <c r="BC48" s="5"/>
      <c r="BD48" s="5"/>
      <c r="BE48" s="5"/>
      <c r="BF48" s="5"/>
      <c r="BG48" s="5"/>
      <c r="BH48" s="5"/>
      <c r="BI48" s="5"/>
    </row>
    <row r="49" spans="1:62" customFormat="1">
      <c r="A49" s="113">
        <v>126</v>
      </c>
      <c r="B49" s="113" t="s">
        <v>153</v>
      </c>
      <c r="C49" s="113" t="s">
        <v>1973</v>
      </c>
      <c r="D49" s="113" t="s">
        <v>19</v>
      </c>
      <c r="E49" s="113"/>
      <c r="F49" s="118" t="s">
        <v>2031</v>
      </c>
      <c r="G49" s="113" t="s">
        <v>1477</v>
      </c>
      <c r="H49" s="113" t="s">
        <v>267</v>
      </c>
      <c r="I49" s="113">
        <v>21</v>
      </c>
      <c r="J49" s="113" t="s">
        <v>267</v>
      </c>
      <c r="K49" s="113" t="s">
        <v>1804</v>
      </c>
      <c r="L49" s="115"/>
      <c r="M49" s="115"/>
      <c r="N49" s="115"/>
      <c r="O49" s="115"/>
      <c r="P49" s="115"/>
      <c r="Q49" s="115"/>
      <c r="R49" s="115"/>
      <c r="S49" s="113">
        <v>495</v>
      </c>
      <c r="T49" s="113">
        <v>65</v>
      </c>
      <c r="U49" s="113">
        <v>95</v>
      </c>
      <c r="V49" s="113">
        <v>57</v>
      </c>
      <c r="W49" s="113">
        <v>100</v>
      </c>
      <c r="X49" s="113">
        <v>85</v>
      </c>
      <c r="Y49" s="113">
        <v>93</v>
      </c>
      <c r="Z49" s="116">
        <v>14</v>
      </c>
      <c r="AA49" s="116">
        <v>8.5</v>
      </c>
      <c r="AB49" s="116">
        <v>9</v>
      </c>
      <c r="AC49" s="117">
        <f t="shared" si="0"/>
        <v>31.5</v>
      </c>
      <c r="AD49" s="113" t="s">
        <v>1538</v>
      </c>
      <c r="AE49" s="113" t="s">
        <v>990</v>
      </c>
      <c r="AF49" s="113" t="s">
        <v>946</v>
      </c>
      <c r="AG49" s="113"/>
      <c r="AH49" s="113" t="s">
        <v>946</v>
      </c>
      <c r="AI49" s="113" t="s">
        <v>1293</v>
      </c>
      <c r="AJ49" s="113" t="s">
        <v>1011</v>
      </c>
      <c r="AK49" s="113" t="s">
        <v>1010</v>
      </c>
      <c r="AL49" s="113" t="s">
        <v>1667</v>
      </c>
      <c r="AM49" s="113" t="s">
        <v>1030</v>
      </c>
      <c r="AN49" s="113" t="s">
        <v>1029</v>
      </c>
      <c r="AO49" s="113" t="s">
        <v>1030</v>
      </c>
      <c r="AP49" s="113" t="s">
        <v>1029</v>
      </c>
      <c r="AR49" s="5"/>
      <c r="AS49" s="5"/>
      <c r="AT49" s="5"/>
      <c r="AU49" s="5"/>
      <c r="AV49" s="5"/>
      <c r="AW49" s="5"/>
      <c r="AX49" s="5"/>
      <c r="AY49" s="5"/>
      <c r="AZ49" s="5"/>
      <c r="BA49" s="5"/>
      <c r="BB49" s="5"/>
      <c r="BC49" s="5"/>
      <c r="BD49" s="5"/>
      <c r="BE49" s="5"/>
      <c r="BF49" s="5"/>
      <c r="BG49" s="5"/>
      <c r="BH49" s="5"/>
      <c r="BI49" s="5"/>
    </row>
    <row r="50" spans="1:62" customFormat="1">
      <c r="A50" s="113">
        <v>47</v>
      </c>
      <c r="B50" s="113" t="s">
        <v>68</v>
      </c>
      <c r="C50" s="113" t="s">
        <v>1973</v>
      </c>
      <c r="D50" s="113" t="s">
        <v>29</v>
      </c>
      <c r="E50" s="113" t="s">
        <v>14</v>
      </c>
      <c r="F50" s="118" t="s">
        <v>2031</v>
      </c>
      <c r="G50" s="113" t="s">
        <v>1477</v>
      </c>
      <c r="H50" s="113" t="s">
        <v>67</v>
      </c>
      <c r="I50" s="113">
        <v>21</v>
      </c>
      <c r="J50" s="113" t="s">
        <v>67</v>
      </c>
      <c r="K50" s="113" t="s">
        <v>1804</v>
      </c>
      <c r="L50" s="115"/>
      <c r="M50" s="115"/>
      <c r="N50" s="115"/>
      <c r="O50" s="115"/>
      <c r="P50" s="115"/>
      <c r="Q50" s="115"/>
      <c r="R50" s="115"/>
      <c r="S50" s="113">
        <v>405</v>
      </c>
      <c r="T50" s="113">
        <v>60</v>
      </c>
      <c r="U50" s="113">
        <v>95</v>
      </c>
      <c r="V50" s="113">
        <v>80</v>
      </c>
      <c r="W50" s="113">
        <v>60</v>
      </c>
      <c r="X50" s="113">
        <v>80</v>
      </c>
      <c r="Y50" s="113">
        <v>30</v>
      </c>
      <c r="Z50" s="116">
        <v>15</v>
      </c>
      <c r="AA50" s="116">
        <v>6</v>
      </c>
      <c r="AB50" s="116">
        <v>3</v>
      </c>
      <c r="AC50" s="117">
        <f t="shared" si="0"/>
        <v>24</v>
      </c>
      <c r="AD50" s="113" t="s">
        <v>1545</v>
      </c>
      <c r="AE50" s="113" t="s">
        <v>955</v>
      </c>
      <c r="AF50" s="113" t="s">
        <v>946</v>
      </c>
      <c r="AG50" s="113"/>
      <c r="AH50" s="113" t="s">
        <v>946</v>
      </c>
      <c r="AI50" s="113" t="s">
        <v>1332</v>
      </c>
      <c r="AJ50" s="113" t="s">
        <v>1009</v>
      </c>
      <c r="AK50" s="113" t="s">
        <v>1657</v>
      </c>
      <c r="AL50" s="113" t="s">
        <v>1656</v>
      </c>
      <c r="AM50" s="113" t="s">
        <v>1268</v>
      </c>
      <c r="AN50" s="113" t="s">
        <v>1267</v>
      </c>
      <c r="AO50" s="113" t="s">
        <v>1268</v>
      </c>
      <c r="AP50" s="113" t="s">
        <v>1267</v>
      </c>
      <c r="AR50" s="5"/>
      <c r="AS50" s="5"/>
      <c r="AT50" s="5"/>
      <c r="AU50" s="5"/>
      <c r="AV50" s="5"/>
      <c r="AW50" s="5"/>
      <c r="AX50" s="5"/>
      <c r="AY50" s="5"/>
      <c r="AZ50" s="5"/>
      <c r="BA50" s="5"/>
      <c r="BB50" s="5"/>
      <c r="BC50" s="5"/>
      <c r="BD50" s="5"/>
      <c r="BE50" s="5"/>
      <c r="BF50" s="5"/>
      <c r="BG50" s="5"/>
      <c r="BH50" s="5"/>
      <c r="BI50" s="5"/>
    </row>
    <row r="51" spans="1:62">
      <c r="A51" s="113">
        <v>62</v>
      </c>
      <c r="B51" s="113" t="s">
        <v>84</v>
      </c>
      <c r="C51" s="113" t="s">
        <v>1973</v>
      </c>
      <c r="D51" s="113" t="s">
        <v>25</v>
      </c>
      <c r="E51" s="113" t="s">
        <v>78</v>
      </c>
      <c r="F51" s="118" t="s">
        <v>2031</v>
      </c>
      <c r="G51" s="113" t="s">
        <v>1477</v>
      </c>
      <c r="H51" s="113" t="s">
        <v>82</v>
      </c>
      <c r="I51" s="113">
        <v>31</v>
      </c>
      <c r="J51" s="113" t="s">
        <v>83</v>
      </c>
      <c r="K51" s="113" t="s">
        <v>1804</v>
      </c>
      <c r="L51" s="115"/>
      <c r="M51" s="115"/>
      <c r="N51" s="115"/>
      <c r="O51" s="115"/>
      <c r="P51" s="115"/>
      <c r="Q51" s="115"/>
      <c r="R51" s="115"/>
      <c r="S51" s="113">
        <v>510</v>
      </c>
      <c r="T51" s="113">
        <v>90</v>
      </c>
      <c r="U51" s="113">
        <v>95</v>
      </c>
      <c r="V51" s="113">
        <v>95</v>
      </c>
      <c r="W51" s="113">
        <v>70</v>
      </c>
      <c r="X51" s="113">
        <v>90</v>
      </c>
      <c r="Y51" s="113">
        <v>70</v>
      </c>
      <c r="Z51" s="116">
        <v>18</v>
      </c>
      <c r="AA51" s="116">
        <v>8.5</v>
      </c>
      <c r="AB51" s="116">
        <v>7</v>
      </c>
      <c r="AC51" s="117">
        <f t="shared" si="0"/>
        <v>33.5</v>
      </c>
      <c r="AD51" s="113" t="s">
        <v>1537</v>
      </c>
      <c r="AE51" s="113" t="s">
        <v>1208</v>
      </c>
      <c r="AF51" s="113" t="s">
        <v>946</v>
      </c>
      <c r="AG51" s="113"/>
      <c r="AH51" s="113" t="s">
        <v>946</v>
      </c>
      <c r="AI51" s="113" t="s">
        <v>1288</v>
      </c>
      <c r="AJ51" s="113" t="s">
        <v>1289</v>
      </c>
      <c r="AK51" s="113" t="s">
        <v>1235</v>
      </c>
      <c r="AL51" s="113" t="s">
        <v>1019</v>
      </c>
      <c r="AM51" s="113" t="s">
        <v>1290</v>
      </c>
      <c r="AN51" s="113" t="s">
        <v>1291</v>
      </c>
      <c r="AO51" s="113" t="s">
        <v>1290</v>
      </c>
      <c r="AP51" s="113" t="s">
        <v>1291</v>
      </c>
      <c r="BJ51"/>
    </row>
    <row r="52" spans="1:62" customFormat="1">
      <c r="A52" s="114">
        <v>211</v>
      </c>
      <c r="B52" s="114" t="s">
        <v>238</v>
      </c>
      <c r="C52" s="114" t="s">
        <v>1974</v>
      </c>
      <c r="D52" s="113" t="s">
        <v>25</v>
      </c>
      <c r="E52" s="113" t="s">
        <v>15</v>
      </c>
      <c r="F52" s="118" t="s">
        <v>2031</v>
      </c>
      <c r="G52" s="113" t="s">
        <v>1477</v>
      </c>
      <c r="H52" s="113" t="s">
        <v>238</v>
      </c>
      <c r="I52" s="113">
        <v>11</v>
      </c>
      <c r="J52" s="113" t="s">
        <v>1109</v>
      </c>
      <c r="K52" s="113" t="s">
        <v>1804</v>
      </c>
      <c r="L52" s="115"/>
      <c r="M52" s="115"/>
      <c r="N52" s="115"/>
      <c r="O52" s="115"/>
      <c r="P52" s="115"/>
      <c r="Q52" s="115"/>
      <c r="R52" s="115"/>
      <c r="S52" s="113">
        <v>430</v>
      </c>
      <c r="T52" s="113">
        <v>65</v>
      </c>
      <c r="U52" s="113">
        <v>95</v>
      </c>
      <c r="V52" s="113">
        <v>75</v>
      </c>
      <c r="W52" s="113">
        <v>55</v>
      </c>
      <c r="X52" s="113">
        <v>55</v>
      </c>
      <c r="Y52" s="113">
        <v>85</v>
      </c>
      <c r="Z52" s="116">
        <v>13</v>
      </c>
      <c r="AA52" s="116">
        <v>7.5</v>
      </c>
      <c r="AB52" s="116">
        <v>9</v>
      </c>
      <c r="AC52" s="117">
        <f t="shared" si="0"/>
        <v>29.5</v>
      </c>
      <c r="AD52" s="113" t="s">
        <v>1538</v>
      </c>
      <c r="AE52" s="113"/>
      <c r="AF52" s="113"/>
      <c r="AG52" s="113"/>
      <c r="AH52" s="113"/>
      <c r="AI52" s="113"/>
      <c r="AJ52" s="113"/>
      <c r="AK52" s="113"/>
      <c r="AL52" s="113"/>
      <c r="AM52" s="118"/>
      <c r="AN52" s="113"/>
      <c r="AO52" s="113"/>
      <c r="AP52" s="113"/>
      <c r="AR52" s="5"/>
      <c r="AS52" s="5"/>
      <c r="AT52" s="5"/>
      <c r="AU52" s="5"/>
      <c r="AV52" s="5"/>
      <c r="AW52" s="5"/>
      <c r="AX52" s="5"/>
      <c r="AY52" s="5"/>
      <c r="AZ52" s="5"/>
      <c r="BA52" s="5"/>
      <c r="BB52" s="5"/>
      <c r="BC52" s="5"/>
      <c r="BD52" s="5"/>
      <c r="BE52" s="5"/>
      <c r="BF52" s="5"/>
      <c r="BG52" s="5"/>
      <c r="BH52" s="5"/>
      <c r="BI52" s="5"/>
    </row>
    <row r="53" spans="1:62" customFormat="1">
      <c r="A53" s="113">
        <v>91</v>
      </c>
      <c r="B53" s="113" t="s">
        <v>117</v>
      </c>
      <c r="C53" s="113" t="s">
        <v>1973</v>
      </c>
      <c r="D53" s="113" t="s">
        <v>25</v>
      </c>
      <c r="E53" s="113" t="s">
        <v>113</v>
      </c>
      <c r="F53" s="118" t="s">
        <v>2031</v>
      </c>
      <c r="G53" s="113" t="s">
        <v>1477</v>
      </c>
      <c r="H53" s="113" t="s">
        <v>116</v>
      </c>
      <c r="I53" s="113">
        <v>21</v>
      </c>
      <c r="J53" s="113" t="s">
        <v>116</v>
      </c>
      <c r="K53" s="113" t="s">
        <v>1804</v>
      </c>
      <c r="L53" s="115"/>
      <c r="M53" s="115"/>
      <c r="N53" s="115"/>
      <c r="O53" s="115"/>
      <c r="P53" s="115"/>
      <c r="Q53" s="115"/>
      <c r="R53" s="115"/>
      <c r="S53" s="113">
        <v>525</v>
      </c>
      <c r="T53" s="113">
        <v>50</v>
      </c>
      <c r="U53" s="113">
        <v>95</v>
      </c>
      <c r="V53" s="113">
        <v>180</v>
      </c>
      <c r="W53" s="113">
        <v>85</v>
      </c>
      <c r="X53" s="113">
        <v>45</v>
      </c>
      <c r="Y53" s="113">
        <v>70</v>
      </c>
      <c r="Z53" s="116">
        <v>18</v>
      </c>
      <c r="AA53" s="116">
        <v>7</v>
      </c>
      <c r="AB53" s="116">
        <v>7</v>
      </c>
      <c r="AC53" s="117">
        <f t="shared" si="0"/>
        <v>32</v>
      </c>
      <c r="AD53" s="113" t="s">
        <v>1538</v>
      </c>
      <c r="AE53" s="113" t="s">
        <v>995</v>
      </c>
      <c r="AF53" s="113" t="s">
        <v>946</v>
      </c>
      <c r="AG53" s="113"/>
      <c r="AH53" s="113" t="s">
        <v>946</v>
      </c>
      <c r="AI53" s="113" t="s">
        <v>1362</v>
      </c>
      <c r="AJ53" s="113" t="s">
        <v>1363</v>
      </c>
      <c r="AK53" s="113" t="s">
        <v>1366</v>
      </c>
      <c r="AL53" s="113" t="s">
        <v>1614</v>
      </c>
      <c r="AM53" s="113" t="s">
        <v>1339</v>
      </c>
      <c r="AN53" s="113" t="s">
        <v>1338</v>
      </c>
      <c r="AO53" s="113" t="s">
        <v>1339</v>
      </c>
      <c r="AP53" s="113" t="s">
        <v>1338</v>
      </c>
      <c r="AR53" s="5"/>
      <c r="AS53" s="5"/>
      <c r="AT53" s="5"/>
      <c r="AU53" s="5"/>
      <c r="AV53" s="5"/>
      <c r="AW53" s="5"/>
      <c r="AX53" s="5"/>
      <c r="AY53" s="5"/>
      <c r="AZ53" s="5"/>
      <c r="BA53" s="5"/>
      <c r="BB53" s="5"/>
      <c r="BC53" s="5"/>
      <c r="BD53" s="5"/>
      <c r="BE53" s="5"/>
      <c r="BF53" s="5"/>
      <c r="BG53" s="5"/>
      <c r="BH53" s="5"/>
      <c r="BI53" s="5"/>
    </row>
    <row r="54" spans="1:62" customFormat="1">
      <c r="A54" s="114">
        <v>215</v>
      </c>
      <c r="B54" s="114" t="s">
        <v>242</v>
      </c>
      <c r="C54" s="114" t="s">
        <v>1974</v>
      </c>
      <c r="D54" s="113" t="s">
        <v>158</v>
      </c>
      <c r="E54" s="113" t="s">
        <v>113</v>
      </c>
      <c r="F54" s="118" t="s">
        <v>2031</v>
      </c>
      <c r="G54" s="113" t="s">
        <v>1477</v>
      </c>
      <c r="H54" s="113" t="s">
        <v>242</v>
      </c>
      <c r="I54" s="113">
        <v>11</v>
      </c>
      <c r="J54" s="113" t="s">
        <v>1109</v>
      </c>
      <c r="K54" s="113" t="s">
        <v>1804</v>
      </c>
      <c r="L54" s="115"/>
      <c r="M54" s="115"/>
      <c r="N54" s="115"/>
      <c r="O54" s="115"/>
      <c r="P54" s="115"/>
      <c r="Q54" s="115"/>
      <c r="R54" s="115"/>
      <c r="S54" s="113">
        <v>430</v>
      </c>
      <c r="T54" s="113">
        <v>55</v>
      </c>
      <c r="U54" s="113">
        <v>95</v>
      </c>
      <c r="V54" s="113">
        <v>55</v>
      </c>
      <c r="W54" s="113">
        <v>35</v>
      </c>
      <c r="X54" s="113">
        <v>75</v>
      </c>
      <c r="Y54" s="113">
        <v>115</v>
      </c>
      <c r="Z54" s="116">
        <v>12</v>
      </c>
      <c r="AA54" s="116">
        <v>7</v>
      </c>
      <c r="AB54" s="116">
        <v>12</v>
      </c>
      <c r="AC54" s="117">
        <f t="shared" si="0"/>
        <v>31</v>
      </c>
      <c r="AD54" s="113" t="s">
        <v>1538</v>
      </c>
      <c r="AE54" s="113"/>
      <c r="AF54" s="113"/>
      <c r="AG54" s="113"/>
      <c r="AH54" s="113"/>
      <c r="AI54" s="113"/>
      <c r="AJ54" s="113"/>
      <c r="AK54" s="113"/>
      <c r="AL54" s="113"/>
      <c r="AM54" s="118"/>
      <c r="AN54" s="113"/>
      <c r="AO54" s="113"/>
      <c r="AP54" s="113"/>
      <c r="AR54" s="5"/>
      <c r="AS54" s="5"/>
      <c r="AT54" s="5"/>
      <c r="AU54" s="5"/>
      <c r="AV54" s="5"/>
      <c r="AW54" s="5"/>
      <c r="AX54" s="5"/>
      <c r="AY54" s="5"/>
      <c r="AZ54" s="5"/>
      <c r="BA54" s="5"/>
      <c r="BB54" s="5"/>
      <c r="BC54" s="5"/>
      <c r="BD54" s="5"/>
      <c r="BE54" s="5"/>
      <c r="BF54" s="5"/>
      <c r="BG54" s="5"/>
      <c r="BH54" s="5"/>
      <c r="BI54" s="5"/>
    </row>
    <row r="55" spans="1:62" customFormat="1">
      <c r="A55" s="114">
        <v>234</v>
      </c>
      <c r="B55" s="114" t="s">
        <v>261</v>
      </c>
      <c r="C55" s="114" t="s">
        <v>1974</v>
      </c>
      <c r="D55" s="113" t="s">
        <v>36</v>
      </c>
      <c r="E55" s="113"/>
      <c r="F55" s="118" t="s">
        <v>2031</v>
      </c>
      <c r="G55" s="113" t="s">
        <v>1477</v>
      </c>
      <c r="H55" s="113" t="s">
        <v>261</v>
      </c>
      <c r="I55" s="113">
        <v>11</v>
      </c>
      <c r="J55" s="113" t="s">
        <v>1109</v>
      </c>
      <c r="K55" s="113" t="s">
        <v>1804</v>
      </c>
      <c r="L55" s="115"/>
      <c r="M55" s="115"/>
      <c r="N55" s="115"/>
      <c r="O55" s="115"/>
      <c r="P55" s="115"/>
      <c r="Q55" s="115"/>
      <c r="R55" s="115"/>
      <c r="S55" s="113">
        <v>465</v>
      </c>
      <c r="T55" s="113">
        <v>73</v>
      </c>
      <c r="U55" s="113">
        <v>95</v>
      </c>
      <c r="V55" s="113">
        <v>62</v>
      </c>
      <c r="W55" s="113">
        <v>85</v>
      </c>
      <c r="X55" s="113">
        <v>65</v>
      </c>
      <c r="Y55" s="113">
        <v>85</v>
      </c>
      <c r="Z55" s="116">
        <v>13</v>
      </c>
      <c r="AA55" s="116">
        <v>8.5</v>
      </c>
      <c r="AB55" s="116">
        <v>9</v>
      </c>
      <c r="AC55" s="117">
        <f t="shared" si="0"/>
        <v>30.5</v>
      </c>
      <c r="AD55" s="113" t="s">
        <v>1538</v>
      </c>
      <c r="AE55" s="113"/>
      <c r="AF55" s="113"/>
      <c r="AG55" s="113"/>
      <c r="AH55" s="113"/>
      <c r="AI55" s="113"/>
      <c r="AJ55" s="113"/>
      <c r="AK55" s="113"/>
      <c r="AL55" s="113"/>
      <c r="AM55" s="118"/>
      <c r="AN55" s="113"/>
      <c r="AO55" s="113"/>
      <c r="AP55" s="113"/>
      <c r="AR55" s="5"/>
      <c r="AS55" s="5"/>
      <c r="AT55" s="5"/>
      <c r="AU55" s="5"/>
      <c r="AV55" s="5"/>
      <c r="AW55" s="5"/>
      <c r="AX55" s="5"/>
      <c r="AY55" s="5"/>
      <c r="AZ55" s="5"/>
      <c r="BA55" s="5"/>
      <c r="BB55" s="5"/>
      <c r="BC55" s="5"/>
      <c r="BD55" s="5"/>
      <c r="BE55" s="5"/>
      <c r="BF55" s="5"/>
      <c r="BG55" s="5"/>
      <c r="BH55" s="5"/>
      <c r="BI55" s="5"/>
    </row>
    <row r="56" spans="1:62" customFormat="1">
      <c r="A56" s="114">
        <v>237</v>
      </c>
      <c r="B56" s="114" t="s">
        <v>264</v>
      </c>
      <c r="C56" s="114" t="s">
        <v>1974</v>
      </c>
      <c r="D56" s="113" t="s">
        <v>78</v>
      </c>
      <c r="E56" s="113"/>
      <c r="F56" s="118" t="s">
        <v>2031</v>
      </c>
      <c r="G56" s="113" t="s">
        <v>1477</v>
      </c>
      <c r="H56" s="113" t="s">
        <v>263</v>
      </c>
      <c r="I56" s="113">
        <v>23</v>
      </c>
      <c r="J56" s="114" t="s">
        <v>263</v>
      </c>
      <c r="K56" s="113" t="s">
        <v>1804</v>
      </c>
      <c r="L56" s="115"/>
      <c r="M56" s="115"/>
      <c r="N56" s="115"/>
      <c r="O56" s="115"/>
      <c r="P56" s="115"/>
      <c r="Q56" s="115"/>
      <c r="R56" s="115" t="s">
        <v>2026</v>
      </c>
      <c r="S56" s="113">
        <v>455</v>
      </c>
      <c r="T56" s="113">
        <v>50</v>
      </c>
      <c r="U56" s="113">
        <v>95</v>
      </c>
      <c r="V56" s="113">
        <v>95</v>
      </c>
      <c r="W56" s="113">
        <v>35</v>
      </c>
      <c r="X56" s="113">
        <v>110</v>
      </c>
      <c r="Y56" s="113">
        <v>70</v>
      </c>
      <c r="Z56" s="116">
        <v>17</v>
      </c>
      <c r="AA56" s="116">
        <v>7</v>
      </c>
      <c r="AB56" s="116">
        <v>7</v>
      </c>
      <c r="AC56" s="117">
        <f t="shared" si="0"/>
        <v>31</v>
      </c>
      <c r="AD56" s="113" t="s">
        <v>1538</v>
      </c>
      <c r="AE56" s="113"/>
      <c r="AF56" s="113"/>
      <c r="AG56" s="113"/>
      <c r="AH56" s="113"/>
      <c r="AI56" s="113"/>
      <c r="AJ56" s="113"/>
      <c r="AK56" s="113"/>
      <c r="AL56" s="113"/>
      <c r="AM56" s="118"/>
      <c r="AN56" s="113"/>
      <c r="AO56" s="113"/>
      <c r="AP56" s="113"/>
      <c r="AR56" s="5"/>
      <c r="AS56" s="5"/>
      <c r="AT56" s="5"/>
      <c r="AU56" s="5"/>
      <c r="AV56" s="5"/>
      <c r="AW56" s="5"/>
      <c r="AX56" s="5"/>
      <c r="AY56" s="5"/>
      <c r="AZ56" s="5"/>
      <c r="BA56" s="5"/>
      <c r="BB56" s="5"/>
      <c r="BC56" s="5"/>
      <c r="BD56" s="5"/>
      <c r="BE56" s="5"/>
      <c r="BF56" s="5"/>
      <c r="BG56" s="5"/>
      <c r="BH56" s="5"/>
      <c r="BI56" s="5"/>
    </row>
    <row r="57" spans="1:62" customFormat="1">
      <c r="A57" s="113">
        <v>119</v>
      </c>
      <c r="B57" s="113" t="s">
        <v>146</v>
      </c>
      <c r="C57" s="113" t="s">
        <v>1973</v>
      </c>
      <c r="D57" s="113" t="s">
        <v>25</v>
      </c>
      <c r="E57" s="113"/>
      <c r="F57" s="118" t="s">
        <v>2031</v>
      </c>
      <c r="G57" s="113" t="s">
        <v>1477</v>
      </c>
      <c r="H57" s="113" t="s">
        <v>145</v>
      </c>
      <c r="I57" s="113">
        <v>21</v>
      </c>
      <c r="J57" s="113" t="s">
        <v>145</v>
      </c>
      <c r="K57" s="113" t="s">
        <v>1804</v>
      </c>
      <c r="L57" s="115"/>
      <c r="M57" s="115"/>
      <c r="N57" s="115"/>
      <c r="O57" s="115"/>
      <c r="P57" s="115"/>
      <c r="Q57" s="115"/>
      <c r="R57" s="115"/>
      <c r="S57" s="113">
        <v>450</v>
      </c>
      <c r="T57" s="113">
        <v>80</v>
      </c>
      <c r="U57" s="113">
        <v>92</v>
      </c>
      <c r="V57" s="113">
        <v>65</v>
      </c>
      <c r="W57" s="113">
        <v>65</v>
      </c>
      <c r="X57" s="113">
        <v>80</v>
      </c>
      <c r="Y57" s="113">
        <v>68</v>
      </c>
      <c r="Z57" s="116">
        <v>15</v>
      </c>
      <c r="AA57" s="116">
        <v>6</v>
      </c>
      <c r="AB57" s="116">
        <v>7</v>
      </c>
      <c r="AC57" s="117">
        <f t="shared" si="0"/>
        <v>28</v>
      </c>
      <c r="AD57" s="113" t="s">
        <v>946</v>
      </c>
      <c r="AE57" s="113" t="s">
        <v>1064</v>
      </c>
      <c r="AF57" s="113" t="s">
        <v>946</v>
      </c>
      <c r="AG57" s="113" t="s">
        <v>1792</v>
      </c>
      <c r="AH57" s="113" t="s">
        <v>946</v>
      </c>
      <c r="AI57" s="113" t="s">
        <v>1676</v>
      </c>
      <c r="AJ57" s="113" t="s">
        <v>1244</v>
      </c>
      <c r="AK57" s="113" t="s">
        <v>1793</v>
      </c>
      <c r="AL57" s="113" t="s">
        <v>1623</v>
      </c>
      <c r="AM57" s="113" t="s">
        <v>1026</v>
      </c>
      <c r="AN57" s="113" t="s">
        <v>1025</v>
      </c>
      <c r="AO57" s="113" t="s">
        <v>1026</v>
      </c>
      <c r="AP57" s="113" t="s">
        <v>1025</v>
      </c>
      <c r="AR57" s="5"/>
      <c r="AS57" s="5"/>
      <c r="AT57" s="5"/>
      <c r="AU57" s="5"/>
      <c r="AV57" s="5"/>
      <c r="AW57" s="5"/>
      <c r="AX57" s="5"/>
      <c r="AY57" s="5"/>
      <c r="AZ57" s="5"/>
      <c r="BA57" s="5"/>
      <c r="BB57" s="5"/>
      <c r="BC57" s="5"/>
      <c r="BD57" s="5"/>
      <c r="BE57" s="5"/>
      <c r="BF57" s="5"/>
      <c r="BG57" s="5"/>
      <c r="BH57" s="5"/>
      <c r="BI57" s="5"/>
    </row>
    <row r="58" spans="1:62" customFormat="1">
      <c r="A58" s="113">
        <v>31</v>
      </c>
      <c r="B58" s="113" t="s">
        <v>52</v>
      </c>
      <c r="C58" s="113" t="s">
        <v>1973</v>
      </c>
      <c r="D58" s="113" t="s">
        <v>15</v>
      </c>
      <c r="E58" s="113" t="s">
        <v>49</v>
      </c>
      <c r="F58" s="118" t="s">
        <v>2031</v>
      </c>
      <c r="G58" s="113" t="s">
        <v>1477</v>
      </c>
      <c r="H58" s="113" t="s">
        <v>768</v>
      </c>
      <c r="I58" s="113">
        <v>31</v>
      </c>
      <c r="J58" s="113" t="s">
        <v>51</v>
      </c>
      <c r="K58" s="113" t="s">
        <v>1804</v>
      </c>
      <c r="L58" s="115"/>
      <c r="M58" s="115"/>
      <c r="N58" s="115"/>
      <c r="O58" s="115"/>
      <c r="P58" s="115"/>
      <c r="Q58" s="115"/>
      <c r="R58" s="115"/>
      <c r="S58" s="113">
        <v>505</v>
      </c>
      <c r="T58" s="113">
        <v>90</v>
      </c>
      <c r="U58" s="113">
        <v>92</v>
      </c>
      <c r="V58" s="113">
        <v>87</v>
      </c>
      <c r="W58" s="113">
        <v>75</v>
      </c>
      <c r="X58" s="113">
        <v>85</v>
      </c>
      <c r="Y58" s="113">
        <v>76</v>
      </c>
      <c r="Z58" s="116">
        <v>17</v>
      </c>
      <c r="AA58" s="116">
        <v>7.5</v>
      </c>
      <c r="AB58" s="116">
        <v>8</v>
      </c>
      <c r="AC58" s="117">
        <f t="shared" si="0"/>
        <v>32.5</v>
      </c>
      <c r="AD58" s="113" t="s">
        <v>1538</v>
      </c>
      <c r="AE58" s="113" t="s">
        <v>1090</v>
      </c>
      <c r="AF58" s="113" t="s">
        <v>946</v>
      </c>
      <c r="AG58" s="113"/>
      <c r="AH58" s="113" t="s">
        <v>946</v>
      </c>
      <c r="AI58" s="113" t="s">
        <v>1330</v>
      </c>
      <c r="AJ58" s="113" t="s">
        <v>1301</v>
      </c>
      <c r="AK58" s="113" t="s">
        <v>1241</v>
      </c>
      <c r="AL58" s="113" t="s">
        <v>1240</v>
      </c>
      <c r="AM58" s="113" t="s">
        <v>1253</v>
      </c>
      <c r="AN58" s="113" t="s">
        <v>1254</v>
      </c>
      <c r="AO58" s="113" t="s">
        <v>1253</v>
      </c>
      <c r="AP58" s="113" t="s">
        <v>1254</v>
      </c>
      <c r="AR58" s="5"/>
      <c r="AS58" s="5"/>
      <c r="AT58" s="5"/>
      <c r="AU58" s="5"/>
      <c r="AV58" s="5"/>
      <c r="AW58" s="5"/>
      <c r="AX58" s="5"/>
      <c r="AY58" s="5"/>
      <c r="AZ58" s="5"/>
      <c r="BA58" s="5"/>
      <c r="BB58" s="5"/>
      <c r="BC58" s="5"/>
      <c r="BD58" s="5"/>
      <c r="BE58" s="5"/>
      <c r="BF58" s="5"/>
      <c r="BG58" s="5"/>
      <c r="BH58" s="5"/>
      <c r="BI58" s="5"/>
    </row>
    <row r="59" spans="1:62" customFormat="1">
      <c r="A59" s="113">
        <v>70</v>
      </c>
      <c r="B59" s="113" t="s">
        <v>93</v>
      </c>
      <c r="C59" s="113" t="s">
        <v>1973</v>
      </c>
      <c r="D59" s="113" t="s">
        <v>14</v>
      </c>
      <c r="E59" s="113" t="s">
        <v>15</v>
      </c>
      <c r="F59" s="118" t="s">
        <v>2031</v>
      </c>
      <c r="G59" s="113" t="s">
        <v>1478</v>
      </c>
      <c r="H59" s="113" t="s">
        <v>92</v>
      </c>
      <c r="I59" s="113">
        <v>21</v>
      </c>
      <c r="J59" s="113" t="s">
        <v>92</v>
      </c>
      <c r="K59" s="114" t="s">
        <v>1803</v>
      </c>
      <c r="L59" s="115"/>
      <c r="M59" s="115"/>
      <c r="N59" s="115"/>
      <c r="O59" s="115"/>
      <c r="P59" s="115"/>
      <c r="Q59" s="115"/>
      <c r="R59" s="115"/>
      <c r="S59" s="113">
        <v>390</v>
      </c>
      <c r="T59" s="113">
        <v>65</v>
      </c>
      <c r="U59" s="113">
        <v>90</v>
      </c>
      <c r="V59" s="113">
        <v>50</v>
      </c>
      <c r="W59" s="113">
        <v>85</v>
      </c>
      <c r="X59" s="113">
        <v>45</v>
      </c>
      <c r="Y59" s="113">
        <v>55</v>
      </c>
      <c r="Z59" s="116">
        <v>11</v>
      </c>
      <c r="AA59" s="116">
        <v>5</v>
      </c>
      <c r="AB59" s="116">
        <v>6</v>
      </c>
      <c r="AC59" s="117">
        <f t="shared" si="0"/>
        <v>22</v>
      </c>
      <c r="AD59" s="113" t="s">
        <v>1545</v>
      </c>
      <c r="AE59" s="113" t="s">
        <v>1161</v>
      </c>
      <c r="AF59" s="113" t="s">
        <v>943</v>
      </c>
      <c r="AG59" s="113" t="s">
        <v>1547</v>
      </c>
      <c r="AH59" s="113" t="s">
        <v>946</v>
      </c>
      <c r="AI59" s="113" t="s">
        <v>1035</v>
      </c>
      <c r="AJ59" s="113" t="s">
        <v>1223</v>
      </c>
      <c r="AK59" s="113" t="s">
        <v>1222</v>
      </c>
      <c r="AL59" s="113" t="s">
        <v>1295</v>
      </c>
      <c r="AM59" s="113" t="s">
        <v>1028</v>
      </c>
      <c r="AN59" s="113" t="s">
        <v>1027</v>
      </c>
      <c r="AO59" s="113" t="s">
        <v>1028</v>
      </c>
      <c r="AP59" s="113" t="s">
        <v>1027</v>
      </c>
      <c r="AR59" s="5"/>
      <c r="AS59" s="5"/>
      <c r="AT59" s="5"/>
      <c r="AU59" s="5"/>
      <c r="AV59" s="5"/>
      <c r="AW59" s="5"/>
      <c r="AX59" s="5"/>
      <c r="AY59" s="5"/>
      <c r="AZ59" s="5"/>
      <c r="BA59" s="5"/>
      <c r="BB59" s="5"/>
      <c r="BC59" s="5"/>
      <c r="BD59" s="5"/>
      <c r="BE59" s="5"/>
      <c r="BF59" s="5"/>
      <c r="BG59" s="5"/>
      <c r="BH59" s="5"/>
      <c r="BI59" s="5"/>
      <c r="BJ59" s="5"/>
    </row>
    <row r="60" spans="1:62" customFormat="1">
      <c r="A60" s="114">
        <v>229</v>
      </c>
      <c r="B60" s="114" t="s">
        <v>256</v>
      </c>
      <c r="C60" s="114" t="s">
        <v>1974</v>
      </c>
      <c r="D60" s="113" t="s">
        <v>158</v>
      </c>
      <c r="E60" s="113" t="s">
        <v>19</v>
      </c>
      <c r="F60" s="118" t="s">
        <v>2031</v>
      </c>
      <c r="G60" s="113" t="s">
        <v>1477</v>
      </c>
      <c r="H60" s="113" t="s">
        <v>255</v>
      </c>
      <c r="I60" s="113">
        <v>21</v>
      </c>
      <c r="J60" s="113" t="s">
        <v>255</v>
      </c>
      <c r="K60" s="113" t="s">
        <v>1804</v>
      </c>
      <c r="L60" s="115"/>
      <c r="M60" s="115"/>
      <c r="N60" s="115"/>
      <c r="O60" s="115"/>
      <c r="P60" s="115"/>
      <c r="Q60" s="115"/>
      <c r="R60" s="115"/>
      <c r="S60" s="113">
        <v>500</v>
      </c>
      <c r="T60" s="113">
        <v>75</v>
      </c>
      <c r="U60" s="113">
        <v>90</v>
      </c>
      <c r="V60" s="113">
        <v>50</v>
      </c>
      <c r="W60" s="113">
        <v>110</v>
      </c>
      <c r="X60" s="113">
        <v>80</v>
      </c>
      <c r="Y60" s="113">
        <v>95</v>
      </c>
      <c r="Z60" s="116">
        <v>14</v>
      </c>
      <c r="AA60" s="116">
        <v>9.5</v>
      </c>
      <c r="AB60" s="116">
        <v>10</v>
      </c>
      <c r="AC60" s="117">
        <f t="shared" si="0"/>
        <v>33.5</v>
      </c>
      <c r="AD60" s="113" t="s">
        <v>1537</v>
      </c>
      <c r="AE60" s="113"/>
      <c r="AF60" s="113"/>
      <c r="AG60" s="113"/>
      <c r="AH60" s="113"/>
      <c r="AI60" s="113"/>
      <c r="AJ60" s="113"/>
      <c r="AK60" s="113"/>
      <c r="AL60" s="113"/>
      <c r="AM60" s="118"/>
      <c r="AN60" s="113"/>
      <c r="AO60" s="113"/>
      <c r="AP60" s="113"/>
      <c r="AR60" s="5"/>
      <c r="AS60" s="5"/>
      <c r="AT60" s="5"/>
      <c r="AU60" s="5"/>
      <c r="AV60" s="5"/>
      <c r="AW60" s="5"/>
      <c r="AX60" s="5"/>
      <c r="AY60" s="5"/>
      <c r="AZ60" s="5"/>
      <c r="BA60" s="5"/>
      <c r="BB60" s="5"/>
      <c r="BC60" s="5"/>
      <c r="BD60" s="5"/>
      <c r="BE60" s="5"/>
      <c r="BF60" s="5"/>
      <c r="BG60" s="5"/>
      <c r="BH60" s="5"/>
      <c r="BI60" s="5"/>
    </row>
    <row r="61" spans="1:62" customFormat="1">
      <c r="A61" s="113">
        <v>110</v>
      </c>
      <c r="B61" s="113" t="s">
        <v>137</v>
      </c>
      <c r="C61" s="113" t="s">
        <v>1973</v>
      </c>
      <c r="D61" s="113" t="s">
        <v>15</v>
      </c>
      <c r="E61" s="113"/>
      <c r="F61" s="118" t="s">
        <v>2031</v>
      </c>
      <c r="G61" s="113" t="s">
        <v>1477</v>
      </c>
      <c r="H61" s="113" t="s">
        <v>136</v>
      </c>
      <c r="I61" s="113">
        <v>21</v>
      </c>
      <c r="J61" s="113" t="s">
        <v>136</v>
      </c>
      <c r="K61" s="113" t="s">
        <v>1804</v>
      </c>
      <c r="L61" s="115"/>
      <c r="M61" s="115"/>
      <c r="N61" s="115"/>
      <c r="O61" s="115"/>
      <c r="P61" s="115"/>
      <c r="Q61" s="115"/>
      <c r="R61" s="115"/>
      <c r="S61" s="113">
        <v>490</v>
      </c>
      <c r="T61" s="113">
        <v>65</v>
      </c>
      <c r="U61" s="113">
        <v>90</v>
      </c>
      <c r="V61" s="113">
        <v>120</v>
      </c>
      <c r="W61" s="113">
        <v>85</v>
      </c>
      <c r="X61" s="113">
        <v>70</v>
      </c>
      <c r="Y61" s="113">
        <v>60</v>
      </c>
      <c r="Z61" s="116">
        <v>17</v>
      </c>
      <c r="AA61" s="116">
        <v>7.5</v>
      </c>
      <c r="AB61" s="116">
        <v>6</v>
      </c>
      <c r="AC61" s="117">
        <f t="shared" si="0"/>
        <v>30.5</v>
      </c>
      <c r="AD61" s="113" t="s">
        <v>1538</v>
      </c>
      <c r="AE61" s="113" t="s">
        <v>1062</v>
      </c>
      <c r="AF61" s="113" t="s">
        <v>946</v>
      </c>
      <c r="AG61" s="113"/>
      <c r="AH61" s="113" t="s">
        <v>946</v>
      </c>
      <c r="AI61" s="113" t="s">
        <v>1050</v>
      </c>
      <c r="AJ61" s="113" t="s">
        <v>1301</v>
      </c>
      <c r="AK61" s="113" t="s">
        <v>1786</v>
      </c>
      <c r="AL61" s="113" t="s">
        <v>1787</v>
      </c>
      <c r="AM61" s="113" t="s">
        <v>1226</v>
      </c>
      <c r="AN61" s="113" t="s">
        <v>1227</v>
      </c>
      <c r="AO61" s="113" t="s">
        <v>1226</v>
      </c>
      <c r="AP61" s="113" t="s">
        <v>1227</v>
      </c>
      <c r="AR61" s="5"/>
      <c r="AS61" s="5"/>
      <c r="AT61" s="5"/>
      <c r="AU61" s="5"/>
      <c r="AV61" s="5"/>
      <c r="AW61" s="5"/>
      <c r="AX61" s="5"/>
      <c r="AY61" s="5"/>
      <c r="AZ61" s="5"/>
      <c r="BA61" s="5"/>
      <c r="BB61" s="5"/>
      <c r="BC61" s="5"/>
      <c r="BD61" s="5"/>
      <c r="BE61" s="5"/>
      <c r="BF61" s="5"/>
      <c r="BG61" s="5"/>
      <c r="BH61" s="5"/>
      <c r="BI61" s="5"/>
    </row>
    <row r="62" spans="1:62">
      <c r="A62" s="114">
        <v>249</v>
      </c>
      <c r="B62" s="114" t="s">
        <v>276</v>
      </c>
      <c r="C62" s="114" t="s">
        <v>1974</v>
      </c>
      <c r="D62" s="113" t="s">
        <v>86</v>
      </c>
      <c r="E62" s="113" t="s">
        <v>22</v>
      </c>
      <c r="F62" s="118" t="s">
        <v>2032</v>
      </c>
      <c r="G62" s="113" t="s">
        <v>1477</v>
      </c>
      <c r="H62" s="113" t="s">
        <v>276</v>
      </c>
      <c r="I62" s="113">
        <v>11</v>
      </c>
      <c r="J62" s="113" t="s">
        <v>1109</v>
      </c>
      <c r="K62" s="113" t="s">
        <v>1804</v>
      </c>
      <c r="L62" s="115"/>
      <c r="M62" s="115"/>
      <c r="N62" s="115"/>
      <c r="O62" s="115"/>
      <c r="P62" s="115"/>
      <c r="Q62" s="115"/>
      <c r="R62" s="115"/>
      <c r="S62" s="113">
        <v>680</v>
      </c>
      <c r="T62" s="113">
        <v>106</v>
      </c>
      <c r="U62" s="113">
        <v>90</v>
      </c>
      <c r="V62" s="113">
        <v>130</v>
      </c>
      <c r="W62" s="113">
        <v>90</v>
      </c>
      <c r="X62" s="113">
        <v>154</v>
      </c>
      <c r="Y62" s="113">
        <v>110</v>
      </c>
      <c r="Z62" s="116">
        <v>26</v>
      </c>
      <c r="AA62" s="116">
        <v>8.5</v>
      </c>
      <c r="AB62" s="116">
        <v>11</v>
      </c>
      <c r="AC62" s="117">
        <f t="shared" si="0"/>
        <v>45.5</v>
      </c>
      <c r="AD62" s="113" t="s">
        <v>1479</v>
      </c>
      <c r="AE62" s="113"/>
      <c r="AF62" s="113"/>
      <c r="AG62" s="113"/>
      <c r="AH62" s="113"/>
      <c r="AI62" s="113"/>
      <c r="AJ62" s="113"/>
      <c r="AK62" s="113"/>
      <c r="AL62" s="113"/>
      <c r="AM62" s="118"/>
      <c r="AN62" s="113"/>
      <c r="AO62" s="113"/>
      <c r="AP62" s="113"/>
      <c r="BJ62"/>
    </row>
    <row r="63" spans="1:62" customFormat="1">
      <c r="A63" s="113">
        <v>26</v>
      </c>
      <c r="B63" s="113" t="s">
        <v>47</v>
      </c>
      <c r="C63" s="113" t="s">
        <v>1973</v>
      </c>
      <c r="D63" s="113" t="s">
        <v>46</v>
      </c>
      <c r="E63" s="113"/>
      <c r="F63" s="118" t="s">
        <v>2031</v>
      </c>
      <c r="G63" s="113" t="s">
        <v>1477</v>
      </c>
      <c r="H63" s="113" t="s">
        <v>199</v>
      </c>
      <c r="I63" s="113">
        <v>31</v>
      </c>
      <c r="J63" s="113" t="s">
        <v>45</v>
      </c>
      <c r="K63" s="113" t="s">
        <v>1804</v>
      </c>
      <c r="L63" s="115"/>
      <c r="M63" s="115"/>
      <c r="N63" s="115"/>
      <c r="O63" s="115"/>
      <c r="P63" s="115"/>
      <c r="Q63" s="115"/>
      <c r="R63" s="115"/>
      <c r="S63" s="113">
        <v>485</v>
      </c>
      <c r="T63" s="113">
        <v>60</v>
      </c>
      <c r="U63" s="113">
        <v>90</v>
      </c>
      <c r="V63" s="113">
        <v>55</v>
      </c>
      <c r="W63" s="113">
        <v>90</v>
      </c>
      <c r="X63" s="113">
        <v>80</v>
      </c>
      <c r="Y63" s="113">
        <v>110</v>
      </c>
      <c r="Z63" s="116">
        <v>13</v>
      </c>
      <c r="AA63" s="116">
        <v>7.5</v>
      </c>
      <c r="AB63" s="116">
        <v>11</v>
      </c>
      <c r="AC63" s="117">
        <f t="shared" si="0"/>
        <v>31.5</v>
      </c>
      <c r="AD63" s="113" t="s">
        <v>1538</v>
      </c>
      <c r="AE63" s="113" t="s">
        <v>1191</v>
      </c>
      <c r="AF63" s="113" t="s">
        <v>943</v>
      </c>
      <c r="AG63" s="113"/>
      <c r="AH63" s="113" t="s">
        <v>943</v>
      </c>
      <c r="AI63" s="113" t="s">
        <v>1635</v>
      </c>
      <c r="AJ63" s="113" t="s">
        <v>1233</v>
      </c>
      <c r="AK63" s="113" t="s">
        <v>1258</v>
      </c>
      <c r="AL63" s="113" t="s">
        <v>1276</v>
      </c>
      <c r="AM63" s="113" t="s">
        <v>1232</v>
      </c>
      <c r="AN63" s="113" t="s">
        <v>1231</v>
      </c>
      <c r="AO63" s="113" t="s">
        <v>1232</v>
      </c>
      <c r="AP63" s="113" t="s">
        <v>1231</v>
      </c>
      <c r="AQ63" s="5"/>
      <c r="AR63" s="5"/>
      <c r="AS63" s="5"/>
      <c r="AT63" s="5"/>
      <c r="AU63" s="5"/>
      <c r="AV63" s="5"/>
      <c r="AW63" s="5"/>
      <c r="AX63" s="5"/>
      <c r="AY63" s="5"/>
      <c r="AZ63" s="5"/>
      <c r="BA63" s="5"/>
      <c r="BB63" s="5"/>
      <c r="BC63" s="5"/>
      <c r="BD63" s="5"/>
      <c r="BE63" s="5"/>
      <c r="BF63" s="5"/>
      <c r="BG63" s="5"/>
      <c r="BH63" s="5"/>
      <c r="BI63" s="5"/>
    </row>
    <row r="64" spans="1:62" customFormat="1">
      <c r="A64" s="114">
        <v>205</v>
      </c>
      <c r="B64" s="114" t="s">
        <v>232</v>
      </c>
      <c r="C64" s="114" t="s">
        <v>1974</v>
      </c>
      <c r="D64" s="113" t="s">
        <v>29</v>
      </c>
      <c r="E64" s="113" t="s">
        <v>106</v>
      </c>
      <c r="F64" s="118" t="s">
        <v>2031</v>
      </c>
      <c r="G64" s="113" t="s">
        <v>1477</v>
      </c>
      <c r="H64" s="113" t="s">
        <v>231</v>
      </c>
      <c r="I64" s="113">
        <v>21</v>
      </c>
      <c r="J64" s="113" t="s">
        <v>231</v>
      </c>
      <c r="K64" s="113" t="s">
        <v>1804</v>
      </c>
      <c r="L64" s="115"/>
      <c r="M64" s="115"/>
      <c r="N64" s="115"/>
      <c r="O64" s="115"/>
      <c r="P64" s="115"/>
      <c r="Q64" s="115"/>
      <c r="R64" s="115"/>
      <c r="S64" s="113">
        <v>465</v>
      </c>
      <c r="T64" s="113">
        <v>75</v>
      </c>
      <c r="U64" s="113">
        <v>90</v>
      </c>
      <c r="V64" s="113">
        <v>140</v>
      </c>
      <c r="W64" s="113">
        <v>60</v>
      </c>
      <c r="X64" s="113">
        <v>60</v>
      </c>
      <c r="Y64" s="113">
        <v>40</v>
      </c>
      <c r="Z64" s="116">
        <v>18</v>
      </c>
      <c r="AA64" s="116">
        <v>7.5</v>
      </c>
      <c r="AB64" s="116">
        <v>4</v>
      </c>
      <c r="AC64" s="117">
        <f t="shared" si="0"/>
        <v>29.5</v>
      </c>
      <c r="AD64" s="113" t="s">
        <v>1538</v>
      </c>
      <c r="AE64" s="113"/>
      <c r="AF64" s="113"/>
      <c r="AG64" s="113"/>
      <c r="AH64" s="113"/>
      <c r="AI64" s="113"/>
      <c r="AJ64" s="113"/>
      <c r="AK64" s="113"/>
      <c r="AL64" s="113"/>
      <c r="AM64" s="118"/>
      <c r="AN64" s="113"/>
      <c r="AO64" s="113"/>
      <c r="AP64" s="113"/>
      <c r="AR64" s="5"/>
      <c r="AS64" s="5"/>
      <c r="AT64" s="5"/>
      <c r="AU64" s="5"/>
      <c r="AV64" s="5"/>
      <c r="AW64" s="5"/>
      <c r="AX64" s="5"/>
      <c r="AY64" s="5"/>
      <c r="AZ64" s="5"/>
      <c r="BA64" s="5"/>
      <c r="BB64" s="5"/>
      <c r="BC64" s="5"/>
      <c r="BD64" s="5"/>
      <c r="BE64" s="5"/>
      <c r="BF64" s="5"/>
      <c r="BG64" s="5"/>
      <c r="BH64" s="5"/>
      <c r="BI64" s="5"/>
    </row>
    <row r="65" spans="1:62" customFormat="1">
      <c r="A65" s="113">
        <v>22</v>
      </c>
      <c r="B65" s="113" t="s">
        <v>42</v>
      </c>
      <c r="C65" s="113" t="s">
        <v>1973</v>
      </c>
      <c r="D65" s="113" t="s">
        <v>22</v>
      </c>
      <c r="E65" s="113" t="s">
        <v>36</v>
      </c>
      <c r="F65" s="118" t="s">
        <v>2031</v>
      </c>
      <c r="G65" s="113" t="s">
        <v>1477</v>
      </c>
      <c r="H65" s="113" t="s">
        <v>41</v>
      </c>
      <c r="I65" s="113">
        <v>21</v>
      </c>
      <c r="J65" s="113" t="s">
        <v>41</v>
      </c>
      <c r="K65" s="113" t="s">
        <v>1804</v>
      </c>
      <c r="L65" s="115"/>
      <c r="M65" s="115"/>
      <c r="N65" s="115"/>
      <c r="O65" s="115"/>
      <c r="P65" s="115"/>
      <c r="Q65" s="115"/>
      <c r="R65" s="115"/>
      <c r="S65" s="113">
        <v>442</v>
      </c>
      <c r="T65" s="113">
        <v>65</v>
      </c>
      <c r="U65" s="113">
        <v>90</v>
      </c>
      <c r="V65" s="113">
        <v>65</v>
      </c>
      <c r="W65" s="113">
        <v>61</v>
      </c>
      <c r="X65" s="113">
        <v>61</v>
      </c>
      <c r="Y65" s="113">
        <v>100</v>
      </c>
      <c r="Z65" s="116">
        <v>13</v>
      </c>
      <c r="AA65" s="116">
        <v>7</v>
      </c>
      <c r="AB65" s="116">
        <v>10</v>
      </c>
      <c r="AC65" s="117">
        <f t="shared" si="0"/>
        <v>30</v>
      </c>
      <c r="AD65" s="113" t="s">
        <v>1538</v>
      </c>
      <c r="AE65" s="113" t="s">
        <v>1179</v>
      </c>
      <c r="AF65" s="113" t="s">
        <v>943</v>
      </c>
      <c r="AG65" s="113"/>
      <c r="AH65" s="113" t="s">
        <v>943</v>
      </c>
      <c r="AI65" s="113" t="s">
        <v>1221</v>
      </c>
      <c r="AJ65" s="113" t="s">
        <v>1219</v>
      </c>
      <c r="AK65" s="113" t="s">
        <v>1630</v>
      </c>
      <c r="AL65" s="113" t="s">
        <v>1623</v>
      </c>
      <c r="AM65" s="113" t="s">
        <v>1044</v>
      </c>
      <c r="AN65" s="113" t="s">
        <v>1043</v>
      </c>
      <c r="AO65" s="113" t="s">
        <v>1044</v>
      </c>
      <c r="AP65" s="113" t="s">
        <v>1043</v>
      </c>
      <c r="AR65" s="5"/>
      <c r="AS65" s="5"/>
      <c r="AT65" s="5"/>
      <c r="AU65" s="5"/>
      <c r="AV65" s="5"/>
      <c r="AW65" s="5"/>
      <c r="AX65" s="5"/>
      <c r="AY65" s="5"/>
      <c r="AZ65" s="5"/>
      <c r="BA65" s="5"/>
      <c r="BB65" s="5"/>
      <c r="BC65" s="5"/>
      <c r="BD65" s="5"/>
      <c r="BE65" s="5"/>
      <c r="BF65" s="5"/>
      <c r="BG65" s="5"/>
      <c r="BH65" s="5"/>
      <c r="BI65" s="5"/>
    </row>
    <row r="66" spans="1:62" customFormat="1">
      <c r="A66" s="114">
        <v>168</v>
      </c>
      <c r="B66" s="114" t="s">
        <v>195</v>
      </c>
      <c r="C66" s="114" t="s">
        <v>1974</v>
      </c>
      <c r="D66" s="113" t="s">
        <v>29</v>
      </c>
      <c r="E66" s="113" t="s">
        <v>15</v>
      </c>
      <c r="F66" s="118" t="s">
        <v>2031</v>
      </c>
      <c r="G66" s="113" t="s">
        <v>1477</v>
      </c>
      <c r="H66" s="113" t="s">
        <v>194</v>
      </c>
      <c r="I66" s="113">
        <v>21</v>
      </c>
      <c r="J66" s="113" t="s">
        <v>194</v>
      </c>
      <c r="K66" s="113" t="s">
        <v>1804</v>
      </c>
      <c r="L66" s="115"/>
      <c r="M66" s="115"/>
      <c r="N66" s="115"/>
      <c r="O66" s="115"/>
      <c r="P66" s="115"/>
      <c r="Q66" s="115"/>
      <c r="R66" s="115"/>
      <c r="S66" s="113">
        <v>390</v>
      </c>
      <c r="T66" s="113">
        <v>70</v>
      </c>
      <c r="U66" s="113">
        <v>90</v>
      </c>
      <c r="V66" s="113">
        <v>70</v>
      </c>
      <c r="W66" s="113">
        <v>60</v>
      </c>
      <c r="X66" s="113">
        <v>60</v>
      </c>
      <c r="Y66" s="113">
        <v>40</v>
      </c>
      <c r="Z66" s="116">
        <v>13</v>
      </c>
      <c r="AA66" s="116">
        <v>7.5</v>
      </c>
      <c r="AB66" s="116">
        <v>4</v>
      </c>
      <c r="AC66" s="117">
        <f t="shared" si="0"/>
        <v>24.5</v>
      </c>
      <c r="AD66" s="113" t="s">
        <v>1545</v>
      </c>
      <c r="AE66" s="113"/>
      <c r="AF66" s="113"/>
      <c r="AG66" s="113"/>
      <c r="AH66" s="113"/>
      <c r="AI66" s="113"/>
      <c r="AJ66" s="113"/>
      <c r="AK66" s="113"/>
      <c r="AL66" s="113"/>
      <c r="AM66" s="118"/>
      <c r="AN66" s="113"/>
      <c r="AO66" s="113"/>
      <c r="AP66" s="113"/>
      <c r="AQ66" s="5"/>
      <c r="AR66" s="5"/>
      <c r="AS66" s="5"/>
      <c r="AT66" s="5"/>
      <c r="AU66" s="5"/>
      <c r="AV66" s="5"/>
      <c r="AW66" s="5"/>
      <c r="AX66" s="5"/>
      <c r="AY66" s="5"/>
      <c r="AZ66" s="5"/>
      <c r="BA66" s="5"/>
      <c r="BB66" s="5"/>
      <c r="BC66" s="5"/>
      <c r="BD66" s="5"/>
      <c r="BE66" s="5"/>
      <c r="BF66" s="5"/>
      <c r="BG66" s="5"/>
      <c r="BH66" s="5"/>
      <c r="BI66" s="5"/>
    </row>
    <row r="67" spans="1:62" customFormat="1">
      <c r="A67" s="113">
        <v>15</v>
      </c>
      <c r="B67" s="113" t="s">
        <v>34</v>
      </c>
      <c r="C67" s="113" t="s">
        <v>1973</v>
      </c>
      <c r="D67" s="113" t="s">
        <v>29</v>
      </c>
      <c r="E67" s="113" t="s">
        <v>15</v>
      </c>
      <c r="F67" s="118" t="s">
        <v>2031</v>
      </c>
      <c r="G67" s="113" t="s">
        <v>1477</v>
      </c>
      <c r="H67" s="113" t="s">
        <v>32</v>
      </c>
      <c r="I67" s="113">
        <v>31</v>
      </c>
      <c r="J67" s="113" t="s">
        <v>33</v>
      </c>
      <c r="K67" s="113" t="s">
        <v>1804</v>
      </c>
      <c r="L67" s="115"/>
      <c r="M67" s="115"/>
      <c r="N67" s="115"/>
      <c r="O67" s="115"/>
      <c r="P67" s="115"/>
      <c r="Q67" s="115"/>
      <c r="R67" s="115"/>
      <c r="S67" s="113">
        <v>395</v>
      </c>
      <c r="T67" s="113">
        <v>65</v>
      </c>
      <c r="U67" s="113">
        <v>90</v>
      </c>
      <c r="V67" s="113">
        <v>40</v>
      </c>
      <c r="W67" s="113">
        <v>45</v>
      </c>
      <c r="X67" s="113">
        <v>80</v>
      </c>
      <c r="Y67" s="113">
        <v>75</v>
      </c>
      <c r="Z67" s="116">
        <v>12</v>
      </c>
      <c r="AA67" s="116">
        <v>7</v>
      </c>
      <c r="AB67" s="116">
        <v>8</v>
      </c>
      <c r="AC67" s="117">
        <f t="shared" si="0"/>
        <v>27</v>
      </c>
      <c r="AD67" s="113" t="s">
        <v>946</v>
      </c>
      <c r="AE67" s="113" t="s">
        <v>952</v>
      </c>
      <c r="AF67" s="113" t="s">
        <v>946</v>
      </c>
      <c r="AG67" s="113"/>
      <c r="AH67" s="113" t="s">
        <v>946</v>
      </c>
      <c r="AI67" s="113" t="s">
        <v>1621</v>
      </c>
      <c r="AJ67" s="113" t="s">
        <v>1037</v>
      </c>
      <c r="AK67" s="113" t="s">
        <v>1038</v>
      </c>
      <c r="AL67" s="113" t="s">
        <v>1623</v>
      </c>
      <c r="AM67" s="113" t="s">
        <v>1040</v>
      </c>
      <c r="AN67" s="113" t="s">
        <v>1039</v>
      </c>
      <c r="AO67" s="113" t="s">
        <v>1040</v>
      </c>
      <c r="AP67" s="113" t="s">
        <v>1039</v>
      </c>
      <c r="AR67" s="5"/>
      <c r="AS67" s="5"/>
      <c r="AT67" s="5"/>
      <c r="AU67" s="5"/>
      <c r="AV67" s="5"/>
      <c r="AW67" s="5"/>
      <c r="AX67" s="5"/>
      <c r="AY67" s="5"/>
      <c r="AZ67" s="5"/>
      <c r="BA67" s="5"/>
      <c r="BB67" s="5"/>
      <c r="BC67" s="5"/>
      <c r="BD67" s="5"/>
      <c r="BE67" s="5"/>
      <c r="BF67" s="5"/>
      <c r="BG67" s="5"/>
      <c r="BH67" s="5"/>
      <c r="BI67" s="5"/>
    </row>
    <row r="68" spans="1:62" customFormat="1">
      <c r="A68" s="113">
        <v>145</v>
      </c>
      <c r="B68" s="113" t="s">
        <v>173</v>
      </c>
      <c r="C68" s="113" t="s">
        <v>1973</v>
      </c>
      <c r="D68" s="113" t="s">
        <v>46</v>
      </c>
      <c r="E68" s="113" t="s">
        <v>22</v>
      </c>
      <c r="F68" s="118" t="s">
        <v>2032</v>
      </c>
      <c r="G68" s="113" t="s">
        <v>1477</v>
      </c>
      <c r="H68" s="113" t="s">
        <v>173</v>
      </c>
      <c r="I68" s="113">
        <v>11</v>
      </c>
      <c r="J68" s="113" t="s">
        <v>1109</v>
      </c>
      <c r="K68" s="113" t="s">
        <v>1804</v>
      </c>
      <c r="L68" s="115"/>
      <c r="M68" s="115"/>
      <c r="N68" s="115"/>
      <c r="O68" s="115"/>
      <c r="P68" s="115"/>
      <c r="Q68" s="115"/>
      <c r="R68" s="115"/>
      <c r="S68" s="113">
        <v>580</v>
      </c>
      <c r="T68" s="113">
        <v>90</v>
      </c>
      <c r="U68" s="113">
        <v>90</v>
      </c>
      <c r="V68" s="113">
        <v>85</v>
      </c>
      <c r="W68" s="113">
        <v>125</v>
      </c>
      <c r="X68" s="113">
        <v>90</v>
      </c>
      <c r="Y68" s="113">
        <v>100</v>
      </c>
      <c r="Z68" s="116">
        <v>18</v>
      </c>
      <c r="AA68" s="116">
        <v>10.5</v>
      </c>
      <c r="AB68" s="116">
        <v>10</v>
      </c>
      <c r="AC68" s="117">
        <f t="shared" ref="AC68:AC131" si="1">SUM(Z68:AB68)</f>
        <v>38.5</v>
      </c>
      <c r="AD68" s="113" t="s">
        <v>1479</v>
      </c>
      <c r="AE68" s="113" t="s">
        <v>1092</v>
      </c>
      <c r="AF68" s="113" t="s">
        <v>946</v>
      </c>
      <c r="AG68" s="113"/>
      <c r="AH68" s="113" t="s">
        <v>946</v>
      </c>
      <c r="AI68" s="113" t="s">
        <v>1221</v>
      </c>
      <c r="AJ68" s="113" t="s">
        <v>1308</v>
      </c>
      <c r="AK68" s="113" t="s">
        <v>1050</v>
      </c>
      <c r="AL68" s="113" t="s">
        <v>1609</v>
      </c>
      <c r="AM68" s="113" t="s">
        <v>1310</v>
      </c>
      <c r="AN68" s="113" t="s">
        <v>1311</v>
      </c>
      <c r="AO68" s="113" t="s">
        <v>1310</v>
      </c>
      <c r="AP68" s="113" t="s">
        <v>1311</v>
      </c>
      <c r="AQ68" s="5"/>
      <c r="AR68" s="5"/>
      <c r="AS68" s="5"/>
      <c r="AT68" s="5"/>
      <c r="AU68" s="5"/>
      <c r="AV68" s="5"/>
      <c r="AW68" s="5"/>
      <c r="AX68" s="5"/>
      <c r="AY68" s="5"/>
      <c r="AZ68" s="5"/>
      <c r="BA68" s="5"/>
      <c r="BB68" s="5"/>
      <c r="BC68" s="5"/>
      <c r="BD68" s="5"/>
      <c r="BE68" s="5"/>
      <c r="BF68" s="5"/>
      <c r="BG68" s="5"/>
      <c r="BH68" s="5"/>
      <c r="BI68" s="5"/>
    </row>
    <row r="69" spans="1:62" customFormat="1">
      <c r="A69" s="114">
        <v>169</v>
      </c>
      <c r="B69" s="114" t="s">
        <v>196</v>
      </c>
      <c r="C69" s="114" t="s">
        <v>1974</v>
      </c>
      <c r="D69" s="113" t="s">
        <v>15</v>
      </c>
      <c r="E69" s="113" t="s">
        <v>22</v>
      </c>
      <c r="F69" s="118" t="s">
        <v>2031</v>
      </c>
      <c r="G69" s="113" t="s">
        <v>1477</v>
      </c>
      <c r="H69" s="113" t="s">
        <v>62</v>
      </c>
      <c r="I69" s="113">
        <v>31</v>
      </c>
      <c r="J69" s="113" t="s">
        <v>63</v>
      </c>
      <c r="K69" s="113" t="s">
        <v>1804</v>
      </c>
      <c r="L69" s="115">
        <v>60</v>
      </c>
      <c r="M69" s="115"/>
      <c r="N69" s="115"/>
      <c r="O69" s="115"/>
      <c r="P69" s="115"/>
      <c r="Q69" s="115"/>
      <c r="R69" s="115"/>
      <c r="S69" s="113">
        <v>535</v>
      </c>
      <c r="T69" s="113">
        <v>85</v>
      </c>
      <c r="U69" s="113">
        <v>90</v>
      </c>
      <c r="V69" s="113">
        <v>80</v>
      </c>
      <c r="W69" s="113">
        <v>70</v>
      </c>
      <c r="X69" s="113">
        <v>80</v>
      </c>
      <c r="Y69" s="113">
        <v>130</v>
      </c>
      <c r="Z69" s="116">
        <v>16</v>
      </c>
      <c r="AA69" s="116">
        <v>7.5</v>
      </c>
      <c r="AB69" s="116">
        <v>13</v>
      </c>
      <c r="AC69" s="117">
        <f t="shared" si="1"/>
        <v>36.5</v>
      </c>
      <c r="AD69" s="113" t="s">
        <v>1537</v>
      </c>
      <c r="AE69" s="113"/>
      <c r="AF69" s="113"/>
      <c r="AG69" s="113"/>
      <c r="AH69" s="113"/>
      <c r="AI69" s="113"/>
      <c r="AJ69" s="113"/>
      <c r="AK69" s="113"/>
      <c r="AL69" s="113"/>
      <c r="AM69" s="118"/>
      <c r="AN69" s="113"/>
      <c r="AO69" s="113"/>
      <c r="AP69" s="113"/>
      <c r="AR69" s="5"/>
      <c r="AS69" s="5"/>
      <c r="AT69" s="5"/>
      <c r="AU69" s="5"/>
      <c r="AV69" s="5"/>
      <c r="AW69" s="5"/>
      <c r="AX69" s="5"/>
      <c r="AY69" s="5"/>
      <c r="AZ69" s="5"/>
      <c r="BA69" s="5"/>
      <c r="BB69" s="5"/>
      <c r="BC69" s="5"/>
      <c r="BD69" s="5"/>
      <c r="BE69" s="5"/>
      <c r="BF69" s="5"/>
      <c r="BG69" s="5"/>
      <c r="BH69" s="5"/>
      <c r="BI69" s="5"/>
    </row>
    <row r="70" spans="1:62" customFormat="1">
      <c r="A70" s="113">
        <v>144</v>
      </c>
      <c r="B70" s="113" t="s">
        <v>172</v>
      </c>
      <c r="C70" s="113" t="s">
        <v>1973</v>
      </c>
      <c r="D70" s="113" t="s">
        <v>113</v>
      </c>
      <c r="E70" s="113" t="s">
        <v>22</v>
      </c>
      <c r="F70" s="118" t="s">
        <v>2032</v>
      </c>
      <c r="G70" s="113" t="s">
        <v>1477</v>
      </c>
      <c r="H70" s="113" t="s">
        <v>172</v>
      </c>
      <c r="I70" s="113">
        <v>11</v>
      </c>
      <c r="J70" s="113" t="s">
        <v>1109</v>
      </c>
      <c r="K70" s="113" t="s">
        <v>1804</v>
      </c>
      <c r="L70" s="115"/>
      <c r="M70" s="115"/>
      <c r="N70" s="115"/>
      <c r="O70" s="115"/>
      <c r="P70" s="115"/>
      <c r="Q70" s="115"/>
      <c r="R70" s="115"/>
      <c r="S70" s="113">
        <v>580</v>
      </c>
      <c r="T70" s="113">
        <v>90</v>
      </c>
      <c r="U70" s="113">
        <v>85</v>
      </c>
      <c r="V70" s="113">
        <v>100</v>
      </c>
      <c r="W70" s="113">
        <v>95</v>
      </c>
      <c r="X70" s="113">
        <v>125</v>
      </c>
      <c r="Y70" s="113">
        <v>85</v>
      </c>
      <c r="Z70" s="116">
        <v>21</v>
      </c>
      <c r="AA70" s="116">
        <v>10.5</v>
      </c>
      <c r="AB70" s="116">
        <v>9</v>
      </c>
      <c r="AC70" s="117">
        <f t="shared" si="1"/>
        <v>40.5</v>
      </c>
      <c r="AD70" s="113" t="s">
        <v>1479</v>
      </c>
      <c r="AE70" s="113" t="s">
        <v>1097</v>
      </c>
      <c r="AF70" s="113" t="s">
        <v>943</v>
      </c>
      <c r="AG70" s="113"/>
      <c r="AH70" s="113" t="s">
        <v>943</v>
      </c>
      <c r="AI70" s="113" t="s">
        <v>1049</v>
      </c>
      <c r="AJ70" s="113" t="s">
        <v>1020</v>
      </c>
      <c r="AK70" s="113" t="s">
        <v>1256</v>
      </c>
      <c r="AL70" s="113" t="s">
        <v>1076</v>
      </c>
      <c r="AM70" s="113" t="s">
        <v>1313</v>
      </c>
      <c r="AN70" s="113" t="s">
        <v>1312</v>
      </c>
      <c r="AO70" s="113" t="s">
        <v>1313</v>
      </c>
      <c r="AP70" s="113" t="s">
        <v>1312</v>
      </c>
      <c r="AR70" s="5"/>
      <c r="AS70" s="5"/>
      <c r="AT70" s="5"/>
      <c r="AU70" s="5"/>
      <c r="AV70" s="5"/>
      <c r="AW70" s="5"/>
      <c r="AX70" s="5"/>
      <c r="AY70" s="5"/>
      <c r="AZ70" s="5"/>
      <c r="BA70" s="5"/>
      <c r="BB70" s="5"/>
      <c r="BC70" s="5"/>
      <c r="BD70" s="5"/>
      <c r="BE70" s="5"/>
      <c r="BF70" s="5"/>
      <c r="BG70" s="5"/>
      <c r="BH70" s="5"/>
      <c r="BI70" s="5"/>
    </row>
    <row r="71" spans="1:62" customFormat="1">
      <c r="A71" s="113">
        <v>84</v>
      </c>
      <c r="B71" s="113" t="s">
        <v>109</v>
      </c>
      <c r="C71" s="113" t="s">
        <v>1973</v>
      </c>
      <c r="D71" s="113" t="s">
        <v>22</v>
      </c>
      <c r="E71" s="113" t="s">
        <v>36</v>
      </c>
      <c r="F71" s="118" t="s">
        <v>2031</v>
      </c>
      <c r="G71" s="113" t="s">
        <v>1479</v>
      </c>
      <c r="H71" s="113" t="s">
        <v>109</v>
      </c>
      <c r="I71" s="113">
        <v>11</v>
      </c>
      <c r="J71" s="113" t="s">
        <v>1109</v>
      </c>
      <c r="K71" s="115" t="s">
        <v>1968</v>
      </c>
      <c r="L71" s="115"/>
      <c r="M71" s="115"/>
      <c r="N71" s="115"/>
      <c r="O71" s="115"/>
      <c r="P71" s="115"/>
      <c r="Q71" s="115"/>
      <c r="R71" s="115"/>
      <c r="S71" s="113">
        <v>310</v>
      </c>
      <c r="T71" s="113">
        <v>35</v>
      </c>
      <c r="U71" s="113">
        <v>85</v>
      </c>
      <c r="V71" s="113">
        <v>45</v>
      </c>
      <c r="W71" s="113">
        <v>35</v>
      </c>
      <c r="X71" s="113">
        <v>35</v>
      </c>
      <c r="Y71" s="113">
        <v>75</v>
      </c>
      <c r="Z71" s="116">
        <v>8</v>
      </c>
      <c r="AA71" s="116">
        <v>4</v>
      </c>
      <c r="AB71" s="116">
        <v>8</v>
      </c>
      <c r="AC71" s="117">
        <f t="shared" si="1"/>
        <v>20</v>
      </c>
      <c r="AD71" s="113" t="s">
        <v>1545</v>
      </c>
      <c r="AE71" s="113" t="s">
        <v>1734</v>
      </c>
      <c r="AF71" s="113" t="s">
        <v>943</v>
      </c>
      <c r="AG71" s="113"/>
      <c r="AH71" s="113" t="s">
        <v>943</v>
      </c>
      <c r="AI71" s="113" t="s">
        <v>1218</v>
      </c>
      <c r="AJ71" s="113" t="s">
        <v>1219</v>
      </c>
      <c r="AK71" s="113" t="s">
        <v>1228</v>
      </c>
      <c r="AL71" s="113" t="s">
        <v>1220</v>
      </c>
      <c r="AM71" s="113" t="s">
        <v>1044</v>
      </c>
      <c r="AN71" s="113" t="s">
        <v>1043</v>
      </c>
      <c r="AO71" s="113" t="s">
        <v>1044</v>
      </c>
      <c r="AP71" s="113" t="s">
        <v>1043</v>
      </c>
      <c r="AR71" s="5"/>
      <c r="AS71" s="5"/>
      <c r="AT71" s="5"/>
      <c r="AU71" s="5"/>
      <c r="AV71" s="5"/>
      <c r="AW71" s="5"/>
      <c r="AX71" s="5"/>
      <c r="AY71" s="5"/>
      <c r="AZ71" s="5"/>
      <c r="BA71" s="5"/>
      <c r="BB71" s="5"/>
      <c r="BC71" s="5"/>
      <c r="BD71" s="5"/>
      <c r="BE71" s="5"/>
      <c r="BF71" s="5"/>
      <c r="BG71" s="5"/>
      <c r="BH71" s="5"/>
      <c r="BI71" s="5"/>
    </row>
    <row r="72" spans="1:62" customFormat="1">
      <c r="A72" s="113">
        <v>24</v>
      </c>
      <c r="B72" s="113" t="s">
        <v>44</v>
      </c>
      <c r="C72" s="113" t="s">
        <v>1973</v>
      </c>
      <c r="D72" s="113" t="s">
        <v>15</v>
      </c>
      <c r="E72" s="113"/>
      <c r="F72" s="118" t="s">
        <v>2031</v>
      </c>
      <c r="G72" s="113" t="s">
        <v>1477</v>
      </c>
      <c r="H72" s="113" t="s">
        <v>43</v>
      </c>
      <c r="I72" s="113">
        <v>21</v>
      </c>
      <c r="J72" s="113" t="s">
        <v>43</v>
      </c>
      <c r="K72" s="113" t="s">
        <v>1804</v>
      </c>
      <c r="L72" s="115"/>
      <c r="M72" s="115"/>
      <c r="N72" s="115"/>
      <c r="O72" s="115"/>
      <c r="P72" s="115"/>
      <c r="Q72" s="115"/>
      <c r="R72" s="115"/>
      <c r="S72" s="113">
        <v>438</v>
      </c>
      <c r="T72" s="113">
        <v>60</v>
      </c>
      <c r="U72" s="113">
        <v>85</v>
      </c>
      <c r="V72" s="113">
        <v>69</v>
      </c>
      <c r="W72" s="113">
        <v>65</v>
      </c>
      <c r="X72" s="113">
        <v>79</v>
      </c>
      <c r="Y72" s="113">
        <v>80</v>
      </c>
      <c r="Z72" s="116">
        <v>14</v>
      </c>
      <c r="AA72" s="116">
        <v>7.5</v>
      </c>
      <c r="AB72" s="116">
        <v>8</v>
      </c>
      <c r="AC72" s="117">
        <f t="shared" si="1"/>
        <v>29.5</v>
      </c>
      <c r="AD72" s="113" t="s">
        <v>1538</v>
      </c>
      <c r="AE72" s="113" t="s">
        <v>948</v>
      </c>
      <c r="AF72" s="113" t="s">
        <v>946</v>
      </c>
      <c r="AG72" s="113"/>
      <c r="AH72" s="113" t="s">
        <v>946</v>
      </c>
      <c r="AI72" s="113" t="s">
        <v>1631</v>
      </c>
      <c r="AJ72" s="113" t="s">
        <v>1225</v>
      </c>
      <c r="AK72" s="113" t="s">
        <v>1632</v>
      </c>
      <c r="AL72" s="113" t="s">
        <v>1633</v>
      </c>
      <c r="AM72" s="113" t="s">
        <v>1226</v>
      </c>
      <c r="AN72" s="113" t="s">
        <v>1227</v>
      </c>
      <c r="AO72" s="113" t="s">
        <v>1226</v>
      </c>
      <c r="AP72" s="113" t="s">
        <v>1227</v>
      </c>
      <c r="AR72" s="5"/>
      <c r="AS72" s="5"/>
      <c r="AT72" s="5"/>
      <c r="AU72" s="5"/>
      <c r="AV72" s="5"/>
      <c r="AW72" s="5"/>
      <c r="AX72" s="5"/>
      <c r="AY72" s="5"/>
      <c r="AZ72" s="5"/>
      <c r="BA72" s="5"/>
      <c r="BB72" s="5"/>
      <c r="BC72" s="5"/>
      <c r="BD72" s="5"/>
      <c r="BE72" s="5"/>
      <c r="BF72" s="5"/>
      <c r="BG72" s="5"/>
      <c r="BH72" s="5"/>
      <c r="BI72" s="5"/>
    </row>
    <row r="73" spans="1:62" customFormat="1">
      <c r="A73" s="113">
        <v>131</v>
      </c>
      <c r="B73" s="113" t="s">
        <v>159</v>
      </c>
      <c r="C73" s="113" t="s">
        <v>1973</v>
      </c>
      <c r="D73" s="113" t="s">
        <v>25</v>
      </c>
      <c r="E73" s="113" t="s">
        <v>113</v>
      </c>
      <c r="F73" s="118" t="s">
        <v>2031</v>
      </c>
      <c r="G73" s="113" t="s">
        <v>1477</v>
      </c>
      <c r="H73" s="113" t="s">
        <v>159</v>
      </c>
      <c r="I73" s="113">
        <v>11</v>
      </c>
      <c r="J73" s="113" t="s">
        <v>1109</v>
      </c>
      <c r="K73" s="113" t="s">
        <v>1804</v>
      </c>
      <c r="L73" s="115"/>
      <c r="M73" s="115"/>
      <c r="N73" s="115"/>
      <c r="O73" s="115"/>
      <c r="P73" s="115"/>
      <c r="Q73" s="115"/>
      <c r="R73" s="115"/>
      <c r="S73" s="113">
        <v>535</v>
      </c>
      <c r="T73" s="113">
        <v>130</v>
      </c>
      <c r="U73" s="113">
        <v>85</v>
      </c>
      <c r="V73" s="113">
        <v>80</v>
      </c>
      <c r="W73" s="113">
        <v>85</v>
      </c>
      <c r="X73" s="113">
        <v>95</v>
      </c>
      <c r="Y73" s="113">
        <v>60</v>
      </c>
      <c r="Z73" s="116">
        <v>20</v>
      </c>
      <c r="AA73" s="116">
        <v>7.5</v>
      </c>
      <c r="AB73" s="116">
        <v>6</v>
      </c>
      <c r="AC73" s="117">
        <f t="shared" si="1"/>
        <v>33.5</v>
      </c>
      <c r="AD73" s="113" t="s">
        <v>1537</v>
      </c>
      <c r="AE73" s="113" t="s">
        <v>1085</v>
      </c>
      <c r="AF73" s="113" t="s">
        <v>943</v>
      </c>
      <c r="AG73" s="113"/>
      <c r="AH73" s="113" t="s">
        <v>943</v>
      </c>
      <c r="AI73" s="113" t="s">
        <v>1694</v>
      </c>
      <c r="AJ73" s="113" t="s">
        <v>1018</v>
      </c>
      <c r="AK73" s="113" t="s">
        <v>1308</v>
      </c>
      <c r="AL73" s="113" t="s">
        <v>1347</v>
      </c>
      <c r="AM73" s="113" t="s">
        <v>1339</v>
      </c>
      <c r="AN73" s="113" t="s">
        <v>1338</v>
      </c>
      <c r="AO73" s="113" t="s">
        <v>1339</v>
      </c>
      <c r="AP73" s="113" t="s">
        <v>1338</v>
      </c>
      <c r="AR73" s="5"/>
      <c r="AS73" s="5"/>
      <c r="AT73" s="5"/>
      <c r="AU73" s="5"/>
      <c r="AV73" s="5"/>
      <c r="AW73" s="5"/>
      <c r="AX73" s="5"/>
      <c r="AY73" s="5"/>
      <c r="AZ73" s="5"/>
      <c r="BA73" s="5"/>
      <c r="BB73" s="5"/>
      <c r="BC73" s="5"/>
      <c r="BD73" s="5"/>
      <c r="BE73" s="5"/>
      <c r="BF73" s="5"/>
      <c r="BG73" s="5"/>
      <c r="BH73" s="5"/>
      <c r="BI73" s="5"/>
    </row>
    <row r="74" spans="1:62" customFormat="1">
      <c r="A74" s="114">
        <v>198</v>
      </c>
      <c r="B74" s="114" t="s">
        <v>225</v>
      </c>
      <c r="C74" s="114" t="s">
        <v>1974</v>
      </c>
      <c r="D74" s="113" t="s">
        <v>158</v>
      </c>
      <c r="E74" s="113" t="s">
        <v>22</v>
      </c>
      <c r="F74" s="118" t="s">
        <v>2031</v>
      </c>
      <c r="G74" s="113" t="s">
        <v>1477</v>
      </c>
      <c r="H74" s="113" t="s">
        <v>225</v>
      </c>
      <c r="I74" s="113">
        <v>11</v>
      </c>
      <c r="J74" s="113" t="s">
        <v>1109</v>
      </c>
      <c r="K74" s="113" t="s">
        <v>1804</v>
      </c>
      <c r="L74" s="115"/>
      <c r="M74" s="115"/>
      <c r="N74" s="115"/>
      <c r="O74" s="115"/>
      <c r="P74" s="115"/>
      <c r="Q74" s="115"/>
      <c r="R74" s="115"/>
      <c r="S74" s="113">
        <v>405</v>
      </c>
      <c r="T74" s="113">
        <v>60</v>
      </c>
      <c r="U74" s="113">
        <v>85</v>
      </c>
      <c r="V74" s="113">
        <v>42</v>
      </c>
      <c r="W74" s="113">
        <v>85</v>
      </c>
      <c r="X74" s="113">
        <v>42</v>
      </c>
      <c r="Y74" s="113">
        <v>91</v>
      </c>
      <c r="Z74" s="116">
        <v>10</v>
      </c>
      <c r="AA74" s="116">
        <v>8.5</v>
      </c>
      <c r="AB74" s="116">
        <v>9</v>
      </c>
      <c r="AC74" s="117">
        <f t="shared" si="1"/>
        <v>27.5</v>
      </c>
      <c r="AD74" s="113" t="s">
        <v>946</v>
      </c>
      <c r="AE74" s="113"/>
      <c r="AF74" s="113"/>
      <c r="AG74" s="113"/>
      <c r="AH74" s="113"/>
      <c r="AI74" s="113"/>
      <c r="AJ74" s="113"/>
      <c r="AK74" s="113"/>
      <c r="AL74" s="113"/>
      <c r="AM74" s="118"/>
      <c r="AN74" s="113"/>
      <c r="AO74" s="113"/>
      <c r="AP74" s="113"/>
      <c r="AR74" s="5"/>
      <c r="AS74" s="5"/>
      <c r="AT74" s="5"/>
      <c r="AU74" s="5"/>
      <c r="AV74" s="5"/>
      <c r="AW74" s="5"/>
      <c r="AX74" s="5"/>
      <c r="AY74" s="5"/>
      <c r="AZ74" s="5"/>
      <c r="BA74" s="5"/>
      <c r="BB74" s="5"/>
      <c r="BC74" s="5"/>
      <c r="BD74" s="5"/>
      <c r="BE74" s="5"/>
      <c r="BF74" s="5"/>
      <c r="BG74" s="5"/>
      <c r="BH74" s="5"/>
      <c r="BI74" s="5"/>
    </row>
    <row r="75" spans="1:62" customFormat="1">
      <c r="A75" s="114">
        <v>208</v>
      </c>
      <c r="B75" s="114" t="s">
        <v>235</v>
      </c>
      <c r="C75" s="114" t="s">
        <v>1974</v>
      </c>
      <c r="D75" s="113" t="s">
        <v>106</v>
      </c>
      <c r="E75" s="113" t="s">
        <v>49</v>
      </c>
      <c r="F75" s="118" t="s">
        <v>2031</v>
      </c>
      <c r="G75" s="113" t="s">
        <v>1477</v>
      </c>
      <c r="H75" s="113" t="s">
        <v>122</v>
      </c>
      <c r="I75" s="113">
        <v>21</v>
      </c>
      <c r="J75" s="113" t="s">
        <v>122</v>
      </c>
      <c r="K75" s="113" t="s">
        <v>1804</v>
      </c>
      <c r="L75" s="115"/>
      <c r="M75" s="115"/>
      <c r="N75" s="115" t="s">
        <v>1997</v>
      </c>
      <c r="O75" s="115"/>
      <c r="P75" s="115"/>
      <c r="Q75" s="115"/>
      <c r="R75" s="115"/>
      <c r="S75" s="113">
        <v>510</v>
      </c>
      <c r="T75" s="113">
        <v>75</v>
      </c>
      <c r="U75" s="113">
        <v>85</v>
      </c>
      <c r="V75" s="113">
        <v>200</v>
      </c>
      <c r="W75" s="113">
        <v>55</v>
      </c>
      <c r="X75" s="113">
        <v>65</v>
      </c>
      <c r="Y75" s="113">
        <v>30</v>
      </c>
      <c r="Z75" s="116">
        <v>23</v>
      </c>
      <c r="AA75" s="116">
        <v>7</v>
      </c>
      <c r="AB75" s="116">
        <v>3</v>
      </c>
      <c r="AC75" s="117">
        <f t="shared" si="1"/>
        <v>33</v>
      </c>
      <c r="AD75" s="113" t="s">
        <v>1538</v>
      </c>
      <c r="AE75" s="113"/>
      <c r="AF75" s="113"/>
      <c r="AG75" s="113"/>
      <c r="AH75" s="113"/>
      <c r="AI75" s="113"/>
      <c r="AJ75" s="113"/>
      <c r="AK75" s="113"/>
      <c r="AL75" s="113"/>
      <c r="AM75" s="118"/>
      <c r="AN75" s="113"/>
      <c r="AO75" s="113"/>
      <c r="AP75" s="113"/>
      <c r="AR75" s="5"/>
      <c r="AS75" s="5"/>
      <c r="AT75" s="5"/>
      <c r="AU75" s="5"/>
      <c r="AV75" s="5"/>
      <c r="AW75" s="5"/>
      <c r="AX75" s="5"/>
      <c r="AY75" s="5"/>
      <c r="AZ75" s="5"/>
      <c r="BA75" s="5"/>
      <c r="BB75" s="5"/>
      <c r="BC75" s="5"/>
      <c r="BD75" s="5"/>
      <c r="BE75" s="5"/>
      <c r="BF75" s="5"/>
      <c r="BG75" s="5"/>
      <c r="BH75" s="5"/>
      <c r="BI75" s="5"/>
    </row>
    <row r="76" spans="1:62" customFormat="1">
      <c r="A76" s="113">
        <v>77</v>
      </c>
      <c r="B76" s="113" t="s">
        <v>101</v>
      </c>
      <c r="C76" s="113" t="s">
        <v>1973</v>
      </c>
      <c r="D76" s="113" t="s">
        <v>19</v>
      </c>
      <c r="E76" s="113"/>
      <c r="F76" s="118" t="s">
        <v>2031</v>
      </c>
      <c r="G76" s="113" t="s">
        <v>1479</v>
      </c>
      <c r="H76" s="113" t="s">
        <v>101</v>
      </c>
      <c r="I76" s="113">
        <v>11</v>
      </c>
      <c r="J76" s="113" t="s">
        <v>1109</v>
      </c>
      <c r="K76" s="115" t="s">
        <v>1968</v>
      </c>
      <c r="L76" s="115"/>
      <c r="M76" s="115"/>
      <c r="N76" s="115"/>
      <c r="O76" s="115"/>
      <c r="P76" s="115"/>
      <c r="Q76" s="115"/>
      <c r="R76" s="115"/>
      <c r="S76" s="113">
        <v>410</v>
      </c>
      <c r="T76" s="113">
        <v>50</v>
      </c>
      <c r="U76" s="113">
        <v>85</v>
      </c>
      <c r="V76" s="113">
        <v>55</v>
      </c>
      <c r="W76" s="113">
        <v>65</v>
      </c>
      <c r="X76" s="113">
        <v>65</v>
      </c>
      <c r="Y76" s="113">
        <v>90</v>
      </c>
      <c r="Z76" s="116">
        <v>11</v>
      </c>
      <c r="AA76" s="116">
        <v>5</v>
      </c>
      <c r="AB76" s="116">
        <v>9</v>
      </c>
      <c r="AC76" s="117">
        <f t="shared" si="1"/>
        <v>25</v>
      </c>
      <c r="AD76" s="113" t="s">
        <v>1545</v>
      </c>
      <c r="AE76" s="113" t="s">
        <v>992</v>
      </c>
      <c r="AF76" s="113" t="s">
        <v>943</v>
      </c>
      <c r="AG76" s="113"/>
      <c r="AH76" s="113" t="s">
        <v>943</v>
      </c>
      <c r="AI76" s="113" t="s">
        <v>1239</v>
      </c>
      <c r="AJ76" s="113" t="s">
        <v>1283</v>
      </c>
      <c r="AK76" s="113" t="s">
        <v>1124</v>
      </c>
      <c r="AL76" s="113" t="s">
        <v>1722</v>
      </c>
      <c r="AM76" s="113" t="s">
        <v>1030</v>
      </c>
      <c r="AN76" s="113" t="s">
        <v>1029</v>
      </c>
      <c r="AO76" s="113" t="s">
        <v>1030</v>
      </c>
      <c r="AP76" s="113" t="s">
        <v>1029</v>
      </c>
      <c r="AR76" s="5"/>
      <c r="AS76" s="5"/>
      <c r="AT76" s="5"/>
      <c r="AU76" s="5"/>
      <c r="AV76" s="5"/>
      <c r="AW76" s="5"/>
      <c r="AX76" s="5"/>
      <c r="AY76" s="5"/>
      <c r="AZ76" s="5"/>
      <c r="BA76" s="5"/>
      <c r="BB76" s="5"/>
      <c r="BC76" s="5"/>
      <c r="BD76" s="5"/>
      <c r="BE76" s="5"/>
      <c r="BF76" s="5"/>
      <c r="BG76" s="5"/>
      <c r="BH76" s="5"/>
      <c r="BI76" s="5"/>
    </row>
    <row r="77" spans="1:62">
      <c r="A77" s="114">
        <v>243</v>
      </c>
      <c r="B77" s="114" t="s">
        <v>270</v>
      </c>
      <c r="C77" s="114" t="s">
        <v>1974</v>
      </c>
      <c r="D77" s="113" t="s">
        <v>46</v>
      </c>
      <c r="E77" s="113"/>
      <c r="F77" s="118" t="s">
        <v>2032</v>
      </c>
      <c r="G77" s="113" t="s">
        <v>1477</v>
      </c>
      <c r="H77" s="113" t="s">
        <v>270</v>
      </c>
      <c r="I77" s="113">
        <v>11</v>
      </c>
      <c r="J77" s="113" t="s">
        <v>1109</v>
      </c>
      <c r="K77" s="113" t="s">
        <v>1804</v>
      </c>
      <c r="L77" s="115"/>
      <c r="M77" s="115"/>
      <c r="N77" s="115"/>
      <c r="O77" s="115"/>
      <c r="P77" s="115"/>
      <c r="Q77" s="115"/>
      <c r="R77" s="115"/>
      <c r="S77" s="113">
        <v>580</v>
      </c>
      <c r="T77" s="113">
        <v>90</v>
      </c>
      <c r="U77" s="113">
        <v>85</v>
      </c>
      <c r="V77" s="113">
        <v>75</v>
      </c>
      <c r="W77" s="113">
        <v>115</v>
      </c>
      <c r="X77" s="113">
        <v>100</v>
      </c>
      <c r="Y77" s="113">
        <v>115</v>
      </c>
      <c r="Z77" s="116">
        <v>18</v>
      </c>
      <c r="AA77" s="116">
        <v>8.5</v>
      </c>
      <c r="AB77" s="116">
        <v>12</v>
      </c>
      <c r="AC77" s="117">
        <f t="shared" si="1"/>
        <v>38.5</v>
      </c>
      <c r="AD77" s="113" t="s">
        <v>1479</v>
      </c>
      <c r="AE77" s="113"/>
      <c r="AF77" s="113"/>
      <c r="AG77" s="113"/>
      <c r="AH77" s="113"/>
      <c r="AI77" s="113"/>
      <c r="AJ77" s="113"/>
      <c r="AK77" s="113"/>
      <c r="AL77" s="113"/>
      <c r="AM77" s="118"/>
      <c r="AN77" s="113"/>
      <c r="AO77" s="113"/>
      <c r="AP77" s="113"/>
      <c r="BJ77"/>
    </row>
    <row r="78" spans="1:62" customFormat="1">
      <c r="A78" s="113">
        <v>111</v>
      </c>
      <c r="B78" s="113" t="s">
        <v>138</v>
      </c>
      <c r="C78" s="113" t="s">
        <v>1973</v>
      </c>
      <c r="D78" s="113" t="s">
        <v>49</v>
      </c>
      <c r="E78" s="113" t="s">
        <v>98</v>
      </c>
      <c r="F78" s="118" t="s">
        <v>2031</v>
      </c>
      <c r="G78" s="113" t="s">
        <v>1479</v>
      </c>
      <c r="H78" s="113" t="s">
        <v>138</v>
      </c>
      <c r="I78" s="113">
        <v>11</v>
      </c>
      <c r="J78" s="113" t="s">
        <v>1109</v>
      </c>
      <c r="K78" s="115" t="s">
        <v>1968</v>
      </c>
      <c r="L78" s="115"/>
      <c r="M78" s="115"/>
      <c r="N78" s="115"/>
      <c r="O78" s="115"/>
      <c r="P78" s="115"/>
      <c r="Q78" s="115"/>
      <c r="R78" s="115"/>
      <c r="S78" s="113">
        <v>345</v>
      </c>
      <c r="T78" s="113">
        <v>80</v>
      </c>
      <c r="U78" s="113">
        <v>85</v>
      </c>
      <c r="V78" s="113">
        <v>95</v>
      </c>
      <c r="W78" s="113">
        <v>30</v>
      </c>
      <c r="X78" s="113">
        <v>30</v>
      </c>
      <c r="Y78" s="113">
        <v>25</v>
      </c>
      <c r="Z78" s="116">
        <v>14</v>
      </c>
      <c r="AA78" s="116">
        <v>5</v>
      </c>
      <c r="AB78" s="116">
        <v>3</v>
      </c>
      <c r="AC78" s="117">
        <f t="shared" si="1"/>
        <v>22</v>
      </c>
      <c r="AD78" s="113" t="s">
        <v>1545</v>
      </c>
      <c r="AE78" s="113" t="s">
        <v>1095</v>
      </c>
      <c r="AF78" s="113" t="s">
        <v>946</v>
      </c>
      <c r="AG78" s="113"/>
      <c r="AH78" s="113" t="s">
        <v>946</v>
      </c>
      <c r="AI78" s="113" t="s">
        <v>1242</v>
      </c>
      <c r="AJ78" s="113" t="s">
        <v>1363</v>
      </c>
      <c r="AK78" s="113" t="s">
        <v>1004</v>
      </c>
      <c r="AL78" s="113" t="s">
        <v>1574</v>
      </c>
      <c r="AM78" s="113" t="s">
        <v>1306</v>
      </c>
      <c r="AN78" s="113" t="s">
        <v>1305</v>
      </c>
      <c r="AO78" s="113" t="s">
        <v>1306</v>
      </c>
      <c r="AP78" s="113" t="s">
        <v>1305</v>
      </c>
      <c r="AR78" s="5"/>
      <c r="AS78" s="5"/>
      <c r="AT78" s="5"/>
      <c r="AU78" s="5"/>
      <c r="AV78" s="5"/>
      <c r="AW78" s="5"/>
      <c r="AX78" s="5"/>
      <c r="AY78" s="5"/>
      <c r="AZ78" s="5"/>
      <c r="BA78" s="5"/>
      <c r="BB78" s="5"/>
      <c r="BC78" s="5"/>
      <c r="BD78" s="5"/>
      <c r="BE78" s="5"/>
      <c r="BF78" s="5"/>
      <c r="BG78" s="5"/>
      <c r="BH78" s="5"/>
      <c r="BI78" s="5"/>
    </row>
    <row r="79" spans="1:62" customFormat="1">
      <c r="A79" s="114">
        <v>195</v>
      </c>
      <c r="B79" s="114" t="s">
        <v>222</v>
      </c>
      <c r="C79" s="114" t="s">
        <v>1974</v>
      </c>
      <c r="D79" s="113" t="s">
        <v>25</v>
      </c>
      <c r="E79" s="113" t="s">
        <v>49</v>
      </c>
      <c r="F79" s="118" t="s">
        <v>2031</v>
      </c>
      <c r="G79" s="113" t="s">
        <v>1477</v>
      </c>
      <c r="H79" s="113" t="s">
        <v>221</v>
      </c>
      <c r="I79" s="113">
        <v>21</v>
      </c>
      <c r="J79" s="113" t="s">
        <v>221</v>
      </c>
      <c r="K79" s="113" t="s">
        <v>1804</v>
      </c>
      <c r="L79" s="115"/>
      <c r="M79" s="115"/>
      <c r="N79" s="115"/>
      <c r="O79" s="115"/>
      <c r="P79" s="115"/>
      <c r="Q79" s="115"/>
      <c r="R79" s="115"/>
      <c r="S79" s="113">
        <v>430</v>
      </c>
      <c r="T79" s="113">
        <v>95</v>
      </c>
      <c r="U79" s="113">
        <v>85</v>
      </c>
      <c r="V79" s="113">
        <v>85</v>
      </c>
      <c r="W79" s="113">
        <v>65</v>
      </c>
      <c r="X79" s="113">
        <v>65</v>
      </c>
      <c r="Y79" s="113">
        <v>35</v>
      </c>
      <c r="Z79" s="116">
        <v>16</v>
      </c>
      <c r="AA79" s="116">
        <v>7.5</v>
      </c>
      <c r="AB79" s="116">
        <v>4</v>
      </c>
      <c r="AC79" s="117">
        <f t="shared" si="1"/>
        <v>27.5</v>
      </c>
      <c r="AD79" s="113" t="s">
        <v>946</v>
      </c>
      <c r="AE79" s="113"/>
      <c r="AF79" s="113"/>
      <c r="AG79" s="113"/>
      <c r="AH79" s="113"/>
      <c r="AI79" s="113"/>
      <c r="AJ79" s="113"/>
      <c r="AK79" s="113"/>
      <c r="AL79" s="113"/>
      <c r="AM79" s="118"/>
      <c r="AN79" s="113"/>
      <c r="AO79" s="113"/>
      <c r="AP79" s="113"/>
      <c r="AR79" s="5"/>
      <c r="AS79" s="5"/>
      <c r="AT79" s="5"/>
      <c r="AU79" s="5"/>
      <c r="AV79" s="5"/>
      <c r="AW79" s="5"/>
      <c r="AX79" s="5"/>
      <c r="AY79" s="5"/>
      <c r="AZ79" s="5"/>
      <c r="BA79" s="5"/>
      <c r="BB79" s="5"/>
      <c r="BC79" s="5"/>
      <c r="BD79" s="5"/>
      <c r="BE79" s="5"/>
      <c r="BF79" s="5"/>
      <c r="BG79" s="5"/>
      <c r="BH79" s="5"/>
      <c r="BI79" s="5"/>
    </row>
    <row r="80" spans="1:62" customFormat="1">
      <c r="A80" s="113">
        <v>6</v>
      </c>
      <c r="B80" s="113" t="s">
        <v>21</v>
      </c>
      <c r="C80" s="113" t="s">
        <v>1973</v>
      </c>
      <c r="D80" s="113" t="s">
        <v>19</v>
      </c>
      <c r="E80" s="113" t="s">
        <v>22</v>
      </c>
      <c r="F80" s="118" t="s">
        <v>2030</v>
      </c>
      <c r="G80" s="113" t="s">
        <v>1477</v>
      </c>
      <c r="H80" s="113" t="s">
        <v>18</v>
      </c>
      <c r="I80" s="113">
        <v>31</v>
      </c>
      <c r="J80" s="113" t="s">
        <v>20</v>
      </c>
      <c r="K80" s="113" t="s">
        <v>1804</v>
      </c>
      <c r="L80" s="115"/>
      <c r="M80" s="115"/>
      <c r="N80" s="115"/>
      <c r="O80" s="115"/>
      <c r="P80" s="115"/>
      <c r="Q80" s="115"/>
      <c r="R80" s="115"/>
      <c r="S80" s="113">
        <v>534</v>
      </c>
      <c r="T80" s="113">
        <v>78</v>
      </c>
      <c r="U80" s="113">
        <v>84</v>
      </c>
      <c r="V80" s="113">
        <v>78</v>
      </c>
      <c r="W80" s="113">
        <v>109</v>
      </c>
      <c r="X80" s="113">
        <v>85</v>
      </c>
      <c r="Y80" s="113">
        <v>100</v>
      </c>
      <c r="Z80" s="116">
        <v>16</v>
      </c>
      <c r="AA80" s="116">
        <v>7.5</v>
      </c>
      <c r="AB80" s="116">
        <v>10</v>
      </c>
      <c r="AC80" s="117">
        <f t="shared" si="1"/>
        <v>33.5</v>
      </c>
      <c r="AD80" s="113" t="s">
        <v>1537</v>
      </c>
      <c r="AE80" s="113" t="s">
        <v>977</v>
      </c>
      <c r="AF80" s="113" t="s">
        <v>946</v>
      </c>
      <c r="AG80" s="113"/>
      <c r="AH80" s="113" t="s">
        <v>946</v>
      </c>
      <c r="AI80" s="113" t="s">
        <v>1010</v>
      </c>
      <c r="AJ80" s="113" t="s">
        <v>1011</v>
      </c>
      <c r="AK80" s="113" t="s">
        <v>1609</v>
      </c>
      <c r="AL80" s="113" t="s">
        <v>1611</v>
      </c>
      <c r="AM80" s="113" t="s">
        <v>1032</v>
      </c>
      <c r="AN80" s="113" t="s">
        <v>1031</v>
      </c>
      <c r="AO80" s="113" t="s">
        <v>1032</v>
      </c>
      <c r="AP80" s="113" t="s">
        <v>1031</v>
      </c>
      <c r="AR80" s="5"/>
      <c r="AS80" s="5"/>
      <c r="AT80" s="5"/>
      <c r="AU80" s="5"/>
      <c r="AV80" s="5"/>
      <c r="AW80" s="5"/>
      <c r="AX80" s="5"/>
      <c r="AY80" s="5"/>
      <c r="AZ80" s="5"/>
      <c r="BA80" s="5"/>
      <c r="BB80" s="5"/>
      <c r="BC80" s="5"/>
      <c r="BD80" s="5"/>
      <c r="BE80" s="5"/>
      <c r="BF80" s="5"/>
      <c r="BG80" s="5"/>
      <c r="BH80" s="5"/>
      <c r="BI80" s="5"/>
    </row>
    <row r="81" spans="1:62" customFormat="1">
      <c r="A81" s="114">
        <v>157</v>
      </c>
      <c r="B81" s="114" t="s">
        <v>184</v>
      </c>
      <c r="C81" s="114" t="s">
        <v>1974</v>
      </c>
      <c r="D81" s="113" t="s">
        <v>19</v>
      </c>
      <c r="E81" s="113"/>
      <c r="F81" s="118" t="s">
        <v>2030</v>
      </c>
      <c r="G81" s="113" t="s">
        <v>1477</v>
      </c>
      <c r="H81" s="113" t="s">
        <v>182</v>
      </c>
      <c r="I81" s="113">
        <v>31</v>
      </c>
      <c r="J81" s="113" t="s">
        <v>183</v>
      </c>
      <c r="K81" s="113" t="s">
        <v>1804</v>
      </c>
      <c r="L81" s="115"/>
      <c r="M81" s="115"/>
      <c r="N81" s="115"/>
      <c r="O81" s="115"/>
      <c r="P81" s="115"/>
      <c r="Q81" s="115"/>
      <c r="R81" s="115"/>
      <c r="S81" s="113">
        <v>534</v>
      </c>
      <c r="T81" s="113">
        <v>78</v>
      </c>
      <c r="U81" s="113">
        <v>84</v>
      </c>
      <c r="V81" s="113">
        <v>78</v>
      </c>
      <c r="W81" s="113">
        <v>109</v>
      </c>
      <c r="X81" s="113">
        <v>85</v>
      </c>
      <c r="Y81" s="113">
        <v>100</v>
      </c>
      <c r="Z81" s="116">
        <v>16</v>
      </c>
      <c r="AA81" s="116">
        <v>9.5</v>
      </c>
      <c r="AB81" s="116">
        <v>10</v>
      </c>
      <c r="AC81" s="117">
        <f t="shared" si="1"/>
        <v>35.5</v>
      </c>
      <c r="AD81" s="113" t="s">
        <v>1537</v>
      </c>
      <c r="AE81" s="113"/>
      <c r="AF81" s="113"/>
      <c r="AG81" s="113"/>
      <c r="AH81" s="113"/>
      <c r="AI81" s="113"/>
      <c r="AJ81" s="113"/>
      <c r="AK81" s="113"/>
      <c r="AL81" s="113"/>
      <c r="AM81" s="118"/>
      <c r="AN81" s="113"/>
      <c r="AO81" s="113"/>
      <c r="AP81" s="113"/>
      <c r="AR81" s="5"/>
      <c r="AS81" s="5"/>
      <c r="AT81" s="5"/>
      <c r="AU81" s="5"/>
      <c r="AV81" s="5"/>
      <c r="AW81" s="5"/>
      <c r="AX81" s="5"/>
      <c r="AY81" s="5"/>
      <c r="AZ81" s="5"/>
      <c r="BA81" s="5"/>
      <c r="BB81" s="5"/>
      <c r="BC81" s="5"/>
      <c r="BD81" s="5"/>
      <c r="BE81" s="5"/>
      <c r="BF81" s="5"/>
      <c r="BG81" s="5"/>
      <c r="BH81" s="5"/>
      <c r="BI81" s="5"/>
    </row>
    <row r="82" spans="1:62" customFormat="1">
      <c r="A82" s="113">
        <v>148</v>
      </c>
      <c r="B82" s="113" t="s">
        <v>176</v>
      </c>
      <c r="C82" s="113" t="s">
        <v>1973</v>
      </c>
      <c r="D82" s="113" t="s">
        <v>23</v>
      </c>
      <c r="E82" s="113"/>
      <c r="F82" s="118" t="s">
        <v>2031</v>
      </c>
      <c r="G82" s="113" t="s">
        <v>1478</v>
      </c>
      <c r="H82" s="113" t="s">
        <v>175</v>
      </c>
      <c r="I82" s="113">
        <v>21</v>
      </c>
      <c r="J82" s="113" t="s">
        <v>175</v>
      </c>
      <c r="K82" s="114" t="s">
        <v>1968</v>
      </c>
      <c r="L82" s="115"/>
      <c r="M82" s="115"/>
      <c r="N82" s="115"/>
      <c r="O82" s="115"/>
      <c r="P82" s="115"/>
      <c r="Q82" s="115"/>
      <c r="R82" s="115"/>
      <c r="S82" s="113">
        <v>420</v>
      </c>
      <c r="T82" s="113">
        <v>61</v>
      </c>
      <c r="U82" s="113">
        <v>84</v>
      </c>
      <c r="V82" s="113">
        <v>65</v>
      </c>
      <c r="W82" s="113">
        <v>70</v>
      </c>
      <c r="X82" s="113">
        <v>70</v>
      </c>
      <c r="Y82" s="113">
        <v>70</v>
      </c>
      <c r="Z82" s="116">
        <v>13</v>
      </c>
      <c r="AA82" s="116">
        <v>7</v>
      </c>
      <c r="AB82" s="116">
        <v>7</v>
      </c>
      <c r="AC82" s="117">
        <f t="shared" si="1"/>
        <v>27</v>
      </c>
      <c r="AD82" s="113" t="s">
        <v>946</v>
      </c>
      <c r="AE82" s="113" t="s">
        <v>1145</v>
      </c>
      <c r="AF82" s="113" t="s">
        <v>943</v>
      </c>
      <c r="AG82" s="113"/>
      <c r="AH82" s="113" t="s">
        <v>943</v>
      </c>
      <c r="AI82" s="113" t="s">
        <v>1151</v>
      </c>
      <c r="AJ82" s="113" t="s">
        <v>1314</v>
      </c>
      <c r="AK82" s="113" t="s">
        <v>1233</v>
      </c>
      <c r="AL82" s="113" t="s">
        <v>1661</v>
      </c>
      <c r="AM82" s="113" t="s">
        <v>1327</v>
      </c>
      <c r="AN82" s="113" t="s">
        <v>1326</v>
      </c>
      <c r="AO82" s="113" t="s">
        <v>1327</v>
      </c>
      <c r="AP82" s="113" t="s">
        <v>1326</v>
      </c>
      <c r="AR82" s="5"/>
      <c r="AS82" s="5"/>
      <c r="AT82" s="5"/>
      <c r="AU82" s="5"/>
      <c r="AV82" s="5"/>
      <c r="AW82" s="5"/>
      <c r="AX82" s="5"/>
      <c r="AY82" s="5"/>
      <c r="AZ82" s="5"/>
      <c r="BA82" s="5"/>
      <c r="BB82" s="5"/>
      <c r="BC82" s="5"/>
      <c r="BD82" s="5"/>
      <c r="BE82" s="5"/>
      <c r="BF82" s="5"/>
      <c r="BG82" s="5"/>
      <c r="BH82" s="5"/>
      <c r="BI82" s="5"/>
    </row>
    <row r="83" spans="1:62" customFormat="1">
      <c r="A83" s="114">
        <v>247</v>
      </c>
      <c r="B83" s="114" t="s">
        <v>274</v>
      </c>
      <c r="C83" s="114" t="s">
        <v>1974</v>
      </c>
      <c r="D83" s="113" t="s">
        <v>98</v>
      </c>
      <c r="E83" s="113" t="s">
        <v>49</v>
      </c>
      <c r="F83" s="118" t="s">
        <v>2031</v>
      </c>
      <c r="G83" s="113" t="s">
        <v>1478</v>
      </c>
      <c r="H83" s="113" t="s">
        <v>273</v>
      </c>
      <c r="I83" s="113">
        <v>21</v>
      </c>
      <c r="J83" s="113" t="s">
        <v>273</v>
      </c>
      <c r="K83" s="113" t="s">
        <v>1968</v>
      </c>
      <c r="L83" s="115"/>
      <c r="M83" s="115"/>
      <c r="N83" s="115"/>
      <c r="O83" s="115"/>
      <c r="P83" s="115"/>
      <c r="Q83" s="115"/>
      <c r="R83" s="115"/>
      <c r="S83" s="113">
        <v>410</v>
      </c>
      <c r="T83" s="113">
        <v>70</v>
      </c>
      <c r="U83" s="113">
        <v>84</v>
      </c>
      <c r="V83" s="113">
        <v>70</v>
      </c>
      <c r="W83" s="113">
        <v>65</v>
      </c>
      <c r="X83" s="113">
        <v>70</v>
      </c>
      <c r="Y83" s="113">
        <v>51</v>
      </c>
      <c r="Z83" s="116">
        <v>14</v>
      </c>
      <c r="AA83" s="116">
        <v>7</v>
      </c>
      <c r="AB83" s="116">
        <v>5</v>
      </c>
      <c r="AC83" s="117">
        <f t="shared" si="1"/>
        <v>26</v>
      </c>
      <c r="AD83" s="113" t="s">
        <v>946</v>
      </c>
      <c r="AE83" s="113"/>
      <c r="AF83" s="113"/>
      <c r="AG83" s="113"/>
      <c r="AH83" s="113"/>
      <c r="AI83" s="113"/>
      <c r="AJ83" s="113"/>
      <c r="AK83" s="113"/>
      <c r="AL83" s="113"/>
      <c r="AM83" s="118"/>
      <c r="AN83" s="113"/>
      <c r="AO83" s="113"/>
      <c r="AP83" s="113"/>
      <c r="AQ83" s="5"/>
      <c r="AR83" s="5"/>
      <c r="AS83" s="5"/>
      <c r="AT83" s="5"/>
      <c r="AU83" s="5"/>
      <c r="AV83" s="5"/>
      <c r="AW83" s="5"/>
      <c r="AX83" s="5"/>
      <c r="AY83" s="5"/>
      <c r="AZ83" s="5"/>
      <c r="BA83" s="5"/>
      <c r="BB83" s="5"/>
      <c r="BC83" s="5"/>
      <c r="BD83" s="5"/>
      <c r="BE83" s="5"/>
      <c r="BF83" s="5"/>
      <c r="BG83" s="5"/>
      <c r="BH83" s="5"/>
      <c r="BI83" s="5"/>
    </row>
    <row r="84" spans="1:62" customFormat="1">
      <c r="A84" s="113">
        <v>125</v>
      </c>
      <c r="B84" s="113" t="s">
        <v>152</v>
      </c>
      <c r="C84" s="113" t="s">
        <v>1973</v>
      </c>
      <c r="D84" s="113" t="s">
        <v>46</v>
      </c>
      <c r="E84" s="113"/>
      <c r="F84" s="118" t="s">
        <v>2031</v>
      </c>
      <c r="G84" s="113" t="s">
        <v>1477</v>
      </c>
      <c r="H84" s="113" t="s">
        <v>266</v>
      </c>
      <c r="I84" s="113">
        <v>21</v>
      </c>
      <c r="J84" s="113" t="s">
        <v>266</v>
      </c>
      <c r="K84" s="113" t="s">
        <v>1804</v>
      </c>
      <c r="L84" s="115"/>
      <c r="M84" s="115"/>
      <c r="N84" s="115"/>
      <c r="O84" s="115"/>
      <c r="P84" s="115"/>
      <c r="Q84" s="115"/>
      <c r="R84" s="115"/>
      <c r="S84" s="113">
        <v>490</v>
      </c>
      <c r="T84" s="113">
        <v>65</v>
      </c>
      <c r="U84" s="113">
        <v>83</v>
      </c>
      <c r="V84" s="113">
        <v>57</v>
      </c>
      <c r="W84" s="113">
        <v>95</v>
      </c>
      <c r="X84" s="113">
        <v>85</v>
      </c>
      <c r="Y84" s="113">
        <v>105</v>
      </c>
      <c r="Z84" s="116">
        <v>14</v>
      </c>
      <c r="AA84" s="116">
        <v>7.5</v>
      </c>
      <c r="AB84" s="116">
        <v>11</v>
      </c>
      <c r="AC84" s="117">
        <f t="shared" si="1"/>
        <v>32.5</v>
      </c>
      <c r="AD84" s="113" t="s">
        <v>1538</v>
      </c>
      <c r="AE84" s="113" t="s">
        <v>986</v>
      </c>
      <c r="AF84" s="113" t="s">
        <v>946</v>
      </c>
      <c r="AG84" s="113"/>
      <c r="AH84" s="113" t="s">
        <v>946</v>
      </c>
      <c r="AI84" s="113" t="s">
        <v>1019</v>
      </c>
      <c r="AJ84" s="113" t="s">
        <v>1233</v>
      </c>
      <c r="AK84" s="113" t="s">
        <v>1278</v>
      </c>
      <c r="AL84" s="113" t="s">
        <v>1348</v>
      </c>
      <c r="AM84" s="113" t="s">
        <v>1232</v>
      </c>
      <c r="AN84" s="113" t="s">
        <v>1231</v>
      </c>
      <c r="AO84" s="113" t="s">
        <v>1232</v>
      </c>
      <c r="AP84" s="113" t="s">
        <v>1231</v>
      </c>
      <c r="AR84" s="5"/>
      <c r="AS84" s="5"/>
      <c r="AT84" s="5"/>
      <c r="AU84" s="5"/>
      <c r="AV84" s="5"/>
      <c r="AW84" s="5"/>
      <c r="AX84" s="5"/>
      <c r="AY84" s="5"/>
      <c r="AZ84" s="5"/>
      <c r="BA84" s="5"/>
      <c r="BB84" s="5"/>
      <c r="BC84" s="5"/>
      <c r="BD84" s="5"/>
      <c r="BE84" s="5"/>
      <c r="BF84" s="5"/>
      <c r="BG84" s="5"/>
      <c r="BH84" s="5"/>
      <c r="BI84" s="5"/>
    </row>
    <row r="85" spans="1:62" customFormat="1">
      <c r="A85" s="113">
        <v>9</v>
      </c>
      <c r="B85" s="113" t="s">
        <v>27</v>
      </c>
      <c r="C85" s="113" t="s">
        <v>1973</v>
      </c>
      <c r="D85" s="113" t="s">
        <v>25</v>
      </c>
      <c r="E85" s="113"/>
      <c r="F85" s="118" t="s">
        <v>2030</v>
      </c>
      <c r="G85" s="113" t="s">
        <v>1477</v>
      </c>
      <c r="H85" s="113" t="s">
        <v>24</v>
      </c>
      <c r="I85" s="113">
        <v>31</v>
      </c>
      <c r="J85" s="113" t="s">
        <v>26</v>
      </c>
      <c r="K85" s="113" t="s">
        <v>1804</v>
      </c>
      <c r="L85" s="115"/>
      <c r="M85" s="115"/>
      <c r="N85" s="115"/>
      <c r="O85" s="115"/>
      <c r="P85" s="115"/>
      <c r="Q85" s="115"/>
      <c r="R85" s="115"/>
      <c r="S85" s="113">
        <v>530</v>
      </c>
      <c r="T85" s="113">
        <v>79</v>
      </c>
      <c r="U85" s="113">
        <v>83</v>
      </c>
      <c r="V85" s="113">
        <v>100</v>
      </c>
      <c r="W85" s="113">
        <v>85</v>
      </c>
      <c r="X85" s="113">
        <v>105</v>
      </c>
      <c r="Y85" s="113">
        <v>78</v>
      </c>
      <c r="Z85" s="116">
        <v>19</v>
      </c>
      <c r="AA85" s="116">
        <v>7.5</v>
      </c>
      <c r="AB85" s="116">
        <v>8</v>
      </c>
      <c r="AC85" s="117">
        <f t="shared" si="1"/>
        <v>34.5</v>
      </c>
      <c r="AD85" s="113" t="s">
        <v>1537</v>
      </c>
      <c r="AE85" s="113" t="s">
        <v>1001</v>
      </c>
      <c r="AF85" s="113" t="s">
        <v>946</v>
      </c>
      <c r="AG85" s="113"/>
      <c r="AH85" s="113" t="s">
        <v>946</v>
      </c>
      <c r="AI85" s="113" t="s">
        <v>1020</v>
      </c>
      <c r="AJ85" s="113" t="s">
        <v>1018</v>
      </c>
      <c r="AK85" s="113" t="s">
        <v>1277</v>
      </c>
      <c r="AL85" s="113" t="s">
        <v>1352</v>
      </c>
      <c r="AM85" s="113" t="s">
        <v>1026</v>
      </c>
      <c r="AN85" s="113" t="s">
        <v>1025</v>
      </c>
      <c r="AO85" s="113" t="s">
        <v>1026</v>
      </c>
      <c r="AP85" s="113" t="s">
        <v>1025</v>
      </c>
      <c r="AQ85" s="5"/>
      <c r="AR85" s="5"/>
      <c r="AS85" s="5"/>
      <c r="AT85" s="5"/>
      <c r="AU85" s="5"/>
      <c r="AV85" s="5"/>
      <c r="AW85" s="5"/>
      <c r="AX85" s="5"/>
      <c r="AY85" s="5"/>
      <c r="AZ85" s="5"/>
      <c r="BA85" s="5"/>
      <c r="BB85" s="5"/>
      <c r="BC85" s="5"/>
      <c r="BD85" s="5"/>
      <c r="BE85" s="5"/>
      <c r="BF85" s="5"/>
      <c r="BG85" s="5"/>
      <c r="BH85" s="5"/>
      <c r="BI85" s="5"/>
    </row>
    <row r="86" spans="1:62" customFormat="1">
      <c r="A86" s="113">
        <v>3</v>
      </c>
      <c r="B86" s="113" t="s">
        <v>17</v>
      </c>
      <c r="C86" s="113" t="s">
        <v>1973</v>
      </c>
      <c r="D86" s="113" t="s">
        <v>14</v>
      </c>
      <c r="E86" s="113" t="s">
        <v>15</v>
      </c>
      <c r="F86" s="118" t="s">
        <v>2030</v>
      </c>
      <c r="G86" s="113" t="s">
        <v>1477</v>
      </c>
      <c r="H86" s="113" t="s">
        <v>13</v>
      </c>
      <c r="I86" s="113">
        <v>31</v>
      </c>
      <c r="J86" s="113" t="s">
        <v>16</v>
      </c>
      <c r="K86" s="113" t="s">
        <v>1804</v>
      </c>
      <c r="L86" s="115"/>
      <c r="M86" s="115"/>
      <c r="N86" s="115"/>
      <c r="O86" s="115"/>
      <c r="P86" s="115"/>
      <c r="Q86" s="115"/>
      <c r="R86" s="115"/>
      <c r="S86" s="113">
        <v>525</v>
      </c>
      <c r="T86" s="113">
        <v>80</v>
      </c>
      <c r="U86" s="113">
        <v>82</v>
      </c>
      <c r="V86" s="113">
        <v>83</v>
      </c>
      <c r="W86" s="113">
        <v>100</v>
      </c>
      <c r="X86" s="113">
        <v>100</v>
      </c>
      <c r="Y86" s="113">
        <v>80</v>
      </c>
      <c r="Z86" s="116">
        <v>18</v>
      </c>
      <c r="AA86" s="116">
        <v>7.5</v>
      </c>
      <c r="AB86" s="116">
        <v>8</v>
      </c>
      <c r="AC86" s="117">
        <f t="shared" si="1"/>
        <v>33.5</v>
      </c>
      <c r="AD86" s="113" t="s">
        <v>1537</v>
      </c>
      <c r="AE86" s="113" t="s">
        <v>973</v>
      </c>
      <c r="AF86" s="113" t="s">
        <v>946</v>
      </c>
      <c r="AG86" s="113" t="s">
        <v>1547</v>
      </c>
      <c r="AH86" s="113" t="s">
        <v>946</v>
      </c>
      <c r="AI86" s="113" t="s">
        <v>1008</v>
      </c>
      <c r="AJ86" s="113" t="s">
        <v>1009</v>
      </c>
      <c r="AK86" s="113" t="s">
        <v>1235</v>
      </c>
      <c r="AL86" s="113" t="s">
        <v>1301</v>
      </c>
      <c r="AM86" s="113" t="s">
        <v>1028</v>
      </c>
      <c r="AN86" s="113" t="s">
        <v>1027</v>
      </c>
      <c r="AO86" s="113" t="s">
        <v>1028</v>
      </c>
      <c r="AP86" s="113" t="s">
        <v>1027</v>
      </c>
      <c r="AR86" s="5"/>
      <c r="AS86" s="5"/>
      <c r="AT86" s="5"/>
      <c r="AU86" s="5"/>
      <c r="AV86" s="5"/>
      <c r="AW86" s="5"/>
      <c r="AX86" s="5"/>
      <c r="AY86" s="5"/>
      <c r="AZ86" s="5"/>
      <c r="BA86" s="5"/>
      <c r="BB86" s="5"/>
      <c r="BC86" s="5"/>
      <c r="BD86" s="5"/>
      <c r="BE86" s="5"/>
      <c r="BF86" s="5"/>
      <c r="BG86" s="5"/>
      <c r="BH86" s="5"/>
      <c r="BI86" s="5"/>
    </row>
    <row r="87" spans="1:62" customFormat="1">
      <c r="A87" s="113">
        <v>154</v>
      </c>
      <c r="B87" s="113" t="s">
        <v>1963</v>
      </c>
      <c r="C87" s="114" t="s">
        <v>1974</v>
      </c>
      <c r="D87" s="113" t="s">
        <v>14</v>
      </c>
      <c r="E87" s="113"/>
      <c r="F87" s="118" t="s">
        <v>2030</v>
      </c>
      <c r="G87" s="113" t="s">
        <v>1477</v>
      </c>
      <c r="H87" s="113" t="s">
        <v>180</v>
      </c>
      <c r="I87" s="113">
        <v>31</v>
      </c>
      <c r="J87" s="113" t="s">
        <v>181</v>
      </c>
      <c r="K87" s="113" t="s">
        <v>1804</v>
      </c>
      <c r="L87" s="115"/>
      <c r="M87" s="115"/>
      <c r="N87" s="115"/>
      <c r="O87" s="115"/>
      <c r="P87" s="115"/>
      <c r="Q87" s="115"/>
      <c r="R87" s="115"/>
      <c r="S87" s="113">
        <v>525</v>
      </c>
      <c r="T87" s="113">
        <v>80</v>
      </c>
      <c r="U87" s="113">
        <v>82</v>
      </c>
      <c r="V87" s="113">
        <v>100</v>
      </c>
      <c r="W87" s="113">
        <v>83</v>
      </c>
      <c r="X87" s="113">
        <v>100</v>
      </c>
      <c r="Y87" s="113">
        <v>80</v>
      </c>
      <c r="Z87" s="116">
        <v>19</v>
      </c>
      <c r="AA87" s="116">
        <v>7.5</v>
      </c>
      <c r="AB87" s="116">
        <v>8</v>
      </c>
      <c r="AC87" s="117">
        <f t="shared" si="1"/>
        <v>34.5</v>
      </c>
      <c r="AD87" s="113" t="s">
        <v>1537</v>
      </c>
      <c r="AE87" s="113"/>
      <c r="AF87" s="113"/>
      <c r="AG87" s="113"/>
      <c r="AH87" s="113"/>
      <c r="AI87" s="113"/>
      <c r="AJ87" s="113"/>
      <c r="AK87" s="113"/>
      <c r="AL87" s="113"/>
      <c r="AM87" s="118"/>
      <c r="AN87" s="113"/>
      <c r="AO87" s="113"/>
      <c r="AP87" s="113"/>
      <c r="AR87" s="5"/>
      <c r="AS87" s="5"/>
      <c r="AT87" s="5"/>
      <c r="AU87" s="5"/>
      <c r="AV87" s="5"/>
      <c r="AW87" s="5"/>
      <c r="AX87" s="5"/>
      <c r="AY87" s="5"/>
      <c r="AZ87" s="5"/>
      <c r="BA87" s="5"/>
      <c r="BB87" s="5"/>
      <c r="BC87" s="5"/>
      <c r="BD87" s="5"/>
      <c r="BE87" s="5"/>
      <c r="BF87" s="5"/>
      <c r="BG87" s="5"/>
      <c r="BH87" s="5"/>
      <c r="BI87" s="5"/>
    </row>
    <row r="88" spans="1:62" customFormat="1">
      <c r="A88" s="113">
        <v>55</v>
      </c>
      <c r="B88" s="113" t="s">
        <v>76</v>
      </c>
      <c r="C88" s="113" t="s">
        <v>1973</v>
      </c>
      <c r="D88" s="113" t="s">
        <v>25</v>
      </c>
      <c r="E88" s="113"/>
      <c r="F88" s="118" t="s">
        <v>2031</v>
      </c>
      <c r="G88" s="113" t="s">
        <v>1477</v>
      </c>
      <c r="H88" s="113" t="s">
        <v>75</v>
      </c>
      <c r="I88" s="113">
        <v>21</v>
      </c>
      <c r="J88" s="113" t="s">
        <v>75</v>
      </c>
      <c r="K88" s="113" t="s">
        <v>1804</v>
      </c>
      <c r="L88" s="115"/>
      <c r="M88" s="115"/>
      <c r="N88" s="115"/>
      <c r="O88" s="115"/>
      <c r="P88" s="115"/>
      <c r="Q88" s="115"/>
      <c r="R88" s="115"/>
      <c r="S88" s="113">
        <v>500</v>
      </c>
      <c r="T88" s="113">
        <v>80</v>
      </c>
      <c r="U88" s="113">
        <v>82</v>
      </c>
      <c r="V88" s="113">
        <v>78</v>
      </c>
      <c r="W88" s="113">
        <v>95</v>
      </c>
      <c r="X88" s="113">
        <v>80</v>
      </c>
      <c r="Y88" s="113">
        <v>85</v>
      </c>
      <c r="Z88" s="116">
        <v>16</v>
      </c>
      <c r="AA88" s="116">
        <v>7</v>
      </c>
      <c r="AB88" s="116">
        <v>9</v>
      </c>
      <c r="AC88" s="117">
        <f t="shared" si="1"/>
        <v>32</v>
      </c>
      <c r="AD88" s="113" t="s">
        <v>1538</v>
      </c>
      <c r="AE88" s="113" t="s">
        <v>1158</v>
      </c>
      <c r="AF88" s="113" t="s">
        <v>943</v>
      </c>
      <c r="AG88" s="113"/>
      <c r="AH88" s="113" t="s">
        <v>943</v>
      </c>
      <c r="AI88" s="113" t="s">
        <v>1277</v>
      </c>
      <c r="AJ88" s="113" t="s">
        <v>1276</v>
      </c>
      <c r="AK88" s="113" t="s">
        <v>1124</v>
      </c>
      <c r="AL88" s="113" t="s">
        <v>1293</v>
      </c>
      <c r="AM88" s="113" t="s">
        <v>1026</v>
      </c>
      <c r="AN88" s="113" t="s">
        <v>1025</v>
      </c>
      <c r="AO88" s="113" t="s">
        <v>1026</v>
      </c>
      <c r="AP88" s="113" t="s">
        <v>1025</v>
      </c>
      <c r="AR88" s="5"/>
      <c r="AS88" s="5"/>
      <c r="AT88" s="5"/>
      <c r="AU88" s="5"/>
      <c r="AV88" s="5"/>
      <c r="AW88" s="5"/>
      <c r="AX88" s="5"/>
      <c r="AY88" s="5"/>
      <c r="AZ88" s="5"/>
      <c r="BA88" s="5"/>
      <c r="BB88" s="5"/>
      <c r="BC88" s="5"/>
      <c r="BD88" s="5"/>
      <c r="BE88" s="5"/>
      <c r="BF88" s="5"/>
      <c r="BG88" s="5"/>
      <c r="BH88" s="5"/>
      <c r="BI88" s="5"/>
    </row>
    <row r="89" spans="1:62" customFormat="1">
      <c r="A89" s="113">
        <v>20</v>
      </c>
      <c r="B89" s="113" t="s">
        <v>40</v>
      </c>
      <c r="C89" s="113" t="s">
        <v>1973</v>
      </c>
      <c r="D89" s="113" t="s">
        <v>36</v>
      </c>
      <c r="E89" s="113"/>
      <c r="F89" s="118" t="s">
        <v>2031</v>
      </c>
      <c r="G89" s="113" t="s">
        <v>1477</v>
      </c>
      <c r="H89" s="113" t="s">
        <v>39</v>
      </c>
      <c r="I89" s="113">
        <v>21</v>
      </c>
      <c r="J89" s="113" t="s">
        <v>39</v>
      </c>
      <c r="K89" s="113" t="s">
        <v>1804</v>
      </c>
      <c r="L89" s="115"/>
      <c r="M89" s="115"/>
      <c r="N89" s="115"/>
      <c r="O89" s="115"/>
      <c r="P89" s="115"/>
      <c r="Q89" s="115"/>
      <c r="R89" s="115"/>
      <c r="S89" s="113">
        <v>413</v>
      </c>
      <c r="T89" s="113">
        <v>55</v>
      </c>
      <c r="U89" s="113">
        <v>81</v>
      </c>
      <c r="V89" s="113">
        <v>60</v>
      </c>
      <c r="W89" s="113">
        <v>50</v>
      </c>
      <c r="X89" s="113">
        <v>70</v>
      </c>
      <c r="Y89" s="113">
        <v>97</v>
      </c>
      <c r="Z89" s="116">
        <v>12</v>
      </c>
      <c r="AA89" s="116">
        <v>6</v>
      </c>
      <c r="AB89" s="116">
        <v>10</v>
      </c>
      <c r="AC89" s="117">
        <f t="shared" si="1"/>
        <v>28</v>
      </c>
      <c r="AD89" s="113" t="s">
        <v>946</v>
      </c>
      <c r="AE89" s="113" t="s">
        <v>978</v>
      </c>
      <c r="AF89" s="113" t="s">
        <v>946</v>
      </c>
      <c r="AG89" s="113"/>
      <c r="AH89" s="113" t="s">
        <v>946</v>
      </c>
      <c r="AI89" s="113" t="s">
        <v>1052</v>
      </c>
      <c r="AJ89" s="113" t="s">
        <v>1053</v>
      </c>
      <c r="AK89" s="113" t="s">
        <v>1629</v>
      </c>
      <c r="AL89" s="113" t="s">
        <v>1584</v>
      </c>
      <c r="AM89" s="113" t="s">
        <v>1055</v>
      </c>
      <c r="AN89" s="113" t="s">
        <v>1054</v>
      </c>
      <c r="AO89" s="113" t="s">
        <v>1055</v>
      </c>
      <c r="AP89" s="113" t="s">
        <v>1054</v>
      </c>
      <c r="AR89" s="5"/>
      <c r="AS89" s="5"/>
      <c r="AT89" s="5"/>
      <c r="AU89" s="5"/>
      <c r="AV89" s="5"/>
      <c r="AW89" s="5"/>
      <c r="AX89" s="5"/>
      <c r="AY89" s="5"/>
      <c r="AZ89" s="5"/>
      <c r="BA89" s="5"/>
      <c r="BB89" s="5"/>
      <c r="BC89" s="5"/>
      <c r="BD89" s="5"/>
      <c r="BE89" s="5"/>
      <c r="BF89" s="5"/>
      <c r="BG89" s="5"/>
      <c r="BH89" s="5"/>
      <c r="BI89" s="5"/>
    </row>
    <row r="90" spans="1:62" customFormat="1">
      <c r="A90" s="113">
        <v>105</v>
      </c>
      <c r="B90" s="113" t="s">
        <v>132</v>
      </c>
      <c r="C90" s="113" t="s">
        <v>1973</v>
      </c>
      <c r="D90" s="113" t="s">
        <v>49</v>
      </c>
      <c r="E90" s="113"/>
      <c r="F90" s="118" t="s">
        <v>2031</v>
      </c>
      <c r="G90" s="113" t="s">
        <v>1477</v>
      </c>
      <c r="H90" s="113" t="s">
        <v>131</v>
      </c>
      <c r="I90" s="113">
        <v>21</v>
      </c>
      <c r="J90" s="113" t="s">
        <v>131</v>
      </c>
      <c r="K90" s="113" t="s">
        <v>1804</v>
      </c>
      <c r="L90" s="115"/>
      <c r="M90" s="115"/>
      <c r="N90" s="115"/>
      <c r="O90" s="115"/>
      <c r="P90" s="115"/>
      <c r="Q90" s="115"/>
      <c r="R90" s="115"/>
      <c r="S90" s="113">
        <v>425</v>
      </c>
      <c r="T90" s="113">
        <v>60</v>
      </c>
      <c r="U90" s="113">
        <v>80</v>
      </c>
      <c r="V90" s="113">
        <v>110</v>
      </c>
      <c r="W90" s="113">
        <v>50</v>
      </c>
      <c r="X90" s="113">
        <v>80</v>
      </c>
      <c r="Y90" s="113">
        <v>45</v>
      </c>
      <c r="Z90" s="116">
        <v>17</v>
      </c>
      <c r="AA90" s="116">
        <v>7.5</v>
      </c>
      <c r="AB90" s="116">
        <v>5</v>
      </c>
      <c r="AC90" s="117">
        <f t="shared" si="1"/>
        <v>29.5</v>
      </c>
      <c r="AD90" s="113" t="s">
        <v>1538</v>
      </c>
      <c r="AE90" s="113" t="s">
        <v>1063</v>
      </c>
      <c r="AF90" s="113" t="s">
        <v>946</v>
      </c>
      <c r="AG90" s="113" t="s">
        <v>1669</v>
      </c>
      <c r="AH90" s="113" t="s">
        <v>946</v>
      </c>
      <c r="AI90" s="113" t="s">
        <v>1675</v>
      </c>
      <c r="AJ90" s="113" t="s">
        <v>1375</v>
      </c>
      <c r="AK90" s="113" t="s">
        <v>1374</v>
      </c>
      <c r="AL90" s="113" t="s">
        <v>1668</v>
      </c>
      <c r="AM90" s="113" t="s">
        <v>1237</v>
      </c>
      <c r="AN90" s="113" t="s">
        <v>1236</v>
      </c>
      <c r="AO90" s="113" t="s">
        <v>1237</v>
      </c>
      <c r="AP90" s="113" t="s">
        <v>1236</v>
      </c>
      <c r="AR90" s="5"/>
      <c r="AS90" s="5"/>
      <c r="AT90" s="5"/>
      <c r="AU90" s="5"/>
      <c r="AV90" s="5"/>
      <c r="AW90" s="5"/>
      <c r="AX90" s="5"/>
      <c r="AY90" s="5"/>
      <c r="AZ90" s="5"/>
      <c r="BA90" s="5"/>
      <c r="BB90" s="5"/>
      <c r="BC90" s="5"/>
      <c r="BD90" s="5"/>
      <c r="BE90" s="5"/>
      <c r="BF90" s="5"/>
      <c r="BG90" s="5"/>
      <c r="BH90" s="5"/>
      <c r="BI90" s="5"/>
    </row>
    <row r="91" spans="1:62" customFormat="1">
      <c r="A91" s="113">
        <v>51</v>
      </c>
      <c r="B91" s="113" t="s">
        <v>72</v>
      </c>
      <c r="C91" s="113" t="s">
        <v>1973</v>
      </c>
      <c r="D91" s="113" t="s">
        <v>49</v>
      </c>
      <c r="E91" s="113"/>
      <c r="F91" s="118" t="s">
        <v>2031</v>
      </c>
      <c r="G91" s="113" t="s">
        <v>1477</v>
      </c>
      <c r="H91" s="113" t="s">
        <v>71</v>
      </c>
      <c r="I91" s="113">
        <v>21</v>
      </c>
      <c r="J91" s="113" t="s">
        <v>71</v>
      </c>
      <c r="K91" s="113" t="s">
        <v>1804</v>
      </c>
      <c r="L91" s="115"/>
      <c r="M91" s="115"/>
      <c r="N91" s="115"/>
      <c r="O91" s="115"/>
      <c r="P91" s="115"/>
      <c r="Q91" s="115"/>
      <c r="R91" s="115"/>
      <c r="S91" s="113">
        <v>405</v>
      </c>
      <c r="T91" s="113">
        <v>35</v>
      </c>
      <c r="U91" s="113">
        <v>80</v>
      </c>
      <c r="V91" s="113">
        <v>50</v>
      </c>
      <c r="W91" s="113">
        <v>50</v>
      </c>
      <c r="X91" s="113">
        <v>70</v>
      </c>
      <c r="Y91" s="113">
        <v>120</v>
      </c>
      <c r="Z91" s="116">
        <v>10</v>
      </c>
      <c r="AA91" s="116">
        <v>6</v>
      </c>
      <c r="AB91" s="116">
        <v>12</v>
      </c>
      <c r="AC91" s="117">
        <f t="shared" si="1"/>
        <v>28</v>
      </c>
      <c r="AD91" s="113" t="s">
        <v>946</v>
      </c>
      <c r="AE91" s="113" t="s">
        <v>1071</v>
      </c>
      <c r="AF91" s="113" t="s">
        <v>943</v>
      </c>
      <c r="AG91" s="113"/>
      <c r="AH91" s="113" t="s">
        <v>943</v>
      </c>
      <c r="AI91" s="113" t="s">
        <v>1235</v>
      </c>
      <c r="AJ91" s="113" t="s">
        <v>1272</v>
      </c>
      <c r="AK91" s="113" t="s">
        <v>1584</v>
      </c>
      <c r="AL91" s="113" t="s">
        <v>1706</v>
      </c>
      <c r="AM91" s="113" t="s">
        <v>1237</v>
      </c>
      <c r="AN91" s="113" t="s">
        <v>1236</v>
      </c>
      <c r="AO91" s="113" t="s">
        <v>1237</v>
      </c>
      <c r="AP91" s="113" t="s">
        <v>1236</v>
      </c>
      <c r="AR91" s="5"/>
      <c r="AS91" s="5"/>
      <c r="AT91" s="5"/>
      <c r="AU91" s="5"/>
      <c r="AV91" s="5"/>
      <c r="AW91" s="5"/>
      <c r="AX91" s="5"/>
      <c r="AY91" s="5"/>
      <c r="AZ91" s="5"/>
      <c r="BA91" s="5"/>
      <c r="BB91" s="5"/>
      <c r="BC91" s="5"/>
      <c r="BD91" s="5"/>
      <c r="BE91" s="5"/>
      <c r="BF91" s="5"/>
      <c r="BG91" s="5"/>
      <c r="BH91" s="5"/>
      <c r="BI91" s="5"/>
    </row>
    <row r="92" spans="1:62">
      <c r="A92" s="113">
        <v>74</v>
      </c>
      <c r="B92" s="113" t="s">
        <v>97</v>
      </c>
      <c r="C92" s="113" t="s">
        <v>1973</v>
      </c>
      <c r="D92" s="113" t="s">
        <v>98</v>
      </c>
      <c r="E92" s="113" t="s">
        <v>49</v>
      </c>
      <c r="F92" s="118" t="s">
        <v>2031</v>
      </c>
      <c r="G92" s="113" t="s">
        <v>1479</v>
      </c>
      <c r="H92" s="113" t="s">
        <v>97</v>
      </c>
      <c r="I92" s="113">
        <v>11</v>
      </c>
      <c r="J92" s="113" t="s">
        <v>1109</v>
      </c>
      <c r="K92" s="115" t="s">
        <v>1968</v>
      </c>
      <c r="L92" s="115"/>
      <c r="M92" s="115"/>
      <c r="N92" s="115"/>
      <c r="O92" s="115"/>
      <c r="P92" s="115"/>
      <c r="Q92" s="115"/>
      <c r="R92" s="115"/>
      <c r="S92" s="113">
        <v>300</v>
      </c>
      <c r="T92" s="113">
        <v>40</v>
      </c>
      <c r="U92" s="113">
        <v>80</v>
      </c>
      <c r="V92" s="113">
        <v>100</v>
      </c>
      <c r="W92" s="113">
        <v>30</v>
      </c>
      <c r="X92" s="113">
        <v>30</v>
      </c>
      <c r="Y92" s="113">
        <v>20</v>
      </c>
      <c r="Z92" s="116">
        <v>11</v>
      </c>
      <c r="AA92" s="116">
        <v>2</v>
      </c>
      <c r="AB92" s="116">
        <v>2</v>
      </c>
      <c r="AC92" s="117">
        <f t="shared" si="1"/>
        <v>15</v>
      </c>
      <c r="AD92" s="113" t="s">
        <v>1972</v>
      </c>
      <c r="AE92" s="113" t="s">
        <v>1152</v>
      </c>
      <c r="AF92" s="113" t="s">
        <v>943</v>
      </c>
      <c r="AG92" s="113" t="s">
        <v>950</v>
      </c>
      <c r="AH92" s="113" t="s">
        <v>943</v>
      </c>
      <c r="AI92" s="113" t="s">
        <v>1636</v>
      </c>
      <c r="AJ92" s="113" t="s">
        <v>1304</v>
      </c>
      <c r="AK92" s="113" t="s">
        <v>1004</v>
      </c>
      <c r="AL92" s="113" t="s">
        <v>1716</v>
      </c>
      <c r="AM92" s="113" t="s">
        <v>1306</v>
      </c>
      <c r="AN92" s="113" t="s">
        <v>1305</v>
      </c>
      <c r="AO92" s="113" t="s">
        <v>1306</v>
      </c>
      <c r="AP92" s="113" t="s">
        <v>1305</v>
      </c>
      <c r="BJ92"/>
    </row>
    <row r="93" spans="1:62" customFormat="1">
      <c r="A93" s="114">
        <v>203</v>
      </c>
      <c r="B93" s="114" t="s">
        <v>230</v>
      </c>
      <c r="C93" s="114" t="s">
        <v>1974</v>
      </c>
      <c r="D93" s="113" t="s">
        <v>36</v>
      </c>
      <c r="E93" s="113" t="s">
        <v>86</v>
      </c>
      <c r="F93" s="118" t="s">
        <v>2031</v>
      </c>
      <c r="G93" s="113" t="s">
        <v>1477</v>
      </c>
      <c r="H93" s="113" t="s">
        <v>230</v>
      </c>
      <c r="I93" s="113">
        <v>11</v>
      </c>
      <c r="J93" s="113" t="s">
        <v>1109</v>
      </c>
      <c r="K93" s="113" t="s">
        <v>1804</v>
      </c>
      <c r="L93" s="115"/>
      <c r="M93" s="115"/>
      <c r="N93" s="115"/>
      <c r="O93" s="115"/>
      <c r="P93" s="115"/>
      <c r="Q93" s="115"/>
      <c r="R93" s="115"/>
      <c r="S93" s="113">
        <v>455</v>
      </c>
      <c r="T93" s="113">
        <v>70</v>
      </c>
      <c r="U93" s="113">
        <v>80</v>
      </c>
      <c r="V93" s="113">
        <v>65</v>
      </c>
      <c r="W93" s="113">
        <v>90</v>
      </c>
      <c r="X93" s="113">
        <v>65</v>
      </c>
      <c r="Y93" s="113">
        <v>85</v>
      </c>
      <c r="Z93" s="116">
        <v>13</v>
      </c>
      <c r="AA93" s="116">
        <v>8.5</v>
      </c>
      <c r="AB93" s="116">
        <v>9</v>
      </c>
      <c r="AC93" s="117">
        <f t="shared" si="1"/>
        <v>30.5</v>
      </c>
      <c r="AD93" s="113" t="s">
        <v>1538</v>
      </c>
      <c r="AE93" s="113"/>
      <c r="AF93" s="113"/>
      <c r="AG93" s="113"/>
      <c r="AH93" s="113"/>
      <c r="AI93" s="113"/>
      <c r="AJ93" s="113"/>
      <c r="AK93" s="113"/>
      <c r="AL93" s="113"/>
      <c r="AM93" s="118"/>
      <c r="AN93" s="113"/>
      <c r="AO93" s="113"/>
      <c r="AP93" s="113"/>
      <c r="AQ93" s="5"/>
      <c r="AR93" s="5"/>
      <c r="AS93" s="5"/>
      <c r="AT93" s="5"/>
      <c r="AU93" s="5"/>
      <c r="AV93" s="5"/>
      <c r="AW93" s="5"/>
      <c r="AX93" s="5"/>
      <c r="AY93" s="5"/>
      <c r="AZ93" s="5"/>
      <c r="BA93" s="5"/>
      <c r="BB93" s="5"/>
      <c r="BC93" s="5"/>
      <c r="BD93" s="5"/>
      <c r="BE93" s="5"/>
      <c r="BF93" s="5"/>
      <c r="BG93" s="5"/>
      <c r="BH93" s="5"/>
      <c r="BI93" s="5"/>
      <c r="BJ93" s="5"/>
    </row>
    <row r="94" spans="1:62" customFormat="1">
      <c r="A94" s="113">
        <v>88</v>
      </c>
      <c r="B94" s="113" t="s">
        <v>114</v>
      </c>
      <c r="C94" s="113" t="s">
        <v>1973</v>
      </c>
      <c r="D94" s="113" t="s">
        <v>15</v>
      </c>
      <c r="E94" s="113"/>
      <c r="F94" s="118" t="s">
        <v>2031</v>
      </c>
      <c r="G94" s="113" t="s">
        <v>1479</v>
      </c>
      <c r="H94" s="113" t="s">
        <v>114</v>
      </c>
      <c r="I94" s="113">
        <v>11</v>
      </c>
      <c r="J94" s="113" t="s">
        <v>1109</v>
      </c>
      <c r="K94" s="115" t="s">
        <v>1968</v>
      </c>
      <c r="L94" s="115"/>
      <c r="M94" s="115"/>
      <c r="N94" s="115"/>
      <c r="O94" s="115"/>
      <c r="P94" s="115"/>
      <c r="Q94" s="115"/>
      <c r="R94" s="115"/>
      <c r="S94" s="113">
        <v>325</v>
      </c>
      <c r="T94" s="113">
        <v>80</v>
      </c>
      <c r="U94" s="113">
        <v>80</v>
      </c>
      <c r="V94" s="113">
        <v>50</v>
      </c>
      <c r="W94" s="113">
        <v>40</v>
      </c>
      <c r="X94" s="113">
        <v>50</v>
      </c>
      <c r="Y94" s="113">
        <v>25</v>
      </c>
      <c r="Z94" s="116">
        <v>12</v>
      </c>
      <c r="AA94" s="116">
        <v>4</v>
      </c>
      <c r="AB94" s="116">
        <v>3</v>
      </c>
      <c r="AC94" s="117">
        <f t="shared" si="1"/>
        <v>19</v>
      </c>
      <c r="AD94" s="113" t="s">
        <v>1546</v>
      </c>
      <c r="AE94" s="113" t="s">
        <v>1159</v>
      </c>
      <c r="AF94" s="113" t="s">
        <v>943</v>
      </c>
      <c r="AG94" s="113" t="s">
        <v>1566</v>
      </c>
      <c r="AH94" s="113" t="s">
        <v>946</v>
      </c>
      <c r="AI94" s="113" t="s">
        <v>1359</v>
      </c>
      <c r="AJ94" s="113" t="s">
        <v>1378</v>
      </c>
      <c r="AK94" s="113" t="s">
        <v>1127</v>
      </c>
      <c r="AL94" s="113" t="s">
        <v>1247</v>
      </c>
      <c r="AM94" s="113" t="s">
        <v>1226</v>
      </c>
      <c r="AN94" s="113" t="s">
        <v>1227</v>
      </c>
      <c r="AO94" s="113" t="s">
        <v>1226</v>
      </c>
      <c r="AP94" s="113" t="s">
        <v>1227</v>
      </c>
      <c r="AR94" s="5"/>
      <c r="AS94" s="5"/>
      <c r="AT94" s="5"/>
      <c r="AU94" s="5"/>
      <c r="AV94" s="5"/>
      <c r="AW94" s="5"/>
      <c r="AX94" s="5"/>
      <c r="AY94" s="5"/>
      <c r="AZ94" s="5"/>
      <c r="BA94" s="5"/>
      <c r="BB94" s="5"/>
      <c r="BC94" s="5"/>
      <c r="BD94" s="5"/>
      <c r="BE94" s="5"/>
      <c r="BF94" s="5"/>
      <c r="BG94" s="5"/>
      <c r="BH94" s="5"/>
      <c r="BI94" s="5"/>
    </row>
    <row r="95" spans="1:62" customFormat="1">
      <c r="A95" s="113">
        <v>140</v>
      </c>
      <c r="B95" s="113" t="s">
        <v>168</v>
      </c>
      <c r="C95" s="113" t="s">
        <v>1973</v>
      </c>
      <c r="D95" s="113" t="s">
        <v>98</v>
      </c>
      <c r="E95" s="113" t="s">
        <v>25</v>
      </c>
      <c r="F95" s="118" t="s">
        <v>2031</v>
      </c>
      <c r="G95" s="113" t="s">
        <v>1479</v>
      </c>
      <c r="H95" s="113" t="s">
        <v>168</v>
      </c>
      <c r="I95" s="113">
        <v>11</v>
      </c>
      <c r="J95" s="113" t="s">
        <v>1109</v>
      </c>
      <c r="K95" s="115" t="s">
        <v>1968</v>
      </c>
      <c r="L95" s="115"/>
      <c r="M95" s="115"/>
      <c r="N95" s="115"/>
      <c r="O95" s="115"/>
      <c r="P95" s="115"/>
      <c r="Q95" s="115"/>
      <c r="R95" s="115"/>
      <c r="S95" s="113">
        <v>355</v>
      </c>
      <c r="T95" s="113">
        <v>30</v>
      </c>
      <c r="U95" s="113">
        <v>80</v>
      </c>
      <c r="V95" s="113">
        <v>90</v>
      </c>
      <c r="W95" s="113">
        <v>55</v>
      </c>
      <c r="X95" s="113">
        <v>45</v>
      </c>
      <c r="Y95" s="113">
        <v>55</v>
      </c>
      <c r="Z95" s="116">
        <v>11</v>
      </c>
      <c r="AA95" s="116">
        <v>5</v>
      </c>
      <c r="AB95" s="116">
        <v>6</v>
      </c>
      <c r="AC95" s="117">
        <f t="shared" si="1"/>
        <v>22</v>
      </c>
      <c r="AD95" s="113" t="s">
        <v>1545</v>
      </c>
      <c r="AE95" s="113" t="s">
        <v>1077</v>
      </c>
      <c r="AF95" s="113" t="s">
        <v>943</v>
      </c>
      <c r="AG95" s="113"/>
      <c r="AH95" s="113" t="s">
        <v>943</v>
      </c>
      <c r="AI95" s="113" t="s">
        <v>1316</v>
      </c>
      <c r="AJ95" s="113" t="s">
        <v>1265</v>
      </c>
      <c r="AK95" s="113" t="s">
        <v>1245</v>
      </c>
      <c r="AL95" s="113" t="s">
        <v>1763</v>
      </c>
      <c r="AM95" s="113" t="s">
        <v>1323</v>
      </c>
      <c r="AN95" s="113" t="s">
        <v>1322</v>
      </c>
      <c r="AO95" s="113" t="s">
        <v>1323</v>
      </c>
      <c r="AP95" s="113" t="s">
        <v>1322</v>
      </c>
      <c r="AR95" s="5"/>
      <c r="AS95" s="5"/>
      <c r="AT95" s="5"/>
      <c r="AU95" s="5"/>
      <c r="AV95" s="5"/>
      <c r="AW95" s="5"/>
      <c r="AX95" s="5"/>
      <c r="AY95" s="5"/>
      <c r="AZ95" s="5"/>
      <c r="BA95" s="5"/>
      <c r="BB95" s="5"/>
      <c r="BC95" s="5"/>
      <c r="BD95" s="5"/>
      <c r="BE95" s="5"/>
      <c r="BF95" s="5"/>
      <c r="BG95" s="5"/>
      <c r="BH95" s="5"/>
      <c r="BI95" s="5"/>
    </row>
    <row r="96" spans="1:62" customFormat="1">
      <c r="A96" s="113">
        <v>66</v>
      </c>
      <c r="B96" s="113" t="s">
        <v>89</v>
      </c>
      <c r="C96" s="113" t="s">
        <v>1973</v>
      </c>
      <c r="D96" s="113" t="s">
        <v>78</v>
      </c>
      <c r="E96" s="113"/>
      <c r="F96" s="118" t="s">
        <v>2031</v>
      </c>
      <c r="G96" s="113" t="s">
        <v>1479</v>
      </c>
      <c r="H96" s="113" t="s">
        <v>89</v>
      </c>
      <c r="I96" s="113">
        <v>11</v>
      </c>
      <c r="J96" s="113" t="s">
        <v>1109</v>
      </c>
      <c r="K96" s="115" t="s">
        <v>1968</v>
      </c>
      <c r="L96" s="115"/>
      <c r="M96" s="115"/>
      <c r="N96" s="115"/>
      <c r="O96" s="115"/>
      <c r="P96" s="115"/>
      <c r="Q96" s="115"/>
      <c r="R96" s="115"/>
      <c r="S96" s="113">
        <v>305</v>
      </c>
      <c r="T96" s="113">
        <v>70</v>
      </c>
      <c r="U96" s="113">
        <v>80</v>
      </c>
      <c r="V96" s="113">
        <v>50</v>
      </c>
      <c r="W96" s="113">
        <v>35</v>
      </c>
      <c r="X96" s="113">
        <v>35</v>
      </c>
      <c r="Y96" s="113">
        <v>35</v>
      </c>
      <c r="Z96" s="116">
        <v>10</v>
      </c>
      <c r="AA96" s="116">
        <v>4</v>
      </c>
      <c r="AB96" s="116">
        <v>4</v>
      </c>
      <c r="AC96" s="117">
        <f t="shared" si="1"/>
        <v>18</v>
      </c>
      <c r="AD96" s="113" t="s">
        <v>1546</v>
      </c>
      <c r="AE96" s="113" t="s">
        <v>1146</v>
      </c>
      <c r="AF96" s="113" t="s">
        <v>943</v>
      </c>
      <c r="AG96" s="113"/>
      <c r="AH96" s="113" t="s">
        <v>943</v>
      </c>
      <c r="AI96" s="113" t="s">
        <v>1245</v>
      </c>
      <c r="AJ96" s="113" t="s">
        <v>1294</v>
      </c>
      <c r="AK96" s="113" t="s">
        <v>1019</v>
      </c>
      <c r="AL96" s="113" t="s">
        <v>1663</v>
      </c>
      <c r="AM96" s="113" t="s">
        <v>1280</v>
      </c>
      <c r="AN96" s="113" t="s">
        <v>1279</v>
      </c>
      <c r="AO96" s="113" t="s">
        <v>1280</v>
      </c>
      <c r="AP96" s="113" t="s">
        <v>1279</v>
      </c>
      <c r="AQ96" s="5"/>
      <c r="AR96" s="5"/>
      <c r="AS96" s="5"/>
      <c r="AT96" s="5"/>
      <c r="AU96" s="5"/>
      <c r="AV96" s="5"/>
      <c r="AW96" s="5"/>
      <c r="AX96" s="5"/>
      <c r="AY96" s="5"/>
      <c r="AZ96" s="5"/>
      <c r="BA96" s="5"/>
      <c r="BB96" s="5"/>
      <c r="BC96" s="5"/>
      <c r="BD96" s="5"/>
      <c r="BE96" s="5"/>
      <c r="BF96" s="5"/>
      <c r="BG96" s="5"/>
      <c r="BH96" s="5"/>
      <c r="BI96" s="5"/>
    </row>
    <row r="97" spans="1:62" customFormat="1">
      <c r="A97" s="113">
        <v>56</v>
      </c>
      <c r="B97" s="113" t="s">
        <v>77</v>
      </c>
      <c r="C97" s="113" t="s">
        <v>1973</v>
      </c>
      <c r="D97" s="113" t="s">
        <v>78</v>
      </c>
      <c r="E97" s="113"/>
      <c r="F97" s="118" t="s">
        <v>2031</v>
      </c>
      <c r="G97" s="113" t="s">
        <v>1479</v>
      </c>
      <c r="H97" s="113" t="s">
        <v>77</v>
      </c>
      <c r="I97" s="113">
        <v>11</v>
      </c>
      <c r="J97" s="113" t="s">
        <v>1109</v>
      </c>
      <c r="K97" s="115" t="s">
        <v>1968</v>
      </c>
      <c r="L97" s="115"/>
      <c r="M97" s="115"/>
      <c r="N97" s="115"/>
      <c r="O97" s="115"/>
      <c r="P97" s="115"/>
      <c r="Q97" s="115"/>
      <c r="R97" s="115"/>
      <c r="S97" s="113">
        <v>305</v>
      </c>
      <c r="T97" s="113">
        <v>40</v>
      </c>
      <c r="U97" s="113">
        <v>80</v>
      </c>
      <c r="V97" s="113">
        <v>35</v>
      </c>
      <c r="W97" s="113">
        <v>35</v>
      </c>
      <c r="X97" s="113">
        <v>45</v>
      </c>
      <c r="Y97" s="113">
        <v>70</v>
      </c>
      <c r="Z97" s="116">
        <v>8</v>
      </c>
      <c r="AA97" s="116">
        <v>4</v>
      </c>
      <c r="AB97" s="116">
        <v>7</v>
      </c>
      <c r="AC97" s="117">
        <f t="shared" si="1"/>
        <v>19</v>
      </c>
      <c r="AD97" s="113" t="s">
        <v>1546</v>
      </c>
      <c r="AE97" s="113" t="s">
        <v>1066</v>
      </c>
      <c r="AF97" s="113" t="s">
        <v>946</v>
      </c>
      <c r="AG97" s="113"/>
      <c r="AH97" s="113" t="s">
        <v>946</v>
      </c>
      <c r="AI97" s="113" t="s">
        <v>1275</v>
      </c>
      <c r="AJ97" s="113" t="s">
        <v>1278</v>
      </c>
      <c r="AK97" s="113" t="s">
        <v>1710</v>
      </c>
      <c r="AL97" s="113" t="s">
        <v>1573</v>
      </c>
      <c r="AM97" s="113" t="s">
        <v>1280</v>
      </c>
      <c r="AN97" s="113" t="s">
        <v>1279</v>
      </c>
      <c r="AO97" s="113" t="s">
        <v>1280</v>
      </c>
      <c r="AP97" s="113" t="s">
        <v>1279</v>
      </c>
      <c r="AR97" s="5"/>
      <c r="AS97" s="5"/>
      <c r="AT97" s="5"/>
      <c r="AU97" s="5"/>
      <c r="AV97" s="5"/>
      <c r="AW97" s="5"/>
      <c r="AX97" s="5"/>
      <c r="AY97" s="5"/>
      <c r="AZ97" s="5"/>
      <c r="BA97" s="5"/>
      <c r="BB97" s="5"/>
      <c r="BC97" s="5"/>
      <c r="BD97" s="5"/>
      <c r="BE97" s="5"/>
      <c r="BF97" s="5"/>
      <c r="BG97" s="5"/>
      <c r="BH97" s="5"/>
      <c r="BI97" s="5"/>
    </row>
    <row r="98" spans="1:62" customFormat="1">
      <c r="A98" s="114">
        <v>241</v>
      </c>
      <c r="B98" s="114" t="s">
        <v>268</v>
      </c>
      <c r="C98" s="114" t="s">
        <v>1974</v>
      </c>
      <c r="D98" s="113" t="s">
        <v>36</v>
      </c>
      <c r="E98" s="113"/>
      <c r="F98" s="118" t="s">
        <v>2031</v>
      </c>
      <c r="G98" s="113" t="s">
        <v>1477</v>
      </c>
      <c r="H98" s="113" t="s">
        <v>268</v>
      </c>
      <c r="I98" s="113">
        <v>11</v>
      </c>
      <c r="J98" s="113" t="s">
        <v>1109</v>
      </c>
      <c r="K98" s="113" t="s">
        <v>1804</v>
      </c>
      <c r="L98" s="115"/>
      <c r="M98" s="115"/>
      <c r="N98" s="115"/>
      <c r="O98" s="115"/>
      <c r="P98" s="115"/>
      <c r="Q98" s="115"/>
      <c r="R98" s="115"/>
      <c r="S98" s="113">
        <v>490</v>
      </c>
      <c r="T98" s="113">
        <v>95</v>
      </c>
      <c r="U98" s="113">
        <v>80</v>
      </c>
      <c r="V98" s="113">
        <v>105</v>
      </c>
      <c r="W98" s="113">
        <v>40</v>
      </c>
      <c r="X98" s="113">
        <v>70</v>
      </c>
      <c r="Y98" s="113">
        <v>100</v>
      </c>
      <c r="Z98" s="116">
        <v>18</v>
      </c>
      <c r="AA98" s="116">
        <v>6</v>
      </c>
      <c r="AB98" s="116">
        <v>10</v>
      </c>
      <c r="AC98" s="117">
        <f t="shared" si="1"/>
        <v>34</v>
      </c>
      <c r="AD98" s="113" t="s">
        <v>1537</v>
      </c>
      <c r="AE98" s="113"/>
      <c r="AF98" s="113"/>
      <c r="AG98" s="113"/>
      <c r="AH98" s="113"/>
      <c r="AI98" s="113"/>
      <c r="AJ98" s="113"/>
      <c r="AK98" s="113"/>
      <c r="AL98" s="113"/>
      <c r="AM98" s="118"/>
      <c r="AN98" s="113"/>
      <c r="AO98" s="113"/>
      <c r="AP98" s="113"/>
      <c r="AR98" s="5"/>
      <c r="AS98" s="5"/>
      <c r="AT98" s="5"/>
      <c r="AU98" s="5"/>
      <c r="AV98" s="5"/>
      <c r="AW98" s="5"/>
      <c r="AX98" s="5"/>
      <c r="AY98" s="5"/>
      <c r="AZ98" s="5"/>
      <c r="BA98" s="5"/>
      <c r="BB98" s="5"/>
      <c r="BC98" s="5"/>
      <c r="BD98" s="5"/>
      <c r="BE98" s="5"/>
      <c r="BF98" s="5"/>
      <c r="BG98" s="5"/>
      <c r="BH98" s="5"/>
      <c r="BI98" s="5"/>
    </row>
    <row r="99" spans="1:62" customFormat="1">
      <c r="A99" s="113">
        <v>45</v>
      </c>
      <c r="B99" s="113" t="s">
        <v>66</v>
      </c>
      <c r="C99" s="113" t="s">
        <v>1973</v>
      </c>
      <c r="D99" s="113" t="s">
        <v>14</v>
      </c>
      <c r="E99" s="113" t="s">
        <v>15</v>
      </c>
      <c r="F99" s="118" t="s">
        <v>2031</v>
      </c>
      <c r="G99" s="113" t="s">
        <v>1477</v>
      </c>
      <c r="H99" s="113" t="s">
        <v>64</v>
      </c>
      <c r="I99" s="113">
        <v>31</v>
      </c>
      <c r="J99" s="113" t="s">
        <v>65</v>
      </c>
      <c r="K99" s="113" t="s">
        <v>1804</v>
      </c>
      <c r="L99" s="115"/>
      <c r="M99" s="115"/>
      <c r="N99" s="115"/>
      <c r="O99" s="115"/>
      <c r="P99" s="115"/>
      <c r="Q99" s="115"/>
      <c r="R99" s="115"/>
      <c r="S99" s="113">
        <v>490</v>
      </c>
      <c r="T99" s="113">
        <v>75</v>
      </c>
      <c r="U99" s="113">
        <v>80</v>
      </c>
      <c r="V99" s="113">
        <v>85</v>
      </c>
      <c r="W99" s="113">
        <v>110</v>
      </c>
      <c r="X99" s="113">
        <v>90</v>
      </c>
      <c r="Y99" s="113">
        <v>50</v>
      </c>
      <c r="Z99" s="116">
        <v>17</v>
      </c>
      <c r="AA99" s="116">
        <v>7.5</v>
      </c>
      <c r="AB99" s="116">
        <v>5</v>
      </c>
      <c r="AC99" s="117">
        <f t="shared" si="1"/>
        <v>29.5</v>
      </c>
      <c r="AD99" s="113" t="s">
        <v>1538</v>
      </c>
      <c r="AE99" s="113" t="s">
        <v>1554</v>
      </c>
      <c r="AF99" s="113" t="s">
        <v>946</v>
      </c>
      <c r="AG99" s="113" t="s">
        <v>1560</v>
      </c>
      <c r="AH99" s="113" t="s">
        <v>946</v>
      </c>
      <c r="AI99" s="113" t="s">
        <v>1575</v>
      </c>
      <c r="AJ99" s="113" t="s">
        <v>1009</v>
      </c>
      <c r="AK99" s="113" t="s">
        <v>1270</v>
      </c>
      <c r="AL99" s="113" t="s">
        <v>1249</v>
      </c>
      <c r="AM99" s="113" t="s">
        <v>1028</v>
      </c>
      <c r="AN99" s="113" t="s">
        <v>1027</v>
      </c>
      <c r="AO99" s="113" t="s">
        <v>1028</v>
      </c>
      <c r="AP99" s="113" t="s">
        <v>1027</v>
      </c>
      <c r="AR99" s="5"/>
      <c r="AS99" s="5"/>
      <c r="AT99" s="5"/>
      <c r="AU99" s="5"/>
      <c r="AV99" s="5"/>
      <c r="AW99" s="5"/>
      <c r="AX99" s="5"/>
      <c r="AY99" s="5"/>
      <c r="AZ99" s="5"/>
      <c r="BA99" s="5"/>
      <c r="BB99" s="5"/>
      <c r="BC99" s="5"/>
      <c r="BD99" s="5"/>
      <c r="BE99" s="5"/>
      <c r="BF99" s="5"/>
      <c r="BG99" s="5"/>
      <c r="BH99" s="5"/>
      <c r="BI99" s="5"/>
    </row>
    <row r="100" spans="1:62" customFormat="1">
      <c r="A100" s="114">
        <v>182</v>
      </c>
      <c r="B100" s="114" t="s">
        <v>209</v>
      </c>
      <c r="C100" s="114" t="s">
        <v>1974</v>
      </c>
      <c r="D100" s="113" t="s">
        <v>14</v>
      </c>
      <c r="E100" s="113"/>
      <c r="F100" s="118" t="s">
        <v>2031</v>
      </c>
      <c r="G100" s="113" t="s">
        <v>1477</v>
      </c>
      <c r="H100" s="113" t="s">
        <v>64</v>
      </c>
      <c r="I100" s="113">
        <v>32</v>
      </c>
      <c r="J100" s="113" t="s">
        <v>65</v>
      </c>
      <c r="K100" s="113" t="s">
        <v>1804</v>
      </c>
      <c r="L100" s="115"/>
      <c r="M100" s="115"/>
      <c r="N100" s="115"/>
      <c r="O100" s="115"/>
      <c r="P100" s="115" t="s">
        <v>1995</v>
      </c>
      <c r="Q100" s="115"/>
      <c r="R100" s="115"/>
      <c r="S100" s="113">
        <v>490</v>
      </c>
      <c r="T100" s="113">
        <v>75</v>
      </c>
      <c r="U100" s="113">
        <v>80</v>
      </c>
      <c r="V100" s="113">
        <v>95</v>
      </c>
      <c r="W100" s="113">
        <v>90</v>
      </c>
      <c r="X100" s="113">
        <v>100</v>
      </c>
      <c r="Y100" s="113">
        <v>50</v>
      </c>
      <c r="Z100" s="116">
        <v>18</v>
      </c>
      <c r="AA100" s="116">
        <v>8.5</v>
      </c>
      <c r="AB100" s="116">
        <v>5</v>
      </c>
      <c r="AC100" s="117">
        <f t="shared" si="1"/>
        <v>31.5</v>
      </c>
      <c r="AD100" s="113" t="s">
        <v>1538</v>
      </c>
      <c r="AE100" s="113"/>
      <c r="AF100" s="113"/>
      <c r="AG100" s="113"/>
      <c r="AH100" s="113"/>
      <c r="AI100" s="113"/>
      <c r="AJ100" s="113"/>
      <c r="AK100" s="113"/>
      <c r="AL100" s="113"/>
      <c r="AM100" s="118"/>
      <c r="AN100" s="113"/>
      <c r="AO100" s="113"/>
      <c r="AP100" s="113"/>
      <c r="AR100" s="5"/>
      <c r="AS100" s="5"/>
      <c r="AT100" s="5"/>
      <c r="AU100" s="5"/>
      <c r="AV100" s="5"/>
      <c r="AW100" s="5"/>
      <c r="AX100" s="5"/>
      <c r="AY100" s="5"/>
      <c r="AZ100" s="5"/>
      <c r="BA100" s="5"/>
      <c r="BB100" s="5"/>
      <c r="BC100" s="5"/>
      <c r="BD100" s="5"/>
      <c r="BE100" s="5"/>
      <c r="BF100" s="5"/>
      <c r="BG100" s="5"/>
      <c r="BH100" s="5"/>
      <c r="BI100" s="5"/>
    </row>
    <row r="101" spans="1:62" customFormat="1">
      <c r="A101" s="113">
        <v>18</v>
      </c>
      <c r="B101" s="113" t="s">
        <v>38</v>
      </c>
      <c r="C101" s="113" t="s">
        <v>1973</v>
      </c>
      <c r="D101" s="113" t="s">
        <v>22</v>
      </c>
      <c r="E101" s="113" t="s">
        <v>36</v>
      </c>
      <c r="F101" s="118" t="s">
        <v>2031</v>
      </c>
      <c r="G101" s="113" t="s">
        <v>1477</v>
      </c>
      <c r="H101" s="113" t="s">
        <v>35</v>
      </c>
      <c r="I101" s="113">
        <v>31</v>
      </c>
      <c r="J101" s="113" t="s">
        <v>37</v>
      </c>
      <c r="K101" s="113" t="s">
        <v>1804</v>
      </c>
      <c r="L101" s="115"/>
      <c r="M101" s="115"/>
      <c r="N101" s="115"/>
      <c r="O101" s="115"/>
      <c r="P101" s="115"/>
      <c r="Q101" s="115"/>
      <c r="R101" s="115"/>
      <c r="S101" s="113">
        <v>479</v>
      </c>
      <c r="T101" s="113">
        <v>83</v>
      </c>
      <c r="U101" s="113">
        <v>80</v>
      </c>
      <c r="V101" s="113">
        <v>75</v>
      </c>
      <c r="W101" s="113">
        <v>70</v>
      </c>
      <c r="X101" s="113">
        <v>70</v>
      </c>
      <c r="Y101" s="113">
        <v>101</v>
      </c>
      <c r="Z101" s="116">
        <v>15</v>
      </c>
      <c r="AA101" s="116">
        <v>7</v>
      </c>
      <c r="AB101" s="116">
        <v>10</v>
      </c>
      <c r="AC101" s="117">
        <f t="shared" si="1"/>
        <v>32</v>
      </c>
      <c r="AD101" s="113" t="s">
        <v>1538</v>
      </c>
      <c r="AE101" s="113" t="s">
        <v>1139</v>
      </c>
      <c r="AF101" s="113" t="s">
        <v>946</v>
      </c>
      <c r="AG101" s="113"/>
      <c r="AH101" s="113" t="s">
        <v>946</v>
      </c>
      <c r="AI101" s="113" t="s">
        <v>1625</v>
      </c>
      <c r="AJ101" s="113" t="s">
        <v>1049</v>
      </c>
      <c r="AK101" s="113" t="s">
        <v>1050</v>
      </c>
      <c r="AL101" s="113" t="s">
        <v>1627</v>
      </c>
      <c r="AM101" s="113" t="s">
        <v>1044</v>
      </c>
      <c r="AN101" s="113" t="s">
        <v>1043</v>
      </c>
      <c r="AO101" s="113" t="s">
        <v>1044</v>
      </c>
      <c r="AP101" s="113" t="s">
        <v>1043</v>
      </c>
      <c r="AR101" s="5"/>
      <c r="AS101" s="5"/>
      <c r="AT101" s="5"/>
      <c r="AU101" s="5"/>
      <c r="AV101" s="5"/>
      <c r="AW101" s="5"/>
      <c r="AX101" s="5"/>
      <c r="AY101" s="5"/>
      <c r="AZ101" s="5"/>
      <c r="BA101" s="5"/>
      <c r="BB101" s="5"/>
      <c r="BC101" s="5"/>
      <c r="BD101" s="5"/>
      <c r="BE101" s="5"/>
      <c r="BF101" s="5"/>
      <c r="BG101" s="5"/>
      <c r="BH101" s="5"/>
      <c r="BI101" s="5"/>
    </row>
    <row r="102" spans="1:62" customFormat="1">
      <c r="A102" s="114">
        <v>233</v>
      </c>
      <c r="B102" s="114" t="s">
        <v>260</v>
      </c>
      <c r="C102" s="114" t="s">
        <v>1974</v>
      </c>
      <c r="D102" s="113" t="s">
        <v>36</v>
      </c>
      <c r="E102" s="113"/>
      <c r="F102" s="118" t="s">
        <v>2031</v>
      </c>
      <c r="G102" s="113" t="s">
        <v>1477</v>
      </c>
      <c r="H102" s="113" t="s">
        <v>165</v>
      </c>
      <c r="I102" s="113">
        <v>21</v>
      </c>
      <c r="J102" s="113" t="s">
        <v>165</v>
      </c>
      <c r="K102" s="113" t="s">
        <v>1804</v>
      </c>
      <c r="L102" s="115"/>
      <c r="M102" s="115"/>
      <c r="N102" s="115"/>
      <c r="O102" s="115"/>
      <c r="P102" s="115"/>
      <c r="Q102" s="115" t="s">
        <v>2023</v>
      </c>
      <c r="R102" s="115"/>
      <c r="S102" s="113">
        <v>515</v>
      </c>
      <c r="T102" s="113">
        <v>85</v>
      </c>
      <c r="U102" s="113">
        <v>80</v>
      </c>
      <c r="V102" s="113">
        <v>90</v>
      </c>
      <c r="W102" s="113">
        <v>105</v>
      </c>
      <c r="X102" s="113">
        <v>95</v>
      </c>
      <c r="Y102" s="113">
        <v>60</v>
      </c>
      <c r="Z102" s="116">
        <v>18</v>
      </c>
      <c r="AA102" s="116">
        <v>8.5</v>
      </c>
      <c r="AB102" s="116">
        <v>6</v>
      </c>
      <c r="AC102" s="117">
        <f t="shared" si="1"/>
        <v>32.5</v>
      </c>
      <c r="AD102" s="113" t="s">
        <v>1538</v>
      </c>
      <c r="AE102" s="113"/>
      <c r="AF102" s="113"/>
      <c r="AG102" s="113"/>
      <c r="AH102" s="113"/>
      <c r="AI102" s="113"/>
      <c r="AJ102" s="113"/>
      <c r="AK102" s="113"/>
      <c r="AL102" s="113"/>
      <c r="AM102" s="118"/>
      <c r="AN102" s="113"/>
      <c r="AO102" s="113"/>
      <c r="AP102" s="113"/>
      <c r="AR102" s="5"/>
      <c r="AS102" s="5"/>
      <c r="AT102" s="5"/>
      <c r="AU102" s="5"/>
      <c r="AV102" s="5"/>
      <c r="AW102" s="5"/>
      <c r="AX102" s="5"/>
      <c r="AY102" s="5"/>
      <c r="AZ102" s="5"/>
      <c r="BA102" s="5"/>
      <c r="BB102" s="5"/>
      <c r="BC102" s="5"/>
      <c r="BD102" s="5"/>
      <c r="BE102" s="5"/>
      <c r="BF102" s="5"/>
      <c r="BG102" s="5"/>
      <c r="BH102" s="5"/>
      <c r="BI102" s="5"/>
    </row>
    <row r="103" spans="1:62" customFormat="1">
      <c r="A103" s="114">
        <v>227</v>
      </c>
      <c r="B103" s="114" t="s">
        <v>254</v>
      </c>
      <c r="C103" s="114" t="s">
        <v>1974</v>
      </c>
      <c r="D103" s="113" t="s">
        <v>106</v>
      </c>
      <c r="E103" s="113" t="s">
        <v>22</v>
      </c>
      <c r="F103" s="118" t="s">
        <v>2031</v>
      </c>
      <c r="G103" s="113" t="s">
        <v>1477</v>
      </c>
      <c r="H103" s="113" t="s">
        <v>254</v>
      </c>
      <c r="I103" s="113">
        <v>11</v>
      </c>
      <c r="J103" s="113" t="s">
        <v>1109</v>
      </c>
      <c r="K103" s="113" t="s">
        <v>1804</v>
      </c>
      <c r="L103" s="115"/>
      <c r="M103" s="115"/>
      <c r="N103" s="115"/>
      <c r="O103" s="115"/>
      <c r="P103" s="115"/>
      <c r="Q103" s="115"/>
      <c r="R103" s="115"/>
      <c r="S103" s="113">
        <v>465</v>
      </c>
      <c r="T103" s="113">
        <v>65</v>
      </c>
      <c r="U103" s="113">
        <v>80</v>
      </c>
      <c r="V103" s="113">
        <v>140</v>
      </c>
      <c r="W103" s="113">
        <v>40</v>
      </c>
      <c r="X103" s="113">
        <v>70</v>
      </c>
      <c r="Y103" s="113">
        <v>70</v>
      </c>
      <c r="Z103" s="116">
        <v>18</v>
      </c>
      <c r="AA103" s="116">
        <v>6</v>
      </c>
      <c r="AB103" s="116">
        <v>7</v>
      </c>
      <c r="AC103" s="117">
        <f t="shared" si="1"/>
        <v>31</v>
      </c>
      <c r="AD103" s="113" t="s">
        <v>1538</v>
      </c>
      <c r="AE103" s="113"/>
      <c r="AF103" s="113"/>
      <c r="AG103" s="113"/>
      <c r="AH103" s="113"/>
      <c r="AI103" s="113"/>
      <c r="AJ103" s="113"/>
      <c r="AK103" s="113"/>
      <c r="AL103" s="113"/>
      <c r="AM103" s="118"/>
      <c r="AN103" s="113"/>
      <c r="AO103" s="113"/>
      <c r="AP103" s="113"/>
      <c r="AR103" s="5"/>
      <c r="AS103" s="5"/>
      <c r="AT103" s="5"/>
      <c r="AU103" s="5"/>
      <c r="AV103" s="5"/>
      <c r="AW103" s="5"/>
      <c r="AX103" s="5"/>
      <c r="AY103" s="5"/>
      <c r="AZ103" s="5"/>
      <c r="BA103" s="5"/>
      <c r="BB103" s="5"/>
      <c r="BC103" s="5"/>
      <c r="BD103" s="5"/>
      <c r="BE103" s="5"/>
      <c r="BF103" s="5"/>
      <c r="BG103" s="5"/>
      <c r="BH103" s="5"/>
      <c r="BI103" s="5"/>
    </row>
    <row r="104" spans="1:62" customFormat="1">
      <c r="A104" s="114">
        <v>209</v>
      </c>
      <c r="B104" s="114" t="s">
        <v>236</v>
      </c>
      <c r="C104" s="114" t="s">
        <v>1974</v>
      </c>
      <c r="D104" s="113" t="s">
        <v>56</v>
      </c>
      <c r="E104" s="113"/>
      <c r="F104" s="118" t="s">
        <v>2031</v>
      </c>
      <c r="G104" s="113" t="s">
        <v>1479</v>
      </c>
      <c r="H104" s="113" t="s">
        <v>236</v>
      </c>
      <c r="I104" s="113">
        <v>11</v>
      </c>
      <c r="J104" s="113" t="s">
        <v>1109</v>
      </c>
      <c r="K104" s="113" t="s">
        <v>1968</v>
      </c>
      <c r="L104" s="115"/>
      <c r="M104" s="115"/>
      <c r="N104" s="115"/>
      <c r="O104" s="115"/>
      <c r="P104" s="115"/>
      <c r="Q104" s="115"/>
      <c r="R104" s="115"/>
      <c r="S104" s="113">
        <v>300</v>
      </c>
      <c r="T104" s="113">
        <v>60</v>
      </c>
      <c r="U104" s="113">
        <v>80</v>
      </c>
      <c r="V104" s="113">
        <v>50</v>
      </c>
      <c r="W104" s="113">
        <v>40</v>
      </c>
      <c r="X104" s="113">
        <v>40</v>
      </c>
      <c r="Y104" s="113">
        <v>30</v>
      </c>
      <c r="Z104" s="116">
        <v>10</v>
      </c>
      <c r="AA104" s="116">
        <v>6</v>
      </c>
      <c r="AB104" s="116">
        <v>3</v>
      </c>
      <c r="AC104" s="117">
        <f t="shared" si="1"/>
        <v>19</v>
      </c>
      <c r="AD104" s="113" t="s">
        <v>1546</v>
      </c>
      <c r="AE104" s="113"/>
      <c r="AF104" s="113"/>
      <c r="AG104" s="113"/>
      <c r="AH104" s="113"/>
      <c r="AI104" s="113"/>
      <c r="AJ104" s="113"/>
      <c r="AK104" s="113"/>
      <c r="AL104" s="113"/>
      <c r="AM104" s="118"/>
      <c r="AN104" s="113"/>
      <c r="AO104" s="113"/>
      <c r="AP104" s="113"/>
      <c r="AR104" s="5"/>
      <c r="AS104" s="5"/>
      <c r="AT104" s="5"/>
      <c r="AU104" s="5"/>
      <c r="AV104" s="5"/>
      <c r="AW104" s="5"/>
      <c r="AX104" s="5"/>
      <c r="AY104" s="5"/>
      <c r="AZ104" s="5"/>
      <c r="BA104" s="5"/>
      <c r="BB104" s="5"/>
      <c r="BC104" s="5"/>
      <c r="BD104" s="5"/>
      <c r="BE104" s="5"/>
      <c r="BF104" s="5"/>
      <c r="BG104" s="5"/>
      <c r="BH104" s="5"/>
      <c r="BI104" s="5"/>
    </row>
    <row r="105" spans="1:62" customFormat="1">
      <c r="A105" s="114">
        <v>216</v>
      </c>
      <c r="B105" s="114" t="s">
        <v>243</v>
      </c>
      <c r="C105" s="114" t="s">
        <v>1974</v>
      </c>
      <c r="D105" s="113" t="s">
        <v>36</v>
      </c>
      <c r="E105" s="113"/>
      <c r="F105" s="118" t="s">
        <v>2031</v>
      </c>
      <c r="G105" s="113" t="s">
        <v>1479</v>
      </c>
      <c r="H105" s="113" t="s">
        <v>243</v>
      </c>
      <c r="I105" s="113">
        <v>11</v>
      </c>
      <c r="J105" s="113" t="s">
        <v>1109</v>
      </c>
      <c r="K105" s="113" t="s">
        <v>1968</v>
      </c>
      <c r="L105" s="115"/>
      <c r="M105" s="115"/>
      <c r="N105" s="115"/>
      <c r="O105" s="115"/>
      <c r="P105" s="115"/>
      <c r="Q105" s="115"/>
      <c r="R105" s="115"/>
      <c r="S105" s="113">
        <v>330</v>
      </c>
      <c r="T105" s="113">
        <v>60</v>
      </c>
      <c r="U105" s="113">
        <v>80</v>
      </c>
      <c r="V105" s="113">
        <v>50</v>
      </c>
      <c r="W105" s="113">
        <v>50</v>
      </c>
      <c r="X105" s="113">
        <v>50</v>
      </c>
      <c r="Y105" s="113">
        <v>40</v>
      </c>
      <c r="Z105" s="116">
        <v>11</v>
      </c>
      <c r="AA105" s="116">
        <v>7</v>
      </c>
      <c r="AB105" s="116">
        <v>4</v>
      </c>
      <c r="AC105" s="117">
        <f t="shared" si="1"/>
        <v>22</v>
      </c>
      <c r="AD105" s="113" t="s">
        <v>1545</v>
      </c>
      <c r="AE105" s="113"/>
      <c r="AF105" s="113"/>
      <c r="AG105" s="113"/>
      <c r="AH105" s="113"/>
      <c r="AI105" s="113"/>
      <c r="AJ105" s="113"/>
      <c r="AK105" s="113"/>
      <c r="AL105" s="113"/>
      <c r="AM105" s="118"/>
      <c r="AN105" s="113"/>
      <c r="AO105" s="113"/>
      <c r="AP105" s="113"/>
      <c r="AR105" s="5"/>
      <c r="AS105" s="5"/>
      <c r="AT105" s="5"/>
      <c r="AU105" s="5"/>
      <c r="AV105" s="5"/>
      <c r="AW105" s="5"/>
      <c r="AX105" s="5"/>
      <c r="AY105" s="5"/>
      <c r="AZ105" s="5"/>
      <c r="BA105" s="5"/>
      <c r="BB105" s="5"/>
      <c r="BC105" s="5"/>
      <c r="BD105" s="5"/>
      <c r="BE105" s="5"/>
      <c r="BF105" s="5"/>
      <c r="BG105" s="5"/>
      <c r="BH105" s="5"/>
      <c r="BI105" s="5"/>
    </row>
    <row r="106" spans="1:62" customFormat="1">
      <c r="A106" s="114">
        <v>159</v>
      </c>
      <c r="B106" s="114" t="s">
        <v>186</v>
      </c>
      <c r="C106" s="114" t="s">
        <v>1974</v>
      </c>
      <c r="D106" s="113" t="s">
        <v>25</v>
      </c>
      <c r="E106" s="113"/>
      <c r="F106" s="118" t="s">
        <v>2030</v>
      </c>
      <c r="G106" s="113" t="s">
        <v>1478</v>
      </c>
      <c r="H106" s="113" t="s">
        <v>185</v>
      </c>
      <c r="I106" s="113">
        <v>21</v>
      </c>
      <c r="J106" s="113" t="s">
        <v>185</v>
      </c>
      <c r="K106" s="113" t="s">
        <v>1968</v>
      </c>
      <c r="L106" s="115"/>
      <c r="M106" s="115"/>
      <c r="N106" s="115"/>
      <c r="O106" s="115"/>
      <c r="P106" s="115"/>
      <c r="Q106" s="115"/>
      <c r="R106" s="115"/>
      <c r="S106" s="113">
        <v>405</v>
      </c>
      <c r="T106" s="113">
        <v>65</v>
      </c>
      <c r="U106" s="113">
        <v>80</v>
      </c>
      <c r="V106" s="113">
        <v>80</v>
      </c>
      <c r="W106" s="113">
        <v>59</v>
      </c>
      <c r="X106" s="113">
        <v>63</v>
      </c>
      <c r="Y106" s="113">
        <v>58</v>
      </c>
      <c r="Z106" s="116">
        <v>14</v>
      </c>
      <c r="AA106" s="116">
        <v>7</v>
      </c>
      <c r="AB106" s="116">
        <v>6</v>
      </c>
      <c r="AC106" s="117">
        <f t="shared" si="1"/>
        <v>27</v>
      </c>
      <c r="AD106" s="113" t="s">
        <v>946</v>
      </c>
      <c r="AE106" s="113"/>
      <c r="AF106" s="113"/>
      <c r="AG106" s="113"/>
      <c r="AH106" s="113"/>
      <c r="AI106" s="113"/>
      <c r="AJ106" s="113"/>
      <c r="AK106" s="113"/>
      <c r="AL106" s="113"/>
      <c r="AM106" s="118"/>
      <c r="AN106" s="113"/>
      <c r="AO106" s="113"/>
      <c r="AP106" s="113"/>
      <c r="AR106" s="5"/>
      <c r="AS106" s="5"/>
      <c r="AT106" s="5"/>
      <c r="AU106" s="5"/>
      <c r="AV106" s="5"/>
      <c r="AW106" s="5"/>
      <c r="AX106" s="5"/>
      <c r="AY106" s="5"/>
      <c r="AZ106" s="5"/>
      <c r="BA106" s="5"/>
      <c r="BB106" s="5"/>
      <c r="BC106" s="5"/>
      <c r="BD106" s="5"/>
      <c r="BE106" s="5"/>
      <c r="BF106" s="5"/>
      <c r="BG106" s="5"/>
      <c r="BH106" s="5"/>
      <c r="BI106" s="5"/>
    </row>
    <row r="107" spans="1:62" customFormat="1">
      <c r="A107" s="113">
        <v>42</v>
      </c>
      <c r="B107" s="113" t="s">
        <v>63</v>
      </c>
      <c r="C107" s="113" t="s">
        <v>1973</v>
      </c>
      <c r="D107" s="113" t="s">
        <v>15</v>
      </c>
      <c r="E107" s="113" t="s">
        <v>22</v>
      </c>
      <c r="F107" s="118" t="s">
        <v>2031</v>
      </c>
      <c r="G107" s="113" t="s">
        <v>1478</v>
      </c>
      <c r="H107" s="113" t="s">
        <v>62</v>
      </c>
      <c r="I107" s="113">
        <v>21</v>
      </c>
      <c r="J107" s="113" t="s">
        <v>62</v>
      </c>
      <c r="K107" s="113" t="s">
        <v>1968</v>
      </c>
      <c r="L107" s="115"/>
      <c r="M107" s="115"/>
      <c r="N107" s="115"/>
      <c r="O107" s="115"/>
      <c r="P107" s="115"/>
      <c r="Q107" s="115"/>
      <c r="R107" s="115"/>
      <c r="S107" s="113">
        <v>455</v>
      </c>
      <c r="T107" s="113">
        <v>75</v>
      </c>
      <c r="U107" s="113">
        <v>80</v>
      </c>
      <c r="V107" s="113">
        <v>70</v>
      </c>
      <c r="W107" s="113">
        <v>65</v>
      </c>
      <c r="X107" s="113">
        <v>75</v>
      </c>
      <c r="Y107" s="113">
        <v>90</v>
      </c>
      <c r="Z107" s="116">
        <v>15</v>
      </c>
      <c r="AA107" s="116">
        <v>6</v>
      </c>
      <c r="AB107" s="116">
        <v>9</v>
      </c>
      <c r="AC107" s="117">
        <f t="shared" si="1"/>
        <v>30</v>
      </c>
      <c r="AD107" s="113" t="s">
        <v>1538</v>
      </c>
      <c r="AE107" s="113" t="s">
        <v>1195</v>
      </c>
      <c r="AF107" s="113" t="s">
        <v>943</v>
      </c>
      <c r="AG107" s="113" t="s">
        <v>1653</v>
      </c>
      <c r="AH107" s="113" t="s">
        <v>946</v>
      </c>
      <c r="AI107" s="113" t="s">
        <v>1126</v>
      </c>
      <c r="AJ107" s="113" t="s">
        <v>1225</v>
      </c>
      <c r="AK107" s="113" t="s">
        <v>1263</v>
      </c>
      <c r="AL107" s="113" t="s">
        <v>1609</v>
      </c>
      <c r="AM107" s="113" t="s">
        <v>1260</v>
      </c>
      <c r="AN107" s="113" t="s">
        <v>1261</v>
      </c>
      <c r="AO107" s="113" t="s">
        <v>1260</v>
      </c>
      <c r="AP107" s="113" t="s">
        <v>1261</v>
      </c>
      <c r="AR107" s="5"/>
      <c r="AS107" s="5"/>
      <c r="AT107" s="5"/>
      <c r="AU107" s="5"/>
      <c r="AV107" s="5"/>
      <c r="AW107" s="5"/>
      <c r="AX107" s="5"/>
      <c r="AY107" s="5"/>
      <c r="AZ107" s="5"/>
      <c r="BA107" s="5"/>
      <c r="BB107" s="5"/>
      <c r="BC107" s="5"/>
      <c r="BD107" s="5"/>
      <c r="BE107" s="5"/>
      <c r="BF107" s="5"/>
      <c r="BG107" s="5"/>
      <c r="BH107" s="5"/>
      <c r="BI107" s="5"/>
    </row>
    <row r="108" spans="1:62" customFormat="1">
      <c r="A108" s="114">
        <v>162</v>
      </c>
      <c r="B108" s="114" t="s">
        <v>189</v>
      </c>
      <c r="C108" s="114" t="s">
        <v>1974</v>
      </c>
      <c r="D108" s="113" t="s">
        <v>36</v>
      </c>
      <c r="E108" s="113"/>
      <c r="F108" s="118" t="s">
        <v>2031</v>
      </c>
      <c r="G108" s="113" t="s">
        <v>1477</v>
      </c>
      <c r="H108" s="113" t="s">
        <v>188</v>
      </c>
      <c r="I108" s="113">
        <v>21</v>
      </c>
      <c r="J108" s="113" t="s">
        <v>188</v>
      </c>
      <c r="K108" s="113" t="s">
        <v>1804</v>
      </c>
      <c r="L108" s="115"/>
      <c r="M108" s="115"/>
      <c r="N108" s="115"/>
      <c r="O108" s="115"/>
      <c r="P108" s="115"/>
      <c r="Q108" s="115"/>
      <c r="R108" s="115"/>
      <c r="S108" s="113">
        <v>415</v>
      </c>
      <c r="T108" s="113">
        <v>85</v>
      </c>
      <c r="U108" s="113">
        <v>76</v>
      </c>
      <c r="V108" s="113">
        <v>64</v>
      </c>
      <c r="W108" s="113">
        <v>45</v>
      </c>
      <c r="X108" s="113">
        <v>55</v>
      </c>
      <c r="Y108" s="113">
        <v>90</v>
      </c>
      <c r="Z108" s="116">
        <v>14</v>
      </c>
      <c r="AA108" s="116">
        <v>6</v>
      </c>
      <c r="AB108" s="116">
        <v>9</v>
      </c>
      <c r="AC108" s="117">
        <f t="shared" si="1"/>
        <v>29</v>
      </c>
      <c r="AD108" s="113" t="s">
        <v>946</v>
      </c>
      <c r="AE108" s="113"/>
      <c r="AF108" s="113"/>
      <c r="AG108" s="113"/>
      <c r="AH108" s="113"/>
      <c r="AI108" s="113"/>
      <c r="AJ108" s="113"/>
      <c r="AK108" s="113"/>
      <c r="AL108" s="113"/>
      <c r="AM108" s="118"/>
      <c r="AN108" s="113"/>
      <c r="AO108" s="113"/>
      <c r="AP108" s="113"/>
      <c r="AR108" s="5"/>
      <c r="AS108" s="5"/>
      <c r="AT108" s="5"/>
      <c r="AU108" s="5"/>
      <c r="AV108" s="5"/>
      <c r="AW108" s="5"/>
      <c r="AX108" s="5"/>
      <c r="AY108" s="5"/>
      <c r="AZ108" s="5"/>
      <c r="BA108" s="5"/>
      <c r="BB108" s="5"/>
      <c r="BC108" s="5"/>
      <c r="BD108" s="5"/>
      <c r="BE108" s="5"/>
      <c r="BF108" s="5"/>
      <c r="BG108" s="5"/>
      <c r="BH108" s="5"/>
      <c r="BI108" s="5"/>
    </row>
    <row r="109" spans="1:62" customFormat="1">
      <c r="A109" s="113">
        <v>38</v>
      </c>
      <c r="B109" s="113" t="s">
        <v>59</v>
      </c>
      <c r="C109" s="113" t="s">
        <v>1973</v>
      </c>
      <c r="D109" s="113" t="s">
        <v>19</v>
      </c>
      <c r="E109" s="113"/>
      <c r="F109" s="118" t="s">
        <v>2031</v>
      </c>
      <c r="G109" s="113" t="s">
        <v>1477</v>
      </c>
      <c r="H109" s="113" t="s">
        <v>58</v>
      </c>
      <c r="I109" s="113">
        <v>21</v>
      </c>
      <c r="J109" s="113" t="s">
        <v>58</v>
      </c>
      <c r="K109" s="113" t="s">
        <v>1804</v>
      </c>
      <c r="L109" s="115"/>
      <c r="M109" s="115"/>
      <c r="N109" s="115"/>
      <c r="O109" s="115"/>
      <c r="P109" s="115"/>
      <c r="Q109" s="115"/>
      <c r="R109" s="115"/>
      <c r="S109" s="113">
        <v>505</v>
      </c>
      <c r="T109" s="113">
        <v>73</v>
      </c>
      <c r="U109" s="113">
        <v>76</v>
      </c>
      <c r="V109" s="113">
        <v>75</v>
      </c>
      <c r="W109" s="113">
        <v>81</v>
      </c>
      <c r="X109" s="113">
        <v>100</v>
      </c>
      <c r="Y109" s="113">
        <v>100</v>
      </c>
      <c r="Z109" s="116">
        <v>17</v>
      </c>
      <c r="AA109" s="116">
        <v>7</v>
      </c>
      <c r="AB109" s="116">
        <v>10</v>
      </c>
      <c r="AC109" s="117">
        <f t="shared" si="1"/>
        <v>34</v>
      </c>
      <c r="AD109" s="113" t="s">
        <v>1537</v>
      </c>
      <c r="AE109" s="113" t="s">
        <v>1056</v>
      </c>
      <c r="AF109" s="113" t="s">
        <v>946</v>
      </c>
      <c r="AG109" s="113"/>
      <c r="AH109" s="113" t="s">
        <v>946</v>
      </c>
      <c r="AI109" s="113" t="s">
        <v>1647</v>
      </c>
      <c r="AJ109" s="113" t="s">
        <v>1646</v>
      </c>
      <c r="AK109" s="113" t="s">
        <v>1645</v>
      </c>
      <c r="AL109" s="113" t="s">
        <v>1588</v>
      </c>
      <c r="AM109" s="113" t="s">
        <v>1030</v>
      </c>
      <c r="AN109" s="113" t="s">
        <v>1029</v>
      </c>
      <c r="AO109" s="113" t="s">
        <v>1030</v>
      </c>
      <c r="AP109" s="113" t="s">
        <v>1029</v>
      </c>
      <c r="AR109" s="5"/>
      <c r="AS109" s="5"/>
      <c r="AT109" s="5"/>
      <c r="AU109" s="5"/>
      <c r="AV109" s="5"/>
      <c r="AW109" s="5"/>
      <c r="AX109" s="5"/>
      <c r="AY109" s="5"/>
      <c r="AZ109" s="5"/>
      <c r="BA109" s="5"/>
      <c r="BB109" s="5"/>
      <c r="BC109" s="5"/>
      <c r="BD109" s="5"/>
      <c r="BE109" s="5"/>
      <c r="BF109" s="5"/>
      <c r="BG109" s="5"/>
      <c r="BH109" s="5"/>
      <c r="BI109" s="5"/>
    </row>
    <row r="110" spans="1:62" customFormat="1">
      <c r="A110" s="113">
        <v>69</v>
      </c>
      <c r="B110" s="113" t="s">
        <v>92</v>
      </c>
      <c r="C110" s="113" t="s">
        <v>1973</v>
      </c>
      <c r="D110" s="113" t="s">
        <v>14</v>
      </c>
      <c r="E110" s="113" t="s">
        <v>15</v>
      </c>
      <c r="F110" s="118" t="s">
        <v>2031</v>
      </c>
      <c r="G110" s="113" t="s">
        <v>1479</v>
      </c>
      <c r="H110" s="113" t="s">
        <v>92</v>
      </c>
      <c r="I110" s="113">
        <v>11</v>
      </c>
      <c r="J110" s="113" t="s">
        <v>1109</v>
      </c>
      <c r="K110" s="115" t="s">
        <v>1968</v>
      </c>
      <c r="L110" s="115"/>
      <c r="M110" s="115"/>
      <c r="N110" s="115"/>
      <c r="O110" s="115"/>
      <c r="P110" s="115"/>
      <c r="Q110" s="115"/>
      <c r="R110" s="115"/>
      <c r="S110" s="113">
        <v>300</v>
      </c>
      <c r="T110" s="113">
        <v>50</v>
      </c>
      <c r="U110" s="113">
        <v>75</v>
      </c>
      <c r="V110" s="113">
        <v>35</v>
      </c>
      <c r="W110" s="113">
        <v>70</v>
      </c>
      <c r="X110" s="113">
        <v>30</v>
      </c>
      <c r="Y110" s="113">
        <v>40</v>
      </c>
      <c r="Z110" s="116">
        <v>8</v>
      </c>
      <c r="AA110" s="116">
        <v>4</v>
      </c>
      <c r="AB110" s="116">
        <v>4</v>
      </c>
      <c r="AC110" s="117">
        <f t="shared" si="1"/>
        <v>16</v>
      </c>
      <c r="AD110" s="113" t="s">
        <v>1546</v>
      </c>
      <c r="AE110" s="113" t="s">
        <v>1161</v>
      </c>
      <c r="AF110" s="113" t="s">
        <v>943</v>
      </c>
      <c r="AG110" s="113" t="s">
        <v>985</v>
      </c>
      <c r="AH110" s="113" t="s">
        <v>946</v>
      </c>
      <c r="AI110" s="113" t="s">
        <v>1013</v>
      </c>
      <c r="AJ110" s="113" t="s">
        <v>1003</v>
      </c>
      <c r="AK110" s="113" t="s">
        <v>1222</v>
      </c>
      <c r="AL110" s="113" t="s">
        <v>1058</v>
      </c>
      <c r="AM110" s="113" t="s">
        <v>1028</v>
      </c>
      <c r="AN110" s="113" t="s">
        <v>1027</v>
      </c>
      <c r="AO110" s="113" t="s">
        <v>1028</v>
      </c>
      <c r="AP110" s="113" t="s">
        <v>1027</v>
      </c>
      <c r="AR110" s="5"/>
      <c r="AS110" s="5"/>
      <c r="AT110" s="5"/>
      <c r="AU110" s="5"/>
      <c r="AV110" s="5"/>
      <c r="AW110" s="5"/>
      <c r="AX110" s="5"/>
      <c r="AY110" s="5"/>
      <c r="AZ110" s="5"/>
      <c r="BA110" s="5"/>
      <c r="BB110" s="5"/>
      <c r="BC110" s="5"/>
      <c r="BD110" s="5"/>
      <c r="BE110" s="5"/>
      <c r="BF110" s="5"/>
      <c r="BG110" s="5"/>
      <c r="BH110" s="5"/>
      <c r="BI110" s="5"/>
      <c r="BJ110" s="5"/>
    </row>
    <row r="111" spans="1:62" customFormat="1">
      <c r="A111" s="114">
        <v>207</v>
      </c>
      <c r="B111" s="114" t="s">
        <v>234</v>
      </c>
      <c r="C111" s="114" t="s">
        <v>1974</v>
      </c>
      <c r="D111" s="113" t="s">
        <v>49</v>
      </c>
      <c r="E111" s="113" t="s">
        <v>22</v>
      </c>
      <c r="F111" s="118" t="s">
        <v>2031</v>
      </c>
      <c r="G111" s="113" t="s">
        <v>1477</v>
      </c>
      <c r="H111" s="113" t="s">
        <v>234</v>
      </c>
      <c r="I111" s="113">
        <v>11</v>
      </c>
      <c r="J111" s="113" t="s">
        <v>1109</v>
      </c>
      <c r="K111" s="113" t="s">
        <v>1804</v>
      </c>
      <c r="L111" s="115"/>
      <c r="M111" s="115"/>
      <c r="N111" s="115"/>
      <c r="O111" s="115"/>
      <c r="P111" s="115"/>
      <c r="Q111" s="115"/>
      <c r="R111" s="115"/>
      <c r="S111" s="113">
        <v>430</v>
      </c>
      <c r="T111" s="113">
        <v>65</v>
      </c>
      <c r="U111" s="113">
        <v>75</v>
      </c>
      <c r="V111" s="113">
        <v>105</v>
      </c>
      <c r="W111" s="113">
        <v>35</v>
      </c>
      <c r="X111" s="113">
        <v>65</v>
      </c>
      <c r="Y111" s="113">
        <v>85</v>
      </c>
      <c r="Z111" s="116">
        <v>16</v>
      </c>
      <c r="AA111" s="116">
        <v>6</v>
      </c>
      <c r="AB111" s="116">
        <v>9</v>
      </c>
      <c r="AC111" s="117">
        <f t="shared" si="1"/>
        <v>31</v>
      </c>
      <c r="AD111" s="113" t="s">
        <v>1538</v>
      </c>
      <c r="AE111" s="113"/>
      <c r="AF111" s="113"/>
      <c r="AG111" s="113"/>
      <c r="AH111" s="113"/>
      <c r="AI111" s="113"/>
      <c r="AJ111" s="113"/>
      <c r="AK111" s="113"/>
      <c r="AL111" s="113"/>
      <c r="AM111" s="118"/>
      <c r="AN111" s="113"/>
      <c r="AO111" s="113"/>
      <c r="AP111" s="113"/>
      <c r="AR111" s="5"/>
      <c r="AS111" s="5"/>
      <c r="AT111" s="5"/>
      <c r="AU111" s="5"/>
      <c r="AV111" s="5"/>
      <c r="AW111" s="5"/>
      <c r="AX111" s="5"/>
      <c r="AY111" s="5"/>
      <c r="AZ111" s="5"/>
      <c r="BA111" s="5"/>
      <c r="BB111" s="5"/>
      <c r="BC111" s="5"/>
      <c r="BD111" s="5"/>
      <c r="BE111" s="5"/>
      <c r="BF111" s="5"/>
      <c r="BG111" s="5"/>
      <c r="BH111" s="5"/>
      <c r="BI111" s="5"/>
    </row>
    <row r="112" spans="1:62" customFormat="1">
      <c r="A112" s="114">
        <v>240</v>
      </c>
      <c r="B112" s="114" t="s">
        <v>267</v>
      </c>
      <c r="C112" s="114" t="s">
        <v>1974</v>
      </c>
      <c r="D112" s="113" t="s">
        <v>19</v>
      </c>
      <c r="E112" s="113"/>
      <c r="F112" s="118" t="s">
        <v>2031</v>
      </c>
      <c r="G112" s="113" t="s">
        <v>1479</v>
      </c>
      <c r="H112" s="113" t="s">
        <v>267</v>
      </c>
      <c r="I112" s="113">
        <v>11</v>
      </c>
      <c r="J112" s="113" t="s">
        <v>1109</v>
      </c>
      <c r="K112" s="113" t="s">
        <v>1968</v>
      </c>
      <c r="L112" s="115"/>
      <c r="M112" s="115"/>
      <c r="N112" s="115"/>
      <c r="O112" s="115"/>
      <c r="P112" s="115"/>
      <c r="Q112" s="115"/>
      <c r="R112" s="115"/>
      <c r="S112" s="113">
        <v>365</v>
      </c>
      <c r="T112" s="113">
        <v>45</v>
      </c>
      <c r="U112" s="113">
        <v>75</v>
      </c>
      <c r="V112" s="113">
        <v>37</v>
      </c>
      <c r="W112" s="113">
        <v>70</v>
      </c>
      <c r="X112" s="113">
        <v>55</v>
      </c>
      <c r="Y112" s="113">
        <v>83</v>
      </c>
      <c r="Z112" s="116">
        <v>9</v>
      </c>
      <c r="AA112" s="116">
        <v>7</v>
      </c>
      <c r="AB112" s="116">
        <v>8</v>
      </c>
      <c r="AC112" s="117">
        <f t="shared" si="1"/>
        <v>24</v>
      </c>
      <c r="AD112" s="113" t="s">
        <v>1545</v>
      </c>
      <c r="AE112" s="113"/>
      <c r="AF112" s="113"/>
      <c r="AG112" s="113"/>
      <c r="AH112" s="113"/>
      <c r="AI112" s="113"/>
      <c r="AJ112" s="113"/>
      <c r="AK112" s="113"/>
      <c r="AL112" s="113"/>
      <c r="AM112" s="118"/>
      <c r="AN112" s="113"/>
      <c r="AO112" s="113"/>
      <c r="AP112" s="113"/>
      <c r="AR112" s="5"/>
      <c r="AS112" s="5"/>
      <c r="AT112" s="5"/>
      <c r="AU112" s="5"/>
      <c r="AV112" s="5"/>
      <c r="AW112" s="5"/>
      <c r="AX112" s="5"/>
      <c r="AY112" s="5"/>
      <c r="AZ112" s="5"/>
      <c r="BA112" s="5"/>
      <c r="BB112" s="5"/>
      <c r="BC112" s="5"/>
      <c r="BD112" s="5"/>
      <c r="BE112" s="5"/>
      <c r="BF112" s="5"/>
      <c r="BG112" s="5"/>
      <c r="BH112" s="5"/>
      <c r="BI112" s="5"/>
    </row>
    <row r="113" spans="1:61" customFormat="1">
      <c r="A113" s="114">
        <v>181</v>
      </c>
      <c r="B113" s="114" t="s">
        <v>208</v>
      </c>
      <c r="C113" s="114" t="s">
        <v>1974</v>
      </c>
      <c r="D113" s="113" t="s">
        <v>46</v>
      </c>
      <c r="E113" s="113"/>
      <c r="F113" s="118" t="s">
        <v>2031</v>
      </c>
      <c r="G113" s="113" t="s">
        <v>1477</v>
      </c>
      <c r="H113" s="113" t="s">
        <v>206</v>
      </c>
      <c r="I113" s="113">
        <v>31</v>
      </c>
      <c r="J113" s="114" t="s">
        <v>207</v>
      </c>
      <c r="K113" s="113" t="s">
        <v>1804</v>
      </c>
      <c r="L113" s="115"/>
      <c r="M113" s="115"/>
      <c r="N113" s="115"/>
      <c r="O113" s="115"/>
      <c r="P113" s="115"/>
      <c r="Q113" s="115"/>
      <c r="R113" s="115"/>
      <c r="S113" s="113">
        <v>510</v>
      </c>
      <c r="T113" s="113">
        <v>90</v>
      </c>
      <c r="U113" s="113">
        <v>75</v>
      </c>
      <c r="V113" s="113">
        <v>85</v>
      </c>
      <c r="W113" s="113">
        <v>115</v>
      </c>
      <c r="X113" s="113">
        <v>90</v>
      </c>
      <c r="Y113" s="113">
        <v>55</v>
      </c>
      <c r="Z113" s="116">
        <v>18</v>
      </c>
      <c r="AA113" s="116">
        <v>9.5</v>
      </c>
      <c r="AB113" s="116">
        <v>6</v>
      </c>
      <c r="AC113" s="117">
        <f t="shared" si="1"/>
        <v>33.5</v>
      </c>
      <c r="AD113" s="113" t="s">
        <v>1537</v>
      </c>
      <c r="AE113" s="113"/>
      <c r="AF113" s="113"/>
      <c r="AG113" s="113"/>
      <c r="AH113" s="113"/>
      <c r="AI113" s="113"/>
      <c r="AJ113" s="113"/>
      <c r="AK113" s="113"/>
      <c r="AL113" s="113"/>
      <c r="AM113" s="118"/>
      <c r="AN113" s="113"/>
      <c r="AO113" s="113"/>
      <c r="AP113" s="113"/>
      <c r="AR113" s="5"/>
      <c r="AS113" s="5"/>
      <c r="AT113" s="5"/>
      <c r="AU113" s="5"/>
      <c r="AV113" s="5"/>
      <c r="AW113" s="5"/>
      <c r="AX113" s="5"/>
      <c r="AY113" s="5"/>
      <c r="AZ113" s="5"/>
      <c r="BA113" s="5"/>
      <c r="BB113" s="5"/>
      <c r="BC113" s="5"/>
      <c r="BD113" s="5"/>
      <c r="BE113" s="5"/>
      <c r="BF113" s="5"/>
      <c r="BG113" s="5"/>
      <c r="BH113" s="5"/>
      <c r="BI113" s="5"/>
    </row>
    <row r="114" spans="1:61" customFormat="1">
      <c r="A114" s="114">
        <v>178</v>
      </c>
      <c r="B114" s="114" t="s">
        <v>205</v>
      </c>
      <c r="C114" s="114" t="s">
        <v>1974</v>
      </c>
      <c r="D114" s="113" t="s">
        <v>86</v>
      </c>
      <c r="E114" s="113" t="s">
        <v>22</v>
      </c>
      <c r="F114" s="118" t="s">
        <v>2031</v>
      </c>
      <c r="G114" s="113" t="s">
        <v>1477</v>
      </c>
      <c r="H114" s="113" t="s">
        <v>204</v>
      </c>
      <c r="I114" s="113">
        <v>21</v>
      </c>
      <c r="J114" s="113" t="s">
        <v>204</v>
      </c>
      <c r="K114" s="113" t="s">
        <v>1804</v>
      </c>
      <c r="L114" s="115"/>
      <c r="M114" s="115"/>
      <c r="N114" s="115"/>
      <c r="O114" s="115"/>
      <c r="P114" s="115"/>
      <c r="Q114" s="115"/>
      <c r="R114" s="115"/>
      <c r="S114" s="113">
        <v>470</v>
      </c>
      <c r="T114" s="113">
        <v>65</v>
      </c>
      <c r="U114" s="113">
        <v>75</v>
      </c>
      <c r="V114" s="113">
        <v>70</v>
      </c>
      <c r="W114" s="113">
        <v>95</v>
      </c>
      <c r="X114" s="113">
        <v>70</v>
      </c>
      <c r="Y114" s="113">
        <v>95</v>
      </c>
      <c r="Z114" s="116">
        <v>14</v>
      </c>
      <c r="AA114" s="116">
        <v>8.5</v>
      </c>
      <c r="AB114" s="116">
        <v>10</v>
      </c>
      <c r="AC114" s="117">
        <f t="shared" si="1"/>
        <v>32.5</v>
      </c>
      <c r="AD114" s="113" t="s">
        <v>1538</v>
      </c>
      <c r="AE114" s="113"/>
      <c r="AF114" s="113"/>
      <c r="AG114" s="113"/>
      <c r="AH114" s="113"/>
      <c r="AI114" s="113"/>
      <c r="AJ114" s="113"/>
      <c r="AK114" s="113"/>
      <c r="AL114" s="113"/>
      <c r="AM114" s="118"/>
      <c r="AN114" s="113"/>
      <c r="AO114" s="113"/>
      <c r="AP114" s="113"/>
      <c r="AR114" s="5"/>
      <c r="AS114" s="5"/>
      <c r="AT114" s="5"/>
      <c r="AU114" s="5"/>
      <c r="AV114" s="5"/>
      <c r="AW114" s="5"/>
      <c r="AX114" s="5"/>
      <c r="AY114" s="5"/>
      <c r="AZ114" s="5"/>
      <c r="BA114" s="5"/>
      <c r="BB114" s="5"/>
      <c r="BC114" s="5"/>
      <c r="BD114" s="5"/>
      <c r="BE114" s="5"/>
      <c r="BF114" s="5"/>
      <c r="BG114" s="5"/>
      <c r="BH114" s="5"/>
      <c r="BI114" s="5"/>
    </row>
    <row r="115" spans="1:61" customFormat="1">
      <c r="A115" s="114">
        <v>186</v>
      </c>
      <c r="B115" s="114" t="s">
        <v>213</v>
      </c>
      <c r="C115" s="114" t="s">
        <v>1974</v>
      </c>
      <c r="D115" s="113" t="s">
        <v>25</v>
      </c>
      <c r="E115" s="113"/>
      <c r="F115" s="118" t="s">
        <v>2031</v>
      </c>
      <c r="G115" s="113" t="s">
        <v>1477</v>
      </c>
      <c r="H115" s="113" t="s">
        <v>82</v>
      </c>
      <c r="I115" s="113">
        <v>32</v>
      </c>
      <c r="J115" s="113" t="s">
        <v>83</v>
      </c>
      <c r="K115" s="113" t="s">
        <v>1804</v>
      </c>
      <c r="L115" s="115"/>
      <c r="M115" s="115"/>
      <c r="N115" s="115"/>
      <c r="O115" s="115" t="s">
        <v>2003</v>
      </c>
      <c r="P115" s="115"/>
      <c r="Q115" s="115"/>
      <c r="R115" s="115"/>
      <c r="S115" s="113">
        <v>500</v>
      </c>
      <c r="T115" s="113">
        <v>90</v>
      </c>
      <c r="U115" s="113">
        <v>75</v>
      </c>
      <c r="V115" s="113">
        <v>75</v>
      </c>
      <c r="W115" s="113">
        <v>90</v>
      </c>
      <c r="X115" s="113">
        <v>100</v>
      </c>
      <c r="Y115" s="113">
        <v>70</v>
      </c>
      <c r="Z115" s="116">
        <v>18</v>
      </c>
      <c r="AA115" s="116">
        <v>7.5</v>
      </c>
      <c r="AB115" s="116">
        <v>7</v>
      </c>
      <c r="AC115" s="117">
        <f t="shared" si="1"/>
        <v>32.5</v>
      </c>
      <c r="AD115" s="113" t="s">
        <v>1538</v>
      </c>
      <c r="AE115" s="113"/>
      <c r="AF115" s="113"/>
      <c r="AG115" s="113"/>
      <c r="AH115" s="113"/>
      <c r="AI115" s="113"/>
      <c r="AJ115" s="113"/>
      <c r="AK115" s="113"/>
      <c r="AL115" s="113"/>
      <c r="AM115" s="118"/>
      <c r="AN115" s="113"/>
      <c r="AO115" s="113"/>
      <c r="AP115" s="113"/>
      <c r="AR115" s="5"/>
      <c r="AS115" s="5"/>
      <c r="AT115" s="5"/>
      <c r="AU115" s="5"/>
      <c r="AV115" s="5"/>
      <c r="AW115" s="5"/>
      <c r="AX115" s="5"/>
      <c r="AY115" s="5"/>
      <c r="AZ115" s="5"/>
      <c r="BA115" s="5"/>
      <c r="BB115" s="5"/>
      <c r="BC115" s="5"/>
      <c r="BD115" s="5"/>
      <c r="BE115" s="5"/>
      <c r="BF115" s="5"/>
      <c r="BG115" s="5"/>
      <c r="BH115" s="5"/>
      <c r="BI115" s="5"/>
    </row>
    <row r="116" spans="1:61" customFormat="1">
      <c r="A116" s="113">
        <v>27</v>
      </c>
      <c r="B116" s="113" t="s">
        <v>48</v>
      </c>
      <c r="C116" s="113" t="s">
        <v>1973</v>
      </c>
      <c r="D116" s="113" t="s">
        <v>49</v>
      </c>
      <c r="E116" s="113"/>
      <c r="F116" s="118" t="s">
        <v>2031</v>
      </c>
      <c r="G116" s="113" t="s">
        <v>1479</v>
      </c>
      <c r="H116" s="113" t="s">
        <v>48</v>
      </c>
      <c r="I116" s="113">
        <v>11</v>
      </c>
      <c r="J116" s="113" t="s">
        <v>1109</v>
      </c>
      <c r="K116" s="115" t="s">
        <v>1968</v>
      </c>
      <c r="L116" s="115"/>
      <c r="M116" s="115"/>
      <c r="N116" s="115"/>
      <c r="O116" s="115"/>
      <c r="P116" s="115"/>
      <c r="Q116" s="115"/>
      <c r="R116" s="115"/>
      <c r="S116" s="113">
        <v>300</v>
      </c>
      <c r="T116" s="113">
        <v>50</v>
      </c>
      <c r="U116" s="113">
        <v>75</v>
      </c>
      <c r="V116" s="113">
        <v>85</v>
      </c>
      <c r="W116" s="113">
        <v>20</v>
      </c>
      <c r="X116" s="113">
        <v>30</v>
      </c>
      <c r="Y116" s="113">
        <v>40</v>
      </c>
      <c r="Z116" s="116">
        <v>11</v>
      </c>
      <c r="AA116" s="116">
        <v>4</v>
      </c>
      <c r="AB116" s="116">
        <v>4</v>
      </c>
      <c r="AC116" s="117">
        <f t="shared" si="1"/>
        <v>19</v>
      </c>
      <c r="AD116" s="113" t="s">
        <v>1546</v>
      </c>
      <c r="AE116" s="113" t="s">
        <v>1182</v>
      </c>
      <c r="AF116" s="113" t="s">
        <v>943</v>
      </c>
      <c r="AG116" s="113"/>
      <c r="AH116" s="113" t="s">
        <v>943</v>
      </c>
      <c r="AI116" s="113" t="s">
        <v>1005</v>
      </c>
      <c r="AJ116" s="113" t="s">
        <v>1234</v>
      </c>
      <c r="AK116" s="113" t="s">
        <v>1229</v>
      </c>
      <c r="AL116" s="113" t="s">
        <v>1636</v>
      </c>
      <c r="AM116" s="113" t="s">
        <v>1237</v>
      </c>
      <c r="AN116" s="113" t="s">
        <v>1236</v>
      </c>
      <c r="AO116" s="113" t="s">
        <v>1237</v>
      </c>
      <c r="AP116" s="113" t="s">
        <v>1236</v>
      </c>
      <c r="AR116" s="5"/>
      <c r="AS116" s="5"/>
      <c r="AT116" s="5"/>
      <c r="AU116" s="5"/>
      <c r="AV116" s="5"/>
      <c r="AW116" s="5"/>
      <c r="AX116" s="5"/>
      <c r="AY116" s="5"/>
      <c r="AZ116" s="5"/>
      <c r="BA116" s="5"/>
      <c r="BB116" s="5"/>
      <c r="BC116" s="5"/>
      <c r="BD116" s="5"/>
      <c r="BE116" s="5"/>
      <c r="BF116" s="5"/>
      <c r="BG116" s="5"/>
      <c r="BH116" s="5"/>
      <c r="BI116" s="5"/>
    </row>
    <row r="117" spans="1:61" customFormat="1">
      <c r="A117" s="113">
        <v>80</v>
      </c>
      <c r="B117" s="113" t="s">
        <v>104</v>
      </c>
      <c r="C117" s="113" t="s">
        <v>1973</v>
      </c>
      <c r="D117" s="113" t="s">
        <v>25</v>
      </c>
      <c r="E117" s="113" t="s">
        <v>86</v>
      </c>
      <c r="F117" s="118" t="s">
        <v>2031</v>
      </c>
      <c r="G117" s="113" t="s">
        <v>1477</v>
      </c>
      <c r="H117" s="113" t="s">
        <v>103</v>
      </c>
      <c r="I117" s="113">
        <v>21</v>
      </c>
      <c r="J117" s="113" t="s">
        <v>103</v>
      </c>
      <c r="K117" s="113" t="s">
        <v>1804</v>
      </c>
      <c r="L117" s="115"/>
      <c r="M117" s="115"/>
      <c r="N117" s="115"/>
      <c r="O117" s="115"/>
      <c r="P117" s="115"/>
      <c r="Q117" s="115"/>
      <c r="R117" s="115"/>
      <c r="S117" s="113">
        <v>490</v>
      </c>
      <c r="T117" s="113">
        <v>95</v>
      </c>
      <c r="U117" s="113">
        <v>75</v>
      </c>
      <c r="V117" s="113">
        <v>110</v>
      </c>
      <c r="W117" s="113">
        <v>100</v>
      </c>
      <c r="X117" s="113">
        <v>80</v>
      </c>
      <c r="Y117" s="113">
        <v>30</v>
      </c>
      <c r="Z117" s="116">
        <v>19</v>
      </c>
      <c r="AA117" s="116">
        <v>7.5</v>
      </c>
      <c r="AB117" s="116">
        <v>3</v>
      </c>
      <c r="AC117" s="117">
        <f t="shared" si="1"/>
        <v>29.5</v>
      </c>
      <c r="AD117" s="113" t="s">
        <v>1538</v>
      </c>
      <c r="AE117" s="113" t="s">
        <v>1561</v>
      </c>
      <c r="AF117" s="113" t="s">
        <v>943</v>
      </c>
      <c r="AG117" s="113" t="s">
        <v>944</v>
      </c>
      <c r="AH117" s="113" t="s">
        <v>946</v>
      </c>
      <c r="AI117" s="113" t="s">
        <v>1318</v>
      </c>
      <c r="AJ117" s="113" t="s">
        <v>1277</v>
      </c>
      <c r="AK117" s="113" t="s">
        <v>1578</v>
      </c>
      <c r="AL117" s="113" t="s">
        <v>1011</v>
      </c>
      <c r="AM117" s="113" t="s">
        <v>1344</v>
      </c>
      <c r="AN117" s="113" t="s">
        <v>1345</v>
      </c>
      <c r="AO117" s="113" t="s">
        <v>1344</v>
      </c>
      <c r="AP117" s="113" t="s">
        <v>1345</v>
      </c>
      <c r="AR117" s="5"/>
      <c r="AS117" s="5"/>
      <c r="AT117" s="5"/>
      <c r="AU117" s="5"/>
      <c r="AV117" s="5"/>
      <c r="AW117" s="5"/>
      <c r="AX117" s="5"/>
      <c r="AY117" s="5"/>
      <c r="AZ117" s="5"/>
      <c r="BA117" s="5"/>
      <c r="BB117" s="5"/>
      <c r="BC117" s="5"/>
      <c r="BD117" s="5"/>
      <c r="BE117" s="5"/>
      <c r="BF117" s="5"/>
      <c r="BG117" s="5"/>
      <c r="BH117" s="5"/>
      <c r="BI117" s="5"/>
    </row>
    <row r="118" spans="1:61" customFormat="1">
      <c r="A118" s="114">
        <v>199</v>
      </c>
      <c r="B118" s="114" t="s">
        <v>226</v>
      </c>
      <c r="C118" s="114" t="s">
        <v>1974</v>
      </c>
      <c r="D118" s="113" t="s">
        <v>25</v>
      </c>
      <c r="E118" s="113" t="s">
        <v>86</v>
      </c>
      <c r="F118" s="118" t="s">
        <v>2031</v>
      </c>
      <c r="G118" s="113" t="s">
        <v>1477</v>
      </c>
      <c r="H118" s="113" t="s">
        <v>103</v>
      </c>
      <c r="I118" s="113">
        <v>22</v>
      </c>
      <c r="J118" s="113" t="s">
        <v>103</v>
      </c>
      <c r="K118" s="113" t="s">
        <v>1804</v>
      </c>
      <c r="L118" s="115"/>
      <c r="M118" s="115"/>
      <c r="N118" s="115"/>
      <c r="O118" s="115"/>
      <c r="P118" s="115" t="s">
        <v>1996</v>
      </c>
      <c r="Q118" s="115"/>
      <c r="R118" s="115"/>
      <c r="S118" s="113">
        <v>490</v>
      </c>
      <c r="T118" s="113">
        <v>95</v>
      </c>
      <c r="U118" s="113">
        <v>75</v>
      </c>
      <c r="V118" s="113">
        <v>80</v>
      </c>
      <c r="W118" s="113">
        <v>100</v>
      </c>
      <c r="X118" s="113">
        <v>110</v>
      </c>
      <c r="Y118" s="113">
        <v>30</v>
      </c>
      <c r="Z118" s="116">
        <v>19</v>
      </c>
      <c r="AA118" s="116">
        <v>8.5</v>
      </c>
      <c r="AB118" s="116">
        <v>3</v>
      </c>
      <c r="AC118" s="117">
        <f t="shared" si="1"/>
        <v>30.5</v>
      </c>
      <c r="AD118" s="113" t="s">
        <v>1538</v>
      </c>
      <c r="AE118" s="113"/>
      <c r="AF118" s="113"/>
      <c r="AG118" s="113"/>
      <c r="AH118" s="113"/>
      <c r="AI118" s="113"/>
      <c r="AJ118" s="113"/>
      <c r="AK118" s="113"/>
      <c r="AL118" s="113"/>
      <c r="AM118" s="118"/>
      <c r="AN118" s="113"/>
      <c r="AO118" s="113"/>
      <c r="AP118" s="113"/>
      <c r="AR118" s="5"/>
      <c r="AS118" s="5"/>
      <c r="AT118" s="5"/>
      <c r="AU118" s="5"/>
      <c r="AV118" s="5"/>
      <c r="AW118" s="5"/>
      <c r="AX118" s="5"/>
      <c r="AY118" s="5"/>
      <c r="AZ118" s="5"/>
      <c r="BA118" s="5"/>
      <c r="BB118" s="5"/>
      <c r="BC118" s="5"/>
      <c r="BD118" s="5"/>
      <c r="BE118" s="5"/>
      <c r="BF118" s="5"/>
      <c r="BG118" s="5"/>
      <c r="BH118" s="5"/>
      <c r="BI118" s="5"/>
    </row>
    <row r="119" spans="1:61" customFormat="1">
      <c r="A119" s="113">
        <v>121</v>
      </c>
      <c r="B119" s="113" t="s">
        <v>148</v>
      </c>
      <c r="C119" s="113" t="s">
        <v>1973</v>
      </c>
      <c r="D119" s="113" t="s">
        <v>25</v>
      </c>
      <c r="E119" s="113" t="s">
        <v>86</v>
      </c>
      <c r="F119" s="118" t="s">
        <v>2031</v>
      </c>
      <c r="G119" s="113" t="s">
        <v>1477</v>
      </c>
      <c r="H119" s="113" t="s">
        <v>147</v>
      </c>
      <c r="I119" s="113">
        <v>21</v>
      </c>
      <c r="J119" s="113" t="s">
        <v>147</v>
      </c>
      <c r="K119" s="113" t="s">
        <v>1804</v>
      </c>
      <c r="L119" s="115"/>
      <c r="M119" s="115"/>
      <c r="N119" s="115"/>
      <c r="O119" s="115"/>
      <c r="P119" s="115"/>
      <c r="Q119" s="115"/>
      <c r="R119" s="115"/>
      <c r="S119" s="113">
        <v>520</v>
      </c>
      <c r="T119" s="113">
        <v>60</v>
      </c>
      <c r="U119" s="113">
        <v>75</v>
      </c>
      <c r="V119" s="113">
        <v>85</v>
      </c>
      <c r="W119" s="113">
        <v>100</v>
      </c>
      <c r="X119" s="113">
        <v>85</v>
      </c>
      <c r="Y119" s="113">
        <v>115</v>
      </c>
      <c r="Z119" s="116">
        <v>15</v>
      </c>
      <c r="AA119" s="116">
        <v>8.5</v>
      </c>
      <c r="AB119" s="116">
        <v>12</v>
      </c>
      <c r="AC119" s="117">
        <f t="shared" si="1"/>
        <v>35.5</v>
      </c>
      <c r="AD119" s="113" t="s">
        <v>1537</v>
      </c>
      <c r="AE119" s="113" t="s">
        <v>1167</v>
      </c>
      <c r="AF119" s="113" t="s">
        <v>943</v>
      </c>
      <c r="AG119" s="113"/>
      <c r="AH119" s="113" t="s">
        <v>943</v>
      </c>
      <c r="AI119" s="113" t="s">
        <v>1106</v>
      </c>
      <c r="AJ119" s="113" t="s">
        <v>1318</v>
      </c>
      <c r="AK119" s="113" t="s">
        <v>1126</v>
      </c>
      <c r="AL119" s="113" t="s">
        <v>1233</v>
      </c>
      <c r="AM119" s="113" t="s">
        <v>1344</v>
      </c>
      <c r="AN119" s="113" t="s">
        <v>1345</v>
      </c>
      <c r="AO119" s="113" t="s">
        <v>1344</v>
      </c>
      <c r="AP119" s="113" t="s">
        <v>1345</v>
      </c>
      <c r="AR119" s="5"/>
      <c r="AS119" s="5"/>
      <c r="AT119" s="5"/>
      <c r="AU119" s="5"/>
      <c r="AV119" s="5"/>
      <c r="AW119" s="5"/>
      <c r="AX119" s="5"/>
      <c r="AY119" s="5"/>
      <c r="AZ119" s="5"/>
      <c r="BA119" s="5"/>
      <c r="BB119" s="5"/>
      <c r="BC119" s="5"/>
      <c r="BD119" s="5"/>
      <c r="BE119" s="5"/>
      <c r="BF119" s="5"/>
      <c r="BG119" s="5"/>
      <c r="BH119" s="5"/>
      <c r="BI119" s="5"/>
    </row>
    <row r="120" spans="1:61" customFormat="1">
      <c r="A120" s="114">
        <v>245</v>
      </c>
      <c r="B120" s="114" t="s">
        <v>272</v>
      </c>
      <c r="C120" s="114" t="s">
        <v>1974</v>
      </c>
      <c r="D120" s="113" t="s">
        <v>25</v>
      </c>
      <c r="E120" s="113"/>
      <c r="F120" s="118" t="s">
        <v>2032</v>
      </c>
      <c r="G120" s="113" t="s">
        <v>1477</v>
      </c>
      <c r="H120" s="113" t="s">
        <v>272</v>
      </c>
      <c r="I120" s="113">
        <v>11</v>
      </c>
      <c r="J120" s="113" t="s">
        <v>1109</v>
      </c>
      <c r="K120" s="113" t="s">
        <v>1804</v>
      </c>
      <c r="L120" s="115"/>
      <c r="M120" s="115"/>
      <c r="N120" s="115"/>
      <c r="O120" s="115"/>
      <c r="P120" s="115"/>
      <c r="Q120" s="115"/>
      <c r="R120" s="115"/>
      <c r="S120" s="113">
        <v>580</v>
      </c>
      <c r="T120" s="113">
        <v>100</v>
      </c>
      <c r="U120" s="113">
        <v>75</v>
      </c>
      <c r="V120" s="113">
        <v>115</v>
      </c>
      <c r="W120" s="113">
        <v>90</v>
      </c>
      <c r="X120" s="113">
        <v>115</v>
      </c>
      <c r="Y120" s="113">
        <v>85</v>
      </c>
      <c r="Z120" s="116">
        <v>22</v>
      </c>
      <c r="AA120" s="116">
        <v>7.5</v>
      </c>
      <c r="AB120" s="116">
        <v>9</v>
      </c>
      <c r="AC120" s="117">
        <f t="shared" si="1"/>
        <v>38.5</v>
      </c>
      <c r="AD120" s="113" t="s">
        <v>1479</v>
      </c>
      <c r="AE120" s="113"/>
      <c r="AF120" s="113"/>
      <c r="AG120" s="113"/>
      <c r="AH120" s="113"/>
      <c r="AI120" s="113"/>
      <c r="AJ120" s="113"/>
      <c r="AK120" s="113"/>
      <c r="AL120" s="113"/>
      <c r="AM120" s="118"/>
      <c r="AN120" s="113"/>
      <c r="AO120" s="113"/>
      <c r="AP120" s="113"/>
      <c r="AR120" s="5"/>
      <c r="AS120" s="5"/>
      <c r="AT120" s="5"/>
      <c r="AU120" s="5"/>
      <c r="AV120" s="5"/>
      <c r="AW120" s="5"/>
      <c r="AX120" s="5"/>
      <c r="AY120" s="5"/>
      <c r="AZ120" s="5"/>
      <c r="BA120" s="5"/>
      <c r="BB120" s="5"/>
      <c r="BC120" s="5"/>
      <c r="BD120" s="5"/>
      <c r="BE120" s="5"/>
      <c r="BF120" s="5"/>
      <c r="BG120" s="5"/>
      <c r="BH120" s="5"/>
      <c r="BI120" s="5"/>
    </row>
    <row r="121" spans="1:61" customFormat="1">
      <c r="A121" s="114">
        <v>192</v>
      </c>
      <c r="B121" s="114" t="s">
        <v>219</v>
      </c>
      <c r="C121" s="114" t="s">
        <v>1974</v>
      </c>
      <c r="D121" s="113" t="s">
        <v>14</v>
      </c>
      <c r="E121" s="113"/>
      <c r="F121" s="118" t="s">
        <v>2031</v>
      </c>
      <c r="G121" s="113" t="s">
        <v>1477</v>
      </c>
      <c r="H121" s="113" t="s">
        <v>218</v>
      </c>
      <c r="I121" s="113">
        <v>21</v>
      </c>
      <c r="J121" s="113" t="s">
        <v>218</v>
      </c>
      <c r="K121" s="113" t="s">
        <v>1804</v>
      </c>
      <c r="L121" s="115"/>
      <c r="M121" s="115"/>
      <c r="N121" s="115"/>
      <c r="O121" s="115"/>
      <c r="P121" s="115"/>
      <c r="Q121" s="115"/>
      <c r="R121" s="115"/>
      <c r="S121" s="113">
        <v>425</v>
      </c>
      <c r="T121" s="113">
        <v>75</v>
      </c>
      <c r="U121" s="113">
        <v>75</v>
      </c>
      <c r="V121" s="113">
        <v>55</v>
      </c>
      <c r="W121" s="113">
        <v>105</v>
      </c>
      <c r="X121" s="113">
        <v>85</v>
      </c>
      <c r="Y121" s="113">
        <v>30</v>
      </c>
      <c r="Z121" s="116">
        <v>14</v>
      </c>
      <c r="AA121" s="116">
        <v>8.5</v>
      </c>
      <c r="AB121" s="116">
        <v>3</v>
      </c>
      <c r="AC121" s="117">
        <f t="shared" si="1"/>
        <v>25.5</v>
      </c>
      <c r="AD121" s="113" t="s">
        <v>946</v>
      </c>
      <c r="AE121" s="113"/>
      <c r="AF121" s="113"/>
      <c r="AG121" s="113"/>
      <c r="AH121" s="113"/>
      <c r="AI121" s="113"/>
      <c r="AJ121" s="113"/>
      <c r="AK121" s="113"/>
      <c r="AL121" s="113"/>
      <c r="AM121" s="118"/>
      <c r="AN121" s="113"/>
      <c r="AO121" s="113"/>
      <c r="AP121" s="113"/>
      <c r="AR121" s="5"/>
      <c r="AS121" s="5"/>
      <c r="AT121" s="5"/>
      <c r="AU121" s="5"/>
      <c r="AV121" s="5"/>
      <c r="AW121" s="5"/>
      <c r="AX121" s="5"/>
      <c r="AY121" s="5"/>
      <c r="AZ121" s="5"/>
      <c r="BA121" s="5"/>
      <c r="BB121" s="5"/>
      <c r="BC121" s="5"/>
      <c r="BD121" s="5"/>
      <c r="BE121" s="5"/>
      <c r="BF121" s="5"/>
      <c r="BG121" s="5"/>
      <c r="BH121" s="5"/>
      <c r="BI121" s="5"/>
    </row>
    <row r="122" spans="1:61" customFormat="1">
      <c r="A122" s="113">
        <v>97</v>
      </c>
      <c r="B122" s="113" t="s">
        <v>124</v>
      </c>
      <c r="C122" s="113" t="s">
        <v>1973</v>
      </c>
      <c r="D122" s="113" t="s">
        <v>86</v>
      </c>
      <c r="E122" s="113"/>
      <c r="F122" s="118" t="s">
        <v>2031</v>
      </c>
      <c r="G122" s="113" t="s">
        <v>1477</v>
      </c>
      <c r="H122" s="113" t="s">
        <v>123</v>
      </c>
      <c r="I122" s="113">
        <v>21</v>
      </c>
      <c r="J122" s="113" t="s">
        <v>123</v>
      </c>
      <c r="K122" s="113" t="s">
        <v>1804</v>
      </c>
      <c r="L122" s="115"/>
      <c r="M122" s="115"/>
      <c r="N122" s="115"/>
      <c r="O122" s="115"/>
      <c r="P122" s="115"/>
      <c r="Q122" s="115"/>
      <c r="R122" s="115"/>
      <c r="S122" s="113">
        <v>483</v>
      </c>
      <c r="T122" s="113">
        <v>85</v>
      </c>
      <c r="U122" s="113">
        <v>73</v>
      </c>
      <c r="V122" s="113">
        <v>70</v>
      </c>
      <c r="W122" s="113">
        <v>73</v>
      </c>
      <c r="X122" s="113">
        <v>115</v>
      </c>
      <c r="Y122" s="113">
        <v>67</v>
      </c>
      <c r="Z122" s="116">
        <v>18</v>
      </c>
      <c r="AA122" s="116">
        <v>7.5</v>
      </c>
      <c r="AB122" s="116">
        <v>7</v>
      </c>
      <c r="AC122" s="117">
        <f t="shared" si="1"/>
        <v>32.5</v>
      </c>
      <c r="AD122" s="113" t="s">
        <v>1538</v>
      </c>
      <c r="AE122" s="113" t="s">
        <v>989</v>
      </c>
      <c r="AF122" s="113" t="s">
        <v>943</v>
      </c>
      <c r="AG122" s="113" t="s">
        <v>1777</v>
      </c>
      <c r="AH122" s="113" t="s">
        <v>946</v>
      </c>
      <c r="AI122" s="113" t="s">
        <v>1774</v>
      </c>
      <c r="AJ122" s="113" t="s">
        <v>1125</v>
      </c>
      <c r="AK122" s="113" t="s">
        <v>1589</v>
      </c>
      <c r="AL122" s="113" t="s">
        <v>1105</v>
      </c>
      <c r="AM122" s="113" t="s">
        <v>1104</v>
      </c>
      <c r="AN122" s="113" t="s">
        <v>1103</v>
      </c>
      <c r="AO122" s="113" t="s">
        <v>1104</v>
      </c>
      <c r="AP122" s="113" t="s">
        <v>1103</v>
      </c>
      <c r="AR122" s="5"/>
      <c r="AS122" s="5"/>
      <c r="AT122" s="5"/>
      <c r="AU122" s="5"/>
      <c r="AV122" s="5"/>
      <c r="AW122" s="5"/>
      <c r="AX122" s="5"/>
      <c r="AY122" s="5"/>
      <c r="AZ122" s="5"/>
      <c r="BA122" s="5"/>
      <c r="BB122" s="5"/>
      <c r="BC122" s="5"/>
      <c r="BD122" s="5"/>
      <c r="BE122" s="5"/>
      <c r="BF122" s="5"/>
      <c r="BG122" s="5"/>
      <c r="BH122" s="5"/>
      <c r="BI122" s="5"/>
    </row>
    <row r="123" spans="1:61" customFormat="1">
      <c r="A123" s="113">
        <v>33</v>
      </c>
      <c r="B123" s="113" t="s">
        <v>53</v>
      </c>
      <c r="C123" s="113" t="s">
        <v>1973</v>
      </c>
      <c r="D123" s="113" t="s">
        <v>15</v>
      </c>
      <c r="E123" s="113"/>
      <c r="F123" s="118" t="s">
        <v>2031</v>
      </c>
      <c r="G123" s="113" t="s">
        <v>1478</v>
      </c>
      <c r="H123" s="113" t="s">
        <v>769</v>
      </c>
      <c r="I123" s="113">
        <v>21</v>
      </c>
      <c r="J123" s="113" t="s">
        <v>769</v>
      </c>
      <c r="K123" s="113" t="s">
        <v>1803</v>
      </c>
      <c r="L123" s="115"/>
      <c r="M123" s="115"/>
      <c r="N123" s="115"/>
      <c r="O123" s="115"/>
      <c r="P123" s="115"/>
      <c r="Q123" s="115"/>
      <c r="R123" s="115"/>
      <c r="S123" s="113">
        <v>365</v>
      </c>
      <c r="T123" s="113">
        <v>61</v>
      </c>
      <c r="U123" s="113">
        <v>72</v>
      </c>
      <c r="V123" s="113">
        <v>57</v>
      </c>
      <c r="W123" s="113">
        <v>55</v>
      </c>
      <c r="X123" s="113">
        <v>55</v>
      </c>
      <c r="Y123" s="113">
        <v>65</v>
      </c>
      <c r="Z123" s="116">
        <v>12</v>
      </c>
      <c r="AA123" s="116">
        <v>6</v>
      </c>
      <c r="AB123" s="116">
        <v>7</v>
      </c>
      <c r="AC123" s="117">
        <f t="shared" si="1"/>
        <v>25</v>
      </c>
      <c r="AD123" s="113" t="s">
        <v>1545</v>
      </c>
      <c r="AE123" s="113" t="s">
        <v>1132</v>
      </c>
      <c r="AF123" s="113" t="s">
        <v>946</v>
      </c>
      <c r="AG123" s="113"/>
      <c r="AH123" s="113" t="s">
        <v>946</v>
      </c>
      <c r="AI123" s="113" t="s">
        <v>957</v>
      </c>
      <c r="AJ123" s="113" t="s">
        <v>1374</v>
      </c>
      <c r="AK123" s="113" t="s">
        <v>1319</v>
      </c>
      <c r="AL123" s="113" t="s">
        <v>1640</v>
      </c>
      <c r="AM123" s="113" t="s">
        <v>1226</v>
      </c>
      <c r="AN123" s="113" t="s">
        <v>1227</v>
      </c>
      <c r="AO123" s="113" t="s">
        <v>1226</v>
      </c>
      <c r="AP123" s="113" t="s">
        <v>1227</v>
      </c>
      <c r="AR123" s="5"/>
      <c r="AS123" s="5"/>
      <c r="AT123" s="5"/>
      <c r="AU123" s="5"/>
      <c r="AV123" s="5"/>
      <c r="AW123" s="5"/>
      <c r="AX123" s="5"/>
      <c r="AY123" s="5"/>
      <c r="AZ123" s="5"/>
      <c r="BA123" s="5"/>
      <c r="BB123" s="5"/>
      <c r="BC123" s="5"/>
      <c r="BD123" s="5"/>
      <c r="BE123" s="5"/>
      <c r="BF123" s="5"/>
      <c r="BG123" s="5"/>
      <c r="BH123" s="5"/>
      <c r="BI123" s="5"/>
    </row>
    <row r="124" spans="1:61" customFormat="1">
      <c r="A124" s="114">
        <v>201</v>
      </c>
      <c r="B124" s="114" t="s">
        <v>228</v>
      </c>
      <c r="C124" s="114" t="s">
        <v>1974</v>
      </c>
      <c r="D124" s="113" t="s">
        <v>86</v>
      </c>
      <c r="E124" s="113"/>
      <c r="F124" s="118" t="s">
        <v>2031</v>
      </c>
      <c r="G124" s="113" t="s">
        <v>1477</v>
      </c>
      <c r="H124" s="113" t="s">
        <v>228</v>
      </c>
      <c r="I124" s="113">
        <v>11</v>
      </c>
      <c r="J124" s="113" t="s">
        <v>1109</v>
      </c>
      <c r="K124" s="113" t="s">
        <v>1804</v>
      </c>
      <c r="L124" s="115"/>
      <c r="M124" s="115"/>
      <c r="N124" s="115"/>
      <c r="O124" s="115"/>
      <c r="P124" s="115"/>
      <c r="Q124" s="115"/>
      <c r="R124" s="115"/>
      <c r="S124" s="113">
        <v>336</v>
      </c>
      <c r="T124" s="113">
        <v>48</v>
      </c>
      <c r="U124" s="113">
        <v>72</v>
      </c>
      <c r="V124" s="113">
        <v>48</v>
      </c>
      <c r="W124" s="113">
        <v>72</v>
      </c>
      <c r="X124" s="113">
        <v>48</v>
      </c>
      <c r="Y124" s="113">
        <v>48</v>
      </c>
      <c r="Z124" s="116">
        <v>10</v>
      </c>
      <c r="AA124" s="116">
        <v>7</v>
      </c>
      <c r="AB124" s="116">
        <v>5</v>
      </c>
      <c r="AC124" s="117">
        <f t="shared" si="1"/>
        <v>22</v>
      </c>
      <c r="AD124" s="113" t="s">
        <v>1545</v>
      </c>
      <c r="AE124" s="113"/>
      <c r="AF124" s="113"/>
      <c r="AG124" s="113"/>
      <c r="AH124" s="113"/>
      <c r="AI124" s="113"/>
      <c r="AJ124" s="113"/>
      <c r="AK124" s="113"/>
      <c r="AL124" s="113"/>
      <c r="AM124" s="118"/>
      <c r="AN124" s="113"/>
      <c r="AO124" s="113"/>
      <c r="AP124" s="113"/>
      <c r="AR124" s="5"/>
      <c r="AS124" s="5"/>
      <c r="AT124" s="5"/>
      <c r="AU124" s="5"/>
      <c r="AV124" s="5"/>
      <c r="AW124" s="5"/>
      <c r="AX124" s="5"/>
      <c r="AY124" s="5"/>
      <c r="AZ124" s="5"/>
      <c r="BA124" s="5"/>
      <c r="BB124" s="5"/>
      <c r="BC124" s="5"/>
      <c r="BD124" s="5"/>
      <c r="BE124" s="5"/>
      <c r="BF124" s="5"/>
      <c r="BG124" s="5"/>
      <c r="BH124" s="5"/>
      <c r="BI124" s="5"/>
    </row>
    <row r="125" spans="1:61" customFormat="1">
      <c r="A125" s="114">
        <v>190</v>
      </c>
      <c r="B125" s="114" t="s">
        <v>217</v>
      </c>
      <c r="C125" s="114" t="s">
        <v>1974</v>
      </c>
      <c r="D125" s="113" t="s">
        <v>36</v>
      </c>
      <c r="E125" s="113"/>
      <c r="F125" s="118" t="s">
        <v>2031</v>
      </c>
      <c r="G125" s="113" t="s">
        <v>1477</v>
      </c>
      <c r="H125" s="113" t="s">
        <v>217</v>
      </c>
      <c r="I125" s="113">
        <v>11</v>
      </c>
      <c r="J125" s="113" t="s">
        <v>1109</v>
      </c>
      <c r="K125" s="113" t="s">
        <v>1804</v>
      </c>
      <c r="L125" s="115"/>
      <c r="M125" s="115"/>
      <c r="N125" s="115"/>
      <c r="O125" s="115"/>
      <c r="P125" s="115"/>
      <c r="Q125" s="115"/>
      <c r="R125" s="115"/>
      <c r="S125" s="113">
        <v>360</v>
      </c>
      <c r="T125" s="113">
        <v>55</v>
      </c>
      <c r="U125" s="113">
        <v>70</v>
      </c>
      <c r="V125" s="113">
        <v>55</v>
      </c>
      <c r="W125" s="113">
        <v>40</v>
      </c>
      <c r="X125" s="113">
        <v>55</v>
      </c>
      <c r="Y125" s="113">
        <v>85</v>
      </c>
      <c r="Z125" s="116">
        <v>11</v>
      </c>
      <c r="AA125" s="116">
        <v>6</v>
      </c>
      <c r="AB125" s="116">
        <v>9</v>
      </c>
      <c r="AC125" s="117">
        <f t="shared" si="1"/>
        <v>26</v>
      </c>
      <c r="AD125" s="113" t="s">
        <v>946</v>
      </c>
      <c r="AE125" s="113"/>
      <c r="AF125" s="113"/>
      <c r="AG125" s="113"/>
      <c r="AH125" s="113"/>
      <c r="AI125" s="113"/>
      <c r="AJ125" s="113"/>
      <c r="AK125" s="113"/>
      <c r="AL125" s="113"/>
      <c r="AM125" s="118"/>
      <c r="AN125" s="113"/>
      <c r="AO125" s="113"/>
      <c r="AP125" s="113"/>
      <c r="AR125" s="5"/>
      <c r="AS125" s="5"/>
      <c r="AT125" s="5"/>
      <c r="AU125" s="5"/>
      <c r="AV125" s="5"/>
      <c r="AW125" s="5"/>
      <c r="AX125" s="5"/>
      <c r="AY125" s="5"/>
      <c r="AZ125" s="5"/>
      <c r="BA125" s="5"/>
      <c r="BB125" s="5"/>
      <c r="BC125" s="5"/>
      <c r="BD125" s="5"/>
      <c r="BE125" s="5"/>
      <c r="BF125" s="5"/>
      <c r="BG125" s="5"/>
      <c r="BH125" s="5"/>
      <c r="BI125" s="5"/>
    </row>
    <row r="126" spans="1:61" customFormat="1">
      <c r="A126" s="113">
        <v>36</v>
      </c>
      <c r="B126" s="113" t="s">
        <v>57</v>
      </c>
      <c r="C126" s="113" t="s">
        <v>1973</v>
      </c>
      <c r="D126" s="113" t="s">
        <v>56</v>
      </c>
      <c r="E126" s="113"/>
      <c r="F126" s="118" t="s">
        <v>2031</v>
      </c>
      <c r="G126" s="113" t="s">
        <v>1477</v>
      </c>
      <c r="H126" s="113" t="s">
        <v>200</v>
      </c>
      <c r="I126" s="113">
        <v>31</v>
      </c>
      <c r="J126" s="113" t="s">
        <v>55</v>
      </c>
      <c r="K126" s="113" t="s">
        <v>1804</v>
      </c>
      <c r="L126" s="115"/>
      <c r="M126" s="115"/>
      <c r="N126" s="115"/>
      <c r="O126" s="115"/>
      <c r="P126" s="115"/>
      <c r="Q126" s="115"/>
      <c r="R126" s="115"/>
      <c r="S126" s="113">
        <v>483</v>
      </c>
      <c r="T126" s="113">
        <v>95</v>
      </c>
      <c r="U126" s="113">
        <v>70</v>
      </c>
      <c r="V126" s="113">
        <v>73</v>
      </c>
      <c r="W126" s="113">
        <v>95</v>
      </c>
      <c r="X126" s="113">
        <v>90</v>
      </c>
      <c r="Y126" s="113">
        <v>60</v>
      </c>
      <c r="Z126" s="116">
        <v>17</v>
      </c>
      <c r="AA126" s="116">
        <v>7.5</v>
      </c>
      <c r="AB126" s="116">
        <v>6</v>
      </c>
      <c r="AC126" s="117">
        <f t="shared" si="1"/>
        <v>30.5</v>
      </c>
      <c r="AD126" s="113" t="s">
        <v>1538</v>
      </c>
      <c r="AE126" s="113" t="s">
        <v>1643</v>
      </c>
      <c r="AF126" s="113" t="s">
        <v>943</v>
      </c>
      <c r="AG126" s="113" t="s">
        <v>971</v>
      </c>
      <c r="AH126" s="113" t="s">
        <v>946</v>
      </c>
      <c r="AI126" s="113" t="s">
        <v>1249</v>
      </c>
      <c r="AJ126" s="113" t="s">
        <v>1248</v>
      </c>
      <c r="AK126" s="113" t="s">
        <v>1642</v>
      </c>
      <c r="AL126" s="113" t="s">
        <v>1331</v>
      </c>
      <c r="AM126" s="113" t="s">
        <v>1252</v>
      </c>
      <c r="AN126" s="113" t="s">
        <v>1251</v>
      </c>
      <c r="AO126" s="113" t="s">
        <v>1252</v>
      </c>
      <c r="AP126" s="113" t="s">
        <v>1251</v>
      </c>
      <c r="AR126" s="5"/>
      <c r="AS126" s="5"/>
      <c r="AT126" s="5"/>
      <c r="AU126" s="5"/>
      <c r="AV126" s="5"/>
      <c r="AW126" s="5"/>
      <c r="AX126" s="5"/>
      <c r="AY126" s="5"/>
      <c r="AZ126" s="5"/>
      <c r="BA126" s="5"/>
      <c r="BB126" s="5"/>
      <c r="BC126" s="5"/>
      <c r="BD126" s="5"/>
      <c r="BE126" s="5"/>
      <c r="BF126" s="5"/>
      <c r="BG126" s="5"/>
      <c r="BH126" s="5"/>
      <c r="BI126" s="5"/>
    </row>
    <row r="127" spans="1:61" customFormat="1">
      <c r="A127" s="114">
        <v>206</v>
      </c>
      <c r="B127" s="114" t="s">
        <v>233</v>
      </c>
      <c r="C127" s="114" t="s">
        <v>1974</v>
      </c>
      <c r="D127" s="113" t="s">
        <v>36</v>
      </c>
      <c r="E127" s="113"/>
      <c r="F127" s="118" t="s">
        <v>2031</v>
      </c>
      <c r="G127" s="113" t="s">
        <v>1477</v>
      </c>
      <c r="H127" s="113" t="s">
        <v>233</v>
      </c>
      <c r="I127" s="113">
        <v>11</v>
      </c>
      <c r="J127" s="113" t="s">
        <v>1109</v>
      </c>
      <c r="K127" s="113" t="s">
        <v>1804</v>
      </c>
      <c r="L127" s="115"/>
      <c r="M127" s="115"/>
      <c r="N127" s="115"/>
      <c r="O127" s="115"/>
      <c r="P127" s="115"/>
      <c r="Q127" s="115"/>
      <c r="R127" s="115"/>
      <c r="S127" s="113">
        <v>415</v>
      </c>
      <c r="T127" s="113">
        <v>100</v>
      </c>
      <c r="U127" s="113">
        <v>70</v>
      </c>
      <c r="V127" s="113">
        <v>70</v>
      </c>
      <c r="W127" s="113">
        <v>65</v>
      </c>
      <c r="X127" s="113">
        <v>65</v>
      </c>
      <c r="Y127" s="113">
        <v>45</v>
      </c>
      <c r="Z127" s="116">
        <v>16</v>
      </c>
      <c r="AA127" s="116">
        <v>7</v>
      </c>
      <c r="AB127" s="116">
        <v>5</v>
      </c>
      <c r="AC127" s="117">
        <f t="shared" si="1"/>
        <v>28</v>
      </c>
      <c r="AD127" s="113" t="s">
        <v>946</v>
      </c>
      <c r="AE127" s="113"/>
      <c r="AF127" s="113"/>
      <c r="AG127" s="113"/>
      <c r="AH127" s="113"/>
      <c r="AI127" s="113"/>
      <c r="AJ127" s="113"/>
      <c r="AK127" s="113"/>
      <c r="AL127" s="113"/>
      <c r="AM127" s="118"/>
      <c r="AN127" s="113"/>
      <c r="AO127" s="113"/>
      <c r="AP127" s="113"/>
      <c r="AR127" s="5"/>
      <c r="AS127" s="5"/>
      <c r="AT127" s="5"/>
      <c r="AU127" s="5"/>
      <c r="AV127" s="5"/>
      <c r="AW127" s="5"/>
      <c r="AX127" s="5"/>
      <c r="AY127" s="5"/>
      <c r="AZ127" s="5"/>
      <c r="BA127" s="5"/>
      <c r="BB127" s="5"/>
      <c r="BC127" s="5"/>
      <c r="BD127" s="5"/>
      <c r="BE127" s="5"/>
      <c r="BF127" s="5"/>
      <c r="BG127" s="5"/>
      <c r="BH127" s="5"/>
      <c r="BI127" s="5"/>
    </row>
    <row r="128" spans="1:61" customFormat="1">
      <c r="A128" s="113">
        <v>58</v>
      </c>
      <c r="B128" s="113" t="s">
        <v>80</v>
      </c>
      <c r="C128" s="113" t="s">
        <v>1973</v>
      </c>
      <c r="D128" s="113" t="s">
        <v>19</v>
      </c>
      <c r="E128" s="113"/>
      <c r="F128" s="118" t="s">
        <v>2031</v>
      </c>
      <c r="G128" s="113" t="s">
        <v>1479</v>
      </c>
      <c r="H128" s="113" t="s">
        <v>80</v>
      </c>
      <c r="I128" s="113">
        <v>11</v>
      </c>
      <c r="J128" s="113" t="s">
        <v>1109</v>
      </c>
      <c r="K128" s="113" t="s">
        <v>1803</v>
      </c>
      <c r="L128" s="115"/>
      <c r="M128" s="115"/>
      <c r="N128" s="115"/>
      <c r="O128" s="115"/>
      <c r="P128" s="115"/>
      <c r="Q128" s="115"/>
      <c r="R128" s="115"/>
      <c r="S128" s="113">
        <v>350</v>
      </c>
      <c r="T128" s="113">
        <v>55</v>
      </c>
      <c r="U128" s="113">
        <v>70</v>
      </c>
      <c r="V128" s="113">
        <v>45</v>
      </c>
      <c r="W128" s="113">
        <v>70</v>
      </c>
      <c r="X128" s="113">
        <v>50</v>
      </c>
      <c r="Y128" s="113">
        <v>60</v>
      </c>
      <c r="Z128" s="116">
        <v>10</v>
      </c>
      <c r="AA128" s="116">
        <v>5</v>
      </c>
      <c r="AB128" s="116">
        <v>6</v>
      </c>
      <c r="AC128" s="117">
        <f t="shared" si="1"/>
        <v>21</v>
      </c>
      <c r="AD128" s="113" t="s">
        <v>1545</v>
      </c>
      <c r="AE128" s="113" t="s">
        <v>1148</v>
      </c>
      <c r="AF128" s="113" t="s">
        <v>943</v>
      </c>
      <c r="AG128" s="113"/>
      <c r="AH128" s="113" t="s">
        <v>943</v>
      </c>
      <c r="AI128" s="113" t="s">
        <v>1017</v>
      </c>
      <c r="AJ128" s="113" t="s">
        <v>1283</v>
      </c>
      <c r="AK128" s="113" t="s">
        <v>1626</v>
      </c>
      <c r="AL128" s="113" t="s">
        <v>1006</v>
      </c>
      <c r="AM128" s="113" t="s">
        <v>1030</v>
      </c>
      <c r="AN128" s="113" t="s">
        <v>1029</v>
      </c>
      <c r="AO128" s="113" t="s">
        <v>1030</v>
      </c>
      <c r="AP128" s="113" t="s">
        <v>1029</v>
      </c>
      <c r="AR128" s="5"/>
      <c r="AS128" s="5"/>
      <c r="AT128" s="5"/>
      <c r="AU128" s="5"/>
      <c r="AV128" s="5"/>
      <c r="AW128" s="5"/>
      <c r="AX128" s="5"/>
      <c r="AY128" s="5"/>
      <c r="AZ128" s="5"/>
      <c r="BA128" s="5"/>
      <c r="BB128" s="5"/>
      <c r="BC128" s="5"/>
      <c r="BD128" s="5"/>
      <c r="BE128" s="5"/>
      <c r="BF128" s="5"/>
      <c r="BG128" s="5"/>
      <c r="BH128" s="5"/>
      <c r="BI128" s="5"/>
    </row>
    <row r="129" spans="1:62" customFormat="1">
      <c r="A129" s="113">
        <v>40</v>
      </c>
      <c r="B129" s="113" t="s">
        <v>61</v>
      </c>
      <c r="C129" s="113" t="s">
        <v>1973</v>
      </c>
      <c r="D129" s="113" t="s">
        <v>56</v>
      </c>
      <c r="E129" s="113" t="s">
        <v>36</v>
      </c>
      <c r="F129" s="118" t="s">
        <v>2031</v>
      </c>
      <c r="G129" s="113" t="s">
        <v>1477</v>
      </c>
      <c r="H129" s="113" t="s">
        <v>201</v>
      </c>
      <c r="I129" s="113">
        <v>31</v>
      </c>
      <c r="J129" s="113" t="s">
        <v>60</v>
      </c>
      <c r="K129" s="113" t="s">
        <v>1804</v>
      </c>
      <c r="L129" s="115"/>
      <c r="M129" s="115"/>
      <c r="N129" s="115"/>
      <c r="O129" s="115"/>
      <c r="P129" s="115"/>
      <c r="Q129" s="115"/>
      <c r="R129" s="115"/>
      <c r="S129" s="113">
        <v>435</v>
      </c>
      <c r="T129" s="113">
        <v>140</v>
      </c>
      <c r="U129" s="113">
        <v>70</v>
      </c>
      <c r="V129" s="113">
        <v>45</v>
      </c>
      <c r="W129" s="113">
        <v>85</v>
      </c>
      <c r="X129" s="113">
        <v>50</v>
      </c>
      <c r="Y129" s="113">
        <v>45</v>
      </c>
      <c r="Z129" s="116">
        <v>16</v>
      </c>
      <c r="AA129" s="116">
        <v>6</v>
      </c>
      <c r="AB129" s="116">
        <v>5</v>
      </c>
      <c r="AC129" s="117">
        <f t="shared" si="1"/>
        <v>27</v>
      </c>
      <c r="AD129" s="113" t="s">
        <v>946</v>
      </c>
      <c r="AE129" s="113" t="s">
        <v>1170</v>
      </c>
      <c r="AF129" s="113" t="s">
        <v>943</v>
      </c>
      <c r="AG129" s="113" t="s">
        <v>1651</v>
      </c>
      <c r="AH129" s="113" t="s">
        <v>946</v>
      </c>
      <c r="AI129" s="113" t="s">
        <v>1648</v>
      </c>
      <c r="AJ129" s="113" t="s">
        <v>1649</v>
      </c>
      <c r="AK129" s="113" t="s">
        <v>1348</v>
      </c>
      <c r="AL129" s="113" t="s">
        <v>1650</v>
      </c>
      <c r="AM129" s="113" t="s">
        <v>1252</v>
      </c>
      <c r="AN129" s="113" t="s">
        <v>1259</v>
      </c>
      <c r="AO129" s="113" t="s">
        <v>1252</v>
      </c>
      <c r="AP129" s="113" t="s">
        <v>1259</v>
      </c>
      <c r="AR129" s="5"/>
      <c r="AS129" s="5"/>
      <c r="AT129" s="5"/>
      <c r="AU129" s="5"/>
      <c r="AV129" s="5"/>
      <c r="AW129" s="5"/>
      <c r="AX129" s="5"/>
      <c r="AY129" s="5"/>
      <c r="AZ129" s="5"/>
      <c r="BA129" s="5"/>
      <c r="BB129" s="5"/>
      <c r="BC129" s="5"/>
      <c r="BD129" s="5"/>
      <c r="BE129" s="5"/>
      <c r="BF129" s="5"/>
      <c r="BG129" s="5"/>
      <c r="BH129" s="5"/>
      <c r="BI129" s="5"/>
    </row>
    <row r="130" spans="1:62" customFormat="1">
      <c r="A130" s="113">
        <v>53</v>
      </c>
      <c r="B130" s="113" t="s">
        <v>74</v>
      </c>
      <c r="C130" s="113" t="s">
        <v>1973</v>
      </c>
      <c r="D130" s="113" t="s">
        <v>36</v>
      </c>
      <c r="E130" s="113"/>
      <c r="F130" s="118" t="s">
        <v>2031</v>
      </c>
      <c r="G130" s="113" t="s">
        <v>1477</v>
      </c>
      <c r="H130" s="113" t="s">
        <v>73</v>
      </c>
      <c r="I130" s="113">
        <v>21</v>
      </c>
      <c r="J130" s="113" t="s">
        <v>73</v>
      </c>
      <c r="K130" s="113" t="s">
        <v>1804</v>
      </c>
      <c r="L130" s="115"/>
      <c r="M130" s="115"/>
      <c r="N130" s="115"/>
      <c r="O130" s="115"/>
      <c r="P130" s="115"/>
      <c r="Q130" s="115"/>
      <c r="R130" s="115"/>
      <c r="S130" s="113">
        <v>440</v>
      </c>
      <c r="T130" s="113">
        <v>65</v>
      </c>
      <c r="U130" s="113">
        <v>70</v>
      </c>
      <c r="V130" s="113">
        <v>60</v>
      </c>
      <c r="W130" s="113">
        <v>65</v>
      </c>
      <c r="X130" s="113">
        <v>65</v>
      </c>
      <c r="Y130" s="113">
        <v>115</v>
      </c>
      <c r="Z130" s="116">
        <v>13</v>
      </c>
      <c r="AA130" s="116">
        <v>7.5</v>
      </c>
      <c r="AB130" s="116">
        <v>12</v>
      </c>
      <c r="AC130" s="117">
        <f t="shared" si="1"/>
        <v>32.5</v>
      </c>
      <c r="AD130" s="113" t="s">
        <v>1538</v>
      </c>
      <c r="AE130" s="113" t="s">
        <v>1057</v>
      </c>
      <c r="AF130" s="113" t="s">
        <v>943</v>
      </c>
      <c r="AG130" s="113" t="s">
        <v>985</v>
      </c>
      <c r="AH130" s="113" t="s">
        <v>943</v>
      </c>
      <c r="AI130" s="113" t="s">
        <v>1274</v>
      </c>
      <c r="AJ130" s="113" t="s">
        <v>1275</v>
      </c>
      <c r="AK130" s="113" t="s">
        <v>1124</v>
      </c>
      <c r="AL130" s="113" t="s">
        <v>1258</v>
      </c>
      <c r="AM130" s="113" t="s">
        <v>1055</v>
      </c>
      <c r="AN130" s="113" t="s">
        <v>1054</v>
      </c>
      <c r="AO130" s="113" t="s">
        <v>1055</v>
      </c>
      <c r="AP130" s="113" t="s">
        <v>1054</v>
      </c>
      <c r="AQ130" s="5"/>
      <c r="AR130" s="5"/>
      <c r="AS130" s="5"/>
      <c r="AT130" s="5"/>
      <c r="AU130" s="5"/>
      <c r="AV130" s="5"/>
      <c r="AW130" s="5"/>
      <c r="AX130" s="5"/>
      <c r="AY130" s="5"/>
      <c r="AZ130" s="5"/>
      <c r="BA130" s="5"/>
      <c r="BB130" s="5"/>
      <c r="BC130" s="5"/>
      <c r="BD130" s="5"/>
      <c r="BE130" s="5"/>
      <c r="BF130" s="5"/>
      <c r="BG130" s="5"/>
      <c r="BH130" s="5"/>
      <c r="BI130" s="5"/>
    </row>
    <row r="131" spans="1:62" customFormat="1">
      <c r="A131" s="113">
        <v>46</v>
      </c>
      <c r="B131" s="113" t="s">
        <v>67</v>
      </c>
      <c r="C131" s="113" t="s">
        <v>1973</v>
      </c>
      <c r="D131" s="113" t="s">
        <v>29</v>
      </c>
      <c r="E131" s="113" t="s">
        <v>14</v>
      </c>
      <c r="F131" s="118" t="s">
        <v>2031</v>
      </c>
      <c r="G131" s="113" t="s">
        <v>1479</v>
      </c>
      <c r="H131" s="113" t="s">
        <v>67</v>
      </c>
      <c r="I131" s="113">
        <v>11</v>
      </c>
      <c r="J131" s="113" t="s">
        <v>1109</v>
      </c>
      <c r="K131" s="115" t="s">
        <v>1968</v>
      </c>
      <c r="L131" s="115"/>
      <c r="M131" s="115"/>
      <c r="N131" s="115"/>
      <c r="O131" s="115"/>
      <c r="P131" s="115"/>
      <c r="Q131" s="115"/>
      <c r="R131" s="115"/>
      <c r="S131" s="113">
        <v>285</v>
      </c>
      <c r="T131" s="113">
        <v>35</v>
      </c>
      <c r="U131" s="113">
        <v>70</v>
      </c>
      <c r="V131" s="113">
        <v>55</v>
      </c>
      <c r="W131" s="113">
        <v>45</v>
      </c>
      <c r="X131" s="113">
        <v>55</v>
      </c>
      <c r="Y131" s="113">
        <v>25</v>
      </c>
      <c r="Z131" s="116">
        <v>10</v>
      </c>
      <c r="AA131" s="116">
        <v>4</v>
      </c>
      <c r="AB131" s="116">
        <v>3</v>
      </c>
      <c r="AC131" s="117">
        <f t="shared" si="1"/>
        <v>17</v>
      </c>
      <c r="AD131" s="113" t="s">
        <v>1546</v>
      </c>
      <c r="AE131" s="113" t="s">
        <v>955</v>
      </c>
      <c r="AF131" s="113" t="s">
        <v>946</v>
      </c>
      <c r="AG131" s="113"/>
      <c r="AH131" s="113" t="s">
        <v>946</v>
      </c>
      <c r="AI131" s="113" t="s">
        <v>1005</v>
      </c>
      <c r="AJ131" s="113" t="s">
        <v>1265</v>
      </c>
      <c r="AK131" s="113" t="s">
        <v>1003</v>
      </c>
      <c r="AL131" s="113" t="s">
        <v>1656</v>
      </c>
      <c r="AM131" s="113" t="s">
        <v>1268</v>
      </c>
      <c r="AN131" s="113" t="s">
        <v>1267</v>
      </c>
      <c r="AO131" s="113" t="s">
        <v>1268</v>
      </c>
      <c r="AP131" s="113" t="s">
        <v>1267</v>
      </c>
      <c r="AR131" s="5"/>
      <c r="AS131" s="5"/>
      <c r="AT131" s="5"/>
      <c r="AU131" s="5"/>
      <c r="AV131" s="5"/>
      <c r="AW131" s="5"/>
      <c r="AX131" s="5"/>
      <c r="AY131" s="5"/>
      <c r="AZ131" s="5"/>
      <c r="BA131" s="5"/>
      <c r="BB131" s="5"/>
      <c r="BC131" s="5"/>
      <c r="BD131" s="5"/>
      <c r="BE131" s="5"/>
      <c r="BF131" s="5"/>
      <c r="BG131" s="5"/>
      <c r="BH131" s="5"/>
      <c r="BI131" s="5"/>
    </row>
    <row r="132" spans="1:62" customFormat="1">
      <c r="A132" s="113">
        <v>87</v>
      </c>
      <c r="B132" s="113" t="s">
        <v>112</v>
      </c>
      <c r="C132" s="113" t="s">
        <v>1973</v>
      </c>
      <c r="D132" s="113" t="s">
        <v>25</v>
      </c>
      <c r="E132" s="113" t="s">
        <v>113</v>
      </c>
      <c r="F132" s="118" t="s">
        <v>2031</v>
      </c>
      <c r="G132" s="113" t="s">
        <v>1477</v>
      </c>
      <c r="H132" s="113" t="s">
        <v>111</v>
      </c>
      <c r="I132" s="113">
        <v>21</v>
      </c>
      <c r="J132" s="113" t="s">
        <v>111</v>
      </c>
      <c r="K132" s="113" t="s">
        <v>1804</v>
      </c>
      <c r="L132" s="115"/>
      <c r="M132" s="115"/>
      <c r="N132" s="115"/>
      <c r="O132" s="115"/>
      <c r="P132" s="115"/>
      <c r="Q132" s="115"/>
      <c r="R132" s="115"/>
      <c r="S132" s="113">
        <v>475</v>
      </c>
      <c r="T132" s="113">
        <v>90</v>
      </c>
      <c r="U132" s="113">
        <v>70</v>
      </c>
      <c r="V132" s="113">
        <v>80</v>
      </c>
      <c r="W132" s="113">
        <v>70</v>
      </c>
      <c r="X132" s="113">
        <v>95</v>
      </c>
      <c r="Y132" s="113">
        <v>70</v>
      </c>
      <c r="Z132" s="116">
        <v>18</v>
      </c>
      <c r="AA132" s="116">
        <v>8.5</v>
      </c>
      <c r="AB132" s="116">
        <v>7</v>
      </c>
      <c r="AC132" s="117">
        <f t="shared" ref="AC132:AC195" si="2">SUM(Z132:AB132)</f>
        <v>33.5</v>
      </c>
      <c r="AD132" s="113" t="s">
        <v>1537</v>
      </c>
      <c r="AE132" s="113" t="s">
        <v>1196</v>
      </c>
      <c r="AF132" s="113" t="s">
        <v>943</v>
      </c>
      <c r="AG132" s="113" t="s">
        <v>1756</v>
      </c>
      <c r="AH132" s="113" t="s">
        <v>946</v>
      </c>
      <c r="AI132" s="113" t="s">
        <v>1755</v>
      </c>
      <c r="AJ132" s="113" t="s">
        <v>1315</v>
      </c>
      <c r="AK132" s="113" t="s">
        <v>1020</v>
      </c>
      <c r="AL132" s="113" t="s">
        <v>1331</v>
      </c>
      <c r="AM132" s="113" t="s">
        <v>1339</v>
      </c>
      <c r="AN132" s="113" t="s">
        <v>1338</v>
      </c>
      <c r="AO132" s="113" t="s">
        <v>1339</v>
      </c>
      <c r="AP132" s="113" t="s">
        <v>1338</v>
      </c>
      <c r="AR132" s="5"/>
      <c r="AS132" s="5"/>
      <c r="AT132" s="5"/>
      <c r="AU132" s="5"/>
      <c r="AV132" s="5"/>
      <c r="AW132" s="5"/>
      <c r="AX132" s="5"/>
      <c r="AY132" s="5"/>
      <c r="AZ132" s="5"/>
      <c r="BA132" s="5"/>
      <c r="BB132" s="5"/>
      <c r="BC132" s="5"/>
      <c r="BD132" s="5"/>
      <c r="BE132" s="5"/>
      <c r="BF132" s="5"/>
      <c r="BG132" s="5"/>
      <c r="BH132" s="5"/>
      <c r="BI132" s="5"/>
    </row>
    <row r="133" spans="1:62" customFormat="1">
      <c r="A133" s="113">
        <v>73</v>
      </c>
      <c r="B133" s="113" t="s">
        <v>96</v>
      </c>
      <c r="C133" s="113" t="s">
        <v>1973</v>
      </c>
      <c r="D133" s="113" t="s">
        <v>25</v>
      </c>
      <c r="E133" s="113" t="s">
        <v>15</v>
      </c>
      <c r="F133" s="118" t="s">
        <v>2031</v>
      </c>
      <c r="G133" s="113" t="s">
        <v>1477</v>
      </c>
      <c r="H133" s="113" t="s">
        <v>95</v>
      </c>
      <c r="I133" s="113">
        <v>21</v>
      </c>
      <c r="J133" s="113" t="s">
        <v>95</v>
      </c>
      <c r="K133" s="113" t="s">
        <v>1804</v>
      </c>
      <c r="L133" s="115"/>
      <c r="M133" s="115"/>
      <c r="N133" s="115"/>
      <c r="O133" s="115"/>
      <c r="P133" s="115"/>
      <c r="Q133" s="115"/>
      <c r="R133" s="115"/>
      <c r="S133" s="113">
        <v>515</v>
      </c>
      <c r="T133" s="113">
        <v>80</v>
      </c>
      <c r="U133" s="113">
        <v>70</v>
      </c>
      <c r="V133" s="113">
        <v>65</v>
      </c>
      <c r="W133" s="113">
        <v>80</v>
      </c>
      <c r="X133" s="113">
        <v>120</v>
      </c>
      <c r="Y133" s="113">
        <v>100</v>
      </c>
      <c r="Z133" s="116">
        <v>18</v>
      </c>
      <c r="AA133" s="116">
        <v>9.5</v>
      </c>
      <c r="AB133" s="116">
        <v>10</v>
      </c>
      <c r="AC133" s="117">
        <f t="shared" si="2"/>
        <v>37.5</v>
      </c>
      <c r="AD133" s="113" t="s">
        <v>1479</v>
      </c>
      <c r="AE133" s="113" t="s">
        <v>1180</v>
      </c>
      <c r="AF133" s="113" t="s">
        <v>943</v>
      </c>
      <c r="AG133" s="113" t="s">
        <v>1746</v>
      </c>
      <c r="AH133" s="113" t="s">
        <v>946</v>
      </c>
      <c r="AI133" s="113" t="s">
        <v>1301</v>
      </c>
      <c r="AJ133" s="113" t="s">
        <v>1748</v>
      </c>
      <c r="AK133" s="113" t="s">
        <v>1745</v>
      </c>
      <c r="AL133" s="113" t="s">
        <v>1645</v>
      </c>
      <c r="AM133" s="113" t="s">
        <v>1302</v>
      </c>
      <c r="AN133" s="113" t="s">
        <v>1303</v>
      </c>
      <c r="AO133" s="113" t="s">
        <v>1302</v>
      </c>
      <c r="AP133" s="113" t="s">
        <v>1303</v>
      </c>
      <c r="AR133" s="5"/>
      <c r="AS133" s="5"/>
      <c r="AT133" s="5"/>
      <c r="AU133" s="5"/>
      <c r="AV133" s="5"/>
      <c r="AW133" s="5"/>
      <c r="AX133" s="5"/>
      <c r="AY133" s="5"/>
      <c r="AZ133" s="5"/>
      <c r="BA133" s="5"/>
      <c r="BB133" s="5"/>
      <c r="BC133" s="5"/>
      <c r="BD133" s="5"/>
      <c r="BE133" s="5"/>
      <c r="BF133" s="5"/>
      <c r="BG133" s="5"/>
      <c r="BH133" s="5"/>
      <c r="BI133" s="5"/>
    </row>
    <row r="134" spans="1:62" customFormat="1">
      <c r="A134" s="113">
        <v>118</v>
      </c>
      <c r="B134" s="113" t="s">
        <v>145</v>
      </c>
      <c r="C134" s="113" t="s">
        <v>1973</v>
      </c>
      <c r="D134" s="113" t="s">
        <v>25</v>
      </c>
      <c r="E134" s="113"/>
      <c r="F134" s="118" t="s">
        <v>2031</v>
      </c>
      <c r="G134" s="113" t="s">
        <v>1479</v>
      </c>
      <c r="H134" s="113" t="s">
        <v>145</v>
      </c>
      <c r="I134" s="113">
        <v>11</v>
      </c>
      <c r="J134" s="113" t="s">
        <v>1109</v>
      </c>
      <c r="K134" s="115" t="s">
        <v>1968</v>
      </c>
      <c r="L134" s="115"/>
      <c r="M134" s="115"/>
      <c r="N134" s="115"/>
      <c r="O134" s="115"/>
      <c r="P134" s="115"/>
      <c r="Q134" s="115"/>
      <c r="R134" s="115"/>
      <c r="S134" s="113">
        <v>320</v>
      </c>
      <c r="T134" s="113">
        <v>45</v>
      </c>
      <c r="U134" s="113">
        <v>67</v>
      </c>
      <c r="V134" s="113">
        <v>60</v>
      </c>
      <c r="W134" s="113">
        <v>35</v>
      </c>
      <c r="X134" s="113">
        <v>50</v>
      </c>
      <c r="Y134" s="113">
        <v>63</v>
      </c>
      <c r="Z134" s="116">
        <v>10</v>
      </c>
      <c r="AA134" s="116">
        <v>3</v>
      </c>
      <c r="AB134" s="116">
        <v>6</v>
      </c>
      <c r="AC134" s="117">
        <f t="shared" si="2"/>
        <v>19</v>
      </c>
      <c r="AD134" s="113" t="s">
        <v>1546</v>
      </c>
      <c r="AE134" s="113" t="s">
        <v>1064</v>
      </c>
      <c r="AF134" s="113" t="s">
        <v>946</v>
      </c>
      <c r="AG134" s="113" t="s">
        <v>1792</v>
      </c>
      <c r="AH134" s="113" t="s">
        <v>946</v>
      </c>
      <c r="AI134" s="113" t="s">
        <v>1218</v>
      </c>
      <c r="AJ134" s="113" t="s">
        <v>1794</v>
      </c>
      <c r="AK134" s="113" t="s">
        <v>1318</v>
      </c>
      <c r="AL134" s="113" t="s">
        <v>1242</v>
      </c>
      <c r="AM134" s="113" t="s">
        <v>1026</v>
      </c>
      <c r="AN134" s="113" t="s">
        <v>1025</v>
      </c>
      <c r="AO134" s="113" t="s">
        <v>1026</v>
      </c>
      <c r="AP134" s="113" t="s">
        <v>1025</v>
      </c>
      <c r="AR134" s="5"/>
      <c r="AS134" s="5"/>
      <c r="AT134" s="5"/>
      <c r="AU134" s="5"/>
      <c r="AV134" s="5"/>
      <c r="AW134" s="5"/>
      <c r="AX134" s="5"/>
      <c r="AY134" s="5"/>
      <c r="AZ134" s="5"/>
      <c r="BA134" s="5"/>
      <c r="BB134" s="5"/>
      <c r="BC134" s="5"/>
      <c r="BD134" s="5"/>
      <c r="BE134" s="5"/>
      <c r="BF134" s="5"/>
      <c r="BG134" s="5"/>
      <c r="BH134" s="5"/>
      <c r="BI134" s="5"/>
    </row>
    <row r="135" spans="1:62" customFormat="1">
      <c r="A135" s="113">
        <v>134</v>
      </c>
      <c r="B135" s="113" t="s">
        <v>162</v>
      </c>
      <c r="C135" s="113" t="s">
        <v>1973</v>
      </c>
      <c r="D135" s="113" t="s">
        <v>25</v>
      </c>
      <c r="E135" s="113"/>
      <c r="F135" s="118" t="s">
        <v>2031</v>
      </c>
      <c r="G135" s="113" t="s">
        <v>1477</v>
      </c>
      <c r="H135" s="113" t="s">
        <v>161</v>
      </c>
      <c r="I135" s="113">
        <v>21</v>
      </c>
      <c r="J135" s="113" t="s">
        <v>161</v>
      </c>
      <c r="K135" s="113" t="s">
        <v>1804</v>
      </c>
      <c r="L135" s="115"/>
      <c r="M135" s="115"/>
      <c r="N135" s="115"/>
      <c r="O135" s="115" t="s">
        <v>2003</v>
      </c>
      <c r="P135" s="115"/>
      <c r="Q135" s="115"/>
      <c r="R135" s="115"/>
      <c r="S135" s="113">
        <v>525</v>
      </c>
      <c r="T135" s="113">
        <v>130</v>
      </c>
      <c r="U135" s="113">
        <v>65</v>
      </c>
      <c r="V135" s="113">
        <v>60</v>
      </c>
      <c r="W135" s="113">
        <v>110</v>
      </c>
      <c r="X135" s="113">
        <v>95</v>
      </c>
      <c r="Y135" s="113">
        <v>65</v>
      </c>
      <c r="Z135" s="116">
        <v>19</v>
      </c>
      <c r="AA135" s="116">
        <v>7.5</v>
      </c>
      <c r="AB135" s="116">
        <v>7</v>
      </c>
      <c r="AC135" s="117">
        <f t="shared" si="2"/>
        <v>33.5</v>
      </c>
      <c r="AD135" s="113" t="s">
        <v>1537</v>
      </c>
      <c r="AE135" s="113" t="s">
        <v>1140</v>
      </c>
      <c r="AF135" s="113" t="s">
        <v>946</v>
      </c>
      <c r="AG135" s="113"/>
      <c r="AH135" s="113" t="s">
        <v>946</v>
      </c>
      <c r="AI135" s="113" t="s">
        <v>1246</v>
      </c>
      <c r="AJ135" s="113" t="s">
        <v>1018</v>
      </c>
      <c r="AK135" s="113" t="s">
        <v>1575</v>
      </c>
      <c r="AL135" s="113" t="s">
        <v>1685</v>
      </c>
      <c r="AM135" s="113" t="s">
        <v>1026</v>
      </c>
      <c r="AN135" s="113" t="s">
        <v>1025</v>
      </c>
      <c r="AO135" s="113" t="s">
        <v>1026</v>
      </c>
      <c r="AP135" s="113" t="s">
        <v>1025</v>
      </c>
      <c r="AR135" s="5"/>
      <c r="AS135" s="5"/>
      <c r="AT135" s="5"/>
      <c r="AU135" s="5"/>
      <c r="AV135" s="5"/>
      <c r="AW135" s="5"/>
      <c r="AX135" s="5"/>
      <c r="AY135" s="5"/>
      <c r="AZ135" s="5"/>
      <c r="BA135" s="5"/>
      <c r="BB135" s="5"/>
      <c r="BC135" s="5"/>
      <c r="BD135" s="5"/>
      <c r="BE135" s="5"/>
      <c r="BF135" s="5"/>
      <c r="BG135" s="5"/>
      <c r="BH135" s="5"/>
      <c r="BI135" s="5"/>
      <c r="BJ135" s="5"/>
    </row>
    <row r="136" spans="1:62" customFormat="1">
      <c r="A136" s="113">
        <v>135</v>
      </c>
      <c r="B136" s="113" t="s">
        <v>163</v>
      </c>
      <c r="C136" s="113" t="s">
        <v>1973</v>
      </c>
      <c r="D136" s="113" t="s">
        <v>46</v>
      </c>
      <c r="E136" s="113"/>
      <c r="F136" s="118" t="s">
        <v>2031</v>
      </c>
      <c r="G136" s="113" t="s">
        <v>1477</v>
      </c>
      <c r="H136" s="113" t="s">
        <v>161</v>
      </c>
      <c r="I136" s="113">
        <v>22</v>
      </c>
      <c r="J136" s="113" t="s">
        <v>161</v>
      </c>
      <c r="K136" s="113" t="s">
        <v>1804</v>
      </c>
      <c r="L136" s="115"/>
      <c r="M136" s="115"/>
      <c r="N136" s="115"/>
      <c r="O136" s="115" t="s">
        <v>2009</v>
      </c>
      <c r="P136" s="115"/>
      <c r="Q136" s="115"/>
      <c r="R136" s="115"/>
      <c r="S136" s="113">
        <v>525</v>
      </c>
      <c r="T136" s="113">
        <v>65</v>
      </c>
      <c r="U136" s="113">
        <v>65</v>
      </c>
      <c r="V136" s="113">
        <v>60</v>
      </c>
      <c r="W136" s="113">
        <v>110</v>
      </c>
      <c r="X136" s="113">
        <v>95</v>
      </c>
      <c r="Y136" s="113">
        <v>130</v>
      </c>
      <c r="Z136" s="116">
        <v>15</v>
      </c>
      <c r="AA136" s="116">
        <v>8.5</v>
      </c>
      <c r="AB136" s="116">
        <v>13</v>
      </c>
      <c r="AC136" s="117">
        <f t="shared" si="2"/>
        <v>36.5</v>
      </c>
      <c r="AD136" s="113" t="s">
        <v>1537</v>
      </c>
      <c r="AE136" s="113" t="s">
        <v>1198</v>
      </c>
      <c r="AF136" s="113" t="s">
        <v>943</v>
      </c>
      <c r="AG136" s="113"/>
      <c r="AH136" s="113" t="s">
        <v>943</v>
      </c>
      <c r="AI136" s="113" t="s">
        <v>1321</v>
      </c>
      <c r="AJ136" s="113" t="s">
        <v>1353</v>
      </c>
      <c r="AK136" s="113" t="s">
        <v>1578</v>
      </c>
      <c r="AL136" s="113" t="s">
        <v>1239</v>
      </c>
      <c r="AM136" s="113" t="s">
        <v>1232</v>
      </c>
      <c r="AN136" s="113" t="s">
        <v>1231</v>
      </c>
      <c r="AO136" s="113" t="s">
        <v>1232</v>
      </c>
      <c r="AP136" s="113" t="s">
        <v>1231</v>
      </c>
      <c r="AR136" s="5"/>
      <c r="AS136" s="5"/>
      <c r="AT136" s="5"/>
      <c r="AU136" s="5"/>
      <c r="AV136" s="5"/>
      <c r="AW136" s="5"/>
      <c r="AX136" s="5"/>
      <c r="AY136" s="5"/>
      <c r="AZ136" s="5"/>
      <c r="BA136" s="5"/>
      <c r="BB136" s="5"/>
      <c r="BC136" s="5"/>
      <c r="BD136" s="5"/>
      <c r="BE136" s="5"/>
      <c r="BF136" s="5"/>
      <c r="BG136" s="5"/>
      <c r="BH136" s="5"/>
      <c r="BI136" s="5"/>
    </row>
    <row r="137" spans="1:62" customFormat="1">
      <c r="A137" s="114">
        <v>196</v>
      </c>
      <c r="B137" s="114" t="s">
        <v>223</v>
      </c>
      <c r="C137" s="114" t="s">
        <v>1974</v>
      </c>
      <c r="D137" s="113" t="s">
        <v>86</v>
      </c>
      <c r="E137" s="113"/>
      <c r="F137" s="118" t="s">
        <v>2031</v>
      </c>
      <c r="G137" s="113" t="s">
        <v>1477</v>
      </c>
      <c r="H137" s="113" t="s">
        <v>161</v>
      </c>
      <c r="I137" s="113">
        <v>24</v>
      </c>
      <c r="J137" s="113" t="s">
        <v>161</v>
      </c>
      <c r="K137" s="113" t="s">
        <v>1804</v>
      </c>
      <c r="L137" s="115">
        <v>60</v>
      </c>
      <c r="M137" s="115"/>
      <c r="N137" s="115"/>
      <c r="O137" s="115" t="s">
        <v>2006</v>
      </c>
      <c r="P137" s="115"/>
      <c r="Q137" s="115"/>
      <c r="R137" s="115"/>
      <c r="S137" s="113">
        <v>525</v>
      </c>
      <c r="T137" s="113">
        <v>65</v>
      </c>
      <c r="U137" s="113">
        <v>65</v>
      </c>
      <c r="V137" s="113">
        <v>60</v>
      </c>
      <c r="W137" s="113">
        <v>130</v>
      </c>
      <c r="X137" s="113">
        <v>95</v>
      </c>
      <c r="Y137" s="113">
        <v>110</v>
      </c>
      <c r="Z137" s="116">
        <v>15</v>
      </c>
      <c r="AA137" s="116">
        <v>9.5</v>
      </c>
      <c r="AB137" s="116">
        <v>11</v>
      </c>
      <c r="AC137" s="117">
        <f t="shared" si="2"/>
        <v>35.5</v>
      </c>
      <c r="AD137" s="113" t="s">
        <v>1537</v>
      </c>
      <c r="AE137" s="113"/>
      <c r="AF137" s="113"/>
      <c r="AG137" s="113"/>
      <c r="AH137" s="113"/>
      <c r="AI137" s="113"/>
      <c r="AJ137" s="113"/>
      <c r="AK137" s="113"/>
      <c r="AL137" s="113"/>
      <c r="AM137" s="118"/>
      <c r="AN137" s="113"/>
      <c r="AO137" s="113"/>
      <c r="AP137" s="113"/>
      <c r="AR137" s="5"/>
      <c r="AS137" s="5"/>
      <c r="AT137" s="5"/>
      <c r="AU137" s="5"/>
      <c r="AV137" s="5"/>
      <c r="AW137" s="5"/>
      <c r="AX137" s="5"/>
      <c r="AY137" s="5"/>
      <c r="AZ137" s="5"/>
      <c r="BA137" s="5"/>
      <c r="BB137" s="5"/>
      <c r="BC137" s="5"/>
      <c r="BD137" s="5"/>
      <c r="BE137" s="5"/>
      <c r="BF137" s="5"/>
      <c r="BG137" s="5"/>
      <c r="BH137" s="5"/>
      <c r="BI137" s="5"/>
    </row>
    <row r="138" spans="1:62">
      <c r="A138" s="114">
        <v>197</v>
      </c>
      <c r="B138" s="114" t="s">
        <v>224</v>
      </c>
      <c r="C138" s="114" t="s">
        <v>1974</v>
      </c>
      <c r="D138" s="113" t="s">
        <v>158</v>
      </c>
      <c r="E138" s="113"/>
      <c r="F138" s="118" t="s">
        <v>2031</v>
      </c>
      <c r="G138" s="113" t="s">
        <v>1477</v>
      </c>
      <c r="H138" s="113" t="s">
        <v>161</v>
      </c>
      <c r="I138" s="113">
        <v>25</v>
      </c>
      <c r="J138" s="113" t="s">
        <v>161</v>
      </c>
      <c r="K138" s="113" t="s">
        <v>1804</v>
      </c>
      <c r="L138" s="115">
        <v>60</v>
      </c>
      <c r="M138" s="115"/>
      <c r="N138" s="115"/>
      <c r="O138" s="115" t="s">
        <v>2005</v>
      </c>
      <c r="P138" s="115"/>
      <c r="Q138" s="115"/>
      <c r="R138" s="115"/>
      <c r="S138" s="113">
        <v>525</v>
      </c>
      <c r="T138" s="113">
        <v>95</v>
      </c>
      <c r="U138" s="113">
        <v>65</v>
      </c>
      <c r="V138" s="113">
        <v>110</v>
      </c>
      <c r="W138" s="113">
        <v>60</v>
      </c>
      <c r="X138" s="113">
        <v>130</v>
      </c>
      <c r="Y138" s="113">
        <v>65</v>
      </c>
      <c r="Z138" s="116">
        <v>22</v>
      </c>
      <c r="AA138" s="116">
        <v>6</v>
      </c>
      <c r="AB138" s="116">
        <v>7</v>
      </c>
      <c r="AC138" s="117">
        <f t="shared" si="2"/>
        <v>35</v>
      </c>
      <c r="AD138" s="113" t="s">
        <v>1537</v>
      </c>
      <c r="AE138" s="113"/>
      <c r="AF138" s="113"/>
      <c r="AG138" s="113"/>
      <c r="AH138" s="113"/>
      <c r="AI138" s="113"/>
      <c r="AJ138" s="113"/>
      <c r="AK138" s="113"/>
      <c r="AL138" s="113"/>
      <c r="AM138" s="118"/>
      <c r="AN138" s="113"/>
      <c r="AO138" s="113"/>
      <c r="AP138" s="113"/>
      <c r="BJ138"/>
    </row>
    <row r="139" spans="1:62" customFormat="1">
      <c r="A139" s="113">
        <v>83</v>
      </c>
      <c r="B139" s="113" t="s">
        <v>108</v>
      </c>
      <c r="C139" s="113" t="s">
        <v>1973</v>
      </c>
      <c r="D139" s="113" t="s">
        <v>22</v>
      </c>
      <c r="E139" s="113" t="s">
        <v>36</v>
      </c>
      <c r="F139" s="118" t="s">
        <v>2031</v>
      </c>
      <c r="G139" s="113" t="s">
        <v>1477</v>
      </c>
      <c r="H139" s="113" t="s">
        <v>108</v>
      </c>
      <c r="I139" s="113">
        <v>11</v>
      </c>
      <c r="J139" s="113" t="s">
        <v>1109</v>
      </c>
      <c r="K139" s="113" t="s">
        <v>1804</v>
      </c>
      <c r="L139" s="115"/>
      <c r="M139" s="115"/>
      <c r="N139" s="115"/>
      <c r="O139" s="115"/>
      <c r="P139" s="115"/>
      <c r="Q139" s="115"/>
      <c r="R139" s="115"/>
      <c r="S139" s="113">
        <v>352</v>
      </c>
      <c r="T139" s="113">
        <v>52</v>
      </c>
      <c r="U139" s="113">
        <v>65</v>
      </c>
      <c r="V139" s="113">
        <v>55</v>
      </c>
      <c r="W139" s="113">
        <v>58</v>
      </c>
      <c r="X139" s="113">
        <v>62</v>
      </c>
      <c r="Y139" s="113">
        <v>60</v>
      </c>
      <c r="Z139" s="116">
        <v>11</v>
      </c>
      <c r="AA139" s="116">
        <v>4</v>
      </c>
      <c r="AB139" s="116">
        <v>6</v>
      </c>
      <c r="AC139" s="117">
        <f t="shared" si="2"/>
        <v>21</v>
      </c>
      <c r="AD139" s="113" t="s">
        <v>1545</v>
      </c>
      <c r="AE139" s="113" t="s">
        <v>1174</v>
      </c>
      <c r="AF139" s="113" t="s">
        <v>943</v>
      </c>
      <c r="AG139" s="113" t="s">
        <v>1732</v>
      </c>
      <c r="AH139" s="113" t="s">
        <v>946</v>
      </c>
      <c r="AI139" s="113" t="s">
        <v>1728</v>
      </c>
      <c r="AJ139" s="113" t="s">
        <v>1356</v>
      </c>
      <c r="AK139" s="113" t="s">
        <v>1295</v>
      </c>
      <c r="AL139" s="113" t="s">
        <v>1731</v>
      </c>
      <c r="AM139" s="113" t="s">
        <v>1044</v>
      </c>
      <c r="AN139" s="113" t="s">
        <v>1043</v>
      </c>
      <c r="AO139" s="113" t="s">
        <v>1044</v>
      </c>
      <c r="AP139" s="113" t="s">
        <v>1043</v>
      </c>
      <c r="AQ139" s="5"/>
      <c r="AR139" s="5"/>
      <c r="AS139" s="5"/>
      <c r="AT139" s="5"/>
      <c r="AU139" s="5"/>
      <c r="AV139" s="5"/>
      <c r="AW139" s="5"/>
      <c r="AX139" s="5"/>
      <c r="AY139" s="5"/>
      <c r="AZ139" s="5"/>
      <c r="BA139" s="5"/>
      <c r="BB139" s="5"/>
      <c r="BC139" s="5"/>
      <c r="BD139" s="5"/>
      <c r="BE139" s="5"/>
      <c r="BF139" s="5"/>
      <c r="BG139" s="5"/>
      <c r="BH139" s="5"/>
      <c r="BI139" s="5"/>
    </row>
    <row r="140" spans="1:62" customFormat="1">
      <c r="A140" s="113">
        <v>94</v>
      </c>
      <c r="B140" s="113" t="s">
        <v>121</v>
      </c>
      <c r="C140" s="113" t="s">
        <v>1973</v>
      </c>
      <c r="D140" s="113" t="s">
        <v>119</v>
      </c>
      <c r="E140" s="113" t="s">
        <v>15</v>
      </c>
      <c r="F140" s="118" t="s">
        <v>2031</v>
      </c>
      <c r="G140" s="113" t="s">
        <v>1477</v>
      </c>
      <c r="H140" s="113" t="s">
        <v>118</v>
      </c>
      <c r="I140" s="113">
        <v>31</v>
      </c>
      <c r="J140" s="113" t="s">
        <v>120</v>
      </c>
      <c r="K140" s="113" t="s">
        <v>1804</v>
      </c>
      <c r="L140" s="115"/>
      <c r="M140" s="115"/>
      <c r="N140" s="115"/>
      <c r="O140" s="115"/>
      <c r="P140" s="115"/>
      <c r="Q140" s="115"/>
      <c r="R140" s="115"/>
      <c r="S140" s="113">
        <v>500</v>
      </c>
      <c r="T140" s="113">
        <v>60</v>
      </c>
      <c r="U140" s="113">
        <v>65</v>
      </c>
      <c r="V140" s="113">
        <v>60</v>
      </c>
      <c r="W140" s="113">
        <v>130</v>
      </c>
      <c r="X140" s="113">
        <v>75</v>
      </c>
      <c r="Y140" s="113">
        <v>110</v>
      </c>
      <c r="Z140" s="116">
        <v>13</v>
      </c>
      <c r="AA140" s="116">
        <v>8.5</v>
      </c>
      <c r="AB140" s="116">
        <v>11</v>
      </c>
      <c r="AC140" s="117">
        <f t="shared" si="2"/>
        <v>32.5</v>
      </c>
      <c r="AD140" s="113" t="s">
        <v>1538</v>
      </c>
      <c r="AE140" s="113" t="s">
        <v>1121</v>
      </c>
      <c r="AF140" s="113" t="s">
        <v>946</v>
      </c>
      <c r="AG140" s="113"/>
      <c r="AH140" s="113" t="s">
        <v>946</v>
      </c>
      <c r="AI140" s="113" t="s">
        <v>1124</v>
      </c>
      <c r="AJ140" s="113" t="s">
        <v>1645</v>
      </c>
      <c r="AK140" s="113" t="s">
        <v>1584</v>
      </c>
      <c r="AL140" s="113" t="s">
        <v>1301</v>
      </c>
      <c r="AM140" s="113" t="s">
        <v>1128</v>
      </c>
      <c r="AN140" s="113" t="s">
        <v>1129</v>
      </c>
      <c r="AO140" s="113" t="s">
        <v>1128</v>
      </c>
      <c r="AP140" s="113" t="s">
        <v>1129</v>
      </c>
      <c r="AR140" s="5"/>
      <c r="AS140" s="5"/>
      <c r="AT140" s="5"/>
      <c r="AU140" s="5"/>
      <c r="AV140" s="5"/>
      <c r="AW140" s="5"/>
      <c r="AX140" s="5"/>
      <c r="AY140" s="5"/>
      <c r="AZ140" s="5"/>
      <c r="BA140" s="5"/>
      <c r="BB140" s="5"/>
      <c r="BC140" s="5"/>
      <c r="BD140" s="5"/>
      <c r="BE140" s="5"/>
      <c r="BF140" s="5"/>
      <c r="BG140" s="5"/>
      <c r="BH140" s="5"/>
      <c r="BI140" s="5"/>
    </row>
    <row r="141" spans="1:62">
      <c r="A141" s="113">
        <v>117</v>
      </c>
      <c r="B141" s="113" t="s">
        <v>144</v>
      </c>
      <c r="C141" s="113" t="s">
        <v>1973</v>
      </c>
      <c r="D141" s="113" t="s">
        <v>25</v>
      </c>
      <c r="E141" s="113"/>
      <c r="F141" s="118" t="s">
        <v>2031</v>
      </c>
      <c r="G141" s="113" t="s">
        <v>1478</v>
      </c>
      <c r="H141" s="113" t="s">
        <v>143</v>
      </c>
      <c r="I141" s="113">
        <v>21</v>
      </c>
      <c r="J141" s="113" t="s">
        <v>143</v>
      </c>
      <c r="K141" s="115" t="s">
        <v>1964</v>
      </c>
      <c r="L141" s="115"/>
      <c r="M141" s="115"/>
      <c r="N141" s="115"/>
      <c r="O141" s="115"/>
      <c r="P141" s="115"/>
      <c r="Q141" s="115"/>
      <c r="R141" s="115"/>
      <c r="S141" s="113">
        <v>440</v>
      </c>
      <c r="T141" s="113">
        <v>55</v>
      </c>
      <c r="U141" s="113">
        <v>65</v>
      </c>
      <c r="V141" s="113">
        <v>95</v>
      </c>
      <c r="W141" s="113">
        <v>95</v>
      </c>
      <c r="X141" s="113">
        <v>45</v>
      </c>
      <c r="Y141" s="113">
        <v>85</v>
      </c>
      <c r="Z141" s="116">
        <v>13</v>
      </c>
      <c r="AA141" s="116">
        <v>7</v>
      </c>
      <c r="AB141" s="116">
        <v>9</v>
      </c>
      <c r="AC141" s="117">
        <f t="shared" si="2"/>
        <v>29</v>
      </c>
      <c r="AD141" s="113" t="s">
        <v>946</v>
      </c>
      <c r="AE141" s="113" t="s">
        <v>1216</v>
      </c>
      <c r="AF141" s="113" t="s">
        <v>943</v>
      </c>
      <c r="AG141" s="113"/>
      <c r="AH141" s="113" t="s">
        <v>943</v>
      </c>
      <c r="AI141" s="113" t="s">
        <v>1318</v>
      </c>
      <c r="AJ141" s="113" t="s">
        <v>1314</v>
      </c>
      <c r="AK141" s="113" t="s">
        <v>1216</v>
      </c>
      <c r="AL141" s="113" t="s">
        <v>1676</v>
      </c>
      <c r="AM141" s="113" t="s">
        <v>1026</v>
      </c>
      <c r="AN141" s="113" t="s">
        <v>1025</v>
      </c>
      <c r="AO141" s="113" t="s">
        <v>1026</v>
      </c>
      <c r="AP141" s="113" t="s">
        <v>1025</v>
      </c>
      <c r="BJ141"/>
    </row>
    <row r="142" spans="1:62" customFormat="1">
      <c r="A142" s="113">
        <v>109</v>
      </c>
      <c r="B142" s="113" t="s">
        <v>136</v>
      </c>
      <c r="C142" s="113" t="s">
        <v>1973</v>
      </c>
      <c r="D142" s="113" t="s">
        <v>15</v>
      </c>
      <c r="E142" s="113"/>
      <c r="F142" s="118" t="s">
        <v>2031</v>
      </c>
      <c r="G142" s="113" t="s">
        <v>1479</v>
      </c>
      <c r="H142" s="113" t="s">
        <v>136</v>
      </c>
      <c r="I142" s="113">
        <v>11</v>
      </c>
      <c r="J142" s="113" t="s">
        <v>1109</v>
      </c>
      <c r="K142" s="115" t="s">
        <v>1968</v>
      </c>
      <c r="L142" s="115"/>
      <c r="M142" s="115"/>
      <c r="N142" s="115"/>
      <c r="O142" s="115"/>
      <c r="P142" s="115"/>
      <c r="Q142" s="115"/>
      <c r="R142" s="115"/>
      <c r="S142" s="113">
        <v>340</v>
      </c>
      <c r="T142" s="113">
        <v>40</v>
      </c>
      <c r="U142" s="113">
        <v>65</v>
      </c>
      <c r="V142" s="113">
        <v>95</v>
      </c>
      <c r="W142" s="113">
        <v>60</v>
      </c>
      <c r="X142" s="113">
        <v>45</v>
      </c>
      <c r="Y142" s="113">
        <v>35</v>
      </c>
      <c r="Z142" s="116">
        <v>12</v>
      </c>
      <c r="AA142" s="116">
        <v>5</v>
      </c>
      <c r="AB142" s="116">
        <v>4</v>
      </c>
      <c r="AC142" s="117">
        <f t="shared" si="2"/>
        <v>21</v>
      </c>
      <c r="AD142" s="113" t="s">
        <v>1545</v>
      </c>
      <c r="AE142" s="113" t="s">
        <v>1062</v>
      </c>
      <c r="AF142" s="113" t="s">
        <v>946</v>
      </c>
      <c r="AG142" s="113"/>
      <c r="AH142" s="113" t="s">
        <v>946</v>
      </c>
      <c r="AI142" s="113" t="s">
        <v>1004</v>
      </c>
      <c r="AJ142" s="113" t="s">
        <v>1378</v>
      </c>
      <c r="AK142" s="113" t="s">
        <v>1773</v>
      </c>
      <c r="AL142" s="113" t="s">
        <v>1787</v>
      </c>
      <c r="AM142" s="113" t="s">
        <v>1226</v>
      </c>
      <c r="AN142" s="113" t="s">
        <v>1227</v>
      </c>
      <c r="AO142" s="113" t="s">
        <v>1226</v>
      </c>
      <c r="AP142" s="113" t="s">
        <v>1227</v>
      </c>
      <c r="AR142" s="5"/>
      <c r="AS142" s="5"/>
      <c r="AT142" s="5"/>
      <c r="AU142" s="5"/>
      <c r="AV142" s="5"/>
      <c r="AW142" s="5"/>
      <c r="AX142" s="5"/>
      <c r="AY142" s="5"/>
      <c r="AZ142" s="5"/>
      <c r="BA142" s="5"/>
      <c r="BB142" s="5"/>
      <c r="BC142" s="5"/>
      <c r="BD142" s="5"/>
      <c r="BE142" s="5"/>
      <c r="BF142" s="5"/>
      <c r="BG142" s="5"/>
      <c r="BH142" s="5"/>
      <c r="BI142" s="5"/>
    </row>
    <row r="143" spans="1:62" customFormat="1">
      <c r="A143" s="113">
        <v>44</v>
      </c>
      <c r="B143" s="113" t="s">
        <v>65</v>
      </c>
      <c r="C143" s="113" t="s">
        <v>1973</v>
      </c>
      <c r="D143" s="113" t="s">
        <v>14</v>
      </c>
      <c r="E143" s="113" t="s">
        <v>15</v>
      </c>
      <c r="F143" s="118" t="s">
        <v>2031</v>
      </c>
      <c r="G143" s="113" t="s">
        <v>1478</v>
      </c>
      <c r="H143" s="113" t="s">
        <v>64</v>
      </c>
      <c r="I143" s="113">
        <v>21</v>
      </c>
      <c r="J143" s="113" t="s">
        <v>64</v>
      </c>
      <c r="K143" s="113" t="s">
        <v>1803</v>
      </c>
      <c r="L143" s="115"/>
      <c r="M143" s="115"/>
      <c r="N143" s="115"/>
      <c r="O143" s="115"/>
      <c r="P143" s="115"/>
      <c r="Q143" s="115"/>
      <c r="R143" s="115"/>
      <c r="S143" s="113">
        <v>395</v>
      </c>
      <c r="T143" s="113">
        <v>60</v>
      </c>
      <c r="U143" s="113">
        <v>65</v>
      </c>
      <c r="V143" s="113">
        <v>70</v>
      </c>
      <c r="W143" s="113">
        <v>85</v>
      </c>
      <c r="X143" s="113">
        <v>75</v>
      </c>
      <c r="Y143" s="113">
        <v>40</v>
      </c>
      <c r="Z143" s="116">
        <v>14</v>
      </c>
      <c r="AA143" s="116">
        <v>5</v>
      </c>
      <c r="AB143" s="116">
        <v>4</v>
      </c>
      <c r="AC143" s="117">
        <f t="shared" si="2"/>
        <v>23</v>
      </c>
      <c r="AD143" s="113" t="s">
        <v>1545</v>
      </c>
      <c r="AE143" s="113" t="s">
        <v>1548</v>
      </c>
      <c r="AF143" s="113" t="s">
        <v>943</v>
      </c>
      <c r="AG143" s="113" t="s">
        <v>1547</v>
      </c>
      <c r="AH143" s="113" t="s">
        <v>946</v>
      </c>
      <c r="AI143" s="113" t="s">
        <v>1003</v>
      </c>
      <c r="AJ143" s="113" t="s">
        <v>1266</v>
      </c>
      <c r="AK143" s="113" t="s">
        <v>1617</v>
      </c>
      <c r="AL143" s="113" t="s">
        <v>1581</v>
      </c>
      <c r="AM143" s="113" t="s">
        <v>1028</v>
      </c>
      <c r="AN143" s="113" t="s">
        <v>1027</v>
      </c>
      <c r="AO143" s="113" t="s">
        <v>1028</v>
      </c>
      <c r="AP143" s="113" t="s">
        <v>1027</v>
      </c>
      <c r="AR143" s="5"/>
      <c r="AS143" s="5"/>
      <c r="AT143" s="5"/>
      <c r="AU143" s="5"/>
      <c r="AV143" s="5"/>
      <c r="AW143" s="5"/>
      <c r="AX143" s="5"/>
      <c r="AY143" s="5"/>
      <c r="AZ143" s="5"/>
      <c r="BA143" s="5"/>
      <c r="BB143" s="5"/>
      <c r="BC143" s="5"/>
      <c r="BD143" s="5"/>
      <c r="BE143" s="5"/>
      <c r="BF143" s="5"/>
      <c r="BG143" s="5"/>
      <c r="BH143" s="5"/>
      <c r="BI143" s="5"/>
    </row>
    <row r="144" spans="1:62">
      <c r="A144" s="114">
        <v>204</v>
      </c>
      <c r="B144" s="114" t="s">
        <v>231</v>
      </c>
      <c r="C144" s="114" t="s">
        <v>1974</v>
      </c>
      <c r="D144" s="113" t="s">
        <v>29</v>
      </c>
      <c r="E144" s="113"/>
      <c r="F144" s="118" t="s">
        <v>2031</v>
      </c>
      <c r="G144" s="113" t="s">
        <v>1479</v>
      </c>
      <c r="H144" s="113" t="s">
        <v>231</v>
      </c>
      <c r="I144" s="113">
        <v>11</v>
      </c>
      <c r="J144" s="113" t="s">
        <v>1109</v>
      </c>
      <c r="K144" s="113" t="s">
        <v>1968</v>
      </c>
      <c r="L144" s="115"/>
      <c r="M144" s="115"/>
      <c r="N144" s="115"/>
      <c r="O144" s="115"/>
      <c r="P144" s="115"/>
      <c r="Q144" s="115"/>
      <c r="R144" s="115"/>
      <c r="S144" s="113">
        <v>290</v>
      </c>
      <c r="T144" s="113">
        <v>50</v>
      </c>
      <c r="U144" s="113">
        <v>65</v>
      </c>
      <c r="V144" s="113">
        <v>90</v>
      </c>
      <c r="W144" s="113">
        <v>35</v>
      </c>
      <c r="X144" s="113">
        <v>35</v>
      </c>
      <c r="Y144" s="113">
        <v>15</v>
      </c>
      <c r="Z144" s="116">
        <v>12</v>
      </c>
      <c r="AA144" s="116">
        <v>5</v>
      </c>
      <c r="AB144" s="116">
        <v>2</v>
      </c>
      <c r="AC144" s="117">
        <f t="shared" si="2"/>
        <v>19</v>
      </c>
      <c r="AD144" s="113" t="s">
        <v>1546</v>
      </c>
      <c r="AE144" s="113"/>
      <c r="AF144" s="113"/>
      <c r="AG144" s="113"/>
      <c r="AH144" s="113"/>
      <c r="AI144" s="113"/>
      <c r="AJ144" s="113"/>
      <c r="AK144" s="113"/>
      <c r="AL144" s="113"/>
      <c r="AM144" s="118"/>
      <c r="AN144" s="113"/>
      <c r="AO144" s="113"/>
      <c r="AP144" s="113"/>
      <c r="BJ144"/>
    </row>
    <row r="145" spans="1:62" customFormat="1">
      <c r="A145" s="113">
        <v>61</v>
      </c>
      <c r="B145" s="113" t="s">
        <v>83</v>
      </c>
      <c r="C145" s="113" t="s">
        <v>1973</v>
      </c>
      <c r="D145" s="113" t="s">
        <v>25</v>
      </c>
      <c r="E145" s="113"/>
      <c r="F145" s="118" t="s">
        <v>2031</v>
      </c>
      <c r="G145" s="113" t="s">
        <v>1478</v>
      </c>
      <c r="H145" s="113" t="s">
        <v>82</v>
      </c>
      <c r="I145" s="113">
        <v>21</v>
      </c>
      <c r="J145" s="113" t="s">
        <v>82</v>
      </c>
      <c r="K145" s="113" t="s">
        <v>1803</v>
      </c>
      <c r="L145" s="115"/>
      <c r="M145" s="115"/>
      <c r="N145" s="115"/>
      <c r="O145" s="115"/>
      <c r="P145" s="115"/>
      <c r="Q145" s="115"/>
      <c r="R145" s="115"/>
      <c r="S145" s="113">
        <v>385</v>
      </c>
      <c r="T145" s="113">
        <v>65</v>
      </c>
      <c r="U145" s="113">
        <v>65</v>
      </c>
      <c r="V145" s="113">
        <v>65</v>
      </c>
      <c r="W145" s="113">
        <v>50</v>
      </c>
      <c r="X145" s="113">
        <v>50</v>
      </c>
      <c r="Y145" s="113">
        <v>90</v>
      </c>
      <c r="Z145" s="116">
        <v>12</v>
      </c>
      <c r="AA145" s="116">
        <v>5</v>
      </c>
      <c r="AB145" s="116">
        <v>9</v>
      </c>
      <c r="AC145" s="117">
        <f t="shared" si="2"/>
        <v>26</v>
      </c>
      <c r="AD145" s="113" t="s">
        <v>946</v>
      </c>
      <c r="AE145" s="113" t="s">
        <v>956</v>
      </c>
      <c r="AF145" s="113" t="s">
        <v>946</v>
      </c>
      <c r="AG145" s="113"/>
      <c r="AH145" s="113" t="s">
        <v>946</v>
      </c>
      <c r="AI145" s="113" t="s">
        <v>1286</v>
      </c>
      <c r="AJ145" s="113" t="s">
        <v>1287</v>
      </c>
      <c r="AK145" s="113" t="s">
        <v>1639</v>
      </c>
      <c r="AL145" s="113" t="s">
        <v>1019</v>
      </c>
      <c r="AM145" s="113" t="s">
        <v>1026</v>
      </c>
      <c r="AN145" s="113" t="s">
        <v>1025</v>
      </c>
      <c r="AO145" s="113" t="s">
        <v>1026</v>
      </c>
      <c r="AP145" s="113" t="s">
        <v>1025</v>
      </c>
      <c r="AR145" s="5"/>
      <c r="AS145" s="5"/>
      <c r="AT145" s="5"/>
      <c r="AU145" s="5"/>
      <c r="AV145" s="5"/>
      <c r="AW145" s="5"/>
      <c r="AX145" s="5"/>
      <c r="AY145" s="5"/>
      <c r="AZ145" s="5"/>
      <c r="BA145" s="5"/>
      <c r="BB145" s="5"/>
      <c r="BC145" s="5"/>
      <c r="BD145" s="5"/>
      <c r="BE145" s="5"/>
      <c r="BF145" s="5"/>
      <c r="BG145" s="5"/>
      <c r="BH145" s="5"/>
      <c r="BI145" s="5"/>
    </row>
    <row r="146" spans="1:62" customFormat="1">
      <c r="A146" s="114">
        <v>223</v>
      </c>
      <c r="B146" s="114" t="s">
        <v>250</v>
      </c>
      <c r="C146" s="114" t="s">
        <v>1974</v>
      </c>
      <c r="D146" s="113" t="s">
        <v>25</v>
      </c>
      <c r="E146" s="113"/>
      <c r="F146" s="118" t="s">
        <v>2031</v>
      </c>
      <c r="G146" s="113" t="s">
        <v>1479</v>
      </c>
      <c r="H146" s="113" t="s">
        <v>250</v>
      </c>
      <c r="I146" s="113">
        <v>11</v>
      </c>
      <c r="J146" s="113" t="s">
        <v>1109</v>
      </c>
      <c r="K146" s="113" t="s">
        <v>1968</v>
      </c>
      <c r="L146" s="115"/>
      <c r="M146" s="115"/>
      <c r="N146" s="115"/>
      <c r="O146" s="115"/>
      <c r="P146" s="115"/>
      <c r="Q146" s="115"/>
      <c r="R146" s="115"/>
      <c r="S146" s="113">
        <v>300</v>
      </c>
      <c r="T146" s="113">
        <v>35</v>
      </c>
      <c r="U146" s="113">
        <v>65</v>
      </c>
      <c r="V146" s="113">
        <v>35</v>
      </c>
      <c r="W146" s="113">
        <v>65</v>
      </c>
      <c r="X146" s="113">
        <v>35</v>
      </c>
      <c r="Y146" s="113">
        <v>65</v>
      </c>
      <c r="Z146" s="116">
        <v>7</v>
      </c>
      <c r="AA146" s="116">
        <v>7</v>
      </c>
      <c r="AB146" s="116">
        <v>7</v>
      </c>
      <c r="AC146" s="117">
        <f t="shared" si="2"/>
        <v>21</v>
      </c>
      <c r="AD146" s="113" t="s">
        <v>1545</v>
      </c>
      <c r="AE146" s="113"/>
      <c r="AF146" s="113"/>
      <c r="AG146" s="113"/>
      <c r="AH146" s="113"/>
      <c r="AI146" s="113"/>
      <c r="AJ146" s="113"/>
      <c r="AK146" s="113"/>
      <c r="AL146" s="113"/>
      <c r="AM146" s="118"/>
      <c r="AN146" s="113"/>
      <c r="AO146" s="113"/>
      <c r="AP146" s="113"/>
      <c r="AQ146" s="5"/>
      <c r="AR146" s="5"/>
      <c r="AS146" s="5"/>
      <c r="AT146" s="5"/>
      <c r="AU146" s="5"/>
      <c r="AV146" s="5"/>
      <c r="AW146" s="5"/>
      <c r="AX146" s="5"/>
      <c r="AY146" s="5"/>
      <c r="AZ146" s="5"/>
      <c r="BA146" s="5"/>
      <c r="BB146" s="5"/>
      <c r="BC146" s="5"/>
      <c r="BD146" s="5"/>
      <c r="BE146" s="5"/>
      <c r="BF146" s="5"/>
      <c r="BG146" s="5"/>
      <c r="BH146" s="5"/>
      <c r="BI146" s="5"/>
    </row>
    <row r="147" spans="1:62" customFormat="1" ht="15.5" customHeight="1">
      <c r="A147" s="113">
        <v>90</v>
      </c>
      <c r="B147" s="113" t="s">
        <v>116</v>
      </c>
      <c r="C147" s="113" t="s">
        <v>1973</v>
      </c>
      <c r="D147" s="113" t="s">
        <v>25</v>
      </c>
      <c r="E147" s="113"/>
      <c r="F147" s="118" t="s">
        <v>2031</v>
      </c>
      <c r="G147" s="113" t="s">
        <v>1479</v>
      </c>
      <c r="H147" s="113" t="s">
        <v>116</v>
      </c>
      <c r="I147" s="113">
        <v>11</v>
      </c>
      <c r="J147" s="113" t="s">
        <v>1109</v>
      </c>
      <c r="K147" s="113" t="s">
        <v>1803</v>
      </c>
      <c r="L147" s="115"/>
      <c r="M147" s="115"/>
      <c r="N147" s="115"/>
      <c r="O147" s="115"/>
      <c r="P147" s="115"/>
      <c r="Q147" s="115"/>
      <c r="R147" s="115"/>
      <c r="S147" s="113">
        <v>305</v>
      </c>
      <c r="T147" s="113">
        <v>30</v>
      </c>
      <c r="U147" s="113">
        <v>65</v>
      </c>
      <c r="V147" s="113">
        <v>100</v>
      </c>
      <c r="W147" s="113">
        <v>45</v>
      </c>
      <c r="X147" s="113">
        <v>25</v>
      </c>
      <c r="Y147" s="113">
        <v>40</v>
      </c>
      <c r="Z147" s="116">
        <v>10</v>
      </c>
      <c r="AA147" s="116">
        <v>4</v>
      </c>
      <c r="AB147" s="116">
        <v>4</v>
      </c>
      <c r="AC147" s="117">
        <f t="shared" si="2"/>
        <v>18</v>
      </c>
      <c r="AD147" s="113" t="s">
        <v>1546</v>
      </c>
      <c r="AE147" s="113" t="s">
        <v>1136</v>
      </c>
      <c r="AF147" s="113" t="s">
        <v>946</v>
      </c>
      <c r="AG147" s="113"/>
      <c r="AH147" s="113" t="s">
        <v>946</v>
      </c>
      <c r="AI147" s="113" t="s">
        <v>1361</v>
      </c>
      <c r="AJ147" s="113" t="s">
        <v>1004</v>
      </c>
      <c r="AK147" s="113" t="s">
        <v>1012</v>
      </c>
      <c r="AL147" s="113" t="s">
        <v>1612</v>
      </c>
      <c r="AM147" s="113" t="s">
        <v>1026</v>
      </c>
      <c r="AN147" s="113" t="s">
        <v>1025</v>
      </c>
      <c r="AO147" s="113" t="s">
        <v>1026</v>
      </c>
      <c r="AP147" s="113" t="s">
        <v>1025</v>
      </c>
      <c r="AR147" s="5"/>
      <c r="AS147" s="5"/>
      <c r="AT147" s="5"/>
      <c r="AU147" s="5"/>
      <c r="AV147" s="5"/>
      <c r="AW147" s="5"/>
      <c r="AX147" s="5"/>
      <c r="AY147" s="5"/>
      <c r="AZ147" s="5"/>
      <c r="BA147" s="5"/>
      <c r="BB147" s="5"/>
      <c r="BC147" s="5"/>
      <c r="BD147" s="5"/>
      <c r="BE147" s="5"/>
      <c r="BF147" s="5"/>
      <c r="BG147" s="5"/>
      <c r="BH147" s="5"/>
      <c r="BI147" s="5"/>
    </row>
    <row r="148" spans="1:62" customFormat="1">
      <c r="A148" s="113">
        <v>79</v>
      </c>
      <c r="B148" s="113" t="s">
        <v>103</v>
      </c>
      <c r="C148" s="113" t="s">
        <v>1973</v>
      </c>
      <c r="D148" s="113" t="s">
        <v>25</v>
      </c>
      <c r="E148" s="113" t="s">
        <v>86</v>
      </c>
      <c r="F148" s="118" t="s">
        <v>2031</v>
      </c>
      <c r="G148" s="113" t="s">
        <v>1479</v>
      </c>
      <c r="H148" s="113" t="s">
        <v>103</v>
      </c>
      <c r="I148" s="113">
        <v>11</v>
      </c>
      <c r="J148" s="113" t="s">
        <v>1109</v>
      </c>
      <c r="K148" s="113" t="s">
        <v>1803</v>
      </c>
      <c r="L148" s="115"/>
      <c r="M148" s="115"/>
      <c r="N148" s="115"/>
      <c r="O148" s="115"/>
      <c r="P148" s="115"/>
      <c r="Q148" s="115"/>
      <c r="R148" s="115"/>
      <c r="S148" s="113">
        <v>315</v>
      </c>
      <c r="T148" s="113">
        <v>90</v>
      </c>
      <c r="U148" s="113">
        <v>65</v>
      </c>
      <c r="V148" s="113">
        <v>65</v>
      </c>
      <c r="W148" s="113">
        <v>40</v>
      </c>
      <c r="X148" s="113">
        <v>40</v>
      </c>
      <c r="Y148" s="113">
        <v>15</v>
      </c>
      <c r="Z148" s="116">
        <v>13</v>
      </c>
      <c r="AA148" s="116">
        <v>3</v>
      </c>
      <c r="AB148" s="116">
        <v>2</v>
      </c>
      <c r="AC148" s="117">
        <f t="shared" si="2"/>
        <v>18</v>
      </c>
      <c r="AD148" s="113" t="s">
        <v>1546</v>
      </c>
      <c r="AE148" s="113" t="s">
        <v>1561</v>
      </c>
      <c r="AF148" s="113" t="s">
        <v>943</v>
      </c>
      <c r="AG148" s="113" t="s">
        <v>944</v>
      </c>
      <c r="AH148" s="113" t="s">
        <v>946</v>
      </c>
      <c r="AI148" s="113" t="s">
        <v>1012</v>
      </c>
      <c r="AJ148" s="113" t="s">
        <v>1036</v>
      </c>
      <c r="AK148" s="113" t="s">
        <v>1577</v>
      </c>
      <c r="AL148" s="113" t="s">
        <v>1579</v>
      </c>
      <c r="AM148" s="113" t="s">
        <v>1344</v>
      </c>
      <c r="AN148" s="113" t="s">
        <v>1345</v>
      </c>
      <c r="AO148" s="113" t="s">
        <v>1344</v>
      </c>
      <c r="AP148" s="113" t="s">
        <v>1345</v>
      </c>
      <c r="AR148" s="5"/>
      <c r="AS148" s="5"/>
      <c r="AT148" s="5"/>
      <c r="AU148" s="5"/>
      <c r="AV148" s="5"/>
      <c r="AW148" s="5"/>
      <c r="AX148" s="5"/>
      <c r="AY148" s="5"/>
      <c r="AZ148" s="5"/>
      <c r="BA148" s="5"/>
      <c r="BB148" s="5"/>
      <c r="BC148" s="5"/>
      <c r="BD148" s="5"/>
      <c r="BE148" s="5"/>
      <c r="BF148" s="5"/>
      <c r="BG148" s="5"/>
      <c r="BH148" s="5"/>
      <c r="BI148" s="5"/>
    </row>
    <row r="149" spans="1:62" customFormat="1">
      <c r="A149" s="114">
        <v>158</v>
      </c>
      <c r="B149" s="114" t="s">
        <v>185</v>
      </c>
      <c r="C149" s="114" t="s">
        <v>1974</v>
      </c>
      <c r="D149" s="113" t="s">
        <v>25</v>
      </c>
      <c r="E149" s="113"/>
      <c r="F149" s="118" t="s">
        <v>2030</v>
      </c>
      <c r="G149" s="113" t="s">
        <v>1479</v>
      </c>
      <c r="H149" s="113" t="s">
        <v>185</v>
      </c>
      <c r="I149" s="113">
        <v>11</v>
      </c>
      <c r="J149" s="113" t="s">
        <v>1109</v>
      </c>
      <c r="K149" s="113" t="s">
        <v>1968</v>
      </c>
      <c r="L149" s="115"/>
      <c r="M149" s="115"/>
      <c r="N149" s="115"/>
      <c r="O149" s="115"/>
      <c r="P149" s="115"/>
      <c r="Q149" s="115"/>
      <c r="R149" s="115"/>
      <c r="S149" s="113">
        <v>314</v>
      </c>
      <c r="T149" s="113">
        <v>50</v>
      </c>
      <c r="U149" s="113">
        <v>65</v>
      </c>
      <c r="V149" s="113">
        <v>64</v>
      </c>
      <c r="W149" s="113">
        <v>44</v>
      </c>
      <c r="X149" s="113">
        <v>48</v>
      </c>
      <c r="Y149" s="113">
        <v>43</v>
      </c>
      <c r="Z149" s="116">
        <v>11</v>
      </c>
      <c r="AA149" s="116">
        <v>5</v>
      </c>
      <c r="AB149" s="116">
        <v>4</v>
      </c>
      <c r="AC149" s="117">
        <f t="shared" si="2"/>
        <v>20</v>
      </c>
      <c r="AD149" s="113" t="s">
        <v>1545</v>
      </c>
      <c r="AE149" s="113"/>
      <c r="AF149" s="113"/>
      <c r="AG149" s="113"/>
      <c r="AH149" s="113"/>
      <c r="AI149" s="113"/>
      <c r="AJ149" s="113"/>
      <c r="AK149" s="113"/>
      <c r="AL149" s="113"/>
      <c r="AM149" s="118"/>
      <c r="AN149" s="113"/>
      <c r="AO149" s="113"/>
      <c r="AP149" s="113"/>
      <c r="AR149" s="5"/>
      <c r="AS149" s="5"/>
      <c r="AT149" s="5"/>
      <c r="AU149" s="5"/>
      <c r="AV149" s="5"/>
      <c r="AW149" s="5"/>
      <c r="AX149" s="5"/>
      <c r="AY149" s="5"/>
      <c r="AZ149" s="5"/>
      <c r="BA149" s="5"/>
      <c r="BB149" s="5"/>
      <c r="BC149" s="5"/>
      <c r="BD149" s="5"/>
      <c r="BE149" s="5"/>
      <c r="BF149" s="5"/>
      <c r="BG149" s="5"/>
      <c r="BH149" s="5"/>
      <c r="BI149" s="5"/>
    </row>
    <row r="150" spans="1:62" customFormat="1">
      <c r="A150" s="113">
        <v>49</v>
      </c>
      <c r="B150" s="113" t="s">
        <v>70</v>
      </c>
      <c r="C150" s="113" t="s">
        <v>1973</v>
      </c>
      <c r="D150" s="113" t="s">
        <v>29</v>
      </c>
      <c r="E150" s="113" t="s">
        <v>15</v>
      </c>
      <c r="F150" s="118" t="s">
        <v>2031</v>
      </c>
      <c r="G150" s="113" t="s">
        <v>1477</v>
      </c>
      <c r="H150" s="113" t="s">
        <v>69</v>
      </c>
      <c r="I150" s="113">
        <v>21</v>
      </c>
      <c r="J150" s="113" t="s">
        <v>69</v>
      </c>
      <c r="K150" s="113" t="s">
        <v>1804</v>
      </c>
      <c r="L150" s="115"/>
      <c r="M150" s="115"/>
      <c r="N150" s="115"/>
      <c r="O150" s="115"/>
      <c r="P150" s="115"/>
      <c r="Q150" s="115"/>
      <c r="R150" s="115"/>
      <c r="S150" s="113">
        <v>450</v>
      </c>
      <c r="T150" s="113">
        <v>70</v>
      </c>
      <c r="U150" s="113">
        <v>65</v>
      </c>
      <c r="V150" s="113">
        <v>60</v>
      </c>
      <c r="W150" s="113">
        <v>90</v>
      </c>
      <c r="X150" s="113">
        <v>75</v>
      </c>
      <c r="Y150" s="113">
        <v>90</v>
      </c>
      <c r="Z150" s="116">
        <v>14</v>
      </c>
      <c r="AA150" s="116">
        <v>4</v>
      </c>
      <c r="AB150" s="116">
        <v>9</v>
      </c>
      <c r="AC150" s="117">
        <f t="shared" si="2"/>
        <v>27</v>
      </c>
      <c r="AD150" s="113" t="s">
        <v>946</v>
      </c>
      <c r="AE150" s="113" t="s">
        <v>1147</v>
      </c>
      <c r="AF150" s="113" t="s">
        <v>946</v>
      </c>
      <c r="AG150" s="113"/>
      <c r="AH150" s="113" t="s">
        <v>946</v>
      </c>
      <c r="AI150" s="113" t="s">
        <v>1269</v>
      </c>
      <c r="AJ150" s="113" t="s">
        <v>1270</v>
      </c>
      <c r="AK150" s="113" t="s">
        <v>1621</v>
      </c>
      <c r="AL150" s="113" t="s">
        <v>1083</v>
      </c>
      <c r="AM150" s="113" t="s">
        <v>1040</v>
      </c>
      <c r="AN150" s="113" t="s">
        <v>1039</v>
      </c>
      <c r="AO150" s="113" t="s">
        <v>1040</v>
      </c>
      <c r="AP150" s="113" t="s">
        <v>1039</v>
      </c>
      <c r="AR150" s="5"/>
      <c r="AS150" s="5"/>
      <c r="AT150" s="5"/>
      <c r="AU150" s="5"/>
      <c r="AV150" s="5"/>
      <c r="AW150" s="5"/>
      <c r="AX150" s="5"/>
      <c r="AY150" s="5"/>
      <c r="AZ150" s="5"/>
      <c r="BA150" s="5"/>
      <c r="BB150" s="5"/>
      <c r="BC150" s="5"/>
      <c r="BD150" s="5"/>
      <c r="BE150" s="5"/>
      <c r="BF150" s="5"/>
      <c r="BG150" s="5"/>
      <c r="BH150" s="5"/>
      <c r="BI150" s="5"/>
    </row>
    <row r="151" spans="1:62" customFormat="1">
      <c r="A151" s="114">
        <v>193</v>
      </c>
      <c r="B151" s="114" t="s">
        <v>220</v>
      </c>
      <c r="C151" s="114" t="s">
        <v>1974</v>
      </c>
      <c r="D151" s="113" t="s">
        <v>29</v>
      </c>
      <c r="E151" s="113" t="s">
        <v>22</v>
      </c>
      <c r="F151" s="118" t="s">
        <v>2031</v>
      </c>
      <c r="G151" s="113" t="s">
        <v>1477</v>
      </c>
      <c r="H151" s="113" t="s">
        <v>220</v>
      </c>
      <c r="I151" s="113">
        <v>11</v>
      </c>
      <c r="J151" s="113" t="s">
        <v>1109</v>
      </c>
      <c r="K151" s="113" t="s">
        <v>1804</v>
      </c>
      <c r="L151" s="115"/>
      <c r="M151" s="115"/>
      <c r="N151" s="115"/>
      <c r="O151" s="115"/>
      <c r="P151" s="115"/>
      <c r="Q151" s="115"/>
      <c r="R151" s="115"/>
      <c r="S151" s="113">
        <v>390</v>
      </c>
      <c r="T151" s="113">
        <v>65</v>
      </c>
      <c r="U151" s="113">
        <v>65</v>
      </c>
      <c r="V151" s="113">
        <v>45</v>
      </c>
      <c r="W151" s="113">
        <v>75</v>
      </c>
      <c r="X151" s="113">
        <v>45</v>
      </c>
      <c r="Y151" s="113">
        <v>95</v>
      </c>
      <c r="Z151" s="116">
        <v>10</v>
      </c>
      <c r="AA151" s="116">
        <v>7</v>
      </c>
      <c r="AB151" s="116">
        <v>10</v>
      </c>
      <c r="AC151" s="117">
        <f t="shared" si="2"/>
        <v>27</v>
      </c>
      <c r="AD151" s="113" t="s">
        <v>946</v>
      </c>
      <c r="AE151" s="113"/>
      <c r="AF151" s="113"/>
      <c r="AG151" s="113"/>
      <c r="AH151" s="113"/>
      <c r="AI151" s="113"/>
      <c r="AJ151" s="113"/>
      <c r="AK151" s="113"/>
      <c r="AL151" s="113"/>
      <c r="AM151" s="118"/>
      <c r="AN151" s="113"/>
      <c r="AO151" s="113"/>
      <c r="AP151" s="113"/>
      <c r="AR151" s="5"/>
      <c r="AS151" s="5"/>
      <c r="AT151" s="5"/>
      <c r="AU151" s="5"/>
      <c r="AV151" s="5"/>
      <c r="AW151" s="5"/>
      <c r="AX151" s="5"/>
      <c r="AY151" s="5"/>
      <c r="AZ151" s="5"/>
      <c r="BA151" s="5"/>
      <c r="BB151" s="5"/>
      <c r="BC151" s="5"/>
      <c r="BD151" s="5"/>
      <c r="BE151" s="5"/>
      <c r="BF151" s="5"/>
      <c r="BG151" s="5"/>
      <c r="BH151" s="5"/>
      <c r="BI151" s="5"/>
    </row>
    <row r="152" spans="1:62" customFormat="1">
      <c r="A152" s="113">
        <v>5</v>
      </c>
      <c r="B152" s="113" t="s">
        <v>20</v>
      </c>
      <c r="C152" s="113" t="s">
        <v>1973</v>
      </c>
      <c r="D152" s="113" t="s">
        <v>19</v>
      </c>
      <c r="E152" s="113"/>
      <c r="F152" s="118" t="s">
        <v>2030</v>
      </c>
      <c r="G152" s="113" t="s">
        <v>1478</v>
      </c>
      <c r="H152" s="113" t="s">
        <v>18</v>
      </c>
      <c r="I152" s="113">
        <v>21</v>
      </c>
      <c r="J152" s="113" t="s">
        <v>18</v>
      </c>
      <c r="K152" s="113" t="s">
        <v>1968</v>
      </c>
      <c r="L152" s="115"/>
      <c r="M152" s="115"/>
      <c r="N152" s="115"/>
      <c r="O152" s="115"/>
      <c r="P152" s="115"/>
      <c r="Q152" s="115"/>
      <c r="R152" s="115"/>
      <c r="S152" s="113">
        <v>405</v>
      </c>
      <c r="T152" s="113">
        <v>58</v>
      </c>
      <c r="U152" s="113">
        <v>64</v>
      </c>
      <c r="V152" s="113">
        <v>58</v>
      </c>
      <c r="W152" s="113">
        <v>80</v>
      </c>
      <c r="X152" s="113">
        <v>65</v>
      </c>
      <c r="Y152" s="113">
        <v>80</v>
      </c>
      <c r="Z152" s="116">
        <v>12</v>
      </c>
      <c r="AA152" s="116">
        <v>6</v>
      </c>
      <c r="AB152" s="116">
        <v>8</v>
      </c>
      <c r="AC152" s="117">
        <f t="shared" si="2"/>
        <v>26</v>
      </c>
      <c r="AD152" s="113" t="s">
        <v>946</v>
      </c>
      <c r="AE152" s="113" t="s">
        <v>1002</v>
      </c>
      <c r="AF152" s="113" t="s">
        <v>946</v>
      </c>
      <c r="AG152" s="113"/>
      <c r="AH152" s="113" t="s">
        <v>946</v>
      </c>
      <c r="AI152" s="113" t="s">
        <v>1014</v>
      </c>
      <c r="AJ152" s="113" t="s">
        <v>1016</v>
      </c>
      <c r="AK152" s="113" t="s">
        <v>1330</v>
      </c>
      <c r="AL152" s="113" t="s">
        <v>1047</v>
      </c>
      <c r="AM152" s="113" t="s">
        <v>1030</v>
      </c>
      <c r="AN152" s="113" t="s">
        <v>1029</v>
      </c>
      <c r="AO152" s="113" t="s">
        <v>1030</v>
      </c>
      <c r="AP152" s="113" t="s">
        <v>1029</v>
      </c>
      <c r="AQ152" s="5"/>
      <c r="AR152" s="5"/>
      <c r="AS152" s="5"/>
      <c r="AT152" s="5"/>
      <c r="AU152" s="5"/>
      <c r="AV152" s="5"/>
      <c r="AW152" s="5"/>
      <c r="AX152" s="5"/>
      <c r="AY152" s="5"/>
      <c r="AZ152" s="5"/>
      <c r="BA152" s="5"/>
      <c r="BB152" s="5"/>
      <c r="BC152" s="5"/>
      <c r="BD152" s="5"/>
      <c r="BE152" s="5"/>
      <c r="BF152" s="5"/>
      <c r="BG152" s="5"/>
      <c r="BH152" s="5"/>
      <c r="BI152" s="5"/>
    </row>
    <row r="153" spans="1:62" customFormat="1">
      <c r="A153" s="114">
        <v>156</v>
      </c>
      <c r="B153" s="114" t="s">
        <v>183</v>
      </c>
      <c r="C153" s="114" t="s">
        <v>1974</v>
      </c>
      <c r="D153" s="113" t="s">
        <v>19</v>
      </c>
      <c r="E153" s="113"/>
      <c r="F153" s="118" t="s">
        <v>2030</v>
      </c>
      <c r="G153" s="113" t="s">
        <v>1478</v>
      </c>
      <c r="H153" s="113" t="s">
        <v>182</v>
      </c>
      <c r="I153" s="113">
        <v>21</v>
      </c>
      <c r="J153" s="113" t="s">
        <v>182</v>
      </c>
      <c r="K153" s="113" t="s">
        <v>1968</v>
      </c>
      <c r="L153" s="115"/>
      <c r="M153" s="115"/>
      <c r="N153" s="115"/>
      <c r="O153" s="115"/>
      <c r="P153" s="115"/>
      <c r="Q153" s="115"/>
      <c r="R153" s="115"/>
      <c r="S153" s="113">
        <v>405</v>
      </c>
      <c r="T153" s="113">
        <v>58</v>
      </c>
      <c r="U153" s="113">
        <v>64</v>
      </c>
      <c r="V153" s="113">
        <v>58</v>
      </c>
      <c r="W153" s="113">
        <v>80</v>
      </c>
      <c r="X153" s="113">
        <v>65</v>
      </c>
      <c r="Y153" s="113">
        <v>80</v>
      </c>
      <c r="Z153" s="116">
        <v>12</v>
      </c>
      <c r="AA153" s="116">
        <v>7</v>
      </c>
      <c r="AB153" s="116">
        <v>8</v>
      </c>
      <c r="AC153" s="117">
        <f t="shared" si="2"/>
        <v>27</v>
      </c>
      <c r="AD153" s="113" t="s">
        <v>946</v>
      </c>
      <c r="AE153" s="113"/>
      <c r="AF153" s="113"/>
      <c r="AG153" s="113"/>
      <c r="AH153" s="113"/>
      <c r="AI153" s="113"/>
      <c r="AJ153" s="113"/>
      <c r="AK153" s="113"/>
      <c r="AL153" s="113"/>
      <c r="AM153" s="118"/>
      <c r="AN153" s="113"/>
      <c r="AO153" s="113"/>
      <c r="AP153" s="113"/>
      <c r="AR153" s="5"/>
      <c r="AS153" s="5"/>
      <c r="AT153" s="5"/>
      <c r="AU153" s="5"/>
      <c r="AV153" s="5"/>
      <c r="AW153" s="5"/>
      <c r="AX153" s="5"/>
      <c r="AY153" s="5"/>
      <c r="AZ153" s="5"/>
      <c r="BA153" s="5"/>
      <c r="BB153" s="5"/>
      <c r="BC153" s="5"/>
      <c r="BD153" s="5"/>
      <c r="BE153" s="5"/>
      <c r="BF153" s="5"/>
      <c r="BG153" s="5"/>
      <c r="BH153" s="5"/>
      <c r="BI153" s="5"/>
    </row>
    <row r="154" spans="1:62" customFormat="1">
      <c r="A154" s="113">
        <v>147</v>
      </c>
      <c r="B154" s="113" t="s">
        <v>175</v>
      </c>
      <c r="C154" s="113" t="s">
        <v>1973</v>
      </c>
      <c r="D154" s="113" t="s">
        <v>23</v>
      </c>
      <c r="E154" s="113"/>
      <c r="F154" s="118" t="s">
        <v>2031</v>
      </c>
      <c r="G154" s="113" t="s">
        <v>1479</v>
      </c>
      <c r="H154" s="113" t="s">
        <v>175</v>
      </c>
      <c r="I154" s="113">
        <v>11</v>
      </c>
      <c r="J154" s="113" t="s">
        <v>1109</v>
      </c>
      <c r="K154" s="115" t="s">
        <v>1968</v>
      </c>
      <c r="L154" s="115"/>
      <c r="M154" s="115"/>
      <c r="N154" s="115"/>
      <c r="O154" s="115"/>
      <c r="P154" s="115"/>
      <c r="Q154" s="115"/>
      <c r="R154" s="115"/>
      <c r="S154" s="113">
        <v>300</v>
      </c>
      <c r="T154" s="113">
        <v>41</v>
      </c>
      <c r="U154" s="113">
        <v>64</v>
      </c>
      <c r="V154" s="113">
        <v>45</v>
      </c>
      <c r="W154" s="113">
        <v>50</v>
      </c>
      <c r="X154" s="113">
        <v>50</v>
      </c>
      <c r="Y154" s="113">
        <v>50</v>
      </c>
      <c r="Z154" s="116">
        <v>9</v>
      </c>
      <c r="AA154" s="116">
        <v>5</v>
      </c>
      <c r="AB154" s="116">
        <v>5</v>
      </c>
      <c r="AC154" s="117">
        <f t="shared" si="2"/>
        <v>19</v>
      </c>
      <c r="AD154" s="113" t="s">
        <v>1546</v>
      </c>
      <c r="AE154" s="113" t="s">
        <v>1143</v>
      </c>
      <c r="AF154" s="113" t="s">
        <v>943</v>
      </c>
      <c r="AG154" s="113"/>
      <c r="AH154" s="113" t="s">
        <v>943</v>
      </c>
      <c r="AI154" s="113" t="s">
        <v>1222</v>
      </c>
      <c r="AJ154" s="113" t="s">
        <v>1046</v>
      </c>
      <c r="AK154" s="113" t="s">
        <v>1578</v>
      </c>
      <c r="AL154" s="113" t="s">
        <v>1661</v>
      </c>
      <c r="AM154" s="113" t="s">
        <v>1327</v>
      </c>
      <c r="AN154" s="113" t="s">
        <v>1326</v>
      </c>
      <c r="AO154" s="113" t="s">
        <v>1327</v>
      </c>
      <c r="AP154" s="113" t="s">
        <v>1326</v>
      </c>
      <c r="AR154" s="5"/>
      <c r="AS154" s="5"/>
      <c r="AT154" s="5"/>
      <c r="AU154" s="5"/>
      <c r="AV154" s="5"/>
      <c r="AW154" s="5"/>
      <c r="AX154" s="5"/>
      <c r="AY154" s="5"/>
      <c r="AZ154" s="5"/>
      <c r="BA154" s="5"/>
      <c r="BB154" s="5"/>
      <c r="BC154" s="5"/>
      <c r="BD154" s="5"/>
      <c r="BE154" s="5"/>
      <c r="BF154" s="5"/>
      <c r="BG154" s="5"/>
      <c r="BH154" s="5"/>
      <c r="BI154" s="5"/>
    </row>
    <row r="155" spans="1:62" customFormat="1">
      <c r="A155" s="114">
        <v>246</v>
      </c>
      <c r="B155" s="114" t="s">
        <v>273</v>
      </c>
      <c r="C155" s="114" t="s">
        <v>1974</v>
      </c>
      <c r="D155" s="113" t="s">
        <v>98</v>
      </c>
      <c r="E155" s="113" t="s">
        <v>49</v>
      </c>
      <c r="F155" s="118" t="s">
        <v>2031</v>
      </c>
      <c r="G155" s="113" t="s">
        <v>1479</v>
      </c>
      <c r="H155" s="113" t="s">
        <v>273</v>
      </c>
      <c r="I155" s="113">
        <v>11</v>
      </c>
      <c r="J155" s="113" t="s">
        <v>1109</v>
      </c>
      <c r="K155" s="113" t="s">
        <v>1968</v>
      </c>
      <c r="L155" s="115"/>
      <c r="M155" s="115"/>
      <c r="N155" s="115"/>
      <c r="O155" s="115"/>
      <c r="P155" s="115"/>
      <c r="Q155" s="115"/>
      <c r="R155" s="115"/>
      <c r="S155" s="113">
        <v>300</v>
      </c>
      <c r="T155" s="113">
        <v>50</v>
      </c>
      <c r="U155" s="113">
        <v>64</v>
      </c>
      <c r="V155" s="113">
        <v>50</v>
      </c>
      <c r="W155" s="113">
        <v>45</v>
      </c>
      <c r="X155" s="113">
        <v>50</v>
      </c>
      <c r="Y155" s="113">
        <v>41</v>
      </c>
      <c r="Z155" s="116">
        <v>10</v>
      </c>
      <c r="AA155" s="116">
        <v>5</v>
      </c>
      <c r="AB155" s="116">
        <v>4</v>
      </c>
      <c r="AC155" s="117">
        <f t="shared" si="2"/>
        <v>19</v>
      </c>
      <c r="AD155" s="113" t="s">
        <v>1546</v>
      </c>
      <c r="AE155" s="113"/>
      <c r="AF155" s="113"/>
      <c r="AG155" s="113"/>
      <c r="AH155" s="113"/>
      <c r="AI155" s="113"/>
      <c r="AJ155" s="113"/>
      <c r="AK155" s="113"/>
      <c r="AL155" s="113"/>
      <c r="AM155" s="118"/>
      <c r="AN155" s="113"/>
      <c r="AO155" s="113"/>
      <c r="AP155" s="113"/>
      <c r="AR155" s="5"/>
      <c r="AS155" s="5"/>
      <c r="AT155" s="5"/>
      <c r="AU155" s="5"/>
      <c r="AV155" s="5"/>
      <c r="AW155" s="5"/>
      <c r="AX155" s="5"/>
      <c r="AY155" s="5"/>
      <c r="AZ155" s="5"/>
      <c r="BA155" s="5"/>
      <c r="BB155" s="5"/>
      <c r="BC155" s="5"/>
      <c r="BD155" s="5"/>
      <c r="BE155" s="5"/>
      <c r="BF155" s="5"/>
      <c r="BG155" s="5"/>
      <c r="BH155" s="5"/>
      <c r="BI155" s="5"/>
    </row>
    <row r="156" spans="1:62">
      <c r="A156" s="114">
        <v>239</v>
      </c>
      <c r="B156" s="114" t="s">
        <v>266</v>
      </c>
      <c r="C156" s="114" t="s">
        <v>1974</v>
      </c>
      <c r="D156" s="113" t="s">
        <v>46</v>
      </c>
      <c r="E156" s="113"/>
      <c r="F156" s="118" t="s">
        <v>2031</v>
      </c>
      <c r="G156" s="113" t="s">
        <v>1479</v>
      </c>
      <c r="H156" s="113" t="s">
        <v>266</v>
      </c>
      <c r="I156" s="113">
        <v>11</v>
      </c>
      <c r="J156" s="113" t="s">
        <v>1109</v>
      </c>
      <c r="K156" s="113" t="s">
        <v>1968</v>
      </c>
      <c r="L156" s="115"/>
      <c r="M156" s="115"/>
      <c r="N156" s="115"/>
      <c r="O156" s="115"/>
      <c r="P156" s="115"/>
      <c r="Q156" s="115"/>
      <c r="R156" s="115"/>
      <c r="S156" s="113">
        <v>360</v>
      </c>
      <c r="T156" s="113">
        <v>45</v>
      </c>
      <c r="U156" s="113">
        <v>63</v>
      </c>
      <c r="V156" s="113">
        <v>37</v>
      </c>
      <c r="W156" s="113">
        <v>65</v>
      </c>
      <c r="X156" s="113">
        <v>55</v>
      </c>
      <c r="Y156" s="113">
        <v>95</v>
      </c>
      <c r="Z156" s="116">
        <v>9</v>
      </c>
      <c r="AA156" s="116">
        <v>6</v>
      </c>
      <c r="AB156" s="116">
        <v>10</v>
      </c>
      <c r="AC156" s="117">
        <f t="shared" si="2"/>
        <v>25</v>
      </c>
      <c r="AD156" s="113" t="s">
        <v>1545</v>
      </c>
      <c r="AE156" s="113"/>
      <c r="AF156" s="113"/>
      <c r="AG156" s="113"/>
      <c r="AH156" s="113"/>
      <c r="AI156" s="113"/>
      <c r="AJ156" s="113"/>
      <c r="AK156" s="113"/>
      <c r="AL156" s="113"/>
      <c r="AM156" s="118"/>
      <c r="AN156" s="113"/>
      <c r="AO156" s="113"/>
      <c r="AP156" s="113"/>
      <c r="BJ156"/>
    </row>
    <row r="157" spans="1:62" customFormat="1">
      <c r="A157" s="113">
        <v>8</v>
      </c>
      <c r="B157" s="113" t="s">
        <v>26</v>
      </c>
      <c r="C157" s="113" t="s">
        <v>1973</v>
      </c>
      <c r="D157" s="113" t="s">
        <v>25</v>
      </c>
      <c r="E157" s="113"/>
      <c r="F157" s="118" t="s">
        <v>2030</v>
      </c>
      <c r="G157" s="113" t="s">
        <v>1478</v>
      </c>
      <c r="H157" s="113" t="s">
        <v>24</v>
      </c>
      <c r="I157" s="113">
        <v>21</v>
      </c>
      <c r="J157" s="113" t="s">
        <v>24</v>
      </c>
      <c r="K157" s="113" t="s">
        <v>1968</v>
      </c>
      <c r="L157" s="115"/>
      <c r="M157" s="115"/>
      <c r="N157" s="115"/>
      <c r="O157" s="115"/>
      <c r="P157" s="115"/>
      <c r="Q157" s="115"/>
      <c r="R157" s="115"/>
      <c r="S157" s="113">
        <v>405</v>
      </c>
      <c r="T157" s="113">
        <v>59</v>
      </c>
      <c r="U157" s="113">
        <v>63</v>
      </c>
      <c r="V157" s="113">
        <v>80</v>
      </c>
      <c r="W157" s="113">
        <v>65</v>
      </c>
      <c r="X157" s="113">
        <v>80</v>
      </c>
      <c r="Y157" s="113">
        <v>58</v>
      </c>
      <c r="Z157" s="116">
        <v>15</v>
      </c>
      <c r="AA157" s="116">
        <v>6</v>
      </c>
      <c r="AB157" s="116">
        <v>6</v>
      </c>
      <c r="AC157" s="117">
        <f t="shared" si="2"/>
        <v>27</v>
      </c>
      <c r="AD157" s="113" t="s">
        <v>946</v>
      </c>
      <c r="AE157" s="113" t="s">
        <v>1000</v>
      </c>
      <c r="AF157" s="113" t="s">
        <v>946</v>
      </c>
      <c r="AG157" s="113"/>
      <c r="AH157" s="113" t="s">
        <v>946</v>
      </c>
      <c r="AI157" s="113" t="s">
        <v>1019</v>
      </c>
      <c r="AJ157" s="113" t="s">
        <v>1318</v>
      </c>
      <c r="AK157" s="113" t="s">
        <v>1331</v>
      </c>
      <c r="AL157" s="113" t="s">
        <v>1364</v>
      </c>
      <c r="AM157" s="113" t="s">
        <v>1026</v>
      </c>
      <c r="AN157" s="113" t="s">
        <v>1025</v>
      </c>
      <c r="AO157" s="113" t="s">
        <v>1026</v>
      </c>
      <c r="AP157" s="113" t="s">
        <v>1025</v>
      </c>
      <c r="AR157" s="5"/>
      <c r="AS157" s="5"/>
      <c r="AT157" s="5"/>
      <c r="AU157" s="5"/>
      <c r="AV157" s="5"/>
      <c r="AW157" s="5"/>
      <c r="AX157" s="5"/>
      <c r="AY157" s="5"/>
      <c r="AZ157" s="5"/>
      <c r="BA157" s="5"/>
      <c r="BB157" s="5"/>
      <c r="BC157" s="5"/>
      <c r="BD157" s="5"/>
      <c r="BE157" s="5"/>
      <c r="BF157" s="5"/>
      <c r="BG157" s="5"/>
      <c r="BH157" s="5"/>
      <c r="BI157" s="5"/>
    </row>
    <row r="158" spans="1:62" customFormat="1">
      <c r="A158" s="113">
        <v>2</v>
      </c>
      <c r="B158" s="113" t="s">
        <v>16</v>
      </c>
      <c r="C158" s="113" t="s">
        <v>1973</v>
      </c>
      <c r="D158" s="113" t="s">
        <v>14</v>
      </c>
      <c r="E158" s="113" t="s">
        <v>15</v>
      </c>
      <c r="F158" s="118" t="s">
        <v>2030</v>
      </c>
      <c r="G158" s="113" t="s">
        <v>1478</v>
      </c>
      <c r="H158" s="113" t="s">
        <v>13</v>
      </c>
      <c r="I158" s="113">
        <v>21</v>
      </c>
      <c r="J158" s="113" t="s">
        <v>13</v>
      </c>
      <c r="K158" s="113" t="s">
        <v>1968</v>
      </c>
      <c r="L158" s="115"/>
      <c r="M158" s="115"/>
      <c r="N158" s="115"/>
      <c r="O158" s="115"/>
      <c r="P158" s="115"/>
      <c r="Q158" s="115"/>
      <c r="R158" s="115"/>
      <c r="S158" s="113">
        <v>405</v>
      </c>
      <c r="T158" s="113">
        <v>60</v>
      </c>
      <c r="U158" s="113">
        <v>62</v>
      </c>
      <c r="V158" s="113">
        <v>63</v>
      </c>
      <c r="W158" s="113">
        <v>80</v>
      </c>
      <c r="X158" s="113">
        <v>80</v>
      </c>
      <c r="Y158" s="113">
        <v>60</v>
      </c>
      <c r="Z158" s="116">
        <v>14</v>
      </c>
      <c r="AA158" s="116">
        <v>6</v>
      </c>
      <c r="AB158" s="116">
        <v>6</v>
      </c>
      <c r="AC158" s="117">
        <f t="shared" si="2"/>
        <v>26</v>
      </c>
      <c r="AD158" s="113" t="s">
        <v>946</v>
      </c>
      <c r="AE158" s="113" t="s">
        <v>999</v>
      </c>
      <c r="AF158" s="113" t="s">
        <v>946</v>
      </c>
      <c r="AG158" s="113" t="s">
        <v>1600</v>
      </c>
      <c r="AH158" s="113" t="s">
        <v>946</v>
      </c>
      <c r="AI158" s="113" t="s">
        <v>1003</v>
      </c>
      <c r="AJ158" s="113" t="s">
        <v>1015</v>
      </c>
      <c r="AK158" s="113" t="s">
        <v>1574</v>
      </c>
      <c r="AL158" s="113" t="s">
        <v>1243</v>
      </c>
      <c r="AM158" s="113" t="s">
        <v>1028</v>
      </c>
      <c r="AN158" s="113" t="s">
        <v>1027</v>
      </c>
      <c r="AO158" s="113" t="s">
        <v>1028</v>
      </c>
      <c r="AP158" s="113" t="s">
        <v>1027</v>
      </c>
      <c r="AR158" s="5"/>
      <c r="AS158" s="5"/>
      <c r="AT158" s="5"/>
      <c r="AU158" s="5"/>
      <c r="AV158" s="5"/>
      <c r="AW158" s="5"/>
      <c r="AX158" s="5"/>
      <c r="AY158" s="5"/>
      <c r="AZ158" s="5"/>
      <c r="BA158" s="5"/>
      <c r="BB158" s="5"/>
      <c r="BC158" s="5"/>
      <c r="BD158" s="5"/>
      <c r="BE158" s="5"/>
      <c r="BF158" s="5"/>
      <c r="BG158" s="5"/>
      <c r="BH158" s="5"/>
      <c r="BI158" s="5"/>
    </row>
    <row r="159" spans="1:62" customFormat="1">
      <c r="A159" s="114">
        <v>153</v>
      </c>
      <c r="B159" s="114" t="s">
        <v>181</v>
      </c>
      <c r="C159" s="114" t="s">
        <v>1974</v>
      </c>
      <c r="D159" s="113" t="s">
        <v>14</v>
      </c>
      <c r="E159" s="113"/>
      <c r="F159" s="118" t="s">
        <v>2030</v>
      </c>
      <c r="G159" s="113" t="s">
        <v>1478</v>
      </c>
      <c r="H159" s="113" t="s">
        <v>180</v>
      </c>
      <c r="I159" s="113">
        <v>21</v>
      </c>
      <c r="J159" s="113" t="s">
        <v>180</v>
      </c>
      <c r="K159" s="113" t="s">
        <v>1968</v>
      </c>
      <c r="L159" s="115"/>
      <c r="M159" s="115"/>
      <c r="N159" s="115"/>
      <c r="O159" s="115"/>
      <c r="P159" s="115"/>
      <c r="Q159" s="115"/>
      <c r="R159" s="115"/>
      <c r="S159" s="113">
        <v>405</v>
      </c>
      <c r="T159" s="113">
        <v>60</v>
      </c>
      <c r="U159" s="113">
        <v>62</v>
      </c>
      <c r="V159" s="113">
        <v>80</v>
      </c>
      <c r="W159" s="113">
        <v>63</v>
      </c>
      <c r="X159" s="113">
        <v>80</v>
      </c>
      <c r="Y159" s="113">
        <v>60</v>
      </c>
      <c r="Z159" s="116">
        <v>15</v>
      </c>
      <c r="AA159" s="116">
        <v>6</v>
      </c>
      <c r="AB159" s="116">
        <v>6</v>
      </c>
      <c r="AC159" s="117">
        <f t="shared" si="2"/>
        <v>27</v>
      </c>
      <c r="AD159" s="113" t="s">
        <v>946</v>
      </c>
      <c r="AE159" s="113"/>
      <c r="AF159" s="113"/>
      <c r="AG159" s="113"/>
      <c r="AH159" s="113"/>
      <c r="AI159" s="113"/>
      <c r="AJ159" s="113"/>
      <c r="AK159" s="113"/>
      <c r="AL159" s="113"/>
      <c r="AM159" s="118"/>
      <c r="AN159" s="113"/>
      <c r="AO159" s="113"/>
      <c r="AP159" s="113"/>
      <c r="AR159" s="5"/>
      <c r="AS159" s="5"/>
      <c r="AT159" s="5"/>
      <c r="AU159" s="5"/>
      <c r="AV159" s="5"/>
      <c r="AW159" s="5"/>
      <c r="AX159" s="5"/>
      <c r="AY159" s="5"/>
      <c r="AZ159" s="5"/>
      <c r="BA159" s="5"/>
      <c r="BB159" s="5"/>
      <c r="BC159" s="5"/>
      <c r="BD159" s="5"/>
      <c r="BE159" s="5"/>
      <c r="BF159" s="5"/>
      <c r="BG159" s="5"/>
      <c r="BH159" s="5"/>
      <c r="BI159" s="5"/>
    </row>
    <row r="160" spans="1:62" customFormat="1">
      <c r="A160" s="113">
        <v>30</v>
      </c>
      <c r="B160" s="113" t="s">
        <v>51</v>
      </c>
      <c r="C160" s="113" t="s">
        <v>1973</v>
      </c>
      <c r="D160" s="113" t="s">
        <v>15</v>
      </c>
      <c r="E160" s="113"/>
      <c r="F160" s="118" t="s">
        <v>2031</v>
      </c>
      <c r="G160" s="113" t="s">
        <v>1478</v>
      </c>
      <c r="H160" s="113" t="s">
        <v>768</v>
      </c>
      <c r="I160" s="113">
        <v>21</v>
      </c>
      <c r="J160" s="113" t="s">
        <v>768</v>
      </c>
      <c r="K160" s="113" t="s">
        <v>1803</v>
      </c>
      <c r="L160" s="115"/>
      <c r="M160" s="115"/>
      <c r="N160" s="115"/>
      <c r="O160" s="115"/>
      <c r="P160" s="115"/>
      <c r="Q160" s="115"/>
      <c r="R160" s="115"/>
      <c r="S160" s="113">
        <v>365</v>
      </c>
      <c r="T160" s="113">
        <v>70</v>
      </c>
      <c r="U160" s="113">
        <v>62</v>
      </c>
      <c r="V160" s="113">
        <v>67</v>
      </c>
      <c r="W160" s="113">
        <v>55</v>
      </c>
      <c r="X160" s="113">
        <v>55</v>
      </c>
      <c r="Y160" s="113">
        <v>56</v>
      </c>
      <c r="Z160" s="116">
        <v>13</v>
      </c>
      <c r="AA160" s="116">
        <v>6</v>
      </c>
      <c r="AB160" s="116">
        <v>6</v>
      </c>
      <c r="AC160" s="117">
        <f t="shared" si="2"/>
        <v>25</v>
      </c>
      <c r="AD160" s="113" t="s">
        <v>1545</v>
      </c>
      <c r="AE160" s="113" t="s">
        <v>1132</v>
      </c>
      <c r="AF160" s="113" t="s">
        <v>946</v>
      </c>
      <c r="AG160" s="113"/>
      <c r="AH160" s="113" t="s">
        <v>946</v>
      </c>
      <c r="AI160" s="113" t="s">
        <v>1017</v>
      </c>
      <c r="AJ160" s="113" t="s">
        <v>1225</v>
      </c>
      <c r="AK160" s="113" t="s">
        <v>1639</v>
      </c>
      <c r="AL160" s="113" t="s">
        <v>1239</v>
      </c>
      <c r="AM160" s="113" t="s">
        <v>1226</v>
      </c>
      <c r="AN160" s="113" t="s">
        <v>1227</v>
      </c>
      <c r="AO160" s="113" t="s">
        <v>1226</v>
      </c>
      <c r="AP160" s="113" t="s">
        <v>1227</v>
      </c>
      <c r="AR160" s="5"/>
      <c r="AS160" s="5"/>
      <c r="AT160" s="5"/>
      <c r="AU160" s="5"/>
      <c r="AV160" s="5"/>
      <c r="AW160" s="5"/>
      <c r="AX160" s="5"/>
      <c r="AY160" s="5"/>
      <c r="AZ160" s="5"/>
      <c r="BA160" s="5"/>
      <c r="BB160" s="5"/>
      <c r="BC160" s="5"/>
      <c r="BD160" s="5"/>
      <c r="BE160" s="5"/>
      <c r="BF160" s="5"/>
      <c r="BG160" s="5"/>
      <c r="BH160" s="5"/>
      <c r="BI160" s="5"/>
    </row>
    <row r="161" spans="1:62" customFormat="1">
      <c r="A161" s="113">
        <v>23</v>
      </c>
      <c r="B161" s="113" t="s">
        <v>43</v>
      </c>
      <c r="C161" s="113" t="s">
        <v>1973</v>
      </c>
      <c r="D161" s="113" t="s">
        <v>15</v>
      </c>
      <c r="E161" s="113"/>
      <c r="F161" s="118" t="s">
        <v>2031</v>
      </c>
      <c r="G161" s="113" t="s">
        <v>1479</v>
      </c>
      <c r="H161" s="113" t="s">
        <v>43</v>
      </c>
      <c r="I161" s="113">
        <v>11</v>
      </c>
      <c r="J161" s="113" t="s">
        <v>1109</v>
      </c>
      <c r="K161" s="115" t="s">
        <v>1968</v>
      </c>
      <c r="L161" s="115"/>
      <c r="M161" s="115"/>
      <c r="N161" s="115"/>
      <c r="O161" s="115"/>
      <c r="P161" s="115"/>
      <c r="Q161" s="115"/>
      <c r="R161" s="115"/>
      <c r="S161" s="113">
        <v>288</v>
      </c>
      <c r="T161" s="113">
        <v>35</v>
      </c>
      <c r="U161" s="113">
        <v>60</v>
      </c>
      <c r="V161" s="113">
        <v>44</v>
      </c>
      <c r="W161" s="113">
        <v>40</v>
      </c>
      <c r="X161" s="113">
        <v>54</v>
      </c>
      <c r="Y161" s="113">
        <v>55</v>
      </c>
      <c r="Z161" s="116">
        <v>8.8666666666666671</v>
      </c>
      <c r="AA161" s="116">
        <v>4</v>
      </c>
      <c r="AB161" s="116">
        <v>6</v>
      </c>
      <c r="AC161" s="117">
        <f t="shared" si="2"/>
        <v>18.866666666666667</v>
      </c>
      <c r="AD161" s="113" t="s">
        <v>1546</v>
      </c>
      <c r="AE161" s="113" t="s">
        <v>978</v>
      </c>
      <c r="AF161" s="113" t="s">
        <v>946</v>
      </c>
      <c r="AG161" s="113"/>
      <c r="AH161" s="113" t="s">
        <v>946</v>
      </c>
      <c r="AI161" s="113" t="s">
        <v>1222</v>
      </c>
      <c r="AJ161" s="113" t="s">
        <v>1229</v>
      </c>
      <c r="AK161" s="113" t="s">
        <v>1017</v>
      </c>
      <c r="AL161" s="113" t="s">
        <v>1223</v>
      </c>
      <c r="AM161" s="113" t="s">
        <v>1226</v>
      </c>
      <c r="AN161" s="113" t="s">
        <v>1227</v>
      </c>
      <c r="AO161" s="113" t="s">
        <v>1226</v>
      </c>
      <c r="AP161" s="113" t="s">
        <v>1227</v>
      </c>
      <c r="AR161" s="5"/>
      <c r="AS161" s="5"/>
      <c r="AT161" s="5"/>
      <c r="AU161" s="5"/>
      <c r="AV161" s="5"/>
      <c r="AW161" s="5"/>
      <c r="AX161" s="5"/>
      <c r="AY161" s="5"/>
      <c r="AZ161" s="5"/>
      <c r="BA161" s="5"/>
      <c r="BB161" s="5"/>
      <c r="BC161" s="5"/>
      <c r="BD161" s="5"/>
      <c r="BE161" s="5"/>
      <c r="BF161" s="5"/>
      <c r="BG161" s="5"/>
      <c r="BH161" s="5"/>
      <c r="BI161" s="5"/>
    </row>
    <row r="162" spans="1:62" customFormat="1">
      <c r="A162" s="114">
        <v>228</v>
      </c>
      <c r="B162" s="114" t="s">
        <v>255</v>
      </c>
      <c r="C162" s="114" t="s">
        <v>1974</v>
      </c>
      <c r="D162" s="113" t="s">
        <v>158</v>
      </c>
      <c r="E162" s="113" t="s">
        <v>19</v>
      </c>
      <c r="F162" s="118" t="s">
        <v>2031</v>
      </c>
      <c r="G162" s="113" t="s">
        <v>1479</v>
      </c>
      <c r="H162" s="113" t="s">
        <v>255</v>
      </c>
      <c r="I162" s="113">
        <v>11</v>
      </c>
      <c r="J162" s="113" t="s">
        <v>1109</v>
      </c>
      <c r="K162" s="113" t="s">
        <v>1968</v>
      </c>
      <c r="L162" s="115"/>
      <c r="M162" s="115"/>
      <c r="N162" s="115"/>
      <c r="O162" s="115"/>
      <c r="P162" s="115"/>
      <c r="Q162" s="115"/>
      <c r="R162" s="115"/>
      <c r="S162" s="113">
        <v>330</v>
      </c>
      <c r="T162" s="113">
        <v>45</v>
      </c>
      <c r="U162" s="113">
        <v>60</v>
      </c>
      <c r="V162" s="113">
        <v>30</v>
      </c>
      <c r="W162" s="113">
        <v>80</v>
      </c>
      <c r="X162" s="113">
        <v>50</v>
      </c>
      <c r="Y162" s="113">
        <v>65</v>
      </c>
      <c r="Z162" s="116">
        <v>8</v>
      </c>
      <c r="AA162" s="116">
        <v>7</v>
      </c>
      <c r="AB162" s="116">
        <v>7</v>
      </c>
      <c r="AC162" s="117">
        <f t="shared" si="2"/>
        <v>22</v>
      </c>
      <c r="AD162" s="113" t="s">
        <v>1545</v>
      </c>
      <c r="AE162" s="113"/>
      <c r="AF162" s="113"/>
      <c r="AG162" s="113"/>
      <c r="AH162" s="113"/>
      <c r="AI162" s="113"/>
      <c r="AJ162" s="113"/>
      <c r="AK162" s="113"/>
      <c r="AL162" s="113"/>
      <c r="AM162" s="118"/>
      <c r="AN162" s="113"/>
      <c r="AO162" s="113"/>
      <c r="AP162" s="113"/>
      <c r="AR162" s="5"/>
      <c r="AS162" s="5"/>
      <c r="AT162" s="5"/>
      <c r="AU162" s="5"/>
      <c r="AV162" s="5"/>
      <c r="AW162" s="5"/>
      <c r="AX162" s="5"/>
      <c r="AY162" s="5"/>
      <c r="AZ162" s="5"/>
      <c r="BA162" s="5"/>
      <c r="BB162" s="5"/>
      <c r="BC162" s="5"/>
      <c r="BD162" s="5"/>
      <c r="BE162" s="5"/>
      <c r="BF162" s="5"/>
      <c r="BG162" s="5"/>
      <c r="BH162" s="5"/>
      <c r="BI162" s="5"/>
    </row>
    <row r="163" spans="1:62" customFormat="1">
      <c r="A163" s="113">
        <v>82</v>
      </c>
      <c r="B163" s="113" t="s">
        <v>107</v>
      </c>
      <c r="C163" s="113" t="s">
        <v>1973</v>
      </c>
      <c r="D163" s="113" t="s">
        <v>46</v>
      </c>
      <c r="E163" s="113" t="s">
        <v>106</v>
      </c>
      <c r="F163" s="118" t="s">
        <v>2031</v>
      </c>
      <c r="G163" s="113" t="s">
        <v>1477</v>
      </c>
      <c r="H163" s="113" t="s">
        <v>105</v>
      </c>
      <c r="I163" s="113">
        <v>21</v>
      </c>
      <c r="J163" s="113" t="s">
        <v>105</v>
      </c>
      <c r="K163" s="113" t="s">
        <v>1804</v>
      </c>
      <c r="L163" s="115"/>
      <c r="M163" s="115"/>
      <c r="N163" s="115"/>
      <c r="O163" s="115"/>
      <c r="P163" s="115"/>
      <c r="Q163" s="115"/>
      <c r="R163" s="115"/>
      <c r="S163" s="113">
        <v>465</v>
      </c>
      <c r="T163" s="113">
        <v>50</v>
      </c>
      <c r="U163" s="113">
        <v>60</v>
      </c>
      <c r="V163" s="113">
        <v>95</v>
      </c>
      <c r="W163" s="113">
        <v>120</v>
      </c>
      <c r="X163" s="113">
        <v>70</v>
      </c>
      <c r="Y163" s="113">
        <v>70</v>
      </c>
      <c r="Z163" s="116">
        <v>14</v>
      </c>
      <c r="AA163" s="116">
        <v>7.5</v>
      </c>
      <c r="AB163" s="116">
        <v>7</v>
      </c>
      <c r="AC163" s="117">
        <f t="shared" si="2"/>
        <v>28.5</v>
      </c>
      <c r="AD163" s="113" t="s">
        <v>946</v>
      </c>
      <c r="AE163" s="113" t="s">
        <v>1206</v>
      </c>
      <c r="AF163" s="113" t="s">
        <v>946</v>
      </c>
      <c r="AG163" s="113" t="s">
        <v>1724</v>
      </c>
      <c r="AH163" s="113" t="s">
        <v>946</v>
      </c>
      <c r="AI163" s="113" t="s">
        <v>1723</v>
      </c>
      <c r="AJ163" s="113" t="s">
        <v>1353</v>
      </c>
      <c r="AK163" s="113" t="s">
        <v>1578</v>
      </c>
      <c r="AL163" s="113" t="s">
        <v>1705</v>
      </c>
      <c r="AM163" s="113" t="s">
        <v>1354</v>
      </c>
      <c r="AN163" s="113" t="s">
        <v>1355</v>
      </c>
      <c r="AO163" s="113" t="s">
        <v>1354</v>
      </c>
      <c r="AP163" s="113" t="s">
        <v>1355</v>
      </c>
      <c r="AR163" s="5"/>
      <c r="AS163" s="5"/>
      <c r="AT163" s="5"/>
      <c r="AU163" s="5"/>
      <c r="AV163" s="5"/>
      <c r="AW163" s="5"/>
      <c r="AX163" s="5"/>
      <c r="AY163" s="5"/>
      <c r="AZ163" s="5"/>
      <c r="BA163" s="5"/>
      <c r="BB163" s="5"/>
      <c r="BC163" s="5"/>
      <c r="BD163" s="5"/>
      <c r="BE163" s="5"/>
      <c r="BF163" s="5"/>
      <c r="BG163" s="5"/>
      <c r="BH163" s="5"/>
      <c r="BI163" s="5"/>
    </row>
    <row r="164" spans="1:62" customFormat="1">
      <c r="A164" s="114">
        <v>200</v>
      </c>
      <c r="B164" s="114" t="s">
        <v>227</v>
      </c>
      <c r="C164" s="114" t="s">
        <v>1974</v>
      </c>
      <c r="D164" s="113" t="s">
        <v>119</v>
      </c>
      <c r="E164" s="113"/>
      <c r="F164" s="118" t="s">
        <v>2031</v>
      </c>
      <c r="G164" s="113" t="s">
        <v>1477</v>
      </c>
      <c r="H164" s="113" t="s">
        <v>227</v>
      </c>
      <c r="I164" s="113">
        <v>11</v>
      </c>
      <c r="J164" s="113" t="s">
        <v>1109</v>
      </c>
      <c r="K164" s="113" t="s">
        <v>1804</v>
      </c>
      <c r="L164" s="115"/>
      <c r="M164" s="115"/>
      <c r="N164" s="115"/>
      <c r="O164" s="115"/>
      <c r="P164" s="115"/>
      <c r="Q164" s="115"/>
      <c r="R164" s="115"/>
      <c r="S164" s="113">
        <v>435</v>
      </c>
      <c r="T164" s="113">
        <v>60</v>
      </c>
      <c r="U164" s="113">
        <v>60</v>
      </c>
      <c r="V164" s="113">
        <v>60</v>
      </c>
      <c r="W164" s="113">
        <v>85</v>
      </c>
      <c r="X164" s="113">
        <v>85</v>
      </c>
      <c r="Y164" s="113">
        <v>85</v>
      </c>
      <c r="Z164" s="116">
        <v>14</v>
      </c>
      <c r="AA164" s="116">
        <v>7</v>
      </c>
      <c r="AB164" s="116">
        <v>9</v>
      </c>
      <c r="AC164" s="117">
        <f t="shared" si="2"/>
        <v>30</v>
      </c>
      <c r="AD164" s="113" t="s">
        <v>1538</v>
      </c>
      <c r="AE164" s="113"/>
      <c r="AF164" s="113"/>
      <c r="AG164" s="113"/>
      <c r="AH164" s="113"/>
      <c r="AI164" s="113"/>
      <c r="AJ164" s="113"/>
      <c r="AK164" s="113"/>
      <c r="AL164" s="113"/>
      <c r="AM164" s="118"/>
      <c r="AN164" s="113"/>
      <c r="AO164" s="113"/>
      <c r="AP164" s="113"/>
      <c r="AR164" s="5"/>
      <c r="AS164" s="5"/>
      <c r="AT164" s="5"/>
      <c r="AU164" s="5"/>
      <c r="AV164" s="5"/>
      <c r="AW164" s="5"/>
      <c r="AX164" s="5"/>
      <c r="AY164" s="5"/>
      <c r="AZ164" s="5"/>
      <c r="BA164" s="5"/>
      <c r="BB164" s="5"/>
      <c r="BC164" s="5"/>
      <c r="BD164" s="5"/>
      <c r="BE164" s="5"/>
      <c r="BF164" s="5"/>
      <c r="BG164" s="5"/>
      <c r="BH164" s="5"/>
      <c r="BI164" s="5"/>
      <c r="BJ164" s="5"/>
    </row>
    <row r="165" spans="1:62">
      <c r="A165" s="113">
        <v>139</v>
      </c>
      <c r="B165" s="113" t="s">
        <v>167</v>
      </c>
      <c r="C165" s="113" t="s">
        <v>1973</v>
      </c>
      <c r="D165" s="113" t="s">
        <v>25</v>
      </c>
      <c r="E165" s="113" t="s">
        <v>98</v>
      </c>
      <c r="F165" s="118" t="s">
        <v>2031</v>
      </c>
      <c r="G165" s="113" t="s">
        <v>1477</v>
      </c>
      <c r="H165" s="113" t="s">
        <v>166</v>
      </c>
      <c r="I165" s="113">
        <v>21</v>
      </c>
      <c r="J165" s="113" t="s">
        <v>166</v>
      </c>
      <c r="K165" s="113" t="s">
        <v>1804</v>
      </c>
      <c r="L165" s="115"/>
      <c r="M165" s="115"/>
      <c r="N165" s="115"/>
      <c r="O165" s="115"/>
      <c r="P165" s="115"/>
      <c r="Q165" s="115"/>
      <c r="R165" s="115"/>
      <c r="S165" s="113">
        <v>495</v>
      </c>
      <c r="T165" s="113">
        <v>70</v>
      </c>
      <c r="U165" s="113">
        <v>60</v>
      </c>
      <c r="V165" s="113">
        <v>125</v>
      </c>
      <c r="W165" s="113">
        <v>115</v>
      </c>
      <c r="X165" s="113">
        <v>70</v>
      </c>
      <c r="Y165" s="113">
        <v>55</v>
      </c>
      <c r="Z165" s="116">
        <v>18</v>
      </c>
      <c r="AA165" s="116">
        <v>7.5</v>
      </c>
      <c r="AB165" s="116">
        <v>6</v>
      </c>
      <c r="AC165" s="117">
        <f t="shared" si="2"/>
        <v>31.5</v>
      </c>
      <c r="AD165" s="113" t="s">
        <v>1538</v>
      </c>
      <c r="AE165" s="113" t="s">
        <v>1077</v>
      </c>
      <c r="AF165" s="113" t="s">
        <v>943</v>
      </c>
      <c r="AG165" s="113"/>
      <c r="AH165" s="113" t="s">
        <v>943</v>
      </c>
      <c r="AI165" s="113" t="s">
        <v>1246</v>
      </c>
      <c r="AJ165" s="113" t="s">
        <v>1018</v>
      </c>
      <c r="AK165" s="113" t="s">
        <v>1076</v>
      </c>
      <c r="AL165" s="113" t="s">
        <v>1614</v>
      </c>
      <c r="AM165" s="113" t="s">
        <v>1323</v>
      </c>
      <c r="AN165" s="113" t="s">
        <v>1322</v>
      </c>
      <c r="AO165" s="113" t="s">
        <v>1323</v>
      </c>
      <c r="AP165" s="113" t="s">
        <v>1322</v>
      </c>
      <c r="BJ165"/>
    </row>
    <row r="166" spans="1:62" customFormat="1">
      <c r="A166" s="114">
        <v>231</v>
      </c>
      <c r="B166" s="114" t="s">
        <v>258</v>
      </c>
      <c r="C166" s="114" t="s">
        <v>1974</v>
      </c>
      <c r="D166" s="113" t="s">
        <v>49</v>
      </c>
      <c r="E166" s="113"/>
      <c r="F166" s="118" t="s">
        <v>2031</v>
      </c>
      <c r="G166" s="113" t="s">
        <v>1479</v>
      </c>
      <c r="H166" s="113" t="s">
        <v>258</v>
      </c>
      <c r="I166" s="113">
        <v>11</v>
      </c>
      <c r="J166" s="113" t="s">
        <v>1109</v>
      </c>
      <c r="K166" s="113" t="s">
        <v>1968</v>
      </c>
      <c r="L166" s="115"/>
      <c r="M166" s="115"/>
      <c r="N166" s="115"/>
      <c r="O166" s="115"/>
      <c r="P166" s="115"/>
      <c r="Q166" s="115"/>
      <c r="R166" s="115"/>
      <c r="S166" s="113">
        <v>330</v>
      </c>
      <c r="T166" s="113">
        <v>90</v>
      </c>
      <c r="U166" s="113">
        <v>60</v>
      </c>
      <c r="V166" s="113">
        <v>60</v>
      </c>
      <c r="W166" s="113">
        <v>40</v>
      </c>
      <c r="X166" s="113">
        <v>40</v>
      </c>
      <c r="Y166" s="113">
        <v>40</v>
      </c>
      <c r="Z166" s="116">
        <v>13</v>
      </c>
      <c r="AA166" s="116">
        <v>5</v>
      </c>
      <c r="AB166" s="116">
        <v>4</v>
      </c>
      <c r="AC166" s="117">
        <f t="shared" si="2"/>
        <v>22</v>
      </c>
      <c r="AD166" s="113" t="s">
        <v>1545</v>
      </c>
      <c r="AE166" s="113"/>
      <c r="AF166" s="113"/>
      <c r="AG166" s="113"/>
      <c r="AH166" s="113"/>
      <c r="AI166" s="113"/>
      <c r="AJ166" s="113"/>
      <c r="AK166" s="113"/>
      <c r="AL166" s="113"/>
      <c r="AM166" s="118"/>
      <c r="AN166" s="113"/>
      <c r="AO166" s="113"/>
      <c r="AP166" s="113"/>
      <c r="AR166" s="5"/>
      <c r="AS166" s="5"/>
      <c r="AT166" s="5"/>
      <c r="AU166" s="5"/>
      <c r="AV166" s="5"/>
      <c r="AW166" s="5"/>
      <c r="AX166" s="5"/>
      <c r="AY166" s="5"/>
      <c r="AZ166" s="5"/>
      <c r="BA166" s="5"/>
      <c r="BB166" s="5"/>
      <c r="BC166" s="5"/>
      <c r="BD166" s="5"/>
      <c r="BE166" s="5"/>
      <c r="BF166" s="5"/>
      <c r="BG166" s="5"/>
      <c r="BH166" s="5"/>
      <c r="BI166" s="5"/>
    </row>
    <row r="167" spans="1:62" customFormat="1">
      <c r="A167" s="113">
        <v>17</v>
      </c>
      <c r="B167" s="113" t="s">
        <v>37</v>
      </c>
      <c r="C167" s="113" t="s">
        <v>1973</v>
      </c>
      <c r="D167" s="113" t="s">
        <v>22</v>
      </c>
      <c r="E167" s="113" t="s">
        <v>36</v>
      </c>
      <c r="F167" s="118" t="s">
        <v>2031</v>
      </c>
      <c r="G167" s="113" t="s">
        <v>1478</v>
      </c>
      <c r="H167" s="113" t="s">
        <v>35</v>
      </c>
      <c r="I167" s="113">
        <v>21</v>
      </c>
      <c r="J167" s="113" t="s">
        <v>35</v>
      </c>
      <c r="K167" s="113" t="s">
        <v>1968</v>
      </c>
      <c r="L167" s="115"/>
      <c r="M167" s="115"/>
      <c r="N167" s="115"/>
      <c r="O167" s="115"/>
      <c r="P167" s="115"/>
      <c r="Q167" s="115"/>
      <c r="R167" s="115"/>
      <c r="S167" s="113">
        <v>349</v>
      </c>
      <c r="T167" s="113">
        <v>63</v>
      </c>
      <c r="U167" s="113">
        <v>60</v>
      </c>
      <c r="V167" s="113">
        <v>55</v>
      </c>
      <c r="W167" s="113">
        <v>50</v>
      </c>
      <c r="X167" s="113">
        <v>50</v>
      </c>
      <c r="Y167" s="113">
        <v>71</v>
      </c>
      <c r="Z167" s="116">
        <v>11</v>
      </c>
      <c r="AA167" s="116">
        <v>5</v>
      </c>
      <c r="AB167" s="116">
        <v>7</v>
      </c>
      <c r="AC167" s="117">
        <f t="shared" si="2"/>
        <v>23</v>
      </c>
      <c r="AD167" s="113" t="s">
        <v>1545</v>
      </c>
      <c r="AE167" s="113" t="s">
        <v>991</v>
      </c>
      <c r="AF167" s="113" t="s">
        <v>946</v>
      </c>
      <c r="AG167" s="113"/>
      <c r="AH167" s="113" t="s">
        <v>946</v>
      </c>
      <c r="AI167" s="113" t="s">
        <v>1228</v>
      </c>
      <c r="AJ167" s="113" t="s">
        <v>1048</v>
      </c>
      <c r="AK167" s="113" t="s">
        <v>1626</v>
      </c>
      <c r="AL167" s="113" t="s">
        <v>1220</v>
      </c>
      <c r="AM167" s="113" t="s">
        <v>1044</v>
      </c>
      <c r="AN167" s="113" t="s">
        <v>1043</v>
      </c>
      <c r="AO167" s="113" t="s">
        <v>1044</v>
      </c>
      <c r="AP167" s="113" t="s">
        <v>1043</v>
      </c>
      <c r="AR167" s="5"/>
      <c r="AS167" s="5"/>
      <c r="AT167" s="5"/>
      <c r="AU167" s="5"/>
      <c r="AV167" s="5"/>
      <c r="AW167" s="5"/>
      <c r="AX167" s="5"/>
      <c r="AY167" s="5"/>
      <c r="AZ167" s="5"/>
      <c r="BA167" s="5"/>
      <c r="BB167" s="5"/>
      <c r="BC167" s="5"/>
      <c r="BD167" s="5"/>
      <c r="BE167" s="5"/>
      <c r="BF167" s="5"/>
      <c r="BG167" s="5"/>
      <c r="BH167" s="5"/>
      <c r="BI167" s="5"/>
    </row>
    <row r="168" spans="1:62" customFormat="1">
      <c r="A168" s="113">
        <v>137</v>
      </c>
      <c r="B168" s="113" t="s">
        <v>165</v>
      </c>
      <c r="C168" s="113" t="s">
        <v>1973</v>
      </c>
      <c r="D168" s="113" t="s">
        <v>36</v>
      </c>
      <c r="E168" s="113"/>
      <c r="F168" s="118" t="s">
        <v>2031</v>
      </c>
      <c r="G168" s="113" t="s">
        <v>1479</v>
      </c>
      <c r="H168" s="113" t="s">
        <v>165</v>
      </c>
      <c r="I168" s="113">
        <v>11</v>
      </c>
      <c r="J168" s="113" t="s">
        <v>1109</v>
      </c>
      <c r="K168" s="113" t="s">
        <v>1964</v>
      </c>
      <c r="L168" s="115"/>
      <c r="M168" s="115"/>
      <c r="N168" s="115"/>
      <c r="O168" s="115"/>
      <c r="P168" s="115"/>
      <c r="Q168" s="115"/>
      <c r="R168" s="115"/>
      <c r="S168" s="113">
        <v>395</v>
      </c>
      <c r="T168" s="113">
        <v>65</v>
      </c>
      <c r="U168" s="113">
        <v>60</v>
      </c>
      <c r="V168" s="113">
        <v>70</v>
      </c>
      <c r="W168" s="113">
        <v>85</v>
      </c>
      <c r="X168" s="113">
        <v>75</v>
      </c>
      <c r="Y168" s="113">
        <v>40</v>
      </c>
      <c r="Z168" s="116">
        <v>14</v>
      </c>
      <c r="AA168" s="116">
        <v>5</v>
      </c>
      <c r="AB168" s="116">
        <v>4</v>
      </c>
      <c r="AC168" s="117">
        <f t="shared" si="2"/>
        <v>23</v>
      </c>
      <c r="AD168" s="113" t="s">
        <v>1545</v>
      </c>
      <c r="AE168" s="113" t="s">
        <v>1176</v>
      </c>
      <c r="AF168" s="113" t="s">
        <v>943</v>
      </c>
      <c r="AG168" s="113" t="s">
        <v>1697</v>
      </c>
      <c r="AH168" s="113" t="s">
        <v>946</v>
      </c>
      <c r="AI168" s="113" t="s">
        <v>1108</v>
      </c>
      <c r="AJ168" s="113" t="s">
        <v>1320</v>
      </c>
      <c r="AK168" s="113" t="s">
        <v>1701</v>
      </c>
      <c r="AL168" s="113" t="s">
        <v>1705</v>
      </c>
      <c r="AM168" s="113" t="s">
        <v>1055</v>
      </c>
      <c r="AN168" s="113" t="s">
        <v>1054</v>
      </c>
      <c r="AO168" s="113" t="s">
        <v>1055</v>
      </c>
      <c r="AP168" s="113" t="s">
        <v>1054</v>
      </c>
      <c r="AR168" s="5"/>
      <c r="AS168" s="5"/>
      <c r="AT168" s="5"/>
      <c r="AU168" s="5"/>
      <c r="AV168" s="5"/>
      <c r="AW168" s="5"/>
      <c r="AX168" s="5"/>
      <c r="AY168" s="5"/>
      <c r="AZ168" s="5"/>
      <c r="BA168" s="5"/>
      <c r="BB168" s="5"/>
      <c r="BC168" s="5"/>
      <c r="BD168" s="5"/>
      <c r="BE168" s="5"/>
      <c r="BF168" s="5"/>
      <c r="BG168" s="5"/>
      <c r="BH168" s="5"/>
      <c r="BI168" s="5"/>
    </row>
    <row r="169" spans="1:62" customFormat="1">
      <c r="A169" s="113">
        <v>21</v>
      </c>
      <c r="B169" s="113" t="s">
        <v>41</v>
      </c>
      <c r="C169" s="113" t="s">
        <v>1973</v>
      </c>
      <c r="D169" s="113" t="s">
        <v>22</v>
      </c>
      <c r="E169" s="113" t="s">
        <v>36</v>
      </c>
      <c r="F169" s="118" t="s">
        <v>2031</v>
      </c>
      <c r="G169" s="113" t="s">
        <v>1479</v>
      </c>
      <c r="H169" s="113" t="s">
        <v>41</v>
      </c>
      <c r="I169" s="113">
        <v>11</v>
      </c>
      <c r="J169" s="113" t="s">
        <v>1109</v>
      </c>
      <c r="K169" s="115" t="s">
        <v>1968</v>
      </c>
      <c r="L169" s="115"/>
      <c r="M169" s="115"/>
      <c r="N169" s="115"/>
      <c r="O169" s="115"/>
      <c r="P169" s="115"/>
      <c r="Q169" s="115"/>
      <c r="R169" s="115"/>
      <c r="S169" s="113">
        <v>262</v>
      </c>
      <c r="T169" s="113">
        <v>40</v>
      </c>
      <c r="U169" s="113">
        <v>60</v>
      </c>
      <c r="V169" s="113">
        <v>30</v>
      </c>
      <c r="W169" s="113">
        <v>31</v>
      </c>
      <c r="X169" s="113">
        <v>31</v>
      </c>
      <c r="Y169" s="113">
        <v>70</v>
      </c>
      <c r="Z169" s="116">
        <v>7</v>
      </c>
      <c r="AA169" s="116">
        <v>4</v>
      </c>
      <c r="AB169" s="116">
        <v>7</v>
      </c>
      <c r="AC169" s="117">
        <f t="shared" si="2"/>
        <v>18</v>
      </c>
      <c r="AD169" s="113" t="s">
        <v>1546</v>
      </c>
      <c r="AE169" s="113" t="s">
        <v>1179</v>
      </c>
      <c r="AF169" s="113" t="s">
        <v>943</v>
      </c>
      <c r="AG169" s="113"/>
      <c r="AH169" s="113" t="s">
        <v>943</v>
      </c>
      <c r="AI169" s="113" t="s">
        <v>1218</v>
      </c>
      <c r="AJ169" s="113" t="s">
        <v>1590</v>
      </c>
      <c r="AK169" s="113" t="s">
        <v>1220</v>
      </c>
      <c r="AL169" s="113" t="s">
        <v>1573</v>
      </c>
      <c r="AM169" s="113" t="s">
        <v>1044</v>
      </c>
      <c r="AN169" s="113" t="s">
        <v>1043</v>
      </c>
      <c r="AO169" s="113" t="s">
        <v>1044</v>
      </c>
      <c r="AP169" s="113" t="s">
        <v>1043</v>
      </c>
      <c r="AR169" s="5"/>
      <c r="AS169" s="5"/>
      <c r="AT169" s="5"/>
      <c r="AU169" s="5"/>
      <c r="AV169" s="5"/>
      <c r="AW169" s="5"/>
      <c r="AX169" s="5"/>
      <c r="AY169" s="5"/>
      <c r="AZ169" s="5"/>
      <c r="BA169" s="5"/>
      <c r="BB169" s="5"/>
      <c r="BC169" s="5"/>
      <c r="BD169" s="5"/>
      <c r="BE169" s="5"/>
      <c r="BF169" s="5"/>
      <c r="BG169" s="5"/>
      <c r="BH169" s="5"/>
      <c r="BI169" s="5"/>
    </row>
    <row r="170" spans="1:62" customFormat="1">
      <c r="A170" s="114">
        <v>167</v>
      </c>
      <c r="B170" s="114" t="s">
        <v>194</v>
      </c>
      <c r="C170" s="114" t="s">
        <v>1974</v>
      </c>
      <c r="D170" s="113" t="s">
        <v>29</v>
      </c>
      <c r="E170" s="113" t="s">
        <v>15</v>
      </c>
      <c r="F170" s="118" t="s">
        <v>2031</v>
      </c>
      <c r="G170" s="113" t="s">
        <v>1479</v>
      </c>
      <c r="H170" s="113" t="s">
        <v>194</v>
      </c>
      <c r="I170" s="113">
        <v>11</v>
      </c>
      <c r="J170" s="113" t="s">
        <v>1109</v>
      </c>
      <c r="K170" s="113" t="s">
        <v>1968</v>
      </c>
      <c r="L170" s="115"/>
      <c r="M170" s="115"/>
      <c r="N170" s="115"/>
      <c r="O170" s="115"/>
      <c r="P170" s="115"/>
      <c r="Q170" s="115"/>
      <c r="R170" s="115"/>
      <c r="S170" s="113">
        <v>250</v>
      </c>
      <c r="T170" s="113">
        <v>40</v>
      </c>
      <c r="U170" s="113">
        <v>60</v>
      </c>
      <c r="V170" s="113">
        <v>40</v>
      </c>
      <c r="W170" s="113">
        <v>40</v>
      </c>
      <c r="X170" s="113">
        <v>40</v>
      </c>
      <c r="Y170" s="113">
        <v>30</v>
      </c>
      <c r="Z170" s="116">
        <v>8</v>
      </c>
      <c r="AA170" s="116">
        <v>5</v>
      </c>
      <c r="AB170" s="116">
        <v>3</v>
      </c>
      <c r="AC170" s="117">
        <f t="shared" si="2"/>
        <v>16</v>
      </c>
      <c r="AD170" s="113" t="s">
        <v>1546</v>
      </c>
      <c r="AE170" s="113"/>
      <c r="AF170" s="113"/>
      <c r="AG170" s="113"/>
      <c r="AH170" s="113"/>
      <c r="AI170" s="113"/>
      <c r="AJ170" s="113"/>
      <c r="AK170" s="113"/>
      <c r="AL170" s="113"/>
      <c r="AM170" s="118"/>
      <c r="AN170" s="113"/>
      <c r="AO170" s="113"/>
      <c r="AP170" s="113"/>
      <c r="AR170" s="5"/>
      <c r="AS170" s="5"/>
      <c r="AT170" s="5"/>
      <c r="AU170" s="5"/>
      <c r="AV170" s="5"/>
      <c r="AW170" s="5"/>
      <c r="AX170" s="5"/>
      <c r="AY170" s="5"/>
      <c r="AZ170" s="5"/>
      <c r="BA170" s="5"/>
      <c r="BB170" s="5"/>
      <c r="BC170" s="5"/>
      <c r="BD170" s="5"/>
      <c r="BE170" s="5"/>
      <c r="BF170" s="5"/>
      <c r="BG170" s="5"/>
      <c r="BH170" s="5"/>
      <c r="BI170" s="5"/>
    </row>
    <row r="171" spans="1:62" customFormat="1">
      <c r="A171" s="114">
        <v>171</v>
      </c>
      <c r="B171" s="114" t="s">
        <v>198</v>
      </c>
      <c r="C171" s="114" t="s">
        <v>1974</v>
      </c>
      <c r="D171" s="113" t="s">
        <v>25</v>
      </c>
      <c r="E171" s="113" t="s">
        <v>46</v>
      </c>
      <c r="F171" s="118" t="s">
        <v>2031</v>
      </c>
      <c r="G171" s="113" t="s">
        <v>1477</v>
      </c>
      <c r="H171" s="113" t="s">
        <v>197</v>
      </c>
      <c r="I171" s="113">
        <v>21</v>
      </c>
      <c r="J171" s="113" t="s">
        <v>197</v>
      </c>
      <c r="K171" s="113" t="s">
        <v>1804</v>
      </c>
      <c r="L171" s="115"/>
      <c r="M171" s="115"/>
      <c r="N171" s="115"/>
      <c r="O171" s="115"/>
      <c r="P171" s="115"/>
      <c r="Q171" s="115"/>
      <c r="R171" s="115"/>
      <c r="S171" s="113">
        <v>460</v>
      </c>
      <c r="T171" s="113">
        <v>125</v>
      </c>
      <c r="U171" s="113">
        <v>58</v>
      </c>
      <c r="V171" s="113">
        <v>58</v>
      </c>
      <c r="W171" s="113">
        <v>76</v>
      </c>
      <c r="X171" s="113">
        <v>76</v>
      </c>
      <c r="Y171" s="113">
        <v>67</v>
      </c>
      <c r="Z171" s="116">
        <v>17</v>
      </c>
      <c r="AA171" s="116">
        <v>7</v>
      </c>
      <c r="AB171" s="116">
        <v>7</v>
      </c>
      <c r="AC171" s="117">
        <f t="shared" si="2"/>
        <v>31</v>
      </c>
      <c r="AD171" s="113" t="s">
        <v>1538</v>
      </c>
      <c r="AE171" s="113"/>
      <c r="AF171" s="113"/>
      <c r="AG171" s="113"/>
      <c r="AH171" s="113"/>
      <c r="AI171" s="113"/>
      <c r="AJ171" s="113"/>
      <c r="AK171" s="113"/>
      <c r="AL171" s="113"/>
      <c r="AM171" s="118"/>
      <c r="AN171" s="113"/>
      <c r="AO171" s="113"/>
      <c r="AP171" s="113"/>
      <c r="AR171" s="5"/>
      <c r="AS171" s="5"/>
      <c r="AT171" s="5"/>
      <c r="AU171" s="5"/>
      <c r="AV171" s="5"/>
      <c r="AW171" s="5"/>
      <c r="AX171" s="5"/>
      <c r="AY171" s="5"/>
      <c r="AZ171" s="5"/>
      <c r="BA171" s="5"/>
      <c r="BB171" s="5"/>
      <c r="BC171" s="5"/>
      <c r="BD171" s="5"/>
      <c r="BE171" s="5"/>
      <c r="BF171" s="5"/>
      <c r="BG171" s="5"/>
      <c r="BH171" s="5"/>
      <c r="BI171" s="5"/>
    </row>
    <row r="172" spans="1:62" customFormat="1">
      <c r="A172" s="113">
        <v>32</v>
      </c>
      <c r="B172" s="113" t="s">
        <v>769</v>
      </c>
      <c r="C172" s="113" t="s">
        <v>1973</v>
      </c>
      <c r="D172" s="113" t="s">
        <v>15</v>
      </c>
      <c r="E172" s="113"/>
      <c r="F172" s="118" t="s">
        <v>2031</v>
      </c>
      <c r="G172" s="113" t="s">
        <v>1479</v>
      </c>
      <c r="H172" s="113" t="s">
        <v>769</v>
      </c>
      <c r="I172" s="113">
        <v>11</v>
      </c>
      <c r="J172" s="113" t="s">
        <v>1109</v>
      </c>
      <c r="K172" s="115" t="s">
        <v>1968</v>
      </c>
      <c r="L172" s="115"/>
      <c r="M172" s="115"/>
      <c r="N172" s="115"/>
      <c r="O172" s="115"/>
      <c r="P172" s="115"/>
      <c r="Q172" s="115"/>
      <c r="R172" s="115"/>
      <c r="S172" s="113">
        <v>273</v>
      </c>
      <c r="T172" s="113">
        <v>46</v>
      </c>
      <c r="U172" s="113">
        <v>57</v>
      </c>
      <c r="V172" s="113">
        <v>40</v>
      </c>
      <c r="W172" s="113">
        <v>40</v>
      </c>
      <c r="X172" s="113">
        <v>40</v>
      </c>
      <c r="Y172" s="113">
        <v>50</v>
      </c>
      <c r="Z172" s="116">
        <v>8</v>
      </c>
      <c r="AA172" s="116">
        <v>4</v>
      </c>
      <c r="AB172" s="116">
        <v>5</v>
      </c>
      <c r="AC172" s="117">
        <f t="shared" si="2"/>
        <v>17</v>
      </c>
      <c r="AD172" s="113" t="s">
        <v>1546</v>
      </c>
      <c r="AE172" s="113" t="s">
        <v>1089</v>
      </c>
      <c r="AF172" s="113" t="s">
        <v>946</v>
      </c>
      <c r="AG172" s="113"/>
      <c r="AH172" s="113" t="s">
        <v>946</v>
      </c>
      <c r="AI172" s="113" t="s">
        <v>1239</v>
      </c>
      <c r="AJ172" s="113" t="s">
        <v>1229</v>
      </c>
      <c r="AK172" s="113" t="s">
        <v>1218</v>
      </c>
      <c r="AL172" s="113" t="s">
        <v>1242</v>
      </c>
      <c r="AM172" s="113" t="s">
        <v>1226</v>
      </c>
      <c r="AN172" s="113" t="s">
        <v>1227</v>
      </c>
      <c r="AO172" s="113" t="s">
        <v>1226</v>
      </c>
      <c r="AP172" s="113" t="s">
        <v>1227</v>
      </c>
      <c r="AR172" s="5"/>
      <c r="AS172" s="5"/>
      <c r="AT172" s="5"/>
      <c r="AU172" s="5"/>
      <c r="AV172" s="5"/>
      <c r="AW172" s="5"/>
      <c r="AX172" s="5"/>
      <c r="AY172" s="5"/>
      <c r="AZ172" s="5"/>
      <c r="BA172" s="5"/>
      <c r="BB172" s="5"/>
      <c r="BC172" s="5"/>
      <c r="BD172" s="5"/>
      <c r="BE172" s="5"/>
      <c r="BF172" s="5"/>
      <c r="BG172" s="5"/>
      <c r="BH172" s="5"/>
      <c r="BI172" s="5"/>
    </row>
    <row r="173" spans="1:62" customFormat="1">
      <c r="A173" s="113">
        <v>19</v>
      </c>
      <c r="B173" s="113" t="s">
        <v>39</v>
      </c>
      <c r="C173" s="113" t="s">
        <v>1973</v>
      </c>
      <c r="D173" s="113" t="s">
        <v>36</v>
      </c>
      <c r="E173" s="113"/>
      <c r="F173" s="118" t="s">
        <v>2031</v>
      </c>
      <c r="G173" s="113" t="s">
        <v>1479</v>
      </c>
      <c r="H173" s="113" t="s">
        <v>39</v>
      </c>
      <c r="I173" s="113">
        <v>11</v>
      </c>
      <c r="J173" s="113" t="s">
        <v>1109</v>
      </c>
      <c r="K173" s="115" t="s">
        <v>1968</v>
      </c>
      <c r="L173" s="115"/>
      <c r="M173" s="115"/>
      <c r="N173" s="115"/>
      <c r="O173" s="115"/>
      <c r="P173" s="115"/>
      <c r="Q173" s="115"/>
      <c r="R173" s="115"/>
      <c r="S173" s="113">
        <v>253</v>
      </c>
      <c r="T173" s="113">
        <v>30</v>
      </c>
      <c r="U173" s="113">
        <v>56</v>
      </c>
      <c r="V173" s="113">
        <v>35</v>
      </c>
      <c r="W173" s="113">
        <v>25</v>
      </c>
      <c r="X173" s="113">
        <v>35</v>
      </c>
      <c r="Y173" s="113">
        <v>72</v>
      </c>
      <c r="Z173" s="116">
        <v>7</v>
      </c>
      <c r="AA173" s="116">
        <v>3</v>
      </c>
      <c r="AB173" s="116">
        <v>7</v>
      </c>
      <c r="AC173" s="117">
        <f t="shared" si="2"/>
        <v>17</v>
      </c>
      <c r="AD173" s="113" t="s">
        <v>1546</v>
      </c>
      <c r="AE173" s="113" t="s">
        <v>978</v>
      </c>
      <c r="AF173" s="113" t="s">
        <v>946</v>
      </c>
      <c r="AG173" s="113"/>
      <c r="AH173" s="113" t="s">
        <v>946</v>
      </c>
      <c r="AI173" s="113" t="s">
        <v>1004</v>
      </c>
      <c r="AJ173" s="113" t="s">
        <v>1628</v>
      </c>
      <c r="AK173" s="113" t="s">
        <v>1228</v>
      </c>
      <c r="AL173" s="113" t="s">
        <v>1017</v>
      </c>
      <c r="AM173" s="113" t="s">
        <v>1055</v>
      </c>
      <c r="AN173" s="113" t="s">
        <v>1054</v>
      </c>
      <c r="AO173" s="113" t="s">
        <v>1055</v>
      </c>
      <c r="AP173" s="113" t="s">
        <v>1054</v>
      </c>
      <c r="AR173" s="5"/>
      <c r="AS173" s="5"/>
      <c r="AT173" s="5"/>
      <c r="AU173" s="5"/>
      <c r="AV173" s="5"/>
      <c r="AW173" s="5"/>
      <c r="AX173" s="5"/>
      <c r="AY173" s="5"/>
      <c r="AZ173" s="5"/>
      <c r="BA173" s="5"/>
      <c r="BB173" s="5"/>
      <c r="BC173" s="5"/>
      <c r="BD173" s="5"/>
      <c r="BE173" s="5"/>
      <c r="BF173" s="5"/>
      <c r="BG173" s="5"/>
      <c r="BH173" s="5"/>
      <c r="BI173" s="5"/>
    </row>
    <row r="174" spans="1:62" customFormat="1">
      <c r="A174" s="114">
        <v>222</v>
      </c>
      <c r="B174" s="114" t="s">
        <v>249</v>
      </c>
      <c r="C174" s="114" t="s">
        <v>1974</v>
      </c>
      <c r="D174" s="113" t="s">
        <v>25</v>
      </c>
      <c r="E174" s="113" t="s">
        <v>98</v>
      </c>
      <c r="F174" s="118" t="s">
        <v>2031</v>
      </c>
      <c r="G174" s="113" t="s">
        <v>1477</v>
      </c>
      <c r="H174" s="113" t="s">
        <v>249</v>
      </c>
      <c r="I174" s="113">
        <v>11</v>
      </c>
      <c r="J174" s="113" t="s">
        <v>1109</v>
      </c>
      <c r="K174" s="113" t="s">
        <v>1804</v>
      </c>
      <c r="L174" s="115"/>
      <c r="M174" s="115"/>
      <c r="N174" s="115"/>
      <c r="O174" s="115"/>
      <c r="P174" s="115"/>
      <c r="Q174" s="115"/>
      <c r="R174" s="115"/>
      <c r="S174" s="113">
        <v>380</v>
      </c>
      <c r="T174" s="113">
        <v>55</v>
      </c>
      <c r="U174" s="113">
        <v>55</v>
      </c>
      <c r="V174" s="113">
        <v>85</v>
      </c>
      <c r="W174" s="113">
        <v>65</v>
      </c>
      <c r="X174" s="113">
        <v>85</v>
      </c>
      <c r="Y174" s="113">
        <v>35</v>
      </c>
      <c r="Z174" s="116">
        <v>15</v>
      </c>
      <c r="AA174" s="116">
        <v>6</v>
      </c>
      <c r="AB174" s="116">
        <v>4</v>
      </c>
      <c r="AC174" s="117">
        <f t="shared" si="2"/>
        <v>25</v>
      </c>
      <c r="AD174" s="113" t="s">
        <v>1545</v>
      </c>
      <c r="AE174" s="113"/>
      <c r="AF174" s="113"/>
      <c r="AG174" s="113"/>
      <c r="AH174" s="113"/>
      <c r="AI174" s="113"/>
      <c r="AJ174" s="113"/>
      <c r="AK174" s="113"/>
      <c r="AL174" s="113"/>
      <c r="AM174" s="118"/>
      <c r="AN174" s="113"/>
      <c r="AO174" s="113"/>
      <c r="AP174" s="113"/>
      <c r="AR174" s="5"/>
      <c r="AS174" s="5"/>
      <c r="AT174" s="5"/>
      <c r="AU174" s="5"/>
      <c r="AV174" s="5"/>
      <c r="AW174" s="5"/>
      <c r="AX174" s="5"/>
      <c r="AY174" s="5"/>
      <c r="AZ174" s="5"/>
      <c r="BA174" s="5"/>
      <c r="BB174" s="5"/>
      <c r="BC174" s="5"/>
      <c r="BD174" s="5"/>
      <c r="BE174" s="5"/>
      <c r="BF174" s="5"/>
      <c r="BG174" s="5"/>
      <c r="BH174" s="5"/>
      <c r="BI174" s="5"/>
    </row>
    <row r="175" spans="1:62" customFormat="1">
      <c r="A175" s="114">
        <v>225</v>
      </c>
      <c r="B175" s="114" t="s">
        <v>252</v>
      </c>
      <c r="C175" s="114" t="s">
        <v>1974</v>
      </c>
      <c r="D175" s="113" t="s">
        <v>113</v>
      </c>
      <c r="E175" s="113" t="s">
        <v>22</v>
      </c>
      <c r="F175" s="118" t="s">
        <v>2031</v>
      </c>
      <c r="G175" s="113" t="s">
        <v>1477</v>
      </c>
      <c r="H175" s="113" t="s">
        <v>252</v>
      </c>
      <c r="I175" s="113">
        <v>11</v>
      </c>
      <c r="J175" s="113" t="s">
        <v>1109</v>
      </c>
      <c r="K175" s="113" t="s">
        <v>1804</v>
      </c>
      <c r="L175" s="115"/>
      <c r="M175" s="115"/>
      <c r="N175" s="115"/>
      <c r="O175" s="115"/>
      <c r="P175" s="115"/>
      <c r="Q175" s="115"/>
      <c r="R175" s="115"/>
      <c r="S175" s="113">
        <v>330</v>
      </c>
      <c r="T175" s="113">
        <v>45</v>
      </c>
      <c r="U175" s="113">
        <v>55</v>
      </c>
      <c r="V175" s="113">
        <v>45</v>
      </c>
      <c r="W175" s="113">
        <v>65</v>
      </c>
      <c r="X175" s="113">
        <v>45</v>
      </c>
      <c r="Y175" s="113">
        <v>75</v>
      </c>
      <c r="Z175" s="116">
        <v>9</v>
      </c>
      <c r="AA175" s="116">
        <v>6</v>
      </c>
      <c r="AB175" s="116">
        <v>8</v>
      </c>
      <c r="AC175" s="117">
        <f t="shared" si="2"/>
        <v>23</v>
      </c>
      <c r="AD175" s="113" t="s">
        <v>1545</v>
      </c>
      <c r="AE175" s="113"/>
      <c r="AF175" s="113"/>
      <c r="AG175" s="113"/>
      <c r="AH175" s="113"/>
      <c r="AI175" s="113"/>
      <c r="AJ175" s="113"/>
      <c r="AK175" s="113"/>
      <c r="AL175" s="113"/>
      <c r="AM175" s="118"/>
      <c r="AN175" s="113"/>
      <c r="AO175" s="113"/>
      <c r="AP175" s="113"/>
      <c r="AR175" s="5"/>
      <c r="AS175" s="5"/>
      <c r="AT175" s="5"/>
      <c r="AU175" s="5"/>
      <c r="AV175" s="5"/>
      <c r="AW175" s="5"/>
      <c r="AX175" s="5"/>
      <c r="AY175" s="5"/>
      <c r="AZ175" s="5"/>
      <c r="BA175" s="5"/>
      <c r="BB175" s="5"/>
      <c r="BC175" s="5"/>
      <c r="BD175" s="5"/>
      <c r="BE175" s="5"/>
      <c r="BF175" s="5"/>
      <c r="BG175" s="5"/>
      <c r="BH175" s="5"/>
      <c r="BI175" s="5"/>
      <c r="BJ175" s="5"/>
    </row>
    <row r="176" spans="1:62" customFormat="1">
      <c r="A176" s="113">
        <v>50</v>
      </c>
      <c r="B176" s="113" t="s">
        <v>71</v>
      </c>
      <c r="C176" s="113" t="s">
        <v>1973</v>
      </c>
      <c r="D176" s="113" t="s">
        <v>49</v>
      </c>
      <c r="E176" s="113"/>
      <c r="F176" s="118" t="s">
        <v>2031</v>
      </c>
      <c r="G176" s="113" t="s">
        <v>1479</v>
      </c>
      <c r="H176" s="113" t="s">
        <v>71</v>
      </c>
      <c r="I176" s="113">
        <v>11</v>
      </c>
      <c r="J176" s="113" t="s">
        <v>1109</v>
      </c>
      <c r="K176" s="115" t="s">
        <v>1968</v>
      </c>
      <c r="L176" s="115"/>
      <c r="M176" s="115"/>
      <c r="N176" s="115"/>
      <c r="O176" s="115"/>
      <c r="P176" s="115"/>
      <c r="Q176" s="115"/>
      <c r="R176" s="115"/>
      <c r="S176" s="113">
        <v>265</v>
      </c>
      <c r="T176" s="113">
        <v>10</v>
      </c>
      <c r="U176" s="113">
        <v>55</v>
      </c>
      <c r="V176" s="113">
        <v>25</v>
      </c>
      <c r="W176" s="113">
        <v>35</v>
      </c>
      <c r="X176" s="113">
        <v>45</v>
      </c>
      <c r="Y176" s="113">
        <v>95</v>
      </c>
      <c r="Z176" s="116">
        <v>5</v>
      </c>
      <c r="AA176" s="116">
        <v>4</v>
      </c>
      <c r="AB176" s="116">
        <v>10</v>
      </c>
      <c r="AC176" s="117">
        <f t="shared" si="2"/>
        <v>19</v>
      </c>
      <c r="AD176" s="113" t="s">
        <v>1546</v>
      </c>
      <c r="AE176" s="113" t="s">
        <v>1071</v>
      </c>
      <c r="AF176" s="113" t="s">
        <v>943</v>
      </c>
      <c r="AG176" s="113"/>
      <c r="AH176" s="113" t="s">
        <v>943</v>
      </c>
      <c r="AI176" s="113" t="s">
        <v>1271</v>
      </c>
      <c r="AJ176" s="113" t="s">
        <v>1005</v>
      </c>
      <c r="AK176" s="113" t="s">
        <v>1220</v>
      </c>
      <c r="AL176" s="113" t="s">
        <v>1655</v>
      </c>
      <c r="AM176" s="113" t="s">
        <v>1237</v>
      </c>
      <c r="AN176" s="113" t="s">
        <v>1236</v>
      </c>
      <c r="AO176" s="113" t="s">
        <v>1237</v>
      </c>
      <c r="AP176" s="113" t="s">
        <v>1236</v>
      </c>
      <c r="AQ176" s="5"/>
      <c r="AR176" s="5"/>
      <c r="AS176" s="5"/>
      <c r="AT176" s="5"/>
      <c r="AU176" s="5"/>
      <c r="AV176" s="5"/>
      <c r="AW176" s="5"/>
      <c r="AX176" s="5"/>
      <c r="AY176" s="5"/>
      <c r="AZ176" s="5"/>
      <c r="BA176" s="5"/>
      <c r="BB176" s="5"/>
      <c r="BC176" s="5"/>
      <c r="BD176" s="5"/>
      <c r="BE176" s="5"/>
      <c r="BF176" s="5"/>
      <c r="BG176" s="5"/>
      <c r="BH176" s="5"/>
      <c r="BI176" s="5"/>
    </row>
    <row r="177" spans="1:62" customFormat="1">
      <c r="A177" s="113">
        <v>133</v>
      </c>
      <c r="B177" s="113" t="s">
        <v>161</v>
      </c>
      <c r="C177" s="113" t="s">
        <v>1973</v>
      </c>
      <c r="D177" s="113" t="s">
        <v>36</v>
      </c>
      <c r="E177" s="113"/>
      <c r="F177" s="118" t="s">
        <v>2031</v>
      </c>
      <c r="G177" s="113" t="s">
        <v>1479</v>
      </c>
      <c r="H177" s="113" t="s">
        <v>161</v>
      </c>
      <c r="I177" s="113">
        <v>11</v>
      </c>
      <c r="J177" s="113" t="s">
        <v>1109</v>
      </c>
      <c r="K177" s="113" t="s">
        <v>1803</v>
      </c>
      <c r="L177" s="115"/>
      <c r="M177" s="115"/>
      <c r="N177" s="115"/>
      <c r="O177" s="115"/>
      <c r="P177" s="115"/>
      <c r="Q177" s="115"/>
      <c r="R177" s="115"/>
      <c r="S177" s="113">
        <v>325</v>
      </c>
      <c r="T177" s="113">
        <v>55</v>
      </c>
      <c r="U177" s="113">
        <v>55</v>
      </c>
      <c r="V177" s="113">
        <v>50</v>
      </c>
      <c r="W177" s="113">
        <v>45</v>
      </c>
      <c r="X177" s="113">
        <v>65</v>
      </c>
      <c r="Y177" s="113">
        <v>55</v>
      </c>
      <c r="Z177" s="116">
        <v>11</v>
      </c>
      <c r="AA177" s="116">
        <v>4</v>
      </c>
      <c r="AB177" s="116">
        <v>6</v>
      </c>
      <c r="AC177" s="117">
        <f t="shared" si="2"/>
        <v>21</v>
      </c>
      <c r="AD177" s="113" t="s">
        <v>1545</v>
      </c>
      <c r="AE177" s="113" t="s">
        <v>1075</v>
      </c>
      <c r="AF177" s="113" t="s">
        <v>943</v>
      </c>
      <c r="AG177" s="113"/>
      <c r="AH177" s="113" t="s">
        <v>943</v>
      </c>
      <c r="AI177" s="113" t="s">
        <v>1004</v>
      </c>
      <c r="AJ177" s="113" t="s">
        <v>1017</v>
      </c>
      <c r="AK177" s="113" t="s">
        <v>1684</v>
      </c>
      <c r="AL177" s="113" t="s">
        <v>1334</v>
      </c>
      <c r="AM177" s="113" t="s">
        <v>1055</v>
      </c>
      <c r="AN177" s="113" t="s">
        <v>1054</v>
      </c>
      <c r="AO177" s="113" t="s">
        <v>1055</v>
      </c>
      <c r="AP177" s="113" t="s">
        <v>1054</v>
      </c>
      <c r="AR177" s="5"/>
      <c r="AS177" s="5"/>
      <c r="AT177" s="5"/>
      <c r="AU177" s="5"/>
      <c r="AV177" s="5"/>
      <c r="AW177" s="5"/>
      <c r="AX177" s="5"/>
      <c r="AY177" s="5"/>
      <c r="AZ177" s="5"/>
      <c r="BA177" s="5"/>
      <c r="BB177" s="5"/>
      <c r="BC177" s="5"/>
      <c r="BD177" s="5"/>
      <c r="BE177" s="5"/>
      <c r="BF177" s="5"/>
      <c r="BG177" s="5"/>
      <c r="BH177" s="5"/>
      <c r="BI177" s="5"/>
    </row>
    <row r="178" spans="1:62" customFormat="1">
      <c r="A178" s="114">
        <v>189</v>
      </c>
      <c r="B178" s="114" t="s">
        <v>216</v>
      </c>
      <c r="C178" s="114" t="s">
        <v>1974</v>
      </c>
      <c r="D178" s="113" t="s">
        <v>14</v>
      </c>
      <c r="E178" s="113" t="s">
        <v>22</v>
      </c>
      <c r="F178" s="118" t="s">
        <v>2031</v>
      </c>
      <c r="G178" s="113" t="s">
        <v>1477</v>
      </c>
      <c r="H178" s="113" t="s">
        <v>214</v>
      </c>
      <c r="I178" s="113">
        <v>31</v>
      </c>
      <c r="J178" s="114" t="s">
        <v>215</v>
      </c>
      <c r="K178" s="113" t="s">
        <v>1804</v>
      </c>
      <c r="L178" s="115"/>
      <c r="M178" s="115"/>
      <c r="N178" s="115"/>
      <c r="O178" s="115"/>
      <c r="P178" s="115"/>
      <c r="Q178" s="115"/>
      <c r="R178" s="115"/>
      <c r="S178" s="113">
        <v>460</v>
      </c>
      <c r="T178" s="113">
        <v>75</v>
      </c>
      <c r="U178" s="113">
        <v>55</v>
      </c>
      <c r="V178" s="113">
        <v>70</v>
      </c>
      <c r="W178" s="113">
        <v>55</v>
      </c>
      <c r="X178" s="113">
        <v>95</v>
      </c>
      <c r="Y178" s="113">
        <v>110</v>
      </c>
      <c r="Z178" s="116">
        <v>16</v>
      </c>
      <c r="AA178" s="116">
        <v>6</v>
      </c>
      <c r="AB178" s="116">
        <v>11</v>
      </c>
      <c r="AC178" s="117">
        <f t="shared" si="2"/>
        <v>33</v>
      </c>
      <c r="AD178" s="113" t="s">
        <v>1538</v>
      </c>
      <c r="AE178" s="113"/>
      <c r="AF178" s="113"/>
      <c r="AG178" s="113"/>
      <c r="AH178" s="113"/>
      <c r="AI178" s="113"/>
      <c r="AJ178" s="113"/>
      <c r="AK178" s="113"/>
      <c r="AL178" s="113"/>
      <c r="AM178" s="118"/>
      <c r="AN178" s="113"/>
      <c r="AO178" s="113"/>
      <c r="AP178" s="113"/>
      <c r="AR178" s="5"/>
      <c r="AS178" s="5"/>
      <c r="AT178" s="5"/>
      <c r="AU178" s="5"/>
      <c r="AV178" s="5"/>
      <c r="AW178" s="5"/>
      <c r="AX178" s="5"/>
      <c r="AY178" s="5"/>
      <c r="AZ178" s="5"/>
      <c r="BA178" s="5"/>
      <c r="BB178" s="5"/>
      <c r="BC178" s="5"/>
      <c r="BD178" s="5"/>
      <c r="BE178" s="5"/>
      <c r="BF178" s="5"/>
      <c r="BG178" s="5"/>
      <c r="BH178" s="5"/>
      <c r="BI178" s="5"/>
    </row>
    <row r="179" spans="1:62" customFormat="1">
      <c r="A179" s="113">
        <v>108</v>
      </c>
      <c r="B179" s="113" t="s">
        <v>135</v>
      </c>
      <c r="C179" s="113" t="s">
        <v>1973</v>
      </c>
      <c r="D179" s="113" t="s">
        <v>36</v>
      </c>
      <c r="E179" s="113"/>
      <c r="F179" s="118" t="s">
        <v>2031</v>
      </c>
      <c r="G179" s="113" t="s">
        <v>1477</v>
      </c>
      <c r="H179" s="113" t="s">
        <v>135</v>
      </c>
      <c r="I179" s="113">
        <v>11</v>
      </c>
      <c r="J179" s="113" t="s">
        <v>1109</v>
      </c>
      <c r="K179" s="113" t="s">
        <v>1804</v>
      </c>
      <c r="L179" s="115"/>
      <c r="M179" s="115"/>
      <c r="N179" s="115"/>
      <c r="O179" s="115"/>
      <c r="P179" s="115"/>
      <c r="Q179" s="115"/>
      <c r="R179" s="115"/>
      <c r="S179" s="113">
        <v>385</v>
      </c>
      <c r="T179" s="113">
        <v>90</v>
      </c>
      <c r="U179" s="113">
        <v>55</v>
      </c>
      <c r="V179" s="113">
        <v>75</v>
      </c>
      <c r="W179" s="113">
        <v>60</v>
      </c>
      <c r="X179" s="113">
        <v>75</v>
      </c>
      <c r="Y179" s="113">
        <v>30</v>
      </c>
      <c r="Z179" s="116">
        <v>16</v>
      </c>
      <c r="AA179" s="116">
        <v>7</v>
      </c>
      <c r="AB179" s="116">
        <v>3</v>
      </c>
      <c r="AC179" s="117">
        <f t="shared" si="2"/>
        <v>26</v>
      </c>
      <c r="AD179" s="113" t="s">
        <v>946</v>
      </c>
      <c r="AE179" s="113" t="s">
        <v>1185</v>
      </c>
      <c r="AF179" s="113" t="s">
        <v>943</v>
      </c>
      <c r="AG179" s="113" t="s">
        <v>1783</v>
      </c>
      <c r="AH179" s="113" t="s">
        <v>946</v>
      </c>
      <c r="AI179" s="113" t="s">
        <v>1296</v>
      </c>
      <c r="AJ179" s="113" t="s">
        <v>1606</v>
      </c>
      <c r="AK179" s="113" t="s">
        <v>1691</v>
      </c>
      <c r="AL179" s="113" t="s">
        <v>1784</v>
      </c>
      <c r="AM179" s="113" t="s">
        <v>1055</v>
      </c>
      <c r="AN179" s="113" t="s">
        <v>1054</v>
      </c>
      <c r="AO179" s="113" t="s">
        <v>1055</v>
      </c>
      <c r="AP179" s="113" t="s">
        <v>1054</v>
      </c>
      <c r="AQ179" s="5"/>
      <c r="AR179" s="5"/>
      <c r="AS179" s="5"/>
      <c r="AT179" s="5"/>
      <c r="AU179" s="5"/>
      <c r="AV179" s="5"/>
      <c r="AW179" s="5"/>
      <c r="AX179" s="5"/>
      <c r="AY179" s="5"/>
      <c r="AZ179" s="5"/>
      <c r="BA179" s="5"/>
      <c r="BB179" s="5"/>
      <c r="BC179" s="5"/>
      <c r="BD179" s="5"/>
      <c r="BE179" s="5"/>
      <c r="BF179" s="5"/>
      <c r="BG179" s="5"/>
      <c r="BH179" s="5"/>
      <c r="BI179" s="5"/>
    </row>
    <row r="180" spans="1:62" customFormat="1">
      <c r="A180" s="114">
        <v>180</v>
      </c>
      <c r="B180" s="114" t="s">
        <v>207</v>
      </c>
      <c r="C180" s="114" t="s">
        <v>1974</v>
      </c>
      <c r="D180" s="113" t="s">
        <v>46</v>
      </c>
      <c r="E180" s="113"/>
      <c r="F180" s="118" t="s">
        <v>2031</v>
      </c>
      <c r="G180" s="113" t="s">
        <v>1478</v>
      </c>
      <c r="H180" s="113" t="s">
        <v>206</v>
      </c>
      <c r="I180" s="113">
        <v>21</v>
      </c>
      <c r="J180" s="113" t="s">
        <v>206</v>
      </c>
      <c r="K180" s="113" t="s">
        <v>1968</v>
      </c>
      <c r="L180" s="115"/>
      <c r="M180" s="115"/>
      <c r="N180" s="115"/>
      <c r="O180" s="115"/>
      <c r="P180" s="115"/>
      <c r="Q180" s="115"/>
      <c r="R180" s="115"/>
      <c r="S180" s="113">
        <v>365</v>
      </c>
      <c r="T180" s="113">
        <v>70</v>
      </c>
      <c r="U180" s="113">
        <v>55</v>
      </c>
      <c r="V180" s="113">
        <v>55</v>
      </c>
      <c r="W180" s="113">
        <v>80</v>
      </c>
      <c r="X180" s="113">
        <v>60</v>
      </c>
      <c r="Y180" s="113">
        <v>45</v>
      </c>
      <c r="Z180" s="116">
        <v>12</v>
      </c>
      <c r="AA180" s="116">
        <v>7</v>
      </c>
      <c r="AB180" s="116">
        <v>5</v>
      </c>
      <c r="AC180" s="117">
        <f t="shared" si="2"/>
        <v>24</v>
      </c>
      <c r="AD180" s="113" t="s">
        <v>1545</v>
      </c>
      <c r="AE180" s="113"/>
      <c r="AF180" s="113"/>
      <c r="AG180" s="113"/>
      <c r="AH180" s="113"/>
      <c r="AI180" s="113"/>
      <c r="AJ180" s="113"/>
      <c r="AK180" s="113"/>
      <c r="AL180" s="113"/>
      <c r="AM180" s="118"/>
      <c r="AN180" s="113"/>
      <c r="AO180" s="113"/>
      <c r="AP180" s="113"/>
      <c r="AR180" s="5"/>
      <c r="AS180" s="5"/>
      <c r="AT180" s="5"/>
      <c r="AU180" s="5"/>
      <c r="AV180" s="5"/>
      <c r="AW180" s="5"/>
      <c r="AX180" s="5"/>
      <c r="AY180" s="5"/>
      <c r="AZ180" s="5"/>
      <c r="BA180" s="5"/>
      <c r="BB180" s="5"/>
      <c r="BC180" s="5"/>
      <c r="BD180" s="5"/>
      <c r="BE180" s="5"/>
      <c r="BF180" s="5"/>
      <c r="BG180" s="5"/>
      <c r="BH180" s="5"/>
      <c r="BI180" s="5"/>
    </row>
    <row r="181" spans="1:62" customFormat="1">
      <c r="A181" s="113">
        <v>25</v>
      </c>
      <c r="B181" s="113" t="s">
        <v>45</v>
      </c>
      <c r="C181" s="113" t="s">
        <v>1973</v>
      </c>
      <c r="D181" s="113" t="s">
        <v>46</v>
      </c>
      <c r="E181" s="113"/>
      <c r="F181" s="118" t="s">
        <v>2031</v>
      </c>
      <c r="G181" s="113" t="s">
        <v>1478</v>
      </c>
      <c r="H181" s="113" t="s">
        <v>199</v>
      </c>
      <c r="I181" s="113">
        <v>21</v>
      </c>
      <c r="J181" s="113" t="s">
        <v>199</v>
      </c>
      <c r="K181" s="113" t="s">
        <v>1803</v>
      </c>
      <c r="L181" s="115">
        <v>30</v>
      </c>
      <c r="M181" s="115"/>
      <c r="N181" s="115"/>
      <c r="O181" s="115"/>
      <c r="P181" s="115"/>
      <c r="Q181" s="115"/>
      <c r="R181" s="115"/>
      <c r="S181" s="113">
        <v>320</v>
      </c>
      <c r="T181" s="113">
        <v>35</v>
      </c>
      <c r="U181" s="113">
        <v>55</v>
      </c>
      <c r="V181" s="113">
        <v>40</v>
      </c>
      <c r="W181" s="113">
        <v>50</v>
      </c>
      <c r="X181" s="113">
        <v>50</v>
      </c>
      <c r="Y181" s="113">
        <v>90</v>
      </c>
      <c r="Z181" s="116">
        <v>8</v>
      </c>
      <c r="AA181" s="116">
        <v>6</v>
      </c>
      <c r="AB181" s="116">
        <v>9</v>
      </c>
      <c r="AC181" s="117">
        <f t="shared" si="2"/>
        <v>23</v>
      </c>
      <c r="AD181" s="113" t="s">
        <v>1545</v>
      </c>
      <c r="AE181" s="113" t="s">
        <v>1191</v>
      </c>
      <c r="AF181" s="113" t="s">
        <v>943</v>
      </c>
      <c r="AG181" s="113"/>
      <c r="AH181" s="113" t="s">
        <v>943</v>
      </c>
      <c r="AI181" s="113" t="s">
        <v>1228</v>
      </c>
      <c r="AJ181" s="113" t="s">
        <v>1230</v>
      </c>
      <c r="AK181" s="113" t="s">
        <v>1634</v>
      </c>
      <c r="AL181" s="113" t="s">
        <v>1626</v>
      </c>
      <c r="AM181" s="113" t="s">
        <v>1232</v>
      </c>
      <c r="AN181" s="113" t="s">
        <v>1231</v>
      </c>
      <c r="AO181" s="113" t="s">
        <v>1232</v>
      </c>
      <c r="AP181" s="113" t="s">
        <v>1231</v>
      </c>
      <c r="AR181" s="5"/>
      <c r="AS181" s="5"/>
      <c r="AT181" s="5"/>
      <c r="AU181" s="5"/>
      <c r="AV181" s="5"/>
      <c r="AW181" s="5"/>
      <c r="AX181" s="5"/>
      <c r="AY181" s="5"/>
      <c r="AZ181" s="5"/>
      <c r="BA181" s="5"/>
      <c r="BB181" s="5"/>
      <c r="BC181" s="5"/>
      <c r="BD181" s="5"/>
      <c r="BE181" s="5"/>
      <c r="BF181" s="5"/>
      <c r="BG181" s="5"/>
      <c r="BH181" s="5"/>
      <c r="BI181" s="5"/>
    </row>
    <row r="182" spans="1:62" customFormat="1">
      <c r="A182" s="113">
        <v>114</v>
      </c>
      <c r="B182" s="113" t="s">
        <v>141</v>
      </c>
      <c r="C182" s="113" t="s">
        <v>1973</v>
      </c>
      <c r="D182" s="113" t="s">
        <v>14</v>
      </c>
      <c r="E182" s="113"/>
      <c r="F182" s="118" t="s">
        <v>2031</v>
      </c>
      <c r="G182" s="113" t="s">
        <v>1477</v>
      </c>
      <c r="H182" s="113" t="s">
        <v>141</v>
      </c>
      <c r="I182" s="113">
        <v>11</v>
      </c>
      <c r="J182" s="113" t="s">
        <v>1109</v>
      </c>
      <c r="K182" s="113" t="s">
        <v>1804</v>
      </c>
      <c r="L182" s="115"/>
      <c r="M182" s="115"/>
      <c r="N182" s="115"/>
      <c r="O182" s="115"/>
      <c r="P182" s="115"/>
      <c r="Q182" s="115"/>
      <c r="R182" s="115"/>
      <c r="S182" s="113">
        <v>435</v>
      </c>
      <c r="T182" s="113">
        <v>65</v>
      </c>
      <c r="U182" s="113">
        <v>55</v>
      </c>
      <c r="V182" s="113">
        <v>115</v>
      </c>
      <c r="W182" s="113">
        <v>100</v>
      </c>
      <c r="X182" s="113">
        <v>40</v>
      </c>
      <c r="Y182" s="113">
        <v>60</v>
      </c>
      <c r="Z182" s="116">
        <v>15</v>
      </c>
      <c r="AA182" s="116">
        <v>5</v>
      </c>
      <c r="AB182" s="116">
        <v>6</v>
      </c>
      <c r="AC182" s="117">
        <f t="shared" si="2"/>
        <v>26</v>
      </c>
      <c r="AD182" s="113" t="s">
        <v>946</v>
      </c>
      <c r="AE182" s="113" t="s">
        <v>1135</v>
      </c>
      <c r="AF182" s="113" t="s">
        <v>943</v>
      </c>
      <c r="AG182" s="113" t="s">
        <v>1189</v>
      </c>
      <c r="AH182" s="113" t="s">
        <v>946</v>
      </c>
      <c r="AI182" s="113" t="s">
        <v>1076</v>
      </c>
      <c r="AJ182" s="113" t="s">
        <v>1009</v>
      </c>
      <c r="AK182" s="113" t="s">
        <v>1596</v>
      </c>
      <c r="AL182" s="113" t="s">
        <v>1287</v>
      </c>
      <c r="AM182" s="113" t="s">
        <v>1392</v>
      </c>
      <c r="AN182" s="113" t="s">
        <v>1391</v>
      </c>
      <c r="AO182" s="113" t="s">
        <v>1392</v>
      </c>
      <c r="AP182" s="113" t="s">
        <v>1391</v>
      </c>
      <c r="AR182" s="5"/>
      <c r="AS182" s="5"/>
      <c r="AT182" s="5"/>
      <c r="AU182" s="5"/>
      <c r="AV182" s="5"/>
      <c r="AW182" s="5"/>
      <c r="AX182" s="5"/>
      <c r="AY182" s="5"/>
      <c r="AZ182" s="5"/>
      <c r="BA182" s="5"/>
      <c r="BB182" s="5"/>
      <c r="BC182" s="5"/>
      <c r="BD182" s="5"/>
      <c r="BE182" s="5"/>
      <c r="BF182" s="5"/>
      <c r="BG182" s="5"/>
      <c r="BH182" s="5"/>
      <c r="BI182" s="5"/>
    </row>
    <row r="183" spans="1:62" customFormat="1">
      <c r="A183" s="113">
        <v>48</v>
      </c>
      <c r="B183" s="113" t="s">
        <v>69</v>
      </c>
      <c r="C183" s="113" t="s">
        <v>1973</v>
      </c>
      <c r="D183" s="113" t="s">
        <v>29</v>
      </c>
      <c r="E183" s="113" t="s">
        <v>15</v>
      </c>
      <c r="F183" s="118" t="s">
        <v>2031</v>
      </c>
      <c r="G183" s="113" t="s">
        <v>1479</v>
      </c>
      <c r="H183" s="113" t="s">
        <v>69</v>
      </c>
      <c r="I183" s="113">
        <v>11</v>
      </c>
      <c r="J183" s="113" t="s">
        <v>1109</v>
      </c>
      <c r="K183" s="115" t="s">
        <v>1968</v>
      </c>
      <c r="L183" s="115"/>
      <c r="M183" s="115"/>
      <c r="N183" s="115"/>
      <c r="O183" s="115"/>
      <c r="P183" s="115"/>
      <c r="Q183" s="115"/>
      <c r="R183" s="115"/>
      <c r="S183" s="113">
        <v>305</v>
      </c>
      <c r="T183" s="113">
        <v>60</v>
      </c>
      <c r="U183" s="113">
        <v>55</v>
      </c>
      <c r="V183" s="113">
        <v>50</v>
      </c>
      <c r="W183" s="113">
        <v>40</v>
      </c>
      <c r="X183" s="113">
        <v>55</v>
      </c>
      <c r="Y183" s="113">
        <v>45</v>
      </c>
      <c r="Z183" s="116">
        <v>11</v>
      </c>
      <c r="AA183" s="116">
        <v>4</v>
      </c>
      <c r="AB183" s="116">
        <v>5</v>
      </c>
      <c r="AC183" s="117">
        <f t="shared" si="2"/>
        <v>20</v>
      </c>
      <c r="AD183" s="113" t="s">
        <v>1545</v>
      </c>
      <c r="AE183" s="113" t="s">
        <v>1184</v>
      </c>
      <c r="AF183" s="113" t="s">
        <v>943</v>
      </c>
      <c r="AG183" s="113"/>
      <c r="AH183" s="113" t="s">
        <v>943</v>
      </c>
      <c r="AI183" s="113" t="s">
        <v>1004</v>
      </c>
      <c r="AJ183" s="113" t="s">
        <v>1243</v>
      </c>
      <c r="AK183" s="113" t="s">
        <v>1105</v>
      </c>
      <c r="AL183" s="113" t="s">
        <v>1036</v>
      </c>
      <c r="AM183" s="113" t="s">
        <v>1040</v>
      </c>
      <c r="AN183" s="113" t="s">
        <v>1039</v>
      </c>
      <c r="AO183" s="113" t="s">
        <v>1040</v>
      </c>
      <c r="AP183" s="113" t="s">
        <v>1039</v>
      </c>
      <c r="AR183" s="5"/>
      <c r="AS183" s="5"/>
      <c r="AT183" s="5"/>
      <c r="AU183" s="5"/>
      <c r="AV183" s="5"/>
      <c r="AW183" s="5"/>
      <c r="AX183" s="5"/>
      <c r="AY183" s="5"/>
      <c r="AZ183" s="5"/>
      <c r="BA183" s="5"/>
      <c r="BB183" s="5"/>
      <c r="BC183" s="5"/>
      <c r="BD183" s="5"/>
      <c r="BE183" s="5"/>
      <c r="BF183" s="5"/>
      <c r="BG183" s="5"/>
      <c r="BH183" s="5"/>
      <c r="BI183" s="5"/>
    </row>
    <row r="184" spans="1:62" customFormat="1">
      <c r="A184" s="113">
        <v>4</v>
      </c>
      <c r="B184" s="113" t="s">
        <v>18</v>
      </c>
      <c r="C184" s="113" t="s">
        <v>1973</v>
      </c>
      <c r="D184" s="113" t="s">
        <v>19</v>
      </c>
      <c r="E184" s="113"/>
      <c r="F184" s="118" t="s">
        <v>2030</v>
      </c>
      <c r="G184" s="113" t="s">
        <v>1479</v>
      </c>
      <c r="H184" s="113" t="s">
        <v>18</v>
      </c>
      <c r="I184" s="113">
        <v>11</v>
      </c>
      <c r="J184" s="113" t="s">
        <v>1109</v>
      </c>
      <c r="K184" s="115" t="s">
        <v>1968</v>
      </c>
      <c r="L184" s="115"/>
      <c r="M184" s="115"/>
      <c r="N184" s="115"/>
      <c r="O184" s="115"/>
      <c r="P184" s="115"/>
      <c r="Q184" s="115"/>
      <c r="R184" s="115"/>
      <c r="S184" s="113">
        <v>309</v>
      </c>
      <c r="T184" s="113">
        <v>39</v>
      </c>
      <c r="U184" s="113">
        <v>52</v>
      </c>
      <c r="V184" s="113">
        <v>43</v>
      </c>
      <c r="W184" s="113">
        <v>60</v>
      </c>
      <c r="X184" s="113">
        <v>50</v>
      </c>
      <c r="Y184" s="113">
        <v>65</v>
      </c>
      <c r="Z184" s="116">
        <v>9</v>
      </c>
      <c r="AA184" s="116">
        <v>5</v>
      </c>
      <c r="AB184" s="116">
        <v>7</v>
      </c>
      <c r="AC184" s="117">
        <f t="shared" si="2"/>
        <v>21</v>
      </c>
      <c r="AD184" s="113" t="s">
        <v>1545</v>
      </c>
      <c r="AE184" s="113" t="s">
        <v>1486</v>
      </c>
      <c r="AF184" s="113" t="s">
        <v>946</v>
      </c>
      <c r="AG184" s="113"/>
      <c r="AH184" s="113" t="s">
        <v>946</v>
      </c>
      <c r="AI184" s="113" t="s">
        <v>1005</v>
      </c>
      <c r="AJ184" s="113" t="s">
        <v>1006</v>
      </c>
      <c r="AK184" s="113" t="s">
        <v>1017</v>
      </c>
      <c r="AL184" s="113" t="s">
        <v>1610</v>
      </c>
      <c r="AM184" s="113" t="s">
        <v>1030</v>
      </c>
      <c r="AN184" s="113" t="s">
        <v>1029</v>
      </c>
      <c r="AO184" s="113" t="s">
        <v>1030</v>
      </c>
      <c r="AP184" s="113" t="s">
        <v>1029</v>
      </c>
      <c r="AR184" s="5"/>
      <c r="AS184" s="5"/>
      <c r="AT184" s="5"/>
      <c r="AU184" s="5"/>
      <c r="AV184" s="5"/>
      <c r="AW184" s="5"/>
      <c r="AX184" s="5"/>
      <c r="AY184" s="5"/>
      <c r="AZ184" s="5"/>
      <c r="BA184" s="5"/>
      <c r="BB184" s="5"/>
      <c r="BC184" s="5"/>
      <c r="BD184" s="5"/>
      <c r="BE184" s="5"/>
      <c r="BF184" s="5"/>
      <c r="BG184" s="5"/>
      <c r="BH184" s="5"/>
      <c r="BI184" s="5"/>
    </row>
    <row r="185" spans="1:62" customFormat="1">
      <c r="A185" s="114">
        <v>155</v>
      </c>
      <c r="B185" s="114" t="s">
        <v>182</v>
      </c>
      <c r="C185" s="114" t="s">
        <v>1974</v>
      </c>
      <c r="D185" s="113" t="s">
        <v>19</v>
      </c>
      <c r="E185" s="113"/>
      <c r="F185" s="118" t="s">
        <v>2030</v>
      </c>
      <c r="G185" s="113" t="s">
        <v>1479</v>
      </c>
      <c r="H185" s="113" t="s">
        <v>182</v>
      </c>
      <c r="I185" s="113">
        <v>11</v>
      </c>
      <c r="J185" s="113" t="s">
        <v>1109</v>
      </c>
      <c r="K185" s="113" t="s">
        <v>1968</v>
      </c>
      <c r="L185" s="115"/>
      <c r="M185" s="115"/>
      <c r="N185" s="115"/>
      <c r="O185" s="115"/>
      <c r="P185" s="115"/>
      <c r="Q185" s="115"/>
      <c r="R185" s="115"/>
      <c r="S185" s="113">
        <v>309</v>
      </c>
      <c r="T185" s="113">
        <v>39</v>
      </c>
      <c r="U185" s="113">
        <v>52</v>
      </c>
      <c r="V185" s="113">
        <v>43</v>
      </c>
      <c r="W185" s="113">
        <v>60</v>
      </c>
      <c r="X185" s="113">
        <v>50</v>
      </c>
      <c r="Y185" s="113">
        <v>65</v>
      </c>
      <c r="Z185" s="116">
        <v>9</v>
      </c>
      <c r="AA185" s="116">
        <v>6</v>
      </c>
      <c r="AB185" s="116">
        <v>7</v>
      </c>
      <c r="AC185" s="117">
        <f t="shared" si="2"/>
        <v>22</v>
      </c>
      <c r="AD185" s="113" t="s">
        <v>1545</v>
      </c>
      <c r="AE185" s="113"/>
      <c r="AF185" s="113"/>
      <c r="AG185" s="113"/>
      <c r="AH185" s="113"/>
      <c r="AI185" s="113"/>
      <c r="AJ185" s="113"/>
      <c r="AK185" s="113"/>
      <c r="AL185" s="113"/>
      <c r="AM185" s="118"/>
      <c r="AN185" s="113"/>
      <c r="AO185" s="113"/>
      <c r="AP185" s="113"/>
      <c r="AR185" s="5"/>
      <c r="AS185" s="5"/>
      <c r="AT185" s="5"/>
      <c r="AU185" s="5"/>
      <c r="AV185" s="5"/>
      <c r="AW185" s="5"/>
      <c r="AX185" s="5"/>
      <c r="AY185" s="5"/>
      <c r="AZ185" s="5"/>
      <c r="BA185" s="5"/>
      <c r="BB185" s="5"/>
      <c r="BC185" s="5"/>
      <c r="BD185" s="5"/>
      <c r="BE185" s="5"/>
      <c r="BF185" s="5"/>
      <c r="BG185" s="5"/>
      <c r="BH185" s="5"/>
      <c r="BI185" s="5"/>
    </row>
    <row r="186" spans="1:62" customFormat="1">
      <c r="A186" s="113">
        <v>54</v>
      </c>
      <c r="B186" s="113" t="s">
        <v>75</v>
      </c>
      <c r="C186" s="113" t="s">
        <v>1973</v>
      </c>
      <c r="D186" s="113" t="s">
        <v>25</v>
      </c>
      <c r="E186" s="113"/>
      <c r="F186" s="118" t="s">
        <v>2031</v>
      </c>
      <c r="G186" s="113" t="s">
        <v>1479</v>
      </c>
      <c r="H186" s="113" t="s">
        <v>75</v>
      </c>
      <c r="I186" s="113">
        <v>11</v>
      </c>
      <c r="J186" s="113" t="s">
        <v>1109</v>
      </c>
      <c r="K186" s="115" t="s">
        <v>1968</v>
      </c>
      <c r="L186" s="115"/>
      <c r="M186" s="115"/>
      <c r="N186" s="115"/>
      <c r="O186" s="115"/>
      <c r="P186" s="115"/>
      <c r="Q186" s="115"/>
      <c r="R186" s="115"/>
      <c r="S186" s="113">
        <v>320</v>
      </c>
      <c r="T186" s="113">
        <v>50</v>
      </c>
      <c r="U186" s="113">
        <v>52</v>
      </c>
      <c r="V186" s="113">
        <v>48</v>
      </c>
      <c r="W186" s="113">
        <v>65</v>
      </c>
      <c r="X186" s="113">
        <v>50</v>
      </c>
      <c r="Y186" s="113">
        <v>55</v>
      </c>
      <c r="Z186" s="116">
        <v>10</v>
      </c>
      <c r="AA186" s="116">
        <v>4</v>
      </c>
      <c r="AB186" s="116">
        <v>6</v>
      </c>
      <c r="AC186" s="117">
        <f t="shared" si="2"/>
        <v>20</v>
      </c>
      <c r="AD186" s="113" t="s">
        <v>1545</v>
      </c>
      <c r="AE186" s="113" t="s">
        <v>997</v>
      </c>
      <c r="AF186" s="113" t="s">
        <v>946</v>
      </c>
      <c r="AG186" s="113"/>
      <c r="AH186" s="113" t="s">
        <v>946</v>
      </c>
      <c r="AI186" s="113" t="s">
        <v>1036</v>
      </c>
      <c r="AJ186" s="113" t="s">
        <v>1012</v>
      </c>
      <c r="AK186" s="113" t="s">
        <v>1126</v>
      </c>
      <c r="AL186" s="113" t="s">
        <v>1005</v>
      </c>
      <c r="AM186" s="113" t="s">
        <v>1026</v>
      </c>
      <c r="AN186" s="113" t="s">
        <v>1025</v>
      </c>
      <c r="AO186" s="113" t="s">
        <v>1026</v>
      </c>
      <c r="AP186" s="113" t="s">
        <v>1025</v>
      </c>
      <c r="AR186" s="5"/>
      <c r="AS186" s="5"/>
      <c r="AT186" s="5"/>
      <c r="AU186" s="5"/>
      <c r="AV186" s="5"/>
      <c r="AW186" s="5"/>
      <c r="AX186" s="5"/>
      <c r="AY186" s="5"/>
      <c r="AZ186" s="5"/>
      <c r="BA186" s="5"/>
      <c r="BB186" s="5"/>
      <c r="BC186" s="5"/>
      <c r="BD186" s="5"/>
      <c r="BE186" s="5"/>
      <c r="BF186" s="5"/>
      <c r="BG186" s="5"/>
      <c r="BH186" s="5"/>
      <c r="BI186" s="5"/>
    </row>
    <row r="187" spans="1:62" customFormat="1">
      <c r="A187" s="113">
        <v>65</v>
      </c>
      <c r="B187" s="113" t="s">
        <v>88</v>
      </c>
      <c r="C187" s="113" t="s">
        <v>1973</v>
      </c>
      <c r="D187" s="113" t="s">
        <v>86</v>
      </c>
      <c r="E187" s="113"/>
      <c r="F187" s="118" t="s">
        <v>2031</v>
      </c>
      <c r="G187" s="113" t="s">
        <v>1477</v>
      </c>
      <c r="H187" s="113" t="s">
        <v>85</v>
      </c>
      <c r="I187" s="113">
        <v>31</v>
      </c>
      <c r="J187" s="113" t="s">
        <v>87</v>
      </c>
      <c r="K187" s="113" t="s">
        <v>1804</v>
      </c>
      <c r="L187" s="115"/>
      <c r="M187" s="115"/>
      <c r="N187" s="115"/>
      <c r="O187" s="115"/>
      <c r="P187" s="115"/>
      <c r="Q187" s="115"/>
      <c r="R187" s="115"/>
      <c r="S187" s="113">
        <v>500</v>
      </c>
      <c r="T187" s="113">
        <v>55</v>
      </c>
      <c r="U187" s="113">
        <v>50</v>
      </c>
      <c r="V187" s="113">
        <v>45</v>
      </c>
      <c r="W187" s="113">
        <v>135</v>
      </c>
      <c r="X187" s="113">
        <v>95</v>
      </c>
      <c r="Y187" s="113">
        <v>120</v>
      </c>
      <c r="Z187" s="116">
        <v>13</v>
      </c>
      <c r="AA187" s="116">
        <v>8.5</v>
      </c>
      <c r="AB187" s="116">
        <v>12</v>
      </c>
      <c r="AC187" s="117">
        <f t="shared" si="2"/>
        <v>33.5</v>
      </c>
      <c r="AD187" s="113" t="s">
        <v>1537</v>
      </c>
      <c r="AE187" s="113" t="s">
        <v>1072</v>
      </c>
      <c r="AF187" s="113" t="s">
        <v>943</v>
      </c>
      <c r="AG187" s="113" t="s">
        <v>1735</v>
      </c>
      <c r="AH187" s="113" t="s">
        <v>943</v>
      </c>
      <c r="AI187" s="113" t="s">
        <v>1739</v>
      </c>
      <c r="AJ187" s="113" t="s">
        <v>1740</v>
      </c>
      <c r="AK187" s="113" t="s">
        <v>1640</v>
      </c>
      <c r="AL187" s="113" t="s">
        <v>1650</v>
      </c>
      <c r="AM187" s="113" t="s">
        <v>1104</v>
      </c>
      <c r="AN187" s="113" t="s">
        <v>1103</v>
      </c>
      <c r="AO187" s="113" t="s">
        <v>1104</v>
      </c>
      <c r="AP187" s="113" t="s">
        <v>1103</v>
      </c>
      <c r="AR187" s="5"/>
      <c r="AS187" s="5"/>
      <c r="AT187" s="5"/>
      <c r="AU187" s="5"/>
      <c r="AV187" s="5"/>
      <c r="AW187" s="5"/>
      <c r="AX187" s="5"/>
      <c r="AY187" s="5"/>
      <c r="AZ187" s="5"/>
      <c r="BA187" s="5"/>
      <c r="BB187" s="5"/>
      <c r="BC187" s="5"/>
      <c r="BD187" s="5"/>
      <c r="BE187" s="5"/>
      <c r="BF187" s="5"/>
      <c r="BG187" s="5"/>
      <c r="BH187" s="5"/>
      <c r="BI187" s="5"/>
    </row>
    <row r="188" spans="1:62" customFormat="1">
      <c r="A188" s="113">
        <v>104</v>
      </c>
      <c r="B188" s="113" t="s">
        <v>131</v>
      </c>
      <c r="C188" s="113" t="s">
        <v>1973</v>
      </c>
      <c r="D188" s="113" t="s">
        <v>49</v>
      </c>
      <c r="E188" s="113"/>
      <c r="F188" s="118" t="s">
        <v>2031</v>
      </c>
      <c r="G188" s="113" t="s">
        <v>1479</v>
      </c>
      <c r="H188" s="113" t="s">
        <v>131</v>
      </c>
      <c r="I188" s="113">
        <v>11</v>
      </c>
      <c r="J188" s="113" t="s">
        <v>1109</v>
      </c>
      <c r="K188" s="115" t="s">
        <v>1968</v>
      </c>
      <c r="L188" s="115"/>
      <c r="M188" s="115"/>
      <c r="N188" s="115"/>
      <c r="O188" s="115"/>
      <c r="P188" s="115"/>
      <c r="Q188" s="115"/>
      <c r="R188" s="115"/>
      <c r="S188" s="113">
        <v>320</v>
      </c>
      <c r="T188" s="113">
        <v>50</v>
      </c>
      <c r="U188" s="113">
        <v>50</v>
      </c>
      <c r="V188" s="113">
        <v>95</v>
      </c>
      <c r="W188" s="113">
        <v>40</v>
      </c>
      <c r="X188" s="113">
        <v>50</v>
      </c>
      <c r="Y188" s="113">
        <v>35</v>
      </c>
      <c r="Z188" s="116">
        <v>13</v>
      </c>
      <c r="AA188" s="116">
        <v>5</v>
      </c>
      <c r="AB188" s="116">
        <v>4</v>
      </c>
      <c r="AC188" s="117">
        <f t="shared" si="2"/>
        <v>22</v>
      </c>
      <c r="AD188" s="113" t="s">
        <v>1545</v>
      </c>
      <c r="AE188" s="113" t="s">
        <v>1063</v>
      </c>
      <c r="AF188" s="113" t="s">
        <v>946</v>
      </c>
      <c r="AG188" s="113" t="s">
        <v>1669</v>
      </c>
      <c r="AH188" s="113" t="s">
        <v>946</v>
      </c>
      <c r="AI188" s="113" t="s">
        <v>1377</v>
      </c>
      <c r="AJ188" s="113" t="s">
        <v>1376</v>
      </c>
      <c r="AK188" s="113" t="s">
        <v>1573</v>
      </c>
      <c r="AL188" s="113" t="s">
        <v>1668</v>
      </c>
      <c r="AM188" s="113" t="s">
        <v>1237</v>
      </c>
      <c r="AN188" s="113" t="s">
        <v>1236</v>
      </c>
      <c r="AO188" s="113" t="s">
        <v>1237</v>
      </c>
      <c r="AP188" s="113" t="s">
        <v>1236</v>
      </c>
      <c r="AR188" s="5"/>
      <c r="AS188" s="5"/>
      <c r="AT188" s="5"/>
      <c r="AU188" s="5"/>
      <c r="AV188" s="5"/>
      <c r="AW188" s="5"/>
      <c r="AX188" s="5"/>
      <c r="AY188" s="5"/>
      <c r="AZ188" s="5"/>
      <c r="BA188" s="5"/>
      <c r="BB188" s="5"/>
      <c r="BC188" s="5"/>
      <c r="BD188" s="5"/>
      <c r="BE188" s="5"/>
      <c r="BF188" s="5"/>
      <c r="BG188" s="5"/>
      <c r="BH188" s="5"/>
      <c r="BI188" s="5"/>
    </row>
    <row r="189" spans="1:62" customFormat="1">
      <c r="A189" s="113">
        <v>93</v>
      </c>
      <c r="B189" s="113" t="s">
        <v>120</v>
      </c>
      <c r="C189" s="113" t="s">
        <v>1973</v>
      </c>
      <c r="D189" s="113" t="s">
        <v>119</v>
      </c>
      <c r="E189" s="113" t="s">
        <v>15</v>
      </c>
      <c r="F189" s="118" t="s">
        <v>2031</v>
      </c>
      <c r="G189" s="113" t="s">
        <v>1478</v>
      </c>
      <c r="H189" s="113" t="s">
        <v>118</v>
      </c>
      <c r="I189" s="113">
        <v>21</v>
      </c>
      <c r="J189" s="113" t="s">
        <v>118</v>
      </c>
      <c r="K189" s="114" t="s">
        <v>1964</v>
      </c>
      <c r="L189" s="115"/>
      <c r="M189" s="115"/>
      <c r="N189" s="115"/>
      <c r="O189" s="115"/>
      <c r="P189" s="115"/>
      <c r="Q189" s="115"/>
      <c r="R189" s="115"/>
      <c r="S189" s="113">
        <v>405</v>
      </c>
      <c r="T189" s="113">
        <v>45</v>
      </c>
      <c r="U189" s="113">
        <v>50</v>
      </c>
      <c r="V189" s="113">
        <v>45</v>
      </c>
      <c r="W189" s="113">
        <v>115</v>
      </c>
      <c r="X189" s="113">
        <v>55</v>
      </c>
      <c r="Y189" s="113">
        <v>95</v>
      </c>
      <c r="Z189" s="116">
        <v>10</v>
      </c>
      <c r="AA189" s="116">
        <v>5</v>
      </c>
      <c r="AB189" s="116">
        <v>10</v>
      </c>
      <c r="AC189" s="117">
        <f t="shared" si="2"/>
        <v>25</v>
      </c>
      <c r="AD189" s="113" t="s">
        <v>1545</v>
      </c>
      <c r="AE189" s="113" t="s">
        <v>1121</v>
      </c>
      <c r="AF189" s="113" t="s">
        <v>946</v>
      </c>
      <c r="AG189" s="113"/>
      <c r="AH189" s="113" t="s">
        <v>946</v>
      </c>
      <c r="AI189" s="113" t="s">
        <v>1126</v>
      </c>
      <c r="AJ189" s="113" t="s">
        <v>1123</v>
      </c>
      <c r="AK189" s="113" t="s">
        <v>1584</v>
      </c>
      <c r="AL189" s="113" t="s">
        <v>1667</v>
      </c>
      <c r="AM189" s="113" t="s">
        <v>1128</v>
      </c>
      <c r="AN189" s="113" t="s">
        <v>1129</v>
      </c>
      <c r="AO189" s="113" t="s">
        <v>1128</v>
      </c>
      <c r="AP189" s="113" t="s">
        <v>1129</v>
      </c>
      <c r="AR189" s="5"/>
      <c r="AS189" s="5"/>
      <c r="AT189" s="5"/>
      <c r="AU189" s="5"/>
      <c r="AV189" s="5"/>
      <c r="AW189" s="5"/>
      <c r="AX189" s="5"/>
      <c r="AY189" s="5"/>
      <c r="AZ189" s="5"/>
      <c r="BA189" s="5"/>
      <c r="BB189" s="5"/>
      <c r="BC189" s="5"/>
      <c r="BD189" s="5"/>
      <c r="BE189" s="5"/>
      <c r="BF189" s="5"/>
      <c r="BG189" s="5"/>
      <c r="BH189" s="5"/>
      <c r="BI189" s="5"/>
    </row>
    <row r="190" spans="1:62">
      <c r="A190" s="114">
        <v>164</v>
      </c>
      <c r="B190" s="114" t="s">
        <v>191</v>
      </c>
      <c r="C190" s="114" t="s">
        <v>1974</v>
      </c>
      <c r="D190" s="113" t="s">
        <v>36</v>
      </c>
      <c r="E190" s="113" t="s">
        <v>22</v>
      </c>
      <c r="F190" s="118" t="s">
        <v>2031</v>
      </c>
      <c r="G190" s="113" t="s">
        <v>1477</v>
      </c>
      <c r="H190" s="113" t="s">
        <v>190</v>
      </c>
      <c r="I190" s="113">
        <v>21</v>
      </c>
      <c r="J190" s="113" t="s">
        <v>190</v>
      </c>
      <c r="K190" s="113" t="s">
        <v>1804</v>
      </c>
      <c r="L190" s="115"/>
      <c r="M190" s="115"/>
      <c r="N190" s="115"/>
      <c r="O190" s="115"/>
      <c r="P190" s="115"/>
      <c r="Q190" s="115"/>
      <c r="R190" s="115"/>
      <c r="S190" s="113">
        <v>442</v>
      </c>
      <c r="T190" s="113">
        <v>100</v>
      </c>
      <c r="U190" s="113">
        <v>50</v>
      </c>
      <c r="V190" s="113">
        <v>50</v>
      </c>
      <c r="W190" s="113">
        <v>76</v>
      </c>
      <c r="X190" s="113">
        <v>96</v>
      </c>
      <c r="Y190" s="113">
        <v>70</v>
      </c>
      <c r="Z190" s="116">
        <v>16</v>
      </c>
      <c r="AA190" s="116">
        <v>6</v>
      </c>
      <c r="AB190" s="116">
        <v>7</v>
      </c>
      <c r="AC190" s="117">
        <f t="shared" si="2"/>
        <v>29</v>
      </c>
      <c r="AD190" s="113" t="s">
        <v>946</v>
      </c>
      <c r="AE190" s="113"/>
      <c r="AF190" s="113"/>
      <c r="AG190" s="113"/>
      <c r="AH190" s="113"/>
      <c r="AI190" s="113"/>
      <c r="AJ190" s="113"/>
      <c r="AK190" s="113"/>
      <c r="AL190" s="113"/>
      <c r="AM190" s="118"/>
      <c r="AN190" s="113"/>
      <c r="AO190" s="113"/>
      <c r="AP190" s="113"/>
      <c r="BJ190"/>
    </row>
    <row r="191" spans="1:62" customFormat="1">
      <c r="A191" s="114">
        <v>184</v>
      </c>
      <c r="B191" s="114" t="s">
        <v>211</v>
      </c>
      <c r="C191" s="114" t="s">
        <v>1974</v>
      </c>
      <c r="D191" s="113" t="s">
        <v>25</v>
      </c>
      <c r="E191" s="113" t="s">
        <v>56</v>
      </c>
      <c r="F191" s="118" t="s">
        <v>2031</v>
      </c>
      <c r="G191" s="113" t="s">
        <v>1477</v>
      </c>
      <c r="H191" s="113" t="s">
        <v>210</v>
      </c>
      <c r="I191" s="113">
        <v>21</v>
      </c>
      <c r="J191" s="113" t="s">
        <v>210</v>
      </c>
      <c r="K191" s="113" t="s">
        <v>1804</v>
      </c>
      <c r="L191" s="115"/>
      <c r="M191" s="115"/>
      <c r="N191" s="115"/>
      <c r="O191" s="115"/>
      <c r="P191" s="115"/>
      <c r="Q191" s="115"/>
      <c r="R191" s="115"/>
      <c r="S191" s="113">
        <v>420</v>
      </c>
      <c r="T191" s="113">
        <v>100</v>
      </c>
      <c r="U191" s="113">
        <v>50</v>
      </c>
      <c r="V191" s="113">
        <v>80</v>
      </c>
      <c r="W191" s="113">
        <v>60</v>
      </c>
      <c r="X191" s="113">
        <v>80</v>
      </c>
      <c r="Y191" s="113">
        <v>50</v>
      </c>
      <c r="Z191" s="116">
        <v>17</v>
      </c>
      <c r="AA191" s="116">
        <v>6</v>
      </c>
      <c r="AB191" s="116">
        <v>5</v>
      </c>
      <c r="AC191" s="117">
        <f t="shared" si="2"/>
        <v>28</v>
      </c>
      <c r="AD191" s="113" t="s">
        <v>946</v>
      </c>
      <c r="AE191" s="113"/>
      <c r="AF191" s="113"/>
      <c r="AG191" s="113"/>
      <c r="AH191" s="113"/>
      <c r="AI191" s="113"/>
      <c r="AJ191" s="113"/>
      <c r="AK191" s="113"/>
      <c r="AL191" s="113"/>
      <c r="AM191" s="118"/>
      <c r="AN191" s="113"/>
      <c r="AO191" s="113"/>
      <c r="AP191" s="113"/>
      <c r="AR191" s="5"/>
      <c r="AS191" s="5"/>
      <c r="AT191" s="5"/>
      <c r="AU191" s="5"/>
      <c r="AV191" s="5"/>
      <c r="AW191" s="5"/>
      <c r="AX191" s="5"/>
      <c r="AY191" s="5"/>
      <c r="AZ191" s="5"/>
      <c r="BA191" s="5"/>
      <c r="BB191" s="5"/>
      <c r="BC191" s="5"/>
      <c r="BD191" s="5"/>
      <c r="BE191" s="5"/>
      <c r="BF191" s="5"/>
      <c r="BG191" s="5"/>
      <c r="BH191" s="5"/>
      <c r="BI191" s="5"/>
    </row>
    <row r="192" spans="1:62" customFormat="1">
      <c r="A192" s="114">
        <v>177</v>
      </c>
      <c r="B192" s="114" t="s">
        <v>204</v>
      </c>
      <c r="C192" s="114" t="s">
        <v>1974</v>
      </c>
      <c r="D192" s="113" t="s">
        <v>86</v>
      </c>
      <c r="E192" s="113" t="s">
        <v>22</v>
      </c>
      <c r="F192" s="118" t="s">
        <v>2031</v>
      </c>
      <c r="G192" s="113" t="s">
        <v>1479</v>
      </c>
      <c r="H192" s="113" t="s">
        <v>204</v>
      </c>
      <c r="I192" s="113">
        <v>11</v>
      </c>
      <c r="J192" s="113" t="s">
        <v>1109</v>
      </c>
      <c r="K192" s="113" t="s">
        <v>1968</v>
      </c>
      <c r="L192" s="115"/>
      <c r="M192" s="115"/>
      <c r="N192" s="115"/>
      <c r="O192" s="115"/>
      <c r="P192" s="115"/>
      <c r="Q192" s="115"/>
      <c r="R192" s="115"/>
      <c r="S192" s="113">
        <v>320</v>
      </c>
      <c r="T192" s="113">
        <v>40</v>
      </c>
      <c r="U192" s="113">
        <v>50</v>
      </c>
      <c r="V192" s="113">
        <v>45</v>
      </c>
      <c r="W192" s="113">
        <v>70</v>
      </c>
      <c r="X192" s="113">
        <v>45</v>
      </c>
      <c r="Y192" s="113">
        <v>70</v>
      </c>
      <c r="Z192" s="116">
        <v>9</v>
      </c>
      <c r="AA192" s="116">
        <v>6</v>
      </c>
      <c r="AB192" s="116">
        <v>7</v>
      </c>
      <c r="AC192" s="117">
        <f t="shared" si="2"/>
        <v>22</v>
      </c>
      <c r="AD192" s="113" t="s">
        <v>1545</v>
      </c>
      <c r="AE192" s="113"/>
      <c r="AF192" s="113"/>
      <c r="AG192" s="113"/>
      <c r="AH192" s="113"/>
      <c r="AI192" s="113"/>
      <c r="AJ192" s="113"/>
      <c r="AK192" s="113"/>
      <c r="AL192" s="113"/>
      <c r="AM192" s="118"/>
      <c r="AN192" s="113"/>
      <c r="AO192" s="113"/>
      <c r="AP192" s="113"/>
      <c r="AR192" s="5"/>
      <c r="AS192" s="5"/>
      <c r="AT192" s="5"/>
      <c r="AU192" s="5"/>
      <c r="AV192" s="5"/>
      <c r="AW192" s="5"/>
      <c r="AX192" s="5"/>
      <c r="AY192" s="5"/>
      <c r="AZ192" s="5"/>
      <c r="BA192" s="5"/>
      <c r="BB192" s="5"/>
      <c r="BC192" s="5"/>
      <c r="BD192" s="5"/>
      <c r="BE192" s="5"/>
      <c r="BF192" s="5"/>
      <c r="BG192" s="5"/>
      <c r="BH192" s="5"/>
      <c r="BI192" s="5"/>
    </row>
    <row r="193" spans="1:62" customFormat="1">
      <c r="A193" s="113">
        <v>43</v>
      </c>
      <c r="B193" s="113" t="s">
        <v>64</v>
      </c>
      <c r="C193" s="113" t="s">
        <v>1973</v>
      </c>
      <c r="D193" s="113" t="s">
        <v>14</v>
      </c>
      <c r="E193" s="113" t="s">
        <v>15</v>
      </c>
      <c r="F193" s="118" t="s">
        <v>2031</v>
      </c>
      <c r="G193" s="113" t="s">
        <v>1479</v>
      </c>
      <c r="H193" s="113" t="s">
        <v>64</v>
      </c>
      <c r="I193" s="113">
        <v>11</v>
      </c>
      <c r="J193" s="113" t="s">
        <v>1109</v>
      </c>
      <c r="K193" s="115" t="s">
        <v>1968</v>
      </c>
      <c r="L193" s="115"/>
      <c r="M193" s="115"/>
      <c r="N193" s="115"/>
      <c r="O193" s="115"/>
      <c r="P193" s="115"/>
      <c r="Q193" s="115"/>
      <c r="R193" s="115"/>
      <c r="S193" s="113">
        <v>320</v>
      </c>
      <c r="T193" s="113">
        <v>45</v>
      </c>
      <c r="U193" s="113">
        <v>50</v>
      </c>
      <c r="V193" s="113">
        <v>55</v>
      </c>
      <c r="W193" s="113">
        <v>75</v>
      </c>
      <c r="X193" s="113">
        <v>65</v>
      </c>
      <c r="Y193" s="113">
        <v>30</v>
      </c>
      <c r="Z193" s="116">
        <v>11</v>
      </c>
      <c r="AA193" s="116">
        <v>4</v>
      </c>
      <c r="AB193" s="116">
        <v>3</v>
      </c>
      <c r="AC193" s="117">
        <f t="shared" si="2"/>
        <v>18</v>
      </c>
      <c r="AD193" s="113" t="s">
        <v>1546</v>
      </c>
      <c r="AE193" s="113" t="s">
        <v>1567</v>
      </c>
      <c r="AF193" s="113" t="s">
        <v>946</v>
      </c>
      <c r="AG193" s="113" t="s">
        <v>1547</v>
      </c>
      <c r="AH193" s="113" t="s">
        <v>946</v>
      </c>
      <c r="AI193" s="113" t="s">
        <v>1035</v>
      </c>
      <c r="AJ193" s="113" t="s">
        <v>1265</v>
      </c>
      <c r="AK193" s="113" t="s">
        <v>1223</v>
      </c>
      <c r="AL193" s="113" t="s">
        <v>1581</v>
      </c>
      <c r="AM193" s="113" t="s">
        <v>1028</v>
      </c>
      <c r="AN193" s="113" t="s">
        <v>1027</v>
      </c>
      <c r="AO193" s="113" t="s">
        <v>1028</v>
      </c>
      <c r="AP193" s="113" t="s">
        <v>1027</v>
      </c>
      <c r="AR193" s="5"/>
      <c r="AS193" s="5"/>
      <c r="AT193" s="5"/>
      <c r="AU193" s="5"/>
      <c r="AV193" s="5"/>
      <c r="AW193" s="5"/>
      <c r="AX193" s="5"/>
      <c r="AY193" s="5"/>
      <c r="AZ193" s="5"/>
      <c r="BA193" s="5"/>
      <c r="BB193" s="5"/>
      <c r="BC193" s="5"/>
      <c r="BD193" s="5"/>
      <c r="BE193" s="5"/>
      <c r="BF193" s="5"/>
      <c r="BG193" s="5"/>
      <c r="BH193" s="5"/>
      <c r="BI193" s="5"/>
    </row>
    <row r="194" spans="1:62">
      <c r="A194" s="113">
        <v>60</v>
      </c>
      <c r="B194" s="113" t="s">
        <v>82</v>
      </c>
      <c r="C194" s="113" t="s">
        <v>1973</v>
      </c>
      <c r="D194" s="113" t="s">
        <v>25</v>
      </c>
      <c r="E194" s="113"/>
      <c r="F194" s="118" t="s">
        <v>2031</v>
      </c>
      <c r="G194" s="113" t="s">
        <v>1479</v>
      </c>
      <c r="H194" s="113" t="s">
        <v>82</v>
      </c>
      <c r="I194" s="113">
        <v>11</v>
      </c>
      <c r="J194" s="113" t="s">
        <v>1109</v>
      </c>
      <c r="K194" s="115" t="s">
        <v>1968</v>
      </c>
      <c r="L194" s="115"/>
      <c r="M194" s="115"/>
      <c r="N194" s="115"/>
      <c r="O194" s="115"/>
      <c r="P194" s="115"/>
      <c r="Q194" s="115"/>
      <c r="R194" s="115"/>
      <c r="S194" s="113">
        <v>300</v>
      </c>
      <c r="T194" s="113">
        <v>40</v>
      </c>
      <c r="U194" s="113">
        <v>50</v>
      </c>
      <c r="V194" s="113">
        <v>40</v>
      </c>
      <c r="W194" s="113">
        <v>40</v>
      </c>
      <c r="X194" s="113">
        <v>40</v>
      </c>
      <c r="Y194" s="113">
        <v>90</v>
      </c>
      <c r="Z194" s="116">
        <v>8</v>
      </c>
      <c r="AA194" s="116">
        <v>3</v>
      </c>
      <c r="AB194" s="116">
        <v>9</v>
      </c>
      <c r="AC194" s="117">
        <f t="shared" si="2"/>
        <v>20</v>
      </c>
      <c r="AD194" s="113" t="s">
        <v>1545</v>
      </c>
      <c r="AE194" s="113" t="s">
        <v>956</v>
      </c>
      <c r="AF194" s="113" t="s">
        <v>946</v>
      </c>
      <c r="AG194" s="113"/>
      <c r="AH194" s="113" t="s">
        <v>946</v>
      </c>
      <c r="AI194" s="113" t="s">
        <v>1007</v>
      </c>
      <c r="AJ194" s="113" t="s">
        <v>1662</v>
      </c>
      <c r="AK194" s="113" t="s">
        <v>1271</v>
      </c>
      <c r="AL194" s="113" t="s">
        <v>1319</v>
      </c>
      <c r="AM194" s="113" t="s">
        <v>1026</v>
      </c>
      <c r="AN194" s="113" t="s">
        <v>1025</v>
      </c>
      <c r="AO194" s="113" t="s">
        <v>1026</v>
      </c>
      <c r="AP194" s="113" t="s">
        <v>1025</v>
      </c>
      <c r="BJ194"/>
    </row>
    <row r="195" spans="1:62" customFormat="1">
      <c r="A195" s="114">
        <v>219</v>
      </c>
      <c r="B195" s="114" t="s">
        <v>246</v>
      </c>
      <c r="C195" s="114" t="s">
        <v>1974</v>
      </c>
      <c r="D195" s="113" t="s">
        <v>19</v>
      </c>
      <c r="E195" s="113" t="s">
        <v>98</v>
      </c>
      <c r="F195" s="118" t="s">
        <v>2031</v>
      </c>
      <c r="G195" s="113" t="s">
        <v>1477</v>
      </c>
      <c r="H195" s="113" t="s">
        <v>245</v>
      </c>
      <c r="I195" s="113">
        <v>21</v>
      </c>
      <c r="J195" s="113" t="s">
        <v>245</v>
      </c>
      <c r="K195" s="113" t="s">
        <v>1804</v>
      </c>
      <c r="L195" s="115"/>
      <c r="M195" s="115"/>
      <c r="N195" s="115"/>
      <c r="O195" s="115"/>
      <c r="P195" s="115"/>
      <c r="Q195" s="115"/>
      <c r="R195" s="115"/>
      <c r="S195" s="113">
        <v>410</v>
      </c>
      <c r="T195" s="113">
        <v>50</v>
      </c>
      <c r="U195" s="113">
        <v>50</v>
      </c>
      <c r="V195" s="113">
        <v>120</v>
      </c>
      <c r="W195" s="113">
        <v>80</v>
      </c>
      <c r="X195" s="113">
        <v>80</v>
      </c>
      <c r="Y195" s="113">
        <v>30</v>
      </c>
      <c r="Z195" s="116">
        <v>17</v>
      </c>
      <c r="AA195" s="116">
        <v>7</v>
      </c>
      <c r="AB195" s="116">
        <v>3</v>
      </c>
      <c r="AC195" s="117">
        <f t="shared" si="2"/>
        <v>27</v>
      </c>
      <c r="AD195" s="113" t="s">
        <v>946</v>
      </c>
      <c r="AE195" s="113"/>
      <c r="AF195" s="113"/>
      <c r="AG195" s="113"/>
      <c r="AH195" s="113"/>
      <c r="AI195" s="113"/>
      <c r="AJ195" s="113"/>
      <c r="AK195" s="113"/>
      <c r="AL195" s="113"/>
      <c r="AM195" s="118"/>
      <c r="AN195" s="113"/>
      <c r="AO195" s="113"/>
      <c r="AP195" s="113"/>
      <c r="AR195" s="5"/>
      <c r="AS195" s="5"/>
      <c r="AT195" s="5"/>
      <c r="AU195" s="5"/>
      <c r="AV195" s="5"/>
      <c r="AW195" s="5"/>
      <c r="AX195" s="5"/>
      <c r="AY195" s="5"/>
      <c r="AZ195" s="5"/>
      <c r="BA195" s="5"/>
      <c r="BB195" s="5"/>
      <c r="BC195" s="5"/>
      <c r="BD195" s="5"/>
      <c r="BE195" s="5"/>
      <c r="BF195" s="5"/>
      <c r="BG195" s="5"/>
      <c r="BH195" s="5"/>
      <c r="BI195" s="5"/>
    </row>
    <row r="196" spans="1:62" customFormat="1">
      <c r="A196" s="113">
        <v>124</v>
      </c>
      <c r="B196" s="113" t="s">
        <v>151</v>
      </c>
      <c r="C196" s="113" t="s">
        <v>1973</v>
      </c>
      <c r="D196" s="113" t="s">
        <v>113</v>
      </c>
      <c r="E196" s="113" t="s">
        <v>86</v>
      </c>
      <c r="F196" s="118" t="s">
        <v>2031</v>
      </c>
      <c r="G196" s="113" t="s">
        <v>1477</v>
      </c>
      <c r="H196" s="113" t="s">
        <v>265</v>
      </c>
      <c r="I196" s="113">
        <v>21</v>
      </c>
      <c r="J196" s="113" t="s">
        <v>265</v>
      </c>
      <c r="K196" s="113" t="s">
        <v>1804</v>
      </c>
      <c r="L196" s="115"/>
      <c r="M196" s="115"/>
      <c r="N196" s="115"/>
      <c r="O196" s="115"/>
      <c r="P196" s="115"/>
      <c r="Q196" s="115"/>
      <c r="R196" s="115"/>
      <c r="S196" s="113">
        <v>455</v>
      </c>
      <c r="T196" s="113">
        <v>65</v>
      </c>
      <c r="U196" s="113">
        <v>50</v>
      </c>
      <c r="V196" s="113">
        <v>35</v>
      </c>
      <c r="W196" s="113">
        <v>115</v>
      </c>
      <c r="X196" s="113">
        <v>95</v>
      </c>
      <c r="Y196" s="113">
        <v>95</v>
      </c>
      <c r="Z196" s="116">
        <v>13</v>
      </c>
      <c r="AA196" s="116">
        <v>7</v>
      </c>
      <c r="AB196" s="116">
        <v>10</v>
      </c>
      <c r="AC196" s="117">
        <f t="shared" ref="AC196:AC254" si="3">SUM(Z196:AB196)</f>
        <v>30</v>
      </c>
      <c r="AD196" s="113" t="s">
        <v>1538</v>
      </c>
      <c r="AE196" s="113" t="s">
        <v>1165</v>
      </c>
      <c r="AF196" s="113" t="s">
        <v>943</v>
      </c>
      <c r="AG196" s="113"/>
      <c r="AH196" s="113" t="s">
        <v>943</v>
      </c>
      <c r="AI196" s="113" t="s">
        <v>1083</v>
      </c>
      <c r="AJ196" s="113" t="s">
        <v>1246</v>
      </c>
      <c r="AK196" s="113" t="s">
        <v>1765</v>
      </c>
      <c r="AL196" s="113" t="s">
        <v>1122</v>
      </c>
      <c r="AM196" s="113" t="s">
        <v>1341</v>
      </c>
      <c r="AN196" s="113" t="s">
        <v>1340</v>
      </c>
      <c r="AO196" s="113" t="s">
        <v>1341</v>
      </c>
      <c r="AP196" s="113" t="s">
        <v>1340</v>
      </c>
      <c r="AR196" s="5"/>
      <c r="AS196" s="5"/>
      <c r="AT196" s="5"/>
      <c r="AU196" s="5"/>
      <c r="AV196" s="5"/>
      <c r="AW196" s="5"/>
      <c r="AX196" s="5"/>
      <c r="AY196" s="5"/>
      <c r="AZ196" s="5"/>
      <c r="BA196" s="5"/>
      <c r="BB196" s="5"/>
      <c r="BC196" s="5"/>
      <c r="BD196" s="5"/>
      <c r="BE196" s="5"/>
      <c r="BF196" s="5"/>
      <c r="BG196" s="5"/>
      <c r="BH196" s="5"/>
      <c r="BI196" s="5"/>
    </row>
    <row r="197" spans="1:62" customFormat="1">
      <c r="A197" s="114">
        <v>220</v>
      </c>
      <c r="B197" s="114" t="s">
        <v>247</v>
      </c>
      <c r="C197" s="114" t="s">
        <v>1974</v>
      </c>
      <c r="D197" s="113" t="s">
        <v>113</v>
      </c>
      <c r="E197" s="113" t="s">
        <v>49</v>
      </c>
      <c r="F197" s="118" t="s">
        <v>2031</v>
      </c>
      <c r="G197" s="113" t="s">
        <v>1479</v>
      </c>
      <c r="H197" s="113" t="s">
        <v>247</v>
      </c>
      <c r="I197" s="113">
        <v>11</v>
      </c>
      <c r="J197" s="113" t="s">
        <v>1109</v>
      </c>
      <c r="K197" s="113" t="s">
        <v>1968</v>
      </c>
      <c r="L197" s="115"/>
      <c r="M197" s="115"/>
      <c r="N197" s="115"/>
      <c r="O197" s="115"/>
      <c r="P197" s="115"/>
      <c r="Q197" s="115"/>
      <c r="R197" s="115"/>
      <c r="S197" s="113">
        <v>250</v>
      </c>
      <c r="T197" s="113">
        <v>50</v>
      </c>
      <c r="U197" s="113">
        <v>50</v>
      </c>
      <c r="V197" s="113">
        <v>40</v>
      </c>
      <c r="W197" s="113">
        <v>30</v>
      </c>
      <c r="X197" s="113">
        <v>30</v>
      </c>
      <c r="Y197" s="113">
        <v>50</v>
      </c>
      <c r="Z197" s="116">
        <v>8</v>
      </c>
      <c r="AA197" s="116">
        <v>4</v>
      </c>
      <c r="AB197" s="116">
        <v>5</v>
      </c>
      <c r="AC197" s="117">
        <f t="shared" si="3"/>
        <v>17</v>
      </c>
      <c r="AD197" s="113" t="s">
        <v>1546</v>
      </c>
      <c r="AE197" s="113"/>
      <c r="AF197" s="113"/>
      <c r="AG197" s="113"/>
      <c r="AH197" s="113"/>
      <c r="AI197" s="113"/>
      <c r="AJ197" s="113"/>
      <c r="AK197" s="113"/>
      <c r="AL197" s="113"/>
      <c r="AM197" s="118"/>
      <c r="AN197" s="113"/>
      <c r="AO197" s="113"/>
      <c r="AP197" s="113"/>
      <c r="AR197" s="5"/>
      <c r="AS197" s="5"/>
      <c r="AT197" s="5"/>
      <c r="AU197" s="5"/>
      <c r="AV197" s="5"/>
      <c r="AW197" s="5"/>
      <c r="AX197" s="5"/>
      <c r="AY197" s="5"/>
      <c r="AZ197" s="5"/>
      <c r="BA197" s="5"/>
      <c r="BB197" s="5"/>
      <c r="BC197" s="5"/>
      <c r="BD197" s="5"/>
      <c r="BE197" s="5"/>
      <c r="BF197" s="5"/>
      <c r="BG197" s="5"/>
      <c r="BH197" s="5"/>
      <c r="BI197" s="5"/>
      <c r="BJ197" s="5"/>
    </row>
    <row r="198" spans="1:62" customFormat="1">
      <c r="A198" s="113">
        <v>101</v>
      </c>
      <c r="B198" s="113" t="s">
        <v>128</v>
      </c>
      <c r="C198" s="113" t="s">
        <v>1973</v>
      </c>
      <c r="D198" s="113" t="s">
        <v>46</v>
      </c>
      <c r="E198" s="113"/>
      <c r="F198" s="118" t="s">
        <v>2031</v>
      </c>
      <c r="G198" s="113" t="s">
        <v>1477</v>
      </c>
      <c r="H198" s="113" t="s">
        <v>127</v>
      </c>
      <c r="I198" s="113">
        <v>21</v>
      </c>
      <c r="J198" s="113" t="s">
        <v>127</v>
      </c>
      <c r="K198" s="113" t="s">
        <v>1804</v>
      </c>
      <c r="L198" s="115"/>
      <c r="M198" s="115"/>
      <c r="N198" s="115"/>
      <c r="O198" s="115"/>
      <c r="P198" s="115"/>
      <c r="Q198" s="115"/>
      <c r="R198" s="115"/>
      <c r="S198" s="113">
        <v>480</v>
      </c>
      <c r="T198" s="113">
        <v>60</v>
      </c>
      <c r="U198" s="113">
        <v>50</v>
      </c>
      <c r="V198" s="113">
        <v>70</v>
      </c>
      <c r="W198" s="113">
        <v>80</v>
      </c>
      <c r="X198" s="113">
        <v>80</v>
      </c>
      <c r="Y198" s="113">
        <v>140</v>
      </c>
      <c r="Z198" s="116">
        <v>14</v>
      </c>
      <c r="AA198" s="116">
        <v>7</v>
      </c>
      <c r="AB198" s="116">
        <v>14</v>
      </c>
      <c r="AC198" s="117">
        <f t="shared" si="3"/>
        <v>35</v>
      </c>
      <c r="AD198" s="113" t="s">
        <v>1537</v>
      </c>
      <c r="AE198" s="113" t="s">
        <v>1138</v>
      </c>
      <c r="AF198" s="113" t="s">
        <v>946</v>
      </c>
      <c r="AG198" s="113"/>
      <c r="AH198" s="113" t="s">
        <v>946</v>
      </c>
      <c r="AI198" s="113" t="s">
        <v>1369</v>
      </c>
      <c r="AJ198" s="113" t="s">
        <v>1308</v>
      </c>
      <c r="AK198" s="113" t="s">
        <v>1584</v>
      </c>
      <c r="AL198" s="113" t="s">
        <v>1138</v>
      </c>
      <c r="AM198" s="113" t="s">
        <v>1232</v>
      </c>
      <c r="AN198" s="113" t="s">
        <v>1231</v>
      </c>
      <c r="AO198" s="113" t="s">
        <v>1232</v>
      </c>
      <c r="AP198" s="113" t="s">
        <v>1231</v>
      </c>
      <c r="AR198" s="5"/>
      <c r="AS198" s="5"/>
      <c r="AT198" s="5"/>
      <c r="AU198" s="5"/>
      <c r="AV198" s="5"/>
      <c r="AW198" s="5"/>
      <c r="AX198" s="5"/>
      <c r="AY198" s="5"/>
      <c r="AZ198" s="5"/>
      <c r="BA198" s="5"/>
      <c r="BB198" s="5"/>
      <c r="BC198" s="5"/>
      <c r="BD198" s="5"/>
      <c r="BE198" s="5"/>
      <c r="BF198" s="5"/>
      <c r="BG198" s="5"/>
      <c r="BH198" s="5"/>
      <c r="BI198" s="5"/>
      <c r="BJ198" s="5"/>
    </row>
    <row r="199" spans="1:62" customFormat="1">
      <c r="A199" s="113">
        <v>1</v>
      </c>
      <c r="B199" s="113" t="s">
        <v>13</v>
      </c>
      <c r="C199" s="113" t="s">
        <v>1973</v>
      </c>
      <c r="D199" s="113" t="s">
        <v>14</v>
      </c>
      <c r="E199" s="113" t="s">
        <v>15</v>
      </c>
      <c r="F199" s="118" t="s">
        <v>2030</v>
      </c>
      <c r="G199" s="113" t="s">
        <v>1479</v>
      </c>
      <c r="H199" s="113" t="s">
        <v>13</v>
      </c>
      <c r="I199" s="113">
        <v>11</v>
      </c>
      <c r="J199" s="115" t="s">
        <v>1109</v>
      </c>
      <c r="K199" s="115" t="s">
        <v>1968</v>
      </c>
      <c r="L199" s="115"/>
      <c r="M199" s="115"/>
      <c r="N199" s="115"/>
      <c r="O199" s="115"/>
      <c r="P199" s="115"/>
      <c r="Q199" s="115"/>
      <c r="R199" s="115"/>
      <c r="S199" s="113">
        <v>318</v>
      </c>
      <c r="T199" s="113">
        <v>45</v>
      </c>
      <c r="U199" s="113">
        <v>49</v>
      </c>
      <c r="V199" s="113">
        <v>49</v>
      </c>
      <c r="W199" s="113">
        <v>65</v>
      </c>
      <c r="X199" s="113">
        <v>65</v>
      </c>
      <c r="Y199" s="113">
        <v>45</v>
      </c>
      <c r="Z199" s="116">
        <v>11</v>
      </c>
      <c r="AA199" s="116">
        <v>5</v>
      </c>
      <c r="AB199" s="116">
        <v>5</v>
      </c>
      <c r="AC199" s="117">
        <f t="shared" si="3"/>
        <v>21</v>
      </c>
      <c r="AD199" s="113" t="s">
        <v>1545</v>
      </c>
      <c r="AE199" s="113" t="s">
        <v>976</v>
      </c>
      <c r="AF199" s="113" t="s">
        <v>946</v>
      </c>
      <c r="AG199" s="113" t="s">
        <v>1600</v>
      </c>
      <c r="AH199" s="113" t="s">
        <v>946</v>
      </c>
      <c r="AI199" s="113" t="s">
        <v>1004</v>
      </c>
      <c r="AJ199" s="113" t="s">
        <v>1013</v>
      </c>
      <c r="AK199" s="113" t="s">
        <v>1573</v>
      </c>
      <c r="AL199" s="113" t="s">
        <v>1359</v>
      </c>
      <c r="AM199" s="113" t="s">
        <v>1028</v>
      </c>
      <c r="AN199" s="113" t="s">
        <v>1027</v>
      </c>
      <c r="AO199" s="113" t="e">
        <f>VLOOKUP(D199,#REF!,3,0)</f>
        <v>#REF!</v>
      </c>
      <c r="AP199" s="113" t="s">
        <v>1027</v>
      </c>
      <c r="AR199" s="5"/>
      <c r="AS199" s="5"/>
      <c r="AT199" s="5"/>
      <c r="AU199" s="5"/>
      <c r="AV199" s="5"/>
      <c r="AW199" s="5"/>
      <c r="AX199" s="5"/>
      <c r="AY199" s="5"/>
      <c r="AZ199" s="5"/>
      <c r="BA199" s="5"/>
      <c r="BB199" s="5"/>
      <c r="BC199" s="5"/>
      <c r="BD199" s="5"/>
      <c r="BE199" s="5"/>
      <c r="BF199" s="5"/>
      <c r="BG199" s="5"/>
      <c r="BH199" s="5"/>
      <c r="BI199" s="5"/>
    </row>
    <row r="200" spans="1:62" customFormat="1">
      <c r="A200" s="114">
        <v>152</v>
      </c>
      <c r="B200" s="114" t="s">
        <v>180</v>
      </c>
      <c r="C200" s="114" t="s">
        <v>1974</v>
      </c>
      <c r="D200" s="113" t="s">
        <v>14</v>
      </c>
      <c r="E200" s="113"/>
      <c r="F200" s="118" t="s">
        <v>2030</v>
      </c>
      <c r="G200" s="113" t="s">
        <v>1479</v>
      </c>
      <c r="H200" s="113" t="s">
        <v>180</v>
      </c>
      <c r="I200" s="113">
        <v>11</v>
      </c>
      <c r="J200" s="113" t="s">
        <v>1109</v>
      </c>
      <c r="K200" s="113" t="s">
        <v>1968</v>
      </c>
      <c r="L200" s="115"/>
      <c r="M200" s="115"/>
      <c r="N200" s="115"/>
      <c r="O200" s="115"/>
      <c r="P200" s="115"/>
      <c r="Q200" s="115"/>
      <c r="R200" s="115"/>
      <c r="S200" s="113">
        <v>318</v>
      </c>
      <c r="T200" s="113">
        <v>45</v>
      </c>
      <c r="U200" s="113">
        <v>49</v>
      </c>
      <c r="V200" s="113">
        <v>65</v>
      </c>
      <c r="W200" s="113">
        <v>49</v>
      </c>
      <c r="X200" s="113">
        <v>65</v>
      </c>
      <c r="Y200" s="113">
        <v>45</v>
      </c>
      <c r="Z200" s="116">
        <v>12</v>
      </c>
      <c r="AA200" s="116">
        <v>5</v>
      </c>
      <c r="AB200" s="116">
        <v>5</v>
      </c>
      <c r="AC200" s="117">
        <f t="shared" si="3"/>
        <v>22</v>
      </c>
      <c r="AD200" s="113" t="s">
        <v>1545</v>
      </c>
      <c r="AE200" s="113"/>
      <c r="AF200" s="113"/>
      <c r="AG200" s="113"/>
      <c r="AH200" s="113"/>
      <c r="AI200" s="113"/>
      <c r="AJ200" s="113"/>
      <c r="AK200" s="113"/>
      <c r="AL200" s="113"/>
      <c r="AM200" s="118"/>
      <c r="AN200" s="113"/>
      <c r="AO200" s="113"/>
      <c r="AP200" s="113"/>
      <c r="AR200" s="5"/>
      <c r="AS200" s="5"/>
      <c r="AT200" s="5"/>
      <c r="AU200" s="5"/>
      <c r="AV200" s="5"/>
      <c r="AW200" s="5"/>
      <c r="AX200" s="5"/>
      <c r="AY200" s="5"/>
      <c r="AZ200" s="5"/>
      <c r="BA200" s="5"/>
      <c r="BB200" s="5"/>
      <c r="BC200" s="5"/>
      <c r="BD200" s="5"/>
      <c r="BE200" s="5"/>
      <c r="BF200" s="5"/>
      <c r="BG200" s="5"/>
      <c r="BH200" s="5"/>
      <c r="BI200" s="5"/>
    </row>
    <row r="201" spans="1:62" customFormat="1">
      <c r="A201" s="113">
        <v>132</v>
      </c>
      <c r="B201" s="113" t="s">
        <v>160</v>
      </c>
      <c r="C201" s="113" t="s">
        <v>1973</v>
      </c>
      <c r="D201" s="113" t="s">
        <v>36</v>
      </c>
      <c r="E201" s="113"/>
      <c r="F201" s="118" t="s">
        <v>2031</v>
      </c>
      <c r="G201" s="113" t="s">
        <v>1477</v>
      </c>
      <c r="H201" s="113" t="s">
        <v>160</v>
      </c>
      <c r="I201" s="113">
        <v>11</v>
      </c>
      <c r="J201" s="113" t="s">
        <v>1109</v>
      </c>
      <c r="K201" s="113" t="s">
        <v>1804</v>
      </c>
      <c r="L201" s="115"/>
      <c r="M201" s="115"/>
      <c r="N201" s="115"/>
      <c r="O201" s="115"/>
      <c r="P201" s="115"/>
      <c r="Q201" s="115"/>
      <c r="R201" s="115"/>
      <c r="S201" s="113">
        <v>288</v>
      </c>
      <c r="T201" s="113">
        <v>48</v>
      </c>
      <c r="U201" s="113">
        <v>48</v>
      </c>
      <c r="V201" s="113">
        <v>48</v>
      </c>
      <c r="W201" s="113">
        <v>48</v>
      </c>
      <c r="X201" s="113">
        <v>48</v>
      </c>
      <c r="Y201" s="113">
        <v>48</v>
      </c>
      <c r="Z201" s="116">
        <v>10</v>
      </c>
      <c r="AA201" s="116">
        <v>1</v>
      </c>
      <c r="AB201" s="116">
        <v>5</v>
      </c>
      <c r="AC201" s="117">
        <f t="shared" si="3"/>
        <v>16</v>
      </c>
      <c r="AD201" s="113" t="s">
        <v>1546</v>
      </c>
      <c r="AE201" s="113" t="s">
        <v>1087</v>
      </c>
      <c r="AF201" s="113" t="s">
        <v>943</v>
      </c>
      <c r="AG201" s="113"/>
      <c r="AH201" s="113" t="s">
        <v>943</v>
      </c>
      <c r="AI201" s="115" t="s">
        <v>1109</v>
      </c>
      <c r="AJ201" s="115" t="s">
        <v>1109</v>
      </c>
      <c r="AK201" s="115" t="s">
        <v>1109</v>
      </c>
      <c r="AL201" s="115" t="s">
        <v>1109</v>
      </c>
      <c r="AM201" s="113" t="s">
        <v>1055</v>
      </c>
      <c r="AN201" s="113" t="s">
        <v>1054</v>
      </c>
      <c r="AO201" s="113" t="s">
        <v>1055</v>
      </c>
      <c r="AP201" s="113" t="s">
        <v>1054</v>
      </c>
      <c r="AQ201" s="5"/>
      <c r="AR201" s="5"/>
      <c r="AS201" s="5"/>
      <c r="AT201" s="5"/>
      <c r="AU201" s="5"/>
      <c r="AV201" s="5"/>
      <c r="AW201" s="5"/>
      <c r="AX201" s="5"/>
      <c r="AY201" s="5"/>
      <c r="AZ201" s="5"/>
      <c r="BA201" s="5"/>
      <c r="BB201" s="5"/>
      <c r="BC201" s="5"/>
      <c r="BD201" s="5"/>
      <c r="BE201" s="5"/>
      <c r="BF201" s="5"/>
      <c r="BG201" s="5"/>
      <c r="BH201" s="5"/>
      <c r="BI201" s="5"/>
    </row>
    <row r="202" spans="1:62" customFormat="1">
      <c r="A202" s="113">
        <v>96</v>
      </c>
      <c r="B202" s="113" t="s">
        <v>123</v>
      </c>
      <c r="C202" s="113" t="s">
        <v>1973</v>
      </c>
      <c r="D202" s="113" t="s">
        <v>86</v>
      </c>
      <c r="E202" s="113"/>
      <c r="F202" s="118" t="s">
        <v>2031</v>
      </c>
      <c r="G202" s="113" t="s">
        <v>1479</v>
      </c>
      <c r="H202" s="113" t="s">
        <v>123</v>
      </c>
      <c r="I202" s="113">
        <v>11</v>
      </c>
      <c r="J202" s="113" t="s">
        <v>1109</v>
      </c>
      <c r="K202" s="115" t="s">
        <v>1968</v>
      </c>
      <c r="L202" s="115"/>
      <c r="M202" s="115"/>
      <c r="N202" s="115"/>
      <c r="O202" s="115"/>
      <c r="P202" s="115"/>
      <c r="Q202" s="115"/>
      <c r="R202" s="115"/>
      <c r="S202" s="113">
        <v>328</v>
      </c>
      <c r="T202" s="113">
        <v>60</v>
      </c>
      <c r="U202" s="113">
        <v>48</v>
      </c>
      <c r="V202" s="113">
        <v>45</v>
      </c>
      <c r="W202" s="113">
        <v>43</v>
      </c>
      <c r="X202" s="113">
        <v>90</v>
      </c>
      <c r="Y202" s="113">
        <v>42</v>
      </c>
      <c r="Z202" s="116">
        <v>13</v>
      </c>
      <c r="AA202" s="116">
        <v>5</v>
      </c>
      <c r="AB202" s="116">
        <v>4</v>
      </c>
      <c r="AC202" s="117">
        <f t="shared" si="3"/>
        <v>22</v>
      </c>
      <c r="AD202" s="113" t="s">
        <v>1545</v>
      </c>
      <c r="AE202" s="113" t="s">
        <v>989</v>
      </c>
      <c r="AF202" s="113" t="s">
        <v>943</v>
      </c>
      <c r="AG202" s="113" t="s">
        <v>1777</v>
      </c>
      <c r="AH202" s="113" t="s">
        <v>946</v>
      </c>
      <c r="AI202" s="113" t="s">
        <v>1247</v>
      </c>
      <c r="AJ202" s="113" t="s">
        <v>1036</v>
      </c>
      <c r="AK202" s="113" t="s">
        <v>1773</v>
      </c>
      <c r="AL202" s="113" t="s">
        <v>1105</v>
      </c>
      <c r="AM202" s="113" t="s">
        <v>1104</v>
      </c>
      <c r="AN202" s="113" t="s">
        <v>1103</v>
      </c>
      <c r="AO202" s="113" t="s">
        <v>1104</v>
      </c>
      <c r="AP202" s="113" t="s">
        <v>1103</v>
      </c>
      <c r="AR202" s="5"/>
      <c r="AS202" s="5"/>
      <c r="AT202" s="5"/>
      <c r="AU202" s="5"/>
      <c r="AV202" s="5"/>
      <c r="AW202" s="5"/>
      <c r="AX202" s="5"/>
      <c r="AY202" s="5"/>
      <c r="AZ202" s="5"/>
      <c r="BA202" s="5"/>
      <c r="BB202" s="5"/>
      <c r="BC202" s="5"/>
      <c r="BD202" s="5"/>
      <c r="BE202" s="5"/>
      <c r="BF202" s="5"/>
      <c r="BG202" s="5"/>
      <c r="BH202" s="5"/>
      <c r="BI202" s="5"/>
    </row>
    <row r="203" spans="1:62" customFormat="1">
      <c r="A203" s="113">
        <v>7</v>
      </c>
      <c r="B203" s="113" t="s">
        <v>24</v>
      </c>
      <c r="C203" s="113" t="s">
        <v>1973</v>
      </c>
      <c r="D203" s="113" t="s">
        <v>25</v>
      </c>
      <c r="E203" s="113"/>
      <c r="F203" s="118" t="s">
        <v>2030</v>
      </c>
      <c r="G203" s="113" t="s">
        <v>1479</v>
      </c>
      <c r="H203" s="113" t="s">
        <v>24</v>
      </c>
      <c r="I203" s="113">
        <v>11</v>
      </c>
      <c r="J203" s="113" t="s">
        <v>1109</v>
      </c>
      <c r="K203" s="115" t="s">
        <v>1968</v>
      </c>
      <c r="L203" s="115"/>
      <c r="M203" s="115"/>
      <c r="N203" s="115"/>
      <c r="O203" s="115"/>
      <c r="P203" s="115"/>
      <c r="Q203" s="115"/>
      <c r="R203" s="115"/>
      <c r="S203" s="113">
        <v>314</v>
      </c>
      <c r="T203" s="113">
        <v>44</v>
      </c>
      <c r="U203" s="113">
        <v>48</v>
      </c>
      <c r="V203" s="113">
        <v>65</v>
      </c>
      <c r="W203" s="113">
        <v>50</v>
      </c>
      <c r="X203" s="113">
        <v>64</v>
      </c>
      <c r="Y203" s="113">
        <v>43</v>
      </c>
      <c r="Z203" s="116">
        <v>12</v>
      </c>
      <c r="AA203" s="116">
        <v>5</v>
      </c>
      <c r="AB203" s="116">
        <v>4</v>
      </c>
      <c r="AC203" s="117">
        <f t="shared" si="3"/>
        <v>21</v>
      </c>
      <c r="AD203" s="113" t="s">
        <v>1545</v>
      </c>
      <c r="AE203" s="113" t="s">
        <v>974</v>
      </c>
      <c r="AF203" s="113" t="s">
        <v>946</v>
      </c>
      <c r="AG203" s="113"/>
      <c r="AH203" s="113" t="s">
        <v>946</v>
      </c>
      <c r="AI203" s="113" t="s">
        <v>1319</v>
      </c>
      <c r="AJ203" s="113" t="s">
        <v>1012</v>
      </c>
      <c r="AK203" s="113" t="s">
        <v>1004</v>
      </c>
      <c r="AL203" s="113" t="s">
        <v>1369</v>
      </c>
      <c r="AM203" s="113" t="s">
        <v>1026</v>
      </c>
      <c r="AN203" s="113" t="s">
        <v>1025</v>
      </c>
      <c r="AO203" s="113" t="s">
        <v>1026</v>
      </c>
      <c r="AP203" s="113" t="s">
        <v>1025</v>
      </c>
      <c r="AR203" s="5"/>
      <c r="AS203" s="5"/>
      <c r="AT203" s="5"/>
      <c r="AU203" s="5"/>
      <c r="AV203" s="5"/>
      <c r="AW203" s="5"/>
      <c r="AX203" s="5"/>
      <c r="AY203" s="5"/>
      <c r="AZ203" s="5"/>
      <c r="BA203" s="5"/>
      <c r="BB203" s="5"/>
      <c r="BC203" s="5"/>
      <c r="BD203" s="5"/>
      <c r="BE203" s="5"/>
      <c r="BF203" s="5"/>
      <c r="BG203" s="5"/>
      <c r="BH203" s="5"/>
      <c r="BI203" s="5"/>
    </row>
    <row r="204" spans="1:62" customFormat="1">
      <c r="A204" s="113">
        <v>29</v>
      </c>
      <c r="B204" s="113" t="s">
        <v>768</v>
      </c>
      <c r="C204" s="113" t="s">
        <v>1973</v>
      </c>
      <c r="D204" s="113" t="s">
        <v>15</v>
      </c>
      <c r="E204" s="113"/>
      <c r="F204" s="118" t="s">
        <v>2031</v>
      </c>
      <c r="G204" s="113" t="s">
        <v>1479</v>
      </c>
      <c r="H204" s="113" t="s">
        <v>768</v>
      </c>
      <c r="I204" s="113">
        <v>11</v>
      </c>
      <c r="J204" s="113" t="s">
        <v>1109</v>
      </c>
      <c r="K204" s="115" t="s">
        <v>1968</v>
      </c>
      <c r="L204" s="115"/>
      <c r="M204" s="115"/>
      <c r="N204" s="115"/>
      <c r="O204" s="115"/>
      <c r="P204" s="115"/>
      <c r="Q204" s="115"/>
      <c r="R204" s="115"/>
      <c r="S204" s="113">
        <v>275</v>
      </c>
      <c r="T204" s="113">
        <v>55</v>
      </c>
      <c r="U204" s="113">
        <v>47</v>
      </c>
      <c r="V204" s="113">
        <v>52</v>
      </c>
      <c r="W204" s="113">
        <v>40</v>
      </c>
      <c r="X204" s="113">
        <v>40</v>
      </c>
      <c r="Y204" s="113">
        <v>41</v>
      </c>
      <c r="Z204" s="116">
        <v>10</v>
      </c>
      <c r="AA204" s="116">
        <v>4</v>
      </c>
      <c r="AB204" s="116">
        <v>4</v>
      </c>
      <c r="AC204" s="117">
        <f t="shared" si="3"/>
        <v>18</v>
      </c>
      <c r="AD204" s="113" t="s">
        <v>1546</v>
      </c>
      <c r="AE204" s="113" t="s">
        <v>1089</v>
      </c>
      <c r="AF204" s="113" t="s">
        <v>946</v>
      </c>
      <c r="AG204" s="113"/>
      <c r="AH204" s="113" t="s">
        <v>946</v>
      </c>
      <c r="AI204" s="113" t="s">
        <v>1220</v>
      </c>
      <c r="AJ204" s="113" t="s">
        <v>1229</v>
      </c>
      <c r="AK204" s="113" t="s">
        <v>1005</v>
      </c>
      <c r="AL204" s="113" t="s">
        <v>1638</v>
      </c>
      <c r="AM204" s="113" t="s">
        <v>1226</v>
      </c>
      <c r="AN204" s="113" t="s">
        <v>1227</v>
      </c>
      <c r="AO204" s="113" t="s">
        <v>1226</v>
      </c>
      <c r="AP204" s="113" t="s">
        <v>1227</v>
      </c>
      <c r="AR204" s="5"/>
      <c r="AS204" s="5"/>
      <c r="AT204" s="5"/>
      <c r="AU204" s="5"/>
      <c r="AV204" s="5"/>
      <c r="AW204" s="5"/>
      <c r="AX204" s="5"/>
      <c r="AY204" s="5"/>
      <c r="AZ204" s="5"/>
      <c r="BA204" s="5"/>
      <c r="BB204" s="5"/>
      <c r="BC204" s="5"/>
      <c r="BD204" s="5"/>
      <c r="BE204" s="5"/>
      <c r="BF204" s="5"/>
      <c r="BG204" s="5"/>
      <c r="BH204" s="5"/>
      <c r="BI204" s="5"/>
    </row>
    <row r="205" spans="1:62" customFormat="1">
      <c r="A205" s="114">
        <v>161</v>
      </c>
      <c r="B205" s="114" t="s">
        <v>188</v>
      </c>
      <c r="C205" s="114" t="s">
        <v>1974</v>
      </c>
      <c r="D205" s="113" t="s">
        <v>36</v>
      </c>
      <c r="E205" s="113"/>
      <c r="F205" s="118" t="s">
        <v>2031</v>
      </c>
      <c r="G205" s="113" t="s">
        <v>1479</v>
      </c>
      <c r="H205" s="113" t="s">
        <v>188</v>
      </c>
      <c r="I205" s="113">
        <v>11</v>
      </c>
      <c r="J205" s="113" t="s">
        <v>1109</v>
      </c>
      <c r="K205" s="113" t="s">
        <v>1968</v>
      </c>
      <c r="L205" s="115"/>
      <c r="M205" s="115"/>
      <c r="N205" s="115"/>
      <c r="O205" s="115"/>
      <c r="P205" s="115"/>
      <c r="Q205" s="115"/>
      <c r="R205" s="115"/>
      <c r="S205" s="113">
        <v>215</v>
      </c>
      <c r="T205" s="113">
        <v>35</v>
      </c>
      <c r="U205" s="113">
        <v>46</v>
      </c>
      <c r="V205" s="113">
        <v>34</v>
      </c>
      <c r="W205" s="113">
        <v>35</v>
      </c>
      <c r="X205" s="113">
        <v>45</v>
      </c>
      <c r="Y205" s="113">
        <v>20</v>
      </c>
      <c r="Z205" s="116">
        <v>8</v>
      </c>
      <c r="AA205" s="116">
        <v>4</v>
      </c>
      <c r="AB205" s="116">
        <v>2</v>
      </c>
      <c r="AC205" s="117">
        <f t="shared" si="3"/>
        <v>14</v>
      </c>
      <c r="AD205" s="113" t="s">
        <v>1972</v>
      </c>
      <c r="AE205" s="113"/>
      <c r="AF205" s="113"/>
      <c r="AG205" s="113"/>
      <c r="AH205" s="113"/>
      <c r="AI205" s="113"/>
      <c r="AJ205" s="113"/>
      <c r="AK205" s="113"/>
      <c r="AL205" s="113"/>
      <c r="AM205" s="118"/>
      <c r="AN205" s="113"/>
      <c r="AO205" s="113"/>
      <c r="AP205" s="113"/>
      <c r="AR205" s="5"/>
      <c r="AS205" s="5"/>
      <c r="AT205" s="5"/>
      <c r="AU205" s="5"/>
      <c r="AV205" s="5"/>
      <c r="AW205" s="5"/>
      <c r="AX205" s="5"/>
      <c r="AY205" s="5"/>
      <c r="AZ205" s="5"/>
      <c r="BA205" s="5"/>
      <c r="BB205" s="5"/>
      <c r="BC205" s="5"/>
      <c r="BD205" s="5"/>
      <c r="BE205" s="5"/>
      <c r="BF205" s="5"/>
      <c r="BG205" s="5"/>
      <c r="BH205" s="5"/>
      <c r="BI205" s="5"/>
    </row>
    <row r="206" spans="1:62" customFormat="1">
      <c r="A206" s="113">
        <v>12</v>
      </c>
      <c r="B206" s="113" t="s">
        <v>31</v>
      </c>
      <c r="C206" s="113" t="s">
        <v>1973</v>
      </c>
      <c r="D206" s="113" t="s">
        <v>29</v>
      </c>
      <c r="E206" s="113" t="s">
        <v>22</v>
      </c>
      <c r="F206" s="118" t="s">
        <v>2031</v>
      </c>
      <c r="G206" s="113" t="s">
        <v>1477</v>
      </c>
      <c r="H206" s="113" t="s">
        <v>28</v>
      </c>
      <c r="I206" s="113">
        <v>31</v>
      </c>
      <c r="J206" s="113" t="s">
        <v>30</v>
      </c>
      <c r="K206" s="113" t="s">
        <v>1804</v>
      </c>
      <c r="L206" s="115"/>
      <c r="M206" s="115"/>
      <c r="N206" s="115"/>
      <c r="O206" s="115"/>
      <c r="P206" s="115"/>
      <c r="Q206" s="115"/>
      <c r="R206" s="115"/>
      <c r="S206" s="113">
        <v>395</v>
      </c>
      <c r="T206" s="113">
        <v>60</v>
      </c>
      <c r="U206" s="113">
        <v>45</v>
      </c>
      <c r="V206" s="113">
        <v>50</v>
      </c>
      <c r="W206" s="113">
        <v>90</v>
      </c>
      <c r="X206" s="113">
        <v>80</v>
      </c>
      <c r="Y206" s="113">
        <v>70</v>
      </c>
      <c r="Z206" s="116">
        <v>13</v>
      </c>
      <c r="AA206" s="116">
        <v>7</v>
      </c>
      <c r="AB206" s="116">
        <v>7</v>
      </c>
      <c r="AC206" s="117">
        <f t="shared" si="3"/>
        <v>27</v>
      </c>
      <c r="AD206" s="113" t="s">
        <v>946</v>
      </c>
      <c r="AE206" s="113" t="s">
        <v>1155</v>
      </c>
      <c r="AF206" s="113" t="s">
        <v>943</v>
      </c>
      <c r="AG206" s="113"/>
      <c r="AH206" s="113" t="s">
        <v>943</v>
      </c>
      <c r="AI206" s="113" t="s">
        <v>1036</v>
      </c>
      <c r="AJ206" s="113" t="s">
        <v>1045</v>
      </c>
      <c r="AK206" s="113" t="s">
        <v>1620</v>
      </c>
      <c r="AL206" s="115" t="s">
        <v>1035</v>
      </c>
      <c r="AM206" s="113" t="s">
        <v>1041</v>
      </c>
      <c r="AN206" s="113" t="s">
        <v>1042</v>
      </c>
      <c r="AO206" s="113" t="s">
        <v>1041</v>
      </c>
      <c r="AP206" s="113" t="s">
        <v>1042</v>
      </c>
      <c r="AR206" s="5"/>
      <c r="AS206" s="5"/>
      <c r="AT206" s="5"/>
      <c r="AU206" s="5"/>
      <c r="AV206" s="5"/>
      <c r="AW206" s="5"/>
      <c r="AX206" s="5"/>
      <c r="AY206" s="5"/>
      <c r="AZ206" s="5"/>
      <c r="BA206" s="5"/>
      <c r="BB206" s="5"/>
      <c r="BC206" s="5"/>
      <c r="BD206" s="5"/>
      <c r="BE206" s="5"/>
      <c r="BF206" s="5"/>
      <c r="BG206" s="5"/>
      <c r="BH206" s="5"/>
      <c r="BI206" s="5"/>
    </row>
    <row r="207" spans="1:62" customFormat="1">
      <c r="A207" s="113">
        <v>35</v>
      </c>
      <c r="B207" s="113" t="s">
        <v>55</v>
      </c>
      <c r="C207" s="113" t="s">
        <v>1973</v>
      </c>
      <c r="D207" s="113" t="s">
        <v>56</v>
      </c>
      <c r="E207" s="113"/>
      <c r="F207" s="118" t="s">
        <v>2031</v>
      </c>
      <c r="G207" s="113" t="s">
        <v>1478</v>
      </c>
      <c r="H207" s="113" t="s">
        <v>200</v>
      </c>
      <c r="I207" s="113">
        <v>21</v>
      </c>
      <c r="J207" s="113" t="s">
        <v>200</v>
      </c>
      <c r="K207" s="113" t="s">
        <v>1803</v>
      </c>
      <c r="L207" s="115">
        <v>30</v>
      </c>
      <c r="M207" s="115"/>
      <c r="N207" s="115"/>
      <c r="O207" s="115"/>
      <c r="P207" s="115"/>
      <c r="Q207" s="115"/>
      <c r="R207" s="115"/>
      <c r="S207" s="113">
        <v>323</v>
      </c>
      <c r="T207" s="113">
        <v>70</v>
      </c>
      <c r="U207" s="113">
        <v>45</v>
      </c>
      <c r="V207" s="113">
        <v>48</v>
      </c>
      <c r="W207" s="113">
        <v>60</v>
      </c>
      <c r="X207" s="113">
        <v>65</v>
      </c>
      <c r="Y207" s="113">
        <v>35</v>
      </c>
      <c r="Z207" s="116">
        <v>12</v>
      </c>
      <c r="AA207" s="116">
        <v>6</v>
      </c>
      <c r="AB207" s="116">
        <v>4</v>
      </c>
      <c r="AC207" s="117">
        <f t="shared" si="3"/>
        <v>22</v>
      </c>
      <c r="AD207" s="113" t="s">
        <v>1545</v>
      </c>
      <c r="AE207" s="113" t="s">
        <v>1643</v>
      </c>
      <c r="AF207" s="113" t="s">
        <v>943</v>
      </c>
      <c r="AG207" s="113" t="s">
        <v>971</v>
      </c>
      <c r="AH207" s="113" t="s">
        <v>946</v>
      </c>
      <c r="AI207" s="113" t="s">
        <v>1641</v>
      </c>
      <c r="AJ207" s="113" t="s">
        <v>1248</v>
      </c>
      <c r="AK207" s="113" t="s">
        <v>1247</v>
      </c>
      <c r="AL207" s="113" t="s">
        <v>1634</v>
      </c>
      <c r="AM207" s="113" t="s">
        <v>1252</v>
      </c>
      <c r="AN207" s="113" t="s">
        <v>1251</v>
      </c>
      <c r="AO207" s="113" t="s">
        <v>1252</v>
      </c>
      <c r="AP207" s="113" t="s">
        <v>1251</v>
      </c>
      <c r="AR207" s="5"/>
      <c r="AS207" s="5"/>
      <c r="AT207" s="5"/>
      <c r="AU207" s="5"/>
      <c r="AV207" s="5"/>
      <c r="AW207" s="5"/>
      <c r="AX207" s="5"/>
      <c r="AY207" s="5"/>
      <c r="AZ207" s="5"/>
      <c r="BA207" s="5"/>
      <c r="BB207" s="5"/>
      <c r="BC207" s="5"/>
      <c r="BD207" s="5"/>
      <c r="BE207" s="5"/>
      <c r="BF207" s="5"/>
      <c r="BG207" s="5"/>
      <c r="BH207" s="5"/>
      <c r="BI207" s="5"/>
      <c r="BJ207" s="5"/>
    </row>
    <row r="208" spans="1:62" customFormat="1">
      <c r="A208" s="114">
        <v>188</v>
      </c>
      <c r="B208" s="114" t="s">
        <v>215</v>
      </c>
      <c r="C208" s="114" t="s">
        <v>1974</v>
      </c>
      <c r="D208" s="113" t="s">
        <v>14</v>
      </c>
      <c r="E208" s="113" t="s">
        <v>22</v>
      </c>
      <c r="F208" s="118" t="s">
        <v>2031</v>
      </c>
      <c r="G208" s="113" t="s">
        <v>1478</v>
      </c>
      <c r="H208" s="113" t="s">
        <v>214</v>
      </c>
      <c r="I208" s="113">
        <v>21</v>
      </c>
      <c r="J208" s="113" t="s">
        <v>214</v>
      </c>
      <c r="K208" s="113" t="s">
        <v>1968</v>
      </c>
      <c r="L208" s="115"/>
      <c r="M208" s="115"/>
      <c r="N208" s="115"/>
      <c r="O208" s="115"/>
      <c r="P208" s="115"/>
      <c r="Q208" s="115"/>
      <c r="R208" s="115"/>
      <c r="S208" s="113">
        <v>340</v>
      </c>
      <c r="T208" s="113">
        <v>55</v>
      </c>
      <c r="U208" s="113">
        <v>45</v>
      </c>
      <c r="V208" s="113">
        <v>50</v>
      </c>
      <c r="W208" s="113">
        <v>45</v>
      </c>
      <c r="X208" s="113">
        <v>65</v>
      </c>
      <c r="Y208" s="113">
        <v>80</v>
      </c>
      <c r="Z208" s="116">
        <v>11</v>
      </c>
      <c r="AA208" s="116">
        <v>5</v>
      </c>
      <c r="AB208" s="116">
        <v>8</v>
      </c>
      <c r="AC208" s="117">
        <f t="shared" si="3"/>
        <v>24</v>
      </c>
      <c r="AD208" s="113" t="s">
        <v>1545</v>
      </c>
      <c r="AE208" s="113"/>
      <c r="AF208" s="113"/>
      <c r="AG208" s="113"/>
      <c r="AH208" s="113"/>
      <c r="AI208" s="113"/>
      <c r="AJ208" s="113"/>
      <c r="AK208" s="113"/>
      <c r="AL208" s="113"/>
      <c r="AM208" s="118"/>
      <c r="AN208" s="113"/>
      <c r="AO208" s="113"/>
      <c r="AP208" s="113"/>
      <c r="AR208" s="5"/>
      <c r="AS208" s="5"/>
      <c r="AT208" s="5"/>
      <c r="AU208" s="5"/>
      <c r="AV208" s="5"/>
      <c r="AW208" s="5"/>
      <c r="AX208" s="5"/>
      <c r="AY208" s="5"/>
      <c r="AZ208" s="5"/>
      <c r="BA208" s="5"/>
      <c r="BB208" s="5"/>
      <c r="BC208" s="5"/>
      <c r="BD208" s="5"/>
      <c r="BE208" s="5"/>
      <c r="BF208" s="5"/>
      <c r="BG208" s="5"/>
      <c r="BH208" s="5"/>
      <c r="BI208" s="5"/>
    </row>
    <row r="209" spans="1:62" customFormat="1">
      <c r="A209" s="113">
        <v>39</v>
      </c>
      <c r="B209" s="113" t="s">
        <v>60</v>
      </c>
      <c r="C209" s="113" t="s">
        <v>1973</v>
      </c>
      <c r="D209" s="113" t="s">
        <v>56</v>
      </c>
      <c r="E209" s="113" t="s">
        <v>36</v>
      </c>
      <c r="F209" s="118" t="s">
        <v>2031</v>
      </c>
      <c r="G209" s="113" t="s">
        <v>1478</v>
      </c>
      <c r="H209" s="113" t="s">
        <v>201</v>
      </c>
      <c r="I209" s="113">
        <v>21</v>
      </c>
      <c r="J209" s="113" t="s">
        <v>201</v>
      </c>
      <c r="K209" s="115" t="s">
        <v>1803</v>
      </c>
      <c r="L209" s="115">
        <v>30</v>
      </c>
      <c r="M209" s="115"/>
      <c r="N209" s="115"/>
      <c r="O209" s="115"/>
      <c r="P209" s="115"/>
      <c r="Q209" s="115"/>
      <c r="R209" s="115"/>
      <c r="S209" s="113">
        <v>270</v>
      </c>
      <c r="T209" s="113">
        <v>115</v>
      </c>
      <c r="U209" s="113">
        <v>45</v>
      </c>
      <c r="V209" s="113">
        <v>20</v>
      </c>
      <c r="W209" s="113">
        <v>45</v>
      </c>
      <c r="X209" s="113">
        <v>25</v>
      </c>
      <c r="Y209" s="113">
        <v>20</v>
      </c>
      <c r="Z209" s="116">
        <v>11</v>
      </c>
      <c r="AA209" s="116">
        <v>3</v>
      </c>
      <c r="AB209" s="116">
        <v>2</v>
      </c>
      <c r="AC209" s="117">
        <f t="shared" si="3"/>
        <v>16</v>
      </c>
      <c r="AD209" s="113" t="s">
        <v>1546</v>
      </c>
      <c r="AE209" s="113" t="s">
        <v>1170</v>
      </c>
      <c r="AF209" s="113" t="s">
        <v>943</v>
      </c>
      <c r="AG209" s="113" t="s">
        <v>1651</v>
      </c>
      <c r="AH209" s="113" t="s">
        <v>946</v>
      </c>
      <c r="AI209" s="113" t="s">
        <v>1257</v>
      </c>
      <c r="AJ209" s="113" t="s">
        <v>1641</v>
      </c>
      <c r="AK209" s="113" t="s">
        <v>1247</v>
      </c>
      <c r="AL209" s="113" t="s">
        <v>1636</v>
      </c>
      <c r="AM209" s="113" t="s">
        <v>1252</v>
      </c>
      <c r="AN209" s="113" t="s">
        <v>1259</v>
      </c>
      <c r="AO209" s="113" t="s">
        <v>1252</v>
      </c>
      <c r="AP209" s="113" t="s">
        <v>1259</v>
      </c>
      <c r="AR209" s="5"/>
      <c r="AS209" s="5"/>
      <c r="AT209" s="5"/>
      <c r="AU209" s="5"/>
      <c r="AV209" s="5"/>
      <c r="AW209" s="5"/>
      <c r="AX209" s="5"/>
      <c r="AY209" s="5"/>
      <c r="AZ209" s="5"/>
      <c r="BA209" s="5"/>
      <c r="BB209" s="5"/>
      <c r="BC209" s="5"/>
      <c r="BD209" s="5"/>
      <c r="BE209" s="5"/>
      <c r="BF209" s="5"/>
      <c r="BG209" s="5"/>
      <c r="BH209" s="5"/>
      <c r="BI209" s="5"/>
    </row>
    <row r="210" spans="1:62" customFormat="1">
      <c r="A210" s="113">
        <v>52</v>
      </c>
      <c r="B210" s="113" t="s">
        <v>73</v>
      </c>
      <c r="C210" s="113" t="s">
        <v>1973</v>
      </c>
      <c r="D210" s="113" t="s">
        <v>36</v>
      </c>
      <c r="E210" s="113"/>
      <c r="F210" s="118" t="s">
        <v>2031</v>
      </c>
      <c r="G210" s="113" t="s">
        <v>1479</v>
      </c>
      <c r="H210" s="113" t="s">
        <v>73</v>
      </c>
      <c r="I210" s="113">
        <v>11</v>
      </c>
      <c r="J210" s="113" t="s">
        <v>1109</v>
      </c>
      <c r="K210" s="115" t="s">
        <v>1968</v>
      </c>
      <c r="L210" s="115"/>
      <c r="M210" s="115"/>
      <c r="N210" s="115"/>
      <c r="O210" s="115"/>
      <c r="P210" s="115"/>
      <c r="Q210" s="115"/>
      <c r="R210" s="115"/>
      <c r="S210" s="113">
        <v>290</v>
      </c>
      <c r="T210" s="113">
        <v>40</v>
      </c>
      <c r="U210" s="113">
        <v>45</v>
      </c>
      <c r="V210" s="113">
        <v>35</v>
      </c>
      <c r="W210" s="113">
        <v>40</v>
      </c>
      <c r="X210" s="113">
        <v>40</v>
      </c>
      <c r="Y210" s="113">
        <v>90</v>
      </c>
      <c r="Z210" s="116">
        <v>8</v>
      </c>
      <c r="AA210" s="116">
        <v>4</v>
      </c>
      <c r="AB210" s="116">
        <v>9</v>
      </c>
      <c r="AC210" s="117">
        <f t="shared" si="3"/>
        <v>21</v>
      </c>
      <c r="AD210" s="113" t="s">
        <v>1545</v>
      </c>
      <c r="AE210" s="113" t="s">
        <v>1058</v>
      </c>
      <c r="AF210" s="113" t="s">
        <v>943</v>
      </c>
      <c r="AG210" s="113" t="s">
        <v>985</v>
      </c>
      <c r="AH210" s="113" t="s">
        <v>943</v>
      </c>
      <c r="AI210" s="113" t="s">
        <v>1017</v>
      </c>
      <c r="AJ210" s="113" t="s">
        <v>1273</v>
      </c>
      <c r="AK210" s="113" t="s">
        <v>1257</v>
      </c>
      <c r="AL210" s="113" t="s">
        <v>1005</v>
      </c>
      <c r="AM210" s="113" t="s">
        <v>1055</v>
      </c>
      <c r="AN210" s="113" t="s">
        <v>1054</v>
      </c>
      <c r="AO210" s="113" t="s">
        <v>1055</v>
      </c>
      <c r="AP210" s="113" t="s">
        <v>1054</v>
      </c>
      <c r="AR210" s="5"/>
      <c r="AS210" s="5"/>
      <c r="AT210" s="5"/>
      <c r="AU210" s="5"/>
      <c r="AV210" s="5"/>
      <c r="AW210" s="5"/>
      <c r="AX210" s="5"/>
      <c r="AY210" s="5"/>
      <c r="AZ210" s="5"/>
      <c r="BA210" s="5"/>
      <c r="BB210" s="5"/>
      <c r="BC210" s="5"/>
      <c r="BD210" s="5"/>
      <c r="BE210" s="5"/>
      <c r="BF210" s="5"/>
      <c r="BG210" s="5"/>
      <c r="BH210" s="5"/>
      <c r="BI210" s="5"/>
    </row>
    <row r="211" spans="1:62" customFormat="1">
      <c r="A211" s="113">
        <v>122</v>
      </c>
      <c r="B211" s="113" t="s">
        <v>149</v>
      </c>
      <c r="C211" s="113" t="s">
        <v>1973</v>
      </c>
      <c r="D211" s="113" t="s">
        <v>86</v>
      </c>
      <c r="E211" s="113" t="s">
        <v>56</v>
      </c>
      <c r="F211" s="118" t="s">
        <v>2031</v>
      </c>
      <c r="G211" s="113" t="s">
        <v>1477</v>
      </c>
      <c r="H211" s="113" t="s">
        <v>149</v>
      </c>
      <c r="I211" s="113">
        <v>11</v>
      </c>
      <c r="J211" s="113" t="s">
        <v>1109</v>
      </c>
      <c r="K211" s="113" t="s">
        <v>1804</v>
      </c>
      <c r="L211" s="115"/>
      <c r="M211" s="115"/>
      <c r="N211" s="115"/>
      <c r="O211" s="115"/>
      <c r="P211" s="115"/>
      <c r="Q211" s="115"/>
      <c r="R211" s="115"/>
      <c r="S211" s="113">
        <v>460</v>
      </c>
      <c r="T211" s="113">
        <v>40</v>
      </c>
      <c r="U211" s="113">
        <v>45</v>
      </c>
      <c r="V211" s="113">
        <v>65</v>
      </c>
      <c r="W211" s="113">
        <v>100</v>
      </c>
      <c r="X211" s="113">
        <v>120</v>
      </c>
      <c r="Y211" s="113">
        <v>90</v>
      </c>
      <c r="Z211" s="116">
        <v>15</v>
      </c>
      <c r="AA211" s="116">
        <v>6</v>
      </c>
      <c r="AB211" s="116">
        <v>9</v>
      </c>
      <c r="AC211" s="117">
        <f t="shared" si="3"/>
        <v>30</v>
      </c>
      <c r="AD211" s="113" t="s">
        <v>1538</v>
      </c>
      <c r="AE211" s="113" t="s">
        <v>1335</v>
      </c>
      <c r="AF211" s="113" t="s">
        <v>943</v>
      </c>
      <c r="AG211" s="113" t="s">
        <v>972</v>
      </c>
      <c r="AH211" s="113" t="s">
        <v>943</v>
      </c>
      <c r="AI211" s="113" t="s">
        <v>1771</v>
      </c>
      <c r="AJ211" s="113" t="s">
        <v>1106</v>
      </c>
      <c r="AK211" s="113" t="s">
        <v>1646</v>
      </c>
      <c r="AL211" s="113" t="s">
        <v>1770</v>
      </c>
      <c r="AM211" s="113" t="s">
        <v>1343</v>
      </c>
      <c r="AN211" s="113" t="s">
        <v>1342</v>
      </c>
      <c r="AO211" s="113" t="s">
        <v>1343</v>
      </c>
      <c r="AP211" s="113" t="s">
        <v>1342</v>
      </c>
      <c r="AR211" s="5"/>
      <c r="AS211" s="5"/>
      <c r="AT211" s="5"/>
      <c r="AU211" s="5"/>
      <c r="AV211" s="5"/>
      <c r="AW211" s="5"/>
      <c r="AX211" s="5"/>
      <c r="AY211" s="5"/>
      <c r="AZ211" s="5"/>
      <c r="BA211" s="5"/>
      <c r="BB211" s="5"/>
      <c r="BC211" s="5"/>
      <c r="BD211" s="5"/>
      <c r="BE211" s="5"/>
      <c r="BF211" s="5"/>
      <c r="BG211" s="5"/>
      <c r="BH211" s="5"/>
      <c r="BI211" s="5"/>
    </row>
    <row r="212" spans="1:62" customFormat="1">
      <c r="A212" s="113">
        <v>95</v>
      </c>
      <c r="B212" s="113" t="s">
        <v>122</v>
      </c>
      <c r="C212" s="113" t="s">
        <v>1973</v>
      </c>
      <c r="D212" s="113" t="s">
        <v>98</v>
      </c>
      <c r="E212" s="113" t="s">
        <v>49</v>
      </c>
      <c r="F212" s="118" t="s">
        <v>2031</v>
      </c>
      <c r="G212" s="113" t="s">
        <v>1479</v>
      </c>
      <c r="H212" s="113" t="s">
        <v>122</v>
      </c>
      <c r="I212" s="113">
        <v>11</v>
      </c>
      <c r="J212" s="113" t="s">
        <v>1109</v>
      </c>
      <c r="K212" s="113" t="s">
        <v>1964</v>
      </c>
      <c r="L212" s="115"/>
      <c r="M212" s="115"/>
      <c r="N212" s="115"/>
      <c r="O212" s="115"/>
      <c r="P212" s="115"/>
      <c r="Q212" s="115"/>
      <c r="R212" s="115"/>
      <c r="S212" s="113">
        <v>385</v>
      </c>
      <c r="T212" s="113">
        <v>35</v>
      </c>
      <c r="U212" s="113">
        <v>45</v>
      </c>
      <c r="V212" s="113">
        <v>160</v>
      </c>
      <c r="W212" s="113">
        <v>30</v>
      </c>
      <c r="X212" s="113">
        <v>45</v>
      </c>
      <c r="Y212" s="113">
        <v>70</v>
      </c>
      <c r="Z212" s="116">
        <v>16</v>
      </c>
      <c r="AA212" s="116">
        <v>6</v>
      </c>
      <c r="AB212" s="116">
        <v>7</v>
      </c>
      <c r="AC212" s="117">
        <f t="shared" si="3"/>
        <v>29</v>
      </c>
      <c r="AD212" s="113" t="s">
        <v>946</v>
      </c>
      <c r="AE212" s="113" t="s">
        <v>1203</v>
      </c>
      <c r="AF212" s="113" t="s">
        <v>946</v>
      </c>
      <c r="AG212" s="113"/>
      <c r="AH212" s="113" t="s">
        <v>946</v>
      </c>
      <c r="AI212" s="113" t="s">
        <v>1364</v>
      </c>
      <c r="AJ212" s="113" t="s">
        <v>1307</v>
      </c>
      <c r="AK212" s="113" t="s">
        <v>1314</v>
      </c>
      <c r="AL212" s="113" t="s">
        <v>1672</v>
      </c>
      <c r="AM212" s="113" t="s">
        <v>1306</v>
      </c>
      <c r="AN212" s="113" t="s">
        <v>1305</v>
      </c>
      <c r="AO212" s="113" t="s">
        <v>1306</v>
      </c>
      <c r="AP212" s="113" t="s">
        <v>1305</v>
      </c>
      <c r="AR212" s="5"/>
      <c r="AS212" s="5"/>
      <c r="AT212" s="5"/>
      <c r="AU212" s="5"/>
      <c r="AV212" s="5"/>
      <c r="AW212" s="5"/>
      <c r="AX212" s="5"/>
      <c r="AY212" s="5"/>
      <c r="AZ212" s="5"/>
      <c r="BA212" s="5"/>
      <c r="BB212" s="5"/>
      <c r="BC212" s="5"/>
      <c r="BD212" s="5"/>
      <c r="BE212" s="5"/>
      <c r="BF212" s="5"/>
      <c r="BG212" s="5"/>
      <c r="BH212" s="5"/>
      <c r="BI212" s="5"/>
    </row>
    <row r="213" spans="1:62" customFormat="1">
      <c r="A213" s="113">
        <v>16</v>
      </c>
      <c r="B213" s="113" t="s">
        <v>35</v>
      </c>
      <c r="C213" s="113" t="s">
        <v>1973</v>
      </c>
      <c r="D213" s="113" t="s">
        <v>22</v>
      </c>
      <c r="E213" s="113" t="s">
        <v>36</v>
      </c>
      <c r="F213" s="118" t="s">
        <v>2031</v>
      </c>
      <c r="G213" s="113" t="s">
        <v>1479</v>
      </c>
      <c r="H213" s="113" t="s">
        <v>35</v>
      </c>
      <c r="I213" s="113">
        <v>11</v>
      </c>
      <c r="J213" s="113" t="s">
        <v>1109</v>
      </c>
      <c r="K213" s="115" t="s">
        <v>1968</v>
      </c>
      <c r="L213" s="115"/>
      <c r="M213" s="115"/>
      <c r="N213" s="115"/>
      <c r="O213" s="115"/>
      <c r="P213" s="115"/>
      <c r="Q213" s="115"/>
      <c r="R213" s="115"/>
      <c r="S213" s="113">
        <v>251</v>
      </c>
      <c r="T213" s="113">
        <v>40</v>
      </c>
      <c r="U213" s="113">
        <v>45</v>
      </c>
      <c r="V213" s="113">
        <v>40</v>
      </c>
      <c r="W213" s="113">
        <v>35</v>
      </c>
      <c r="X213" s="113">
        <v>35</v>
      </c>
      <c r="Y213" s="113">
        <v>56</v>
      </c>
      <c r="Z213" s="116">
        <v>8</v>
      </c>
      <c r="AA213" s="116">
        <v>4</v>
      </c>
      <c r="AB213" s="116">
        <v>6</v>
      </c>
      <c r="AC213" s="117">
        <f t="shared" si="3"/>
        <v>18</v>
      </c>
      <c r="AD213" s="113" t="s">
        <v>1546</v>
      </c>
      <c r="AE213" s="113" t="s">
        <v>991</v>
      </c>
      <c r="AF213" s="113" t="s">
        <v>946</v>
      </c>
      <c r="AG213" s="113"/>
      <c r="AH213" s="113" t="s">
        <v>946</v>
      </c>
      <c r="AI213" s="113" t="s">
        <v>1004</v>
      </c>
      <c r="AJ213" s="113" t="s">
        <v>1045</v>
      </c>
      <c r="AK213" s="113" t="s">
        <v>1624</v>
      </c>
      <c r="AL213" s="113" t="s">
        <v>1220</v>
      </c>
      <c r="AM213" s="113" t="s">
        <v>1044</v>
      </c>
      <c r="AN213" s="113" t="s">
        <v>1043</v>
      </c>
      <c r="AO213" s="113" t="s">
        <v>1044</v>
      </c>
      <c r="AP213" s="113" t="s">
        <v>1043</v>
      </c>
      <c r="AR213" s="5"/>
      <c r="AS213" s="5"/>
      <c r="AT213" s="5"/>
      <c r="AU213" s="5"/>
      <c r="AV213" s="5"/>
      <c r="AW213" s="5"/>
      <c r="AX213" s="5"/>
      <c r="AY213" s="5"/>
      <c r="AZ213" s="5"/>
      <c r="BA213" s="5"/>
      <c r="BB213" s="5"/>
      <c r="BC213" s="5"/>
      <c r="BD213" s="5"/>
      <c r="BE213" s="5"/>
      <c r="BF213" s="5"/>
      <c r="BG213" s="5"/>
      <c r="BH213" s="5"/>
      <c r="BI213" s="5"/>
    </row>
    <row r="214" spans="1:62">
      <c r="A214" s="113">
        <v>86</v>
      </c>
      <c r="B214" s="113" t="s">
        <v>111</v>
      </c>
      <c r="C214" s="113" t="s">
        <v>1973</v>
      </c>
      <c r="D214" s="113" t="s">
        <v>25</v>
      </c>
      <c r="E214" s="113"/>
      <c r="F214" s="118" t="s">
        <v>2031</v>
      </c>
      <c r="G214" s="113" t="s">
        <v>1479</v>
      </c>
      <c r="H214" s="113" t="s">
        <v>111</v>
      </c>
      <c r="I214" s="113">
        <v>11</v>
      </c>
      <c r="J214" s="113" t="s">
        <v>1109</v>
      </c>
      <c r="K214" s="115" t="s">
        <v>1968</v>
      </c>
      <c r="L214" s="115"/>
      <c r="M214" s="115"/>
      <c r="N214" s="115"/>
      <c r="O214" s="115"/>
      <c r="P214" s="115"/>
      <c r="Q214" s="115"/>
      <c r="R214" s="115"/>
      <c r="S214" s="113">
        <v>325</v>
      </c>
      <c r="T214" s="113">
        <v>65</v>
      </c>
      <c r="U214" s="113">
        <v>45</v>
      </c>
      <c r="V214" s="113">
        <v>55</v>
      </c>
      <c r="W214" s="113">
        <v>45</v>
      </c>
      <c r="X214" s="113">
        <v>70</v>
      </c>
      <c r="Y214" s="113">
        <v>45</v>
      </c>
      <c r="Z214" s="116">
        <v>13</v>
      </c>
      <c r="AA214" s="116">
        <v>6</v>
      </c>
      <c r="AB214" s="116">
        <v>5</v>
      </c>
      <c r="AC214" s="117">
        <f t="shared" si="3"/>
        <v>24</v>
      </c>
      <c r="AD214" s="113" t="s">
        <v>1545</v>
      </c>
      <c r="AE214" s="113" t="s">
        <v>1172</v>
      </c>
      <c r="AF214" s="113" t="s">
        <v>943</v>
      </c>
      <c r="AG214" s="113" t="s">
        <v>1756</v>
      </c>
      <c r="AH214" s="113" t="s">
        <v>946</v>
      </c>
      <c r="AI214" s="113" t="s">
        <v>1357</v>
      </c>
      <c r="AJ214" s="113" t="s">
        <v>1318</v>
      </c>
      <c r="AK214" s="113" t="s">
        <v>1319</v>
      </c>
      <c r="AL214" s="113" t="s">
        <v>1127</v>
      </c>
      <c r="AM214" s="113" t="s">
        <v>1026</v>
      </c>
      <c r="AN214" s="113" t="s">
        <v>1025</v>
      </c>
      <c r="AO214" s="113" t="s">
        <v>1026</v>
      </c>
      <c r="AP214" s="113" t="s">
        <v>1025</v>
      </c>
      <c r="BJ214"/>
    </row>
    <row r="215" spans="1:62" customFormat="1">
      <c r="A215" s="113">
        <v>120</v>
      </c>
      <c r="B215" s="113" t="s">
        <v>147</v>
      </c>
      <c r="C215" s="113" t="s">
        <v>1973</v>
      </c>
      <c r="D215" s="113" t="s">
        <v>25</v>
      </c>
      <c r="E215" s="113"/>
      <c r="F215" s="118" t="s">
        <v>2031</v>
      </c>
      <c r="G215" s="113" t="s">
        <v>1479</v>
      </c>
      <c r="H215" s="113" t="s">
        <v>147</v>
      </c>
      <c r="I215" s="113">
        <v>11</v>
      </c>
      <c r="J215" s="113" t="s">
        <v>1109</v>
      </c>
      <c r="K215" s="113" t="s">
        <v>1803</v>
      </c>
      <c r="L215" s="115"/>
      <c r="M215" s="115"/>
      <c r="N215" s="115"/>
      <c r="O215" s="115"/>
      <c r="P215" s="115"/>
      <c r="Q215" s="115"/>
      <c r="R215" s="115"/>
      <c r="S215" s="113">
        <v>340</v>
      </c>
      <c r="T215" s="113">
        <v>30</v>
      </c>
      <c r="U215" s="113">
        <v>45</v>
      </c>
      <c r="V215" s="113">
        <v>55</v>
      </c>
      <c r="W215" s="113">
        <v>70</v>
      </c>
      <c r="X215" s="113">
        <v>55</v>
      </c>
      <c r="Y215" s="113">
        <v>85</v>
      </c>
      <c r="Z215" s="116">
        <v>9</v>
      </c>
      <c r="AA215" s="116">
        <v>5</v>
      </c>
      <c r="AB215" s="116">
        <v>9</v>
      </c>
      <c r="AC215" s="117">
        <f t="shared" si="3"/>
        <v>23</v>
      </c>
      <c r="AD215" s="113" t="s">
        <v>1545</v>
      </c>
      <c r="AE215" s="113" t="s">
        <v>1167</v>
      </c>
      <c r="AF215" s="113" t="s">
        <v>943</v>
      </c>
      <c r="AG215" s="113"/>
      <c r="AH215" s="113" t="s">
        <v>943</v>
      </c>
      <c r="AI215" s="113" t="s">
        <v>1036</v>
      </c>
      <c r="AJ215" s="113" t="s">
        <v>1012</v>
      </c>
      <c r="AK215" s="113" t="s">
        <v>1126</v>
      </c>
      <c r="AL215" s="113" t="s">
        <v>1640</v>
      </c>
      <c r="AM215" s="113" t="s">
        <v>1026</v>
      </c>
      <c r="AN215" s="113" t="s">
        <v>1025</v>
      </c>
      <c r="AO215" s="113" t="s">
        <v>1026</v>
      </c>
      <c r="AP215" s="113" t="s">
        <v>1025</v>
      </c>
      <c r="AR215" s="5"/>
      <c r="AS215" s="5"/>
      <c r="AT215" s="5"/>
      <c r="AU215" s="5"/>
      <c r="AV215" s="5"/>
      <c r="AW215" s="5"/>
      <c r="AX215" s="5"/>
      <c r="AY215" s="5"/>
      <c r="AZ215" s="5"/>
      <c r="BA215" s="5"/>
      <c r="BB215" s="5"/>
      <c r="BC215" s="5"/>
      <c r="BD215" s="5"/>
      <c r="BE215" s="5"/>
      <c r="BF215" s="5"/>
      <c r="BG215" s="5"/>
      <c r="BH215" s="5"/>
      <c r="BI215" s="5"/>
    </row>
    <row r="216" spans="1:62" customFormat="1">
      <c r="A216" s="114">
        <v>194</v>
      </c>
      <c r="B216" s="114" t="s">
        <v>221</v>
      </c>
      <c r="C216" s="114" t="s">
        <v>1974</v>
      </c>
      <c r="D216" s="113" t="s">
        <v>25</v>
      </c>
      <c r="E216" s="113" t="s">
        <v>49</v>
      </c>
      <c r="F216" s="118" t="s">
        <v>2031</v>
      </c>
      <c r="G216" s="113" t="s">
        <v>1479</v>
      </c>
      <c r="H216" s="113" t="s">
        <v>221</v>
      </c>
      <c r="I216" s="113">
        <v>11</v>
      </c>
      <c r="J216" s="113" t="s">
        <v>1109</v>
      </c>
      <c r="K216" s="113" t="s">
        <v>1968</v>
      </c>
      <c r="L216" s="115"/>
      <c r="M216" s="115"/>
      <c r="N216" s="115"/>
      <c r="O216" s="115"/>
      <c r="P216" s="115"/>
      <c r="Q216" s="115"/>
      <c r="R216" s="115"/>
      <c r="S216" s="113">
        <v>210</v>
      </c>
      <c r="T216" s="113">
        <v>55</v>
      </c>
      <c r="U216" s="113">
        <v>45</v>
      </c>
      <c r="V216" s="113">
        <v>45</v>
      </c>
      <c r="W216" s="113">
        <v>25</v>
      </c>
      <c r="X216" s="113">
        <v>25</v>
      </c>
      <c r="Y216" s="113">
        <v>15</v>
      </c>
      <c r="Z216" s="116">
        <v>8</v>
      </c>
      <c r="AA216" s="116">
        <v>4</v>
      </c>
      <c r="AB216" s="116">
        <v>2</v>
      </c>
      <c r="AC216" s="117">
        <f t="shared" si="3"/>
        <v>14</v>
      </c>
      <c r="AD216" s="113" t="s">
        <v>1972</v>
      </c>
      <c r="AE216" s="113"/>
      <c r="AF216" s="113"/>
      <c r="AG216" s="113"/>
      <c r="AH216" s="113"/>
      <c r="AI216" s="113"/>
      <c r="AJ216" s="113"/>
      <c r="AK216" s="113"/>
      <c r="AL216" s="113"/>
      <c r="AM216" s="118"/>
      <c r="AN216" s="113"/>
      <c r="AO216" s="113"/>
      <c r="AP216" s="113"/>
      <c r="AR216" s="5"/>
      <c r="AS216" s="5"/>
      <c r="AT216" s="5"/>
      <c r="AU216" s="5"/>
      <c r="AV216" s="5"/>
      <c r="AW216" s="5"/>
      <c r="AX216" s="5"/>
      <c r="AY216" s="5"/>
      <c r="AZ216" s="5"/>
      <c r="BA216" s="5"/>
      <c r="BB216" s="5"/>
      <c r="BC216" s="5"/>
      <c r="BD216" s="5"/>
      <c r="BE216" s="5"/>
      <c r="BF216" s="5"/>
      <c r="BG216" s="5"/>
      <c r="BH216" s="5"/>
      <c r="BI216" s="5"/>
    </row>
    <row r="217" spans="1:62" customFormat="1">
      <c r="A217" s="113">
        <v>41</v>
      </c>
      <c r="B217" s="113" t="s">
        <v>62</v>
      </c>
      <c r="C217" s="113" t="s">
        <v>1973</v>
      </c>
      <c r="D217" s="113" t="s">
        <v>15</v>
      </c>
      <c r="E217" s="113" t="s">
        <v>22</v>
      </c>
      <c r="F217" s="118" t="s">
        <v>2031</v>
      </c>
      <c r="G217" s="113" t="s">
        <v>1479</v>
      </c>
      <c r="H217" s="113" t="s">
        <v>62</v>
      </c>
      <c r="I217" s="113">
        <v>11</v>
      </c>
      <c r="J217" s="113" t="s">
        <v>1109</v>
      </c>
      <c r="K217" s="115" t="s">
        <v>1968</v>
      </c>
      <c r="L217" s="115"/>
      <c r="M217" s="115"/>
      <c r="N217" s="115"/>
      <c r="O217" s="115"/>
      <c r="P217" s="115"/>
      <c r="Q217" s="115"/>
      <c r="R217" s="115"/>
      <c r="S217" s="113">
        <v>245</v>
      </c>
      <c r="T217" s="113">
        <v>40</v>
      </c>
      <c r="U217" s="113">
        <v>45</v>
      </c>
      <c r="V217" s="113">
        <v>35</v>
      </c>
      <c r="W217" s="113">
        <v>30</v>
      </c>
      <c r="X217" s="113">
        <v>40</v>
      </c>
      <c r="Y217" s="113">
        <v>55</v>
      </c>
      <c r="Z217" s="116">
        <v>8</v>
      </c>
      <c r="AA217" s="116">
        <v>4</v>
      </c>
      <c r="AB217" s="116">
        <v>6</v>
      </c>
      <c r="AC217" s="117">
        <f t="shared" si="3"/>
        <v>18</v>
      </c>
      <c r="AD217" s="113" t="s">
        <v>1546</v>
      </c>
      <c r="AE217" s="113" t="s">
        <v>1195</v>
      </c>
      <c r="AF217" s="113" t="s">
        <v>943</v>
      </c>
      <c r="AG217" s="113" t="s">
        <v>1653</v>
      </c>
      <c r="AH217" s="113" t="s">
        <v>946</v>
      </c>
      <c r="AI217" s="113" t="s">
        <v>1262</v>
      </c>
      <c r="AJ217" s="113" t="s">
        <v>1017</v>
      </c>
      <c r="AK217" s="113" t="s">
        <v>1265</v>
      </c>
      <c r="AL217" s="113" t="s">
        <v>1655</v>
      </c>
      <c r="AM217" s="113" t="s">
        <v>1260</v>
      </c>
      <c r="AN217" s="113" t="s">
        <v>1261</v>
      </c>
      <c r="AO217" s="113" t="s">
        <v>1260</v>
      </c>
      <c r="AP217" s="113" t="s">
        <v>1261</v>
      </c>
      <c r="AR217" s="5"/>
      <c r="AS217" s="5"/>
      <c r="AT217" s="5"/>
      <c r="AU217" s="5"/>
      <c r="AV217" s="5"/>
      <c r="AW217" s="5"/>
      <c r="AX217" s="5"/>
      <c r="AY217" s="5"/>
      <c r="AZ217" s="5"/>
      <c r="BA217" s="5"/>
      <c r="BB217" s="5"/>
      <c r="BC217" s="5"/>
      <c r="BD217" s="5"/>
      <c r="BE217" s="5"/>
      <c r="BF217" s="5"/>
      <c r="BG217" s="5"/>
      <c r="BH217" s="5"/>
      <c r="BI217" s="5"/>
    </row>
    <row r="218" spans="1:62">
      <c r="A218" s="113">
        <v>37</v>
      </c>
      <c r="B218" s="113" t="s">
        <v>58</v>
      </c>
      <c r="C218" s="113" t="s">
        <v>1973</v>
      </c>
      <c r="D218" s="113" t="s">
        <v>19</v>
      </c>
      <c r="E218" s="113"/>
      <c r="F218" s="118" t="s">
        <v>2031</v>
      </c>
      <c r="G218" s="113" t="s">
        <v>1479</v>
      </c>
      <c r="H218" s="113" t="s">
        <v>58</v>
      </c>
      <c r="I218" s="113">
        <v>11</v>
      </c>
      <c r="J218" s="113" t="s">
        <v>1109</v>
      </c>
      <c r="K218" s="113" t="s">
        <v>1803</v>
      </c>
      <c r="L218" s="115"/>
      <c r="M218" s="115"/>
      <c r="N218" s="115"/>
      <c r="O218" s="115"/>
      <c r="P218" s="115"/>
      <c r="Q218" s="115"/>
      <c r="R218" s="115"/>
      <c r="S218" s="113">
        <v>299</v>
      </c>
      <c r="T218" s="113">
        <v>38</v>
      </c>
      <c r="U218" s="113">
        <v>41</v>
      </c>
      <c r="V218" s="113">
        <v>40</v>
      </c>
      <c r="W218" s="113">
        <v>50</v>
      </c>
      <c r="X218" s="113">
        <v>65</v>
      </c>
      <c r="Y218" s="113">
        <v>65</v>
      </c>
      <c r="Z218" s="116">
        <v>10</v>
      </c>
      <c r="AA218" s="116">
        <v>3</v>
      </c>
      <c r="AB218" s="116">
        <v>7</v>
      </c>
      <c r="AC218" s="117">
        <f t="shared" si="3"/>
        <v>20</v>
      </c>
      <c r="AD218" s="113" t="s">
        <v>1545</v>
      </c>
      <c r="AE218" s="113" t="s">
        <v>1135</v>
      </c>
      <c r="AF218" s="113" t="s">
        <v>946</v>
      </c>
      <c r="AG218" s="113"/>
      <c r="AH218" s="113" t="s">
        <v>946</v>
      </c>
      <c r="AI218" s="113" t="s">
        <v>1255</v>
      </c>
      <c r="AJ218" s="113" t="s">
        <v>1256</v>
      </c>
      <c r="AK218" s="113" t="s">
        <v>1126</v>
      </c>
      <c r="AL218" s="113" t="s">
        <v>1334</v>
      </c>
      <c r="AM218" s="113" t="s">
        <v>1030</v>
      </c>
      <c r="AN218" s="113" t="s">
        <v>1029</v>
      </c>
      <c r="AO218" s="113" t="s">
        <v>1030</v>
      </c>
      <c r="AP218" s="113" t="s">
        <v>1029</v>
      </c>
      <c r="BJ218"/>
    </row>
    <row r="219" spans="1:62" customFormat="1">
      <c r="A219" s="113">
        <v>102</v>
      </c>
      <c r="B219" s="113" t="s">
        <v>129</v>
      </c>
      <c r="C219" s="113" t="s">
        <v>1973</v>
      </c>
      <c r="D219" s="113" t="s">
        <v>14</v>
      </c>
      <c r="E219" s="113" t="s">
        <v>86</v>
      </c>
      <c r="F219" s="118" t="s">
        <v>2031</v>
      </c>
      <c r="G219" s="113" t="s">
        <v>1479</v>
      </c>
      <c r="H219" s="113" t="s">
        <v>129</v>
      </c>
      <c r="I219" s="113">
        <v>11</v>
      </c>
      <c r="J219" s="113" t="s">
        <v>1109</v>
      </c>
      <c r="K219" s="113" t="s">
        <v>1803</v>
      </c>
      <c r="L219" s="115"/>
      <c r="M219" s="115"/>
      <c r="N219" s="115"/>
      <c r="O219" s="115"/>
      <c r="P219" s="115"/>
      <c r="Q219" s="115"/>
      <c r="R219" s="115"/>
      <c r="S219" s="113">
        <v>325</v>
      </c>
      <c r="T219" s="113">
        <v>60</v>
      </c>
      <c r="U219" s="113">
        <v>40</v>
      </c>
      <c r="V219" s="113">
        <v>80</v>
      </c>
      <c r="W219" s="113">
        <v>60</v>
      </c>
      <c r="X219" s="113">
        <v>45</v>
      </c>
      <c r="Y219" s="113">
        <v>40</v>
      </c>
      <c r="Z219" s="116">
        <v>12</v>
      </c>
      <c r="AA219" s="116">
        <v>3</v>
      </c>
      <c r="AB219" s="116">
        <v>4</v>
      </c>
      <c r="AC219" s="117">
        <f t="shared" si="3"/>
        <v>19</v>
      </c>
      <c r="AD219" s="113" t="s">
        <v>1546</v>
      </c>
      <c r="AE219" s="113" t="s">
        <v>1214</v>
      </c>
      <c r="AF219" s="113" t="s">
        <v>946</v>
      </c>
      <c r="AG219" s="113" t="s">
        <v>1591</v>
      </c>
      <c r="AH219" s="113" t="s">
        <v>946</v>
      </c>
      <c r="AI219" s="113" t="s">
        <v>1370</v>
      </c>
      <c r="AJ219" s="113" t="s">
        <v>1036</v>
      </c>
      <c r="AK219" s="113" t="s">
        <v>1124</v>
      </c>
      <c r="AL219" s="113" t="s">
        <v>1590</v>
      </c>
      <c r="AM219" s="113" t="s">
        <v>1372</v>
      </c>
      <c r="AN219" s="113" t="s">
        <v>1373</v>
      </c>
      <c r="AO219" s="113" t="s">
        <v>1372</v>
      </c>
      <c r="AP219" s="113" t="s">
        <v>1373</v>
      </c>
      <c r="AR219" s="5"/>
      <c r="AS219" s="5"/>
      <c r="AT219" s="5"/>
      <c r="AU219" s="5"/>
      <c r="AV219" s="5"/>
      <c r="AW219" s="5"/>
      <c r="AX219" s="5"/>
      <c r="AY219" s="5"/>
      <c r="AZ219" s="5"/>
      <c r="BA219" s="5"/>
      <c r="BB219" s="5"/>
      <c r="BC219" s="5"/>
      <c r="BD219" s="5"/>
      <c r="BE219" s="5"/>
      <c r="BF219" s="5"/>
      <c r="BG219" s="5"/>
      <c r="BH219" s="5"/>
      <c r="BI219" s="5"/>
      <c r="BJ219" s="5"/>
    </row>
    <row r="220" spans="1:62" customFormat="1">
      <c r="A220" s="113">
        <v>116</v>
      </c>
      <c r="B220" s="113" t="s">
        <v>143</v>
      </c>
      <c r="C220" s="113" t="s">
        <v>1973</v>
      </c>
      <c r="D220" s="113" t="s">
        <v>25</v>
      </c>
      <c r="E220" s="113"/>
      <c r="F220" s="118" t="s">
        <v>2031</v>
      </c>
      <c r="G220" s="113" t="s">
        <v>1479</v>
      </c>
      <c r="H220" s="113" t="s">
        <v>143</v>
      </c>
      <c r="I220" s="113">
        <v>11</v>
      </c>
      <c r="J220" s="113" t="s">
        <v>1109</v>
      </c>
      <c r="K220" s="115" t="s">
        <v>1968</v>
      </c>
      <c r="L220" s="115"/>
      <c r="M220" s="115"/>
      <c r="N220" s="115"/>
      <c r="O220" s="115"/>
      <c r="P220" s="115"/>
      <c r="Q220" s="115"/>
      <c r="R220" s="115"/>
      <c r="S220" s="113">
        <v>295</v>
      </c>
      <c r="T220" s="113">
        <v>30</v>
      </c>
      <c r="U220" s="113">
        <v>40</v>
      </c>
      <c r="V220" s="113">
        <v>70</v>
      </c>
      <c r="W220" s="113">
        <v>70</v>
      </c>
      <c r="X220" s="113">
        <v>25</v>
      </c>
      <c r="Y220" s="113">
        <v>60</v>
      </c>
      <c r="Z220" s="116">
        <v>8</v>
      </c>
      <c r="AA220" s="116">
        <v>4</v>
      </c>
      <c r="AB220" s="116">
        <v>6</v>
      </c>
      <c r="AC220" s="117">
        <f t="shared" si="3"/>
        <v>18</v>
      </c>
      <c r="AD220" s="113" t="s">
        <v>1546</v>
      </c>
      <c r="AE220" s="113" t="s">
        <v>1216</v>
      </c>
      <c r="AF220" s="113" t="s">
        <v>943</v>
      </c>
      <c r="AG220" s="113"/>
      <c r="AH220" s="113" t="s">
        <v>943</v>
      </c>
      <c r="AI220" s="113" t="s">
        <v>1012</v>
      </c>
      <c r="AJ220" s="113" t="s">
        <v>1046</v>
      </c>
      <c r="AK220" s="113" t="s">
        <v>1216</v>
      </c>
      <c r="AL220" s="113" t="s">
        <v>1319</v>
      </c>
      <c r="AM220" s="113" t="s">
        <v>1026</v>
      </c>
      <c r="AN220" s="113" t="s">
        <v>1025</v>
      </c>
      <c r="AO220" s="113" t="s">
        <v>1026</v>
      </c>
      <c r="AP220" s="113" t="s">
        <v>1025</v>
      </c>
      <c r="AR220" s="5"/>
      <c r="AS220" s="5"/>
      <c r="AT220" s="5"/>
      <c r="AU220" s="5"/>
      <c r="AV220" s="5"/>
      <c r="AW220" s="5"/>
      <c r="AX220" s="5"/>
      <c r="AY220" s="5"/>
      <c r="AZ220" s="5"/>
      <c r="BA220" s="5"/>
      <c r="BB220" s="5"/>
      <c r="BC220" s="5"/>
      <c r="BD220" s="5"/>
      <c r="BE220" s="5"/>
      <c r="BF220" s="5"/>
      <c r="BG220" s="5"/>
      <c r="BH220" s="5"/>
      <c r="BI220" s="5"/>
    </row>
    <row r="221" spans="1:62" customFormat="1">
      <c r="A221" s="114">
        <v>226</v>
      </c>
      <c r="B221" s="114" t="s">
        <v>253</v>
      </c>
      <c r="C221" s="114" t="s">
        <v>1974</v>
      </c>
      <c r="D221" s="113" t="s">
        <v>25</v>
      </c>
      <c r="E221" s="113" t="s">
        <v>22</v>
      </c>
      <c r="F221" s="118" t="s">
        <v>2031</v>
      </c>
      <c r="G221" s="113" t="s">
        <v>1477</v>
      </c>
      <c r="H221" s="113" t="s">
        <v>253</v>
      </c>
      <c r="I221" s="113">
        <v>11</v>
      </c>
      <c r="J221" s="113" t="s">
        <v>1109</v>
      </c>
      <c r="K221" s="113" t="s">
        <v>1804</v>
      </c>
      <c r="L221" s="115"/>
      <c r="M221" s="115"/>
      <c r="N221" s="115"/>
      <c r="O221" s="115"/>
      <c r="P221" s="115"/>
      <c r="Q221" s="115"/>
      <c r="R221" s="115"/>
      <c r="S221" s="113">
        <v>465</v>
      </c>
      <c r="T221" s="113">
        <v>65</v>
      </c>
      <c r="U221" s="113">
        <v>40</v>
      </c>
      <c r="V221" s="113">
        <v>70</v>
      </c>
      <c r="W221" s="113">
        <v>80</v>
      </c>
      <c r="X221" s="113">
        <v>140</v>
      </c>
      <c r="Y221" s="113">
        <v>70</v>
      </c>
      <c r="Z221" s="116">
        <v>18</v>
      </c>
      <c r="AA221" s="116">
        <v>6</v>
      </c>
      <c r="AB221" s="116">
        <v>7</v>
      </c>
      <c r="AC221" s="117">
        <f t="shared" si="3"/>
        <v>31</v>
      </c>
      <c r="AD221" s="113" t="s">
        <v>1538</v>
      </c>
      <c r="AE221" s="113"/>
      <c r="AF221" s="113"/>
      <c r="AG221" s="113"/>
      <c r="AH221" s="113"/>
      <c r="AI221" s="113"/>
      <c r="AJ221" s="113"/>
      <c r="AK221" s="113"/>
      <c r="AL221" s="113"/>
      <c r="AM221" s="118"/>
      <c r="AN221" s="113"/>
      <c r="AO221" s="113"/>
      <c r="AP221" s="113"/>
      <c r="AR221" s="5"/>
      <c r="AS221" s="5"/>
      <c r="AT221" s="5"/>
      <c r="AU221" s="5"/>
      <c r="AV221" s="5"/>
      <c r="AW221" s="5"/>
      <c r="AX221" s="5"/>
      <c r="AY221" s="5"/>
      <c r="AZ221" s="5"/>
      <c r="BA221" s="5"/>
      <c r="BB221" s="5"/>
      <c r="BC221" s="5"/>
      <c r="BD221" s="5"/>
      <c r="BE221" s="5"/>
      <c r="BF221" s="5"/>
      <c r="BG221" s="5"/>
      <c r="BH221" s="5"/>
      <c r="BI221" s="5"/>
    </row>
    <row r="222" spans="1:62" customFormat="1">
      <c r="A222" s="114">
        <v>179</v>
      </c>
      <c r="B222" s="114" t="s">
        <v>206</v>
      </c>
      <c r="C222" s="114" t="s">
        <v>1974</v>
      </c>
      <c r="D222" s="113" t="s">
        <v>46</v>
      </c>
      <c r="E222" s="113"/>
      <c r="F222" s="118" t="s">
        <v>2031</v>
      </c>
      <c r="G222" s="113" t="s">
        <v>1479</v>
      </c>
      <c r="H222" s="113" t="s">
        <v>206</v>
      </c>
      <c r="I222" s="113">
        <v>11</v>
      </c>
      <c r="J222" s="113" t="s">
        <v>1109</v>
      </c>
      <c r="K222" s="113" t="s">
        <v>1968</v>
      </c>
      <c r="L222" s="115"/>
      <c r="M222" s="115"/>
      <c r="N222" s="115"/>
      <c r="O222" s="115"/>
      <c r="P222" s="115"/>
      <c r="Q222" s="115"/>
      <c r="R222" s="115"/>
      <c r="S222" s="113">
        <v>280</v>
      </c>
      <c r="T222" s="113">
        <v>55</v>
      </c>
      <c r="U222" s="113">
        <v>40</v>
      </c>
      <c r="V222" s="113">
        <v>40</v>
      </c>
      <c r="W222" s="113">
        <v>65</v>
      </c>
      <c r="X222" s="113">
        <v>45</v>
      </c>
      <c r="Y222" s="113">
        <v>35</v>
      </c>
      <c r="Z222" s="116">
        <v>9</v>
      </c>
      <c r="AA222" s="116">
        <v>5</v>
      </c>
      <c r="AB222" s="116">
        <v>4</v>
      </c>
      <c r="AC222" s="117">
        <f t="shared" si="3"/>
        <v>18</v>
      </c>
      <c r="AD222" s="113" t="s">
        <v>1546</v>
      </c>
      <c r="AE222" s="113"/>
      <c r="AF222" s="113"/>
      <c r="AG222" s="113"/>
      <c r="AH222" s="113"/>
      <c r="AI222" s="113"/>
      <c r="AJ222" s="113"/>
      <c r="AK222" s="113"/>
      <c r="AL222" s="113"/>
      <c r="AM222" s="118"/>
      <c r="AN222" s="113"/>
      <c r="AO222" s="113"/>
      <c r="AP222" s="113"/>
      <c r="AR222" s="5"/>
      <c r="AS222" s="5"/>
      <c r="AT222" s="5"/>
      <c r="AU222" s="5"/>
      <c r="AV222" s="5"/>
      <c r="AW222" s="5"/>
      <c r="AX222" s="5"/>
      <c r="AY222" s="5"/>
      <c r="AZ222" s="5"/>
      <c r="BA222" s="5"/>
      <c r="BB222" s="5"/>
      <c r="BC222" s="5"/>
      <c r="BD222" s="5"/>
      <c r="BE222" s="5"/>
      <c r="BF222" s="5"/>
      <c r="BG222" s="5"/>
      <c r="BH222" s="5"/>
      <c r="BI222" s="5"/>
    </row>
    <row r="223" spans="1:62" customFormat="1">
      <c r="A223" s="113">
        <v>138</v>
      </c>
      <c r="B223" s="113" t="s">
        <v>166</v>
      </c>
      <c r="C223" s="113" t="s">
        <v>1973</v>
      </c>
      <c r="D223" s="113" t="s">
        <v>25</v>
      </c>
      <c r="E223" s="113" t="s">
        <v>98</v>
      </c>
      <c r="F223" s="118" t="s">
        <v>2031</v>
      </c>
      <c r="G223" s="113" t="s">
        <v>1479</v>
      </c>
      <c r="H223" s="113" t="s">
        <v>166</v>
      </c>
      <c r="I223" s="113">
        <v>11</v>
      </c>
      <c r="J223" s="113" t="s">
        <v>1109</v>
      </c>
      <c r="K223" s="115" t="s">
        <v>1968</v>
      </c>
      <c r="L223" s="115"/>
      <c r="M223" s="115"/>
      <c r="N223" s="115"/>
      <c r="O223" s="115"/>
      <c r="P223" s="115"/>
      <c r="Q223" s="115"/>
      <c r="R223" s="115"/>
      <c r="S223" s="113">
        <v>355</v>
      </c>
      <c r="T223" s="113">
        <v>35</v>
      </c>
      <c r="U223" s="113">
        <v>40</v>
      </c>
      <c r="V223" s="113">
        <v>100</v>
      </c>
      <c r="W223" s="113">
        <v>90</v>
      </c>
      <c r="X223" s="113">
        <v>55</v>
      </c>
      <c r="Y223" s="113">
        <v>35</v>
      </c>
      <c r="Z223" s="116">
        <v>13</v>
      </c>
      <c r="AA223" s="116">
        <v>5</v>
      </c>
      <c r="AB223" s="116">
        <v>4</v>
      </c>
      <c r="AC223" s="117">
        <f t="shared" si="3"/>
        <v>22</v>
      </c>
      <c r="AD223" s="113" t="s">
        <v>1545</v>
      </c>
      <c r="AE223" s="113" t="s">
        <v>1077</v>
      </c>
      <c r="AF223" s="113" t="s">
        <v>943</v>
      </c>
      <c r="AG223" s="113"/>
      <c r="AH223" s="113" t="s">
        <v>943</v>
      </c>
      <c r="AI223" s="113" t="s">
        <v>1319</v>
      </c>
      <c r="AJ223" s="113" t="s">
        <v>1318</v>
      </c>
      <c r="AK223" s="113" t="s">
        <v>1636</v>
      </c>
      <c r="AL223" s="113" t="s">
        <v>1612</v>
      </c>
      <c r="AM223" s="113" t="s">
        <v>1323</v>
      </c>
      <c r="AN223" s="113" t="s">
        <v>1322</v>
      </c>
      <c r="AO223" s="113" t="s">
        <v>1323</v>
      </c>
      <c r="AP223" s="113" t="s">
        <v>1322</v>
      </c>
      <c r="AR223" s="5"/>
      <c r="AS223" s="5"/>
      <c r="AT223" s="5"/>
      <c r="AU223" s="5"/>
      <c r="AV223" s="5"/>
      <c r="AW223" s="5"/>
      <c r="AX223" s="5"/>
      <c r="AY223" s="5"/>
      <c r="AZ223" s="5"/>
      <c r="BA223" s="5"/>
      <c r="BB223" s="5"/>
      <c r="BC223" s="5"/>
      <c r="BD223" s="5"/>
      <c r="BE223" s="5"/>
      <c r="BF223" s="5"/>
      <c r="BG223" s="5"/>
      <c r="BH223" s="5"/>
      <c r="BI223" s="5"/>
    </row>
    <row r="224" spans="1:62" customFormat="1">
      <c r="A224" s="114">
        <v>172</v>
      </c>
      <c r="B224" s="114" t="s">
        <v>199</v>
      </c>
      <c r="C224" s="114" t="s">
        <v>1974</v>
      </c>
      <c r="D224" s="113" t="s">
        <v>46</v>
      </c>
      <c r="E224" s="113"/>
      <c r="F224" s="118" t="s">
        <v>2031</v>
      </c>
      <c r="G224" s="113" t="s">
        <v>1479</v>
      </c>
      <c r="H224" s="113" t="s">
        <v>199</v>
      </c>
      <c r="I224" s="113">
        <v>11</v>
      </c>
      <c r="J224" s="113" t="s">
        <v>1109</v>
      </c>
      <c r="K224" s="113" t="s">
        <v>1968</v>
      </c>
      <c r="L224" s="115"/>
      <c r="M224" s="115"/>
      <c r="N224" s="115"/>
      <c r="O224" s="115"/>
      <c r="P224" s="115"/>
      <c r="Q224" s="115"/>
      <c r="R224" s="115"/>
      <c r="S224" s="113">
        <v>205</v>
      </c>
      <c r="T224" s="113">
        <v>20</v>
      </c>
      <c r="U224" s="113">
        <v>40</v>
      </c>
      <c r="V224" s="113">
        <v>15</v>
      </c>
      <c r="W224" s="113">
        <v>35</v>
      </c>
      <c r="X224" s="113">
        <v>35</v>
      </c>
      <c r="Y224" s="113">
        <v>60</v>
      </c>
      <c r="Z224" s="116">
        <v>5</v>
      </c>
      <c r="AA224" s="116">
        <v>4</v>
      </c>
      <c r="AB224" s="116">
        <v>6</v>
      </c>
      <c r="AC224" s="117">
        <f t="shared" si="3"/>
        <v>15</v>
      </c>
      <c r="AD224" s="113" t="s">
        <v>1972</v>
      </c>
      <c r="AE224" s="113"/>
      <c r="AF224" s="113"/>
      <c r="AG224" s="113"/>
      <c r="AH224" s="113"/>
      <c r="AI224" s="113"/>
      <c r="AJ224" s="113"/>
      <c r="AK224" s="113"/>
      <c r="AL224" s="113"/>
      <c r="AM224" s="118"/>
      <c r="AN224" s="113"/>
      <c r="AO224" s="113"/>
      <c r="AP224" s="113"/>
      <c r="AR224" s="5"/>
      <c r="AS224" s="5"/>
      <c r="AT224" s="5"/>
      <c r="AU224" s="5"/>
      <c r="AV224" s="5"/>
      <c r="AW224" s="5"/>
      <c r="AX224" s="5"/>
      <c r="AY224" s="5"/>
      <c r="AZ224" s="5"/>
      <c r="BA224" s="5"/>
      <c r="BB224" s="5"/>
      <c r="BC224" s="5"/>
      <c r="BD224" s="5"/>
      <c r="BE224" s="5"/>
      <c r="BF224" s="5"/>
      <c r="BG224" s="5"/>
      <c r="BH224" s="5"/>
      <c r="BI224" s="5"/>
      <c r="BJ224" s="5"/>
    </row>
    <row r="225" spans="1:62" customFormat="1">
      <c r="A225" s="114">
        <v>218</v>
      </c>
      <c r="B225" s="114" t="s">
        <v>245</v>
      </c>
      <c r="C225" s="114" t="s">
        <v>1974</v>
      </c>
      <c r="D225" s="113" t="s">
        <v>19</v>
      </c>
      <c r="E225" s="113"/>
      <c r="F225" s="118" t="s">
        <v>2031</v>
      </c>
      <c r="G225" s="113" t="s">
        <v>1479</v>
      </c>
      <c r="H225" s="113" t="s">
        <v>245</v>
      </c>
      <c r="I225" s="113">
        <v>11</v>
      </c>
      <c r="J225" s="113" t="s">
        <v>1109</v>
      </c>
      <c r="K225" s="113" t="s">
        <v>1968</v>
      </c>
      <c r="L225" s="115"/>
      <c r="M225" s="115"/>
      <c r="N225" s="115"/>
      <c r="O225" s="115"/>
      <c r="P225" s="115"/>
      <c r="Q225" s="115"/>
      <c r="R225" s="115"/>
      <c r="S225" s="113">
        <v>250</v>
      </c>
      <c r="T225" s="113">
        <v>40</v>
      </c>
      <c r="U225" s="113">
        <v>40</v>
      </c>
      <c r="V225" s="113">
        <v>40</v>
      </c>
      <c r="W225" s="113">
        <v>70</v>
      </c>
      <c r="X225" s="113">
        <v>40</v>
      </c>
      <c r="Y225" s="113">
        <v>20</v>
      </c>
      <c r="Z225" s="116">
        <v>8</v>
      </c>
      <c r="AA225" s="116">
        <v>6</v>
      </c>
      <c r="AB225" s="116">
        <v>2</v>
      </c>
      <c r="AC225" s="117">
        <f t="shared" si="3"/>
        <v>16</v>
      </c>
      <c r="AD225" s="113" t="s">
        <v>1546</v>
      </c>
      <c r="AE225" s="113"/>
      <c r="AF225" s="113"/>
      <c r="AG225" s="113"/>
      <c r="AH225" s="113"/>
      <c r="AI225" s="113"/>
      <c r="AJ225" s="113"/>
      <c r="AK225" s="113"/>
      <c r="AL225" s="113"/>
      <c r="AM225" s="118"/>
      <c r="AN225" s="113"/>
      <c r="AO225" s="113"/>
      <c r="AP225" s="113"/>
      <c r="AR225" s="5"/>
      <c r="AS225" s="5"/>
      <c r="AT225" s="5"/>
      <c r="AU225" s="5"/>
      <c r="AV225" s="5"/>
      <c r="AW225" s="5"/>
      <c r="AX225" s="5"/>
      <c r="AY225" s="5"/>
      <c r="AZ225" s="5"/>
      <c r="BA225" s="5"/>
      <c r="BB225" s="5"/>
      <c r="BC225" s="5"/>
      <c r="BD225" s="5"/>
      <c r="BE225" s="5"/>
      <c r="BF225" s="5"/>
      <c r="BG225" s="5"/>
      <c r="BH225" s="5"/>
      <c r="BI225" s="5"/>
    </row>
    <row r="226" spans="1:62" customFormat="1">
      <c r="A226" s="113">
        <v>72</v>
      </c>
      <c r="B226" s="113" t="s">
        <v>95</v>
      </c>
      <c r="C226" s="113" t="s">
        <v>1973</v>
      </c>
      <c r="D226" s="113" t="s">
        <v>25</v>
      </c>
      <c r="E226" s="113" t="s">
        <v>15</v>
      </c>
      <c r="F226" s="118" t="s">
        <v>2031</v>
      </c>
      <c r="G226" s="113" t="s">
        <v>1479</v>
      </c>
      <c r="H226" s="113" t="s">
        <v>95</v>
      </c>
      <c r="I226" s="113">
        <v>11</v>
      </c>
      <c r="J226" s="113" t="s">
        <v>1109</v>
      </c>
      <c r="K226" s="115" t="s">
        <v>1968</v>
      </c>
      <c r="L226" s="115"/>
      <c r="M226" s="115"/>
      <c r="N226" s="115"/>
      <c r="O226" s="115"/>
      <c r="P226" s="115"/>
      <c r="Q226" s="115"/>
      <c r="R226" s="115"/>
      <c r="S226" s="113">
        <v>335</v>
      </c>
      <c r="T226" s="113">
        <v>40</v>
      </c>
      <c r="U226" s="113">
        <v>40</v>
      </c>
      <c r="V226" s="113">
        <v>35</v>
      </c>
      <c r="W226" s="113">
        <v>50</v>
      </c>
      <c r="X226" s="113">
        <v>100</v>
      </c>
      <c r="Y226" s="113">
        <v>70</v>
      </c>
      <c r="Z226" s="116">
        <v>12</v>
      </c>
      <c r="AA226" s="116">
        <v>4</v>
      </c>
      <c r="AB226" s="116">
        <v>7</v>
      </c>
      <c r="AC226" s="117">
        <f t="shared" si="3"/>
        <v>23</v>
      </c>
      <c r="AD226" s="113" t="s">
        <v>1545</v>
      </c>
      <c r="AE226" s="113" t="s">
        <v>1180</v>
      </c>
      <c r="AF226" s="113" t="s">
        <v>943</v>
      </c>
      <c r="AG226" s="113" t="s">
        <v>1746</v>
      </c>
      <c r="AH226" s="113" t="s">
        <v>946</v>
      </c>
      <c r="AI226" s="113" t="s">
        <v>1223</v>
      </c>
      <c r="AJ226" s="113" t="s">
        <v>1012</v>
      </c>
      <c r="AK226" s="113" t="s">
        <v>1747</v>
      </c>
      <c r="AL226" s="113" t="s">
        <v>1126</v>
      </c>
      <c r="AM226" s="113" t="s">
        <v>1302</v>
      </c>
      <c r="AN226" s="113" t="s">
        <v>1303</v>
      </c>
      <c r="AO226" s="113" t="s">
        <v>1302</v>
      </c>
      <c r="AP226" s="113" t="s">
        <v>1303</v>
      </c>
      <c r="AR226" s="5"/>
      <c r="AS226" s="5"/>
      <c r="AT226" s="5"/>
      <c r="AU226" s="5"/>
      <c r="AV226" s="5"/>
      <c r="AW226" s="5"/>
      <c r="AX226" s="5"/>
      <c r="AY226" s="5"/>
      <c r="AZ226" s="5"/>
      <c r="BA226" s="5"/>
      <c r="BB226" s="5"/>
      <c r="BC226" s="5"/>
      <c r="BD226" s="5"/>
      <c r="BE226" s="5"/>
      <c r="BF226" s="5"/>
      <c r="BG226" s="5"/>
      <c r="BH226" s="5"/>
      <c r="BI226" s="5"/>
    </row>
    <row r="227" spans="1:62" customFormat="1">
      <c r="A227" s="114">
        <v>176</v>
      </c>
      <c r="B227" s="114" t="s">
        <v>203</v>
      </c>
      <c r="C227" s="114" t="s">
        <v>1974</v>
      </c>
      <c r="D227" s="113" t="s">
        <v>56</v>
      </c>
      <c r="E227" s="113" t="s">
        <v>22</v>
      </c>
      <c r="F227" s="118" t="s">
        <v>2031</v>
      </c>
      <c r="G227" s="113" t="s">
        <v>1477</v>
      </c>
      <c r="H227" s="113" t="s">
        <v>202</v>
      </c>
      <c r="I227" s="113">
        <v>21</v>
      </c>
      <c r="J227" s="113" t="s">
        <v>202</v>
      </c>
      <c r="K227" s="113" t="s">
        <v>1804</v>
      </c>
      <c r="L227" s="115">
        <v>45</v>
      </c>
      <c r="M227" s="115"/>
      <c r="N227" s="115"/>
      <c r="O227" s="115"/>
      <c r="P227" s="115"/>
      <c r="Q227" s="115"/>
      <c r="R227" s="115"/>
      <c r="S227" s="113">
        <v>405</v>
      </c>
      <c r="T227" s="113">
        <v>55</v>
      </c>
      <c r="U227" s="113">
        <v>40</v>
      </c>
      <c r="V227" s="113">
        <v>85</v>
      </c>
      <c r="W227" s="113">
        <v>80</v>
      </c>
      <c r="X227" s="113">
        <v>105</v>
      </c>
      <c r="Y227" s="113">
        <v>40</v>
      </c>
      <c r="Z227" s="116">
        <v>16</v>
      </c>
      <c r="AA227" s="116">
        <v>6</v>
      </c>
      <c r="AB227" s="116">
        <v>4</v>
      </c>
      <c r="AC227" s="117">
        <f t="shared" si="3"/>
        <v>26</v>
      </c>
      <c r="AD227" s="113" t="s">
        <v>946</v>
      </c>
      <c r="AE227" s="113"/>
      <c r="AF227" s="113"/>
      <c r="AG227" s="113"/>
      <c r="AH227" s="113"/>
      <c r="AI227" s="113"/>
      <c r="AJ227" s="113"/>
      <c r="AK227" s="113"/>
      <c r="AL227" s="113"/>
      <c r="AM227" s="118"/>
      <c r="AN227" s="113"/>
      <c r="AO227" s="113"/>
      <c r="AP227" s="113"/>
      <c r="AR227" s="5"/>
      <c r="AS227" s="5"/>
      <c r="AT227" s="5"/>
      <c r="AU227" s="5"/>
      <c r="AV227" s="5"/>
      <c r="AW227" s="5"/>
      <c r="AX227" s="5"/>
      <c r="AY227" s="5"/>
      <c r="AZ227" s="5"/>
      <c r="BA227" s="5"/>
      <c r="BB227" s="5"/>
      <c r="BC227" s="5"/>
      <c r="BD227" s="5"/>
      <c r="BE227" s="5"/>
      <c r="BF227" s="5"/>
      <c r="BG227" s="5"/>
      <c r="BH227" s="5"/>
      <c r="BI227" s="5"/>
    </row>
    <row r="228" spans="1:62" customFormat="1">
      <c r="A228" s="114">
        <v>170</v>
      </c>
      <c r="B228" s="114" t="s">
        <v>197</v>
      </c>
      <c r="C228" s="114" t="s">
        <v>1974</v>
      </c>
      <c r="D228" s="113" t="s">
        <v>25</v>
      </c>
      <c r="E228" s="113" t="s">
        <v>46</v>
      </c>
      <c r="F228" s="118" t="s">
        <v>2031</v>
      </c>
      <c r="G228" s="113" t="s">
        <v>1479</v>
      </c>
      <c r="H228" s="113" t="s">
        <v>197</v>
      </c>
      <c r="I228" s="113">
        <v>11</v>
      </c>
      <c r="J228" s="113" t="s">
        <v>1109</v>
      </c>
      <c r="K228" s="113" t="s">
        <v>1968</v>
      </c>
      <c r="L228" s="115"/>
      <c r="M228" s="115"/>
      <c r="N228" s="115"/>
      <c r="O228" s="115"/>
      <c r="P228" s="115"/>
      <c r="Q228" s="115"/>
      <c r="R228" s="115"/>
      <c r="S228" s="113">
        <v>330</v>
      </c>
      <c r="T228" s="113">
        <v>75</v>
      </c>
      <c r="U228" s="113">
        <v>38</v>
      </c>
      <c r="V228" s="113">
        <v>38</v>
      </c>
      <c r="W228" s="113">
        <v>56</v>
      </c>
      <c r="X228" s="113">
        <v>56</v>
      </c>
      <c r="Y228" s="113">
        <v>67</v>
      </c>
      <c r="Z228" s="116">
        <v>11</v>
      </c>
      <c r="AA228" s="116">
        <v>5</v>
      </c>
      <c r="AB228" s="116">
        <v>7</v>
      </c>
      <c r="AC228" s="117">
        <f t="shared" si="3"/>
        <v>23</v>
      </c>
      <c r="AD228" s="113" t="s">
        <v>1545</v>
      </c>
      <c r="AE228" s="113"/>
      <c r="AF228" s="113"/>
      <c r="AG228" s="113"/>
      <c r="AH228" s="113"/>
      <c r="AI228" s="113"/>
      <c r="AJ228" s="113"/>
      <c r="AK228" s="113"/>
      <c r="AL228" s="113"/>
      <c r="AM228" s="118"/>
      <c r="AN228" s="113"/>
      <c r="AO228" s="113"/>
      <c r="AP228" s="113"/>
      <c r="AQ228" s="5"/>
      <c r="AR228" s="5"/>
      <c r="AS228" s="5"/>
      <c r="AT228" s="5"/>
      <c r="AU228" s="5"/>
      <c r="AV228" s="5"/>
      <c r="AW228" s="5"/>
      <c r="AX228" s="5"/>
      <c r="AY228" s="5"/>
      <c r="AZ228" s="5"/>
      <c r="BA228" s="5"/>
      <c r="BB228" s="5"/>
      <c r="BC228" s="5"/>
      <c r="BD228" s="5"/>
      <c r="BE228" s="5"/>
      <c r="BF228" s="5"/>
      <c r="BG228" s="5"/>
      <c r="BH228" s="5"/>
      <c r="BI228" s="5"/>
    </row>
    <row r="229" spans="1:62" customFormat="1">
      <c r="A229" s="113">
        <v>64</v>
      </c>
      <c r="B229" s="113" t="s">
        <v>87</v>
      </c>
      <c r="C229" s="113" t="s">
        <v>1973</v>
      </c>
      <c r="D229" s="113" t="s">
        <v>86</v>
      </c>
      <c r="E229" s="113"/>
      <c r="F229" s="118" t="s">
        <v>2031</v>
      </c>
      <c r="G229" s="113" t="s">
        <v>1478</v>
      </c>
      <c r="H229" s="113" t="s">
        <v>85</v>
      </c>
      <c r="I229" s="113">
        <v>21</v>
      </c>
      <c r="J229" s="113" t="s">
        <v>85</v>
      </c>
      <c r="K229" s="114" t="s">
        <v>1964</v>
      </c>
      <c r="L229" s="115"/>
      <c r="M229" s="115"/>
      <c r="N229" s="115"/>
      <c r="O229" s="115"/>
      <c r="P229" s="115"/>
      <c r="Q229" s="115"/>
      <c r="R229" s="115"/>
      <c r="S229" s="113">
        <v>400</v>
      </c>
      <c r="T229" s="113">
        <v>40</v>
      </c>
      <c r="U229" s="113">
        <v>35</v>
      </c>
      <c r="V229" s="113">
        <v>30</v>
      </c>
      <c r="W229" s="113">
        <v>120</v>
      </c>
      <c r="X229" s="113">
        <v>70</v>
      </c>
      <c r="Y229" s="113">
        <v>105</v>
      </c>
      <c r="Z229" s="116">
        <v>9</v>
      </c>
      <c r="AA229" s="116">
        <v>5</v>
      </c>
      <c r="AB229" s="116">
        <v>11</v>
      </c>
      <c r="AC229" s="117">
        <f t="shared" si="3"/>
        <v>25</v>
      </c>
      <c r="AD229" s="113" t="s">
        <v>1545</v>
      </c>
      <c r="AE229" s="113" t="s">
        <v>1074</v>
      </c>
      <c r="AF229" s="113" t="s">
        <v>943</v>
      </c>
      <c r="AG229" s="113" t="s">
        <v>1735</v>
      </c>
      <c r="AH229" s="113" t="s">
        <v>943</v>
      </c>
      <c r="AI229" s="113" t="s">
        <v>1333</v>
      </c>
      <c r="AJ229" s="113" t="s">
        <v>1105</v>
      </c>
      <c r="AK229" s="113" t="s">
        <v>1010</v>
      </c>
      <c r="AL229" s="113" t="s">
        <v>1738</v>
      </c>
      <c r="AM229" s="113" t="s">
        <v>1104</v>
      </c>
      <c r="AN229" s="113" t="s">
        <v>1103</v>
      </c>
      <c r="AO229" s="113" t="s">
        <v>1104</v>
      </c>
      <c r="AP229" s="113" t="s">
        <v>1103</v>
      </c>
      <c r="AR229" s="5"/>
      <c r="AS229" s="5"/>
      <c r="AT229" s="5"/>
      <c r="AU229" s="5"/>
      <c r="AV229" s="5"/>
      <c r="AW229" s="5"/>
      <c r="AX229" s="5"/>
      <c r="AY229" s="5"/>
      <c r="AZ229" s="5"/>
      <c r="BA229" s="5"/>
      <c r="BB229" s="5"/>
      <c r="BC229" s="5"/>
      <c r="BD229" s="5"/>
      <c r="BE229" s="5"/>
      <c r="BF229" s="5"/>
      <c r="BG229" s="5"/>
      <c r="BH229" s="5"/>
      <c r="BI229" s="5"/>
    </row>
    <row r="230" spans="1:62" customFormat="1">
      <c r="A230" s="113">
        <v>92</v>
      </c>
      <c r="B230" s="113" t="s">
        <v>118</v>
      </c>
      <c r="C230" s="113" t="s">
        <v>1973</v>
      </c>
      <c r="D230" s="113" t="s">
        <v>119</v>
      </c>
      <c r="E230" s="113" t="s">
        <v>15</v>
      </c>
      <c r="F230" s="118" t="s">
        <v>2031</v>
      </c>
      <c r="G230" s="113" t="s">
        <v>1479</v>
      </c>
      <c r="H230" s="113" t="s">
        <v>118</v>
      </c>
      <c r="I230" s="113">
        <v>11</v>
      </c>
      <c r="J230" s="113" t="s">
        <v>1109</v>
      </c>
      <c r="K230" s="115" t="s">
        <v>1968</v>
      </c>
      <c r="L230" s="115"/>
      <c r="M230" s="115"/>
      <c r="N230" s="115"/>
      <c r="O230" s="115"/>
      <c r="P230" s="115"/>
      <c r="Q230" s="115"/>
      <c r="R230" s="115"/>
      <c r="S230" s="113">
        <v>310</v>
      </c>
      <c r="T230" s="113">
        <v>30</v>
      </c>
      <c r="U230" s="113">
        <v>35</v>
      </c>
      <c r="V230" s="113">
        <v>30</v>
      </c>
      <c r="W230" s="113">
        <v>100</v>
      </c>
      <c r="X230" s="113">
        <v>35</v>
      </c>
      <c r="Y230" s="113">
        <v>80</v>
      </c>
      <c r="Z230" s="116">
        <v>6</v>
      </c>
      <c r="AA230" s="116">
        <v>3</v>
      </c>
      <c r="AB230" s="116">
        <v>8</v>
      </c>
      <c r="AC230" s="117">
        <f t="shared" si="3"/>
        <v>17</v>
      </c>
      <c r="AD230" s="113" t="s">
        <v>1546</v>
      </c>
      <c r="AE230" s="113" t="s">
        <v>1121</v>
      </c>
      <c r="AF230" s="113" t="s">
        <v>946</v>
      </c>
      <c r="AG230" s="113"/>
      <c r="AH230" s="113" t="s">
        <v>946</v>
      </c>
      <c r="AI230" s="113" t="s">
        <v>1126</v>
      </c>
      <c r="AJ230" s="113" t="s">
        <v>1127</v>
      </c>
      <c r="AK230" s="113" t="s">
        <v>1058</v>
      </c>
      <c r="AL230" s="113" t="s">
        <v>1667</v>
      </c>
      <c r="AM230" s="113" t="s">
        <v>1128</v>
      </c>
      <c r="AN230" s="113" t="s">
        <v>1129</v>
      </c>
      <c r="AO230" s="113" t="s">
        <v>1128</v>
      </c>
      <c r="AP230" s="113" t="s">
        <v>1129</v>
      </c>
      <c r="AR230" s="5"/>
      <c r="AS230" s="5"/>
      <c r="AT230" s="5"/>
      <c r="AU230" s="5"/>
      <c r="AV230" s="5"/>
      <c r="AW230" s="5"/>
      <c r="AX230" s="5"/>
      <c r="AY230" s="5"/>
      <c r="AZ230" s="5"/>
      <c r="BA230" s="5"/>
      <c r="BB230" s="5"/>
      <c r="BC230" s="5"/>
      <c r="BD230" s="5"/>
      <c r="BE230" s="5"/>
      <c r="BF230" s="5"/>
      <c r="BG230" s="5"/>
      <c r="BH230" s="5"/>
      <c r="BI230" s="5"/>
    </row>
    <row r="231" spans="1:62" customFormat="1">
      <c r="A231" s="114">
        <v>187</v>
      </c>
      <c r="B231" s="114" t="s">
        <v>214</v>
      </c>
      <c r="C231" s="114" t="s">
        <v>1974</v>
      </c>
      <c r="D231" s="113" t="s">
        <v>14</v>
      </c>
      <c r="E231" s="113" t="s">
        <v>22</v>
      </c>
      <c r="F231" s="118" t="s">
        <v>2031</v>
      </c>
      <c r="G231" s="113" t="s">
        <v>1479</v>
      </c>
      <c r="H231" s="113" t="s">
        <v>214</v>
      </c>
      <c r="I231" s="113">
        <v>11</v>
      </c>
      <c r="J231" s="113" t="s">
        <v>1109</v>
      </c>
      <c r="K231" s="113" t="s">
        <v>1968</v>
      </c>
      <c r="L231" s="115"/>
      <c r="M231" s="115"/>
      <c r="N231" s="115"/>
      <c r="O231" s="115"/>
      <c r="P231" s="115"/>
      <c r="Q231" s="115"/>
      <c r="R231" s="115"/>
      <c r="S231" s="113">
        <v>250</v>
      </c>
      <c r="T231" s="113">
        <v>35</v>
      </c>
      <c r="U231" s="113">
        <v>35</v>
      </c>
      <c r="V231" s="113">
        <v>40</v>
      </c>
      <c r="W231" s="113">
        <v>35</v>
      </c>
      <c r="X231" s="113">
        <v>55</v>
      </c>
      <c r="Y231" s="113">
        <v>50</v>
      </c>
      <c r="Z231" s="116">
        <v>9</v>
      </c>
      <c r="AA231" s="116">
        <v>4</v>
      </c>
      <c r="AB231" s="116">
        <v>5</v>
      </c>
      <c r="AC231" s="117">
        <f t="shared" si="3"/>
        <v>18</v>
      </c>
      <c r="AD231" s="113" t="s">
        <v>1546</v>
      </c>
      <c r="AE231" s="113"/>
      <c r="AF231" s="113"/>
      <c r="AG231" s="113"/>
      <c r="AH231" s="113"/>
      <c r="AI231" s="113"/>
      <c r="AJ231" s="113"/>
      <c r="AK231" s="113"/>
      <c r="AL231" s="113"/>
      <c r="AM231" s="118"/>
      <c r="AN231" s="113"/>
      <c r="AO231" s="113"/>
      <c r="AP231" s="113"/>
      <c r="AR231" s="5"/>
      <c r="AS231" s="5"/>
      <c r="AT231" s="5"/>
      <c r="AU231" s="5"/>
      <c r="AV231" s="5"/>
      <c r="AW231" s="5"/>
      <c r="AX231" s="5"/>
      <c r="AY231" s="5"/>
      <c r="AZ231" s="5"/>
      <c r="BA231" s="5"/>
      <c r="BB231" s="5"/>
      <c r="BC231" s="5"/>
      <c r="BD231" s="5"/>
      <c r="BE231" s="5"/>
      <c r="BF231" s="5"/>
      <c r="BG231" s="5"/>
      <c r="BH231" s="5"/>
      <c r="BI231" s="5"/>
    </row>
    <row r="232" spans="1:62" customFormat="1">
      <c r="A232" s="114">
        <v>166</v>
      </c>
      <c r="B232" s="114" t="s">
        <v>193</v>
      </c>
      <c r="C232" s="114" t="s">
        <v>1974</v>
      </c>
      <c r="D232" s="113" t="s">
        <v>29</v>
      </c>
      <c r="E232" s="113" t="s">
        <v>22</v>
      </c>
      <c r="F232" s="118" t="s">
        <v>2031</v>
      </c>
      <c r="G232" s="113" t="s">
        <v>1477</v>
      </c>
      <c r="H232" s="113" t="s">
        <v>192</v>
      </c>
      <c r="I232" s="113">
        <v>21</v>
      </c>
      <c r="J232" s="113" t="s">
        <v>192</v>
      </c>
      <c r="K232" s="113" t="s">
        <v>1804</v>
      </c>
      <c r="L232" s="115"/>
      <c r="M232" s="115"/>
      <c r="N232" s="115"/>
      <c r="O232" s="115"/>
      <c r="P232" s="115"/>
      <c r="Q232" s="115"/>
      <c r="R232" s="115"/>
      <c r="S232" s="113">
        <v>390</v>
      </c>
      <c r="T232" s="113">
        <v>55</v>
      </c>
      <c r="U232" s="113">
        <v>35</v>
      </c>
      <c r="V232" s="113">
        <v>50</v>
      </c>
      <c r="W232" s="113">
        <v>55</v>
      </c>
      <c r="X232" s="113">
        <v>110</v>
      </c>
      <c r="Y232" s="113">
        <v>85</v>
      </c>
      <c r="Z232" s="116">
        <v>14</v>
      </c>
      <c r="AA232" s="116">
        <v>5</v>
      </c>
      <c r="AB232" s="116">
        <v>9</v>
      </c>
      <c r="AC232" s="117">
        <f t="shared" si="3"/>
        <v>28</v>
      </c>
      <c r="AD232" s="113" t="s">
        <v>946</v>
      </c>
      <c r="AE232" s="113"/>
      <c r="AF232" s="113"/>
      <c r="AG232" s="113"/>
      <c r="AH232" s="113"/>
      <c r="AI232" s="113"/>
      <c r="AJ232" s="113"/>
      <c r="AK232" s="113"/>
      <c r="AL232" s="113"/>
      <c r="AM232" s="118"/>
      <c r="AN232" s="113"/>
      <c r="AO232" s="113"/>
      <c r="AP232" s="113"/>
      <c r="AR232" s="5"/>
      <c r="AS232" s="5"/>
      <c r="AT232" s="5"/>
      <c r="AU232" s="5"/>
      <c r="AV232" s="5"/>
      <c r="AW232" s="5"/>
      <c r="AX232" s="5"/>
      <c r="AY232" s="5"/>
      <c r="AZ232" s="5"/>
      <c r="BA232" s="5"/>
      <c r="BB232" s="5"/>
      <c r="BC232" s="5"/>
      <c r="BD232" s="5"/>
      <c r="BE232" s="5"/>
      <c r="BF232" s="5"/>
      <c r="BG232" s="5"/>
      <c r="BH232" s="5"/>
      <c r="BI232" s="5"/>
    </row>
    <row r="233" spans="1:62" customFormat="1">
      <c r="A233" s="113">
        <v>81</v>
      </c>
      <c r="B233" s="113" t="s">
        <v>105</v>
      </c>
      <c r="C233" s="113" t="s">
        <v>1973</v>
      </c>
      <c r="D233" s="113" t="s">
        <v>46</v>
      </c>
      <c r="E233" s="113" t="s">
        <v>106</v>
      </c>
      <c r="F233" s="118" t="s">
        <v>2031</v>
      </c>
      <c r="G233" s="113" t="s">
        <v>1479</v>
      </c>
      <c r="H233" s="113" t="s">
        <v>105</v>
      </c>
      <c r="I233" s="113">
        <v>11</v>
      </c>
      <c r="J233" s="113" t="s">
        <v>1109</v>
      </c>
      <c r="K233" s="115" t="s">
        <v>1968</v>
      </c>
      <c r="L233" s="115"/>
      <c r="M233" s="115"/>
      <c r="N233" s="115"/>
      <c r="O233" s="115"/>
      <c r="P233" s="115"/>
      <c r="Q233" s="115"/>
      <c r="R233" s="115"/>
      <c r="S233" s="113">
        <v>325</v>
      </c>
      <c r="T233" s="113">
        <v>25</v>
      </c>
      <c r="U233" s="113">
        <v>35</v>
      </c>
      <c r="V233" s="113">
        <v>70</v>
      </c>
      <c r="W233" s="113">
        <v>95</v>
      </c>
      <c r="X233" s="113">
        <v>55</v>
      </c>
      <c r="Y233" s="113">
        <v>45</v>
      </c>
      <c r="Z233" s="116">
        <v>10</v>
      </c>
      <c r="AA233" s="116">
        <v>3</v>
      </c>
      <c r="AB233" s="116">
        <v>5</v>
      </c>
      <c r="AC233" s="117">
        <f t="shared" si="3"/>
        <v>18</v>
      </c>
      <c r="AD233" s="113" t="s">
        <v>1546</v>
      </c>
      <c r="AE233" s="113" t="s">
        <v>1206</v>
      </c>
      <c r="AF233" s="113" t="s">
        <v>946</v>
      </c>
      <c r="AG233" s="113" t="s">
        <v>1725</v>
      </c>
      <c r="AH233" s="113" t="s">
        <v>946</v>
      </c>
      <c r="AI233" s="113" t="s">
        <v>1351</v>
      </c>
      <c r="AJ233" s="113" t="s">
        <v>1230</v>
      </c>
      <c r="AK233" s="113" t="s">
        <v>1578</v>
      </c>
      <c r="AL233" s="113" t="s">
        <v>1636</v>
      </c>
      <c r="AM233" s="113" t="s">
        <v>1354</v>
      </c>
      <c r="AN233" s="113" t="s">
        <v>1355</v>
      </c>
      <c r="AO233" s="113" t="s">
        <v>1354</v>
      </c>
      <c r="AP233" s="113" t="s">
        <v>1355</v>
      </c>
      <c r="AR233" s="5"/>
      <c r="AS233" s="5"/>
      <c r="AT233" s="5"/>
      <c r="AU233" s="5"/>
      <c r="AV233" s="5"/>
      <c r="AW233" s="5"/>
      <c r="AX233" s="5"/>
      <c r="AY233" s="5"/>
      <c r="AZ233" s="5"/>
      <c r="BA233" s="5"/>
      <c r="BB233" s="5"/>
      <c r="BC233" s="5"/>
      <c r="BD233" s="5"/>
      <c r="BE233" s="5"/>
      <c r="BF233" s="5"/>
      <c r="BG233" s="5"/>
      <c r="BH233" s="5"/>
      <c r="BI233" s="5"/>
    </row>
    <row r="234" spans="1:62" customFormat="1">
      <c r="A234" s="114">
        <v>236</v>
      </c>
      <c r="B234" s="114" t="s">
        <v>263</v>
      </c>
      <c r="C234" s="114" t="s">
        <v>1974</v>
      </c>
      <c r="D234" s="113" t="s">
        <v>78</v>
      </c>
      <c r="E234" s="113"/>
      <c r="F234" s="118" t="s">
        <v>2031</v>
      </c>
      <c r="G234" s="113" t="s">
        <v>1479</v>
      </c>
      <c r="H234" s="113" t="s">
        <v>263</v>
      </c>
      <c r="I234" s="113">
        <v>11</v>
      </c>
      <c r="J234" s="113" t="s">
        <v>1109</v>
      </c>
      <c r="K234" s="113" t="s">
        <v>1968</v>
      </c>
      <c r="L234" s="115"/>
      <c r="M234" s="115"/>
      <c r="N234" s="115"/>
      <c r="O234" s="115"/>
      <c r="P234" s="115"/>
      <c r="Q234" s="115"/>
      <c r="R234" s="115"/>
      <c r="S234" s="113">
        <v>210</v>
      </c>
      <c r="T234" s="113">
        <v>35</v>
      </c>
      <c r="U234" s="113">
        <v>35</v>
      </c>
      <c r="V234" s="113">
        <v>35</v>
      </c>
      <c r="W234" s="113">
        <v>35</v>
      </c>
      <c r="X234" s="113">
        <v>35</v>
      </c>
      <c r="Y234" s="113">
        <v>35</v>
      </c>
      <c r="Z234" s="116">
        <v>7</v>
      </c>
      <c r="AA234" s="116">
        <v>4</v>
      </c>
      <c r="AB234" s="116">
        <v>4</v>
      </c>
      <c r="AC234" s="117">
        <f t="shared" si="3"/>
        <v>15</v>
      </c>
      <c r="AD234" s="113" t="s">
        <v>1972</v>
      </c>
      <c r="AE234" s="113"/>
      <c r="AF234" s="113"/>
      <c r="AG234" s="113"/>
      <c r="AH234" s="113"/>
      <c r="AI234" s="113"/>
      <c r="AJ234" s="113"/>
      <c r="AK234" s="113"/>
      <c r="AL234" s="113"/>
      <c r="AM234" s="118"/>
      <c r="AN234" s="113"/>
      <c r="AO234" s="113"/>
      <c r="AP234" s="113"/>
      <c r="AR234" s="5"/>
      <c r="AS234" s="5"/>
      <c r="AT234" s="5"/>
      <c r="AU234" s="5"/>
      <c r="AV234" s="5"/>
      <c r="AW234" s="5"/>
      <c r="AX234" s="5"/>
      <c r="AY234" s="5"/>
      <c r="AZ234" s="5"/>
      <c r="BA234" s="5"/>
      <c r="BB234" s="5"/>
      <c r="BC234" s="5"/>
      <c r="BD234" s="5"/>
      <c r="BE234" s="5"/>
      <c r="BF234" s="5"/>
      <c r="BG234" s="5"/>
      <c r="BH234" s="5"/>
      <c r="BI234" s="5"/>
    </row>
    <row r="235" spans="1:62" customFormat="1">
      <c r="A235" s="113">
        <v>13</v>
      </c>
      <c r="B235" s="113" t="s">
        <v>32</v>
      </c>
      <c r="C235" s="113" t="s">
        <v>1973</v>
      </c>
      <c r="D235" s="113" t="s">
        <v>29</v>
      </c>
      <c r="E235" s="113" t="s">
        <v>15</v>
      </c>
      <c r="F235" s="118" t="s">
        <v>2031</v>
      </c>
      <c r="G235" s="113" t="s">
        <v>1479</v>
      </c>
      <c r="H235" s="113" t="s">
        <v>32</v>
      </c>
      <c r="I235" s="113">
        <v>11</v>
      </c>
      <c r="J235" s="113" t="s">
        <v>1109</v>
      </c>
      <c r="K235" s="115" t="s">
        <v>1968</v>
      </c>
      <c r="L235" s="115"/>
      <c r="M235" s="115"/>
      <c r="N235" s="115"/>
      <c r="O235" s="115"/>
      <c r="P235" s="115"/>
      <c r="Q235" s="115"/>
      <c r="R235" s="115"/>
      <c r="S235" s="113">
        <v>195</v>
      </c>
      <c r="T235" s="113">
        <v>40</v>
      </c>
      <c r="U235" s="113">
        <v>35</v>
      </c>
      <c r="V235" s="113">
        <v>30</v>
      </c>
      <c r="W235" s="113">
        <v>20</v>
      </c>
      <c r="X235" s="113">
        <v>20</v>
      </c>
      <c r="Y235" s="113">
        <v>50</v>
      </c>
      <c r="Z235" s="116">
        <v>6</v>
      </c>
      <c r="AA235" s="116">
        <v>4</v>
      </c>
      <c r="AB235" s="116">
        <v>5</v>
      </c>
      <c r="AC235" s="117">
        <f t="shared" si="3"/>
        <v>15</v>
      </c>
      <c r="AD235" s="113" t="s">
        <v>1972</v>
      </c>
      <c r="AE235" s="113" t="s">
        <v>953</v>
      </c>
      <c r="AF235" s="113" t="s">
        <v>943</v>
      </c>
      <c r="AG235" s="113"/>
      <c r="AH235" s="113" t="s">
        <v>943</v>
      </c>
      <c r="AI235" s="113" t="s">
        <v>1033</v>
      </c>
      <c r="AJ235" s="113" t="s">
        <v>1229</v>
      </c>
      <c r="AK235" s="113" t="s">
        <v>1618</v>
      </c>
      <c r="AL235" s="113" t="s">
        <v>1619</v>
      </c>
      <c r="AM235" s="113" t="s">
        <v>1040</v>
      </c>
      <c r="AN235" s="113" t="s">
        <v>1039</v>
      </c>
      <c r="AO235" s="113" t="s">
        <v>1040</v>
      </c>
      <c r="AP235" s="113" t="s">
        <v>1039</v>
      </c>
      <c r="AR235" s="5"/>
      <c r="AS235" s="5"/>
      <c r="AT235" s="5"/>
      <c r="AU235" s="5"/>
      <c r="AV235" s="5"/>
      <c r="AW235" s="5"/>
      <c r="AX235" s="5"/>
      <c r="AY235" s="5"/>
      <c r="AZ235" s="5"/>
      <c r="BA235" s="5"/>
      <c r="BB235" s="5"/>
      <c r="BC235" s="5"/>
      <c r="BD235" s="5"/>
      <c r="BE235" s="5"/>
      <c r="BF235" s="5"/>
      <c r="BG235" s="5"/>
      <c r="BH235" s="5"/>
      <c r="BI235" s="5"/>
    </row>
    <row r="236" spans="1:62" customFormat="1">
      <c r="A236" s="114">
        <v>202</v>
      </c>
      <c r="B236" s="114" t="s">
        <v>229</v>
      </c>
      <c r="C236" s="114" t="s">
        <v>1974</v>
      </c>
      <c r="D236" s="113" t="s">
        <v>86</v>
      </c>
      <c r="E236" s="113"/>
      <c r="F236" s="118" t="s">
        <v>2031</v>
      </c>
      <c r="G236" s="113" t="s">
        <v>1477</v>
      </c>
      <c r="H236" s="113" t="s">
        <v>229</v>
      </c>
      <c r="I236" s="113">
        <v>11</v>
      </c>
      <c r="J236" s="113" t="s">
        <v>1109</v>
      </c>
      <c r="K236" s="113" t="s">
        <v>1804</v>
      </c>
      <c r="L236" s="115"/>
      <c r="M236" s="115"/>
      <c r="N236" s="115"/>
      <c r="O236" s="115"/>
      <c r="P236" s="115"/>
      <c r="Q236" s="115"/>
      <c r="R236" s="115"/>
      <c r="S236" s="113">
        <v>405</v>
      </c>
      <c r="T236" s="113">
        <v>190</v>
      </c>
      <c r="U236" s="113">
        <v>33</v>
      </c>
      <c r="V236" s="113">
        <v>58</v>
      </c>
      <c r="W236" s="113">
        <v>33</v>
      </c>
      <c r="X236" s="113">
        <v>58</v>
      </c>
      <c r="Y236" s="113">
        <v>33</v>
      </c>
      <c r="Z236" s="116">
        <v>20</v>
      </c>
      <c r="AA236" s="116">
        <v>3</v>
      </c>
      <c r="AB236" s="116">
        <v>3</v>
      </c>
      <c r="AC236" s="117">
        <f t="shared" si="3"/>
        <v>26</v>
      </c>
      <c r="AD236" s="113" t="s">
        <v>946</v>
      </c>
      <c r="AE236" s="113"/>
      <c r="AF236" s="113"/>
      <c r="AG236" s="113"/>
      <c r="AH236" s="113"/>
      <c r="AI236" s="113"/>
      <c r="AJ236" s="113"/>
      <c r="AK236" s="113"/>
      <c r="AL236" s="113"/>
      <c r="AM236" s="118"/>
      <c r="AN236" s="113"/>
      <c r="AO236" s="113"/>
      <c r="AP236" s="113"/>
      <c r="AR236" s="5"/>
      <c r="AS236" s="5"/>
      <c r="AT236" s="5"/>
      <c r="AU236" s="5"/>
      <c r="AV236" s="5"/>
      <c r="AW236" s="5"/>
      <c r="AX236" s="5"/>
      <c r="AY236" s="5"/>
      <c r="AZ236" s="5"/>
      <c r="BA236" s="5"/>
      <c r="BB236" s="5"/>
      <c r="BC236" s="5"/>
      <c r="BD236" s="5"/>
      <c r="BE236" s="5"/>
      <c r="BF236" s="5"/>
      <c r="BG236" s="5"/>
      <c r="BH236" s="5"/>
      <c r="BI236" s="5"/>
    </row>
    <row r="237" spans="1:62" customFormat="1">
      <c r="A237" s="113">
        <v>10</v>
      </c>
      <c r="B237" s="113" t="s">
        <v>28</v>
      </c>
      <c r="C237" s="113" t="s">
        <v>1973</v>
      </c>
      <c r="D237" s="113" t="s">
        <v>29</v>
      </c>
      <c r="E237" s="113"/>
      <c r="F237" s="118" t="s">
        <v>2031</v>
      </c>
      <c r="G237" s="113" t="s">
        <v>1479</v>
      </c>
      <c r="H237" s="113" t="s">
        <v>28</v>
      </c>
      <c r="I237" s="113">
        <v>11</v>
      </c>
      <c r="J237" s="113" t="s">
        <v>1109</v>
      </c>
      <c r="K237" s="115" t="s">
        <v>1968</v>
      </c>
      <c r="L237" s="115"/>
      <c r="M237" s="115"/>
      <c r="N237" s="115"/>
      <c r="O237" s="115"/>
      <c r="P237" s="115"/>
      <c r="Q237" s="115"/>
      <c r="R237" s="115"/>
      <c r="S237" s="113">
        <v>195</v>
      </c>
      <c r="T237" s="113">
        <v>45</v>
      </c>
      <c r="U237" s="113">
        <v>30</v>
      </c>
      <c r="V237" s="113">
        <v>35</v>
      </c>
      <c r="W237" s="113">
        <v>20</v>
      </c>
      <c r="X237" s="113">
        <v>20</v>
      </c>
      <c r="Y237" s="113">
        <v>45</v>
      </c>
      <c r="Z237" s="116">
        <v>7</v>
      </c>
      <c r="AA237" s="116">
        <v>2</v>
      </c>
      <c r="AB237" s="116">
        <v>5</v>
      </c>
      <c r="AC237" s="117">
        <f t="shared" si="3"/>
        <v>14</v>
      </c>
      <c r="AD237" s="113" t="s">
        <v>1972</v>
      </c>
      <c r="AE237" s="113" t="s">
        <v>953</v>
      </c>
      <c r="AF237" s="113" t="s">
        <v>943</v>
      </c>
      <c r="AG237" s="113"/>
      <c r="AH237" s="113" t="s">
        <v>943</v>
      </c>
      <c r="AI237" s="113" t="s">
        <v>1033</v>
      </c>
      <c r="AJ237" s="113" t="s">
        <v>1004</v>
      </c>
      <c r="AK237" s="113" t="s">
        <v>1618</v>
      </c>
      <c r="AL237" s="113" t="s">
        <v>1619</v>
      </c>
      <c r="AM237" s="113" t="s">
        <v>1024</v>
      </c>
      <c r="AN237" s="113" t="s">
        <v>1023</v>
      </c>
      <c r="AO237" s="113" t="s">
        <v>1024</v>
      </c>
      <c r="AP237" s="113" t="s">
        <v>1023</v>
      </c>
      <c r="AR237" s="5"/>
      <c r="AS237" s="5"/>
      <c r="AT237" s="5"/>
      <c r="AU237" s="5"/>
      <c r="AV237" s="5"/>
      <c r="AW237" s="5"/>
      <c r="AX237" s="5"/>
      <c r="AY237" s="5"/>
      <c r="AZ237" s="5"/>
      <c r="BA237" s="5"/>
      <c r="BB237" s="5"/>
      <c r="BC237" s="5"/>
      <c r="BD237" s="5"/>
      <c r="BE237" s="5"/>
      <c r="BF237" s="5"/>
      <c r="BG237" s="5"/>
      <c r="BH237" s="5"/>
      <c r="BI237" s="5"/>
    </row>
    <row r="238" spans="1:62" customFormat="1">
      <c r="A238" s="114">
        <v>163</v>
      </c>
      <c r="B238" s="114" t="s">
        <v>190</v>
      </c>
      <c r="C238" s="114" t="s">
        <v>1974</v>
      </c>
      <c r="D238" s="113" t="s">
        <v>36</v>
      </c>
      <c r="E238" s="113" t="s">
        <v>22</v>
      </c>
      <c r="F238" s="118" t="s">
        <v>2031</v>
      </c>
      <c r="G238" s="113" t="s">
        <v>1479</v>
      </c>
      <c r="H238" s="113" t="s">
        <v>190</v>
      </c>
      <c r="I238" s="113">
        <v>11</v>
      </c>
      <c r="J238" s="113" t="s">
        <v>1109</v>
      </c>
      <c r="K238" s="113" t="s">
        <v>1968</v>
      </c>
      <c r="L238" s="115"/>
      <c r="M238" s="115"/>
      <c r="N238" s="115"/>
      <c r="O238" s="115"/>
      <c r="P238" s="115"/>
      <c r="Q238" s="115"/>
      <c r="R238" s="115"/>
      <c r="S238" s="113">
        <v>262</v>
      </c>
      <c r="T238" s="113">
        <v>60</v>
      </c>
      <c r="U238" s="113">
        <v>30</v>
      </c>
      <c r="V238" s="113">
        <v>30</v>
      </c>
      <c r="W238" s="113">
        <v>36</v>
      </c>
      <c r="X238" s="113">
        <v>56</v>
      </c>
      <c r="Y238" s="113">
        <v>50</v>
      </c>
      <c r="Z238" s="116">
        <v>10</v>
      </c>
      <c r="AA238" s="116">
        <v>3</v>
      </c>
      <c r="AB238" s="116">
        <v>5</v>
      </c>
      <c r="AC238" s="117">
        <f t="shared" si="3"/>
        <v>18</v>
      </c>
      <c r="AD238" s="113" t="s">
        <v>1546</v>
      </c>
      <c r="AE238" s="113"/>
      <c r="AF238" s="113"/>
      <c r="AG238" s="113"/>
      <c r="AH238" s="113"/>
      <c r="AI238" s="113"/>
      <c r="AJ238" s="113"/>
      <c r="AK238" s="113"/>
      <c r="AL238" s="113"/>
      <c r="AM238" s="118"/>
      <c r="AN238" s="113"/>
      <c r="AO238" s="113"/>
      <c r="AP238" s="113"/>
      <c r="AR238" s="5"/>
      <c r="AS238" s="5"/>
      <c r="AT238" s="5"/>
      <c r="AU238" s="5"/>
      <c r="AV238" s="5"/>
      <c r="AW238" s="5"/>
      <c r="AX238" s="5"/>
      <c r="AY238" s="5"/>
      <c r="AZ238" s="5"/>
      <c r="BA238" s="5"/>
      <c r="BB238" s="5"/>
      <c r="BC238" s="5"/>
      <c r="BD238" s="5"/>
      <c r="BE238" s="5"/>
      <c r="BF238" s="5"/>
      <c r="BG238" s="5"/>
      <c r="BH238" s="5"/>
      <c r="BI238" s="5"/>
      <c r="BJ238" s="5"/>
    </row>
    <row r="239" spans="1:62" customFormat="1">
      <c r="A239" s="114">
        <v>174</v>
      </c>
      <c r="B239" s="114" t="s">
        <v>201</v>
      </c>
      <c r="C239" s="114" t="s">
        <v>1974</v>
      </c>
      <c r="D239" s="113" t="s">
        <v>36</v>
      </c>
      <c r="E239" s="113" t="s">
        <v>56</v>
      </c>
      <c r="F239" s="118" t="s">
        <v>2031</v>
      </c>
      <c r="G239" s="113" t="s">
        <v>1479</v>
      </c>
      <c r="H239" s="113" t="s">
        <v>201</v>
      </c>
      <c r="I239" s="113">
        <v>11</v>
      </c>
      <c r="J239" s="113" t="s">
        <v>1109</v>
      </c>
      <c r="K239" s="113" t="s">
        <v>1968</v>
      </c>
      <c r="L239" s="115"/>
      <c r="M239" s="115"/>
      <c r="N239" s="115"/>
      <c r="O239" s="115"/>
      <c r="P239" s="115"/>
      <c r="Q239" s="115"/>
      <c r="R239" s="115"/>
      <c r="S239" s="113">
        <v>210</v>
      </c>
      <c r="T239" s="113">
        <v>90</v>
      </c>
      <c r="U239" s="113">
        <v>30</v>
      </c>
      <c r="V239" s="113">
        <v>15</v>
      </c>
      <c r="W239" s="113">
        <v>40</v>
      </c>
      <c r="X239" s="113">
        <v>20</v>
      </c>
      <c r="Y239" s="113">
        <v>15</v>
      </c>
      <c r="Z239" s="116">
        <v>8</v>
      </c>
      <c r="AA239" s="116">
        <v>4</v>
      </c>
      <c r="AB239" s="116">
        <v>2</v>
      </c>
      <c r="AC239" s="117">
        <f t="shared" si="3"/>
        <v>14</v>
      </c>
      <c r="AD239" s="113" t="s">
        <v>1972</v>
      </c>
      <c r="AE239" s="113"/>
      <c r="AF239" s="113"/>
      <c r="AG239" s="113"/>
      <c r="AH239" s="113"/>
      <c r="AI239" s="113"/>
      <c r="AJ239" s="113"/>
      <c r="AK239" s="113"/>
      <c r="AL239" s="113"/>
      <c r="AM239" s="118"/>
      <c r="AN239" s="113"/>
      <c r="AO239" s="113"/>
      <c r="AP239" s="113"/>
      <c r="AR239" s="5"/>
      <c r="AS239" s="5"/>
      <c r="AT239" s="5"/>
      <c r="AU239" s="5"/>
      <c r="AV239" s="5"/>
      <c r="AW239" s="5"/>
      <c r="AX239" s="5"/>
      <c r="AY239" s="5"/>
      <c r="AZ239" s="5"/>
      <c r="BA239" s="5"/>
      <c r="BB239" s="5"/>
      <c r="BC239" s="5"/>
      <c r="BD239" s="5"/>
      <c r="BE239" s="5"/>
      <c r="BF239" s="5"/>
      <c r="BG239" s="5"/>
      <c r="BH239" s="5"/>
      <c r="BI239" s="5"/>
    </row>
    <row r="240" spans="1:62" customFormat="1">
      <c r="A240" s="114">
        <v>238</v>
      </c>
      <c r="B240" s="114" t="s">
        <v>265</v>
      </c>
      <c r="C240" s="114" t="s">
        <v>1974</v>
      </c>
      <c r="D240" s="113" t="s">
        <v>113</v>
      </c>
      <c r="E240" s="113" t="s">
        <v>86</v>
      </c>
      <c r="F240" s="118" t="s">
        <v>2031</v>
      </c>
      <c r="G240" s="113" t="s">
        <v>1479</v>
      </c>
      <c r="H240" s="113" t="s">
        <v>265</v>
      </c>
      <c r="I240" s="113">
        <v>11</v>
      </c>
      <c r="J240" s="113" t="s">
        <v>1109</v>
      </c>
      <c r="K240" s="113" t="s">
        <v>1968</v>
      </c>
      <c r="L240" s="115"/>
      <c r="M240" s="115"/>
      <c r="N240" s="115"/>
      <c r="O240" s="115"/>
      <c r="P240" s="115"/>
      <c r="Q240" s="115"/>
      <c r="R240" s="115"/>
      <c r="S240" s="113">
        <v>305</v>
      </c>
      <c r="T240" s="113">
        <v>45</v>
      </c>
      <c r="U240" s="113">
        <v>30</v>
      </c>
      <c r="V240" s="113">
        <v>15</v>
      </c>
      <c r="W240" s="113">
        <v>85</v>
      </c>
      <c r="X240" s="113">
        <v>65</v>
      </c>
      <c r="Y240" s="113">
        <v>65</v>
      </c>
      <c r="Z240" s="116">
        <v>8</v>
      </c>
      <c r="AA240" s="116">
        <v>6</v>
      </c>
      <c r="AB240" s="116">
        <v>7</v>
      </c>
      <c r="AC240" s="117">
        <f t="shared" si="3"/>
        <v>21</v>
      </c>
      <c r="AD240" s="113" t="s">
        <v>1545</v>
      </c>
      <c r="AE240" s="113"/>
      <c r="AF240" s="113"/>
      <c r="AG240" s="113"/>
      <c r="AH240" s="113"/>
      <c r="AI240" s="113"/>
      <c r="AJ240" s="113"/>
      <c r="AK240" s="113"/>
      <c r="AL240" s="113"/>
      <c r="AM240" s="118"/>
      <c r="AN240" s="113"/>
      <c r="AO240" s="113"/>
      <c r="AP240" s="113"/>
      <c r="AR240" s="5"/>
      <c r="AS240" s="5"/>
      <c r="AT240" s="5"/>
      <c r="AU240" s="5"/>
      <c r="AV240" s="5"/>
      <c r="AW240" s="5"/>
      <c r="AX240" s="5"/>
      <c r="AY240" s="5"/>
      <c r="AZ240" s="5"/>
      <c r="BA240" s="5"/>
      <c r="BB240" s="5"/>
      <c r="BC240" s="5"/>
      <c r="BD240" s="5"/>
      <c r="BE240" s="5"/>
      <c r="BF240" s="5"/>
      <c r="BG240" s="5"/>
      <c r="BH240" s="5"/>
      <c r="BI240" s="5"/>
    </row>
    <row r="241" spans="1:62" customFormat="1">
      <c r="A241" s="114">
        <v>191</v>
      </c>
      <c r="B241" s="114" t="s">
        <v>218</v>
      </c>
      <c r="C241" s="114" t="s">
        <v>1974</v>
      </c>
      <c r="D241" s="113" t="s">
        <v>14</v>
      </c>
      <c r="E241" s="113"/>
      <c r="F241" s="118" t="s">
        <v>2031</v>
      </c>
      <c r="G241" s="113" t="s">
        <v>1479</v>
      </c>
      <c r="H241" s="113" t="s">
        <v>218</v>
      </c>
      <c r="I241" s="113">
        <v>11</v>
      </c>
      <c r="J241" s="113" t="s">
        <v>1109</v>
      </c>
      <c r="K241" s="113" t="s">
        <v>1803</v>
      </c>
      <c r="L241" s="115"/>
      <c r="M241" s="115"/>
      <c r="N241" s="115"/>
      <c r="O241" s="115"/>
      <c r="P241" s="115"/>
      <c r="Q241" s="115"/>
      <c r="R241" s="115"/>
      <c r="S241" s="113">
        <v>180</v>
      </c>
      <c r="T241" s="113">
        <v>30</v>
      </c>
      <c r="U241" s="113">
        <v>30</v>
      </c>
      <c r="V241" s="113">
        <v>30</v>
      </c>
      <c r="W241" s="113">
        <v>30</v>
      </c>
      <c r="X241" s="113">
        <v>30</v>
      </c>
      <c r="Y241" s="113">
        <v>30</v>
      </c>
      <c r="Z241" s="116">
        <v>6</v>
      </c>
      <c r="AA241" s="116">
        <v>3</v>
      </c>
      <c r="AB241" s="116">
        <v>3</v>
      </c>
      <c r="AC241" s="117">
        <f t="shared" si="3"/>
        <v>12</v>
      </c>
      <c r="AD241" s="113" t="s">
        <v>1972</v>
      </c>
      <c r="AE241" s="113"/>
      <c r="AF241" s="113"/>
      <c r="AG241" s="113"/>
      <c r="AH241" s="113"/>
      <c r="AI241" s="113"/>
      <c r="AJ241" s="113"/>
      <c r="AK241" s="113"/>
      <c r="AL241" s="113"/>
      <c r="AM241" s="118"/>
      <c r="AN241" s="113"/>
      <c r="AO241" s="113"/>
      <c r="AP241" s="113"/>
      <c r="AR241" s="5"/>
      <c r="AS241" s="5"/>
      <c r="AT241" s="5"/>
      <c r="AU241" s="5"/>
      <c r="AV241" s="5"/>
      <c r="AW241" s="5"/>
      <c r="AX241" s="5"/>
      <c r="AY241" s="5"/>
      <c r="AZ241" s="5"/>
      <c r="BA241" s="5"/>
      <c r="BB241" s="5"/>
      <c r="BC241" s="5"/>
      <c r="BD241" s="5"/>
      <c r="BE241" s="5"/>
      <c r="BF241" s="5"/>
      <c r="BG241" s="5"/>
      <c r="BH241" s="5"/>
      <c r="BI241" s="5"/>
    </row>
    <row r="242" spans="1:62">
      <c r="A242" s="113">
        <v>100</v>
      </c>
      <c r="B242" s="113" t="s">
        <v>127</v>
      </c>
      <c r="C242" s="113" t="s">
        <v>1973</v>
      </c>
      <c r="D242" s="113" t="s">
        <v>46</v>
      </c>
      <c r="E242" s="113"/>
      <c r="F242" s="118" t="s">
        <v>2031</v>
      </c>
      <c r="G242" s="113" t="s">
        <v>1479</v>
      </c>
      <c r="H242" s="113" t="s">
        <v>127</v>
      </c>
      <c r="I242" s="113">
        <v>11</v>
      </c>
      <c r="J242" s="113" t="s">
        <v>1109</v>
      </c>
      <c r="K242" s="115" t="s">
        <v>1968</v>
      </c>
      <c r="L242" s="115"/>
      <c r="M242" s="115"/>
      <c r="N242" s="115"/>
      <c r="O242" s="115"/>
      <c r="P242" s="115"/>
      <c r="Q242" s="115"/>
      <c r="R242" s="115"/>
      <c r="S242" s="113">
        <v>330</v>
      </c>
      <c r="T242" s="113">
        <v>40</v>
      </c>
      <c r="U242" s="113">
        <v>30</v>
      </c>
      <c r="V242" s="113">
        <v>50</v>
      </c>
      <c r="W242" s="113">
        <v>55</v>
      </c>
      <c r="X242" s="113">
        <v>55</v>
      </c>
      <c r="Y242" s="113">
        <v>100</v>
      </c>
      <c r="Z242" s="116">
        <v>10</v>
      </c>
      <c r="AA242" s="116">
        <v>4</v>
      </c>
      <c r="AB242" s="116">
        <v>10</v>
      </c>
      <c r="AC242" s="117">
        <f t="shared" si="3"/>
        <v>24</v>
      </c>
      <c r="AD242" s="113" t="s">
        <v>1545</v>
      </c>
      <c r="AE242" s="113" t="s">
        <v>1138</v>
      </c>
      <c r="AF242" s="113" t="s">
        <v>946</v>
      </c>
      <c r="AG242" s="113"/>
      <c r="AH242" s="113" t="s">
        <v>946</v>
      </c>
      <c r="AI242" s="113" t="s">
        <v>1636</v>
      </c>
      <c r="AJ242" s="113" t="s">
        <v>1368</v>
      </c>
      <c r="AK242" s="113" t="s">
        <v>1334</v>
      </c>
      <c r="AL242" s="113" t="s">
        <v>1152</v>
      </c>
      <c r="AM242" s="113" t="s">
        <v>1232</v>
      </c>
      <c r="AN242" s="113" t="s">
        <v>1231</v>
      </c>
      <c r="AO242" s="113" t="s">
        <v>1232</v>
      </c>
      <c r="AP242" s="113" t="s">
        <v>1231</v>
      </c>
      <c r="BJ242"/>
    </row>
    <row r="243" spans="1:62" customFormat="1">
      <c r="A243" s="114">
        <v>173</v>
      </c>
      <c r="B243" s="114" t="s">
        <v>200</v>
      </c>
      <c r="C243" s="114" t="s">
        <v>1974</v>
      </c>
      <c r="D243" s="113" t="s">
        <v>56</v>
      </c>
      <c r="E243" s="113"/>
      <c r="F243" s="118" t="s">
        <v>2031</v>
      </c>
      <c r="G243" s="113" t="s">
        <v>1479</v>
      </c>
      <c r="H243" s="113" t="s">
        <v>200</v>
      </c>
      <c r="I243" s="113">
        <v>11</v>
      </c>
      <c r="J243" s="113" t="s">
        <v>1109</v>
      </c>
      <c r="K243" s="113" t="s">
        <v>1968</v>
      </c>
      <c r="L243" s="115"/>
      <c r="M243" s="115"/>
      <c r="N243" s="115"/>
      <c r="O243" s="115"/>
      <c r="P243" s="115"/>
      <c r="Q243" s="115"/>
      <c r="R243" s="115"/>
      <c r="S243" s="113">
        <v>218</v>
      </c>
      <c r="T243" s="113">
        <v>50</v>
      </c>
      <c r="U243" s="113">
        <v>25</v>
      </c>
      <c r="V243" s="113">
        <v>28</v>
      </c>
      <c r="W243" s="113">
        <v>45</v>
      </c>
      <c r="X243" s="113">
        <v>55</v>
      </c>
      <c r="Y243" s="113">
        <v>15</v>
      </c>
      <c r="Z243" s="116">
        <v>9</v>
      </c>
      <c r="AA243" s="116">
        <v>4</v>
      </c>
      <c r="AB243" s="116">
        <v>2</v>
      </c>
      <c r="AC243" s="117">
        <f t="shared" si="3"/>
        <v>15</v>
      </c>
      <c r="AD243" s="113" t="s">
        <v>1972</v>
      </c>
      <c r="AE243" s="113"/>
      <c r="AF243" s="113"/>
      <c r="AG243" s="113"/>
      <c r="AH243" s="113"/>
      <c r="AI243" s="113"/>
      <c r="AJ243" s="113"/>
      <c r="AK243" s="113"/>
      <c r="AL243" s="113"/>
      <c r="AM243" s="118"/>
      <c r="AN243" s="113"/>
      <c r="AO243" s="113"/>
      <c r="AP243" s="113"/>
      <c r="AR243" s="5"/>
      <c r="AS243" s="5"/>
      <c r="AT243" s="5"/>
      <c r="AU243" s="5"/>
      <c r="AV243" s="5"/>
      <c r="AW243" s="5"/>
      <c r="AX243" s="5"/>
      <c r="AY243" s="5"/>
      <c r="AZ243" s="5"/>
      <c r="BA243" s="5"/>
      <c r="BB243" s="5"/>
      <c r="BC243" s="5"/>
      <c r="BD243" s="5"/>
      <c r="BE243" s="5"/>
      <c r="BF243" s="5"/>
      <c r="BG243" s="5"/>
      <c r="BH243" s="5"/>
      <c r="BI243" s="5"/>
    </row>
    <row r="244" spans="1:62" customFormat="1">
      <c r="A244" s="113">
        <v>14</v>
      </c>
      <c r="B244" s="113" t="s">
        <v>33</v>
      </c>
      <c r="C244" s="113" t="s">
        <v>1973</v>
      </c>
      <c r="D244" s="113" t="s">
        <v>29</v>
      </c>
      <c r="E244" s="113" t="s">
        <v>15</v>
      </c>
      <c r="F244" s="118" t="s">
        <v>2031</v>
      </c>
      <c r="G244" s="113" t="s">
        <v>1478</v>
      </c>
      <c r="H244" s="113" t="s">
        <v>32</v>
      </c>
      <c r="I244" s="113">
        <v>21</v>
      </c>
      <c r="J244" s="113" t="s">
        <v>32</v>
      </c>
      <c r="K244" s="113" t="s">
        <v>1968</v>
      </c>
      <c r="L244" s="115"/>
      <c r="M244" s="115"/>
      <c r="N244" s="115"/>
      <c r="O244" s="115"/>
      <c r="P244" s="115"/>
      <c r="Q244" s="115"/>
      <c r="R244" s="115"/>
      <c r="S244" s="113">
        <v>205</v>
      </c>
      <c r="T244" s="113">
        <v>45</v>
      </c>
      <c r="U244" s="113">
        <v>25</v>
      </c>
      <c r="V244" s="113">
        <v>50</v>
      </c>
      <c r="W244" s="113">
        <v>25</v>
      </c>
      <c r="X244" s="113">
        <v>25</v>
      </c>
      <c r="Y244" s="113">
        <v>35</v>
      </c>
      <c r="Z244" s="116">
        <v>8</v>
      </c>
      <c r="AA244" s="116">
        <v>4</v>
      </c>
      <c r="AB244" s="116">
        <v>4</v>
      </c>
      <c r="AC244" s="117">
        <f t="shared" si="3"/>
        <v>16</v>
      </c>
      <c r="AD244" s="113" t="s">
        <v>1546</v>
      </c>
      <c r="AE244" s="113" t="s">
        <v>1156</v>
      </c>
      <c r="AF244" s="113" t="s">
        <v>946</v>
      </c>
      <c r="AG244" s="113"/>
      <c r="AH244" s="113" t="s">
        <v>946</v>
      </c>
      <c r="AI244" s="113" t="s">
        <v>1034</v>
      </c>
      <c r="AJ244" s="113" t="s">
        <v>1229</v>
      </c>
      <c r="AK244" s="113" t="s">
        <v>1618</v>
      </c>
      <c r="AL244" s="113" t="s">
        <v>1619</v>
      </c>
      <c r="AM244" s="113" t="s">
        <v>1040</v>
      </c>
      <c r="AN244" s="113" t="s">
        <v>1039</v>
      </c>
      <c r="AO244" s="113" t="s">
        <v>1040</v>
      </c>
      <c r="AP244" s="113" t="s">
        <v>1039</v>
      </c>
      <c r="AR244" s="5"/>
      <c r="AS244" s="5"/>
      <c r="AT244" s="5"/>
      <c r="AU244" s="5"/>
      <c r="AV244" s="5"/>
      <c r="AW244" s="5"/>
      <c r="AX244" s="5"/>
      <c r="AY244" s="5"/>
      <c r="AZ244" s="5"/>
      <c r="BA244" s="5"/>
      <c r="BB244" s="5"/>
      <c r="BC244" s="5"/>
      <c r="BD244" s="5"/>
      <c r="BE244" s="5"/>
      <c r="BF244" s="5"/>
      <c r="BG244" s="5"/>
      <c r="BH244" s="5"/>
      <c r="BI244" s="5"/>
    </row>
    <row r="245" spans="1:62" customFormat="1">
      <c r="A245" s="113">
        <v>63</v>
      </c>
      <c r="B245" s="113" t="s">
        <v>85</v>
      </c>
      <c r="C245" s="113" t="s">
        <v>1973</v>
      </c>
      <c r="D245" s="113" t="s">
        <v>86</v>
      </c>
      <c r="E245" s="113"/>
      <c r="F245" s="118" t="s">
        <v>2031</v>
      </c>
      <c r="G245" s="113" t="s">
        <v>1479</v>
      </c>
      <c r="H245" s="113" t="s">
        <v>85</v>
      </c>
      <c r="I245" s="113">
        <v>11</v>
      </c>
      <c r="J245" s="113" t="s">
        <v>1109</v>
      </c>
      <c r="K245" s="115" t="s">
        <v>1968</v>
      </c>
      <c r="L245" s="115"/>
      <c r="M245" s="115"/>
      <c r="N245" s="115"/>
      <c r="O245" s="115"/>
      <c r="P245" s="115"/>
      <c r="Q245" s="115"/>
      <c r="R245" s="115"/>
      <c r="S245" s="113">
        <v>310</v>
      </c>
      <c r="T245" s="113">
        <v>25</v>
      </c>
      <c r="U245" s="113">
        <v>20</v>
      </c>
      <c r="V245" s="113">
        <v>15</v>
      </c>
      <c r="W245" s="113">
        <v>105</v>
      </c>
      <c r="X245" s="113">
        <v>55</v>
      </c>
      <c r="Y245" s="113">
        <v>90</v>
      </c>
      <c r="Z245" s="116">
        <v>6</v>
      </c>
      <c r="AA245" s="116">
        <v>2</v>
      </c>
      <c r="AB245" s="116">
        <v>9</v>
      </c>
      <c r="AC245" s="117">
        <f t="shared" si="3"/>
        <v>17</v>
      </c>
      <c r="AD245" s="113" t="s">
        <v>1546</v>
      </c>
      <c r="AE245" s="113" t="s">
        <v>1073</v>
      </c>
      <c r="AF245" s="113" t="s">
        <v>943</v>
      </c>
      <c r="AG245" s="113" t="s">
        <v>1735</v>
      </c>
      <c r="AH245" s="113" t="s">
        <v>943</v>
      </c>
      <c r="AI245" s="113" t="s">
        <v>1036</v>
      </c>
      <c r="AJ245" s="115" t="s">
        <v>1578</v>
      </c>
      <c r="AK245" s="113" t="s">
        <v>972</v>
      </c>
      <c r="AL245" s="113" t="s">
        <v>1737</v>
      </c>
      <c r="AM245" s="113" t="s">
        <v>1104</v>
      </c>
      <c r="AN245" s="113" t="s">
        <v>1103</v>
      </c>
      <c r="AO245" s="113" t="s">
        <v>1104</v>
      </c>
      <c r="AP245" s="113" t="s">
        <v>1103</v>
      </c>
      <c r="AR245" s="5"/>
      <c r="AS245" s="5"/>
      <c r="AT245" s="5"/>
      <c r="AU245" s="5"/>
      <c r="AV245" s="5"/>
      <c r="AW245" s="5"/>
      <c r="AX245" s="5"/>
      <c r="AY245" s="5"/>
      <c r="AZ245" s="5"/>
      <c r="BA245" s="5"/>
      <c r="BB245" s="5"/>
      <c r="BC245" s="5"/>
      <c r="BD245" s="5"/>
      <c r="BE245" s="5"/>
      <c r="BF245" s="5"/>
      <c r="BG245" s="5"/>
      <c r="BH245" s="5"/>
      <c r="BI245" s="5"/>
    </row>
    <row r="246" spans="1:62" customFormat="1">
      <c r="A246" s="113">
        <v>11</v>
      </c>
      <c r="B246" s="113" t="s">
        <v>30</v>
      </c>
      <c r="C246" s="113" t="s">
        <v>1973</v>
      </c>
      <c r="D246" s="113" t="s">
        <v>29</v>
      </c>
      <c r="E246" s="113"/>
      <c r="F246" s="118" t="s">
        <v>2031</v>
      </c>
      <c r="G246" s="113" t="s">
        <v>1478</v>
      </c>
      <c r="H246" s="113" t="s">
        <v>28</v>
      </c>
      <c r="I246" s="113">
        <v>21</v>
      </c>
      <c r="J246" s="113" t="s">
        <v>28</v>
      </c>
      <c r="K246" s="113" t="s">
        <v>1968</v>
      </c>
      <c r="L246" s="115"/>
      <c r="M246" s="115"/>
      <c r="N246" s="115"/>
      <c r="O246" s="115"/>
      <c r="P246" s="115"/>
      <c r="Q246" s="115"/>
      <c r="R246" s="115"/>
      <c r="S246" s="113">
        <v>205</v>
      </c>
      <c r="T246" s="113">
        <v>50</v>
      </c>
      <c r="U246" s="113">
        <v>20</v>
      </c>
      <c r="V246" s="113">
        <v>55</v>
      </c>
      <c r="W246" s="113">
        <v>25</v>
      </c>
      <c r="X246" s="113">
        <v>25</v>
      </c>
      <c r="Y246" s="113">
        <v>30</v>
      </c>
      <c r="Z246" s="116">
        <v>9</v>
      </c>
      <c r="AA246" s="116">
        <v>1</v>
      </c>
      <c r="AB246" s="116">
        <v>3</v>
      </c>
      <c r="AC246" s="117">
        <f t="shared" si="3"/>
        <v>13</v>
      </c>
      <c r="AD246" s="113" t="s">
        <v>1972</v>
      </c>
      <c r="AE246" s="113" t="s">
        <v>1156</v>
      </c>
      <c r="AF246" s="113" t="s">
        <v>946</v>
      </c>
      <c r="AG246" s="113"/>
      <c r="AH246" s="113" t="s">
        <v>946</v>
      </c>
      <c r="AI246" s="113" t="s">
        <v>1034</v>
      </c>
      <c r="AJ246" s="113" t="s">
        <v>1004</v>
      </c>
      <c r="AK246" s="115" t="s">
        <v>1618</v>
      </c>
      <c r="AL246" s="115" t="s">
        <v>1619</v>
      </c>
      <c r="AM246" s="113" t="s">
        <v>1024</v>
      </c>
      <c r="AN246" s="113" t="s">
        <v>1023</v>
      </c>
      <c r="AO246" s="113" t="s">
        <v>1024</v>
      </c>
      <c r="AP246" s="113" t="s">
        <v>1023</v>
      </c>
      <c r="AR246" s="5"/>
      <c r="AS246" s="5"/>
      <c r="AT246" s="5"/>
      <c r="AU246" s="5"/>
      <c r="AV246" s="5"/>
      <c r="AW246" s="5"/>
      <c r="AX246" s="5"/>
      <c r="AY246" s="5"/>
      <c r="AZ246" s="5"/>
      <c r="BA246" s="5"/>
      <c r="BB246" s="5"/>
      <c r="BC246" s="5"/>
      <c r="BD246" s="5"/>
      <c r="BE246" s="5"/>
      <c r="BF246" s="5"/>
      <c r="BG246" s="5"/>
      <c r="BH246" s="5"/>
      <c r="BI246" s="5"/>
    </row>
    <row r="247" spans="1:62" customFormat="1">
      <c r="A247" s="114">
        <v>165</v>
      </c>
      <c r="B247" s="114" t="s">
        <v>192</v>
      </c>
      <c r="C247" s="114" t="s">
        <v>1974</v>
      </c>
      <c r="D247" s="113" t="s">
        <v>29</v>
      </c>
      <c r="E247" s="113" t="s">
        <v>22</v>
      </c>
      <c r="F247" s="118" t="s">
        <v>2031</v>
      </c>
      <c r="G247" s="113" t="s">
        <v>1479</v>
      </c>
      <c r="H247" s="113" t="s">
        <v>192</v>
      </c>
      <c r="I247" s="113">
        <v>11</v>
      </c>
      <c r="J247" s="113" t="s">
        <v>1109</v>
      </c>
      <c r="K247" s="113" t="s">
        <v>1968</v>
      </c>
      <c r="L247" s="115"/>
      <c r="M247" s="115"/>
      <c r="N247" s="115"/>
      <c r="O247" s="115"/>
      <c r="P247" s="115"/>
      <c r="Q247" s="115"/>
      <c r="R247" s="115"/>
      <c r="S247" s="113">
        <v>265</v>
      </c>
      <c r="T247" s="113">
        <v>40</v>
      </c>
      <c r="U247" s="113">
        <v>20</v>
      </c>
      <c r="V247" s="113">
        <v>30</v>
      </c>
      <c r="W247" s="113">
        <v>40</v>
      </c>
      <c r="X247" s="113">
        <v>80</v>
      </c>
      <c r="Y247" s="113">
        <v>55</v>
      </c>
      <c r="Z247" s="116">
        <v>10</v>
      </c>
      <c r="AA247" s="116">
        <v>3</v>
      </c>
      <c r="AB247" s="116">
        <v>6</v>
      </c>
      <c r="AC247" s="117">
        <f t="shared" si="3"/>
        <v>19</v>
      </c>
      <c r="AD247" s="113" t="s">
        <v>1546</v>
      </c>
      <c r="AE247" s="113"/>
      <c r="AF247" s="113"/>
      <c r="AG247" s="113"/>
      <c r="AH247" s="113"/>
      <c r="AI247" s="113"/>
      <c r="AJ247" s="113"/>
      <c r="AK247" s="113"/>
      <c r="AL247" s="113"/>
      <c r="AM247" s="118"/>
      <c r="AN247" s="113"/>
      <c r="AO247" s="113"/>
      <c r="AP247" s="113"/>
      <c r="AR247" s="5"/>
      <c r="AS247" s="5"/>
      <c r="AT247" s="5"/>
      <c r="AU247" s="5"/>
      <c r="AV247" s="5"/>
      <c r="AW247" s="5"/>
      <c r="AX247" s="5"/>
      <c r="AY247" s="5"/>
      <c r="AZ247" s="5"/>
      <c r="BA247" s="5"/>
      <c r="BB247" s="5"/>
      <c r="BC247" s="5"/>
      <c r="BD247" s="5"/>
      <c r="BE247" s="5"/>
      <c r="BF247" s="5"/>
      <c r="BG247" s="5"/>
      <c r="BH247" s="5"/>
      <c r="BI247" s="5"/>
    </row>
    <row r="248" spans="1:62" customFormat="1">
      <c r="A248" s="114">
        <v>183</v>
      </c>
      <c r="B248" s="114" t="s">
        <v>210</v>
      </c>
      <c r="C248" s="114" t="s">
        <v>1974</v>
      </c>
      <c r="D248" s="113" t="s">
        <v>25</v>
      </c>
      <c r="E248" s="113" t="s">
        <v>56</v>
      </c>
      <c r="F248" s="118" t="s">
        <v>2031</v>
      </c>
      <c r="G248" s="113" t="s">
        <v>1479</v>
      </c>
      <c r="H248" s="113" t="s">
        <v>210</v>
      </c>
      <c r="I248" s="113">
        <v>11</v>
      </c>
      <c r="J248" s="113" t="s">
        <v>1109</v>
      </c>
      <c r="K248" s="113" t="s">
        <v>1968</v>
      </c>
      <c r="L248" s="115"/>
      <c r="M248" s="115"/>
      <c r="N248" s="115"/>
      <c r="O248" s="115"/>
      <c r="P248" s="115"/>
      <c r="Q248" s="115"/>
      <c r="R248" s="115"/>
      <c r="S248" s="113">
        <v>250</v>
      </c>
      <c r="T248" s="113">
        <v>70</v>
      </c>
      <c r="U248" s="113">
        <v>20</v>
      </c>
      <c r="V248" s="113">
        <v>50</v>
      </c>
      <c r="W248" s="113">
        <v>20</v>
      </c>
      <c r="X248" s="113">
        <v>50</v>
      </c>
      <c r="Y248" s="113">
        <v>40</v>
      </c>
      <c r="Z248" s="116">
        <v>11</v>
      </c>
      <c r="AA248" s="116">
        <v>2</v>
      </c>
      <c r="AB248" s="116">
        <v>4</v>
      </c>
      <c r="AC248" s="117">
        <f t="shared" si="3"/>
        <v>17</v>
      </c>
      <c r="AD248" s="113" t="s">
        <v>1546</v>
      </c>
      <c r="AE248" s="113"/>
      <c r="AF248" s="113"/>
      <c r="AG248" s="113"/>
      <c r="AH248" s="113"/>
      <c r="AI248" s="113"/>
      <c r="AJ248" s="113"/>
      <c r="AK248" s="113"/>
      <c r="AL248" s="113"/>
      <c r="AM248" s="118"/>
      <c r="AN248" s="113"/>
      <c r="AO248" s="113"/>
      <c r="AP248" s="113"/>
      <c r="AR248" s="5"/>
      <c r="AS248" s="5"/>
      <c r="AT248" s="5"/>
      <c r="AU248" s="5"/>
      <c r="AV248" s="5"/>
      <c r="AW248" s="5"/>
      <c r="AX248" s="5"/>
      <c r="AY248" s="5"/>
      <c r="AZ248" s="5"/>
      <c r="BA248" s="5"/>
      <c r="BB248" s="5"/>
      <c r="BC248" s="5"/>
      <c r="BD248" s="5"/>
      <c r="BE248" s="5"/>
      <c r="BF248" s="5"/>
      <c r="BG248" s="5"/>
      <c r="BH248" s="5"/>
      <c r="BI248" s="5"/>
    </row>
    <row r="249" spans="1:62" customFormat="1">
      <c r="A249" s="114">
        <v>235</v>
      </c>
      <c r="B249" s="114" t="s">
        <v>262</v>
      </c>
      <c r="C249" s="114" t="s">
        <v>1974</v>
      </c>
      <c r="D249" s="113" t="s">
        <v>36</v>
      </c>
      <c r="E249" s="113"/>
      <c r="F249" s="118" t="s">
        <v>2031</v>
      </c>
      <c r="G249" s="113" t="s">
        <v>1477</v>
      </c>
      <c r="H249" s="113" t="s">
        <v>262</v>
      </c>
      <c r="I249" s="113">
        <v>11</v>
      </c>
      <c r="J249" s="113" t="s">
        <v>1109</v>
      </c>
      <c r="K249" s="113" t="s">
        <v>1804</v>
      </c>
      <c r="L249" s="115"/>
      <c r="M249" s="115"/>
      <c r="N249" s="115"/>
      <c r="O249" s="115"/>
      <c r="P249" s="115"/>
      <c r="Q249" s="115"/>
      <c r="R249" s="115"/>
      <c r="S249" s="113">
        <v>250</v>
      </c>
      <c r="T249" s="113">
        <v>55</v>
      </c>
      <c r="U249" s="113">
        <v>20</v>
      </c>
      <c r="V249" s="113">
        <v>35</v>
      </c>
      <c r="W249" s="113">
        <v>20</v>
      </c>
      <c r="X249" s="113">
        <v>45</v>
      </c>
      <c r="Y249" s="113">
        <v>75</v>
      </c>
      <c r="Z249" s="116">
        <v>9</v>
      </c>
      <c r="AA249" s="116">
        <v>2</v>
      </c>
      <c r="AB249" s="116">
        <v>8</v>
      </c>
      <c r="AC249" s="117">
        <f t="shared" si="3"/>
        <v>19</v>
      </c>
      <c r="AD249" s="113" t="s">
        <v>1546</v>
      </c>
      <c r="AE249" s="113"/>
      <c r="AF249" s="113"/>
      <c r="AG249" s="113"/>
      <c r="AH249" s="113"/>
      <c r="AI249" s="113"/>
      <c r="AJ249" s="113"/>
      <c r="AK249" s="113"/>
      <c r="AL249" s="113"/>
      <c r="AM249" s="118"/>
      <c r="AN249" s="113"/>
      <c r="AO249" s="113"/>
      <c r="AP249" s="113"/>
      <c r="AR249" s="5"/>
      <c r="AS249" s="5"/>
      <c r="AT249" s="5"/>
      <c r="AU249" s="5"/>
      <c r="AV249" s="5"/>
      <c r="AW249" s="5"/>
      <c r="AX249" s="5"/>
      <c r="AY249" s="5"/>
      <c r="AZ249" s="5"/>
      <c r="BA249" s="5"/>
      <c r="BB249" s="5"/>
      <c r="BC249" s="5"/>
      <c r="BD249" s="5"/>
      <c r="BE249" s="5"/>
      <c r="BF249" s="5"/>
      <c r="BG249" s="5"/>
      <c r="BH249" s="5"/>
      <c r="BI249" s="5"/>
    </row>
    <row r="250" spans="1:62" customFormat="1">
      <c r="A250" s="114">
        <v>175</v>
      </c>
      <c r="B250" s="114" t="s">
        <v>202</v>
      </c>
      <c r="C250" s="114" t="s">
        <v>1974</v>
      </c>
      <c r="D250" s="113" t="s">
        <v>56</v>
      </c>
      <c r="E250" s="113"/>
      <c r="F250" s="118" t="s">
        <v>2031</v>
      </c>
      <c r="G250" s="113" t="s">
        <v>1479</v>
      </c>
      <c r="H250" s="113" t="s">
        <v>202</v>
      </c>
      <c r="I250" s="113">
        <v>11</v>
      </c>
      <c r="J250" s="113" t="s">
        <v>1109</v>
      </c>
      <c r="K250" s="113" t="s">
        <v>1968</v>
      </c>
      <c r="L250" s="115"/>
      <c r="M250" s="115"/>
      <c r="N250" s="115"/>
      <c r="O250" s="115"/>
      <c r="P250" s="115"/>
      <c r="Q250" s="115"/>
      <c r="R250" s="115"/>
      <c r="S250" s="113">
        <v>245</v>
      </c>
      <c r="T250" s="113">
        <v>35</v>
      </c>
      <c r="U250" s="113">
        <v>20</v>
      </c>
      <c r="V250" s="113">
        <v>65</v>
      </c>
      <c r="W250" s="113">
        <v>40</v>
      </c>
      <c r="X250" s="113">
        <v>65</v>
      </c>
      <c r="Y250" s="113">
        <v>20</v>
      </c>
      <c r="Z250" s="116">
        <v>11</v>
      </c>
      <c r="AA250" s="116">
        <v>3</v>
      </c>
      <c r="AB250" s="116">
        <v>2</v>
      </c>
      <c r="AC250" s="117">
        <f t="shared" si="3"/>
        <v>16</v>
      </c>
      <c r="AD250" s="113" t="s">
        <v>1546</v>
      </c>
      <c r="AE250" s="113"/>
      <c r="AF250" s="113"/>
      <c r="AG250" s="113"/>
      <c r="AH250" s="113"/>
      <c r="AI250" s="113"/>
      <c r="AJ250" s="113"/>
      <c r="AK250" s="113"/>
      <c r="AL250" s="113"/>
      <c r="AM250" s="118"/>
      <c r="AN250" s="113"/>
      <c r="AO250" s="113"/>
      <c r="AP250" s="113"/>
      <c r="AR250" s="5"/>
      <c r="AS250" s="5"/>
      <c r="AT250" s="5"/>
      <c r="AU250" s="5"/>
      <c r="AV250" s="5"/>
      <c r="AW250" s="5"/>
      <c r="AX250" s="5"/>
      <c r="AY250" s="5"/>
      <c r="AZ250" s="5"/>
      <c r="BA250" s="5"/>
      <c r="BB250" s="5"/>
      <c r="BC250" s="5"/>
      <c r="BD250" s="5"/>
      <c r="BE250" s="5"/>
      <c r="BF250" s="5"/>
      <c r="BG250" s="5"/>
      <c r="BH250" s="5"/>
      <c r="BI250" s="5"/>
    </row>
    <row r="251" spans="1:62" customFormat="1">
      <c r="A251" s="114">
        <v>242</v>
      </c>
      <c r="B251" s="114" t="s">
        <v>269</v>
      </c>
      <c r="C251" s="114" t="s">
        <v>1974</v>
      </c>
      <c r="D251" s="113" t="s">
        <v>36</v>
      </c>
      <c r="E251" s="113"/>
      <c r="F251" s="118" t="s">
        <v>2031</v>
      </c>
      <c r="G251" s="113" t="s">
        <v>1477</v>
      </c>
      <c r="H251" s="113" t="s">
        <v>140</v>
      </c>
      <c r="I251" s="113">
        <v>21</v>
      </c>
      <c r="J251" s="113" t="s">
        <v>140</v>
      </c>
      <c r="K251" s="113" t="s">
        <v>1804</v>
      </c>
      <c r="L251" s="115">
        <v>60</v>
      </c>
      <c r="M251" s="115"/>
      <c r="N251" s="115"/>
      <c r="O251" s="115"/>
      <c r="P251" s="115"/>
      <c r="Q251" s="115"/>
      <c r="R251" s="115"/>
      <c r="S251" s="113">
        <v>540</v>
      </c>
      <c r="T251" s="113">
        <v>255</v>
      </c>
      <c r="U251" s="113">
        <v>10</v>
      </c>
      <c r="V251" s="113">
        <v>10</v>
      </c>
      <c r="W251" s="113">
        <v>75</v>
      </c>
      <c r="X251" s="113">
        <v>135</v>
      </c>
      <c r="Y251" s="113">
        <v>55</v>
      </c>
      <c r="Z251" s="116">
        <v>27</v>
      </c>
      <c r="AA251" s="116">
        <v>4</v>
      </c>
      <c r="AB251" s="116">
        <v>6</v>
      </c>
      <c r="AC251" s="117">
        <f t="shared" si="3"/>
        <v>37</v>
      </c>
      <c r="AD251" s="113" t="s">
        <v>1537</v>
      </c>
      <c r="AE251" s="113"/>
      <c r="AF251" s="113"/>
      <c r="AG251" s="113"/>
      <c r="AH251" s="113"/>
      <c r="AI251" s="113"/>
      <c r="AJ251" s="113"/>
      <c r="AK251" s="113"/>
      <c r="AL251" s="113"/>
      <c r="AM251" s="118"/>
      <c r="AN251" s="113"/>
      <c r="AO251" s="113"/>
      <c r="AP251" s="113"/>
      <c r="AR251" s="5"/>
      <c r="AS251" s="5"/>
      <c r="AT251" s="5"/>
      <c r="AU251" s="5"/>
      <c r="AV251" s="5"/>
      <c r="AW251" s="5"/>
      <c r="AX251" s="5"/>
      <c r="AY251" s="5"/>
      <c r="AZ251" s="5"/>
      <c r="BA251" s="5"/>
      <c r="BB251" s="5"/>
      <c r="BC251" s="5"/>
      <c r="BD251" s="5"/>
      <c r="BE251" s="5"/>
      <c r="BF251" s="5"/>
      <c r="BG251" s="5"/>
      <c r="BH251" s="5"/>
      <c r="BI251" s="5"/>
    </row>
    <row r="252" spans="1:62" customFormat="1">
      <c r="A252" s="113">
        <v>129</v>
      </c>
      <c r="B252" s="113" t="s">
        <v>156</v>
      </c>
      <c r="C252" s="113" t="s">
        <v>1973</v>
      </c>
      <c r="D252" s="113" t="s">
        <v>25</v>
      </c>
      <c r="E252" s="113"/>
      <c r="F252" s="118" t="s">
        <v>2031</v>
      </c>
      <c r="G252" s="113" t="s">
        <v>1479</v>
      </c>
      <c r="H252" s="113" t="s">
        <v>156</v>
      </c>
      <c r="I252" s="113">
        <v>11</v>
      </c>
      <c r="J252" s="113" t="s">
        <v>1109</v>
      </c>
      <c r="K252" s="113" t="s">
        <v>1873</v>
      </c>
      <c r="L252" s="115"/>
      <c r="M252" s="115"/>
      <c r="N252" s="115"/>
      <c r="O252" s="115"/>
      <c r="P252" s="115"/>
      <c r="Q252" s="115"/>
      <c r="R252" s="115"/>
      <c r="S252" s="113">
        <v>200</v>
      </c>
      <c r="T252" s="113">
        <v>20</v>
      </c>
      <c r="U252" s="113">
        <v>10</v>
      </c>
      <c r="V252" s="113">
        <v>55</v>
      </c>
      <c r="W252" s="113">
        <v>15</v>
      </c>
      <c r="X252" s="113">
        <v>20</v>
      </c>
      <c r="Y252" s="113">
        <v>80</v>
      </c>
      <c r="Z252" s="116">
        <v>6</v>
      </c>
      <c r="AA252" s="116">
        <v>1</v>
      </c>
      <c r="AB252" s="116">
        <v>8</v>
      </c>
      <c r="AC252" s="117">
        <f t="shared" si="3"/>
        <v>15</v>
      </c>
      <c r="AD252" s="113" t="s">
        <v>1972</v>
      </c>
      <c r="AE252" s="113" t="s">
        <v>1142</v>
      </c>
      <c r="AF252" s="113" t="s">
        <v>943</v>
      </c>
      <c r="AG252" s="113"/>
      <c r="AH252" s="113" t="s">
        <v>943</v>
      </c>
      <c r="AI252" s="113" t="s">
        <v>1393</v>
      </c>
      <c r="AJ252" s="113" t="s">
        <v>1004</v>
      </c>
      <c r="AK252" s="113" t="s">
        <v>1007</v>
      </c>
      <c r="AL252" s="113" t="s">
        <v>1676</v>
      </c>
      <c r="AM252" s="113" t="s">
        <v>1026</v>
      </c>
      <c r="AN252" s="113" t="s">
        <v>1025</v>
      </c>
      <c r="AO252" s="113" t="s">
        <v>1026</v>
      </c>
      <c r="AP252" s="113" t="s">
        <v>1025</v>
      </c>
      <c r="AR252" s="5"/>
      <c r="AS252" s="5"/>
      <c r="AT252" s="5"/>
      <c r="AU252" s="5"/>
      <c r="AV252" s="5"/>
      <c r="AW252" s="5"/>
      <c r="AX252" s="5"/>
      <c r="AY252" s="5"/>
      <c r="AZ252" s="5"/>
      <c r="BA252" s="5"/>
      <c r="BB252" s="5"/>
      <c r="BC252" s="5"/>
      <c r="BD252" s="5"/>
      <c r="BE252" s="5"/>
      <c r="BF252" s="5"/>
      <c r="BG252" s="5"/>
      <c r="BH252" s="5"/>
      <c r="BI252" s="5"/>
    </row>
    <row r="253" spans="1:62" customFormat="1">
      <c r="A253" s="114">
        <v>213</v>
      </c>
      <c r="B253" s="114" t="s">
        <v>240</v>
      </c>
      <c r="C253" s="114" t="s">
        <v>1974</v>
      </c>
      <c r="D253" s="113" t="s">
        <v>29</v>
      </c>
      <c r="E253" s="113" t="s">
        <v>98</v>
      </c>
      <c r="F253" s="118" t="s">
        <v>2031</v>
      </c>
      <c r="G253" s="113" t="s">
        <v>1477</v>
      </c>
      <c r="H253" s="113" t="s">
        <v>240</v>
      </c>
      <c r="I253" s="113">
        <v>11</v>
      </c>
      <c r="J253" s="113" t="s">
        <v>1109</v>
      </c>
      <c r="K253" s="113" t="s">
        <v>1804</v>
      </c>
      <c r="L253" s="115"/>
      <c r="M253" s="115"/>
      <c r="N253" s="115"/>
      <c r="O253" s="115"/>
      <c r="P253" s="115"/>
      <c r="Q253" s="115"/>
      <c r="R253" s="115"/>
      <c r="S253" s="113">
        <v>505</v>
      </c>
      <c r="T253" s="113">
        <v>20</v>
      </c>
      <c r="U253" s="113">
        <v>10</v>
      </c>
      <c r="V253" s="113">
        <v>230</v>
      </c>
      <c r="W253" s="113">
        <v>10</v>
      </c>
      <c r="X253" s="113">
        <v>230</v>
      </c>
      <c r="Y253" s="113">
        <v>5</v>
      </c>
      <c r="Z253" s="116">
        <v>32</v>
      </c>
      <c r="AA253" s="116">
        <v>1</v>
      </c>
      <c r="AB253" s="116">
        <v>1</v>
      </c>
      <c r="AC253" s="117">
        <f t="shared" si="3"/>
        <v>34</v>
      </c>
      <c r="AD253" s="113" t="s">
        <v>1537</v>
      </c>
      <c r="AE253" s="113"/>
      <c r="AF253" s="113"/>
      <c r="AG253" s="113"/>
      <c r="AH253" s="113"/>
      <c r="AI253" s="113"/>
      <c r="AJ253" s="113"/>
      <c r="AK253" s="113"/>
      <c r="AL253" s="113"/>
      <c r="AM253" s="118"/>
      <c r="AN253" s="113"/>
      <c r="AO253" s="113"/>
      <c r="AP253" s="113"/>
      <c r="AR253" s="5"/>
      <c r="AS253" s="5"/>
      <c r="AT253" s="5"/>
      <c r="AU253" s="5"/>
      <c r="AV253" s="5"/>
      <c r="AW253" s="5"/>
      <c r="AX253" s="5"/>
      <c r="AY253" s="5"/>
      <c r="AZ253" s="5"/>
      <c r="BA253" s="5"/>
      <c r="BB253" s="5"/>
      <c r="BC253" s="5"/>
      <c r="BD253" s="5"/>
      <c r="BE253" s="5"/>
      <c r="BF253" s="5"/>
      <c r="BG253" s="5"/>
      <c r="BH253" s="5"/>
      <c r="BI253" s="5"/>
    </row>
    <row r="254" spans="1:62" customFormat="1">
      <c r="A254" s="113">
        <v>113</v>
      </c>
      <c r="B254" s="113" t="s">
        <v>140</v>
      </c>
      <c r="C254" s="113" t="s">
        <v>1973</v>
      </c>
      <c r="D254" s="113" t="s">
        <v>36</v>
      </c>
      <c r="E254" s="113"/>
      <c r="F254" s="118" t="s">
        <v>2031</v>
      </c>
      <c r="G254" s="113" t="s">
        <v>1479</v>
      </c>
      <c r="H254" s="113" t="s">
        <v>140</v>
      </c>
      <c r="I254" s="113">
        <v>11</v>
      </c>
      <c r="J254" s="113" t="s">
        <v>1109</v>
      </c>
      <c r="K254" s="113" t="s">
        <v>1968</v>
      </c>
      <c r="L254" s="115"/>
      <c r="M254" s="115"/>
      <c r="N254" s="115"/>
      <c r="O254" s="115"/>
      <c r="P254" s="115"/>
      <c r="Q254" s="115"/>
      <c r="R254" s="115"/>
      <c r="S254" s="113">
        <v>450</v>
      </c>
      <c r="T254" s="113">
        <v>250</v>
      </c>
      <c r="U254" s="113">
        <v>5</v>
      </c>
      <c r="V254" s="113">
        <v>5</v>
      </c>
      <c r="W254" s="113">
        <v>35</v>
      </c>
      <c r="X254" s="113">
        <v>105</v>
      </c>
      <c r="Y254" s="113">
        <v>50</v>
      </c>
      <c r="Z254" s="116">
        <v>24</v>
      </c>
      <c r="AA254" s="116">
        <v>3</v>
      </c>
      <c r="AB254" s="116">
        <v>5</v>
      </c>
      <c r="AC254" s="117">
        <f t="shared" si="3"/>
        <v>32</v>
      </c>
      <c r="AD254" s="113" t="s">
        <v>1538</v>
      </c>
      <c r="AE254" s="113" t="s">
        <v>1154</v>
      </c>
      <c r="AF254" s="113" t="s">
        <v>943</v>
      </c>
      <c r="AG254" s="113"/>
      <c r="AH254" s="113" t="s">
        <v>943</v>
      </c>
      <c r="AI254" s="113" t="s">
        <v>1350</v>
      </c>
      <c r="AJ254" s="113" t="s">
        <v>1349</v>
      </c>
      <c r="AK254" s="113" t="s">
        <v>1678</v>
      </c>
      <c r="AL254" s="113" t="s">
        <v>1331</v>
      </c>
      <c r="AM254" s="113" t="s">
        <v>1055</v>
      </c>
      <c r="AN254" s="113" t="s">
        <v>1054</v>
      </c>
      <c r="AO254" s="113" t="s">
        <v>1055</v>
      </c>
      <c r="AP254" s="113" t="s">
        <v>1054</v>
      </c>
      <c r="AR254" s="5"/>
      <c r="AS254" s="5"/>
      <c r="AT254" s="5"/>
      <c r="AU254" s="5"/>
      <c r="AV254" s="5"/>
      <c r="AW254" s="5"/>
      <c r="AX254" s="5"/>
      <c r="AY254" s="5"/>
      <c r="AZ254" s="5"/>
      <c r="BA254" s="5"/>
      <c r="BB254" s="5"/>
      <c r="BC254" s="5"/>
      <c r="BD254" s="5"/>
      <c r="BE254" s="5"/>
      <c r="BF254" s="5"/>
      <c r="BG254" s="5"/>
      <c r="BH254" s="5"/>
      <c r="BI254" s="5"/>
    </row>
    <row r="255" spans="1:62">
      <c r="AQ255" s="5"/>
    </row>
  </sheetData>
  <autoFilter ref="A3:BJ3" xr:uid="{00000000-0001-0000-0100-000000000000}">
    <sortState xmlns:xlrd2="http://schemas.microsoft.com/office/spreadsheetml/2017/richdata2" ref="A4:BJ254">
      <sortCondition descending="1" ref="U3:U254"/>
    </sortState>
  </autoFilter>
  <dataConsolidate/>
  <mergeCells count="11">
    <mergeCell ref="A1:Y1"/>
    <mergeCell ref="AE1:AL1"/>
    <mergeCell ref="AM1:AP1"/>
    <mergeCell ref="Z1:AD1"/>
    <mergeCell ref="A2:F2"/>
    <mergeCell ref="G2:K2"/>
    <mergeCell ref="L2:R2"/>
    <mergeCell ref="S2:Y2"/>
    <mergeCell ref="Z2:AD2"/>
    <mergeCell ref="AE2:AH2"/>
    <mergeCell ref="AI2:AL2"/>
  </mergeCells>
  <conditionalFormatting sqref="Z4:Z254">
    <cfRule type="colorScale" priority="4">
      <colorScale>
        <cfvo type="min"/>
        <cfvo type="percentile" val="50"/>
        <cfvo type="max"/>
        <color rgb="FFF8696B"/>
        <color rgb="FFFFEB84"/>
        <color rgb="FF63BE7B"/>
      </colorScale>
    </cfRule>
  </conditionalFormatting>
  <conditionalFormatting sqref="AA4:AA254">
    <cfRule type="colorScale" priority="3">
      <colorScale>
        <cfvo type="min"/>
        <cfvo type="percentile" val="50"/>
        <cfvo type="max"/>
        <color rgb="FFF8696B"/>
        <color rgb="FFFFEB84"/>
        <color rgb="FF63BE7B"/>
      </colorScale>
    </cfRule>
  </conditionalFormatting>
  <conditionalFormatting sqref="AB4:AB254">
    <cfRule type="colorScale" priority="2">
      <colorScale>
        <cfvo type="min"/>
        <cfvo type="percentile" val="50"/>
        <cfvo type="max"/>
        <color rgb="FFF8696B"/>
        <color rgb="FFFFEB84"/>
        <color rgb="FF63BE7B"/>
      </colorScale>
    </cfRule>
  </conditionalFormatting>
  <conditionalFormatting sqref="AC4:AC254">
    <cfRule type="colorScale" priority="1">
      <colorScale>
        <cfvo type="min"/>
        <cfvo type="percentile" val="50"/>
        <cfvo type="max"/>
        <color rgb="FFF8696B"/>
        <color rgb="FFFFEB84"/>
        <color rgb="FF63BE7B"/>
      </colorScale>
    </cfRule>
  </conditionalFormatting>
  <conditionalFormatting sqref="AG125">
    <cfRule type="duplicateValues" dxfId="51" priority="10"/>
  </conditionalFormatting>
  <conditionalFormatting sqref="AI29:AJ29">
    <cfRule type="duplicateValues" dxfId="50" priority="61"/>
  </conditionalFormatting>
  <conditionalFormatting sqref="AI30:AJ33 AI49:AJ51 AI99:AJ117 AI128:AJ128 AI131:AJ154 AI4:AJ28 AI34:AK34 AI35:AJ47 AK152 AI119:AJ126 AI53:AJ61 AI63:AJ97 AI130 AK111:AL111">
    <cfRule type="duplicateValues" dxfId="49" priority="62"/>
  </conditionalFormatting>
  <conditionalFormatting sqref="AI48:AJ48">
    <cfRule type="duplicateValues" dxfId="48" priority="60"/>
  </conditionalFormatting>
  <conditionalFormatting sqref="AI52:AJ52">
    <cfRule type="duplicateValues" dxfId="47" priority="59"/>
  </conditionalFormatting>
  <conditionalFormatting sqref="AI62:AJ62">
    <cfRule type="duplicateValues" dxfId="46" priority="58"/>
  </conditionalFormatting>
  <conditionalFormatting sqref="AI98:AJ98">
    <cfRule type="duplicateValues" dxfId="45" priority="57"/>
  </conditionalFormatting>
  <conditionalFormatting sqref="AI118:AJ118">
    <cfRule type="duplicateValues" dxfId="44" priority="56"/>
  </conditionalFormatting>
  <conditionalFormatting sqref="AI127:AJ127">
    <cfRule type="duplicateValues" dxfId="43" priority="55"/>
  </conditionalFormatting>
  <conditionalFormatting sqref="AI129:AJ129">
    <cfRule type="duplicateValues" dxfId="42" priority="54"/>
  </conditionalFormatting>
  <conditionalFormatting sqref="AJ130">
    <cfRule type="duplicateValues" dxfId="41" priority="12"/>
  </conditionalFormatting>
  <conditionalFormatting sqref="AK4:AK5">
    <cfRule type="duplicateValues" dxfId="40" priority="48"/>
  </conditionalFormatting>
  <conditionalFormatting sqref="AK6 AK10:AK13 AK15:AK22 AK25:AK33 AK35:AK36 AK38:AK39 AK41 AK153:AK154 AL152 AK64:AK79 AK109:AK110 AK43:AK62 AK94:AK102 AK82:AK92 AK104:AK107 AK112:AK151">
    <cfRule type="duplicateValues" dxfId="39" priority="174"/>
  </conditionalFormatting>
  <conditionalFormatting sqref="AK14">
    <cfRule type="duplicateValues" dxfId="38" priority="39"/>
  </conditionalFormatting>
  <conditionalFormatting sqref="AK23">
    <cfRule type="duplicateValues" dxfId="37" priority="31"/>
  </conditionalFormatting>
  <conditionalFormatting sqref="AK24">
    <cfRule type="duplicateValues" dxfId="36" priority="28"/>
  </conditionalFormatting>
  <conditionalFormatting sqref="AK37">
    <cfRule type="duplicateValues" dxfId="35" priority="27"/>
  </conditionalFormatting>
  <conditionalFormatting sqref="AK40">
    <cfRule type="duplicateValues" dxfId="34" priority="25"/>
  </conditionalFormatting>
  <conditionalFormatting sqref="AK42">
    <cfRule type="duplicateValues" dxfId="33" priority="24"/>
  </conditionalFormatting>
  <conditionalFormatting sqref="AK63">
    <cfRule type="duplicateValues" dxfId="32" priority="22"/>
  </conditionalFormatting>
  <conditionalFormatting sqref="AK80">
    <cfRule type="duplicateValues" dxfId="31" priority="17"/>
  </conditionalFormatting>
  <conditionalFormatting sqref="AK81">
    <cfRule type="duplicateValues" dxfId="30" priority="16"/>
  </conditionalFormatting>
  <conditionalFormatting sqref="AK93">
    <cfRule type="duplicateValues" dxfId="29" priority="15"/>
  </conditionalFormatting>
  <conditionalFormatting sqref="AK103">
    <cfRule type="duplicateValues" dxfId="28" priority="9"/>
  </conditionalFormatting>
  <conditionalFormatting sqref="AK108">
    <cfRule type="duplicateValues" dxfId="27" priority="21"/>
  </conditionalFormatting>
  <conditionalFormatting sqref="AK7:AL9">
    <cfRule type="duplicateValues" dxfId="26" priority="42"/>
  </conditionalFormatting>
  <conditionalFormatting sqref="AL4:AL6">
    <cfRule type="duplicateValues" dxfId="25" priority="46"/>
  </conditionalFormatting>
  <conditionalFormatting sqref="AL10:AL12">
    <cfRule type="duplicateValues" dxfId="24" priority="41"/>
  </conditionalFormatting>
  <conditionalFormatting sqref="AL13">
    <cfRule type="duplicateValues" dxfId="23" priority="40"/>
  </conditionalFormatting>
  <conditionalFormatting sqref="AL14">
    <cfRule type="duplicateValues" dxfId="22" priority="37"/>
  </conditionalFormatting>
  <conditionalFormatting sqref="AL15">
    <cfRule type="duplicateValues" dxfId="21" priority="36"/>
  </conditionalFormatting>
  <conditionalFormatting sqref="AL16:AL18">
    <cfRule type="duplicateValues" dxfId="20" priority="35"/>
  </conditionalFormatting>
  <conditionalFormatting sqref="AL20">
    <cfRule type="duplicateValues" dxfId="19" priority="32"/>
  </conditionalFormatting>
  <conditionalFormatting sqref="AL21 AL24:AL35 AL154:AL155 AL38:AL50 AL139:AL151 AL52:AL60 AL62:AL66 AL68:AL88 AL90:AL110 AL131:AL137 AL112:AL114 AL116:AL129">
    <cfRule type="duplicateValues" dxfId="18" priority="190"/>
  </conditionalFormatting>
  <conditionalFormatting sqref="AL22">
    <cfRule type="duplicateValues" dxfId="17" priority="29"/>
  </conditionalFormatting>
  <conditionalFormatting sqref="AL23">
    <cfRule type="duplicateValues" dxfId="16" priority="30"/>
  </conditionalFormatting>
  <conditionalFormatting sqref="AL36:AL37">
    <cfRule type="duplicateValues" dxfId="15" priority="26"/>
  </conditionalFormatting>
  <conditionalFormatting sqref="AL51">
    <cfRule type="duplicateValues" dxfId="14" priority="19"/>
  </conditionalFormatting>
  <conditionalFormatting sqref="AL61">
    <cfRule type="duplicateValues" dxfId="13" priority="18"/>
  </conditionalFormatting>
  <conditionalFormatting sqref="AL67">
    <cfRule type="duplicateValues" dxfId="12" priority="14"/>
  </conditionalFormatting>
  <conditionalFormatting sqref="AL89">
    <cfRule type="duplicateValues" dxfId="11" priority="13"/>
  </conditionalFormatting>
  <conditionalFormatting sqref="AL115">
    <cfRule type="duplicateValues" dxfId="10" priority="8"/>
  </conditionalFormatting>
  <conditionalFormatting sqref="AL130">
    <cfRule type="duplicateValues" dxfId="9" priority="11"/>
  </conditionalFormatting>
  <conditionalFormatting sqref="AL138">
    <cfRule type="duplicateValues" dxfId="8" priority="20"/>
  </conditionalFormatting>
  <conditionalFormatting sqref="AL153">
    <cfRule type="duplicateValues" dxfId="7" priority="7"/>
  </conditionalFormatting>
  <conditionalFormatting sqref="AL156:AL157 AL19">
    <cfRule type="duplicateValues" dxfId="6" priority="34"/>
  </conditionalFormatting>
  <conditionalFormatting sqref="AM117:AN117">
    <cfRule type="duplicateValues" dxfId="5" priority="163"/>
  </conditionalFormatting>
  <conditionalFormatting sqref="AO117:AP117">
    <cfRule type="duplicateValues" dxfId="4" priority="6"/>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EC5940C0-DCB3-0C4C-906E-39B6466AF5F5}">
          <x14:formula1>
            <xm:f>'Evolution Special'!$F$3:$F$12</xm:f>
          </x14:formula1>
          <xm:sqref>O4:O1030</xm:sqref>
        </x14:dataValidation>
        <x14:dataValidation type="list" allowBlank="1" showInputMessage="1" showErrorMessage="1" xr:uid="{28CF6166-5808-6746-9580-66F85733F57F}">
          <x14:formula1>
            <xm:f>'Evolution Special'!$J$3:$J$6</xm:f>
          </x14:formula1>
          <xm:sqref>L4:L254</xm:sqref>
        </x14:dataValidation>
        <x14:dataValidation type="list" allowBlank="1" showInputMessage="1" showErrorMessage="1" xr:uid="{C2ABDA9F-604C-BD4E-9895-5575CF48A62A}">
          <x14:formula1>
            <xm:f>'Evolution Special'!$C$3:$C$4</xm:f>
          </x14:formula1>
          <xm:sqref>M4:M254</xm:sqref>
        </x14:dataValidation>
        <x14:dataValidation type="list" allowBlank="1" showInputMessage="1" showErrorMessage="1" xr:uid="{CCAF52A5-E088-E54F-B77F-35DADD44D6A6}">
          <x14:formula1>
            <xm:f>'Evolution Special'!$E$3:$E$6</xm:f>
          </x14:formula1>
          <xm:sqref>N4:N254</xm:sqref>
        </x14:dataValidation>
        <x14:dataValidation type="list" allowBlank="1" showInputMessage="1" showErrorMessage="1" xr:uid="{C135C34A-D925-D64E-B766-A8E58EF53FD8}">
          <x14:formula1>
            <xm:f>'Evolution Special'!$D$3:$D$4</xm:f>
          </x14:formula1>
          <xm:sqref>P4:P254</xm:sqref>
        </x14:dataValidation>
        <x14:dataValidation type="list" allowBlank="1" showInputMessage="1" showErrorMessage="1" xr:uid="{C931DAF8-A8DB-5F4A-955C-0483708C47E2}">
          <x14:formula1>
            <xm:f>'Evolution Special'!$H$3:$H$4</xm:f>
          </x14:formula1>
          <xm:sqref>Q4:Q254</xm:sqref>
        </x14:dataValidation>
        <x14:dataValidation type="list" allowBlank="1" showInputMessage="1" showErrorMessage="1" xr:uid="{22E7F76C-C605-874C-88E8-B29D512D0B01}">
          <x14:formula1>
            <xm:f>'Evolution Special'!$I$3:$I$5</xm:f>
          </x14:formula1>
          <xm:sqref>R4:R254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B2:H35"/>
  <sheetViews>
    <sheetView workbookViewId="0">
      <selection activeCell="F25" activeCellId="3" sqref="F24 F26 F32 F25"/>
    </sheetView>
  </sheetViews>
  <sheetFormatPr baseColWidth="10" defaultColWidth="8.83203125" defaultRowHeight="15"/>
  <cols>
    <col min="2" max="2" width="21.33203125" bestFit="1" customWidth="1"/>
  </cols>
  <sheetData>
    <row r="2" spans="2:7">
      <c r="B2" t="s">
        <v>1539</v>
      </c>
      <c r="C2" t="s">
        <v>5</v>
      </c>
      <c r="D2" t="s">
        <v>1540</v>
      </c>
      <c r="E2" t="s">
        <v>1541</v>
      </c>
      <c r="F2" t="s">
        <v>1542</v>
      </c>
      <c r="G2" t="s">
        <v>1543</v>
      </c>
    </row>
    <row r="3" spans="2:7">
      <c r="B3" t="s">
        <v>1510</v>
      </c>
      <c r="C3" s="3">
        <v>11</v>
      </c>
      <c r="D3" s="4">
        <v>4</v>
      </c>
      <c r="E3" s="3">
        <v>4</v>
      </c>
      <c r="F3" s="9">
        <f t="shared" ref="F3:F11" si="0">SUM(C3:E3)</f>
        <v>19</v>
      </c>
      <c r="G3" s="178">
        <f>SUM(F3:F4)</f>
        <v>48</v>
      </c>
    </row>
    <row r="4" spans="2:7">
      <c r="B4" s="71" t="s">
        <v>1509</v>
      </c>
      <c r="C4" s="72">
        <v>16</v>
      </c>
      <c r="D4" s="73">
        <v>6</v>
      </c>
      <c r="E4" s="72">
        <v>7</v>
      </c>
      <c r="F4" s="74">
        <f t="shared" si="0"/>
        <v>29</v>
      </c>
      <c r="G4" s="177"/>
    </row>
    <row r="5" spans="2:7">
      <c r="B5" s="75" t="s">
        <v>1511</v>
      </c>
      <c r="C5" s="76">
        <v>9.8666666666666671</v>
      </c>
      <c r="D5" s="77">
        <v>4</v>
      </c>
      <c r="E5" s="76">
        <v>5.5</v>
      </c>
      <c r="F5" s="78">
        <f t="shared" si="0"/>
        <v>19.366666666666667</v>
      </c>
      <c r="G5" s="176">
        <f>SUM(F5:F6)</f>
        <v>55.2</v>
      </c>
    </row>
    <row r="6" spans="2:7">
      <c r="B6" s="71" t="s">
        <v>1512</v>
      </c>
      <c r="C6" s="72">
        <v>15.333333333333334</v>
      </c>
      <c r="D6" s="73">
        <v>9</v>
      </c>
      <c r="E6" s="72">
        <v>11.5</v>
      </c>
      <c r="F6" s="74">
        <f t="shared" si="0"/>
        <v>35.833333333333336</v>
      </c>
      <c r="G6" s="177"/>
    </row>
    <row r="7" spans="2:7">
      <c r="B7" s="75" t="s">
        <v>1513</v>
      </c>
      <c r="C7" s="76">
        <v>13</v>
      </c>
      <c r="D7" s="77">
        <v>8</v>
      </c>
      <c r="E7" s="76">
        <v>11</v>
      </c>
      <c r="F7" s="78">
        <f t="shared" si="0"/>
        <v>32</v>
      </c>
      <c r="G7" s="176">
        <f>SUM(F7:F8)</f>
        <v>64.3</v>
      </c>
    </row>
    <row r="8" spans="2:7">
      <c r="B8" s="71" t="s">
        <v>1514</v>
      </c>
      <c r="C8" s="72">
        <v>13.8</v>
      </c>
      <c r="D8" s="73">
        <v>8</v>
      </c>
      <c r="E8" s="72">
        <v>10.5</v>
      </c>
      <c r="F8" s="74">
        <f t="shared" si="0"/>
        <v>32.299999999999997</v>
      </c>
      <c r="G8" s="177"/>
    </row>
    <row r="9" spans="2:7">
      <c r="B9" s="75" t="s">
        <v>1515</v>
      </c>
      <c r="C9" s="76">
        <v>14.666666666666666</v>
      </c>
      <c r="D9" s="77">
        <v>6</v>
      </c>
      <c r="E9" s="76">
        <v>3</v>
      </c>
      <c r="F9" s="78">
        <f t="shared" si="0"/>
        <v>23.666666666666664</v>
      </c>
      <c r="G9" s="176">
        <f>SUM(F9:F10)</f>
        <v>53.333333333333329</v>
      </c>
    </row>
    <row r="10" spans="2:7">
      <c r="B10" s="71" t="s">
        <v>1516</v>
      </c>
      <c r="C10" s="72">
        <v>16.666666666666668</v>
      </c>
      <c r="D10" s="73">
        <v>8</v>
      </c>
      <c r="E10" s="72">
        <v>5</v>
      </c>
      <c r="F10" s="74">
        <f t="shared" si="0"/>
        <v>29.666666666666668</v>
      </c>
      <c r="G10" s="177"/>
    </row>
    <row r="11" spans="2:7">
      <c r="B11" s="75" t="s">
        <v>1517</v>
      </c>
      <c r="C11" s="76">
        <v>13</v>
      </c>
      <c r="D11" s="77">
        <v>7</v>
      </c>
      <c r="E11" s="76">
        <v>9.5</v>
      </c>
      <c r="F11" s="78">
        <f t="shared" si="0"/>
        <v>29.5</v>
      </c>
      <c r="G11" s="176">
        <f>SUM(F11:F12)</f>
        <v>63.5</v>
      </c>
    </row>
    <row r="12" spans="2:7">
      <c r="B12" s="71" t="s">
        <v>1518</v>
      </c>
      <c r="C12" s="72">
        <v>13</v>
      </c>
      <c r="D12" s="73">
        <v>9</v>
      </c>
      <c r="E12" s="72">
        <v>12</v>
      </c>
      <c r="F12" s="74">
        <f>SUM(C12:E12)</f>
        <v>34</v>
      </c>
      <c r="G12" s="177"/>
    </row>
    <row r="13" spans="2:7">
      <c r="B13" s="75" t="s">
        <v>1519</v>
      </c>
      <c r="C13" s="76">
        <v>13.866666666666667</v>
      </c>
      <c r="D13" s="77">
        <v>8</v>
      </c>
      <c r="E13" s="76">
        <v>8</v>
      </c>
      <c r="F13" s="78">
        <f>SUM(C13:E13)</f>
        <v>29.866666666666667</v>
      </c>
      <c r="G13" s="176">
        <f>SUM(F13:F14)</f>
        <v>56.533333333333331</v>
      </c>
    </row>
    <row r="14" spans="2:7">
      <c r="B14" s="71" t="s">
        <v>1520</v>
      </c>
      <c r="C14" s="72">
        <v>13.666666666666666</v>
      </c>
      <c r="D14" s="73">
        <v>4</v>
      </c>
      <c r="E14" s="72">
        <v>9</v>
      </c>
      <c r="F14" s="74">
        <f>SUM(C14:E14)</f>
        <v>26.666666666666664</v>
      </c>
      <c r="G14" s="177"/>
    </row>
    <row r="15" spans="2:7">
      <c r="B15" s="75" t="s">
        <v>1521</v>
      </c>
      <c r="C15" s="76">
        <v>16.666666666666668</v>
      </c>
      <c r="D15" s="77">
        <v>8</v>
      </c>
      <c r="E15" s="76">
        <v>9.5</v>
      </c>
      <c r="F15" s="78">
        <f>SUM(C15:E15)</f>
        <v>34.166666666666671</v>
      </c>
      <c r="G15" s="176">
        <f>SUM(F15:F16)</f>
        <v>66.26666666666668</v>
      </c>
    </row>
    <row r="16" spans="2:7">
      <c r="B16" s="71" t="s">
        <v>1522</v>
      </c>
      <c r="C16" s="72">
        <v>13.8</v>
      </c>
      <c r="D16" s="73">
        <v>9</v>
      </c>
      <c r="E16" s="72">
        <v>9.3000000000000007</v>
      </c>
      <c r="F16" s="74">
        <f>SUM(C16:E16)</f>
        <v>32.1</v>
      </c>
      <c r="G16" s="177"/>
    </row>
    <row r="17" spans="2:8">
      <c r="B17" s="75" t="s">
        <v>1524</v>
      </c>
      <c r="C17" s="76">
        <v>18</v>
      </c>
      <c r="D17" s="77">
        <v>8</v>
      </c>
      <c r="E17" s="76">
        <v>4</v>
      </c>
      <c r="F17" s="78">
        <v>30</v>
      </c>
      <c r="G17" s="176">
        <f>SUM(F17:F18)</f>
        <v>67.666666666666671</v>
      </c>
    </row>
    <row r="18" spans="2:8">
      <c r="B18" s="71" t="s">
        <v>1523</v>
      </c>
      <c r="C18" s="72">
        <v>17.666666666666668</v>
      </c>
      <c r="D18" s="73">
        <v>11</v>
      </c>
      <c r="E18" s="72">
        <v>9</v>
      </c>
      <c r="F18" s="74">
        <f>SUM(C18:E18)</f>
        <v>37.666666666666671</v>
      </c>
      <c r="G18" s="177"/>
    </row>
    <row r="19" spans="2:8">
      <c r="C19" s="3"/>
      <c r="D19" s="4"/>
      <c r="E19" s="3"/>
      <c r="F19" s="9"/>
      <c r="G19" s="13"/>
    </row>
    <row r="21" spans="2:8">
      <c r="B21" t="s">
        <v>1539</v>
      </c>
      <c r="C21" t="s">
        <v>5</v>
      </c>
      <c r="D21" t="s">
        <v>1540</v>
      </c>
      <c r="E21" t="s">
        <v>1541</v>
      </c>
      <c r="F21" t="s">
        <v>1542</v>
      </c>
      <c r="G21" t="s">
        <v>1543</v>
      </c>
    </row>
    <row r="22" spans="2:8">
      <c r="B22" t="s">
        <v>121</v>
      </c>
      <c r="C22" s="3">
        <v>13</v>
      </c>
      <c r="D22" s="4">
        <v>9</v>
      </c>
      <c r="E22" s="3">
        <v>11</v>
      </c>
      <c r="F22" s="9">
        <f t="shared" ref="F22:F33" si="1">SUM(C22:E22)</f>
        <v>33</v>
      </c>
      <c r="G22" s="178">
        <f>SUM(F22:F24)</f>
        <v>94.866666666666674</v>
      </c>
      <c r="H22" s="9"/>
    </row>
    <row r="23" spans="2:8">
      <c r="B23" t="s">
        <v>124</v>
      </c>
      <c r="C23" s="3">
        <v>18</v>
      </c>
      <c r="D23" s="4">
        <v>8</v>
      </c>
      <c r="E23" s="3">
        <v>6.7</v>
      </c>
      <c r="F23" s="9">
        <f t="shared" si="1"/>
        <v>32.700000000000003</v>
      </c>
      <c r="G23" s="178"/>
      <c r="H23" s="9"/>
    </row>
    <row r="24" spans="2:8">
      <c r="B24" s="71" t="s">
        <v>132</v>
      </c>
      <c r="C24" s="72">
        <v>16.666666666666668</v>
      </c>
      <c r="D24" s="73">
        <v>8</v>
      </c>
      <c r="E24" s="72">
        <v>4.5</v>
      </c>
      <c r="F24" s="74">
        <f t="shared" si="1"/>
        <v>29.166666666666668</v>
      </c>
      <c r="G24" s="179"/>
      <c r="H24" s="9"/>
    </row>
    <row r="25" spans="2:8">
      <c r="B25" s="75" t="s">
        <v>91</v>
      </c>
      <c r="C25" s="76">
        <v>17</v>
      </c>
      <c r="D25" s="77">
        <v>8</v>
      </c>
      <c r="E25" s="76">
        <v>5.5</v>
      </c>
      <c r="F25" s="78">
        <f t="shared" si="1"/>
        <v>30.5</v>
      </c>
      <c r="G25" s="176">
        <f>SUM(F25:F27)</f>
        <v>90.933333333333337</v>
      </c>
      <c r="H25" s="9"/>
    </row>
    <row r="26" spans="2:8">
      <c r="B26" t="s">
        <v>133</v>
      </c>
      <c r="C26" s="3">
        <v>14.2</v>
      </c>
      <c r="D26" s="4">
        <v>7</v>
      </c>
      <c r="E26" s="3">
        <v>8.6999999999999993</v>
      </c>
      <c r="F26" s="9">
        <f t="shared" si="1"/>
        <v>29.9</v>
      </c>
      <c r="G26" s="178"/>
      <c r="H26" s="9"/>
    </row>
    <row r="27" spans="2:8">
      <c r="B27" s="71" t="s">
        <v>134</v>
      </c>
      <c r="C27" s="72">
        <v>15.933333333333334</v>
      </c>
      <c r="D27" s="73">
        <v>7</v>
      </c>
      <c r="E27" s="72">
        <v>7.6</v>
      </c>
      <c r="F27" s="74">
        <f t="shared" si="1"/>
        <v>30.533333333333331</v>
      </c>
      <c r="G27" s="179"/>
      <c r="H27" s="9"/>
    </row>
    <row r="28" spans="2:8">
      <c r="B28" s="75" t="s">
        <v>21</v>
      </c>
      <c r="C28" s="76">
        <v>16.066666666666666</v>
      </c>
      <c r="D28" s="77">
        <v>8</v>
      </c>
      <c r="E28" s="76">
        <v>10</v>
      </c>
      <c r="F28" s="78">
        <f t="shared" si="1"/>
        <v>34.066666666666663</v>
      </c>
      <c r="G28" s="176">
        <f>SUM(F28:F30)</f>
        <v>106.79999999999998</v>
      </c>
      <c r="H28" s="9"/>
    </row>
    <row r="29" spans="2:8">
      <c r="B29" t="s">
        <v>170</v>
      </c>
      <c r="C29" s="3">
        <v>14.666666666666666</v>
      </c>
      <c r="D29" s="4">
        <v>8</v>
      </c>
      <c r="E29" s="3">
        <v>13</v>
      </c>
      <c r="F29" s="9">
        <f t="shared" si="1"/>
        <v>35.666666666666664</v>
      </c>
      <c r="G29" s="178"/>
      <c r="H29" s="9"/>
    </row>
    <row r="30" spans="2:8">
      <c r="B30" s="71" t="s">
        <v>177</v>
      </c>
      <c r="C30" s="72">
        <v>19.066666666666666</v>
      </c>
      <c r="D30" s="73">
        <v>10</v>
      </c>
      <c r="E30" s="72">
        <v>8</v>
      </c>
      <c r="F30" s="74">
        <f t="shared" si="1"/>
        <v>37.066666666666663</v>
      </c>
      <c r="G30" s="179"/>
      <c r="H30" s="9"/>
    </row>
    <row r="31" spans="2:8">
      <c r="B31" t="s">
        <v>117</v>
      </c>
      <c r="C31" s="3">
        <v>18.333333333333332</v>
      </c>
      <c r="D31" s="4">
        <v>7</v>
      </c>
      <c r="E31" s="3">
        <v>7</v>
      </c>
      <c r="F31" s="9">
        <f t="shared" si="1"/>
        <v>32.333333333333329</v>
      </c>
      <c r="G31" s="178">
        <f>SUM(F31:F33)</f>
        <v>96.499999999999986</v>
      </c>
      <c r="H31" s="9"/>
    </row>
    <row r="32" spans="2:8">
      <c r="B32" t="s">
        <v>130</v>
      </c>
      <c r="C32" s="3">
        <v>16.333333333333332</v>
      </c>
      <c r="D32" s="4">
        <v>8</v>
      </c>
      <c r="E32" s="3">
        <v>5.5</v>
      </c>
      <c r="F32" s="9">
        <f t="shared" si="1"/>
        <v>29.833333333333332</v>
      </c>
      <c r="G32" s="178"/>
      <c r="H32" s="9"/>
    </row>
    <row r="33" spans="2:8">
      <c r="B33" t="s">
        <v>159</v>
      </c>
      <c r="C33" s="3">
        <v>20.333333333333332</v>
      </c>
      <c r="D33" s="4">
        <v>8</v>
      </c>
      <c r="E33" s="3">
        <v>6</v>
      </c>
      <c r="F33" s="9">
        <f t="shared" si="1"/>
        <v>34.333333333333329</v>
      </c>
      <c r="G33" s="178"/>
      <c r="H33" s="9"/>
    </row>
    <row r="35" spans="2:8">
      <c r="F35" s="9">
        <f>SUM(F22:F33)/3</f>
        <v>129.69999999999999</v>
      </c>
    </row>
  </sheetData>
  <autoFilter ref="B21:G33" xr:uid="{00000000-0009-0000-0000-000002000000}"/>
  <mergeCells count="12">
    <mergeCell ref="G22:G24"/>
    <mergeCell ref="G25:G27"/>
    <mergeCell ref="G28:G30"/>
    <mergeCell ref="G31:G33"/>
    <mergeCell ref="G15:G16"/>
    <mergeCell ref="G17:G18"/>
    <mergeCell ref="G13:G14"/>
    <mergeCell ref="G3:G4"/>
    <mergeCell ref="G5:G6"/>
    <mergeCell ref="G7:G8"/>
    <mergeCell ref="G9:G10"/>
    <mergeCell ref="G11:G12"/>
  </mergeCells>
  <conditionalFormatting sqref="C3:C19">
    <cfRule type="colorScale" priority="19">
      <colorScale>
        <cfvo type="min"/>
        <cfvo type="percentile" val="50"/>
        <cfvo type="max"/>
        <color rgb="FFF8696B"/>
        <color rgb="FFFFEB84"/>
        <color rgb="FF63BE7B"/>
      </colorScale>
    </cfRule>
  </conditionalFormatting>
  <conditionalFormatting sqref="C22:C33">
    <cfRule type="colorScale" priority="9">
      <colorScale>
        <cfvo type="min"/>
        <cfvo type="percentile" val="50"/>
        <cfvo type="max"/>
        <color rgb="FFF8696B"/>
        <color rgb="FFFFEB84"/>
        <color rgb="FF63BE7B"/>
      </colorScale>
    </cfRule>
  </conditionalFormatting>
  <conditionalFormatting sqref="D3:D19">
    <cfRule type="colorScale" priority="18">
      <colorScale>
        <cfvo type="min"/>
        <cfvo type="percentile" val="50"/>
        <cfvo type="max"/>
        <color rgb="FFF8696B"/>
        <color rgb="FFFFEB84"/>
        <color rgb="FF63BE7B"/>
      </colorScale>
    </cfRule>
  </conditionalFormatting>
  <conditionalFormatting sqref="D22:D33">
    <cfRule type="colorScale" priority="8">
      <colorScale>
        <cfvo type="min"/>
        <cfvo type="percentile" val="50"/>
        <cfvo type="max"/>
        <color rgb="FFF8696B"/>
        <color rgb="FFFFEB84"/>
        <color rgb="FF63BE7B"/>
      </colorScale>
    </cfRule>
  </conditionalFormatting>
  <conditionalFormatting sqref="E3:E19">
    <cfRule type="colorScale" priority="17">
      <colorScale>
        <cfvo type="min"/>
        <cfvo type="percentile" val="50"/>
        <cfvo type="max"/>
        <color rgb="FFF8696B"/>
        <color rgb="FFFFEB84"/>
        <color rgb="FF63BE7B"/>
      </colorScale>
    </cfRule>
  </conditionalFormatting>
  <conditionalFormatting sqref="E22:E33">
    <cfRule type="colorScale" priority="7">
      <colorScale>
        <cfvo type="min"/>
        <cfvo type="percentile" val="50"/>
        <cfvo type="max"/>
        <color rgb="FFF8696B"/>
        <color rgb="FFFFEB84"/>
        <color rgb="FF63BE7B"/>
      </colorScale>
    </cfRule>
  </conditionalFormatting>
  <conditionalFormatting sqref="F3:F19">
    <cfRule type="colorScale" priority="16">
      <colorScale>
        <cfvo type="min"/>
        <cfvo type="percentile" val="50"/>
        <cfvo type="max"/>
        <color rgb="FFF8696B"/>
        <color rgb="FFFFEB84"/>
        <color rgb="FF63BE7B"/>
      </colorScale>
    </cfRule>
  </conditionalFormatting>
  <conditionalFormatting sqref="F3:F33">
    <cfRule type="colorScale" priority="5">
      <colorScale>
        <cfvo type="min"/>
        <cfvo type="percentile" val="50"/>
        <cfvo type="max"/>
        <color rgb="FFF8696B"/>
        <color rgb="FFFFEB84"/>
        <color rgb="FF63BE7B"/>
      </colorScale>
    </cfRule>
  </conditionalFormatting>
  <conditionalFormatting sqref="F22:F33">
    <cfRule type="colorScale" priority="6">
      <colorScale>
        <cfvo type="min"/>
        <cfvo type="percentile" val="50"/>
        <cfvo type="max"/>
        <color rgb="FFF8696B"/>
        <color rgb="FFFFEB84"/>
        <color rgb="FF63BE7B"/>
      </colorScale>
    </cfRule>
  </conditionalFormatting>
  <conditionalFormatting sqref="G3:G19">
    <cfRule type="colorScale" priority="14">
      <colorScale>
        <cfvo type="min"/>
        <cfvo type="percentile" val="50"/>
        <cfvo type="max"/>
        <color rgb="FF63BE7B"/>
        <color rgb="FFFFEB84"/>
        <color rgb="FFF8696B"/>
      </colorScale>
    </cfRule>
  </conditionalFormatting>
  <conditionalFormatting sqref="G22">
    <cfRule type="colorScale" priority="4">
      <colorScale>
        <cfvo type="min"/>
        <cfvo type="percentile" val="50"/>
        <cfvo type="max"/>
        <color rgb="FF63BE7B"/>
        <color rgb="FFFFEB84"/>
        <color rgb="FFF8696B"/>
      </colorScale>
    </cfRule>
  </conditionalFormatting>
  <conditionalFormatting sqref="G25">
    <cfRule type="colorScale" priority="3">
      <colorScale>
        <cfvo type="min"/>
        <cfvo type="percentile" val="50"/>
        <cfvo type="max"/>
        <color rgb="FF63BE7B"/>
        <color rgb="FFFFEB84"/>
        <color rgb="FFF8696B"/>
      </colorScale>
    </cfRule>
  </conditionalFormatting>
  <conditionalFormatting sqref="G28">
    <cfRule type="colorScale" priority="2">
      <colorScale>
        <cfvo type="min"/>
        <cfvo type="percentile" val="50"/>
        <cfvo type="max"/>
        <color rgb="FF63BE7B"/>
        <color rgb="FFFFEB84"/>
        <color rgb="FFF8696B"/>
      </colorScale>
    </cfRule>
  </conditionalFormatting>
  <conditionalFormatting sqref="G3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B693-2463-154C-A030-0281F4DD5B34}">
  <sheetPr codeName="Hoja2" filterMode="1"/>
  <dimension ref="A1:AJ1342"/>
  <sheetViews>
    <sheetView zoomScale="120" zoomScaleNormal="120" workbookViewId="0">
      <pane xSplit="2" ySplit="2" topLeftCell="C3" activePane="bottomRight" state="frozen"/>
      <selection activeCell="D637" sqref="D637"/>
      <selection pane="topRight" activeCell="D637" sqref="D637"/>
      <selection pane="bottomLeft" activeCell="D637" sqref="D637"/>
      <selection pane="bottomRight" activeCell="K3" sqref="K3"/>
    </sheetView>
  </sheetViews>
  <sheetFormatPr baseColWidth="10" defaultColWidth="8.83203125" defaultRowHeight="15"/>
  <cols>
    <col min="1" max="1" width="5.1640625" style="5" bestFit="1" customWidth="1"/>
    <col min="2" max="2" width="30.1640625" style="5" bestFit="1" customWidth="1"/>
    <col min="3" max="3" width="7.83203125" style="8" customWidth="1"/>
    <col min="4" max="5" width="5.5" style="5" customWidth="1"/>
    <col min="6" max="6" width="12.33203125" style="5" customWidth="1"/>
    <col min="7" max="7" width="12.5" style="5" customWidth="1"/>
    <col min="8" max="9" width="8.6640625" style="5" customWidth="1"/>
    <col min="10" max="10" width="9.5" style="5" customWidth="1"/>
    <col min="11" max="11" width="12.33203125" style="5" customWidth="1"/>
    <col min="12" max="12" width="8.6640625" style="5" customWidth="1"/>
    <col min="13" max="15" width="17" style="5" customWidth="1"/>
    <col min="16" max="16" width="5" style="5" customWidth="1"/>
    <col min="17" max="19" width="7.33203125" style="5" customWidth="1"/>
    <col min="20" max="20" width="7.33203125" style="8" customWidth="1"/>
    <col min="21" max="22" width="7.33203125" style="5" customWidth="1"/>
    <col min="23" max="23" width="33.5" style="5" bestFit="1" customWidth="1"/>
    <col min="24" max="24" width="9.6640625" style="5" bestFit="1" customWidth="1"/>
    <col min="25" max="16384" width="8.83203125" style="5"/>
  </cols>
  <sheetData>
    <row r="1" spans="1:33">
      <c r="A1" s="170" t="s">
        <v>770</v>
      </c>
      <c r="B1" s="170"/>
      <c r="C1" s="170"/>
      <c r="D1" s="170"/>
      <c r="E1" s="170"/>
      <c r="F1" s="170"/>
      <c r="G1" s="170"/>
      <c r="H1" s="170"/>
      <c r="I1" s="170"/>
      <c r="J1" s="170"/>
      <c r="K1" s="170"/>
      <c r="L1" s="170"/>
      <c r="M1" s="170"/>
      <c r="N1" s="170"/>
      <c r="O1" s="170"/>
      <c r="P1" s="170"/>
      <c r="Q1" s="170"/>
      <c r="R1" s="170"/>
      <c r="S1" s="170"/>
      <c r="T1" s="170"/>
      <c r="U1" s="170"/>
      <c r="V1" s="170"/>
    </row>
    <row r="2" spans="1:33">
      <c r="A2" s="170" t="s">
        <v>1975</v>
      </c>
      <c r="B2" s="170"/>
      <c r="C2" s="170"/>
      <c r="D2" s="170"/>
      <c r="E2" s="170"/>
      <c r="F2" s="170"/>
      <c r="G2" s="170"/>
      <c r="H2" s="170"/>
      <c r="I2" s="170"/>
      <c r="J2" s="170"/>
      <c r="K2" s="130"/>
      <c r="L2" s="130"/>
      <c r="M2" s="171" t="s">
        <v>1978</v>
      </c>
      <c r="N2" s="172"/>
      <c r="O2" s="172"/>
      <c r="P2" s="170" t="s">
        <v>2028</v>
      </c>
      <c r="Q2" s="170"/>
      <c r="R2" s="170"/>
      <c r="S2" s="170"/>
      <c r="T2" s="170"/>
      <c r="U2" s="170"/>
      <c r="V2" s="170"/>
    </row>
    <row r="3" spans="1:33">
      <c r="A3" s="136" t="s">
        <v>0</v>
      </c>
      <c r="B3" s="136" t="s">
        <v>1</v>
      </c>
      <c r="C3" s="136" t="s">
        <v>3051</v>
      </c>
      <c r="D3" s="136" t="s">
        <v>1993</v>
      </c>
      <c r="E3" s="136" t="s">
        <v>1994</v>
      </c>
      <c r="F3" s="136" t="s">
        <v>2346</v>
      </c>
      <c r="G3" s="136" t="s">
        <v>11</v>
      </c>
      <c r="H3" s="136" t="s">
        <v>2</v>
      </c>
      <c r="I3" s="136" t="s">
        <v>3</v>
      </c>
      <c r="J3" s="136" t="s">
        <v>2029</v>
      </c>
      <c r="K3" s="136" t="s">
        <v>4656</v>
      </c>
      <c r="L3" s="136" t="s">
        <v>1967</v>
      </c>
      <c r="M3" s="148" t="s">
        <v>1802</v>
      </c>
      <c r="N3" s="148" t="s">
        <v>1965</v>
      </c>
      <c r="O3" s="148" t="s">
        <v>2141</v>
      </c>
      <c r="P3" s="109" t="s">
        <v>4</v>
      </c>
      <c r="Q3" s="109" t="s">
        <v>5</v>
      </c>
      <c r="R3" s="122" t="s">
        <v>6</v>
      </c>
      <c r="S3" s="122" t="s">
        <v>7</v>
      </c>
      <c r="T3" s="122" t="s">
        <v>8</v>
      </c>
      <c r="U3" s="109" t="s">
        <v>9</v>
      </c>
      <c r="V3" s="109" t="s">
        <v>6421</v>
      </c>
    </row>
    <row r="4" spans="1:33" customFormat="1">
      <c r="A4" s="113">
        <v>1</v>
      </c>
      <c r="B4" s="113" t="s">
        <v>13</v>
      </c>
      <c r="C4" s="120" t="s">
        <v>5210</v>
      </c>
      <c r="D4" s="124">
        <v>0.85</v>
      </c>
      <c r="E4" s="124">
        <v>0.15</v>
      </c>
      <c r="F4" s="113" t="s">
        <v>14</v>
      </c>
      <c r="G4" s="113" t="s">
        <v>1973</v>
      </c>
      <c r="H4" s="113" t="s">
        <v>14</v>
      </c>
      <c r="I4" s="113" t="s">
        <v>15</v>
      </c>
      <c r="J4" s="118" t="s">
        <v>792</v>
      </c>
      <c r="K4" s="118" t="s">
        <v>4657</v>
      </c>
      <c r="L4" s="118" t="s">
        <v>5210</v>
      </c>
      <c r="M4" s="115" t="s">
        <v>1109</v>
      </c>
      <c r="N4" s="115" t="s">
        <v>2129</v>
      </c>
      <c r="O4" s="115" t="s">
        <v>1109</v>
      </c>
      <c r="P4" s="113">
        <v>318</v>
      </c>
      <c r="Q4" s="113">
        <v>45</v>
      </c>
      <c r="R4" s="113">
        <v>49</v>
      </c>
      <c r="S4" s="113">
        <v>49</v>
      </c>
      <c r="T4" s="120">
        <v>65</v>
      </c>
      <c r="U4" s="113">
        <v>65</v>
      </c>
      <c r="V4" s="113">
        <v>45</v>
      </c>
      <c r="W4" s="129"/>
      <c r="X4" s="129"/>
      <c r="Y4" s="5"/>
      <c r="Z4" s="5"/>
      <c r="AA4" s="5"/>
      <c r="AB4" s="5"/>
      <c r="AC4" s="5"/>
      <c r="AD4" s="5"/>
      <c r="AE4" s="5"/>
    </row>
    <row r="5" spans="1:33" customFormat="1">
      <c r="A5" s="113">
        <v>2</v>
      </c>
      <c r="B5" s="113" t="s">
        <v>16</v>
      </c>
      <c r="C5" s="120" t="s">
        <v>5211</v>
      </c>
      <c r="D5" s="124">
        <v>0.85</v>
      </c>
      <c r="E5" s="124">
        <v>0.15</v>
      </c>
      <c r="F5" s="113" t="s">
        <v>14</v>
      </c>
      <c r="G5" s="113" t="s">
        <v>1973</v>
      </c>
      <c r="H5" s="113" t="s">
        <v>14</v>
      </c>
      <c r="I5" s="113" t="s">
        <v>15</v>
      </c>
      <c r="J5" s="118" t="s">
        <v>792</v>
      </c>
      <c r="K5" s="118" t="s">
        <v>4657</v>
      </c>
      <c r="L5" s="118" t="s">
        <v>5210</v>
      </c>
      <c r="M5" s="115" t="s">
        <v>5210</v>
      </c>
      <c r="N5" s="115" t="s">
        <v>6398</v>
      </c>
      <c r="O5" s="115" t="s">
        <v>2128</v>
      </c>
      <c r="P5" s="113">
        <v>405</v>
      </c>
      <c r="Q5" s="113">
        <v>60</v>
      </c>
      <c r="R5" s="113">
        <v>62</v>
      </c>
      <c r="S5" s="113">
        <v>63</v>
      </c>
      <c r="T5" s="120">
        <v>80</v>
      </c>
      <c r="U5" s="113">
        <v>80</v>
      </c>
      <c r="V5" s="113">
        <v>60</v>
      </c>
      <c r="W5" s="129"/>
      <c r="X5" s="129"/>
      <c r="Y5" s="5"/>
      <c r="Z5" s="5"/>
      <c r="AA5" s="5"/>
      <c r="AB5" s="5"/>
      <c r="AC5" s="5"/>
      <c r="AD5" s="5"/>
      <c r="AE5" s="5"/>
    </row>
    <row r="6" spans="1:33">
      <c r="A6" s="113">
        <v>3</v>
      </c>
      <c r="B6" s="113" t="s">
        <v>17</v>
      </c>
      <c r="C6" s="120" t="s">
        <v>5212</v>
      </c>
      <c r="D6" s="124">
        <v>0.85</v>
      </c>
      <c r="E6" s="124">
        <v>0.15</v>
      </c>
      <c r="F6" s="113" t="s">
        <v>14</v>
      </c>
      <c r="G6" s="113" t="s">
        <v>1973</v>
      </c>
      <c r="H6" s="113" t="s">
        <v>14</v>
      </c>
      <c r="I6" s="113" t="s">
        <v>15</v>
      </c>
      <c r="J6" s="118" t="s">
        <v>792</v>
      </c>
      <c r="K6" s="118" t="s">
        <v>4657</v>
      </c>
      <c r="L6" s="118" t="s">
        <v>5210</v>
      </c>
      <c r="M6" s="115" t="s">
        <v>5211</v>
      </c>
      <c r="N6" s="115" t="s">
        <v>6399</v>
      </c>
      <c r="O6" s="115" t="s">
        <v>2128</v>
      </c>
      <c r="P6" s="113">
        <v>525</v>
      </c>
      <c r="Q6" s="113">
        <v>80</v>
      </c>
      <c r="R6" s="113">
        <v>82</v>
      </c>
      <c r="S6" s="113">
        <v>83</v>
      </c>
      <c r="T6" s="120">
        <v>100</v>
      </c>
      <c r="U6" s="113">
        <v>100</v>
      </c>
      <c r="V6" s="113">
        <v>80</v>
      </c>
      <c r="W6" s="129"/>
      <c r="X6" s="129"/>
      <c r="AF6"/>
      <c r="AG6"/>
    </row>
    <row r="7" spans="1:33" hidden="1">
      <c r="A7" s="113">
        <v>3</v>
      </c>
      <c r="B7" s="113" t="s">
        <v>2783</v>
      </c>
      <c r="C7" s="120" t="s">
        <v>5213</v>
      </c>
      <c r="D7" s="124">
        <v>0.85</v>
      </c>
      <c r="E7" s="124">
        <v>0.15</v>
      </c>
      <c r="F7" s="113" t="s">
        <v>14</v>
      </c>
      <c r="G7" s="113" t="s">
        <v>1973</v>
      </c>
      <c r="H7" s="113" t="s">
        <v>14</v>
      </c>
      <c r="I7" s="113" t="s">
        <v>15</v>
      </c>
      <c r="J7" s="118" t="s">
        <v>3973</v>
      </c>
      <c r="K7" s="118" t="s">
        <v>4659</v>
      </c>
      <c r="L7" s="118" t="s">
        <v>5210</v>
      </c>
      <c r="M7" s="115" t="s">
        <v>5212</v>
      </c>
      <c r="N7" s="115" t="s">
        <v>3973</v>
      </c>
      <c r="O7" s="115" t="s">
        <v>4480</v>
      </c>
      <c r="P7" s="113">
        <v>625</v>
      </c>
      <c r="Q7" s="113">
        <v>80</v>
      </c>
      <c r="R7" s="113">
        <v>100</v>
      </c>
      <c r="S7" s="113">
        <v>123</v>
      </c>
      <c r="T7" s="120">
        <v>122</v>
      </c>
      <c r="U7" s="113">
        <v>120</v>
      </c>
      <c r="V7" s="113">
        <v>80</v>
      </c>
      <c r="W7" s="129"/>
      <c r="X7" s="129"/>
      <c r="AF7"/>
      <c r="AG7"/>
    </row>
    <row r="8" spans="1:33" customFormat="1">
      <c r="A8" s="113">
        <v>4</v>
      </c>
      <c r="B8" s="113" t="s">
        <v>18</v>
      </c>
      <c r="C8" s="120" t="s">
        <v>5214</v>
      </c>
      <c r="D8" s="124">
        <v>0.85</v>
      </c>
      <c r="E8" s="124">
        <v>0.15</v>
      </c>
      <c r="F8" s="113" t="s">
        <v>23</v>
      </c>
      <c r="G8" s="113" t="s">
        <v>1973</v>
      </c>
      <c r="H8" s="113" t="s">
        <v>19</v>
      </c>
      <c r="I8" s="115" t="s">
        <v>1109</v>
      </c>
      <c r="J8" s="118" t="s">
        <v>792</v>
      </c>
      <c r="K8" s="118" t="s">
        <v>4657</v>
      </c>
      <c r="L8" s="118" t="s">
        <v>5214</v>
      </c>
      <c r="M8" s="115" t="s">
        <v>1109</v>
      </c>
      <c r="N8" s="115" t="s">
        <v>2129</v>
      </c>
      <c r="O8" s="115" t="s">
        <v>1109</v>
      </c>
      <c r="P8" s="113">
        <v>309</v>
      </c>
      <c r="Q8" s="113">
        <v>39</v>
      </c>
      <c r="R8" s="113">
        <v>52</v>
      </c>
      <c r="S8" s="113">
        <v>43</v>
      </c>
      <c r="T8" s="120">
        <v>60</v>
      </c>
      <c r="U8" s="113">
        <v>50</v>
      </c>
      <c r="V8" s="113">
        <v>65</v>
      </c>
      <c r="W8" s="129"/>
      <c r="X8" s="129"/>
      <c r="Y8" s="5"/>
      <c r="Z8" s="5"/>
      <c r="AA8" s="5"/>
      <c r="AB8" s="5"/>
      <c r="AC8" s="5"/>
      <c r="AD8" s="5"/>
      <c r="AE8" s="5"/>
    </row>
    <row r="9" spans="1:33" customFormat="1">
      <c r="A9" s="113">
        <v>5</v>
      </c>
      <c r="B9" s="113" t="s">
        <v>20</v>
      </c>
      <c r="C9" s="120" t="s">
        <v>5215</v>
      </c>
      <c r="D9" s="124">
        <v>0.85</v>
      </c>
      <c r="E9" s="124">
        <v>0.15</v>
      </c>
      <c r="F9" s="113" t="s">
        <v>23</v>
      </c>
      <c r="G9" s="113" t="s">
        <v>1973</v>
      </c>
      <c r="H9" s="113" t="s">
        <v>19</v>
      </c>
      <c r="I9" s="113" t="s">
        <v>1109</v>
      </c>
      <c r="J9" s="118" t="s">
        <v>792</v>
      </c>
      <c r="K9" s="118" t="s">
        <v>4657</v>
      </c>
      <c r="L9" s="118" t="s">
        <v>5214</v>
      </c>
      <c r="M9" s="115" t="s">
        <v>5214</v>
      </c>
      <c r="N9" s="115" t="s">
        <v>6398</v>
      </c>
      <c r="O9" s="115" t="s">
        <v>2128</v>
      </c>
      <c r="P9" s="113">
        <v>405</v>
      </c>
      <c r="Q9" s="113">
        <v>58</v>
      </c>
      <c r="R9" s="113">
        <v>64</v>
      </c>
      <c r="S9" s="113">
        <v>58</v>
      </c>
      <c r="T9" s="120">
        <v>80</v>
      </c>
      <c r="U9" s="113">
        <v>65</v>
      </c>
      <c r="V9" s="113">
        <v>80</v>
      </c>
      <c r="W9" s="129"/>
      <c r="X9" s="129"/>
      <c r="Y9" s="5"/>
      <c r="Z9" s="5"/>
      <c r="AA9" s="5"/>
      <c r="AB9" s="5"/>
      <c r="AC9" s="5"/>
      <c r="AD9" s="5"/>
      <c r="AE9" s="5"/>
    </row>
    <row r="10" spans="1:33" customFormat="1">
      <c r="A10" s="113">
        <v>6</v>
      </c>
      <c r="B10" s="113" t="s">
        <v>21</v>
      </c>
      <c r="C10" s="120" t="s">
        <v>5216</v>
      </c>
      <c r="D10" s="124">
        <v>0.85</v>
      </c>
      <c r="E10" s="124">
        <v>0.15</v>
      </c>
      <c r="F10" s="113" t="s">
        <v>23</v>
      </c>
      <c r="G10" s="113" t="s">
        <v>1973</v>
      </c>
      <c r="H10" s="113" t="s">
        <v>19</v>
      </c>
      <c r="I10" s="113" t="s">
        <v>22</v>
      </c>
      <c r="J10" s="118" t="s">
        <v>792</v>
      </c>
      <c r="K10" s="118" t="s">
        <v>4657</v>
      </c>
      <c r="L10" s="118" t="s">
        <v>5214</v>
      </c>
      <c r="M10" s="115" t="s">
        <v>5215</v>
      </c>
      <c r="N10" s="115" t="s">
        <v>6399</v>
      </c>
      <c r="O10" s="115" t="s">
        <v>2128</v>
      </c>
      <c r="P10" s="113">
        <v>534</v>
      </c>
      <c r="Q10" s="113">
        <v>78</v>
      </c>
      <c r="R10" s="113">
        <v>84</v>
      </c>
      <c r="S10" s="113">
        <v>78</v>
      </c>
      <c r="T10" s="120">
        <v>109</v>
      </c>
      <c r="U10" s="113">
        <v>85</v>
      </c>
      <c r="V10" s="113">
        <v>100</v>
      </c>
      <c r="W10" s="129"/>
      <c r="X10" s="129"/>
      <c r="Y10" s="5"/>
      <c r="Z10" s="5"/>
      <c r="AA10" s="5"/>
      <c r="AB10" s="5"/>
      <c r="AC10" s="5"/>
      <c r="AD10" s="5"/>
      <c r="AE10" s="5"/>
    </row>
    <row r="11" spans="1:33" customFormat="1" hidden="1">
      <c r="A11" s="113">
        <v>6</v>
      </c>
      <c r="B11" s="113" t="s">
        <v>2784</v>
      </c>
      <c r="C11" s="120" t="s">
        <v>5217</v>
      </c>
      <c r="D11" s="124">
        <v>0.85</v>
      </c>
      <c r="E11" s="124">
        <v>0.15</v>
      </c>
      <c r="F11" s="113" t="s">
        <v>23</v>
      </c>
      <c r="G11" s="113" t="s">
        <v>1973</v>
      </c>
      <c r="H11" s="113" t="s">
        <v>19</v>
      </c>
      <c r="I11" s="113" t="s">
        <v>23</v>
      </c>
      <c r="J11" s="118" t="s">
        <v>3973</v>
      </c>
      <c r="K11" s="118" t="s">
        <v>4659</v>
      </c>
      <c r="L11" s="118" t="s">
        <v>5214</v>
      </c>
      <c r="M11" s="115" t="s">
        <v>5216</v>
      </c>
      <c r="N11" s="115" t="s">
        <v>3973</v>
      </c>
      <c r="O11" s="115" t="s">
        <v>4480</v>
      </c>
      <c r="P11" s="113">
        <v>634</v>
      </c>
      <c r="Q11" s="113">
        <v>78</v>
      </c>
      <c r="R11" s="113">
        <v>130</v>
      </c>
      <c r="S11" s="113">
        <v>111</v>
      </c>
      <c r="T11" s="120">
        <v>130</v>
      </c>
      <c r="U11" s="113">
        <v>85</v>
      </c>
      <c r="V11" s="113">
        <v>100</v>
      </c>
      <c r="W11" s="129"/>
      <c r="X11" s="129"/>
      <c r="Y11" s="5"/>
      <c r="Z11" s="5"/>
      <c r="AA11" s="5"/>
      <c r="AB11" s="5"/>
      <c r="AC11" s="5"/>
      <c r="AD11" s="5"/>
      <c r="AE11" s="5"/>
    </row>
    <row r="12" spans="1:33" customFormat="1" hidden="1">
      <c r="A12" s="113">
        <v>6</v>
      </c>
      <c r="B12" s="113" t="s">
        <v>2785</v>
      </c>
      <c r="C12" s="120" t="s">
        <v>5218</v>
      </c>
      <c r="D12" s="124">
        <v>0.85</v>
      </c>
      <c r="E12" s="124">
        <v>0.15</v>
      </c>
      <c r="F12" s="113" t="s">
        <v>23</v>
      </c>
      <c r="G12" s="113" t="s">
        <v>1973</v>
      </c>
      <c r="H12" s="113" t="s">
        <v>19</v>
      </c>
      <c r="I12" s="113" t="s">
        <v>22</v>
      </c>
      <c r="J12" s="118" t="s">
        <v>3973</v>
      </c>
      <c r="K12" s="118" t="s">
        <v>4659</v>
      </c>
      <c r="L12" s="118" t="s">
        <v>5214</v>
      </c>
      <c r="M12" s="115" t="s">
        <v>5216</v>
      </c>
      <c r="N12" s="115" t="s">
        <v>3973</v>
      </c>
      <c r="O12" s="115" t="s">
        <v>4480</v>
      </c>
      <c r="P12" s="113">
        <v>634</v>
      </c>
      <c r="Q12" s="113">
        <v>78</v>
      </c>
      <c r="R12" s="113">
        <v>104</v>
      </c>
      <c r="S12" s="113">
        <v>78</v>
      </c>
      <c r="T12" s="120">
        <v>159</v>
      </c>
      <c r="U12" s="113">
        <v>115</v>
      </c>
      <c r="V12" s="113">
        <v>100</v>
      </c>
      <c r="W12" s="129"/>
      <c r="X12" s="129"/>
      <c r="Y12" s="5"/>
      <c r="Z12" s="5"/>
      <c r="AA12" s="5"/>
      <c r="AB12" s="5"/>
      <c r="AC12" s="5"/>
      <c r="AD12" s="5"/>
      <c r="AE12" s="5"/>
    </row>
    <row r="13" spans="1:33" customFormat="1">
      <c r="A13" s="113">
        <v>7</v>
      </c>
      <c r="B13" s="113" t="s">
        <v>24</v>
      </c>
      <c r="C13" s="120" t="s">
        <v>5219</v>
      </c>
      <c r="D13" s="124">
        <v>0.85</v>
      </c>
      <c r="E13" s="124">
        <v>0.15</v>
      </c>
      <c r="F13" s="113" t="s">
        <v>2331</v>
      </c>
      <c r="G13" s="113" t="s">
        <v>1973</v>
      </c>
      <c r="H13" s="113" t="s">
        <v>25</v>
      </c>
      <c r="I13" s="113" t="s">
        <v>1109</v>
      </c>
      <c r="J13" s="118" t="s">
        <v>792</v>
      </c>
      <c r="K13" s="118" t="s">
        <v>4657</v>
      </c>
      <c r="L13" s="118" t="s">
        <v>5219</v>
      </c>
      <c r="M13" s="115" t="s">
        <v>1109</v>
      </c>
      <c r="N13" s="115" t="s">
        <v>2129</v>
      </c>
      <c r="O13" s="115" t="s">
        <v>1109</v>
      </c>
      <c r="P13" s="113">
        <v>314</v>
      </c>
      <c r="Q13" s="113">
        <v>44</v>
      </c>
      <c r="R13" s="113">
        <v>48</v>
      </c>
      <c r="S13" s="113">
        <v>65</v>
      </c>
      <c r="T13" s="120">
        <v>50</v>
      </c>
      <c r="U13" s="113">
        <v>64</v>
      </c>
      <c r="V13" s="113">
        <v>43</v>
      </c>
      <c r="W13" s="129"/>
      <c r="X13" s="129"/>
      <c r="Y13" s="5"/>
      <c r="Z13" s="5"/>
      <c r="AA13" s="5"/>
      <c r="AB13" s="5"/>
      <c r="AC13" s="5"/>
      <c r="AD13" s="5"/>
      <c r="AE13" s="5"/>
    </row>
    <row r="14" spans="1:33" customFormat="1">
      <c r="A14" s="113">
        <v>8</v>
      </c>
      <c r="B14" s="113" t="s">
        <v>26</v>
      </c>
      <c r="C14" s="120" t="s">
        <v>5220</v>
      </c>
      <c r="D14" s="124">
        <v>0.85</v>
      </c>
      <c r="E14" s="124">
        <v>0.15</v>
      </c>
      <c r="F14" s="113" t="s">
        <v>2331</v>
      </c>
      <c r="G14" s="113" t="s">
        <v>1973</v>
      </c>
      <c r="H14" s="113" t="s">
        <v>25</v>
      </c>
      <c r="I14" s="113" t="s">
        <v>1109</v>
      </c>
      <c r="J14" s="118" t="s">
        <v>792</v>
      </c>
      <c r="K14" s="118" t="s">
        <v>4657</v>
      </c>
      <c r="L14" s="118" t="s">
        <v>5219</v>
      </c>
      <c r="M14" s="115" t="s">
        <v>5219</v>
      </c>
      <c r="N14" s="115" t="s">
        <v>6398</v>
      </c>
      <c r="O14" s="115" t="s">
        <v>2128</v>
      </c>
      <c r="P14" s="113">
        <v>405</v>
      </c>
      <c r="Q14" s="113">
        <v>59</v>
      </c>
      <c r="R14" s="113">
        <v>63</v>
      </c>
      <c r="S14" s="113">
        <v>80</v>
      </c>
      <c r="T14" s="120">
        <v>65</v>
      </c>
      <c r="U14" s="113">
        <v>80</v>
      </c>
      <c r="V14" s="113">
        <v>58</v>
      </c>
      <c r="W14" s="129"/>
      <c r="X14" s="129"/>
      <c r="Y14" s="5"/>
      <c r="Z14" s="5"/>
      <c r="AA14" s="5"/>
      <c r="AB14" s="5"/>
      <c r="AC14" s="5"/>
      <c r="AD14" s="5"/>
      <c r="AE14" s="5"/>
    </row>
    <row r="15" spans="1:33" customFormat="1">
      <c r="A15" s="113">
        <v>9</v>
      </c>
      <c r="B15" s="113" t="s">
        <v>27</v>
      </c>
      <c r="C15" s="120" t="s">
        <v>5221</v>
      </c>
      <c r="D15" s="124">
        <v>0.85</v>
      </c>
      <c r="E15" s="124">
        <v>0.15</v>
      </c>
      <c r="F15" s="113" t="s">
        <v>2331</v>
      </c>
      <c r="G15" s="113" t="s">
        <v>1973</v>
      </c>
      <c r="H15" s="113" t="s">
        <v>25</v>
      </c>
      <c r="I15" s="113" t="s">
        <v>1109</v>
      </c>
      <c r="J15" s="118" t="s">
        <v>792</v>
      </c>
      <c r="K15" s="118" t="s">
        <v>4657</v>
      </c>
      <c r="L15" s="118" t="s">
        <v>5219</v>
      </c>
      <c r="M15" s="115" t="s">
        <v>5220</v>
      </c>
      <c r="N15" s="115" t="s">
        <v>6399</v>
      </c>
      <c r="O15" s="115" t="s">
        <v>2128</v>
      </c>
      <c r="P15" s="113">
        <v>530</v>
      </c>
      <c r="Q15" s="113">
        <v>79</v>
      </c>
      <c r="R15" s="113">
        <v>83</v>
      </c>
      <c r="S15" s="113">
        <v>100</v>
      </c>
      <c r="T15" s="120">
        <v>85</v>
      </c>
      <c r="U15" s="113">
        <v>105</v>
      </c>
      <c r="V15" s="113">
        <v>78</v>
      </c>
      <c r="W15" s="129"/>
      <c r="X15" s="129"/>
      <c r="Y15" s="5"/>
      <c r="Z15" s="5"/>
      <c r="AA15" s="5"/>
      <c r="AB15" s="5"/>
      <c r="AC15" s="5"/>
      <c r="AD15" s="5"/>
      <c r="AE15" s="5"/>
    </row>
    <row r="16" spans="1:33" customFormat="1" hidden="1">
      <c r="A16" s="113">
        <v>9</v>
      </c>
      <c r="B16" s="113" t="s">
        <v>2787</v>
      </c>
      <c r="C16" s="120" t="s">
        <v>5222</v>
      </c>
      <c r="D16" s="124">
        <v>0.85</v>
      </c>
      <c r="E16" s="124">
        <v>0.15</v>
      </c>
      <c r="F16" s="113" t="s">
        <v>2331</v>
      </c>
      <c r="G16" s="113" t="s">
        <v>1973</v>
      </c>
      <c r="H16" s="113" t="s">
        <v>25</v>
      </c>
      <c r="I16" s="113" t="s">
        <v>1109</v>
      </c>
      <c r="J16" s="118" t="s">
        <v>3973</v>
      </c>
      <c r="K16" s="118" t="s">
        <v>4659</v>
      </c>
      <c r="L16" s="118" t="s">
        <v>5219</v>
      </c>
      <c r="M16" s="115" t="s">
        <v>5221</v>
      </c>
      <c r="N16" s="115" t="s">
        <v>3973</v>
      </c>
      <c r="O16" s="115" t="s">
        <v>4480</v>
      </c>
      <c r="P16" s="113">
        <v>630</v>
      </c>
      <c r="Q16" s="113">
        <v>79</v>
      </c>
      <c r="R16" s="113">
        <v>103</v>
      </c>
      <c r="S16" s="113">
        <v>120</v>
      </c>
      <c r="T16" s="120">
        <v>135</v>
      </c>
      <c r="U16" s="113">
        <v>115</v>
      </c>
      <c r="V16" s="113">
        <v>78</v>
      </c>
      <c r="W16" s="129"/>
      <c r="X16" s="129"/>
      <c r="Y16" s="5"/>
      <c r="Z16" s="5"/>
      <c r="AA16" s="5"/>
      <c r="AB16" s="5"/>
      <c r="AC16" s="5"/>
      <c r="AD16" s="5"/>
      <c r="AE16" s="5"/>
    </row>
    <row r="17" spans="1:34" customFormat="1">
      <c r="A17" s="113">
        <v>10</v>
      </c>
      <c r="B17" s="113" t="s">
        <v>28</v>
      </c>
      <c r="C17" s="120" t="s">
        <v>5223</v>
      </c>
      <c r="D17" s="124">
        <v>0.5</v>
      </c>
      <c r="E17" s="124">
        <v>0.5</v>
      </c>
      <c r="F17" s="113" t="s">
        <v>29</v>
      </c>
      <c r="G17" s="113" t="s">
        <v>1973</v>
      </c>
      <c r="H17" s="113" t="s">
        <v>29</v>
      </c>
      <c r="I17" s="113" t="s">
        <v>1109</v>
      </c>
      <c r="J17" s="118" t="s">
        <v>2129</v>
      </c>
      <c r="K17" s="118" t="s">
        <v>2712</v>
      </c>
      <c r="L17" s="118" t="s">
        <v>5223</v>
      </c>
      <c r="M17" s="115" t="s">
        <v>1109</v>
      </c>
      <c r="N17" s="115" t="s">
        <v>2129</v>
      </c>
      <c r="O17" s="115" t="s">
        <v>1109</v>
      </c>
      <c r="P17" s="113">
        <v>195</v>
      </c>
      <c r="Q17" s="113">
        <v>45</v>
      </c>
      <c r="R17" s="113">
        <v>30</v>
      </c>
      <c r="S17" s="113">
        <v>35</v>
      </c>
      <c r="T17" s="120">
        <v>20</v>
      </c>
      <c r="U17" s="113">
        <v>20</v>
      </c>
      <c r="V17" s="113">
        <v>45</v>
      </c>
      <c r="W17" s="129"/>
      <c r="X17" s="129"/>
      <c r="Y17" s="5"/>
      <c r="Z17" s="5"/>
      <c r="AA17" s="5"/>
      <c r="AB17" s="5"/>
      <c r="AC17" s="5"/>
      <c r="AD17" s="5"/>
      <c r="AE17" s="5"/>
    </row>
    <row r="18" spans="1:34" customFormat="1">
      <c r="A18" s="113">
        <v>11</v>
      </c>
      <c r="B18" s="113" t="s">
        <v>30</v>
      </c>
      <c r="C18" s="120" t="s">
        <v>5224</v>
      </c>
      <c r="D18" s="124">
        <v>0.5</v>
      </c>
      <c r="E18" s="124">
        <v>0.5</v>
      </c>
      <c r="F18" s="113" t="s">
        <v>29</v>
      </c>
      <c r="G18" s="113" t="s">
        <v>1973</v>
      </c>
      <c r="H18" s="113" t="s">
        <v>29</v>
      </c>
      <c r="I18" s="113" t="s">
        <v>1109</v>
      </c>
      <c r="J18" s="118" t="s">
        <v>2129</v>
      </c>
      <c r="K18" s="118" t="s">
        <v>2712</v>
      </c>
      <c r="L18" s="118" t="s">
        <v>5223</v>
      </c>
      <c r="M18" s="115" t="s">
        <v>5223</v>
      </c>
      <c r="N18" s="115" t="s">
        <v>6398</v>
      </c>
      <c r="O18" s="115" t="s">
        <v>2128</v>
      </c>
      <c r="P18" s="113">
        <v>205</v>
      </c>
      <c r="Q18" s="113">
        <v>50</v>
      </c>
      <c r="R18" s="113">
        <v>20</v>
      </c>
      <c r="S18" s="113">
        <v>55</v>
      </c>
      <c r="T18" s="120">
        <v>25</v>
      </c>
      <c r="U18" s="113">
        <v>25</v>
      </c>
      <c r="V18" s="113">
        <v>30</v>
      </c>
      <c r="W18" s="129"/>
      <c r="X18" s="129"/>
      <c r="Y18" s="5"/>
      <c r="Z18" s="5"/>
      <c r="AA18" s="5"/>
      <c r="AB18" s="5"/>
      <c r="AC18" s="5"/>
      <c r="AD18" s="5"/>
      <c r="AE18" s="5"/>
    </row>
    <row r="19" spans="1:34" customFormat="1">
      <c r="A19" s="113">
        <v>12</v>
      </c>
      <c r="B19" s="113" t="s">
        <v>31</v>
      </c>
      <c r="C19" s="120" t="s">
        <v>5225</v>
      </c>
      <c r="D19" s="124">
        <v>0.5</v>
      </c>
      <c r="E19" s="124">
        <v>0.5</v>
      </c>
      <c r="F19" s="113" t="s">
        <v>29</v>
      </c>
      <c r="G19" s="113" t="s">
        <v>1973</v>
      </c>
      <c r="H19" s="113" t="s">
        <v>29</v>
      </c>
      <c r="I19" s="113" t="s">
        <v>22</v>
      </c>
      <c r="J19" s="118" t="s">
        <v>2129</v>
      </c>
      <c r="K19" s="118" t="s">
        <v>2712</v>
      </c>
      <c r="L19" s="118" t="s">
        <v>5223</v>
      </c>
      <c r="M19" s="115" t="s">
        <v>5224</v>
      </c>
      <c r="N19" s="115" t="s">
        <v>6399</v>
      </c>
      <c r="O19" s="115" t="s">
        <v>2128</v>
      </c>
      <c r="P19" s="113">
        <v>395</v>
      </c>
      <c r="Q19" s="113">
        <v>60</v>
      </c>
      <c r="R19" s="113">
        <v>45</v>
      </c>
      <c r="S19" s="113">
        <v>50</v>
      </c>
      <c r="T19" s="120">
        <v>90</v>
      </c>
      <c r="U19" s="113">
        <v>80</v>
      </c>
      <c r="V19" s="113">
        <v>70</v>
      </c>
      <c r="W19" s="129"/>
      <c r="X19" s="129"/>
      <c r="Y19" s="5"/>
      <c r="Z19" s="5"/>
      <c r="AA19" s="5"/>
      <c r="AB19" s="5"/>
      <c r="AC19" s="5"/>
      <c r="AD19" s="5"/>
      <c r="AE19" s="5"/>
    </row>
    <row r="20" spans="1:34" customFormat="1">
      <c r="A20" s="113">
        <v>13</v>
      </c>
      <c r="B20" s="113" t="s">
        <v>32</v>
      </c>
      <c r="C20" s="120" t="s">
        <v>5226</v>
      </c>
      <c r="D20" s="124">
        <v>0.5</v>
      </c>
      <c r="E20" s="124">
        <v>0.5</v>
      </c>
      <c r="F20" s="113" t="s">
        <v>29</v>
      </c>
      <c r="G20" s="113" t="s">
        <v>1973</v>
      </c>
      <c r="H20" s="113" t="s">
        <v>29</v>
      </c>
      <c r="I20" s="113" t="s">
        <v>15</v>
      </c>
      <c r="J20" s="118" t="s">
        <v>2129</v>
      </c>
      <c r="K20" s="118" t="s">
        <v>2712</v>
      </c>
      <c r="L20" s="118" t="s">
        <v>5226</v>
      </c>
      <c r="M20" s="115" t="s">
        <v>1109</v>
      </c>
      <c r="N20" s="115" t="s">
        <v>2129</v>
      </c>
      <c r="O20" s="115" t="s">
        <v>1109</v>
      </c>
      <c r="P20" s="113">
        <v>195</v>
      </c>
      <c r="Q20" s="113">
        <v>40</v>
      </c>
      <c r="R20" s="113">
        <v>35</v>
      </c>
      <c r="S20" s="113">
        <v>30</v>
      </c>
      <c r="T20" s="120">
        <v>20</v>
      </c>
      <c r="U20" s="113">
        <v>20</v>
      </c>
      <c r="V20" s="113">
        <v>50</v>
      </c>
      <c r="W20" s="129"/>
      <c r="X20" s="129"/>
      <c r="Y20" s="5"/>
      <c r="Z20" s="5"/>
      <c r="AA20" s="5"/>
      <c r="AB20" s="5"/>
      <c r="AC20" s="5"/>
      <c r="AD20" s="5"/>
      <c r="AE20" s="5"/>
    </row>
    <row r="21" spans="1:34" customFormat="1">
      <c r="A21" s="113">
        <v>14</v>
      </c>
      <c r="B21" s="113" t="s">
        <v>33</v>
      </c>
      <c r="C21" s="120" t="s">
        <v>5227</v>
      </c>
      <c r="D21" s="124">
        <v>0.5</v>
      </c>
      <c r="E21" s="124">
        <v>0.5</v>
      </c>
      <c r="F21" s="113" t="s">
        <v>29</v>
      </c>
      <c r="G21" s="113" t="s">
        <v>1973</v>
      </c>
      <c r="H21" s="113" t="s">
        <v>29</v>
      </c>
      <c r="I21" s="113" t="s">
        <v>15</v>
      </c>
      <c r="J21" s="118" t="s">
        <v>2129</v>
      </c>
      <c r="K21" s="118" t="s">
        <v>2712</v>
      </c>
      <c r="L21" s="118" t="s">
        <v>5226</v>
      </c>
      <c r="M21" s="115" t="s">
        <v>5226</v>
      </c>
      <c r="N21" s="115" t="s">
        <v>6398</v>
      </c>
      <c r="O21" s="115" t="s">
        <v>2128</v>
      </c>
      <c r="P21" s="113">
        <v>205</v>
      </c>
      <c r="Q21" s="113">
        <v>45</v>
      </c>
      <c r="R21" s="113">
        <v>25</v>
      </c>
      <c r="S21" s="113">
        <v>50</v>
      </c>
      <c r="T21" s="120">
        <v>25</v>
      </c>
      <c r="U21" s="113">
        <v>25</v>
      </c>
      <c r="V21" s="113">
        <v>35</v>
      </c>
      <c r="W21" s="129"/>
      <c r="X21" s="129"/>
      <c r="Y21" s="5"/>
      <c r="Z21" s="5"/>
      <c r="AA21" s="5"/>
      <c r="AB21" s="5"/>
      <c r="AC21" s="5"/>
      <c r="AD21" s="5"/>
      <c r="AE21" s="5"/>
    </row>
    <row r="22" spans="1:34" customFormat="1">
      <c r="A22" s="113">
        <v>15</v>
      </c>
      <c r="B22" s="113" t="s">
        <v>34</v>
      </c>
      <c r="C22" s="120" t="s">
        <v>5228</v>
      </c>
      <c r="D22" s="124">
        <v>0.5</v>
      </c>
      <c r="E22" s="124">
        <v>0.5</v>
      </c>
      <c r="F22" s="113" t="s">
        <v>29</v>
      </c>
      <c r="G22" s="113" t="s">
        <v>1973</v>
      </c>
      <c r="H22" s="113" t="s">
        <v>29</v>
      </c>
      <c r="I22" s="113" t="s">
        <v>15</v>
      </c>
      <c r="J22" s="118" t="s">
        <v>2129</v>
      </c>
      <c r="K22" s="118" t="s">
        <v>2712</v>
      </c>
      <c r="L22" s="118" t="s">
        <v>5226</v>
      </c>
      <c r="M22" s="115" t="s">
        <v>5227</v>
      </c>
      <c r="N22" s="115" t="s">
        <v>6399</v>
      </c>
      <c r="O22" s="115" t="s">
        <v>2128</v>
      </c>
      <c r="P22" s="113">
        <v>395</v>
      </c>
      <c r="Q22" s="113">
        <v>65</v>
      </c>
      <c r="R22" s="113">
        <v>90</v>
      </c>
      <c r="S22" s="113">
        <v>40</v>
      </c>
      <c r="T22" s="120">
        <v>45</v>
      </c>
      <c r="U22" s="113">
        <v>80</v>
      </c>
      <c r="V22" s="113">
        <v>75</v>
      </c>
      <c r="W22" s="129"/>
      <c r="X22" s="129"/>
      <c r="Y22" s="5"/>
      <c r="Z22" s="5"/>
      <c r="AA22" s="5"/>
      <c r="AB22" s="5"/>
      <c r="AC22" s="5"/>
      <c r="AD22" s="5"/>
      <c r="AE22" s="5"/>
    </row>
    <row r="23" spans="1:34" customFormat="1" hidden="1">
      <c r="A23" s="113">
        <v>15</v>
      </c>
      <c r="B23" s="113" t="s">
        <v>2789</v>
      </c>
      <c r="C23" s="120" t="s">
        <v>5229</v>
      </c>
      <c r="D23" s="124">
        <v>0.5</v>
      </c>
      <c r="E23" s="124">
        <v>0.5</v>
      </c>
      <c r="F23" s="113" t="s">
        <v>29</v>
      </c>
      <c r="G23" s="113" t="s">
        <v>1973</v>
      </c>
      <c r="H23" s="113" t="s">
        <v>29</v>
      </c>
      <c r="I23" s="113" t="s">
        <v>15</v>
      </c>
      <c r="J23" s="118" t="s">
        <v>3973</v>
      </c>
      <c r="K23" s="118" t="s">
        <v>4659</v>
      </c>
      <c r="L23" s="118" t="s">
        <v>5226</v>
      </c>
      <c r="M23" s="115" t="s">
        <v>5228</v>
      </c>
      <c r="N23" s="115" t="s">
        <v>3973</v>
      </c>
      <c r="O23" s="115" t="s">
        <v>4480</v>
      </c>
      <c r="P23" s="113">
        <v>495</v>
      </c>
      <c r="Q23" s="113">
        <v>65</v>
      </c>
      <c r="R23" s="113">
        <v>150</v>
      </c>
      <c r="S23" s="113">
        <v>40</v>
      </c>
      <c r="T23" s="120">
        <v>15</v>
      </c>
      <c r="U23" s="113">
        <v>80</v>
      </c>
      <c r="V23" s="113">
        <v>145</v>
      </c>
      <c r="W23" s="129"/>
      <c r="X23" s="129"/>
      <c r="Y23" s="5"/>
      <c r="Z23" s="5"/>
      <c r="AA23" s="5"/>
      <c r="AB23" s="5"/>
      <c r="AC23" s="5"/>
      <c r="AD23" s="5"/>
      <c r="AE23" s="5"/>
    </row>
    <row r="24" spans="1:34" customFormat="1">
      <c r="A24" s="113">
        <v>16</v>
      </c>
      <c r="B24" s="113" t="s">
        <v>35</v>
      </c>
      <c r="C24" s="120" t="s">
        <v>5230</v>
      </c>
      <c r="D24" s="124">
        <v>0.5</v>
      </c>
      <c r="E24" s="124">
        <v>0.5</v>
      </c>
      <c r="F24" s="113" t="s">
        <v>22</v>
      </c>
      <c r="G24" s="113" t="s">
        <v>1973</v>
      </c>
      <c r="H24" s="113" t="s">
        <v>22</v>
      </c>
      <c r="I24" s="113" t="s">
        <v>36</v>
      </c>
      <c r="J24" s="118" t="s">
        <v>2129</v>
      </c>
      <c r="K24" s="118" t="s">
        <v>2712</v>
      </c>
      <c r="L24" s="118" t="s">
        <v>5230</v>
      </c>
      <c r="M24" s="115" t="s">
        <v>1109</v>
      </c>
      <c r="N24" s="115" t="s">
        <v>2129</v>
      </c>
      <c r="O24" s="115" t="s">
        <v>1109</v>
      </c>
      <c r="P24" s="113">
        <v>251</v>
      </c>
      <c r="Q24" s="113">
        <v>40</v>
      </c>
      <c r="R24" s="113">
        <v>45</v>
      </c>
      <c r="S24" s="113">
        <v>40</v>
      </c>
      <c r="T24" s="120">
        <v>35</v>
      </c>
      <c r="U24" s="113">
        <v>35</v>
      </c>
      <c r="V24" s="113">
        <v>56</v>
      </c>
      <c r="W24" s="129"/>
      <c r="X24" s="129"/>
      <c r="Y24" s="5"/>
      <c r="Z24" s="5"/>
      <c r="AA24" s="5"/>
      <c r="AB24" s="5"/>
      <c r="AC24" s="5"/>
      <c r="AD24" s="5"/>
      <c r="AE24" s="5"/>
    </row>
    <row r="25" spans="1:34" customFormat="1">
      <c r="A25" s="113">
        <v>17</v>
      </c>
      <c r="B25" s="113" t="s">
        <v>37</v>
      </c>
      <c r="C25" s="120" t="s">
        <v>5231</v>
      </c>
      <c r="D25" s="124">
        <v>0.5</v>
      </c>
      <c r="E25" s="124">
        <v>0.5</v>
      </c>
      <c r="F25" s="113" t="s">
        <v>22</v>
      </c>
      <c r="G25" s="113" t="s">
        <v>1973</v>
      </c>
      <c r="H25" s="113" t="s">
        <v>22</v>
      </c>
      <c r="I25" s="113" t="s">
        <v>36</v>
      </c>
      <c r="J25" s="118" t="s">
        <v>2129</v>
      </c>
      <c r="K25" s="118" t="s">
        <v>2712</v>
      </c>
      <c r="L25" s="118" t="s">
        <v>5230</v>
      </c>
      <c r="M25" s="115" t="s">
        <v>5230</v>
      </c>
      <c r="N25" s="115" t="s">
        <v>6398</v>
      </c>
      <c r="O25" s="115" t="s">
        <v>2128</v>
      </c>
      <c r="P25" s="113">
        <v>349</v>
      </c>
      <c r="Q25" s="113">
        <v>63</v>
      </c>
      <c r="R25" s="113">
        <v>60</v>
      </c>
      <c r="S25" s="113">
        <v>55</v>
      </c>
      <c r="T25" s="120">
        <v>50</v>
      </c>
      <c r="U25" s="113">
        <v>50</v>
      </c>
      <c r="V25" s="113">
        <v>71</v>
      </c>
      <c r="W25" s="129"/>
      <c r="X25" s="129"/>
      <c r="Y25" s="5"/>
      <c r="Z25" s="5"/>
      <c r="AA25" s="5"/>
      <c r="AB25" s="5"/>
      <c r="AC25" s="5"/>
      <c r="AD25" s="5"/>
      <c r="AE25" s="5"/>
    </row>
    <row r="26" spans="1:34" customFormat="1">
      <c r="A26" s="113">
        <v>18</v>
      </c>
      <c r="B26" s="113" t="s">
        <v>38</v>
      </c>
      <c r="C26" s="120" t="s">
        <v>5232</v>
      </c>
      <c r="D26" s="124">
        <v>0.5</v>
      </c>
      <c r="E26" s="124">
        <v>0.5</v>
      </c>
      <c r="F26" s="113" t="s">
        <v>22</v>
      </c>
      <c r="G26" s="113" t="s">
        <v>1973</v>
      </c>
      <c r="H26" s="113" t="s">
        <v>22</v>
      </c>
      <c r="I26" s="113" t="s">
        <v>36</v>
      </c>
      <c r="J26" s="118" t="s">
        <v>2129</v>
      </c>
      <c r="K26" s="118" t="s">
        <v>2712</v>
      </c>
      <c r="L26" s="118" t="s">
        <v>5230</v>
      </c>
      <c r="M26" s="115" t="s">
        <v>5231</v>
      </c>
      <c r="N26" s="115" t="s">
        <v>6399</v>
      </c>
      <c r="O26" s="115" t="s">
        <v>2128</v>
      </c>
      <c r="P26" s="113">
        <v>479</v>
      </c>
      <c r="Q26" s="113">
        <v>83</v>
      </c>
      <c r="R26" s="113">
        <v>80</v>
      </c>
      <c r="S26" s="113">
        <v>75</v>
      </c>
      <c r="T26" s="120">
        <v>70</v>
      </c>
      <c r="U26" s="113">
        <v>70</v>
      </c>
      <c r="V26" s="113">
        <v>101</v>
      </c>
      <c r="W26" s="129"/>
      <c r="X26" s="129"/>
      <c r="Y26" s="5"/>
      <c r="Z26" s="5"/>
      <c r="AA26" s="5"/>
      <c r="AB26" s="5"/>
      <c r="AC26" s="5"/>
      <c r="AD26" s="5"/>
      <c r="AE26" s="5"/>
    </row>
    <row r="27" spans="1:34" customFormat="1" hidden="1">
      <c r="A27" s="113">
        <v>18</v>
      </c>
      <c r="B27" s="113" t="s">
        <v>2791</v>
      </c>
      <c r="C27" s="120" t="s">
        <v>5233</v>
      </c>
      <c r="D27" s="124">
        <v>0.5</v>
      </c>
      <c r="E27" s="124">
        <v>0.5</v>
      </c>
      <c r="F27" s="113" t="s">
        <v>22</v>
      </c>
      <c r="G27" s="113" t="s">
        <v>1973</v>
      </c>
      <c r="H27" s="113" t="s">
        <v>22</v>
      </c>
      <c r="I27" s="113" t="s">
        <v>36</v>
      </c>
      <c r="J27" s="118" t="s">
        <v>3973</v>
      </c>
      <c r="K27" s="118" t="s">
        <v>4659</v>
      </c>
      <c r="L27" s="118" t="s">
        <v>5230</v>
      </c>
      <c r="M27" s="115" t="s">
        <v>5232</v>
      </c>
      <c r="N27" s="115" t="s">
        <v>3973</v>
      </c>
      <c r="O27" s="115" t="s">
        <v>4480</v>
      </c>
      <c r="P27" s="113">
        <v>579</v>
      </c>
      <c r="Q27" s="113">
        <v>83</v>
      </c>
      <c r="R27" s="113">
        <v>80</v>
      </c>
      <c r="S27" s="113">
        <v>80</v>
      </c>
      <c r="T27" s="120">
        <v>135</v>
      </c>
      <c r="U27" s="113">
        <v>80</v>
      </c>
      <c r="V27" s="113">
        <v>121</v>
      </c>
      <c r="W27" s="129"/>
      <c r="X27" s="129"/>
      <c r="Y27" s="5"/>
      <c r="Z27" s="5"/>
      <c r="AA27" s="5"/>
      <c r="AB27" s="5"/>
      <c r="AC27" s="5"/>
      <c r="AD27" s="5"/>
      <c r="AE27" s="5"/>
    </row>
    <row r="28" spans="1:34" customFormat="1">
      <c r="A28" s="113">
        <v>19</v>
      </c>
      <c r="B28" s="113" t="s">
        <v>39</v>
      </c>
      <c r="C28" s="120" t="s">
        <v>5234</v>
      </c>
      <c r="D28" s="124">
        <v>0.5</v>
      </c>
      <c r="E28" s="124">
        <v>0.5</v>
      </c>
      <c r="F28" s="113" t="s">
        <v>2332</v>
      </c>
      <c r="G28" s="113" t="s">
        <v>1973</v>
      </c>
      <c r="H28" s="113" t="s">
        <v>36</v>
      </c>
      <c r="I28" s="113" t="s">
        <v>1109</v>
      </c>
      <c r="J28" s="118" t="s">
        <v>2129</v>
      </c>
      <c r="K28" s="118" t="s">
        <v>2712</v>
      </c>
      <c r="L28" s="118" t="s">
        <v>5234</v>
      </c>
      <c r="M28" s="115" t="s">
        <v>1109</v>
      </c>
      <c r="N28" s="115" t="s">
        <v>2129</v>
      </c>
      <c r="O28" s="115" t="s">
        <v>1109</v>
      </c>
      <c r="P28" s="113">
        <v>253</v>
      </c>
      <c r="Q28" s="113">
        <v>30</v>
      </c>
      <c r="R28" s="113">
        <v>56</v>
      </c>
      <c r="S28" s="113">
        <v>35</v>
      </c>
      <c r="T28" s="120">
        <v>25</v>
      </c>
      <c r="U28" s="113">
        <v>35</v>
      </c>
      <c r="V28" s="113">
        <v>72</v>
      </c>
      <c r="W28" s="129"/>
      <c r="X28" s="129"/>
      <c r="Y28" s="5"/>
      <c r="Z28" s="5"/>
      <c r="AA28" s="5"/>
      <c r="AB28" s="5"/>
      <c r="AC28" s="5"/>
      <c r="AD28" s="5"/>
      <c r="AE28" s="5"/>
    </row>
    <row r="29" spans="1:34" customFormat="1">
      <c r="A29" s="113">
        <v>19</v>
      </c>
      <c r="B29" s="113" t="s">
        <v>6429</v>
      </c>
      <c r="C29" s="120" t="s">
        <v>5235</v>
      </c>
      <c r="D29" s="124">
        <v>0.5</v>
      </c>
      <c r="E29" s="124">
        <v>0.5</v>
      </c>
      <c r="F29" s="113" t="s">
        <v>2332</v>
      </c>
      <c r="G29" s="113" t="s">
        <v>2702</v>
      </c>
      <c r="H29" s="113" t="s">
        <v>158</v>
      </c>
      <c r="I29" s="113" t="s">
        <v>36</v>
      </c>
      <c r="J29" s="118" t="s">
        <v>2129</v>
      </c>
      <c r="K29" s="118" t="s">
        <v>2712</v>
      </c>
      <c r="L29" s="118" t="s">
        <v>5234</v>
      </c>
      <c r="M29" s="115" t="s">
        <v>1109</v>
      </c>
      <c r="N29" s="115" t="s">
        <v>2129</v>
      </c>
      <c r="O29" s="115" t="s">
        <v>1109</v>
      </c>
      <c r="P29" s="113">
        <v>253</v>
      </c>
      <c r="Q29" s="113">
        <v>30</v>
      </c>
      <c r="R29" s="113">
        <v>56</v>
      </c>
      <c r="S29" s="113">
        <v>35</v>
      </c>
      <c r="T29" s="120">
        <v>25</v>
      </c>
      <c r="U29" s="113">
        <v>35</v>
      </c>
      <c r="V29" s="113">
        <v>72</v>
      </c>
      <c r="W29" s="129"/>
      <c r="X29" s="129"/>
      <c r="Y29" s="5"/>
      <c r="Z29" s="5"/>
      <c r="AA29" s="5"/>
      <c r="AB29" s="5"/>
      <c r="AC29" s="5"/>
      <c r="AD29" s="5"/>
      <c r="AE29" s="5"/>
    </row>
    <row r="30" spans="1:34" customFormat="1">
      <c r="A30" s="113">
        <v>20</v>
      </c>
      <c r="B30" s="113" t="s">
        <v>40</v>
      </c>
      <c r="C30" s="120" t="s">
        <v>5236</v>
      </c>
      <c r="D30" s="124">
        <v>0.5</v>
      </c>
      <c r="E30" s="124">
        <v>0.5</v>
      </c>
      <c r="F30" s="113" t="s">
        <v>2332</v>
      </c>
      <c r="G30" s="113" t="s">
        <v>1973</v>
      </c>
      <c r="H30" s="113" t="s">
        <v>36</v>
      </c>
      <c r="I30" s="113" t="s">
        <v>1109</v>
      </c>
      <c r="J30" s="118" t="s">
        <v>2129</v>
      </c>
      <c r="K30" s="118" t="s">
        <v>2712</v>
      </c>
      <c r="L30" s="118" t="s">
        <v>5234</v>
      </c>
      <c r="M30" s="115" t="s">
        <v>5234</v>
      </c>
      <c r="N30" s="115" t="s">
        <v>6399</v>
      </c>
      <c r="O30" s="115" t="s">
        <v>2128</v>
      </c>
      <c r="P30" s="113">
        <v>413</v>
      </c>
      <c r="Q30" s="113">
        <v>55</v>
      </c>
      <c r="R30" s="113">
        <v>81</v>
      </c>
      <c r="S30" s="113">
        <v>60</v>
      </c>
      <c r="T30" s="120">
        <v>50</v>
      </c>
      <c r="U30" s="113">
        <v>70</v>
      </c>
      <c r="V30" s="113">
        <v>97</v>
      </c>
      <c r="W30" s="129"/>
      <c r="X30" s="129"/>
      <c r="Y30" s="5"/>
      <c r="Z30" s="5"/>
      <c r="AA30" s="5"/>
      <c r="AB30" s="5"/>
      <c r="AC30" s="5"/>
      <c r="AD30" s="5"/>
      <c r="AE30" s="5"/>
    </row>
    <row r="31" spans="1:34" customFormat="1">
      <c r="A31" s="113">
        <v>20</v>
      </c>
      <c r="B31" s="113" t="s">
        <v>6430</v>
      </c>
      <c r="C31" s="120" t="s">
        <v>5237</v>
      </c>
      <c r="D31" s="124">
        <v>0.5</v>
      </c>
      <c r="E31" s="124">
        <v>0.5</v>
      </c>
      <c r="F31" s="113" t="s">
        <v>2332</v>
      </c>
      <c r="G31" s="113" t="s">
        <v>2702</v>
      </c>
      <c r="H31" s="113" t="s">
        <v>158</v>
      </c>
      <c r="I31" s="113" t="s">
        <v>36</v>
      </c>
      <c r="J31" s="118" t="s">
        <v>2129</v>
      </c>
      <c r="K31" s="118" t="s">
        <v>2712</v>
      </c>
      <c r="L31" s="118" t="s">
        <v>5234</v>
      </c>
      <c r="M31" s="120" t="s">
        <v>5235</v>
      </c>
      <c r="N31" s="115" t="s">
        <v>6399</v>
      </c>
      <c r="O31" s="115" t="s">
        <v>2128</v>
      </c>
      <c r="P31" s="113">
        <v>413</v>
      </c>
      <c r="Q31" s="113">
        <v>75</v>
      </c>
      <c r="R31" s="113">
        <v>71</v>
      </c>
      <c r="S31" s="113">
        <v>70</v>
      </c>
      <c r="T31" s="120">
        <v>40</v>
      </c>
      <c r="U31" s="113">
        <v>80</v>
      </c>
      <c r="V31" s="113">
        <v>77</v>
      </c>
      <c r="W31" s="129"/>
      <c r="X31" s="129"/>
      <c r="Y31" s="5"/>
      <c r="Z31" s="5"/>
      <c r="AA31" s="5"/>
      <c r="AB31" s="5"/>
      <c r="AC31" s="5"/>
      <c r="AD31" s="5"/>
      <c r="AE31" s="5"/>
      <c r="AH31" s="5"/>
    </row>
    <row r="32" spans="1:34" customFormat="1">
      <c r="A32" s="113">
        <v>21</v>
      </c>
      <c r="B32" s="113" t="s">
        <v>41</v>
      </c>
      <c r="C32" s="120" t="s">
        <v>5238</v>
      </c>
      <c r="D32" s="124">
        <v>0.5</v>
      </c>
      <c r="E32" s="124">
        <v>0.5</v>
      </c>
      <c r="F32" s="113" t="s">
        <v>22</v>
      </c>
      <c r="G32" s="113" t="s">
        <v>1973</v>
      </c>
      <c r="H32" s="113" t="s">
        <v>22</v>
      </c>
      <c r="I32" s="113" t="s">
        <v>36</v>
      </c>
      <c r="J32" s="118" t="s">
        <v>2129</v>
      </c>
      <c r="K32" s="118" t="s">
        <v>2712</v>
      </c>
      <c r="L32" s="118" t="s">
        <v>5238</v>
      </c>
      <c r="M32" s="115" t="s">
        <v>1109</v>
      </c>
      <c r="N32" s="115" t="s">
        <v>2129</v>
      </c>
      <c r="O32" s="115" t="s">
        <v>1109</v>
      </c>
      <c r="P32" s="113">
        <v>262</v>
      </c>
      <c r="Q32" s="113">
        <v>40</v>
      </c>
      <c r="R32" s="113">
        <v>60</v>
      </c>
      <c r="S32" s="113">
        <v>30</v>
      </c>
      <c r="T32" s="120">
        <v>31</v>
      </c>
      <c r="U32" s="113">
        <v>31</v>
      </c>
      <c r="V32" s="113">
        <v>70</v>
      </c>
      <c r="W32" s="129"/>
      <c r="X32" s="129"/>
      <c r="Y32" s="5"/>
      <c r="Z32" s="5"/>
      <c r="AA32" s="5"/>
      <c r="AB32" s="5"/>
      <c r="AC32" s="5"/>
      <c r="AD32" s="5"/>
      <c r="AE32" s="5"/>
    </row>
    <row r="33" spans="1:34" customFormat="1">
      <c r="A33" s="113">
        <v>22</v>
      </c>
      <c r="B33" s="113" t="s">
        <v>42</v>
      </c>
      <c r="C33" s="120" t="s">
        <v>5239</v>
      </c>
      <c r="D33" s="124">
        <v>0.5</v>
      </c>
      <c r="E33" s="124">
        <v>0.5</v>
      </c>
      <c r="F33" s="113" t="s">
        <v>22</v>
      </c>
      <c r="G33" s="113" t="s">
        <v>1973</v>
      </c>
      <c r="H33" s="113" t="s">
        <v>22</v>
      </c>
      <c r="I33" s="113" t="s">
        <v>36</v>
      </c>
      <c r="J33" s="118" t="s">
        <v>2129</v>
      </c>
      <c r="K33" s="118" t="s">
        <v>2712</v>
      </c>
      <c r="L33" s="118" t="s">
        <v>5238</v>
      </c>
      <c r="M33" s="115" t="s">
        <v>5238</v>
      </c>
      <c r="N33" s="115" t="s">
        <v>6399</v>
      </c>
      <c r="O33" s="115" t="s">
        <v>2128</v>
      </c>
      <c r="P33" s="113">
        <v>442</v>
      </c>
      <c r="Q33" s="113">
        <v>65</v>
      </c>
      <c r="R33" s="113">
        <v>90</v>
      </c>
      <c r="S33" s="113">
        <v>65</v>
      </c>
      <c r="T33" s="120">
        <v>61</v>
      </c>
      <c r="U33" s="113">
        <v>61</v>
      </c>
      <c r="V33" s="113">
        <v>100</v>
      </c>
      <c r="W33" s="129"/>
      <c r="X33" s="129"/>
      <c r="Y33" s="5"/>
      <c r="Z33" s="5"/>
      <c r="AA33" s="5"/>
      <c r="AB33" s="5"/>
      <c r="AC33" s="5"/>
      <c r="AD33" s="5"/>
      <c r="AE33" s="5"/>
    </row>
    <row r="34" spans="1:34">
      <c r="A34" s="113">
        <v>23</v>
      </c>
      <c r="B34" s="113" t="s">
        <v>43</v>
      </c>
      <c r="C34" s="120" t="s">
        <v>5240</v>
      </c>
      <c r="D34" s="124">
        <v>0.5</v>
      </c>
      <c r="E34" s="124">
        <v>0.5</v>
      </c>
      <c r="F34" s="113" t="s">
        <v>2332</v>
      </c>
      <c r="G34" s="113" t="s">
        <v>1973</v>
      </c>
      <c r="H34" s="113" t="s">
        <v>15</v>
      </c>
      <c r="I34" s="113" t="s">
        <v>1109</v>
      </c>
      <c r="J34" s="118" t="s">
        <v>2129</v>
      </c>
      <c r="K34" s="118" t="s">
        <v>2712</v>
      </c>
      <c r="L34" s="118" t="s">
        <v>5240</v>
      </c>
      <c r="M34" s="115" t="s">
        <v>1109</v>
      </c>
      <c r="N34" s="115" t="s">
        <v>2129</v>
      </c>
      <c r="O34" s="115" t="s">
        <v>1109</v>
      </c>
      <c r="P34" s="113">
        <v>288</v>
      </c>
      <c r="Q34" s="113">
        <v>35</v>
      </c>
      <c r="R34" s="113">
        <v>60</v>
      </c>
      <c r="S34" s="113">
        <v>44</v>
      </c>
      <c r="T34" s="120">
        <v>40</v>
      </c>
      <c r="U34" s="113">
        <v>54</v>
      </c>
      <c r="V34" s="113">
        <v>55</v>
      </c>
      <c r="W34" s="129"/>
      <c r="X34" s="129"/>
      <c r="AF34"/>
      <c r="AG34"/>
    </row>
    <row r="35" spans="1:34" customFormat="1">
      <c r="A35" s="113">
        <v>24</v>
      </c>
      <c r="B35" s="113" t="s">
        <v>44</v>
      </c>
      <c r="C35" s="120" t="s">
        <v>5241</v>
      </c>
      <c r="D35" s="124">
        <v>0.5</v>
      </c>
      <c r="E35" s="124">
        <v>0.5</v>
      </c>
      <c r="F35" s="113" t="s">
        <v>2332</v>
      </c>
      <c r="G35" s="113" t="s">
        <v>1973</v>
      </c>
      <c r="H35" s="113" t="s">
        <v>15</v>
      </c>
      <c r="I35" s="113" t="s">
        <v>1109</v>
      </c>
      <c r="J35" s="118" t="s">
        <v>2129</v>
      </c>
      <c r="K35" s="118" t="s">
        <v>2712</v>
      </c>
      <c r="L35" s="118" t="s">
        <v>5240</v>
      </c>
      <c r="M35" s="115" t="s">
        <v>5240</v>
      </c>
      <c r="N35" s="115" t="s">
        <v>6399</v>
      </c>
      <c r="O35" s="115" t="s">
        <v>2128</v>
      </c>
      <c r="P35" s="113">
        <v>448</v>
      </c>
      <c r="Q35" s="113">
        <v>60</v>
      </c>
      <c r="R35" s="113">
        <v>95</v>
      </c>
      <c r="S35" s="113">
        <v>69</v>
      </c>
      <c r="T35" s="120">
        <v>65</v>
      </c>
      <c r="U35" s="113">
        <v>79</v>
      </c>
      <c r="V35" s="113">
        <v>80</v>
      </c>
      <c r="W35" s="129"/>
      <c r="X35" s="129"/>
      <c r="Y35" s="5"/>
      <c r="Z35" s="5"/>
      <c r="AA35" s="5"/>
      <c r="AB35" s="5"/>
      <c r="AC35" s="5"/>
      <c r="AD35" s="5"/>
      <c r="AE35" s="5"/>
    </row>
    <row r="36" spans="1:34" customFormat="1">
      <c r="A36" s="113">
        <v>25</v>
      </c>
      <c r="B36" s="113" t="s">
        <v>45</v>
      </c>
      <c r="C36" s="120" t="s">
        <v>5242</v>
      </c>
      <c r="D36" s="124">
        <v>0.5</v>
      </c>
      <c r="E36" s="124">
        <v>0.5</v>
      </c>
      <c r="F36" s="113" t="s">
        <v>56</v>
      </c>
      <c r="G36" s="113" t="s">
        <v>1973</v>
      </c>
      <c r="H36" s="113" t="s">
        <v>46</v>
      </c>
      <c r="I36" s="113" t="s">
        <v>1109</v>
      </c>
      <c r="J36" s="118" t="s">
        <v>2129</v>
      </c>
      <c r="K36" s="118" t="s">
        <v>4658</v>
      </c>
      <c r="L36" s="118" t="s">
        <v>5433</v>
      </c>
      <c r="M36" s="115" t="s">
        <v>5433</v>
      </c>
      <c r="N36" s="115" t="s">
        <v>6398</v>
      </c>
      <c r="O36" s="115" t="s">
        <v>2128</v>
      </c>
      <c r="P36" s="113">
        <v>320</v>
      </c>
      <c r="Q36" s="113">
        <v>35</v>
      </c>
      <c r="R36" s="113">
        <v>55</v>
      </c>
      <c r="S36" s="113">
        <v>40</v>
      </c>
      <c r="T36" s="120">
        <v>50</v>
      </c>
      <c r="U36" s="113">
        <v>50</v>
      </c>
      <c r="V36" s="113">
        <v>90</v>
      </c>
      <c r="W36" s="129"/>
      <c r="X36" s="129"/>
      <c r="Y36" s="5"/>
      <c r="Z36" s="5"/>
      <c r="AA36" s="5"/>
      <c r="AB36" s="5"/>
      <c r="AC36" s="5"/>
      <c r="AD36" s="5"/>
      <c r="AE36" s="5"/>
    </row>
    <row r="37" spans="1:34" customFormat="1" hidden="1">
      <c r="A37" s="113">
        <v>25</v>
      </c>
      <c r="B37" s="113" t="s">
        <v>2796</v>
      </c>
      <c r="C37" s="120" t="s">
        <v>5243</v>
      </c>
      <c r="D37" s="124">
        <v>0.5</v>
      </c>
      <c r="E37" s="124">
        <v>0.5</v>
      </c>
      <c r="F37" s="113" t="s">
        <v>56</v>
      </c>
      <c r="G37" s="113" t="s">
        <v>1973</v>
      </c>
      <c r="H37" s="113" t="s">
        <v>46</v>
      </c>
      <c r="I37" s="113" t="s">
        <v>1109</v>
      </c>
      <c r="J37" s="118" t="s">
        <v>814</v>
      </c>
      <c r="K37" s="118" t="s">
        <v>4658</v>
      </c>
      <c r="L37" s="118" t="s">
        <v>5433</v>
      </c>
      <c r="M37" s="115" t="s">
        <v>5242</v>
      </c>
      <c r="N37" s="115" t="s">
        <v>814</v>
      </c>
      <c r="O37" s="115" t="s">
        <v>2130</v>
      </c>
      <c r="P37" s="113">
        <v>430</v>
      </c>
      <c r="Q37" s="113">
        <v>45</v>
      </c>
      <c r="R37" s="113">
        <v>80</v>
      </c>
      <c r="S37" s="113">
        <v>50</v>
      </c>
      <c r="T37" s="120">
        <v>75</v>
      </c>
      <c r="U37" s="113">
        <v>60</v>
      </c>
      <c r="V37" s="113">
        <v>120</v>
      </c>
      <c r="W37" s="129"/>
      <c r="X37" s="129"/>
      <c r="Y37" s="5"/>
      <c r="Z37" s="5"/>
      <c r="AA37" s="5"/>
      <c r="AB37" s="5"/>
      <c r="AC37" s="5"/>
      <c r="AD37" s="5"/>
      <c r="AE37" s="5"/>
    </row>
    <row r="38" spans="1:34" customFormat="1">
      <c r="A38" s="113">
        <v>26</v>
      </c>
      <c r="B38" s="113" t="s">
        <v>47</v>
      </c>
      <c r="C38" s="120" t="s">
        <v>5244</v>
      </c>
      <c r="D38" s="124">
        <v>0.5</v>
      </c>
      <c r="E38" s="124">
        <v>0.5</v>
      </c>
      <c r="F38" s="113" t="s">
        <v>56</v>
      </c>
      <c r="G38" s="113" t="s">
        <v>1973</v>
      </c>
      <c r="H38" s="113" t="s">
        <v>46</v>
      </c>
      <c r="I38" s="113" t="s">
        <v>1109</v>
      </c>
      <c r="J38" s="118" t="s">
        <v>2129</v>
      </c>
      <c r="K38" s="118" t="s">
        <v>4658</v>
      </c>
      <c r="L38" s="118" t="s">
        <v>5433</v>
      </c>
      <c r="M38" s="115" t="s">
        <v>5242</v>
      </c>
      <c r="N38" s="115" t="s">
        <v>6399</v>
      </c>
      <c r="O38" s="115" t="s">
        <v>1803</v>
      </c>
      <c r="P38" s="113">
        <v>485</v>
      </c>
      <c r="Q38" s="113">
        <v>60</v>
      </c>
      <c r="R38" s="113">
        <v>90</v>
      </c>
      <c r="S38" s="113">
        <v>55</v>
      </c>
      <c r="T38" s="120">
        <v>90</v>
      </c>
      <c r="U38" s="113">
        <v>80</v>
      </c>
      <c r="V38" s="113">
        <v>110</v>
      </c>
      <c r="W38" s="129"/>
      <c r="X38" s="129"/>
      <c r="Y38" s="5"/>
      <c r="Z38" s="5"/>
      <c r="AA38" s="5"/>
      <c r="AB38" s="5"/>
      <c r="AC38" s="5"/>
      <c r="AD38" s="5"/>
      <c r="AE38" s="5"/>
    </row>
    <row r="39" spans="1:34" customFormat="1">
      <c r="A39" s="113">
        <v>26</v>
      </c>
      <c r="B39" s="113" t="s">
        <v>6443</v>
      </c>
      <c r="C39" s="120" t="s">
        <v>5245</v>
      </c>
      <c r="D39" s="124">
        <v>0.5</v>
      </c>
      <c r="E39" s="124">
        <v>0.5</v>
      </c>
      <c r="F39" s="113" t="s">
        <v>56</v>
      </c>
      <c r="G39" s="113" t="s">
        <v>2702</v>
      </c>
      <c r="H39" s="113" t="s">
        <v>46</v>
      </c>
      <c r="I39" s="113" t="s">
        <v>86</v>
      </c>
      <c r="J39" s="118" t="s">
        <v>2129</v>
      </c>
      <c r="K39" s="118" t="s">
        <v>4658</v>
      </c>
      <c r="L39" s="118" t="s">
        <v>5433</v>
      </c>
      <c r="M39" s="115" t="s">
        <v>5242</v>
      </c>
      <c r="N39" s="115" t="s">
        <v>6399</v>
      </c>
      <c r="O39" s="115" t="s">
        <v>1803</v>
      </c>
      <c r="P39" s="113">
        <v>485</v>
      </c>
      <c r="Q39" s="113">
        <v>60</v>
      </c>
      <c r="R39" s="113">
        <v>85</v>
      </c>
      <c r="S39" s="113">
        <v>50</v>
      </c>
      <c r="T39" s="120">
        <v>95</v>
      </c>
      <c r="U39" s="113">
        <v>85</v>
      </c>
      <c r="V39" s="113">
        <v>110</v>
      </c>
      <c r="W39" s="129"/>
      <c r="X39" s="129"/>
      <c r="Y39" s="5"/>
      <c r="Z39" s="5"/>
      <c r="AA39" s="5"/>
      <c r="AB39" s="5"/>
      <c r="AC39" s="5"/>
      <c r="AD39" s="5"/>
      <c r="AE39" s="5"/>
      <c r="AH39" s="5"/>
    </row>
    <row r="40" spans="1:34" customFormat="1">
      <c r="A40" s="113">
        <v>27</v>
      </c>
      <c r="B40" s="113" t="s">
        <v>48</v>
      </c>
      <c r="C40" s="120" t="s">
        <v>5246</v>
      </c>
      <c r="D40" s="124">
        <v>0.5</v>
      </c>
      <c r="E40" s="124">
        <v>0.5</v>
      </c>
      <c r="F40" s="113" t="s">
        <v>2332</v>
      </c>
      <c r="G40" s="113" t="s">
        <v>1973</v>
      </c>
      <c r="H40" s="113" t="s">
        <v>49</v>
      </c>
      <c r="I40" s="113" t="s">
        <v>1109</v>
      </c>
      <c r="J40" s="118" t="s">
        <v>2129</v>
      </c>
      <c r="K40" s="118" t="s">
        <v>4658</v>
      </c>
      <c r="L40" s="118" t="s">
        <v>5246</v>
      </c>
      <c r="M40" s="115" t="s">
        <v>1109</v>
      </c>
      <c r="N40" s="115" t="s">
        <v>2129</v>
      </c>
      <c r="O40" s="115" t="s">
        <v>1109</v>
      </c>
      <c r="P40" s="113">
        <v>300</v>
      </c>
      <c r="Q40" s="113">
        <v>50</v>
      </c>
      <c r="R40" s="113">
        <v>75</v>
      </c>
      <c r="S40" s="113">
        <v>85</v>
      </c>
      <c r="T40" s="120">
        <v>20</v>
      </c>
      <c r="U40" s="113">
        <v>30</v>
      </c>
      <c r="V40" s="113">
        <v>40</v>
      </c>
      <c r="W40" s="129"/>
      <c r="X40" s="129"/>
      <c r="Y40" s="5"/>
      <c r="Z40" s="5"/>
      <c r="AA40" s="5"/>
      <c r="AB40" s="5"/>
      <c r="AC40" s="5"/>
      <c r="AD40" s="5"/>
      <c r="AE40" s="5"/>
    </row>
    <row r="41" spans="1:34" customFormat="1">
      <c r="A41" s="113">
        <v>27</v>
      </c>
      <c r="B41" s="113" t="s">
        <v>6431</v>
      </c>
      <c r="C41" s="120" t="s">
        <v>5247</v>
      </c>
      <c r="D41" s="124">
        <v>0.5</v>
      </c>
      <c r="E41" s="124">
        <v>0.5</v>
      </c>
      <c r="F41" s="113" t="s">
        <v>2332</v>
      </c>
      <c r="G41" s="113" t="s">
        <v>2702</v>
      </c>
      <c r="H41" s="113" t="s">
        <v>113</v>
      </c>
      <c r="I41" s="113" t="s">
        <v>106</v>
      </c>
      <c r="J41" s="118" t="s">
        <v>2129</v>
      </c>
      <c r="K41" s="118" t="s">
        <v>4658</v>
      </c>
      <c r="L41" s="118" t="s">
        <v>5246</v>
      </c>
      <c r="M41" s="115" t="s">
        <v>1109</v>
      </c>
      <c r="N41" s="115" t="s">
        <v>2129</v>
      </c>
      <c r="O41" s="115" t="s">
        <v>1109</v>
      </c>
      <c r="P41" s="113">
        <v>300</v>
      </c>
      <c r="Q41" s="113">
        <v>50</v>
      </c>
      <c r="R41" s="113">
        <v>75</v>
      </c>
      <c r="S41" s="113">
        <v>90</v>
      </c>
      <c r="T41" s="120">
        <v>10</v>
      </c>
      <c r="U41" s="113">
        <v>35</v>
      </c>
      <c r="V41" s="113">
        <v>40</v>
      </c>
      <c r="W41" s="129"/>
      <c r="X41" s="129"/>
      <c r="Y41" s="5"/>
      <c r="Z41" s="5"/>
      <c r="AA41" s="5"/>
      <c r="AB41" s="5"/>
      <c r="AC41" s="5"/>
      <c r="AD41" s="5"/>
      <c r="AE41" s="5"/>
      <c r="AH41" s="5"/>
    </row>
    <row r="42" spans="1:34" customFormat="1">
      <c r="A42" s="113">
        <v>28</v>
      </c>
      <c r="B42" s="113" t="s">
        <v>50</v>
      </c>
      <c r="C42" s="120" t="s">
        <v>5248</v>
      </c>
      <c r="D42" s="124">
        <v>0.5</v>
      </c>
      <c r="E42" s="124">
        <v>0.5</v>
      </c>
      <c r="F42" s="113" t="s">
        <v>2332</v>
      </c>
      <c r="G42" s="113" t="s">
        <v>1973</v>
      </c>
      <c r="H42" s="113" t="s">
        <v>49</v>
      </c>
      <c r="I42" s="113" t="s">
        <v>1109</v>
      </c>
      <c r="J42" s="118" t="s">
        <v>2129</v>
      </c>
      <c r="K42" s="118" t="s">
        <v>4658</v>
      </c>
      <c r="L42" s="118" t="s">
        <v>5246</v>
      </c>
      <c r="M42" s="115" t="s">
        <v>5246</v>
      </c>
      <c r="N42" s="115" t="s">
        <v>6399</v>
      </c>
      <c r="O42" s="115" t="s">
        <v>2128</v>
      </c>
      <c r="P42" s="113">
        <v>450</v>
      </c>
      <c r="Q42" s="113">
        <v>75</v>
      </c>
      <c r="R42" s="113">
        <v>100</v>
      </c>
      <c r="S42" s="113">
        <v>110</v>
      </c>
      <c r="T42" s="120">
        <v>45</v>
      </c>
      <c r="U42" s="113">
        <v>55</v>
      </c>
      <c r="V42" s="113">
        <v>65</v>
      </c>
      <c r="W42" s="129"/>
      <c r="X42" s="129"/>
      <c r="Y42" s="5"/>
      <c r="Z42" s="5"/>
      <c r="AA42" s="5"/>
      <c r="AB42" s="5"/>
      <c r="AC42" s="5"/>
      <c r="AD42" s="5"/>
      <c r="AE42" s="5"/>
    </row>
    <row r="43" spans="1:34" customFormat="1">
      <c r="A43" s="113">
        <v>28</v>
      </c>
      <c r="B43" s="113" t="s">
        <v>6432</v>
      </c>
      <c r="C43" s="120" t="s">
        <v>5249</v>
      </c>
      <c r="D43" s="124">
        <v>0.5</v>
      </c>
      <c r="E43" s="124">
        <v>0.5</v>
      </c>
      <c r="F43" s="113" t="s">
        <v>2332</v>
      </c>
      <c r="G43" s="113" t="s">
        <v>2702</v>
      </c>
      <c r="H43" s="113" t="s">
        <v>113</v>
      </c>
      <c r="I43" s="113" t="s">
        <v>106</v>
      </c>
      <c r="J43" s="118" t="s">
        <v>2129</v>
      </c>
      <c r="K43" s="118" t="s">
        <v>4658</v>
      </c>
      <c r="L43" s="118" t="s">
        <v>5246</v>
      </c>
      <c r="M43" s="120" t="s">
        <v>5247</v>
      </c>
      <c r="N43" s="115" t="s">
        <v>6399</v>
      </c>
      <c r="O43" s="115" t="s">
        <v>2128</v>
      </c>
      <c r="P43" s="113">
        <v>450</v>
      </c>
      <c r="Q43" s="113">
        <v>75</v>
      </c>
      <c r="R43" s="113">
        <v>100</v>
      </c>
      <c r="S43" s="113">
        <v>120</v>
      </c>
      <c r="T43" s="120">
        <v>25</v>
      </c>
      <c r="U43" s="113">
        <v>65</v>
      </c>
      <c r="V43" s="113">
        <v>65</v>
      </c>
      <c r="W43" s="129"/>
      <c r="X43" s="129"/>
      <c r="Y43" s="5"/>
      <c r="Z43" s="5"/>
      <c r="AA43" s="5"/>
      <c r="AB43" s="5"/>
      <c r="AC43" s="5"/>
      <c r="AD43" s="5"/>
      <c r="AE43" s="5"/>
      <c r="AH43" s="5"/>
    </row>
    <row r="44" spans="1:34" customFormat="1">
      <c r="A44" s="113">
        <v>29</v>
      </c>
      <c r="B44" s="113" t="s">
        <v>2131</v>
      </c>
      <c r="C44" s="120" t="s">
        <v>5250</v>
      </c>
      <c r="D44" s="124">
        <v>0</v>
      </c>
      <c r="E44" s="124">
        <v>1</v>
      </c>
      <c r="F44" s="113" t="s">
        <v>2332</v>
      </c>
      <c r="G44" s="113" t="s">
        <v>1973</v>
      </c>
      <c r="H44" s="113" t="s">
        <v>15</v>
      </c>
      <c r="I44" s="113" t="s">
        <v>1109</v>
      </c>
      <c r="J44" s="118" t="s">
        <v>2129</v>
      </c>
      <c r="K44" s="118" t="s">
        <v>2712</v>
      </c>
      <c r="L44" s="118" t="s">
        <v>5250</v>
      </c>
      <c r="M44" s="115" t="s">
        <v>1109</v>
      </c>
      <c r="N44" s="115" t="s">
        <v>2129</v>
      </c>
      <c r="O44" s="115" t="s">
        <v>1109</v>
      </c>
      <c r="P44" s="113">
        <v>275</v>
      </c>
      <c r="Q44" s="113">
        <v>55</v>
      </c>
      <c r="R44" s="113">
        <v>47</v>
      </c>
      <c r="S44" s="113">
        <v>52</v>
      </c>
      <c r="T44" s="120">
        <v>40</v>
      </c>
      <c r="U44" s="113">
        <v>40</v>
      </c>
      <c r="V44" s="113">
        <v>41</v>
      </c>
      <c r="W44" s="129"/>
      <c r="X44" s="129"/>
      <c r="Y44" s="5"/>
      <c r="Z44" s="5"/>
      <c r="AA44" s="5"/>
      <c r="AB44" s="5"/>
      <c r="AC44" s="5"/>
      <c r="AD44" s="5"/>
      <c r="AE44" s="5"/>
      <c r="AG44" s="5"/>
    </row>
    <row r="45" spans="1:34" customFormat="1">
      <c r="A45" s="113">
        <v>30</v>
      </c>
      <c r="B45" s="113" t="s">
        <v>51</v>
      </c>
      <c r="C45" s="120" t="s">
        <v>5251</v>
      </c>
      <c r="D45" s="124">
        <v>0</v>
      </c>
      <c r="E45" s="124">
        <v>1</v>
      </c>
      <c r="F45" s="113" t="s">
        <v>2333</v>
      </c>
      <c r="G45" s="113" t="s">
        <v>1973</v>
      </c>
      <c r="H45" s="113" t="s">
        <v>15</v>
      </c>
      <c r="I45" s="113" t="s">
        <v>1109</v>
      </c>
      <c r="J45" s="118" t="s">
        <v>2129</v>
      </c>
      <c r="K45" s="118" t="s">
        <v>2712</v>
      </c>
      <c r="L45" s="118" t="s">
        <v>5250</v>
      </c>
      <c r="M45" s="115" t="s">
        <v>5250</v>
      </c>
      <c r="N45" s="115" t="s">
        <v>6398</v>
      </c>
      <c r="O45" s="115" t="s">
        <v>2128</v>
      </c>
      <c r="P45" s="113">
        <v>365</v>
      </c>
      <c r="Q45" s="113">
        <v>70</v>
      </c>
      <c r="R45" s="113">
        <v>62</v>
      </c>
      <c r="S45" s="113">
        <v>67</v>
      </c>
      <c r="T45" s="120">
        <v>55</v>
      </c>
      <c r="U45" s="113">
        <v>55</v>
      </c>
      <c r="V45" s="113">
        <v>56</v>
      </c>
      <c r="W45" s="129"/>
      <c r="X45" s="129"/>
      <c r="Y45" s="5"/>
      <c r="Z45" s="5"/>
      <c r="AA45" s="5"/>
      <c r="AB45" s="5"/>
      <c r="AC45" s="5"/>
      <c r="AD45" s="5"/>
      <c r="AE45" s="5"/>
    </row>
    <row r="46" spans="1:34" customFormat="1">
      <c r="A46" s="113">
        <v>31</v>
      </c>
      <c r="B46" s="113" t="s">
        <v>52</v>
      </c>
      <c r="C46" s="120" t="s">
        <v>5252</v>
      </c>
      <c r="D46" s="124">
        <v>0</v>
      </c>
      <c r="E46" s="124">
        <v>1</v>
      </c>
      <c r="F46" s="113" t="s">
        <v>2333</v>
      </c>
      <c r="G46" s="113" t="s">
        <v>1973</v>
      </c>
      <c r="H46" s="113" t="s">
        <v>15</v>
      </c>
      <c r="I46" s="113" t="s">
        <v>49</v>
      </c>
      <c r="J46" s="118" t="s">
        <v>2129</v>
      </c>
      <c r="K46" s="118" t="s">
        <v>2712</v>
      </c>
      <c r="L46" s="118" t="s">
        <v>5250</v>
      </c>
      <c r="M46" s="115" t="s">
        <v>5251</v>
      </c>
      <c r="N46" s="115" t="s">
        <v>6399</v>
      </c>
      <c r="O46" s="115" t="s">
        <v>1803</v>
      </c>
      <c r="P46" s="113">
        <v>505</v>
      </c>
      <c r="Q46" s="113">
        <v>90</v>
      </c>
      <c r="R46" s="113">
        <v>92</v>
      </c>
      <c r="S46" s="113">
        <v>87</v>
      </c>
      <c r="T46" s="120">
        <v>75</v>
      </c>
      <c r="U46" s="113">
        <v>85</v>
      </c>
      <c r="V46" s="113">
        <v>76</v>
      </c>
      <c r="W46" s="129"/>
      <c r="X46" s="129"/>
      <c r="Y46" s="5"/>
      <c r="Z46" s="5"/>
      <c r="AA46" s="5"/>
      <c r="AB46" s="5"/>
      <c r="AC46" s="5"/>
      <c r="AD46" s="5"/>
      <c r="AE46" s="5"/>
    </row>
    <row r="47" spans="1:34" customFormat="1">
      <c r="A47" s="113">
        <v>32</v>
      </c>
      <c r="B47" s="113" t="s">
        <v>2132</v>
      </c>
      <c r="C47" s="120" t="s">
        <v>5253</v>
      </c>
      <c r="D47" s="124">
        <v>1</v>
      </c>
      <c r="E47" s="124">
        <v>0</v>
      </c>
      <c r="F47" s="113" t="s">
        <v>2332</v>
      </c>
      <c r="G47" s="113" t="s">
        <v>1973</v>
      </c>
      <c r="H47" s="113" t="s">
        <v>15</v>
      </c>
      <c r="I47" s="113" t="s">
        <v>1109</v>
      </c>
      <c r="J47" s="118" t="s">
        <v>2129</v>
      </c>
      <c r="K47" s="118" t="s">
        <v>2712</v>
      </c>
      <c r="L47" s="118" t="s">
        <v>5253</v>
      </c>
      <c r="M47" s="115" t="s">
        <v>1109</v>
      </c>
      <c r="N47" s="115" t="s">
        <v>2129</v>
      </c>
      <c r="O47" s="115" t="s">
        <v>1109</v>
      </c>
      <c r="P47" s="113">
        <v>273</v>
      </c>
      <c r="Q47" s="113">
        <v>46</v>
      </c>
      <c r="R47" s="113">
        <v>57</v>
      </c>
      <c r="S47" s="113">
        <v>40</v>
      </c>
      <c r="T47" s="120">
        <v>40</v>
      </c>
      <c r="U47" s="113">
        <v>40</v>
      </c>
      <c r="V47" s="113">
        <v>50</v>
      </c>
      <c r="W47" s="129"/>
      <c r="X47" s="129"/>
      <c r="Y47" s="5"/>
      <c r="Z47" s="5"/>
      <c r="AA47" s="5"/>
      <c r="AB47" s="5"/>
      <c r="AC47" s="5"/>
      <c r="AD47" s="5"/>
      <c r="AE47" s="5"/>
    </row>
    <row r="48" spans="1:34" customFormat="1">
      <c r="A48" s="113">
        <v>33</v>
      </c>
      <c r="B48" s="113" t="s">
        <v>53</v>
      </c>
      <c r="C48" s="120" t="s">
        <v>5254</v>
      </c>
      <c r="D48" s="124">
        <v>1</v>
      </c>
      <c r="E48" s="124">
        <v>0</v>
      </c>
      <c r="F48" s="113" t="s">
        <v>2332</v>
      </c>
      <c r="G48" s="113" t="s">
        <v>1973</v>
      </c>
      <c r="H48" s="113" t="s">
        <v>15</v>
      </c>
      <c r="I48" s="113" t="s">
        <v>1109</v>
      </c>
      <c r="J48" s="118" t="s">
        <v>2129</v>
      </c>
      <c r="K48" s="118" t="s">
        <v>2712</v>
      </c>
      <c r="L48" s="118" t="s">
        <v>5253</v>
      </c>
      <c r="M48" s="115" t="s">
        <v>5253</v>
      </c>
      <c r="N48" s="115" t="s">
        <v>6398</v>
      </c>
      <c r="O48" s="115" t="s">
        <v>2128</v>
      </c>
      <c r="P48" s="113">
        <v>365</v>
      </c>
      <c r="Q48" s="113">
        <v>61</v>
      </c>
      <c r="R48" s="113">
        <v>72</v>
      </c>
      <c r="S48" s="113">
        <v>57</v>
      </c>
      <c r="T48" s="120">
        <v>55</v>
      </c>
      <c r="U48" s="113">
        <v>55</v>
      </c>
      <c r="V48" s="113">
        <v>65</v>
      </c>
      <c r="W48" s="129"/>
      <c r="X48" s="129"/>
      <c r="Y48" s="5"/>
      <c r="Z48" s="5"/>
      <c r="AA48" s="5"/>
      <c r="AB48" s="5"/>
      <c r="AC48" s="5"/>
      <c r="AD48" s="5"/>
      <c r="AE48" s="5"/>
    </row>
    <row r="49" spans="1:34" customFormat="1">
      <c r="A49" s="113">
        <v>34</v>
      </c>
      <c r="B49" s="113" t="s">
        <v>54</v>
      </c>
      <c r="C49" s="120" t="s">
        <v>5255</v>
      </c>
      <c r="D49" s="124">
        <v>1</v>
      </c>
      <c r="E49" s="124">
        <v>0</v>
      </c>
      <c r="F49" s="113" t="s">
        <v>2332</v>
      </c>
      <c r="G49" s="113" t="s">
        <v>1973</v>
      </c>
      <c r="H49" s="113" t="s">
        <v>15</v>
      </c>
      <c r="I49" s="113" t="s">
        <v>49</v>
      </c>
      <c r="J49" s="118" t="s">
        <v>2129</v>
      </c>
      <c r="K49" s="118" t="s">
        <v>2712</v>
      </c>
      <c r="L49" s="118" t="s">
        <v>5253</v>
      </c>
      <c r="M49" s="115" t="s">
        <v>5254</v>
      </c>
      <c r="N49" s="115" t="s">
        <v>6399</v>
      </c>
      <c r="O49" s="115" t="s">
        <v>1803</v>
      </c>
      <c r="P49" s="113">
        <v>505</v>
      </c>
      <c r="Q49" s="113">
        <v>81</v>
      </c>
      <c r="R49" s="113">
        <v>102</v>
      </c>
      <c r="S49" s="113">
        <v>77</v>
      </c>
      <c r="T49" s="120">
        <v>85</v>
      </c>
      <c r="U49" s="113">
        <v>75</v>
      </c>
      <c r="V49" s="113">
        <v>85</v>
      </c>
      <c r="W49" s="129"/>
      <c r="X49" s="129"/>
      <c r="Y49" s="5"/>
      <c r="Z49" s="5"/>
      <c r="AA49" s="5"/>
      <c r="AB49" s="5"/>
      <c r="AC49" s="5"/>
      <c r="AD49" s="5"/>
      <c r="AE49" s="5"/>
    </row>
    <row r="50" spans="1:34" customFormat="1">
      <c r="A50" s="113">
        <v>35</v>
      </c>
      <c r="B50" s="113" t="s">
        <v>55</v>
      </c>
      <c r="C50" s="120" t="s">
        <v>5256</v>
      </c>
      <c r="D50" s="124">
        <v>0.25</v>
      </c>
      <c r="E50" s="124">
        <v>0.75</v>
      </c>
      <c r="F50" s="113" t="s">
        <v>56</v>
      </c>
      <c r="G50" s="113" t="s">
        <v>1973</v>
      </c>
      <c r="H50" s="113" t="s">
        <v>56</v>
      </c>
      <c r="I50" s="113" t="s">
        <v>1109</v>
      </c>
      <c r="J50" s="118" t="s">
        <v>2129</v>
      </c>
      <c r="K50" s="118" t="s">
        <v>4658</v>
      </c>
      <c r="L50" s="118" t="s">
        <v>5434</v>
      </c>
      <c r="M50" s="115" t="s">
        <v>5434</v>
      </c>
      <c r="N50" s="115" t="s">
        <v>6398</v>
      </c>
      <c r="O50" s="115" t="s">
        <v>2128</v>
      </c>
      <c r="P50" s="113">
        <v>323</v>
      </c>
      <c r="Q50" s="113">
        <v>70</v>
      </c>
      <c r="R50" s="113">
        <v>45</v>
      </c>
      <c r="S50" s="113">
        <v>48</v>
      </c>
      <c r="T50" s="120">
        <v>60</v>
      </c>
      <c r="U50" s="113">
        <v>65</v>
      </c>
      <c r="V50" s="113">
        <v>35</v>
      </c>
      <c r="W50" s="129"/>
      <c r="X50" s="129"/>
      <c r="Y50" s="5"/>
      <c r="Z50" s="5"/>
      <c r="AA50" s="5"/>
      <c r="AB50" s="5"/>
      <c r="AC50" s="5"/>
      <c r="AD50" s="5"/>
      <c r="AE50" s="5"/>
      <c r="AF50" s="5"/>
    </row>
    <row r="51" spans="1:34" customFormat="1">
      <c r="A51" s="113">
        <v>36</v>
      </c>
      <c r="B51" s="113" t="s">
        <v>57</v>
      </c>
      <c r="C51" s="120" t="s">
        <v>5257</v>
      </c>
      <c r="D51" s="124">
        <v>0.25</v>
      </c>
      <c r="E51" s="124">
        <v>0.75</v>
      </c>
      <c r="F51" s="113" t="s">
        <v>56</v>
      </c>
      <c r="G51" s="113" t="s">
        <v>1973</v>
      </c>
      <c r="H51" s="113" t="s">
        <v>56</v>
      </c>
      <c r="I51" s="113" t="s">
        <v>1109</v>
      </c>
      <c r="J51" s="118" t="s">
        <v>2129</v>
      </c>
      <c r="K51" s="118" t="s">
        <v>4658</v>
      </c>
      <c r="L51" s="118" t="s">
        <v>5434</v>
      </c>
      <c r="M51" s="115" t="s">
        <v>5256</v>
      </c>
      <c r="N51" s="115" t="s">
        <v>6399</v>
      </c>
      <c r="O51" s="115" t="s">
        <v>1803</v>
      </c>
      <c r="P51" s="113">
        <v>483</v>
      </c>
      <c r="Q51" s="113">
        <v>95</v>
      </c>
      <c r="R51" s="113">
        <v>70</v>
      </c>
      <c r="S51" s="113">
        <v>73</v>
      </c>
      <c r="T51" s="120">
        <v>95</v>
      </c>
      <c r="U51" s="113">
        <v>90</v>
      </c>
      <c r="V51" s="113">
        <v>60</v>
      </c>
      <c r="W51" s="129"/>
      <c r="X51" s="129"/>
      <c r="Y51" s="5"/>
      <c r="Z51" s="5"/>
      <c r="AA51" s="5"/>
      <c r="AB51" s="5"/>
      <c r="AC51" s="5"/>
      <c r="AD51" s="5"/>
      <c r="AE51" s="5"/>
    </row>
    <row r="52" spans="1:34" customFormat="1">
      <c r="A52" s="113">
        <v>37</v>
      </c>
      <c r="B52" s="113" t="s">
        <v>58</v>
      </c>
      <c r="C52" s="120" t="s">
        <v>5258</v>
      </c>
      <c r="D52" s="124">
        <v>0.25</v>
      </c>
      <c r="E52" s="124">
        <v>0.75</v>
      </c>
      <c r="F52" s="113" t="s">
        <v>2332</v>
      </c>
      <c r="G52" s="113" t="s">
        <v>1973</v>
      </c>
      <c r="H52" s="113" t="s">
        <v>19</v>
      </c>
      <c r="I52" s="113" t="s">
        <v>1109</v>
      </c>
      <c r="J52" s="118" t="s">
        <v>2129</v>
      </c>
      <c r="K52" s="118" t="s">
        <v>4658</v>
      </c>
      <c r="L52" s="118" t="s">
        <v>5258</v>
      </c>
      <c r="M52" s="115" t="s">
        <v>1109</v>
      </c>
      <c r="N52" s="115" t="s">
        <v>2129</v>
      </c>
      <c r="O52" s="115" t="s">
        <v>1109</v>
      </c>
      <c r="P52" s="113">
        <v>299</v>
      </c>
      <c r="Q52" s="113">
        <v>38</v>
      </c>
      <c r="R52" s="113">
        <v>41</v>
      </c>
      <c r="S52" s="113">
        <v>40</v>
      </c>
      <c r="T52" s="120">
        <v>50</v>
      </c>
      <c r="U52" s="113">
        <v>65</v>
      </c>
      <c r="V52" s="113">
        <v>65</v>
      </c>
      <c r="W52" s="129"/>
      <c r="X52" s="129"/>
      <c r="Y52" s="5"/>
      <c r="Z52" s="5"/>
      <c r="AA52" s="5"/>
      <c r="AB52" s="5"/>
      <c r="AC52" s="5"/>
      <c r="AD52" s="5"/>
      <c r="AE52" s="5"/>
    </row>
    <row r="53" spans="1:34" customFormat="1">
      <c r="A53" s="113">
        <v>37</v>
      </c>
      <c r="B53" s="113" t="s">
        <v>6433</v>
      </c>
      <c r="C53" s="120" t="s">
        <v>5259</v>
      </c>
      <c r="D53" s="124">
        <v>0.25</v>
      </c>
      <c r="E53" s="124">
        <v>0.75</v>
      </c>
      <c r="F53" s="113" t="s">
        <v>2332</v>
      </c>
      <c r="G53" s="113" t="s">
        <v>2702</v>
      </c>
      <c r="H53" s="113" t="s">
        <v>113</v>
      </c>
      <c r="I53" s="115" t="s">
        <v>1109</v>
      </c>
      <c r="J53" s="118" t="s">
        <v>2129</v>
      </c>
      <c r="K53" s="118" t="s">
        <v>4658</v>
      </c>
      <c r="L53" s="118" t="s">
        <v>5258</v>
      </c>
      <c r="M53" s="115" t="s">
        <v>1109</v>
      </c>
      <c r="N53" s="115" t="s">
        <v>2129</v>
      </c>
      <c r="O53" s="115" t="s">
        <v>1109</v>
      </c>
      <c r="P53" s="113">
        <v>299</v>
      </c>
      <c r="Q53" s="113">
        <v>38</v>
      </c>
      <c r="R53" s="113">
        <v>41</v>
      </c>
      <c r="S53" s="113">
        <v>40</v>
      </c>
      <c r="T53" s="120">
        <v>50</v>
      </c>
      <c r="U53" s="113">
        <v>65</v>
      </c>
      <c r="V53" s="113">
        <v>65</v>
      </c>
      <c r="W53" s="129"/>
      <c r="X53" s="129"/>
      <c r="Y53" s="5"/>
      <c r="Z53" s="5"/>
      <c r="AA53" s="5"/>
      <c r="AB53" s="5"/>
      <c r="AC53" s="5"/>
      <c r="AD53" s="5"/>
      <c r="AE53" s="5"/>
    </row>
    <row r="54" spans="1:34" customFormat="1">
      <c r="A54" s="113">
        <v>38</v>
      </c>
      <c r="B54" s="113" t="s">
        <v>59</v>
      </c>
      <c r="C54" s="120" t="s">
        <v>5260</v>
      </c>
      <c r="D54" s="124">
        <v>0.25</v>
      </c>
      <c r="E54" s="124">
        <v>0.75</v>
      </c>
      <c r="F54" s="113" t="s">
        <v>2332</v>
      </c>
      <c r="G54" s="113" t="s">
        <v>1973</v>
      </c>
      <c r="H54" s="113" t="s">
        <v>19</v>
      </c>
      <c r="I54" s="113" t="s">
        <v>1109</v>
      </c>
      <c r="J54" s="118" t="s">
        <v>2129</v>
      </c>
      <c r="K54" s="118" t="s">
        <v>4658</v>
      </c>
      <c r="L54" s="118" t="s">
        <v>5258</v>
      </c>
      <c r="M54" s="115" t="s">
        <v>5258</v>
      </c>
      <c r="N54" s="115" t="s">
        <v>6399</v>
      </c>
      <c r="O54" s="115" t="s">
        <v>1803</v>
      </c>
      <c r="P54" s="113">
        <v>505</v>
      </c>
      <c r="Q54" s="113">
        <v>73</v>
      </c>
      <c r="R54" s="113">
        <v>76</v>
      </c>
      <c r="S54" s="113">
        <v>75</v>
      </c>
      <c r="T54" s="120">
        <v>81</v>
      </c>
      <c r="U54" s="113">
        <v>100</v>
      </c>
      <c r="V54" s="113">
        <v>100</v>
      </c>
      <c r="W54" s="129"/>
      <c r="X54" s="129"/>
      <c r="Y54" s="5"/>
      <c r="Z54" s="5"/>
      <c r="AA54" s="5"/>
      <c r="AB54" s="5"/>
      <c r="AC54" s="5"/>
      <c r="AD54" s="5"/>
      <c r="AE54" s="5"/>
    </row>
    <row r="55" spans="1:34" customFormat="1">
      <c r="A55" s="113">
        <v>38</v>
      </c>
      <c r="B55" s="113" t="s">
        <v>6434</v>
      </c>
      <c r="C55" s="120" t="s">
        <v>5261</v>
      </c>
      <c r="D55" s="124">
        <v>0.25</v>
      </c>
      <c r="E55" s="124">
        <v>0.75</v>
      </c>
      <c r="F55" s="113" t="s">
        <v>2332</v>
      </c>
      <c r="G55" s="113" t="s">
        <v>2702</v>
      </c>
      <c r="H55" s="113" t="s">
        <v>113</v>
      </c>
      <c r="I55" s="113" t="s">
        <v>56</v>
      </c>
      <c r="J55" s="118" t="s">
        <v>2129</v>
      </c>
      <c r="K55" s="118" t="s">
        <v>4658</v>
      </c>
      <c r="L55" s="118" t="s">
        <v>5258</v>
      </c>
      <c r="M55" s="120" t="s">
        <v>5259</v>
      </c>
      <c r="N55" s="115" t="s">
        <v>6399</v>
      </c>
      <c r="O55" s="115" t="s">
        <v>1803</v>
      </c>
      <c r="P55" s="113">
        <v>505</v>
      </c>
      <c r="Q55" s="113">
        <v>73</v>
      </c>
      <c r="R55" s="113">
        <v>67</v>
      </c>
      <c r="S55" s="113">
        <v>75</v>
      </c>
      <c r="T55" s="120">
        <v>81</v>
      </c>
      <c r="U55" s="113">
        <v>100</v>
      </c>
      <c r="V55" s="113">
        <v>109</v>
      </c>
      <c r="W55" s="129"/>
      <c r="X55" s="129"/>
      <c r="Y55" s="5"/>
      <c r="Z55" s="5"/>
      <c r="AA55" s="5"/>
      <c r="AB55" s="5"/>
      <c r="AC55" s="5"/>
      <c r="AD55" s="5"/>
      <c r="AE55" s="5"/>
      <c r="AH55" s="5"/>
    </row>
    <row r="56" spans="1:34" customFormat="1">
      <c r="A56" s="113">
        <v>39</v>
      </c>
      <c r="B56" s="113" t="s">
        <v>60</v>
      </c>
      <c r="C56" s="120" t="s">
        <v>5262</v>
      </c>
      <c r="D56" s="124">
        <v>0.25</v>
      </c>
      <c r="E56" s="124">
        <v>0.75</v>
      </c>
      <c r="F56" s="113" t="s">
        <v>56</v>
      </c>
      <c r="G56" s="113" t="s">
        <v>1973</v>
      </c>
      <c r="H56" s="113" t="s">
        <v>56</v>
      </c>
      <c r="I56" s="113" t="s">
        <v>36</v>
      </c>
      <c r="J56" s="118" t="s">
        <v>2129</v>
      </c>
      <c r="K56" s="118" t="s">
        <v>4658</v>
      </c>
      <c r="L56" s="118" t="s">
        <v>5435</v>
      </c>
      <c r="M56" s="115" t="s">
        <v>5435</v>
      </c>
      <c r="N56" s="115" t="s">
        <v>6398</v>
      </c>
      <c r="O56" s="115" t="s">
        <v>2128</v>
      </c>
      <c r="P56" s="113">
        <v>270</v>
      </c>
      <c r="Q56" s="113">
        <v>115</v>
      </c>
      <c r="R56" s="113">
        <v>45</v>
      </c>
      <c r="S56" s="113">
        <v>20</v>
      </c>
      <c r="T56" s="120">
        <v>45</v>
      </c>
      <c r="U56" s="113">
        <v>25</v>
      </c>
      <c r="V56" s="113">
        <v>20</v>
      </c>
      <c r="W56" s="129"/>
      <c r="X56" s="129"/>
      <c r="Y56" s="5"/>
      <c r="Z56" s="5"/>
      <c r="AA56" s="5"/>
      <c r="AB56" s="5"/>
      <c r="AC56" s="5"/>
      <c r="AD56" s="5"/>
      <c r="AE56" s="5"/>
    </row>
    <row r="57" spans="1:34" customFormat="1">
      <c r="A57" s="113">
        <v>40</v>
      </c>
      <c r="B57" s="113" t="s">
        <v>61</v>
      </c>
      <c r="C57" s="120" t="s">
        <v>5263</v>
      </c>
      <c r="D57" s="124">
        <v>0.25</v>
      </c>
      <c r="E57" s="124">
        <v>0.75</v>
      </c>
      <c r="F57" s="113" t="s">
        <v>56</v>
      </c>
      <c r="G57" s="113" t="s">
        <v>1973</v>
      </c>
      <c r="H57" s="113" t="s">
        <v>56</v>
      </c>
      <c r="I57" s="113" t="s">
        <v>36</v>
      </c>
      <c r="J57" s="118" t="s">
        <v>2129</v>
      </c>
      <c r="K57" s="118" t="s">
        <v>4658</v>
      </c>
      <c r="L57" s="118" t="s">
        <v>5435</v>
      </c>
      <c r="M57" s="115" t="s">
        <v>5262</v>
      </c>
      <c r="N57" s="115" t="s">
        <v>6399</v>
      </c>
      <c r="O57" s="115" t="s">
        <v>1803</v>
      </c>
      <c r="P57" s="113">
        <v>435</v>
      </c>
      <c r="Q57" s="113">
        <v>140</v>
      </c>
      <c r="R57" s="113">
        <v>70</v>
      </c>
      <c r="S57" s="113">
        <v>45</v>
      </c>
      <c r="T57" s="120">
        <v>85</v>
      </c>
      <c r="U57" s="113">
        <v>50</v>
      </c>
      <c r="V57" s="113">
        <v>45</v>
      </c>
      <c r="W57" s="129"/>
      <c r="X57" s="129"/>
      <c r="Y57" s="5"/>
      <c r="Z57" s="5"/>
      <c r="AA57" s="5"/>
      <c r="AB57" s="5"/>
      <c r="AC57" s="5"/>
      <c r="AD57" s="5"/>
      <c r="AE57" s="5"/>
    </row>
    <row r="58" spans="1:34" customFormat="1">
      <c r="A58" s="113">
        <v>41</v>
      </c>
      <c r="B58" s="113" t="s">
        <v>62</v>
      </c>
      <c r="C58" s="120" t="s">
        <v>5264</v>
      </c>
      <c r="D58" s="124">
        <v>0.5</v>
      </c>
      <c r="E58" s="124">
        <v>0.5</v>
      </c>
      <c r="F58" s="113" t="s">
        <v>22</v>
      </c>
      <c r="G58" s="113" t="s">
        <v>1973</v>
      </c>
      <c r="H58" s="113" t="s">
        <v>15</v>
      </c>
      <c r="I58" s="113" t="s">
        <v>22</v>
      </c>
      <c r="J58" s="118" t="s">
        <v>2129</v>
      </c>
      <c r="K58" s="118" t="s">
        <v>2712</v>
      </c>
      <c r="L58" s="118" t="s">
        <v>5264</v>
      </c>
      <c r="M58" s="115" t="s">
        <v>1109</v>
      </c>
      <c r="N58" s="115" t="s">
        <v>2129</v>
      </c>
      <c r="O58" s="115" t="s">
        <v>1109</v>
      </c>
      <c r="P58" s="113">
        <v>245</v>
      </c>
      <c r="Q58" s="113">
        <v>40</v>
      </c>
      <c r="R58" s="113">
        <v>45</v>
      </c>
      <c r="S58" s="113">
        <v>35</v>
      </c>
      <c r="T58" s="120">
        <v>30</v>
      </c>
      <c r="U58" s="113">
        <v>40</v>
      </c>
      <c r="V58" s="113">
        <v>55</v>
      </c>
      <c r="W58" s="129"/>
      <c r="X58" s="129"/>
      <c r="Y58" s="5"/>
      <c r="Z58" s="5"/>
      <c r="AA58" s="5"/>
      <c r="AB58" s="5"/>
      <c r="AC58" s="5"/>
      <c r="AD58" s="5"/>
      <c r="AE58" s="5"/>
    </row>
    <row r="59" spans="1:34" customFormat="1">
      <c r="A59" s="113">
        <v>42</v>
      </c>
      <c r="B59" s="113" t="s">
        <v>63</v>
      </c>
      <c r="C59" s="120" t="s">
        <v>5265</v>
      </c>
      <c r="D59" s="124">
        <v>0.5</v>
      </c>
      <c r="E59" s="124">
        <v>0.5</v>
      </c>
      <c r="F59" s="113" t="s">
        <v>22</v>
      </c>
      <c r="G59" s="113" t="s">
        <v>1973</v>
      </c>
      <c r="H59" s="113" t="s">
        <v>15</v>
      </c>
      <c r="I59" s="113" t="s">
        <v>22</v>
      </c>
      <c r="J59" s="118" t="s">
        <v>2129</v>
      </c>
      <c r="K59" s="118" t="s">
        <v>2712</v>
      </c>
      <c r="L59" s="118" t="s">
        <v>5264</v>
      </c>
      <c r="M59" s="115" t="s">
        <v>5264</v>
      </c>
      <c r="N59" s="115" t="s">
        <v>6398</v>
      </c>
      <c r="O59" s="115" t="s">
        <v>2128</v>
      </c>
      <c r="P59" s="113">
        <v>455</v>
      </c>
      <c r="Q59" s="113">
        <v>75</v>
      </c>
      <c r="R59" s="113">
        <v>80</v>
      </c>
      <c r="S59" s="113">
        <v>70</v>
      </c>
      <c r="T59" s="120">
        <v>65</v>
      </c>
      <c r="U59" s="113">
        <v>75</v>
      </c>
      <c r="V59" s="113">
        <v>90</v>
      </c>
      <c r="W59" s="129"/>
      <c r="X59" s="129"/>
      <c r="Y59" s="5"/>
      <c r="Z59" s="5"/>
      <c r="AA59" s="5"/>
      <c r="AB59" s="5"/>
      <c r="AC59" s="5"/>
      <c r="AD59" s="5"/>
      <c r="AE59" s="5"/>
    </row>
    <row r="60" spans="1:34">
      <c r="A60" s="113">
        <v>43</v>
      </c>
      <c r="B60" s="113" t="s">
        <v>64</v>
      </c>
      <c r="C60" s="120" t="s">
        <v>5266</v>
      </c>
      <c r="D60" s="124">
        <v>0.5</v>
      </c>
      <c r="E60" s="124">
        <v>0.5</v>
      </c>
      <c r="F60" s="113" t="s">
        <v>14</v>
      </c>
      <c r="G60" s="113" t="s">
        <v>1973</v>
      </c>
      <c r="H60" s="113" t="s">
        <v>14</v>
      </c>
      <c r="I60" s="113" t="s">
        <v>15</v>
      </c>
      <c r="J60" s="118" t="s">
        <v>2129</v>
      </c>
      <c r="K60" s="118" t="s">
        <v>2712</v>
      </c>
      <c r="L60" s="118" t="s">
        <v>5266</v>
      </c>
      <c r="M60" s="115" t="s">
        <v>1109</v>
      </c>
      <c r="N60" s="115" t="s">
        <v>2129</v>
      </c>
      <c r="O60" s="115" t="s">
        <v>1109</v>
      </c>
      <c r="P60" s="113">
        <v>320</v>
      </c>
      <c r="Q60" s="113">
        <v>45</v>
      </c>
      <c r="R60" s="113">
        <v>50</v>
      </c>
      <c r="S60" s="113">
        <v>55</v>
      </c>
      <c r="T60" s="120">
        <v>75</v>
      </c>
      <c r="U60" s="113">
        <v>65</v>
      </c>
      <c r="V60" s="113">
        <v>30</v>
      </c>
      <c r="W60" s="129"/>
      <c r="X60" s="129"/>
      <c r="AF60"/>
      <c r="AG60"/>
    </row>
    <row r="61" spans="1:34" customFormat="1">
      <c r="A61" s="113">
        <v>44</v>
      </c>
      <c r="B61" s="113" t="s">
        <v>65</v>
      </c>
      <c r="C61" s="120" t="s">
        <v>5267</v>
      </c>
      <c r="D61" s="124">
        <v>0.5</v>
      </c>
      <c r="E61" s="124">
        <v>0.5</v>
      </c>
      <c r="F61" s="113" t="s">
        <v>14</v>
      </c>
      <c r="G61" s="113" t="s">
        <v>1973</v>
      </c>
      <c r="H61" s="113" t="s">
        <v>14</v>
      </c>
      <c r="I61" s="113" t="s">
        <v>15</v>
      </c>
      <c r="J61" s="118" t="s">
        <v>2129</v>
      </c>
      <c r="K61" s="118" t="s">
        <v>2712</v>
      </c>
      <c r="L61" s="118" t="s">
        <v>5266</v>
      </c>
      <c r="M61" s="115" t="s">
        <v>5266</v>
      </c>
      <c r="N61" s="115" t="s">
        <v>6398</v>
      </c>
      <c r="O61" s="115" t="s">
        <v>2128</v>
      </c>
      <c r="P61" s="113">
        <v>395</v>
      </c>
      <c r="Q61" s="113">
        <v>60</v>
      </c>
      <c r="R61" s="113">
        <v>65</v>
      </c>
      <c r="S61" s="113">
        <v>70</v>
      </c>
      <c r="T61" s="120">
        <v>85</v>
      </c>
      <c r="U61" s="113">
        <v>75</v>
      </c>
      <c r="V61" s="113">
        <v>40</v>
      </c>
      <c r="W61" s="129"/>
      <c r="X61" s="129"/>
      <c r="Y61" s="5"/>
      <c r="Z61" s="5"/>
      <c r="AA61" s="5"/>
      <c r="AB61" s="5"/>
      <c r="AC61" s="5"/>
      <c r="AD61" s="5"/>
      <c r="AE61" s="5"/>
    </row>
    <row r="62" spans="1:34" customFormat="1">
      <c r="A62" s="113">
        <v>45</v>
      </c>
      <c r="B62" s="113" t="s">
        <v>66</v>
      </c>
      <c r="C62" s="120" t="s">
        <v>5268</v>
      </c>
      <c r="D62" s="124">
        <v>0.5</v>
      </c>
      <c r="E62" s="124">
        <v>0.5</v>
      </c>
      <c r="F62" s="113" t="s">
        <v>14</v>
      </c>
      <c r="G62" s="113" t="s">
        <v>1973</v>
      </c>
      <c r="H62" s="113" t="s">
        <v>14</v>
      </c>
      <c r="I62" s="113" t="s">
        <v>15</v>
      </c>
      <c r="J62" s="118" t="s">
        <v>2129</v>
      </c>
      <c r="K62" s="118" t="s">
        <v>2712</v>
      </c>
      <c r="L62" s="118" t="s">
        <v>5266</v>
      </c>
      <c r="M62" s="115" t="s">
        <v>5267</v>
      </c>
      <c r="N62" s="115" t="s">
        <v>6399</v>
      </c>
      <c r="O62" s="115" t="s">
        <v>1803</v>
      </c>
      <c r="P62" s="113">
        <v>490</v>
      </c>
      <c r="Q62" s="113">
        <v>75</v>
      </c>
      <c r="R62" s="113">
        <v>80</v>
      </c>
      <c r="S62" s="113">
        <v>85</v>
      </c>
      <c r="T62" s="120">
        <v>110</v>
      </c>
      <c r="U62" s="113">
        <v>90</v>
      </c>
      <c r="V62" s="113">
        <v>50</v>
      </c>
      <c r="W62" s="129"/>
      <c r="X62" s="129"/>
      <c r="Y62" s="5"/>
      <c r="Z62" s="5"/>
      <c r="AA62" s="5"/>
      <c r="AB62" s="5"/>
      <c r="AC62" s="5"/>
      <c r="AD62" s="5"/>
      <c r="AE62" s="5"/>
    </row>
    <row r="63" spans="1:34" customFormat="1">
      <c r="A63" s="113">
        <v>46</v>
      </c>
      <c r="B63" s="113" t="s">
        <v>67</v>
      </c>
      <c r="C63" s="120" t="s">
        <v>5269</v>
      </c>
      <c r="D63" s="124">
        <v>0.5</v>
      </c>
      <c r="E63" s="124">
        <v>0.5</v>
      </c>
      <c r="F63" s="113" t="s">
        <v>29</v>
      </c>
      <c r="G63" s="113" t="s">
        <v>1973</v>
      </c>
      <c r="H63" s="113" t="s">
        <v>29</v>
      </c>
      <c r="I63" s="113" t="s">
        <v>14</v>
      </c>
      <c r="J63" s="118" t="s">
        <v>2129</v>
      </c>
      <c r="K63" s="118" t="s">
        <v>2712</v>
      </c>
      <c r="L63" s="118" t="s">
        <v>5269</v>
      </c>
      <c r="M63" s="115" t="s">
        <v>1109</v>
      </c>
      <c r="N63" s="115" t="s">
        <v>2129</v>
      </c>
      <c r="O63" s="115" t="s">
        <v>1109</v>
      </c>
      <c r="P63" s="113">
        <v>285</v>
      </c>
      <c r="Q63" s="113">
        <v>35</v>
      </c>
      <c r="R63" s="113">
        <v>70</v>
      </c>
      <c r="S63" s="113">
        <v>55</v>
      </c>
      <c r="T63" s="120">
        <v>45</v>
      </c>
      <c r="U63" s="113">
        <v>55</v>
      </c>
      <c r="V63" s="113">
        <v>25</v>
      </c>
      <c r="W63" s="129"/>
      <c r="X63" s="129"/>
      <c r="Y63" s="5"/>
      <c r="Z63" s="5"/>
      <c r="AA63" s="5"/>
      <c r="AB63" s="5"/>
      <c r="AC63" s="5"/>
      <c r="AD63" s="5"/>
      <c r="AE63" s="5"/>
    </row>
    <row r="64" spans="1:34" customFormat="1">
      <c r="A64" s="113">
        <v>47</v>
      </c>
      <c r="B64" s="113" t="s">
        <v>68</v>
      </c>
      <c r="C64" s="120" t="s">
        <v>5270</v>
      </c>
      <c r="D64" s="124">
        <v>0.5</v>
      </c>
      <c r="E64" s="124">
        <v>0.5</v>
      </c>
      <c r="F64" s="113" t="s">
        <v>29</v>
      </c>
      <c r="G64" s="113" t="s">
        <v>1973</v>
      </c>
      <c r="H64" s="113" t="s">
        <v>29</v>
      </c>
      <c r="I64" s="113" t="s">
        <v>14</v>
      </c>
      <c r="J64" s="118" t="s">
        <v>2129</v>
      </c>
      <c r="K64" s="118" t="s">
        <v>2712</v>
      </c>
      <c r="L64" s="118" t="s">
        <v>5269</v>
      </c>
      <c r="M64" s="115" t="s">
        <v>5269</v>
      </c>
      <c r="N64" s="115" t="s">
        <v>6399</v>
      </c>
      <c r="O64" s="115" t="s">
        <v>2128</v>
      </c>
      <c r="P64" s="113">
        <v>405</v>
      </c>
      <c r="Q64" s="113">
        <v>60</v>
      </c>
      <c r="R64" s="113">
        <v>95</v>
      </c>
      <c r="S64" s="113">
        <v>80</v>
      </c>
      <c r="T64" s="120">
        <v>60</v>
      </c>
      <c r="U64" s="113">
        <v>80</v>
      </c>
      <c r="V64" s="113">
        <v>30</v>
      </c>
      <c r="W64" s="129"/>
      <c r="X64" s="129"/>
      <c r="Y64" s="5"/>
      <c r="Z64" s="5"/>
      <c r="AA64" s="5"/>
      <c r="AB64" s="5"/>
      <c r="AC64" s="5"/>
      <c r="AD64" s="5"/>
      <c r="AE64" s="5"/>
    </row>
    <row r="65" spans="1:34" customFormat="1">
      <c r="A65" s="113">
        <v>48</v>
      </c>
      <c r="B65" s="113" t="s">
        <v>69</v>
      </c>
      <c r="C65" s="120" t="s">
        <v>5271</v>
      </c>
      <c r="D65" s="124">
        <v>0.5</v>
      </c>
      <c r="E65" s="124">
        <v>0.5</v>
      </c>
      <c r="F65" s="113" t="s">
        <v>29</v>
      </c>
      <c r="G65" s="113" t="s">
        <v>1973</v>
      </c>
      <c r="H65" s="113" t="s">
        <v>29</v>
      </c>
      <c r="I65" s="113" t="s">
        <v>15</v>
      </c>
      <c r="J65" s="118" t="s">
        <v>2129</v>
      </c>
      <c r="K65" s="137" t="s">
        <v>2712</v>
      </c>
      <c r="L65" s="118" t="s">
        <v>5271</v>
      </c>
      <c r="M65" s="115" t="s">
        <v>1109</v>
      </c>
      <c r="N65" s="115" t="s">
        <v>2129</v>
      </c>
      <c r="O65" s="115" t="s">
        <v>1109</v>
      </c>
      <c r="P65" s="113">
        <v>305</v>
      </c>
      <c r="Q65" s="113">
        <v>60</v>
      </c>
      <c r="R65" s="113">
        <v>55</v>
      </c>
      <c r="S65" s="113">
        <v>50</v>
      </c>
      <c r="T65" s="120">
        <v>40</v>
      </c>
      <c r="U65" s="113">
        <v>55</v>
      </c>
      <c r="V65" s="113">
        <v>45</v>
      </c>
      <c r="W65" s="129"/>
      <c r="X65" s="129"/>
      <c r="Y65" s="5"/>
      <c r="Z65" s="5"/>
      <c r="AA65" s="5"/>
      <c r="AB65" s="5"/>
      <c r="AC65" s="5"/>
      <c r="AD65" s="5"/>
      <c r="AE65" s="5"/>
    </row>
    <row r="66" spans="1:34" customFormat="1">
      <c r="A66" s="113">
        <v>49</v>
      </c>
      <c r="B66" s="113" t="s">
        <v>70</v>
      </c>
      <c r="C66" s="120" t="s">
        <v>5272</v>
      </c>
      <c r="D66" s="124">
        <v>0.5</v>
      </c>
      <c r="E66" s="124">
        <v>0.5</v>
      </c>
      <c r="F66" s="113" t="s">
        <v>29</v>
      </c>
      <c r="G66" s="113" t="s">
        <v>1973</v>
      </c>
      <c r="H66" s="113" t="s">
        <v>29</v>
      </c>
      <c r="I66" s="113" t="s">
        <v>15</v>
      </c>
      <c r="J66" s="118" t="s">
        <v>2129</v>
      </c>
      <c r="K66" s="137" t="s">
        <v>2712</v>
      </c>
      <c r="L66" s="118" t="s">
        <v>5271</v>
      </c>
      <c r="M66" s="115" t="s">
        <v>5271</v>
      </c>
      <c r="N66" s="115" t="s">
        <v>6399</v>
      </c>
      <c r="O66" s="115" t="s">
        <v>2128</v>
      </c>
      <c r="P66" s="113">
        <v>450</v>
      </c>
      <c r="Q66" s="113">
        <v>70</v>
      </c>
      <c r="R66" s="113">
        <v>65</v>
      </c>
      <c r="S66" s="113">
        <v>60</v>
      </c>
      <c r="T66" s="120">
        <v>90</v>
      </c>
      <c r="U66" s="113">
        <v>75</v>
      </c>
      <c r="V66" s="113">
        <v>90</v>
      </c>
      <c r="W66" s="129"/>
      <c r="X66" s="129"/>
      <c r="Y66" s="5"/>
      <c r="Z66" s="5"/>
      <c r="AA66" s="5"/>
      <c r="AB66" s="5"/>
      <c r="AC66" s="5"/>
      <c r="AD66" s="5"/>
      <c r="AE66" s="5"/>
    </row>
    <row r="67" spans="1:34" customFormat="1">
      <c r="A67" s="113">
        <v>50</v>
      </c>
      <c r="B67" s="113" t="s">
        <v>71</v>
      </c>
      <c r="C67" s="120" t="s">
        <v>5273</v>
      </c>
      <c r="D67" s="124">
        <v>0.5</v>
      </c>
      <c r="E67" s="124">
        <v>0.5</v>
      </c>
      <c r="F67" s="113" t="s">
        <v>2332</v>
      </c>
      <c r="G67" s="113" t="s">
        <v>1973</v>
      </c>
      <c r="H67" s="113" t="s">
        <v>49</v>
      </c>
      <c r="I67" s="113" t="s">
        <v>1109</v>
      </c>
      <c r="J67" s="118" t="s">
        <v>2129</v>
      </c>
      <c r="K67" s="118" t="s">
        <v>4658</v>
      </c>
      <c r="L67" s="118" t="s">
        <v>5273</v>
      </c>
      <c r="M67" s="115" t="s">
        <v>1109</v>
      </c>
      <c r="N67" s="115" t="s">
        <v>2129</v>
      </c>
      <c r="O67" s="115" t="s">
        <v>1109</v>
      </c>
      <c r="P67" s="113">
        <v>265</v>
      </c>
      <c r="Q67" s="113">
        <v>10</v>
      </c>
      <c r="R67" s="113">
        <v>55</v>
      </c>
      <c r="S67" s="113">
        <v>25</v>
      </c>
      <c r="T67" s="120">
        <v>35</v>
      </c>
      <c r="U67" s="113">
        <v>45</v>
      </c>
      <c r="V67" s="113">
        <v>95</v>
      </c>
      <c r="W67" s="129"/>
      <c r="X67" s="129"/>
      <c r="Y67" s="5"/>
      <c r="Z67" s="5"/>
      <c r="AA67" s="5"/>
      <c r="AB67" s="5"/>
      <c r="AC67" s="5"/>
      <c r="AD67" s="5"/>
      <c r="AE67" s="5"/>
    </row>
    <row r="68" spans="1:34" customFormat="1">
      <c r="A68" s="113">
        <v>50</v>
      </c>
      <c r="B68" s="113" t="s">
        <v>6435</v>
      </c>
      <c r="C68" s="120" t="s">
        <v>5274</v>
      </c>
      <c r="D68" s="124">
        <v>0.5</v>
      </c>
      <c r="E68" s="124">
        <v>0.5</v>
      </c>
      <c r="F68" s="113" t="s">
        <v>2332</v>
      </c>
      <c r="G68" s="113" t="s">
        <v>2702</v>
      </c>
      <c r="H68" s="113" t="s">
        <v>49</v>
      </c>
      <c r="I68" s="113" t="s">
        <v>106</v>
      </c>
      <c r="J68" s="118" t="s">
        <v>2129</v>
      </c>
      <c r="K68" s="118" t="s">
        <v>4658</v>
      </c>
      <c r="L68" s="118" t="s">
        <v>5273</v>
      </c>
      <c r="M68" s="115" t="s">
        <v>1109</v>
      </c>
      <c r="N68" s="115" t="s">
        <v>2129</v>
      </c>
      <c r="O68" s="115" t="s">
        <v>1109</v>
      </c>
      <c r="P68" s="113">
        <v>265</v>
      </c>
      <c r="Q68" s="113">
        <v>10</v>
      </c>
      <c r="R68" s="113">
        <v>55</v>
      </c>
      <c r="S68" s="113">
        <v>30</v>
      </c>
      <c r="T68" s="120">
        <v>35</v>
      </c>
      <c r="U68" s="113">
        <v>45</v>
      </c>
      <c r="V68" s="113">
        <v>90</v>
      </c>
      <c r="W68" s="129"/>
      <c r="X68" s="129"/>
      <c r="Y68" s="5"/>
      <c r="Z68" s="5"/>
      <c r="AA68" s="5"/>
      <c r="AB68" s="5"/>
      <c r="AC68" s="5"/>
      <c r="AD68" s="5"/>
      <c r="AE68" s="5"/>
    </row>
    <row r="69" spans="1:34" customFormat="1">
      <c r="A69" s="113">
        <v>51</v>
      </c>
      <c r="B69" s="113" t="s">
        <v>72</v>
      </c>
      <c r="C69" s="120" t="s">
        <v>5275</v>
      </c>
      <c r="D69" s="124">
        <v>0.5</v>
      </c>
      <c r="E69" s="124">
        <v>0.5</v>
      </c>
      <c r="F69" s="113" t="s">
        <v>2332</v>
      </c>
      <c r="G69" s="113" t="s">
        <v>1973</v>
      </c>
      <c r="H69" s="113" t="s">
        <v>49</v>
      </c>
      <c r="I69" s="113" t="s">
        <v>1109</v>
      </c>
      <c r="J69" s="118" t="s">
        <v>2129</v>
      </c>
      <c r="K69" s="118" t="s">
        <v>4658</v>
      </c>
      <c r="L69" s="118" t="s">
        <v>5273</v>
      </c>
      <c r="M69" s="115" t="s">
        <v>5273</v>
      </c>
      <c r="N69" s="115" t="s">
        <v>6399</v>
      </c>
      <c r="O69" s="115" t="s">
        <v>2128</v>
      </c>
      <c r="P69" s="113">
        <v>425</v>
      </c>
      <c r="Q69" s="113">
        <v>35</v>
      </c>
      <c r="R69" s="113">
        <v>100</v>
      </c>
      <c r="S69" s="113">
        <v>50</v>
      </c>
      <c r="T69" s="120">
        <v>50</v>
      </c>
      <c r="U69" s="113">
        <v>70</v>
      </c>
      <c r="V69" s="113">
        <v>120</v>
      </c>
      <c r="W69" s="129"/>
      <c r="X69" s="129"/>
      <c r="Y69" s="5"/>
      <c r="Z69" s="5"/>
      <c r="AA69" s="5"/>
      <c r="AB69" s="5"/>
      <c r="AC69" s="5"/>
      <c r="AD69" s="5"/>
      <c r="AE69" s="5"/>
    </row>
    <row r="70" spans="1:34" customFormat="1">
      <c r="A70" s="113">
        <v>51</v>
      </c>
      <c r="B70" s="113" t="s">
        <v>6427</v>
      </c>
      <c r="C70" s="120" t="s">
        <v>5276</v>
      </c>
      <c r="D70" s="124">
        <v>0.5</v>
      </c>
      <c r="E70" s="124">
        <v>0.5</v>
      </c>
      <c r="F70" s="113" t="s">
        <v>2332</v>
      </c>
      <c r="G70" s="113" t="s">
        <v>2702</v>
      </c>
      <c r="H70" s="113" t="s">
        <v>49</v>
      </c>
      <c r="I70" s="113" t="s">
        <v>106</v>
      </c>
      <c r="J70" s="118" t="s">
        <v>2129</v>
      </c>
      <c r="K70" s="118" t="s">
        <v>4658</v>
      </c>
      <c r="L70" s="118" t="s">
        <v>5273</v>
      </c>
      <c r="M70" s="120" t="s">
        <v>5274</v>
      </c>
      <c r="N70" s="115" t="s">
        <v>6399</v>
      </c>
      <c r="O70" s="115" t="s">
        <v>2128</v>
      </c>
      <c r="P70" s="113">
        <v>425</v>
      </c>
      <c r="Q70" s="113">
        <v>35</v>
      </c>
      <c r="R70" s="113">
        <v>100</v>
      </c>
      <c r="S70" s="113">
        <v>60</v>
      </c>
      <c r="T70" s="120">
        <v>50</v>
      </c>
      <c r="U70" s="113">
        <v>70</v>
      </c>
      <c r="V70" s="113">
        <v>110</v>
      </c>
      <c r="W70" s="129"/>
      <c r="X70" s="129"/>
      <c r="Y70" s="5"/>
      <c r="Z70" s="5"/>
      <c r="AA70" s="5"/>
      <c r="AB70" s="5"/>
      <c r="AC70" s="5"/>
      <c r="AD70" s="5"/>
      <c r="AE70" s="5"/>
      <c r="AH70" s="5"/>
    </row>
    <row r="71" spans="1:34" customFormat="1">
      <c r="A71" s="113">
        <v>52</v>
      </c>
      <c r="B71" s="113" t="s">
        <v>73</v>
      </c>
      <c r="C71" s="120" t="s">
        <v>5277</v>
      </c>
      <c r="D71" s="124">
        <v>0.5</v>
      </c>
      <c r="E71" s="124">
        <v>0.5</v>
      </c>
      <c r="F71" s="113" t="s">
        <v>2332</v>
      </c>
      <c r="G71" s="113" t="s">
        <v>1973</v>
      </c>
      <c r="H71" s="113" t="s">
        <v>36</v>
      </c>
      <c r="I71" s="113" t="s">
        <v>1109</v>
      </c>
      <c r="J71" s="118" t="s">
        <v>2129</v>
      </c>
      <c r="K71" s="118" t="s">
        <v>2712</v>
      </c>
      <c r="L71" s="118" t="s">
        <v>5277</v>
      </c>
      <c r="M71" s="115" t="s">
        <v>1109</v>
      </c>
      <c r="N71" s="115" t="s">
        <v>2129</v>
      </c>
      <c r="O71" s="115" t="s">
        <v>1109</v>
      </c>
      <c r="P71" s="113">
        <v>290</v>
      </c>
      <c r="Q71" s="113">
        <v>40</v>
      </c>
      <c r="R71" s="113">
        <v>45</v>
      </c>
      <c r="S71" s="113">
        <v>35</v>
      </c>
      <c r="T71" s="120">
        <v>40</v>
      </c>
      <c r="U71" s="113">
        <v>40</v>
      </c>
      <c r="V71" s="113">
        <v>90</v>
      </c>
      <c r="W71" s="129"/>
      <c r="X71" s="129"/>
      <c r="Y71" s="5"/>
      <c r="Z71" s="5"/>
      <c r="AA71" s="5"/>
      <c r="AB71" s="5"/>
      <c r="AC71" s="5"/>
      <c r="AD71" s="5"/>
      <c r="AE71" s="5"/>
    </row>
    <row r="72" spans="1:34" customFormat="1">
      <c r="A72" s="113">
        <v>52</v>
      </c>
      <c r="B72" s="113" t="s">
        <v>6451</v>
      </c>
      <c r="C72" s="120" t="s">
        <v>5279</v>
      </c>
      <c r="D72" s="124">
        <v>0.5</v>
      </c>
      <c r="E72" s="124">
        <v>0.5</v>
      </c>
      <c r="F72" s="113" t="s">
        <v>2332</v>
      </c>
      <c r="G72" s="113" t="s">
        <v>2703</v>
      </c>
      <c r="H72" s="113" t="s">
        <v>106</v>
      </c>
      <c r="I72" s="113" t="s">
        <v>1109</v>
      </c>
      <c r="J72" s="118" t="s">
        <v>2129</v>
      </c>
      <c r="K72" s="118" t="s">
        <v>2712</v>
      </c>
      <c r="L72" s="118" t="s">
        <v>5277</v>
      </c>
      <c r="M72" s="115" t="s">
        <v>1109</v>
      </c>
      <c r="N72" s="115" t="s">
        <v>2129</v>
      </c>
      <c r="O72" s="115" t="s">
        <v>1109</v>
      </c>
      <c r="P72" s="113">
        <v>290</v>
      </c>
      <c r="Q72" s="113">
        <v>50</v>
      </c>
      <c r="R72" s="113">
        <v>65</v>
      </c>
      <c r="S72" s="113">
        <v>55</v>
      </c>
      <c r="T72" s="120">
        <v>40</v>
      </c>
      <c r="U72" s="113">
        <v>40</v>
      </c>
      <c r="V72" s="113">
        <v>40</v>
      </c>
      <c r="W72" s="129"/>
      <c r="X72" s="129"/>
      <c r="Y72" s="5"/>
      <c r="Z72" s="5"/>
      <c r="AA72" s="5"/>
      <c r="AB72" s="5"/>
      <c r="AC72" s="5"/>
      <c r="AD72" s="5"/>
      <c r="AE72" s="5"/>
    </row>
    <row r="73" spans="1:34" customFormat="1">
      <c r="A73" s="113">
        <v>52</v>
      </c>
      <c r="B73" s="113" t="s">
        <v>6436</v>
      </c>
      <c r="C73" s="120" t="s">
        <v>5278</v>
      </c>
      <c r="D73" s="124">
        <v>0.5</v>
      </c>
      <c r="E73" s="124">
        <v>0.5</v>
      </c>
      <c r="F73" s="113" t="s">
        <v>2332</v>
      </c>
      <c r="G73" s="113" t="s">
        <v>2702</v>
      </c>
      <c r="H73" s="113" t="s">
        <v>158</v>
      </c>
      <c r="I73" s="113" t="s">
        <v>1109</v>
      </c>
      <c r="J73" s="118" t="s">
        <v>2129</v>
      </c>
      <c r="K73" s="118" t="s">
        <v>2712</v>
      </c>
      <c r="L73" s="118" t="s">
        <v>5277</v>
      </c>
      <c r="M73" s="115" t="s">
        <v>1109</v>
      </c>
      <c r="N73" s="115" t="s">
        <v>2129</v>
      </c>
      <c r="O73" s="115" t="s">
        <v>1109</v>
      </c>
      <c r="P73" s="113">
        <v>290</v>
      </c>
      <c r="Q73" s="113">
        <v>40</v>
      </c>
      <c r="R73" s="113">
        <v>35</v>
      </c>
      <c r="S73" s="113">
        <v>35</v>
      </c>
      <c r="T73" s="120">
        <v>50</v>
      </c>
      <c r="U73" s="113">
        <v>40</v>
      </c>
      <c r="V73" s="113">
        <v>90</v>
      </c>
      <c r="W73" s="129"/>
      <c r="X73" s="129"/>
      <c r="Y73" s="5"/>
      <c r="Z73" s="5"/>
      <c r="AA73" s="5"/>
      <c r="AB73" s="5"/>
      <c r="AC73" s="5"/>
      <c r="AD73" s="5"/>
      <c r="AE73" s="5"/>
      <c r="AH73" s="5"/>
    </row>
    <row r="74" spans="1:34" customFormat="1">
      <c r="A74" s="113">
        <v>52</v>
      </c>
      <c r="B74" s="113" t="s">
        <v>6487</v>
      </c>
      <c r="C74" s="120" t="s">
        <v>5278</v>
      </c>
      <c r="D74" s="124">
        <v>0.5</v>
      </c>
      <c r="E74" s="124">
        <v>0.5</v>
      </c>
      <c r="F74" s="113" t="s">
        <v>2332</v>
      </c>
      <c r="G74" s="113" t="s">
        <v>2702</v>
      </c>
      <c r="H74" s="113" t="s">
        <v>158</v>
      </c>
      <c r="I74" s="113" t="s">
        <v>1109</v>
      </c>
      <c r="J74" s="118" t="s">
        <v>2129</v>
      </c>
      <c r="K74" s="118" t="s">
        <v>2712</v>
      </c>
      <c r="L74" s="118" t="s">
        <v>5277</v>
      </c>
      <c r="M74" s="115" t="s">
        <v>1109</v>
      </c>
      <c r="N74" s="115" t="s">
        <v>2129</v>
      </c>
      <c r="O74" s="115" t="s">
        <v>1109</v>
      </c>
      <c r="P74" s="113">
        <v>290</v>
      </c>
      <c r="Q74" s="113">
        <v>40</v>
      </c>
      <c r="R74" s="113">
        <v>35</v>
      </c>
      <c r="S74" s="113">
        <v>35</v>
      </c>
      <c r="T74" s="120">
        <v>50</v>
      </c>
      <c r="U74" s="113">
        <v>40</v>
      </c>
      <c r="V74" s="113">
        <v>90</v>
      </c>
      <c r="W74" s="129"/>
      <c r="X74" s="129"/>
      <c r="Y74" s="5"/>
      <c r="Z74" s="5"/>
      <c r="AA74" s="5"/>
      <c r="AB74" s="5"/>
      <c r="AC74" s="5"/>
      <c r="AD74" s="5"/>
      <c r="AE74" s="5"/>
      <c r="AH74" s="5"/>
    </row>
    <row r="75" spans="1:34" customFormat="1">
      <c r="A75" s="113">
        <v>53</v>
      </c>
      <c r="B75" s="113" t="s">
        <v>74</v>
      </c>
      <c r="C75" s="120" t="s">
        <v>5280</v>
      </c>
      <c r="D75" s="124">
        <v>0.5</v>
      </c>
      <c r="E75" s="124">
        <v>0.5</v>
      </c>
      <c r="F75" s="113" t="s">
        <v>2332</v>
      </c>
      <c r="G75" s="113" t="s">
        <v>1973</v>
      </c>
      <c r="H75" s="113" t="s">
        <v>36</v>
      </c>
      <c r="I75" s="113" t="s">
        <v>1109</v>
      </c>
      <c r="J75" s="118" t="s">
        <v>2129</v>
      </c>
      <c r="K75" s="118" t="s">
        <v>2712</v>
      </c>
      <c r="L75" s="118" t="s">
        <v>5277</v>
      </c>
      <c r="M75" s="115" t="s">
        <v>5277</v>
      </c>
      <c r="N75" s="115" t="s">
        <v>6399</v>
      </c>
      <c r="O75" s="115" t="s">
        <v>2128</v>
      </c>
      <c r="P75" s="113">
        <v>440</v>
      </c>
      <c r="Q75" s="113">
        <v>65</v>
      </c>
      <c r="R75" s="113">
        <v>70</v>
      </c>
      <c r="S75" s="113">
        <v>60</v>
      </c>
      <c r="T75" s="120">
        <v>65</v>
      </c>
      <c r="U75" s="113">
        <v>65</v>
      </c>
      <c r="V75" s="113">
        <v>115</v>
      </c>
      <c r="W75" s="129"/>
      <c r="X75" s="129"/>
      <c r="Y75" s="5"/>
      <c r="Z75" s="5"/>
      <c r="AA75" s="5"/>
      <c r="AB75" s="5"/>
      <c r="AC75" s="5"/>
      <c r="AD75" s="5"/>
      <c r="AE75" s="5"/>
    </row>
    <row r="76" spans="1:34" customFormat="1">
      <c r="A76" s="113">
        <v>53</v>
      </c>
      <c r="B76" s="113" t="s">
        <v>6424</v>
      </c>
      <c r="C76" s="120" t="s">
        <v>5281</v>
      </c>
      <c r="D76" s="124">
        <v>0.5</v>
      </c>
      <c r="E76" s="124">
        <v>0.5</v>
      </c>
      <c r="F76" s="113" t="s">
        <v>2332</v>
      </c>
      <c r="G76" s="113" t="s">
        <v>2702</v>
      </c>
      <c r="H76" s="113" t="s">
        <v>158</v>
      </c>
      <c r="I76" s="113" t="s">
        <v>1109</v>
      </c>
      <c r="J76" s="118" t="s">
        <v>2129</v>
      </c>
      <c r="K76" s="118" t="s">
        <v>2712</v>
      </c>
      <c r="L76" s="118" t="s">
        <v>5277</v>
      </c>
      <c r="M76" s="115" t="s">
        <v>5278</v>
      </c>
      <c r="N76" s="115" t="s">
        <v>6399</v>
      </c>
      <c r="O76" s="115" t="s">
        <v>2128</v>
      </c>
      <c r="P76" s="113">
        <v>440</v>
      </c>
      <c r="Q76" s="113">
        <v>65</v>
      </c>
      <c r="R76" s="113">
        <v>60</v>
      </c>
      <c r="S76" s="113">
        <v>60</v>
      </c>
      <c r="T76" s="120">
        <v>75</v>
      </c>
      <c r="U76" s="113">
        <v>65</v>
      </c>
      <c r="V76" s="113">
        <v>115</v>
      </c>
      <c r="W76" s="129"/>
      <c r="X76" s="129"/>
      <c r="Y76" s="5"/>
      <c r="Z76" s="5"/>
      <c r="AA76" s="5"/>
      <c r="AB76" s="5"/>
      <c r="AC76" s="5"/>
      <c r="AD76" s="5"/>
      <c r="AE76" s="5"/>
      <c r="AH76" s="5"/>
    </row>
    <row r="77" spans="1:34">
      <c r="A77" s="113">
        <v>54</v>
      </c>
      <c r="B77" s="113" t="s">
        <v>75</v>
      </c>
      <c r="C77" s="120" t="s">
        <v>5282</v>
      </c>
      <c r="D77" s="124">
        <v>0.5</v>
      </c>
      <c r="E77" s="124">
        <v>0.5</v>
      </c>
      <c r="F77" s="113" t="s">
        <v>2331</v>
      </c>
      <c r="G77" s="113" t="s">
        <v>1973</v>
      </c>
      <c r="H77" s="113" t="s">
        <v>25</v>
      </c>
      <c r="I77" s="113" t="s">
        <v>1109</v>
      </c>
      <c r="J77" s="118" t="s">
        <v>2129</v>
      </c>
      <c r="K77" s="118" t="s">
        <v>4658</v>
      </c>
      <c r="L77" s="118" t="s">
        <v>5282</v>
      </c>
      <c r="M77" s="115" t="s">
        <v>1109</v>
      </c>
      <c r="N77" s="115" t="s">
        <v>2129</v>
      </c>
      <c r="O77" s="115" t="s">
        <v>1109</v>
      </c>
      <c r="P77" s="113">
        <v>320</v>
      </c>
      <c r="Q77" s="113">
        <v>50</v>
      </c>
      <c r="R77" s="113">
        <v>52</v>
      </c>
      <c r="S77" s="113">
        <v>48</v>
      </c>
      <c r="T77" s="120">
        <v>65</v>
      </c>
      <c r="U77" s="113">
        <v>50</v>
      </c>
      <c r="V77" s="113">
        <v>55</v>
      </c>
      <c r="W77" s="129"/>
      <c r="X77" s="129"/>
      <c r="AF77"/>
      <c r="AG77"/>
    </row>
    <row r="78" spans="1:34" customFormat="1">
      <c r="A78" s="113">
        <v>55</v>
      </c>
      <c r="B78" s="113" t="s">
        <v>76</v>
      </c>
      <c r="C78" s="120" t="s">
        <v>5283</v>
      </c>
      <c r="D78" s="124">
        <v>0.5</v>
      </c>
      <c r="E78" s="124">
        <v>0.5</v>
      </c>
      <c r="F78" s="113" t="s">
        <v>2331</v>
      </c>
      <c r="G78" s="113" t="s">
        <v>1973</v>
      </c>
      <c r="H78" s="113" t="s">
        <v>25</v>
      </c>
      <c r="I78" s="113" t="s">
        <v>1109</v>
      </c>
      <c r="J78" s="118" t="s">
        <v>2129</v>
      </c>
      <c r="K78" s="118" t="s">
        <v>4658</v>
      </c>
      <c r="L78" s="118" t="s">
        <v>5282</v>
      </c>
      <c r="M78" s="115" t="s">
        <v>5282</v>
      </c>
      <c r="N78" s="115" t="s">
        <v>6399</v>
      </c>
      <c r="O78" s="115" t="s">
        <v>2128</v>
      </c>
      <c r="P78" s="113">
        <v>500</v>
      </c>
      <c r="Q78" s="113">
        <v>80</v>
      </c>
      <c r="R78" s="113">
        <v>82</v>
      </c>
      <c r="S78" s="113">
        <v>78</v>
      </c>
      <c r="T78" s="120">
        <v>95</v>
      </c>
      <c r="U78" s="113">
        <v>80</v>
      </c>
      <c r="V78" s="113">
        <v>85</v>
      </c>
      <c r="W78" s="129"/>
      <c r="X78" s="129"/>
      <c r="Y78" s="5"/>
      <c r="Z78" s="5"/>
      <c r="AA78" s="5"/>
      <c r="AB78" s="5"/>
      <c r="AC78" s="5"/>
      <c r="AD78" s="5"/>
      <c r="AE78" s="5"/>
    </row>
    <row r="79" spans="1:34" customFormat="1">
      <c r="A79" s="113">
        <v>56</v>
      </c>
      <c r="B79" s="113" t="s">
        <v>77</v>
      </c>
      <c r="C79" s="120" t="s">
        <v>5284</v>
      </c>
      <c r="D79" s="124">
        <v>0.5</v>
      </c>
      <c r="E79" s="124">
        <v>0.5</v>
      </c>
      <c r="F79" s="113" t="s">
        <v>2332</v>
      </c>
      <c r="G79" s="113" t="s">
        <v>1973</v>
      </c>
      <c r="H79" s="113" t="s">
        <v>78</v>
      </c>
      <c r="I79" s="113" t="s">
        <v>1109</v>
      </c>
      <c r="J79" s="118" t="s">
        <v>2129</v>
      </c>
      <c r="K79" s="118" t="s">
        <v>4658</v>
      </c>
      <c r="L79" s="118" t="s">
        <v>5284</v>
      </c>
      <c r="M79" s="115" t="s">
        <v>1109</v>
      </c>
      <c r="N79" s="115" t="s">
        <v>2129</v>
      </c>
      <c r="O79" s="115" t="s">
        <v>1109</v>
      </c>
      <c r="P79" s="113">
        <v>305</v>
      </c>
      <c r="Q79" s="113">
        <v>40</v>
      </c>
      <c r="R79" s="113">
        <v>80</v>
      </c>
      <c r="S79" s="113">
        <v>35</v>
      </c>
      <c r="T79" s="120">
        <v>35</v>
      </c>
      <c r="U79" s="113">
        <v>45</v>
      </c>
      <c r="V79" s="113">
        <v>70</v>
      </c>
      <c r="W79" s="129"/>
      <c r="X79" s="129"/>
      <c r="Y79" s="5"/>
      <c r="Z79" s="5"/>
      <c r="AA79" s="5"/>
      <c r="AB79" s="5"/>
      <c r="AC79" s="5"/>
      <c r="AD79" s="5"/>
      <c r="AE79" s="5"/>
    </row>
    <row r="80" spans="1:34" customFormat="1">
      <c r="A80" s="113">
        <v>57</v>
      </c>
      <c r="B80" s="113" t="s">
        <v>79</v>
      </c>
      <c r="C80" s="120" t="s">
        <v>5285</v>
      </c>
      <c r="D80" s="124">
        <v>0.5</v>
      </c>
      <c r="E80" s="124">
        <v>0.5</v>
      </c>
      <c r="F80" s="113" t="s">
        <v>2332</v>
      </c>
      <c r="G80" s="113" t="s">
        <v>1973</v>
      </c>
      <c r="H80" s="113" t="s">
        <v>78</v>
      </c>
      <c r="I80" s="113" t="s">
        <v>1109</v>
      </c>
      <c r="J80" s="118" t="s">
        <v>2129</v>
      </c>
      <c r="K80" s="118" t="s">
        <v>4658</v>
      </c>
      <c r="L80" s="118" t="s">
        <v>5284</v>
      </c>
      <c r="M80" s="115" t="s">
        <v>5284</v>
      </c>
      <c r="N80" s="115" t="s">
        <v>6399</v>
      </c>
      <c r="O80" s="115" t="s">
        <v>2128</v>
      </c>
      <c r="P80" s="113">
        <v>455</v>
      </c>
      <c r="Q80" s="113">
        <v>65</v>
      </c>
      <c r="R80" s="113">
        <v>105</v>
      </c>
      <c r="S80" s="113">
        <v>60</v>
      </c>
      <c r="T80" s="120">
        <v>60</v>
      </c>
      <c r="U80" s="113">
        <v>70</v>
      </c>
      <c r="V80" s="113">
        <v>95</v>
      </c>
      <c r="W80" s="129"/>
      <c r="X80" s="129"/>
      <c r="Y80" s="5"/>
      <c r="Z80" s="5"/>
      <c r="AA80" s="5"/>
      <c r="AB80" s="5"/>
      <c r="AC80" s="5"/>
      <c r="AD80" s="5"/>
      <c r="AE80" s="5"/>
    </row>
    <row r="81" spans="1:34" customFormat="1">
      <c r="A81" s="113">
        <v>58</v>
      </c>
      <c r="B81" s="113" t="s">
        <v>80</v>
      </c>
      <c r="C81" s="120" t="s">
        <v>5286</v>
      </c>
      <c r="D81" s="124">
        <v>0.75</v>
      </c>
      <c r="E81" s="124">
        <v>0.25</v>
      </c>
      <c r="F81" s="113" t="s">
        <v>2332</v>
      </c>
      <c r="G81" s="113" t="s">
        <v>1973</v>
      </c>
      <c r="H81" s="113" t="s">
        <v>19</v>
      </c>
      <c r="I81" s="113" t="s">
        <v>1109</v>
      </c>
      <c r="J81" s="118" t="s">
        <v>2129</v>
      </c>
      <c r="K81" s="118" t="s">
        <v>4658</v>
      </c>
      <c r="L81" s="118" t="s">
        <v>5286</v>
      </c>
      <c r="M81" s="115" t="s">
        <v>1109</v>
      </c>
      <c r="N81" s="115" t="s">
        <v>2129</v>
      </c>
      <c r="O81" s="115" t="s">
        <v>1109</v>
      </c>
      <c r="P81" s="113">
        <v>350</v>
      </c>
      <c r="Q81" s="113">
        <v>55</v>
      </c>
      <c r="R81" s="113">
        <v>70</v>
      </c>
      <c r="S81" s="113">
        <v>45</v>
      </c>
      <c r="T81" s="120">
        <v>70</v>
      </c>
      <c r="U81" s="113">
        <v>50</v>
      </c>
      <c r="V81" s="113">
        <v>60</v>
      </c>
      <c r="W81" s="129"/>
      <c r="X81" s="129"/>
      <c r="Y81" s="5"/>
      <c r="Z81" s="5"/>
      <c r="AA81" s="5"/>
      <c r="AB81" s="5"/>
      <c r="AC81" s="5"/>
      <c r="AD81" s="5"/>
      <c r="AE81" s="5"/>
    </row>
    <row r="82" spans="1:34" customFormat="1">
      <c r="A82" s="113">
        <v>58</v>
      </c>
      <c r="B82" s="113" t="s">
        <v>2818</v>
      </c>
      <c r="C82" s="120" t="s">
        <v>5287</v>
      </c>
      <c r="D82" s="124">
        <v>0.75</v>
      </c>
      <c r="E82" s="124">
        <v>0.25</v>
      </c>
      <c r="F82" s="113" t="s">
        <v>2332</v>
      </c>
      <c r="G82" s="113" t="s">
        <v>4319</v>
      </c>
      <c r="H82" s="113" t="s">
        <v>19</v>
      </c>
      <c r="I82" s="113" t="s">
        <v>98</v>
      </c>
      <c r="J82" s="118" t="s">
        <v>2129</v>
      </c>
      <c r="K82" s="118" t="s">
        <v>4658</v>
      </c>
      <c r="L82" s="118" t="s">
        <v>5286</v>
      </c>
      <c r="M82" s="115" t="s">
        <v>1109</v>
      </c>
      <c r="N82" s="115" t="s">
        <v>2129</v>
      </c>
      <c r="O82" s="115" t="s">
        <v>1109</v>
      </c>
      <c r="P82" s="113">
        <v>350</v>
      </c>
      <c r="Q82" s="113">
        <v>60</v>
      </c>
      <c r="R82" s="113">
        <v>75</v>
      </c>
      <c r="S82" s="113">
        <v>45</v>
      </c>
      <c r="T82" s="120">
        <v>65</v>
      </c>
      <c r="U82" s="113">
        <v>50</v>
      </c>
      <c r="V82" s="113">
        <v>55</v>
      </c>
      <c r="W82" s="129"/>
      <c r="X82" s="129"/>
      <c r="Y82" s="5"/>
      <c r="Z82" s="5"/>
      <c r="AA82" s="5"/>
      <c r="AB82" s="5"/>
      <c r="AC82" s="5"/>
      <c r="AD82" s="5"/>
      <c r="AE82" s="5"/>
    </row>
    <row r="83" spans="1:34" customFormat="1">
      <c r="A83" s="113">
        <v>59</v>
      </c>
      <c r="B83" s="113" t="s">
        <v>81</v>
      </c>
      <c r="C83" s="120" t="s">
        <v>5288</v>
      </c>
      <c r="D83" s="124">
        <v>0.75</v>
      </c>
      <c r="E83" s="124">
        <v>0.25</v>
      </c>
      <c r="F83" s="113" t="s">
        <v>2332</v>
      </c>
      <c r="G83" s="113" t="s">
        <v>1973</v>
      </c>
      <c r="H83" s="113" t="s">
        <v>19</v>
      </c>
      <c r="I83" s="113" t="s">
        <v>1109</v>
      </c>
      <c r="J83" s="118" t="s">
        <v>2129</v>
      </c>
      <c r="K83" s="118" t="s">
        <v>4658</v>
      </c>
      <c r="L83" s="118" t="s">
        <v>5286</v>
      </c>
      <c r="M83" s="115" t="s">
        <v>5286</v>
      </c>
      <c r="N83" s="115" t="s">
        <v>6399</v>
      </c>
      <c r="O83" s="115" t="s">
        <v>1803</v>
      </c>
      <c r="P83" s="113">
        <v>555</v>
      </c>
      <c r="Q83" s="113">
        <v>90</v>
      </c>
      <c r="R83" s="113">
        <v>110</v>
      </c>
      <c r="S83" s="113">
        <v>80</v>
      </c>
      <c r="T83" s="120">
        <v>100</v>
      </c>
      <c r="U83" s="113">
        <v>80</v>
      </c>
      <c r="V83" s="113">
        <v>95</v>
      </c>
      <c r="W83" s="129"/>
      <c r="X83" s="129"/>
      <c r="Y83" s="5"/>
      <c r="Z83" s="5"/>
      <c r="AA83" s="5"/>
      <c r="AB83" s="5"/>
      <c r="AC83" s="5"/>
      <c r="AD83" s="5"/>
      <c r="AE83" s="5"/>
    </row>
    <row r="84" spans="1:34" customFormat="1">
      <c r="A84" s="113">
        <v>59</v>
      </c>
      <c r="B84" s="113" t="s">
        <v>2820</v>
      </c>
      <c r="C84" s="120" t="s">
        <v>5289</v>
      </c>
      <c r="D84" s="124">
        <v>0.75</v>
      </c>
      <c r="E84" s="124">
        <v>0.25</v>
      </c>
      <c r="F84" s="113" t="s">
        <v>2332</v>
      </c>
      <c r="G84" s="113" t="s">
        <v>4319</v>
      </c>
      <c r="H84" s="113" t="s">
        <v>19</v>
      </c>
      <c r="I84" s="113" t="s">
        <v>98</v>
      </c>
      <c r="J84" s="118" t="s">
        <v>2129</v>
      </c>
      <c r="K84" s="118" t="s">
        <v>4658</v>
      </c>
      <c r="L84" s="118" t="s">
        <v>5286</v>
      </c>
      <c r="M84" s="120" t="s">
        <v>5287</v>
      </c>
      <c r="N84" s="115" t="s">
        <v>6399</v>
      </c>
      <c r="O84" s="115" t="s">
        <v>1803</v>
      </c>
      <c r="P84" s="113">
        <v>555</v>
      </c>
      <c r="Q84" s="113">
        <v>95</v>
      </c>
      <c r="R84" s="113">
        <v>115</v>
      </c>
      <c r="S84" s="113">
        <v>80</v>
      </c>
      <c r="T84" s="120">
        <v>95</v>
      </c>
      <c r="U84" s="113">
        <v>80</v>
      </c>
      <c r="V84" s="113">
        <v>90</v>
      </c>
      <c r="W84" s="129"/>
      <c r="X84" s="129"/>
      <c r="Y84" s="5"/>
      <c r="Z84" s="5"/>
      <c r="AA84" s="5"/>
      <c r="AB84" s="5"/>
      <c r="AC84" s="5"/>
      <c r="AD84" s="5"/>
      <c r="AE84" s="5"/>
    </row>
    <row r="85" spans="1:34" customFormat="1">
      <c r="A85" s="113">
        <v>60</v>
      </c>
      <c r="B85" s="113" t="s">
        <v>82</v>
      </c>
      <c r="C85" s="120" t="s">
        <v>5290</v>
      </c>
      <c r="D85" s="124">
        <v>0.5</v>
      </c>
      <c r="E85" s="124">
        <v>0.5</v>
      </c>
      <c r="F85" s="113" t="s">
        <v>2331</v>
      </c>
      <c r="G85" s="113" t="s">
        <v>1973</v>
      </c>
      <c r="H85" s="113" t="s">
        <v>25</v>
      </c>
      <c r="I85" s="113" t="s">
        <v>1109</v>
      </c>
      <c r="J85" s="118" t="s">
        <v>2129</v>
      </c>
      <c r="K85" s="118" t="s">
        <v>2712</v>
      </c>
      <c r="L85" s="118" t="s">
        <v>5290</v>
      </c>
      <c r="M85" s="115" t="s">
        <v>1109</v>
      </c>
      <c r="N85" s="115" t="s">
        <v>2129</v>
      </c>
      <c r="O85" s="115" t="s">
        <v>1109</v>
      </c>
      <c r="P85" s="113">
        <v>300</v>
      </c>
      <c r="Q85" s="113">
        <v>40</v>
      </c>
      <c r="R85" s="113">
        <v>50</v>
      </c>
      <c r="S85" s="113">
        <v>40</v>
      </c>
      <c r="T85" s="120">
        <v>40</v>
      </c>
      <c r="U85" s="113">
        <v>40</v>
      </c>
      <c r="V85" s="113">
        <v>90</v>
      </c>
      <c r="W85" s="129"/>
      <c r="X85" s="129"/>
      <c r="Y85" s="5"/>
      <c r="Z85" s="5"/>
      <c r="AA85" s="5"/>
      <c r="AB85" s="5"/>
      <c r="AC85" s="5"/>
      <c r="AD85" s="5"/>
      <c r="AE85" s="5"/>
    </row>
    <row r="86" spans="1:34" customFormat="1">
      <c r="A86" s="113">
        <v>61</v>
      </c>
      <c r="B86" s="113" t="s">
        <v>83</v>
      </c>
      <c r="C86" s="120" t="s">
        <v>5291</v>
      </c>
      <c r="D86" s="124">
        <v>0.5</v>
      </c>
      <c r="E86" s="124">
        <v>0.5</v>
      </c>
      <c r="F86" s="113" t="s">
        <v>2331</v>
      </c>
      <c r="G86" s="113" t="s">
        <v>1973</v>
      </c>
      <c r="H86" s="113" t="s">
        <v>25</v>
      </c>
      <c r="I86" s="113" t="s">
        <v>1109</v>
      </c>
      <c r="J86" s="118" t="s">
        <v>2129</v>
      </c>
      <c r="K86" s="118" t="s">
        <v>2712</v>
      </c>
      <c r="L86" s="118" t="s">
        <v>5290</v>
      </c>
      <c r="M86" s="115" t="s">
        <v>5290</v>
      </c>
      <c r="N86" s="115" t="s">
        <v>6398</v>
      </c>
      <c r="O86" s="115" t="s">
        <v>2128</v>
      </c>
      <c r="P86" s="113">
        <v>385</v>
      </c>
      <c r="Q86" s="113">
        <v>65</v>
      </c>
      <c r="R86" s="113">
        <v>65</v>
      </c>
      <c r="S86" s="113">
        <v>65</v>
      </c>
      <c r="T86" s="120">
        <v>50</v>
      </c>
      <c r="U86" s="113">
        <v>50</v>
      </c>
      <c r="V86" s="113">
        <v>90</v>
      </c>
      <c r="W86" s="129"/>
      <c r="X86" s="129"/>
      <c r="Y86" s="5"/>
      <c r="Z86" s="5"/>
      <c r="AA86" s="5"/>
      <c r="AB86" s="5"/>
      <c r="AC86" s="5"/>
      <c r="AD86" s="5"/>
      <c r="AE86" s="5"/>
    </row>
    <row r="87" spans="1:34" customFormat="1">
      <c r="A87" s="113">
        <v>62</v>
      </c>
      <c r="B87" s="113" t="s">
        <v>84</v>
      </c>
      <c r="C87" s="120" t="s">
        <v>5292</v>
      </c>
      <c r="D87" s="124">
        <v>0.5</v>
      </c>
      <c r="E87" s="124">
        <v>0.5</v>
      </c>
      <c r="F87" s="113" t="s">
        <v>2331</v>
      </c>
      <c r="G87" s="113" t="s">
        <v>1973</v>
      </c>
      <c r="H87" s="113" t="s">
        <v>25</v>
      </c>
      <c r="I87" s="113" t="s">
        <v>78</v>
      </c>
      <c r="J87" s="118" t="s">
        <v>2129</v>
      </c>
      <c r="K87" s="118" t="s">
        <v>2712</v>
      </c>
      <c r="L87" s="118" t="s">
        <v>5290</v>
      </c>
      <c r="M87" s="115" t="s">
        <v>5291</v>
      </c>
      <c r="N87" s="115" t="s">
        <v>6399</v>
      </c>
      <c r="O87" s="115" t="s">
        <v>1803</v>
      </c>
      <c r="P87" s="113">
        <v>510</v>
      </c>
      <c r="Q87" s="113">
        <v>90</v>
      </c>
      <c r="R87" s="113">
        <v>95</v>
      </c>
      <c r="S87" s="113">
        <v>95</v>
      </c>
      <c r="T87" s="120">
        <v>70</v>
      </c>
      <c r="U87" s="113">
        <v>90</v>
      </c>
      <c r="V87" s="113">
        <v>70</v>
      </c>
      <c r="W87" s="129"/>
      <c r="X87" s="129"/>
      <c r="Y87" s="5"/>
      <c r="Z87" s="5"/>
      <c r="AA87" s="5"/>
      <c r="AB87" s="5"/>
      <c r="AC87" s="5"/>
      <c r="AD87" s="5"/>
      <c r="AE87" s="5"/>
    </row>
    <row r="88" spans="1:34" customFormat="1">
      <c r="A88" s="113">
        <v>63</v>
      </c>
      <c r="B88" s="113" t="s">
        <v>85</v>
      </c>
      <c r="C88" s="120" t="s">
        <v>5293</v>
      </c>
      <c r="D88" s="124">
        <v>0.75</v>
      </c>
      <c r="E88" s="124">
        <v>0.25</v>
      </c>
      <c r="F88" s="113" t="s">
        <v>2334</v>
      </c>
      <c r="G88" s="113" t="s">
        <v>1973</v>
      </c>
      <c r="H88" s="113" t="s">
        <v>86</v>
      </c>
      <c r="I88" s="113" t="s">
        <v>1109</v>
      </c>
      <c r="J88" s="118" t="s">
        <v>2129</v>
      </c>
      <c r="K88" s="118" t="s">
        <v>4658</v>
      </c>
      <c r="L88" s="118" t="s">
        <v>5293</v>
      </c>
      <c r="M88" s="115" t="s">
        <v>1109</v>
      </c>
      <c r="N88" s="115" t="s">
        <v>2129</v>
      </c>
      <c r="O88" s="115" t="s">
        <v>1109</v>
      </c>
      <c r="P88" s="113">
        <v>310</v>
      </c>
      <c r="Q88" s="113">
        <v>25</v>
      </c>
      <c r="R88" s="113">
        <v>20</v>
      </c>
      <c r="S88" s="113">
        <v>15</v>
      </c>
      <c r="T88" s="120">
        <v>105</v>
      </c>
      <c r="U88" s="113">
        <v>55</v>
      </c>
      <c r="V88" s="113">
        <v>90</v>
      </c>
      <c r="W88" s="129"/>
      <c r="X88" s="129"/>
      <c r="Y88" s="5"/>
      <c r="Z88" s="5"/>
      <c r="AA88" s="5"/>
      <c r="AB88" s="5"/>
      <c r="AC88" s="5"/>
      <c r="AD88" s="5"/>
      <c r="AE88" s="5"/>
    </row>
    <row r="89" spans="1:34" customFormat="1">
      <c r="A89" s="113">
        <v>64</v>
      </c>
      <c r="B89" s="113" t="s">
        <v>87</v>
      </c>
      <c r="C89" s="120" t="s">
        <v>5294</v>
      </c>
      <c r="D89" s="124">
        <v>0.75</v>
      </c>
      <c r="E89" s="124">
        <v>0.25</v>
      </c>
      <c r="F89" s="113" t="s">
        <v>2334</v>
      </c>
      <c r="G89" s="113" t="s">
        <v>1973</v>
      </c>
      <c r="H89" s="113" t="s">
        <v>86</v>
      </c>
      <c r="I89" s="113" t="s">
        <v>1109</v>
      </c>
      <c r="J89" s="118" t="s">
        <v>2129</v>
      </c>
      <c r="K89" s="118" t="s">
        <v>4658</v>
      </c>
      <c r="L89" s="118" t="s">
        <v>5293</v>
      </c>
      <c r="M89" s="115" t="s">
        <v>5293</v>
      </c>
      <c r="N89" s="115" t="s">
        <v>6398</v>
      </c>
      <c r="O89" s="115" t="s">
        <v>2128</v>
      </c>
      <c r="P89" s="113">
        <v>400</v>
      </c>
      <c r="Q89" s="113">
        <v>40</v>
      </c>
      <c r="R89" s="113">
        <v>35</v>
      </c>
      <c r="S89" s="113">
        <v>30</v>
      </c>
      <c r="T89" s="120">
        <v>120</v>
      </c>
      <c r="U89" s="113">
        <v>70</v>
      </c>
      <c r="V89" s="113">
        <v>105</v>
      </c>
      <c r="W89" s="129"/>
      <c r="X89" s="129"/>
      <c r="Y89" s="5"/>
      <c r="Z89" s="5"/>
      <c r="AA89" s="5"/>
      <c r="AB89" s="5"/>
      <c r="AC89" s="5"/>
      <c r="AD89" s="5"/>
      <c r="AE89" s="5"/>
      <c r="AG89" s="5"/>
    </row>
    <row r="90" spans="1:34" customFormat="1">
      <c r="A90" s="113">
        <v>65</v>
      </c>
      <c r="B90" s="113" t="s">
        <v>88</v>
      </c>
      <c r="C90" s="120" t="s">
        <v>5295</v>
      </c>
      <c r="D90" s="124">
        <v>0.75</v>
      </c>
      <c r="E90" s="124">
        <v>0.25</v>
      </c>
      <c r="F90" s="113" t="s">
        <v>2334</v>
      </c>
      <c r="G90" s="113" t="s">
        <v>1973</v>
      </c>
      <c r="H90" s="113" t="s">
        <v>86</v>
      </c>
      <c r="I90" s="113" t="s">
        <v>1109</v>
      </c>
      <c r="J90" s="118" t="s">
        <v>2129</v>
      </c>
      <c r="K90" s="118" t="s">
        <v>4658</v>
      </c>
      <c r="L90" s="118" t="s">
        <v>5293</v>
      </c>
      <c r="M90" s="115" t="s">
        <v>5294</v>
      </c>
      <c r="N90" s="115" t="s">
        <v>6399</v>
      </c>
      <c r="O90" s="115" t="s">
        <v>2128</v>
      </c>
      <c r="P90" s="113">
        <v>500</v>
      </c>
      <c r="Q90" s="113">
        <v>55</v>
      </c>
      <c r="R90" s="113">
        <v>50</v>
      </c>
      <c r="S90" s="113">
        <v>45</v>
      </c>
      <c r="T90" s="120">
        <v>135</v>
      </c>
      <c r="U90" s="113">
        <v>95</v>
      </c>
      <c r="V90" s="113">
        <v>120</v>
      </c>
      <c r="W90" s="129"/>
      <c r="X90" s="129"/>
      <c r="Y90" s="5"/>
      <c r="Z90" s="5"/>
      <c r="AA90" s="5"/>
      <c r="AB90" s="5"/>
      <c r="AC90" s="5"/>
      <c r="AD90" s="5"/>
      <c r="AE90" s="5"/>
    </row>
    <row r="91" spans="1:34" customFormat="1" hidden="1">
      <c r="A91" s="113">
        <v>65</v>
      </c>
      <c r="B91" s="113" t="s">
        <v>2822</v>
      </c>
      <c r="C91" s="120" t="s">
        <v>5296</v>
      </c>
      <c r="D91" s="124">
        <v>0.75</v>
      </c>
      <c r="E91" s="124">
        <v>0.25</v>
      </c>
      <c r="F91" s="113" t="s">
        <v>2334</v>
      </c>
      <c r="G91" s="113" t="s">
        <v>1973</v>
      </c>
      <c r="H91" s="113" t="s">
        <v>86</v>
      </c>
      <c r="I91" s="113" t="s">
        <v>1109</v>
      </c>
      <c r="J91" s="118" t="s">
        <v>3973</v>
      </c>
      <c r="K91" s="118" t="s">
        <v>4659</v>
      </c>
      <c r="L91" s="118" t="s">
        <v>5293</v>
      </c>
      <c r="M91" s="115" t="s">
        <v>5295</v>
      </c>
      <c r="N91" s="115" t="s">
        <v>3973</v>
      </c>
      <c r="O91" s="115" t="s">
        <v>4480</v>
      </c>
      <c r="P91" s="113">
        <v>600</v>
      </c>
      <c r="Q91" s="113">
        <v>55</v>
      </c>
      <c r="R91" s="113">
        <v>50</v>
      </c>
      <c r="S91" s="113">
        <v>65</v>
      </c>
      <c r="T91" s="120">
        <v>175</v>
      </c>
      <c r="U91" s="113">
        <v>105</v>
      </c>
      <c r="V91" s="113">
        <v>150</v>
      </c>
      <c r="W91" s="129"/>
      <c r="X91" s="129"/>
      <c r="Y91" s="5"/>
      <c r="Z91" s="5"/>
      <c r="AA91" s="5"/>
      <c r="AB91" s="5"/>
      <c r="AC91" s="5"/>
      <c r="AD91" s="5"/>
      <c r="AE91" s="5"/>
    </row>
    <row r="92" spans="1:34" customFormat="1">
      <c r="A92" s="113">
        <v>66</v>
      </c>
      <c r="B92" s="113" t="s">
        <v>89</v>
      </c>
      <c r="C92" s="120" t="s">
        <v>5297</v>
      </c>
      <c r="D92" s="124">
        <v>0.75</v>
      </c>
      <c r="E92" s="124">
        <v>0.25</v>
      </c>
      <c r="F92" s="113" t="s">
        <v>2334</v>
      </c>
      <c r="G92" s="113" t="s">
        <v>1973</v>
      </c>
      <c r="H92" s="113" t="s">
        <v>78</v>
      </c>
      <c r="I92" s="113" t="s">
        <v>1109</v>
      </c>
      <c r="J92" s="118" t="s">
        <v>2129</v>
      </c>
      <c r="K92" s="118" t="s">
        <v>4658</v>
      </c>
      <c r="L92" s="118" t="s">
        <v>5297</v>
      </c>
      <c r="M92" s="115" t="s">
        <v>1109</v>
      </c>
      <c r="N92" s="115" t="s">
        <v>2129</v>
      </c>
      <c r="O92" s="115" t="s">
        <v>1109</v>
      </c>
      <c r="P92" s="113">
        <v>305</v>
      </c>
      <c r="Q92" s="113">
        <v>70</v>
      </c>
      <c r="R92" s="113">
        <v>80</v>
      </c>
      <c r="S92" s="113">
        <v>50</v>
      </c>
      <c r="T92" s="120">
        <v>35</v>
      </c>
      <c r="U92" s="113">
        <v>35</v>
      </c>
      <c r="V92" s="113">
        <v>35</v>
      </c>
      <c r="W92" s="129"/>
      <c r="X92" s="129"/>
      <c r="Y92" s="5"/>
      <c r="Z92" s="5"/>
      <c r="AA92" s="5"/>
      <c r="AB92" s="5"/>
      <c r="AC92" s="5"/>
      <c r="AD92" s="5"/>
      <c r="AE92" s="5"/>
    </row>
    <row r="93" spans="1:34">
      <c r="A93" s="113">
        <v>67</v>
      </c>
      <c r="B93" s="113" t="s">
        <v>90</v>
      </c>
      <c r="C93" s="120" t="s">
        <v>5298</v>
      </c>
      <c r="D93" s="124">
        <v>0.75</v>
      </c>
      <c r="E93" s="124">
        <v>0.25</v>
      </c>
      <c r="F93" s="113" t="s">
        <v>2334</v>
      </c>
      <c r="G93" s="113" t="s">
        <v>1973</v>
      </c>
      <c r="H93" s="113" t="s">
        <v>78</v>
      </c>
      <c r="I93" s="113" t="s">
        <v>1109</v>
      </c>
      <c r="J93" s="118" t="s">
        <v>2129</v>
      </c>
      <c r="K93" s="118" t="s">
        <v>4658</v>
      </c>
      <c r="L93" s="118" t="s">
        <v>5297</v>
      </c>
      <c r="M93" s="115" t="s">
        <v>5297</v>
      </c>
      <c r="N93" s="115" t="s">
        <v>6398</v>
      </c>
      <c r="O93" s="115" t="s">
        <v>2128</v>
      </c>
      <c r="P93" s="113">
        <v>405</v>
      </c>
      <c r="Q93" s="113">
        <v>80</v>
      </c>
      <c r="R93" s="113">
        <v>100</v>
      </c>
      <c r="S93" s="113">
        <v>70</v>
      </c>
      <c r="T93" s="120">
        <v>50</v>
      </c>
      <c r="U93" s="113">
        <v>60</v>
      </c>
      <c r="V93" s="113">
        <v>45</v>
      </c>
      <c r="W93" s="129"/>
      <c r="X93" s="129"/>
      <c r="AF93"/>
      <c r="AG93"/>
      <c r="AH93"/>
    </row>
    <row r="94" spans="1:34" customFormat="1">
      <c r="A94" s="113">
        <v>68</v>
      </c>
      <c r="B94" s="113" t="s">
        <v>91</v>
      </c>
      <c r="C94" s="120" t="s">
        <v>5299</v>
      </c>
      <c r="D94" s="124">
        <v>0.75</v>
      </c>
      <c r="E94" s="124">
        <v>0.25</v>
      </c>
      <c r="F94" s="113" t="s">
        <v>2334</v>
      </c>
      <c r="G94" s="113" t="s">
        <v>1973</v>
      </c>
      <c r="H94" s="113" t="s">
        <v>78</v>
      </c>
      <c r="I94" s="113" t="s">
        <v>1109</v>
      </c>
      <c r="J94" s="118" t="s">
        <v>2129</v>
      </c>
      <c r="K94" s="118" t="s">
        <v>4658</v>
      </c>
      <c r="L94" s="118" t="s">
        <v>5297</v>
      </c>
      <c r="M94" s="115" t="s">
        <v>5298</v>
      </c>
      <c r="N94" s="115" t="s">
        <v>6399</v>
      </c>
      <c r="O94" s="115" t="s">
        <v>2128</v>
      </c>
      <c r="P94" s="113">
        <v>505</v>
      </c>
      <c r="Q94" s="113">
        <v>90</v>
      </c>
      <c r="R94" s="113">
        <v>130</v>
      </c>
      <c r="S94" s="113">
        <v>80</v>
      </c>
      <c r="T94" s="120">
        <v>65</v>
      </c>
      <c r="U94" s="113">
        <v>85</v>
      </c>
      <c r="V94" s="113">
        <v>55</v>
      </c>
      <c r="W94" s="129"/>
      <c r="X94" s="129"/>
      <c r="Y94" s="5"/>
      <c r="Z94" s="5"/>
      <c r="AA94" s="5"/>
      <c r="AB94" s="5"/>
      <c r="AC94" s="5"/>
      <c r="AD94" s="5"/>
      <c r="AE94" s="5"/>
    </row>
    <row r="95" spans="1:34" customFormat="1">
      <c r="A95" s="113">
        <v>69</v>
      </c>
      <c r="B95" s="113" t="s">
        <v>92</v>
      </c>
      <c r="C95" s="120" t="s">
        <v>5300</v>
      </c>
      <c r="D95" s="124">
        <v>0.5</v>
      </c>
      <c r="E95" s="124">
        <v>0.5</v>
      </c>
      <c r="F95" s="113" t="s">
        <v>14</v>
      </c>
      <c r="G95" s="113" t="s">
        <v>1973</v>
      </c>
      <c r="H95" s="113" t="s">
        <v>14</v>
      </c>
      <c r="I95" s="113" t="s">
        <v>15</v>
      </c>
      <c r="J95" s="118" t="s">
        <v>2129</v>
      </c>
      <c r="K95" s="118" t="s">
        <v>2712</v>
      </c>
      <c r="L95" s="118" t="s">
        <v>5300</v>
      </c>
      <c r="M95" s="115" t="s">
        <v>1109</v>
      </c>
      <c r="N95" s="115" t="s">
        <v>2129</v>
      </c>
      <c r="O95" s="115" t="s">
        <v>1109</v>
      </c>
      <c r="P95" s="113">
        <v>300</v>
      </c>
      <c r="Q95" s="113">
        <v>50</v>
      </c>
      <c r="R95" s="113">
        <v>75</v>
      </c>
      <c r="S95" s="113">
        <v>35</v>
      </c>
      <c r="T95" s="120">
        <v>70</v>
      </c>
      <c r="U95" s="113">
        <v>30</v>
      </c>
      <c r="V95" s="113">
        <v>40</v>
      </c>
      <c r="W95" s="129"/>
      <c r="X95" s="129"/>
      <c r="Y95" s="5"/>
      <c r="Z95" s="5"/>
      <c r="AA95" s="5"/>
      <c r="AB95" s="5"/>
      <c r="AC95" s="5"/>
      <c r="AD95" s="5"/>
      <c r="AE95" s="5"/>
      <c r="AF95" s="5"/>
      <c r="AH95" s="5"/>
    </row>
    <row r="96" spans="1:34" customFormat="1">
      <c r="A96" s="113">
        <v>70</v>
      </c>
      <c r="B96" s="113" t="s">
        <v>93</v>
      </c>
      <c r="C96" s="120" t="s">
        <v>5301</v>
      </c>
      <c r="D96" s="124">
        <v>0.5</v>
      </c>
      <c r="E96" s="124">
        <v>0.5</v>
      </c>
      <c r="F96" s="113" t="s">
        <v>14</v>
      </c>
      <c r="G96" s="113" t="s">
        <v>1973</v>
      </c>
      <c r="H96" s="113" t="s">
        <v>14</v>
      </c>
      <c r="I96" s="113" t="s">
        <v>15</v>
      </c>
      <c r="J96" s="118" t="s">
        <v>2129</v>
      </c>
      <c r="K96" s="118" t="s">
        <v>2712</v>
      </c>
      <c r="L96" s="118" t="s">
        <v>5300</v>
      </c>
      <c r="M96" s="115" t="s">
        <v>5300</v>
      </c>
      <c r="N96" s="115" t="s">
        <v>6398</v>
      </c>
      <c r="O96" s="115" t="s">
        <v>2128</v>
      </c>
      <c r="P96" s="113">
        <v>390</v>
      </c>
      <c r="Q96" s="113">
        <v>65</v>
      </c>
      <c r="R96" s="113">
        <v>90</v>
      </c>
      <c r="S96" s="113">
        <v>50</v>
      </c>
      <c r="T96" s="120">
        <v>85</v>
      </c>
      <c r="U96" s="113">
        <v>45</v>
      </c>
      <c r="V96" s="113">
        <v>55</v>
      </c>
      <c r="W96" s="129"/>
      <c r="X96" s="129"/>
      <c r="Y96" s="5"/>
      <c r="Z96" s="5"/>
      <c r="AA96" s="5"/>
      <c r="AB96" s="5"/>
      <c r="AC96" s="5"/>
      <c r="AD96" s="5"/>
      <c r="AE96" s="5"/>
      <c r="AF96" s="5"/>
    </row>
    <row r="97" spans="1:34" customFormat="1">
      <c r="A97" s="113">
        <v>71</v>
      </c>
      <c r="B97" s="113" t="s">
        <v>94</v>
      </c>
      <c r="C97" s="120" t="s">
        <v>5302</v>
      </c>
      <c r="D97" s="124">
        <v>0.5</v>
      </c>
      <c r="E97" s="124">
        <v>0.5</v>
      </c>
      <c r="F97" s="113" t="s">
        <v>14</v>
      </c>
      <c r="G97" s="113" t="s">
        <v>1973</v>
      </c>
      <c r="H97" s="113" t="s">
        <v>14</v>
      </c>
      <c r="I97" s="113" t="s">
        <v>15</v>
      </c>
      <c r="J97" s="118" t="s">
        <v>2129</v>
      </c>
      <c r="K97" s="118" t="s">
        <v>2712</v>
      </c>
      <c r="L97" s="118" t="s">
        <v>5300</v>
      </c>
      <c r="M97" s="115" t="s">
        <v>5301</v>
      </c>
      <c r="N97" s="115" t="s">
        <v>6399</v>
      </c>
      <c r="O97" s="115" t="s">
        <v>1803</v>
      </c>
      <c r="P97" s="113">
        <v>490</v>
      </c>
      <c r="Q97" s="113">
        <v>80</v>
      </c>
      <c r="R97" s="113">
        <v>105</v>
      </c>
      <c r="S97" s="113">
        <v>65</v>
      </c>
      <c r="T97" s="120">
        <v>100</v>
      </c>
      <c r="U97" s="113">
        <v>70</v>
      </c>
      <c r="V97" s="113">
        <v>70</v>
      </c>
      <c r="W97" s="129"/>
      <c r="X97" s="129"/>
      <c r="Y97" s="5"/>
      <c r="Z97" s="5"/>
      <c r="AA97" s="5"/>
      <c r="AB97" s="5"/>
      <c r="AC97" s="5"/>
      <c r="AD97" s="5"/>
      <c r="AE97" s="5"/>
      <c r="AG97" s="5"/>
    </row>
    <row r="98" spans="1:34" customFormat="1">
      <c r="A98" s="113">
        <v>72</v>
      </c>
      <c r="B98" s="113" t="s">
        <v>95</v>
      </c>
      <c r="C98" s="120" t="s">
        <v>5303</v>
      </c>
      <c r="D98" s="124">
        <v>0.5</v>
      </c>
      <c r="E98" s="124">
        <v>0.5</v>
      </c>
      <c r="F98" s="113" t="s">
        <v>2335</v>
      </c>
      <c r="G98" s="113" t="s">
        <v>1973</v>
      </c>
      <c r="H98" s="113" t="s">
        <v>25</v>
      </c>
      <c r="I98" s="113" t="s">
        <v>15</v>
      </c>
      <c r="J98" s="118" t="s">
        <v>2129</v>
      </c>
      <c r="K98" s="118" t="s">
        <v>2712</v>
      </c>
      <c r="L98" s="118" t="s">
        <v>5303</v>
      </c>
      <c r="M98" s="115" t="s">
        <v>1109</v>
      </c>
      <c r="N98" s="115" t="s">
        <v>2129</v>
      </c>
      <c r="O98" s="115" t="s">
        <v>1109</v>
      </c>
      <c r="P98" s="113">
        <v>335</v>
      </c>
      <c r="Q98" s="113">
        <v>40</v>
      </c>
      <c r="R98" s="113">
        <v>40</v>
      </c>
      <c r="S98" s="113">
        <v>35</v>
      </c>
      <c r="T98" s="120">
        <v>50</v>
      </c>
      <c r="U98" s="113">
        <v>100</v>
      </c>
      <c r="V98" s="113">
        <v>70</v>
      </c>
      <c r="W98" s="129"/>
      <c r="X98" s="129"/>
      <c r="Y98" s="5"/>
      <c r="Z98" s="5"/>
      <c r="AA98" s="5"/>
      <c r="AB98" s="5"/>
      <c r="AC98" s="5"/>
      <c r="AD98" s="5"/>
      <c r="AE98" s="5"/>
    </row>
    <row r="99" spans="1:34" customFormat="1">
      <c r="A99" s="113">
        <v>73</v>
      </c>
      <c r="B99" s="113" t="s">
        <v>96</v>
      </c>
      <c r="C99" s="120" t="s">
        <v>5304</v>
      </c>
      <c r="D99" s="124">
        <v>0.5</v>
      </c>
      <c r="E99" s="124">
        <v>0.5</v>
      </c>
      <c r="F99" s="113" t="s">
        <v>2335</v>
      </c>
      <c r="G99" s="113" t="s">
        <v>1973</v>
      </c>
      <c r="H99" s="113" t="s">
        <v>25</v>
      </c>
      <c r="I99" s="113" t="s">
        <v>15</v>
      </c>
      <c r="J99" s="118" t="s">
        <v>2129</v>
      </c>
      <c r="K99" s="118" t="s">
        <v>2712</v>
      </c>
      <c r="L99" s="118" t="s">
        <v>5303</v>
      </c>
      <c r="M99" s="115" t="s">
        <v>5303</v>
      </c>
      <c r="N99" s="115" t="s">
        <v>6399</v>
      </c>
      <c r="O99" s="115" t="s">
        <v>2128</v>
      </c>
      <c r="P99" s="113">
        <v>515</v>
      </c>
      <c r="Q99" s="113">
        <v>80</v>
      </c>
      <c r="R99" s="113">
        <v>70</v>
      </c>
      <c r="S99" s="113">
        <v>65</v>
      </c>
      <c r="T99" s="120">
        <v>80</v>
      </c>
      <c r="U99" s="113">
        <v>120</v>
      </c>
      <c r="V99" s="113">
        <v>100</v>
      </c>
      <c r="W99" s="129"/>
      <c r="X99" s="129"/>
      <c r="Y99" s="5"/>
      <c r="Z99" s="5"/>
      <c r="AA99" s="5"/>
      <c r="AB99" s="5"/>
      <c r="AC99" s="5"/>
      <c r="AD99" s="5"/>
      <c r="AE99" s="5"/>
    </row>
    <row r="100" spans="1:34" customFormat="1">
      <c r="A100" s="113">
        <v>74</v>
      </c>
      <c r="B100" s="113" t="s">
        <v>97</v>
      </c>
      <c r="C100" s="120" t="s">
        <v>5305</v>
      </c>
      <c r="D100" s="124">
        <v>0.5</v>
      </c>
      <c r="E100" s="124">
        <v>0.5</v>
      </c>
      <c r="F100" s="113" t="s">
        <v>2112</v>
      </c>
      <c r="G100" s="113" t="s">
        <v>1973</v>
      </c>
      <c r="H100" s="113" t="s">
        <v>98</v>
      </c>
      <c r="I100" s="113" t="s">
        <v>49</v>
      </c>
      <c r="J100" s="118" t="s">
        <v>2129</v>
      </c>
      <c r="K100" s="118" t="s">
        <v>2712</v>
      </c>
      <c r="L100" s="118" t="s">
        <v>5305</v>
      </c>
      <c r="M100" s="115" t="s">
        <v>1109</v>
      </c>
      <c r="N100" s="115" t="s">
        <v>2129</v>
      </c>
      <c r="O100" s="115" t="s">
        <v>1109</v>
      </c>
      <c r="P100" s="113">
        <v>300</v>
      </c>
      <c r="Q100" s="113">
        <v>40</v>
      </c>
      <c r="R100" s="113">
        <v>80</v>
      </c>
      <c r="S100" s="113">
        <v>100</v>
      </c>
      <c r="T100" s="120">
        <v>30</v>
      </c>
      <c r="U100" s="113">
        <v>30</v>
      </c>
      <c r="V100" s="113">
        <v>20</v>
      </c>
      <c r="W100" s="129"/>
      <c r="X100" s="129"/>
      <c r="Y100" s="5"/>
      <c r="Z100" s="5"/>
      <c r="AA100" s="5"/>
      <c r="AB100" s="5"/>
      <c r="AC100" s="5"/>
      <c r="AD100" s="5"/>
      <c r="AE100" s="5"/>
    </row>
    <row r="101" spans="1:34" customFormat="1">
      <c r="A101" s="113">
        <v>74</v>
      </c>
      <c r="B101" s="113" t="s">
        <v>6437</v>
      </c>
      <c r="C101" s="120" t="s">
        <v>5306</v>
      </c>
      <c r="D101" s="124">
        <v>0.5</v>
      </c>
      <c r="E101" s="124">
        <v>0.5</v>
      </c>
      <c r="F101" s="113" t="s">
        <v>2112</v>
      </c>
      <c r="G101" s="113" t="s">
        <v>2702</v>
      </c>
      <c r="H101" s="113" t="s">
        <v>98</v>
      </c>
      <c r="I101" s="113" t="s">
        <v>46</v>
      </c>
      <c r="J101" s="118" t="s">
        <v>2129</v>
      </c>
      <c r="K101" s="118" t="s">
        <v>2712</v>
      </c>
      <c r="L101" s="118" t="s">
        <v>5305</v>
      </c>
      <c r="M101" s="115" t="s">
        <v>1109</v>
      </c>
      <c r="N101" s="115" t="s">
        <v>2129</v>
      </c>
      <c r="O101" s="115" t="s">
        <v>1109</v>
      </c>
      <c r="P101" s="113">
        <v>300</v>
      </c>
      <c r="Q101" s="113">
        <v>40</v>
      </c>
      <c r="R101" s="113">
        <v>80</v>
      </c>
      <c r="S101" s="113">
        <v>100</v>
      </c>
      <c r="T101" s="120">
        <v>30</v>
      </c>
      <c r="U101" s="113">
        <v>30</v>
      </c>
      <c r="V101" s="113">
        <v>20</v>
      </c>
      <c r="W101" s="129"/>
      <c r="X101" s="129"/>
      <c r="Y101" s="5"/>
      <c r="Z101" s="5"/>
      <c r="AA101" s="5"/>
      <c r="AB101" s="5"/>
      <c r="AC101" s="5"/>
      <c r="AD101" s="5"/>
      <c r="AE101" s="5"/>
      <c r="AH101" s="5"/>
    </row>
    <row r="102" spans="1:34" customFormat="1">
      <c r="A102" s="113">
        <v>75</v>
      </c>
      <c r="B102" s="113" t="s">
        <v>99</v>
      </c>
      <c r="C102" s="120" t="s">
        <v>5307</v>
      </c>
      <c r="D102" s="124">
        <v>0.5</v>
      </c>
      <c r="E102" s="124">
        <v>0.5</v>
      </c>
      <c r="F102" s="113" t="s">
        <v>2112</v>
      </c>
      <c r="G102" s="113" t="s">
        <v>1973</v>
      </c>
      <c r="H102" s="113" t="s">
        <v>98</v>
      </c>
      <c r="I102" s="113" t="s">
        <v>49</v>
      </c>
      <c r="J102" s="118" t="s">
        <v>2129</v>
      </c>
      <c r="K102" s="118" t="s">
        <v>2712</v>
      </c>
      <c r="L102" s="118" t="s">
        <v>5305</v>
      </c>
      <c r="M102" s="115" t="s">
        <v>5305</v>
      </c>
      <c r="N102" s="115" t="s">
        <v>6398</v>
      </c>
      <c r="O102" s="115" t="s">
        <v>2128</v>
      </c>
      <c r="P102" s="113">
        <v>390</v>
      </c>
      <c r="Q102" s="113">
        <v>55</v>
      </c>
      <c r="R102" s="113">
        <v>95</v>
      </c>
      <c r="S102" s="113">
        <v>115</v>
      </c>
      <c r="T102" s="120">
        <v>45</v>
      </c>
      <c r="U102" s="113">
        <v>45</v>
      </c>
      <c r="V102" s="113">
        <v>35</v>
      </c>
      <c r="W102" s="129"/>
      <c r="X102" s="129"/>
      <c r="Y102" s="5"/>
      <c r="Z102" s="5"/>
      <c r="AA102" s="5"/>
      <c r="AB102" s="5"/>
      <c r="AC102" s="5"/>
      <c r="AD102" s="5"/>
      <c r="AE102" s="5"/>
    </row>
    <row r="103" spans="1:34" customFormat="1">
      <c r="A103" s="113">
        <v>75</v>
      </c>
      <c r="B103" s="113" t="s">
        <v>6438</v>
      </c>
      <c r="C103" s="120" t="s">
        <v>5308</v>
      </c>
      <c r="D103" s="124">
        <v>0.5</v>
      </c>
      <c r="E103" s="124">
        <v>0.5</v>
      </c>
      <c r="F103" s="113" t="s">
        <v>2112</v>
      </c>
      <c r="G103" s="113" t="s">
        <v>2702</v>
      </c>
      <c r="H103" s="113" t="s">
        <v>98</v>
      </c>
      <c r="I103" s="113" t="s">
        <v>46</v>
      </c>
      <c r="J103" s="118" t="s">
        <v>2129</v>
      </c>
      <c r="K103" s="118" t="s">
        <v>2712</v>
      </c>
      <c r="L103" s="118" t="s">
        <v>5305</v>
      </c>
      <c r="M103" s="120" t="s">
        <v>5306</v>
      </c>
      <c r="N103" s="115" t="s">
        <v>6399</v>
      </c>
      <c r="O103" s="115" t="s">
        <v>2128</v>
      </c>
      <c r="P103" s="113">
        <v>390</v>
      </c>
      <c r="Q103" s="113">
        <v>55</v>
      </c>
      <c r="R103" s="113">
        <v>95</v>
      </c>
      <c r="S103" s="113">
        <v>115</v>
      </c>
      <c r="T103" s="120">
        <v>45</v>
      </c>
      <c r="U103" s="113">
        <v>45</v>
      </c>
      <c r="V103" s="113">
        <v>35</v>
      </c>
      <c r="W103" s="129"/>
      <c r="X103" s="129"/>
      <c r="Y103" s="5"/>
      <c r="Z103" s="5"/>
      <c r="AA103" s="5"/>
      <c r="AB103" s="5"/>
      <c r="AC103" s="5"/>
      <c r="AD103" s="5"/>
      <c r="AE103" s="5"/>
      <c r="AH103" s="5"/>
    </row>
    <row r="104" spans="1:34" customFormat="1">
      <c r="A104" s="113">
        <v>76</v>
      </c>
      <c r="B104" s="113" t="s">
        <v>100</v>
      </c>
      <c r="C104" s="120" t="s">
        <v>5309</v>
      </c>
      <c r="D104" s="124">
        <v>0.5</v>
      </c>
      <c r="E104" s="124">
        <v>0.5</v>
      </c>
      <c r="F104" s="113" t="s">
        <v>2112</v>
      </c>
      <c r="G104" s="113" t="s">
        <v>1973</v>
      </c>
      <c r="H104" s="113" t="s">
        <v>98</v>
      </c>
      <c r="I104" s="113" t="s">
        <v>49</v>
      </c>
      <c r="J104" s="118" t="s">
        <v>2129</v>
      </c>
      <c r="K104" s="118" t="s">
        <v>2712</v>
      </c>
      <c r="L104" s="118" t="s">
        <v>5305</v>
      </c>
      <c r="M104" s="115" t="s">
        <v>5307</v>
      </c>
      <c r="N104" s="115" t="s">
        <v>6399</v>
      </c>
      <c r="O104" s="115" t="s">
        <v>2128</v>
      </c>
      <c r="P104" s="113">
        <v>495</v>
      </c>
      <c r="Q104" s="113">
        <v>80</v>
      </c>
      <c r="R104" s="113">
        <v>120</v>
      </c>
      <c r="S104" s="113">
        <v>130</v>
      </c>
      <c r="T104" s="120">
        <v>55</v>
      </c>
      <c r="U104" s="113">
        <v>65</v>
      </c>
      <c r="V104" s="113">
        <v>45</v>
      </c>
      <c r="W104" s="129"/>
      <c r="X104" s="129"/>
      <c r="Y104" s="5"/>
      <c r="Z104" s="5"/>
      <c r="AA104" s="5"/>
      <c r="AB104" s="5"/>
      <c r="AC104" s="5"/>
      <c r="AD104" s="5"/>
      <c r="AE104" s="5"/>
    </row>
    <row r="105" spans="1:34" customFormat="1">
      <c r="A105" s="113">
        <v>76</v>
      </c>
      <c r="B105" s="113" t="s">
        <v>6439</v>
      </c>
      <c r="C105" s="120" t="s">
        <v>5310</v>
      </c>
      <c r="D105" s="124">
        <v>0.5</v>
      </c>
      <c r="E105" s="124">
        <v>0.5</v>
      </c>
      <c r="F105" s="113" t="s">
        <v>2112</v>
      </c>
      <c r="G105" s="113" t="s">
        <v>2702</v>
      </c>
      <c r="H105" s="113" t="s">
        <v>98</v>
      </c>
      <c r="I105" s="113" t="s">
        <v>46</v>
      </c>
      <c r="J105" s="118" t="s">
        <v>2129</v>
      </c>
      <c r="K105" s="118" t="s">
        <v>2712</v>
      </c>
      <c r="L105" s="118" t="s">
        <v>5305</v>
      </c>
      <c r="M105" s="120" t="s">
        <v>5308</v>
      </c>
      <c r="N105" s="115" t="s">
        <v>6399</v>
      </c>
      <c r="O105" s="115" t="s">
        <v>2128</v>
      </c>
      <c r="P105" s="113">
        <v>495</v>
      </c>
      <c r="Q105" s="113">
        <v>80</v>
      </c>
      <c r="R105" s="113">
        <v>120</v>
      </c>
      <c r="S105" s="113">
        <v>130</v>
      </c>
      <c r="T105" s="120">
        <v>55</v>
      </c>
      <c r="U105" s="113">
        <v>65</v>
      </c>
      <c r="V105" s="113">
        <v>45</v>
      </c>
      <c r="W105" s="129"/>
      <c r="X105" s="129"/>
      <c r="Y105" s="5"/>
      <c r="Z105" s="5"/>
      <c r="AA105" s="5"/>
      <c r="AB105" s="5"/>
      <c r="AC105" s="5"/>
      <c r="AD105" s="5"/>
      <c r="AE105" s="5"/>
      <c r="AH105" s="5"/>
    </row>
    <row r="106" spans="1:34" customFormat="1">
      <c r="A106" s="113">
        <v>77</v>
      </c>
      <c r="B106" s="113" t="s">
        <v>101</v>
      </c>
      <c r="C106" s="120" t="s">
        <v>5311</v>
      </c>
      <c r="D106" s="124">
        <v>0.5</v>
      </c>
      <c r="E106" s="124">
        <v>0.5</v>
      </c>
      <c r="F106" s="113" t="s">
        <v>2332</v>
      </c>
      <c r="G106" s="113" t="s">
        <v>1973</v>
      </c>
      <c r="H106" s="113" t="s">
        <v>19</v>
      </c>
      <c r="I106" s="113" t="s">
        <v>1109</v>
      </c>
      <c r="J106" s="118" t="s">
        <v>2129</v>
      </c>
      <c r="K106" s="118" t="s">
        <v>4658</v>
      </c>
      <c r="L106" s="118" t="s">
        <v>5311</v>
      </c>
      <c r="M106" s="115" t="s">
        <v>1109</v>
      </c>
      <c r="N106" s="115" t="s">
        <v>2129</v>
      </c>
      <c r="O106" s="115" t="s">
        <v>1109</v>
      </c>
      <c r="P106" s="113">
        <v>410</v>
      </c>
      <c r="Q106" s="113">
        <v>50</v>
      </c>
      <c r="R106" s="113">
        <v>85</v>
      </c>
      <c r="S106" s="113">
        <v>55</v>
      </c>
      <c r="T106" s="120">
        <v>65</v>
      </c>
      <c r="U106" s="113">
        <v>65</v>
      </c>
      <c r="V106" s="113">
        <v>90</v>
      </c>
      <c r="W106" s="129"/>
      <c r="X106" s="129"/>
      <c r="Y106" s="5"/>
      <c r="Z106" s="5"/>
      <c r="AA106" s="5"/>
      <c r="AB106" s="5"/>
      <c r="AC106" s="5"/>
      <c r="AD106" s="5"/>
      <c r="AE106" s="5"/>
    </row>
    <row r="107" spans="1:34" customFormat="1">
      <c r="A107" s="113">
        <v>77</v>
      </c>
      <c r="B107" s="113" t="s">
        <v>6454</v>
      </c>
      <c r="C107" s="120" t="s">
        <v>5312</v>
      </c>
      <c r="D107" s="124">
        <v>0.5</v>
      </c>
      <c r="E107" s="124">
        <v>0.5</v>
      </c>
      <c r="F107" s="113" t="s">
        <v>2332</v>
      </c>
      <c r="G107" s="113" t="s">
        <v>2703</v>
      </c>
      <c r="H107" s="113" t="s">
        <v>86</v>
      </c>
      <c r="I107" s="113" t="s">
        <v>1109</v>
      </c>
      <c r="J107" s="118" t="s">
        <v>2129</v>
      </c>
      <c r="K107" s="118" t="s">
        <v>4658</v>
      </c>
      <c r="L107" s="118" t="s">
        <v>5311</v>
      </c>
      <c r="M107" s="115" t="s">
        <v>1109</v>
      </c>
      <c r="N107" s="115" t="s">
        <v>2129</v>
      </c>
      <c r="O107" s="115" t="s">
        <v>1109</v>
      </c>
      <c r="P107" s="113">
        <v>410</v>
      </c>
      <c r="Q107" s="113">
        <v>50</v>
      </c>
      <c r="R107" s="113">
        <v>85</v>
      </c>
      <c r="S107" s="113">
        <v>55</v>
      </c>
      <c r="T107" s="120">
        <v>65</v>
      </c>
      <c r="U107" s="113">
        <v>65</v>
      </c>
      <c r="V107" s="113">
        <v>90</v>
      </c>
      <c r="W107" s="129"/>
      <c r="X107" s="129"/>
      <c r="Y107" s="5"/>
      <c r="Z107" s="5"/>
      <c r="AA107" s="5"/>
      <c r="AB107" s="5"/>
      <c r="AC107" s="5"/>
      <c r="AD107" s="5"/>
      <c r="AE107" s="5"/>
      <c r="AH107" s="5"/>
    </row>
    <row r="108" spans="1:34" customFormat="1">
      <c r="A108" s="113">
        <v>78</v>
      </c>
      <c r="B108" s="113" t="s">
        <v>102</v>
      </c>
      <c r="C108" s="120" t="s">
        <v>5313</v>
      </c>
      <c r="D108" s="124">
        <v>0.5</v>
      </c>
      <c r="E108" s="124">
        <v>0.5</v>
      </c>
      <c r="F108" s="113" t="s">
        <v>2332</v>
      </c>
      <c r="G108" s="113" t="s">
        <v>1973</v>
      </c>
      <c r="H108" s="113" t="s">
        <v>19</v>
      </c>
      <c r="I108" s="113" t="s">
        <v>1109</v>
      </c>
      <c r="J108" s="118" t="s">
        <v>2129</v>
      </c>
      <c r="K108" s="118" t="s">
        <v>4658</v>
      </c>
      <c r="L108" s="118" t="s">
        <v>5311</v>
      </c>
      <c r="M108" s="115" t="s">
        <v>5311</v>
      </c>
      <c r="N108" s="115" t="s">
        <v>6399</v>
      </c>
      <c r="O108" s="115" t="s">
        <v>2128</v>
      </c>
      <c r="P108" s="113">
        <v>500</v>
      </c>
      <c r="Q108" s="113">
        <v>65</v>
      </c>
      <c r="R108" s="113">
        <v>100</v>
      </c>
      <c r="S108" s="113">
        <v>70</v>
      </c>
      <c r="T108" s="120">
        <v>80</v>
      </c>
      <c r="U108" s="113">
        <v>80</v>
      </c>
      <c r="V108" s="113">
        <v>105</v>
      </c>
      <c r="W108" s="129"/>
      <c r="X108" s="129"/>
      <c r="Y108" s="5"/>
      <c r="Z108" s="5"/>
      <c r="AA108" s="5"/>
      <c r="AB108" s="5"/>
      <c r="AC108" s="5"/>
      <c r="AD108" s="5"/>
      <c r="AE108" s="5"/>
    </row>
    <row r="109" spans="1:34" customFormat="1">
      <c r="A109" s="113">
        <v>78</v>
      </c>
      <c r="B109" s="113" t="s">
        <v>6428</v>
      </c>
      <c r="C109" s="120" t="s">
        <v>5314</v>
      </c>
      <c r="D109" s="124">
        <v>0.5</v>
      </c>
      <c r="E109" s="124">
        <v>0.5</v>
      </c>
      <c r="F109" s="113" t="s">
        <v>2332</v>
      </c>
      <c r="G109" s="113" t="s">
        <v>2703</v>
      </c>
      <c r="H109" s="113" t="s">
        <v>86</v>
      </c>
      <c r="I109" s="113" t="s">
        <v>56</v>
      </c>
      <c r="J109" s="118" t="s">
        <v>2129</v>
      </c>
      <c r="K109" s="118" t="s">
        <v>4658</v>
      </c>
      <c r="L109" s="118" t="s">
        <v>5311</v>
      </c>
      <c r="M109" s="120" t="s">
        <v>5312</v>
      </c>
      <c r="N109" s="115" t="s">
        <v>6399</v>
      </c>
      <c r="O109" s="115" t="s">
        <v>2128</v>
      </c>
      <c r="P109" s="113">
        <v>500</v>
      </c>
      <c r="Q109" s="113">
        <v>65</v>
      </c>
      <c r="R109" s="113">
        <v>100</v>
      </c>
      <c r="S109" s="113">
        <v>70</v>
      </c>
      <c r="T109" s="120">
        <v>80</v>
      </c>
      <c r="U109" s="113">
        <v>80</v>
      </c>
      <c r="V109" s="113">
        <v>105</v>
      </c>
      <c r="W109" s="129"/>
      <c r="X109" s="129"/>
      <c r="Y109" s="5"/>
      <c r="Z109" s="5"/>
      <c r="AA109" s="5"/>
      <c r="AB109" s="5"/>
      <c r="AC109" s="5"/>
      <c r="AD109" s="5"/>
      <c r="AE109" s="5"/>
      <c r="AH109" s="5"/>
    </row>
    <row r="110" spans="1:34" customFormat="1">
      <c r="A110" s="113">
        <v>79</v>
      </c>
      <c r="B110" s="113" t="s">
        <v>103</v>
      </c>
      <c r="C110" s="120" t="s">
        <v>5315</v>
      </c>
      <c r="D110" s="124">
        <v>0.5</v>
      </c>
      <c r="E110" s="124">
        <v>0.5</v>
      </c>
      <c r="F110" s="113" t="s">
        <v>2331</v>
      </c>
      <c r="G110" s="113" t="s">
        <v>1973</v>
      </c>
      <c r="H110" s="113" t="s">
        <v>25</v>
      </c>
      <c r="I110" s="113" t="s">
        <v>86</v>
      </c>
      <c r="J110" s="118" t="s">
        <v>2129</v>
      </c>
      <c r="K110" s="118" t="s">
        <v>4658</v>
      </c>
      <c r="L110" s="118" t="s">
        <v>5315</v>
      </c>
      <c r="M110" s="115" t="s">
        <v>1109</v>
      </c>
      <c r="N110" s="115" t="s">
        <v>2129</v>
      </c>
      <c r="O110" s="115" t="s">
        <v>1109</v>
      </c>
      <c r="P110" s="113">
        <v>315</v>
      </c>
      <c r="Q110" s="113">
        <v>90</v>
      </c>
      <c r="R110" s="113">
        <v>65</v>
      </c>
      <c r="S110" s="113">
        <v>65</v>
      </c>
      <c r="T110" s="120">
        <v>40</v>
      </c>
      <c r="U110" s="113">
        <v>40</v>
      </c>
      <c r="V110" s="113">
        <v>15</v>
      </c>
      <c r="W110" s="129"/>
      <c r="X110" s="129"/>
      <c r="Y110" s="5"/>
      <c r="Z110" s="5"/>
      <c r="AA110" s="5"/>
      <c r="AB110" s="5"/>
      <c r="AC110" s="5"/>
      <c r="AD110" s="5"/>
      <c r="AE110" s="5"/>
    </row>
    <row r="111" spans="1:34" customFormat="1">
      <c r="A111" s="113">
        <v>79</v>
      </c>
      <c r="B111" s="113" t="s">
        <v>6455</v>
      </c>
      <c r="C111" s="120" t="s">
        <v>5316</v>
      </c>
      <c r="D111" s="124">
        <v>0.5</v>
      </c>
      <c r="E111" s="124">
        <v>0.5</v>
      </c>
      <c r="F111" s="113" t="s">
        <v>2331</v>
      </c>
      <c r="G111" s="113" t="s">
        <v>2703</v>
      </c>
      <c r="H111" s="113" t="s">
        <v>86</v>
      </c>
      <c r="I111" s="113" t="s">
        <v>1109</v>
      </c>
      <c r="J111" s="118" t="s">
        <v>2129</v>
      </c>
      <c r="K111" s="118" t="s">
        <v>4658</v>
      </c>
      <c r="L111" s="118" t="s">
        <v>5315</v>
      </c>
      <c r="M111" s="115" t="s">
        <v>1109</v>
      </c>
      <c r="N111" s="115" t="s">
        <v>2129</v>
      </c>
      <c r="O111" s="115" t="s">
        <v>1109</v>
      </c>
      <c r="P111" s="113">
        <v>315</v>
      </c>
      <c r="Q111" s="113">
        <v>90</v>
      </c>
      <c r="R111" s="113">
        <v>65</v>
      </c>
      <c r="S111" s="113">
        <v>65</v>
      </c>
      <c r="T111" s="120">
        <v>40</v>
      </c>
      <c r="U111" s="113">
        <v>40</v>
      </c>
      <c r="V111" s="113">
        <v>15</v>
      </c>
      <c r="W111" s="129"/>
      <c r="X111" s="129"/>
      <c r="Y111" s="5"/>
      <c r="Z111" s="5"/>
      <c r="AA111" s="5"/>
      <c r="AB111" s="5"/>
      <c r="AC111" s="5"/>
      <c r="AD111" s="5"/>
      <c r="AE111" s="5"/>
      <c r="AH111" s="5"/>
    </row>
    <row r="112" spans="1:34" customFormat="1">
      <c r="A112" s="113">
        <v>80</v>
      </c>
      <c r="B112" s="113" t="s">
        <v>104</v>
      </c>
      <c r="C112" s="120" t="s">
        <v>5317</v>
      </c>
      <c r="D112" s="124">
        <v>0.5</v>
      </c>
      <c r="E112" s="124">
        <v>0.5</v>
      </c>
      <c r="F112" s="113" t="s">
        <v>2331</v>
      </c>
      <c r="G112" s="113" t="s">
        <v>1973</v>
      </c>
      <c r="H112" s="113" t="s">
        <v>25</v>
      </c>
      <c r="I112" s="113" t="s">
        <v>86</v>
      </c>
      <c r="J112" s="118" t="s">
        <v>2129</v>
      </c>
      <c r="K112" s="118" t="s">
        <v>4658</v>
      </c>
      <c r="L112" s="118" t="s">
        <v>5315</v>
      </c>
      <c r="M112" s="115" t="s">
        <v>5315</v>
      </c>
      <c r="N112" s="115" t="s">
        <v>6399</v>
      </c>
      <c r="O112" s="115" t="s">
        <v>1803</v>
      </c>
      <c r="P112" s="113">
        <v>490</v>
      </c>
      <c r="Q112" s="113">
        <v>95</v>
      </c>
      <c r="R112" s="113">
        <v>75</v>
      </c>
      <c r="S112" s="113">
        <v>110</v>
      </c>
      <c r="T112" s="120">
        <v>100</v>
      </c>
      <c r="U112" s="113">
        <v>80</v>
      </c>
      <c r="V112" s="113">
        <v>30</v>
      </c>
      <c r="W112" s="129"/>
      <c r="X112" s="129"/>
      <c r="Y112" s="5"/>
      <c r="Z112" s="5"/>
      <c r="AA112" s="5"/>
      <c r="AB112" s="5"/>
      <c r="AC112" s="5"/>
      <c r="AD112" s="5"/>
      <c r="AE112" s="5"/>
    </row>
    <row r="113" spans="1:34" customFormat="1">
      <c r="A113" s="113">
        <v>80</v>
      </c>
      <c r="B113" s="113" t="s">
        <v>6425</v>
      </c>
      <c r="C113" s="120" t="s">
        <v>5318</v>
      </c>
      <c r="D113" s="124">
        <v>0.5</v>
      </c>
      <c r="E113" s="124">
        <v>0.5</v>
      </c>
      <c r="F113" s="113" t="s">
        <v>2331</v>
      </c>
      <c r="G113" s="113" t="s">
        <v>2703</v>
      </c>
      <c r="H113" s="113" t="s">
        <v>15</v>
      </c>
      <c r="I113" s="113" t="s">
        <v>86</v>
      </c>
      <c r="J113" s="118" t="s">
        <v>2129</v>
      </c>
      <c r="K113" s="118" t="s">
        <v>4658</v>
      </c>
      <c r="L113" s="118" t="s">
        <v>5315</v>
      </c>
      <c r="M113" s="120" t="s">
        <v>5316</v>
      </c>
      <c r="N113" s="115" t="s">
        <v>6399</v>
      </c>
      <c r="O113" s="115" t="s">
        <v>2130</v>
      </c>
      <c r="P113" s="113">
        <v>490</v>
      </c>
      <c r="Q113" s="113">
        <v>95</v>
      </c>
      <c r="R113" s="113">
        <v>100</v>
      </c>
      <c r="S113" s="113">
        <v>95</v>
      </c>
      <c r="T113" s="120">
        <v>100</v>
      </c>
      <c r="U113" s="113">
        <v>70</v>
      </c>
      <c r="V113" s="113">
        <v>30</v>
      </c>
      <c r="W113" s="129"/>
      <c r="X113" s="129"/>
      <c r="Y113" s="5"/>
      <c r="Z113" s="5"/>
      <c r="AA113" s="5"/>
      <c r="AB113" s="5"/>
      <c r="AC113" s="5"/>
      <c r="AD113" s="5"/>
      <c r="AE113" s="5"/>
      <c r="AH113" s="5"/>
    </row>
    <row r="114" spans="1:34" customFormat="1" hidden="1">
      <c r="A114" s="113">
        <v>80</v>
      </c>
      <c r="B114" s="113" t="s">
        <v>2836</v>
      </c>
      <c r="C114" s="120" t="s">
        <v>5319</v>
      </c>
      <c r="D114" s="124">
        <v>0.5</v>
      </c>
      <c r="E114" s="124">
        <v>0.5</v>
      </c>
      <c r="F114" s="113" t="s">
        <v>2331</v>
      </c>
      <c r="G114" s="113" t="s">
        <v>1973</v>
      </c>
      <c r="H114" s="113" t="s">
        <v>25</v>
      </c>
      <c r="I114" s="113" t="s">
        <v>86</v>
      </c>
      <c r="J114" s="118" t="s">
        <v>3973</v>
      </c>
      <c r="K114" s="118" t="s">
        <v>4659</v>
      </c>
      <c r="L114" s="118" t="s">
        <v>5315</v>
      </c>
      <c r="M114" s="115" t="s">
        <v>5317</v>
      </c>
      <c r="N114" s="115" t="s">
        <v>3973</v>
      </c>
      <c r="O114" s="115" t="s">
        <v>4480</v>
      </c>
      <c r="P114" s="113">
        <v>590</v>
      </c>
      <c r="Q114" s="113">
        <v>95</v>
      </c>
      <c r="R114" s="113">
        <v>75</v>
      </c>
      <c r="S114" s="113">
        <v>180</v>
      </c>
      <c r="T114" s="120">
        <v>130</v>
      </c>
      <c r="U114" s="113">
        <v>80</v>
      </c>
      <c r="V114" s="113">
        <v>30</v>
      </c>
      <c r="W114" s="129"/>
      <c r="X114" s="129"/>
      <c r="Y114" s="5"/>
      <c r="Z114" s="5"/>
      <c r="AA114" s="5"/>
      <c r="AB114" s="5"/>
      <c r="AC114" s="5"/>
      <c r="AD114" s="5"/>
      <c r="AE114" s="5"/>
    </row>
    <row r="115" spans="1:34" customFormat="1">
      <c r="A115" s="113">
        <v>81</v>
      </c>
      <c r="B115" s="113" t="s">
        <v>105</v>
      </c>
      <c r="C115" s="120" t="s">
        <v>5320</v>
      </c>
      <c r="D115" s="124" t="s">
        <v>1109</v>
      </c>
      <c r="E115" s="124" t="s">
        <v>1109</v>
      </c>
      <c r="F115" s="113" t="s">
        <v>2112</v>
      </c>
      <c r="G115" s="113" t="s">
        <v>1973</v>
      </c>
      <c r="H115" s="113" t="s">
        <v>46</v>
      </c>
      <c r="I115" s="113" t="s">
        <v>106</v>
      </c>
      <c r="J115" s="118" t="s">
        <v>2129</v>
      </c>
      <c r="K115" s="118" t="s">
        <v>2712</v>
      </c>
      <c r="L115" s="118" t="s">
        <v>5320</v>
      </c>
      <c r="M115" s="115" t="s">
        <v>1109</v>
      </c>
      <c r="N115" s="115" t="s">
        <v>2129</v>
      </c>
      <c r="O115" s="115" t="s">
        <v>1109</v>
      </c>
      <c r="P115" s="113">
        <v>325</v>
      </c>
      <c r="Q115" s="113">
        <v>25</v>
      </c>
      <c r="R115" s="113">
        <v>35</v>
      </c>
      <c r="S115" s="113">
        <v>70</v>
      </c>
      <c r="T115" s="120">
        <v>95</v>
      </c>
      <c r="U115" s="113">
        <v>55</v>
      </c>
      <c r="V115" s="113">
        <v>45</v>
      </c>
      <c r="W115" s="129"/>
      <c r="X115" s="129"/>
      <c r="Y115" s="5"/>
      <c r="Z115" s="5"/>
      <c r="AA115" s="5"/>
      <c r="AB115" s="5"/>
      <c r="AC115" s="5"/>
      <c r="AD115" s="5"/>
      <c r="AE115" s="5"/>
    </row>
    <row r="116" spans="1:34" customFormat="1">
      <c r="A116" s="113">
        <v>82</v>
      </c>
      <c r="B116" s="113" t="s">
        <v>107</v>
      </c>
      <c r="C116" s="120" t="s">
        <v>5321</v>
      </c>
      <c r="D116" s="124" t="s">
        <v>1109</v>
      </c>
      <c r="E116" s="124" t="s">
        <v>1109</v>
      </c>
      <c r="F116" s="113" t="s">
        <v>2112</v>
      </c>
      <c r="G116" s="113" t="s">
        <v>1973</v>
      </c>
      <c r="H116" s="113" t="s">
        <v>46</v>
      </c>
      <c r="I116" s="113" t="s">
        <v>106</v>
      </c>
      <c r="J116" s="118" t="s">
        <v>2129</v>
      </c>
      <c r="K116" s="118" t="s">
        <v>2712</v>
      </c>
      <c r="L116" s="118" t="s">
        <v>5320</v>
      </c>
      <c r="M116" s="115" t="s">
        <v>5320</v>
      </c>
      <c r="N116" s="115" t="s">
        <v>6398</v>
      </c>
      <c r="O116" s="115" t="s">
        <v>2128</v>
      </c>
      <c r="P116" s="113">
        <v>465</v>
      </c>
      <c r="Q116" s="113">
        <v>50</v>
      </c>
      <c r="R116" s="113">
        <v>60</v>
      </c>
      <c r="S116" s="113">
        <v>95</v>
      </c>
      <c r="T116" s="120">
        <v>120</v>
      </c>
      <c r="U116" s="113">
        <v>70</v>
      </c>
      <c r="V116" s="113">
        <v>70</v>
      </c>
      <c r="W116" s="129"/>
      <c r="X116" s="129"/>
      <c r="Y116" s="5"/>
      <c r="Z116" s="5"/>
      <c r="AA116" s="5"/>
      <c r="AB116" s="5"/>
      <c r="AC116" s="5"/>
      <c r="AD116" s="5"/>
      <c r="AE116" s="5"/>
    </row>
    <row r="117" spans="1:34">
      <c r="A117" s="113">
        <v>83</v>
      </c>
      <c r="B117" s="113" t="s">
        <v>108</v>
      </c>
      <c r="C117" s="120" t="s">
        <v>5322</v>
      </c>
      <c r="D117" s="124">
        <v>0.5</v>
      </c>
      <c r="E117" s="124">
        <v>0.5</v>
      </c>
      <c r="F117" s="113" t="s">
        <v>22</v>
      </c>
      <c r="G117" s="113" t="s">
        <v>1973</v>
      </c>
      <c r="H117" s="113" t="s">
        <v>22</v>
      </c>
      <c r="I117" s="113" t="s">
        <v>36</v>
      </c>
      <c r="J117" s="118" t="s">
        <v>2129</v>
      </c>
      <c r="K117" s="118" t="s">
        <v>4658</v>
      </c>
      <c r="L117" s="118" t="s">
        <v>5322</v>
      </c>
      <c r="M117" s="115" t="s">
        <v>1109</v>
      </c>
      <c r="N117" s="115" t="s">
        <v>6399</v>
      </c>
      <c r="O117" s="115" t="s">
        <v>1109</v>
      </c>
      <c r="P117" s="113">
        <v>377</v>
      </c>
      <c r="Q117" s="113">
        <v>52</v>
      </c>
      <c r="R117" s="113">
        <v>90</v>
      </c>
      <c r="S117" s="113">
        <v>55</v>
      </c>
      <c r="T117" s="120">
        <v>58</v>
      </c>
      <c r="U117" s="113">
        <v>62</v>
      </c>
      <c r="V117" s="113">
        <v>60</v>
      </c>
      <c r="W117" s="129"/>
      <c r="X117" s="129"/>
      <c r="AF117"/>
      <c r="AG117"/>
      <c r="AH117"/>
    </row>
    <row r="118" spans="1:34" customFormat="1">
      <c r="A118" s="113">
        <v>83</v>
      </c>
      <c r="B118" s="113" t="s">
        <v>6449</v>
      </c>
      <c r="C118" s="120" t="s">
        <v>5323</v>
      </c>
      <c r="D118" s="124">
        <v>0.5</v>
      </c>
      <c r="E118" s="124">
        <v>0.5</v>
      </c>
      <c r="F118" s="113" t="s">
        <v>22</v>
      </c>
      <c r="G118" s="113" t="s">
        <v>2703</v>
      </c>
      <c r="H118" s="113" t="s">
        <v>78</v>
      </c>
      <c r="I118" s="113" t="s">
        <v>1109</v>
      </c>
      <c r="J118" s="118" t="s">
        <v>2129</v>
      </c>
      <c r="K118" s="118" t="s">
        <v>4658</v>
      </c>
      <c r="L118" s="118" t="s">
        <v>5322</v>
      </c>
      <c r="M118" s="115" t="s">
        <v>1109</v>
      </c>
      <c r="N118" s="115" t="s">
        <v>2129</v>
      </c>
      <c r="O118" s="115" t="s">
        <v>1109</v>
      </c>
      <c r="P118" s="113">
        <v>377</v>
      </c>
      <c r="Q118" s="113">
        <v>52</v>
      </c>
      <c r="R118" s="113">
        <v>95</v>
      </c>
      <c r="S118" s="113">
        <v>55</v>
      </c>
      <c r="T118" s="120">
        <v>58</v>
      </c>
      <c r="U118" s="113">
        <v>62</v>
      </c>
      <c r="V118" s="113">
        <v>55</v>
      </c>
      <c r="W118" s="129"/>
      <c r="X118" s="129"/>
      <c r="Y118" s="5"/>
      <c r="Z118" s="5"/>
      <c r="AA118" s="5"/>
      <c r="AB118" s="5"/>
      <c r="AC118" s="5"/>
      <c r="AD118" s="5"/>
      <c r="AE118" s="5"/>
      <c r="AH118" s="5"/>
    </row>
    <row r="119" spans="1:34" customFormat="1">
      <c r="A119" s="113">
        <v>84</v>
      </c>
      <c r="B119" s="113" t="s">
        <v>109</v>
      </c>
      <c r="C119" s="120" t="s">
        <v>5324</v>
      </c>
      <c r="D119" s="124">
        <v>0.5</v>
      </c>
      <c r="E119" s="124">
        <v>0.5</v>
      </c>
      <c r="F119" s="113" t="s">
        <v>22</v>
      </c>
      <c r="G119" s="113" t="s">
        <v>1973</v>
      </c>
      <c r="H119" s="113" t="s">
        <v>22</v>
      </c>
      <c r="I119" s="113" t="s">
        <v>36</v>
      </c>
      <c r="J119" s="118" t="s">
        <v>2129</v>
      </c>
      <c r="K119" s="118" t="s">
        <v>4658</v>
      </c>
      <c r="L119" s="118" t="s">
        <v>5324</v>
      </c>
      <c r="M119" s="115" t="s">
        <v>1109</v>
      </c>
      <c r="N119" s="115" t="s">
        <v>2129</v>
      </c>
      <c r="O119" s="115" t="s">
        <v>1109</v>
      </c>
      <c r="P119" s="113">
        <v>310</v>
      </c>
      <c r="Q119" s="113">
        <v>35</v>
      </c>
      <c r="R119" s="113">
        <v>85</v>
      </c>
      <c r="S119" s="113">
        <v>45</v>
      </c>
      <c r="T119" s="120">
        <v>35</v>
      </c>
      <c r="U119" s="113">
        <v>35</v>
      </c>
      <c r="V119" s="113">
        <v>75</v>
      </c>
      <c r="W119" s="129"/>
      <c r="X119" s="129"/>
      <c r="Y119" s="5"/>
      <c r="Z119" s="5"/>
      <c r="AA119" s="5"/>
      <c r="AB119" s="5"/>
      <c r="AC119" s="5"/>
      <c r="AD119" s="5"/>
      <c r="AE119" s="5"/>
      <c r="AH119" s="5"/>
    </row>
    <row r="120" spans="1:34" customFormat="1">
      <c r="A120" s="113">
        <v>85</v>
      </c>
      <c r="B120" s="113" t="s">
        <v>110</v>
      </c>
      <c r="C120" s="120" t="s">
        <v>5325</v>
      </c>
      <c r="D120" s="124">
        <v>0.5</v>
      </c>
      <c r="E120" s="124">
        <v>0.5</v>
      </c>
      <c r="F120" s="113" t="s">
        <v>22</v>
      </c>
      <c r="G120" s="113" t="s">
        <v>1973</v>
      </c>
      <c r="H120" s="113" t="s">
        <v>22</v>
      </c>
      <c r="I120" s="113" t="s">
        <v>36</v>
      </c>
      <c r="J120" s="118" t="s">
        <v>2129</v>
      </c>
      <c r="K120" s="118" t="s">
        <v>4658</v>
      </c>
      <c r="L120" s="118" t="s">
        <v>5324</v>
      </c>
      <c r="M120" s="115" t="s">
        <v>5324</v>
      </c>
      <c r="N120" s="115" t="s">
        <v>6399</v>
      </c>
      <c r="O120" s="115" t="s">
        <v>2128</v>
      </c>
      <c r="P120" s="113">
        <v>470</v>
      </c>
      <c r="Q120" s="113">
        <v>60</v>
      </c>
      <c r="R120" s="113">
        <v>110</v>
      </c>
      <c r="S120" s="113">
        <v>70</v>
      </c>
      <c r="T120" s="120">
        <v>60</v>
      </c>
      <c r="U120" s="113">
        <v>60</v>
      </c>
      <c r="V120" s="113">
        <v>110</v>
      </c>
      <c r="W120" s="129"/>
      <c r="X120" s="129"/>
      <c r="Y120" s="5"/>
      <c r="Z120" s="5"/>
      <c r="AA120" s="5"/>
      <c r="AB120" s="5"/>
      <c r="AC120" s="5"/>
      <c r="AD120" s="5"/>
      <c r="AE120" s="5"/>
    </row>
    <row r="121" spans="1:34" customFormat="1">
      <c r="A121" s="113">
        <v>86</v>
      </c>
      <c r="B121" s="113" t="s">
        <v>111</v>
      </c>
      <c r="C121" s="120" t="s">
        <v>5326</v>
      </c>
      <c r="D121" s="124">
        <v>0.5</v>
      </c>
      <c r="E121" s="124">
        <v>0.5</v>
      </c>
      <c r="F121" s="113" t="s">
        <v>2335</v>
      </c>
      <c r="G121" s="113" t="s">
        <v>1973</v>
      </c>
      <c r="H121" s="113" t="s">
        <v>25</v>
      </c>
      <c r="I121" s="113" t="s">
        <v>1109</v>
      </c>
      <c r="J121" s="118" t="s">
        <v>2129</v>
      </c>
      <c r="K121" s="118" t="s">
        <v>4658</v>
      </c>
      <c r="L121" s="118" t="s">
        <v>5326</v>
      </c>
      <c r="M121" s="115" t="s">
        <v>1109</v>
      </c>
      <c r="N121" s="115" t="s">
        <v>2129</v>
      </c>
      <c r="O121" s="115" t="s">
        <v>1109</v>
      </c>
      <c r="P121" s="113">
        <v>325</v>
      </c>
      <c r="Q121" s="113">
        <v>65</v>
      </c>
      <c r="R121" s="113">
        <v>45</v>
      </c>
      <c r="S121" s="113">
        <v>55</v>
      </c>
      <c r="T121" s="120">
        <v>45</v>
      </c>
      <c r="U121" s="113">
        <v>70</v>
      </c>
      <c r="V121" s="113">
        <v>45</v>
      </c>
      <c r="W121" s="129"/>
      <c r="X121" s="129"/>
      <c r="Y121" s="5"/>
      <c r="Z121" s="5"/>
      <c r="AA121" s="5"/>
      <c r="AB121" s="5"/>
      <c r="AC121" s="5"/>
      <c r="AD121" s="5"/>
      <c r="AE121" s="5"/>
    </row>
    <row r="122" spans="1:34" customFormat="1">
      <c r="A122" s="113">
        <v>87</v>
      </c>
      <c r="B122" s="113" t="s">
        <v>112</v>
      </c>
      <c r="C122" s="120" t="s">
        <v>5327</v>
      </c>
      <c r="D122" s="124">
        <v>0.5</v>
      </c>
      <c r="E122" s="124">
        <v>0.5</v>
      </c>
      <c r="F122" s="113" t="s">
        <v>2335</v>
      </c>
      <c r="G122" s="113" t="s">
        <v>1973</v>
      </c>
      <c r="H122" s="113" t="s">
        <v>25</v>
      </c>
      <c r="I122" s="113" t="s">
        <v>113</v>
      </c>
      <c r="J122" s="118" t="s">
        <v>2129</v>
      </c>
      <c r="K122" s="118" t="s">
        <v>4658</v>
      </c>
      <c r="L122" s="118" t="s">
        <v>5326</v>
      </c>
      <c r="M122" s="115" t="s">
        <v>5326</v>
      </c>
      <c r="N122" s="115" t="s">
        <v>6399</v>
      </c>
      <c r="O122" s="115" t="s">
        <v>2128</v>
      </c>
      <c r="P122" s="113">
        <v>475</v>
      </c>
      <c r="Q122" s="113">
        <v>90</v>
      </c>
      <c r="R122" s="113">
        <v>70</v>
      </c>
      <c r="S122" s="113">
        <v>80</v>
      </c>
      <c r="T122" s="120">
        <v>70</v>
      </c>
      <c r="U122" s="113">
        <v>95</v>
      </c>
      <c r="V122" s="113">
        <v>70</v>
      </c>
      <c r="W122" s="129"/>
      <c r="X122" s="129"/>
      <c r="Y122" s="5"/>
      <c r="Z122" s="5"/>
      <c r="AA122" s="5"/>
      <c r="AB122" s="5"/>
      <c r="AC122" s="5"/>
      <c r="AD122" s="5"/>
      <c r="AE122" s="5"/>
    </row>
    <row r="123" spans="1:34" customFormat="1">
      <c r="A123" s="113">
        <v>88</v>
      </c>
      <c r="B123" s="113" t="s">
        <v>114</v>
      </c>
      <c r="C123" s="120" t="s">
        <v>5328</v>
      </c>
      <c r="D123" s="124">
        <v>0.5</v>
      </c>
      <c r="E123" s="124">
        <v>0.5</v>
      </c>
      <c r="F123" s="113" t="s">
        <v>2336</v>
      </c>
      <c r="G123" s="113" t="s">
        <v>1973</v>
      </c>
      <c r="H123" s="113" t="s">
        <v>15</v>
      </c>
      <c r="I123" s="113" t="s">
        <v>1109</v>
      </c>
      <c r="J123" s="118" t="s">
        <v>2129</v>
      </c>
      <c r="K123" s="118" t="s">
        <v>4658</v>
      </c>
      <c r="L123" s="118" t="s">
        <v>5328</v>
      </c>
      <c r="M123" s="115" t="s">
        <v>1109</v>
      </c>
      <c r="N123" s="115" t="s">
        <v>2129</v>
      </c>
      <c r="O123" s="115" t="s">
        <v>1109</v>
      </c>
      <c r="P123" s="113">
        <v>325</v>
      </c>
      <c r="Q123" s="113">
        <v>80</v>
      </c>
      <c r="R123" s="113">
        <v>80</v>
      </c>
      <c r="S123" s="113">
        <v>50</v>
      </c>
      <c r="T123" s="120">
        <v>40</v>
      </c>
      <c r="U123" s="113">
        <v>50</v>
      </c>
      <c r="V123" s="113">
        <v>25</v>
      </c>
      <c r="W123" s="129"/>
      <c r="X123" s="129"/>
      <c r="Y123" s="5"/>
      <c r="Z123" s="5"/>
      <c r="AA123" s="5"/>
      <c r="AB123" s="5"/>
      <c r="AC123" s="5"/>
      <c r="AD123" s="5"/>
      <c r="AE123" s="5"/>
    </row>
    <row r="124" spans="1:34" customFormat="1">
      <c r="A124" s="113">
        <v>88</v>
      </c>
      <c r="B124" s="113" t="s">
        <v>6440</v>
      </c>
      <c r="C124" s="120" t="s">
        <v>5329</v>
      </c>
      <c r="D124" s="124">
        <v>0.5</v>
      </c>
      <c r="E124" s="124">
        <v>0.5</v>
      </c>
      <c r="F124" s="113" t="s">
        <v>2336</v>
      </c>
      <c r="G124" s="113" t="s">
        <v>2702</v>
      </c>
      <c r="H124" s="113" t="s">
        <v>15</v>
      </c>
      <c r="I124" s="113" t="s">
        <v>158</v>
      </c>
      <c r="J124" s="118" t="s">
        <v>2129</v>
      </c>
      <c r="K124" s="118" t="s">
        <v>4658</v>
      </c>
      <c r="L124" s="118" t="s">
        <v>5328</v>
      </c>
      <c r="M124" s="115" t="s">
        <v>1109</v>
      </c>
      <c r="N124" s="115" t="s">
        <v>2129</v>
      </c>
      <c r="O124" s="115" t="s">
        <v>1109</v>
      </c>
      <c r="P124" s="113">
        <v>325</v>
      </c>
      <c r="Q124" s="113">
        <v>80</v>
      </c>
      <c r="R124" s="113">
        <v>80</v>
      </c>
      <c r="S124" s="113">
        <v>50</v>
      </c>
      <c r="T124" s="120">
        <v>40</v>
      </c>
      <c r="U124" s="113">
        <v>50</v>
      </c>
      <c r="V124" s="113">
        <v>25</v>
      </c>
      <c r="W124" s="129"/>
      <c r="X124" s="129"/>
      <c r="Y124" s="5"/>
      <c r="Z124" s="5"/>
      <c r="AA124" s="5"/>
      <c r="AB124" s="5"/>
      <c r="AC124" s="5"/>
      <c r="AD124" s="5"/>
      <c r="AE124" s="5"/>
    </row>
    <row r="125" spans="1:34" customFormat="1">
      <c r="A125" s="113">
        <v>89</v>
      </c>
      <c r="B125" s="113" t="s">
        <v>115</v>
      </c>
      <c r="C125" s="120" t="s">
        <v>5330</v>
      </c>
      <c r="D125" s="124">
        <v>0.5</v>
      </c>
      <c r="E125" s="124">
        <v>0.5</v>
      </c>
      <c r="F125" s="113" t="s">
        <v>2336</v>
      </c>
      <c r="G125" s="113" t="s">
        <v>1973</v>
      </c>
      <c r="H125" s="113" t="s">
        <v>15</v>
      </c>
      <c r="I125" s="113" t="s">
        <v>1109</v>
      </c>
      <c r="J125" s="118" t="s">
        <v>2129</v>
      </c>
      <c r="K125" s="118" t="s">
        <v>4658</v>
      </c>
      <c r="L125" s="118" t="s">
        <v>5328</v>
      </c>
      <c r="M125" s="115" t="s">
        <v>5328</v>
      </c>
      <c r="N125" s="115" t="s">
        <v>6399</v>
      </c>
      <c r="O125" s="115" t="s">
        <v>2128</v>
      </c>
      <c r="P125" s="113">
        <v>500</v>
      </c>
      <c r="Q125" s="113">
        <v>105</v>
      </c>
      <c r="R125" s="113">
        <v>105</v>
      </c>
      <c r="S125" s="113">
        <v>75</v>
      </c>
      <c r="T125" s="120">
        <v>65</v>
      </c>
      <c r="U125" s="113">
        <v>100</v>
      </c>
      <c r="V125" s="113">
        <v>50</v>
      </c>
      <c r="W125" s="129"/>
      <c r="X125" s="129"/>
      <c r="Y125" s="5"/>
      <c r="Z125" s="5"/>
      <c r="AA125" s="5"/>
      <c r="AB125" s="5"/>
      <c r="AC125" s="5"/>
      <c r="AD125" s="5"/>
      <c r="AE125" s="5"/>
      <c r="AF125" s="5"/>
    </row>
    <row r="126" spans="1:34" customFormat="1">
      <c r="A126" s="113">
        <v>89</v>
      </c>
      <c r="B126" s="113" t="s">
        <v>6441</v>
      </c>
      <c r="C126" s="120" t="s">
        <v>5331</v>
      </c>
      <c r="D126" s="124">
        <v>0.5</v>
      </c>
      <c r="E126" s="124">
        <v>0.5</v>
      </c>
      <c r="F126" s="113" t="s">
        <v>2336</v>
      </c>
      <c r="G126" s="113" t="s">
        <v>2702</v>
      </c>
      <c r="H126" s="113" t="s">
        <v>15</v>
      </c>
      <c r="I126" s="113" t="s">
        <v>158</v>
      </c>
      <c r="J126" s="118" t="s">
        <v>2129</v>
      </c>
      <c r="K126" s="118" t="s">
        <v>4658</v>
      </c>
      <c r="L126" s="118" t="s">
        <v>5328</v>
      </c>
      <c r="M126" s="120" t="s">
        <v>5329</v>
      </c>
      <c r="N126" s="115" t="s">
        <v>6399</v>
      </c>
      <c r="O126" s="115" t="s">
        <v>2128</v>
      </c>
      <c r="P126" s="113">
        <v>500</v>
      </c>
      <c r="Q126" s="113">
        <v>105</v>
      </c>
      <c r="R126" s="113">
        <v>105</v>
      </c>
      <c r="S126" s="113">
        <v>75</v>
      </c>
      <c r="T126" s="120">
        <v>65</v>
      </c>
      <c r="U126" s="113">
        <v>100</v>
      </c>
      <c r="V126" s="113">
        <v>50</v>
      </c>
      <c r="W126" s="129"/>
      <c r="X126" s="129"/>
      <c r="Y126" s="5"/>
      <c r="Z126" s="5"/>
      <c r="AA126" s="5"/>
      <c r="AB126" s="5"/>
      <c r="AC126" s="5"/>
      <c r="AD126" s="5"/>
      <c r="AE126" s="5"/>
      <c r="AF126" s="5"/>
      <c r="AH126" s="5"/>
    </row>
    <row r="127" spans="1:34" customFormat="1">
      <c r="A127" s="113">
        <v>90</v>
      </c>
      <c r="B127" s="113" t="s">
        <v>116</v>
      </c>
      <c r="C127" s="120" t="s">
        <v>5332</v>
      </c>
      <c r="D127" s="124">
        <v>0.5</v>
      </c>
      <c r="E127" s="124">
        <v>0.5</v>
      </c>
      <c r="F127" s="113" t="s">
        <v>2335</v>
      </c>
      <c r="G127" s="113" t="s">
        <v>1973</v>
      </c>
      <c r="H127" s="113" t="s">
        <v>25</v>
      </c>
      <c r="I127" s="113" t="s">
        <v>1109</v>
      </c>
      <c r="J127" s="118" t="s">
        <v>2129</v>
      </c>
      <c r="K127" s="118" t="s">
        <v>4658</v>
      </c>
      <c r="L127" s="118" t="s">
        <v>5332</v>
      </c>
      <c r="M127" s="115" t="s">
        <v>1109</v>
      </c>
      <c r="N127" s="115" t="s">
        <v>2129</v>
      </c>
      <c r="O127" s="115" t="s">
        <v>1109</v>
      </c>
      <c r="P127" s="113">
        <v>305</v>
      </c>
      <c r="Q127" s="113">
        <v>30</v>
      </c>
      <c r="R127" s="113">
        <v>65</v>
      </c>
      <c r="S127" s="113">
        <v>100</v>
      </c>
      <c r="T127" s="120">
        <v>45</v>
      </c>
      <c r="U127" s="113">
        <v>25</v>
      </c>
      <c r="V127" s="113">
        <v>40</v>
      </c>
      <c r="W127" s="129"/>
      <c r="X127" s="129"/>
      <c r="Y127" s="5"/>
      <c r="Z127" s="5"/>
      <c r="AA127" s="5"/>
      <c r="AB127" s="5"/>
      <c r="AC127" s="5"/>
      <c r="AD127" s="5"/>
      <c r="AE127" s="5"/>
    </row>
    <row r="128" spans="1:34" customFormat="1">
      <c r="A128" s="113">
        <v>91</v>
      </c>
      <c r="B128" s="113" t="s">
        <v>117</v>
      </c>
      <c r="C128" s="120" t="s">
        <v>5333</v>
      </c>
      <c r="D128" s="124">
        <v>0.5</v>
      </c>
      <c r="E128" s="124">
        <v>0.5</v>
      </c>
      <c r="F128" s="113" t="s">
        <v>2337</v>
      </c>
      <c r="G128" s="113" t="s">
        <v>1973</v>
      </c>
      <c r="H128" s="113" t="s">
        <v>25</v>
      </c>
      <c r="I128" s="113" t="s">
        <v>113</v>
      </c>
      <c r="J128" s="118" t="s">
        <v>2129</v>
      </c>
      <c r="K128" s="118" t="s">
        <v>4658</v>
      </c>
      <c r="L128" s="118" t="s">
        <v>5332</v>
      </c>
      <c r="M128" s="115" t="s">
        <v>5332</v>
      </c>
      <c r="N128" s="115" t="s">
        <v>6399</v>
      </c>
      <c r="O128" s="115" t="s">
        <v>1803</v>
      </c>
      <c r="P128" s="113">
        <v>525</v>
      </c>
      <c r="Q128" s="113">
        <v>50</v>
      </c>
      <c r="R128" s="113">
        <v>95</v>
      </c>
      <c r="S128" s="113">
        <v>180</v>
      </c>
      <c r="T128" s="120">
        <v>85</v>
      </c>
      <c r="U128" s="113">
        <v>45</v>
      </c>
      <c r="V128" s="113">
        <v>70</v>
      </c>
      <c r="W128" s="129"/>
      <c r="X128" s="129"/>
      <c r="Y128" s="5"/>
      <c r="Z128" s="5"/>
      <c r="AA128" s="5"/>
      <c r="AB128" s="5"/>
      <c r="AC128" s="5"/>
      <c r="AD128" s="5"/>
      <c r="AE128" s="5"/>
    </row>
    <row r="129" spans="1:34" customFormat="1">
      <c r="A129" s="113">
        <v>92</v>
      </c>
      <c r="B129" s="113" t="s">
        <v>118</v>
      </c>
      <c r="C129" s="120" t="s">
        <v>5334</v>
      </c>
      <c r="D129" s="124">
        <v>0.5</v>
      </c>
      <c r="E129" s="124">
        <v>0.5</v>
      </c>
      <c r="F129" s="113" t="s">
        <v>2336</v>
      </c>
      <c r="G129" s="113" t="s">
        <v>1973</v>
      </c>
      <c r="H129" s="113" t="s">
        <v>119</v>
      </c>
      <c r="I129" s="113" t="s">
        <v>15</v>
      </c>
      <c r="J129" s="118" t="s">
        <v>2129</v>
      </c>
      <c r="K129" s="118" t="s">
        <v>4658</v>
      </c>
      <c r="L129" s="118" t="s">
        <v>5334</v>
      </c>
      <c r="M129" s="115" t="s">
        <v>1109</v>
      </c>
      <c r="N129" s="115" t="s">
        <v>2129</v>
      </c>
      <c r="O129" s="115" t="s">
        <v>1109</v>
      </c>
      <c r="P129" s="113">
        <v>310</v>
      </c>
      <c r="Q129" s="113">
        <v>30</v>
      </c>
      <c r="R129" s="113">
        <v>35</v>
      </c>
      <c r="S129" s="113">
        <v>30</v>
      </c>
      <c r="T129" s="120">
        <v>100</v>
      </c>
      <c r="U129" s="113">
        <v>35</v>
      </c>
      <c r="V129" s="113">
        <v>80</v>
      </c>
      <c r="W129" s="129"/>
      <c r="X129" s="129"/>
      <c r="Y129" s="5"/>
      <c r="Z129" s="5"/>
      <c r="AA129" s="5"/>
      <c r="AB129" s="5"/>
      <c r="AC129" s="5"/>
      <c r="AD129" s="5"/>
      <c r="AE129" s="5"/>
    </row>
    <row r="130" spans="1:34" customFormat="1">
      <c r="A130" s="113">
        <v>93</v>
      </c>
      <c r="B130" s="113" t="s">
        <v>120</v>
      </c>
      <c r="C130" s="120" t="s">
        <v>5335</v>
      </c>
      <c r="D130" s="124">
        <v>0.5</v>
      </c>
      <c r="E130" s="124">
        <v>0.5</v>
      </c>
      <c r="F130" s="113" t="s">
        <v>2336</v>
      </c>
      <c r="G130" s="113" t="s">
        <v>1973</v>
      </c>
      <c r="H130" s="113" t="s">
        <v>119</v>
      </c>
      <c r="I130" s="113" t="s">
        <v>15</v>
      </c>
      <c r="J130" s="118" t="s">
        <v>2129</v>
      </c>
      <c r="K130" s="118" t="s">
        <v>4658</v>
      </c>
      <c r="L130" s="118" t="s">
        <v>5334</v>
      </c>
      <c r="M130" s="115" t="s">
        <v>5334</v>
      </c>
      <c r="N130" s="115" t="s">
        <v>6398</v>
      </c>
      <c r="O130" s="115" t="s">
        <v>2128</v>
      </c>
      <c r="P130" s="113">
        <v>405</v>
      </c>
      <c r="Q130" s="113">
        <v>45</v>
      </c>
      <c r="R130" s="113">
        <v>50</v>
      </c>
      <c r="S130" s="113">
        <v>45</v>
      </c>
      <c r="T130" s="120">
        <v>115</v>
      </c>
      <c r="U130" s="113">
        <v>55</v>
      </c>
      <c r="V130" s="113">
        <v>95</v>
      </c>
      <c r="W130" s="129"/>
      <c r="X130" s="129"/>
      <c r="Y130" s="5"/>
      <c r="Z130" s="5"/>
      <c r="AA130" s="5"/>
      <c r="AB130" s="5"/>
      <c r="AC130" s="5"/>
      <c r="AD130" s="5"/>
      <c r="AE130" s="5"/>
    </row>
    <row r="131" spans="1:34" customFormat="1">
      <c r="A131" s="113">
        <v>94</v>
      </c>
      <c r="B131" s="113" t="s">
        <v>121</v>
      </c>
      <c r="C131" s="120" t="s">
        <v>5336</v>
      </c>
      <c r="D131" s="124">
        <v>0.5</v>
      </c>
      <c r="E131" s="124">
        <v>0.5</v>
      </c>
      <c r="F131" s="113" t="s">
        <v>2336</v>
      </c>
      <c r="G131" s="113" t="s">
        <v>1973</v>
      </c>
      <c r="H131" s="113" t="s">
        <v>119</v>
      </c>
      <c r="I131" s="113" t="s">
        <v>15</v>
      </c>
      <c r="J131" s="118" t="s">
        <v>2129</v>
      </c>
      <c r="K131" s="118" t="s">
        <v>4658</v>
      </c>
      <c r="L131" s="118" t="s">
        <v>5334</v>
      </c>
      <c r="M131" s="115" t="s">
        <v>5335</v>
      </c>
      <c r="N131" s="115" t="s">
        <v>6399</v>
      </c>
      <c r="O131" s="115" t="s">
        <v>2128</v>
      </c>
      <c r="P131" s="113">
        <v>500</v>
      </c>
      <c r="Q131" s="113">
        <v>60</v>
      </c>
      <c r="R131" s="113">
        <v>65</v>
      </c>
      <c r="S131" s="113">
        <v>60</v>
      </c>
      <c r="T131" s="120">
        <v>130</v>
      </c>
      <c r="U131" s="113">
        <v>75</v>
      </c>
      <c r="V131" s="113">
        <v>110</v>
      </c>
      <c r="W131" s="129"/>
      <c r="X131" s="129"/>
      <c r="Y131" s="5"/>
      <c r="Z131" s="5"/>
      <c r="AA131" s="5"/>
      <c r="AB131" s="5"/>
      <c r="AC131" s="5"/>
      <c r="AD131" s="5"/>
      <c r="AE131" s="5"/>
    </row>
    <row r="132" spans="1:34" customFormat="1" hidden="1">
      <c r="A132" s="113">
        <v>94</v>
      </c>
      <c r="B132" s="113" t="s">
        <v>2846</v>
      </c>
      <c r="C132" s="120" t="s">
        <v>5337</v>
      </c>
      <c r="D132" s="124">
        <v>0.5</v>
      </c>
      <c r="E132" s="124">
        <v>0.5</v>
      </c>
      <c r="F132" s="113" t="s">
        <v>2336</v>
      </c>
      <c r="G132" s="113" t="s">
        <v>1973</v>
      </c>
      <c r="H132" s="113" t="s">
        <v>119</v>
      </c>
      <c r="I132" s="113" t="s">
        <v>15</v>
      </c>
      <c r="J132" s="118" t="s">
        <v>3973</v>
      </c>
      <c r="K132" s="118" t="s">
        <v>4659</v>
      </c>
      <c r="L132" s="118" t="s">
        <v>5334</v>
      </c>
      <c r="M132" s="115" t="s">
        <v>5336</v>
      </c>
      <c r="N132" s="115" t="s">
        <v>3973</v>
      </c>
      <c r="O132" s="115" t="s">
        <v>4480</v>
      </c>
      <c r="P132" s="113">
        <v>600</v>
      </c>
      <c r="Q132" s="113">
        <v>60</v>
      </c>
      <c r="R132" s="113">
        <v>65</v>
      </c>
      <c r="S132" s="113">
        <v>80</v>
      </c>
      <c r="T132" s="120">
        <v>170</v>
      </c>
      <c r="U132" s="113">
        <v>95</v>
      </c>
      <c r="V132" s="113">
        <v>130</v>
      </c>
      <c r="W132" s="129"/>
      <c r="X132" s="129"/>
      <c r="Y132" s="5"/>
      <c r="Z132" s="5"/>
      <c r="AA132" s="5"/>
      <c r="AB132" s="5"/>
      <c r="AC132" s="5"/>
      <c r="AD132" s="5"/>
      <c r="AE132" s="5"/>
    </row>
    <row r="133" spans="1:34" customFormat="1">
      <c r="A133" s="113">
        <v>95</v>
      </c>
      <c r="B133" s="113" t="s">
        <v>122</v>
      </c>
      <c r="C133" s="120" t="s">
        <v>5338</v>
      </c>
      <c r="D133" s="124">
        <v>0.5</v>
      </c>
      <c r="E133" s="124">
        <v>0.5</v>
      </c>
      <c r="F133" s="113" t="s">
        <v>2112</v>
      </c>
      <c r="G133" s="113" t="s">
        <v>1973</v>
      </c>
      <c r="H133" s="113" t="s">
        <v>98</v>
      </c>
      <c r="I133" s="113" t="s">
        <v>49</v>
      </c>
      <c r="J133" s="118" t="s">
        <v>2129</v>
      </c>
      <c r="K133" s="118" t="s">
        <v>4657</v>
      </c>
      <c r="L133" s="118" t="s">
        <v>5338</v>
      </c>
      <c r="M133" s="115" t="s">
        <v>1109</v>
      </c>
      <c r="N133" s="115" t="s">
        <v>2129</v>
      </c>
      <c r="O133" s="115" t="s">
        <v>1109</v>
      </c>
      <c r="P133" s="113">
        <v>385</v>
      </c>
      <c r="Q133" s="113">
        <v>35</v>
      </c>
      <c r="R133" s="113">
        <v>45</v>
      </c>
      <c r="S133" s="113">
        <v>160</v>
      </c>
      <c r="T133" s="120">
        <v>30</v>
      </c>
      <c r="U133" s="113">
        <v>45</v>
      </c>
      <c r="V133" s="113">
        <v>70</v>
      </c>
      <c r="W133" s="129"/>
      <c r="X133" s="129"/>
      <c r="Y133" s="5"/>
      <c r="Z133" s="5"/>
      <c r="AA133" s="5"/>
      <c r="AB133" s="5"/>
      <c r="AC133" s="5"/>
      <c r="AD133" s="5"/>
      <c r="AE133" s="5"/>
    </row>
    <row r="134" spans="1:34" customFormat="1">
      <c r="A134" s="113">
        <v>96</v>
      </c>
      <c r="B134" s="113" t="s">
        <v>123</v>
      </c>
      <c r="C134" s="120" t="s">
        <v>5339</v>
      </c>
      <c r="D134" s="124">
        <v>0.5</v>
      </c>
      <c r="E134" s="124">
        <v>0.5</v>
      </c>
      <c r="F134" s="113" t="s">
        <v>2334</v>
      </c>
      <c r="G134" s="113" t="s">
        <v>1973</v>
      </c>
      <c r="H134" s="113" t="s">
        <v>86</v>
      </c>
      <c r="I134" s="113" t="s">
        <v>1109</v>
      </c>
      <c r="J134" s="118" t="s">
        <v>2129</v>
      </c>
      <c r="K134" s="118" t="s">
        <v>4658</v>
      </c>
      <c r="L134" s="118" t="s">
        <v>5339</v>
      </c>
      <c r="M134" s="115" t="s">
        <v>1109</v>
      </c>
      <c r="N134" s="115" t="s">
        <v>2129</v>
      </c>
      <c r="O134" s="115" t="s">
        <v>1109</v>
      </c>
      <c r="P134" s="113">
        <v>328</v>
      </c>
      <c r="Q134" s="113">
        <v>60</v>
      </c>
      <c r="R134" s="113">
        <v>48</v>
      </c>
      <c r="S134" s="113">
        <v>45</v>
      </c>
      <c r="T134" s="120">
        <v>43</v>
      </c>
      <c r="U134" s="113">
        <v>90</v>
      </c>
      <c r="V134" s="113">
        <v>42</v>
      </c>
      <c r="W134" s="129"/>
      <c r="X134" s="129"/>
      <c r="Y134" s="5"/>
      <c r="Z134" s="5"/>
      <c r="AA134" s="5"/>
      <c r="AB134" s="5"/>
      <c r="AC134" s="5"/>
      <c r="AD134" s="5"/>
      <c r="AE134" s="5"/>
    </row>
    <row r="135" spans="1:34" customFormat="1">
      <c r="A135" s="113">
        <v>97</v>
      </c>
      <c r="B135" s="113" t="s">
        <v>124</v>
      </c>
      <c r="C135" s="120" t="s">
        <v>5340</v>
      </c>
      <c r="D135" s="124">
        <v>0.5</v>
      </c>
      <c r="E135" s="124">
        <v>0.5</v>
      </c>
      <c r="F135" s="113" t="s">
        <v>2334</v>
      </c>
      <c r="G135" s="113" t="s">
        <v>1973</v>
      </c>
      <c r="H135" s="113" t="s">
        <v>86</v>
      </c>
      <c r="I135" s="113" t="s">
        <v>1109</v>
      </c>
      <c r="J135" s="118" t="s">
        <v>2129</v>
      </c>
      <c r="K135" s="118" t="s">
        <v>4658</v>
      </c>
      <c r="L135" s="118" t="s">
        <v>5339</v>
      </c>
      <c r="M135" s="115" t="s">
        <v>5339</v>
      </c>
      <c r="N135" s="115" t="s">
        <v>6399</v>
      </c>
      <c r="O135" s="115" t="s">
        <v>2128</v>
      </c>
      <c r="P135" s="113">
        <v>483</v>
      </c>
      <c r="Q135" s="113">
        <v>85</v>
      </c>
      <c r="R135" s="113">
        <v>73</v>
      </c>
      <c r="S135" s="113">
        <v>70</v>
      </c>
      <c r="T135" s="120">
        <v>73</v>
      </c>
      <c r="U135" s="113">
        <v>115</v>
      </c>
      <c r="V135" s="113">
        <v>67</v>
      </c>
      <c r="W135" s="129"/>
      <c r="X135" s="129"/>
      <c r="Y135" s="5"/>
      <c r="Z135" s="5"/>
      <c r="AA135" s="5"/>
      <c r="AB135" s="5"/>
      <c r="AC135" s="5"/>
      <c r="AD135" s="5"/>
      <c r="AE135" s="5"/>
    </row>
    <row r="136" spans="1:34" customFormat="1">
      <c r="A136" s="113">
        <v>98</v>
      </c>
      <c r="B136" s="113" t="s">
        <v>125</v>
      </c>
      <c r="C136" s="120" t="s">
        <v>5341</v>
      </c>
      <c r="D136" s="124">
        <v>0.5</v>
      </c>
      <c r="E136" s="124">
        <v>0.5</v>
      </c>
      <c r="F136" s="113" t="s">
        <v>2335</v>
      </c>
      <c r="G136" s="113" t="s">
        <v>1973</v>
      </c>
      <c r="H136" s="113" t="s">
        <v>25</v>
      </c>
      <c r="I136" s="113" t="s">
        <v>1109</v>
      </c>
      <c r="J136" s="118" t="s">
        <v>2129</v>
      </c>
      <c r="K136" s="118" t="s">
        <v>2712</v>
      </c>
      <c r="L136" s="118" t="s">
        <v>5341</v>
      </c>
      <c r="M136" s="115" t="s">
        <v>1109</v>
      </c>
      <c r="N136" s="115" t="s">
        <v>2129</v>
      </c>
      <c r="O136" s="115" t="s">
        <v>1109</v>
      </c>
      <c r="P136" s="113">
        <v>325</v>
      </c>
      <c r="Q136" s="113">
        <v>30</v>
      </c>
      <c r="R136" s="113">
        <v>105</v>
      </c>
      <c r="S136" s="113">
        <v>90</v>
      </c>
      <c r="T136" s="120">
        <v>25</v>
      </c>
      <c r="U136" s="113">
        <v>25</v>
      </c>
      <c r="V136" s="113">
        <v>50</v>
      </c>
      <c r="W136" s="129"/>
      <c r="X136" s="129"/>
      <c r="Y136" s="5"/>
      <c r="Z136" s="5"/>
      <c r="AA136" s="5"/>
      <c r="AB136" s="5"/>
      <c r="AC136" s="5"/>
      <c r="AD136" s="5"/>
      <c r="AE136" s="5"/>
    </row>
    <row r="137" spans="1:34" customFormat="1">
      <c r="A137" s="113">
        <v>99</v>
      </c>
      <c r="B137" s="113" t="s">
        <v>126</v>
      </c>
      <c r="C137" s="120" t="s">
        <v>5342</v>
      </c>
      <c r="D137" s="124">
        <v>0.5</v>
      </c>
      <c r="E137" s="124">
        <v>0.5</v>
      </c>
      <c r="F137" s="113" t="s">
        <v>2335</v>
      </c>
      <c r="G137" s="113" t="s">
        <v>1973</v>
      </c>
      <c r="H137" s="113" t="s">
        <v>25</v>
      </c>
      <c r="I137" s="113" t="s">
        <v>1109</v>
      </c>
      <c r="J137" s="118" t="s">
        <v>2129</v>
      </c>
      <c r="K137" s="118" t="s">
        <v>2712</v>
      </c>
      <c r="L137" s="118" t="s">
        <v>5341</v>
      </c>
      <c r="M137" s="115" t="s">
        <v>5341</v>
      </c>
      <c r="N137" s="115" t="s">
        <v>6399</v>
      </c>
      <c r="O137" s="115" t="s">
        <v>2128</v>
      </c>
      <c r="P137" s="113">
        <v>475</v>
      </c>
      <c r="Q137" s="113">
        <v>55</v>
      </c>
      <c r="R137" s="113">
        <v>130</v>
      </c>
      <c r="S137" s="113">
        <v>115</v>
      </c>
      <c r="T137" s="120">
        <v>50</v>
      </c>
      <c r="U137" s="113">
        <v>50</v>
      </c>
      <c r="V137" s="113">
        <v>75</v>
      </c>
      <c r="W137" s="129"/>
      <c r="X137" s="129"/>
      <c r="Y137" s="5"/>
      <c r="Z137" s="5"/>
      <c r="AA137" s="5"/>
      <c r="AB137" s="5"/>
      <c r="AC137" s="5"/>
      <c r="AD137" s="5"/>
      <c r="AE137" s="5"/>
      <c r="AG137" s="5"/>
    </row>
    <row r="138" spans="1:34" customFormat="1">
      <c r="A138" s="113">
        <v>100</v>
      </c>
      <c r="B138" s="113" t="s">
        <v>127</v>
      </c>
      <c r="C138" s="120" t="s">
        <v>5343</v>
      </c>
      <c r="D138" s="124" t="s">
        <v>1109</v>
      </c>
      <c r="E138" s="124" t="s">
        <v>1109</v>
      </c>
      <c r="F138" s="113" t="s">
        <v>2112</v>
      </c>
      <c r="G138" s="113" t="s">
        <v>1973</v>
      </c>
      <c r="H138" s="113" t="s">
        <v>46</v>
      </c>
      <c r="I138" s="113" t="s">
        <v>1109</v>
      </c>
      <c r="J138" s="118" t="s">
        <v>2129</v>
      </c>
      <c r="K138" s="118" t="s">
        <v>2712</v>
      </c>
      <c r="L138" s="118" t="s">
        <v>5343</v>
      </c>
      <c r="M138" s="115" t="s">
        <v>1109</v>
      </c>
      <c r="N138" s="115" t="s">
        <v>2129</v>
      </c>
      <c r="O138" s="115" t="s">
        <v>1109</v>
      </c>
      <c r="P138" s="113">
        <v>330</v>
      </c>
      <c r="Q138" s="113">
        <v>40</v>
      </c>
      <c r="R138" s="113">
        <v>30</v>
      </c>
      <c r="S138" s="113">
        <v>50</v>
      </c>
      <c r="T138" s="120">
        <v>55</v>
      </c>
      <c r="U138" s="113">
        <v>55</v>
      </c>
      <c r="V138" s="113">
        <v>100</v>
      </c>
      <c r="W138" s="129"/>
      <c r="X138" s="129"/>
      <c r="Y138" s="5"/>
      <c r="Z138" s="5"/>
      <c r="AA138" s="5"/>
      <c r="AB138" s="5"/>
      <c r="AC138" s="5"/>
      <c r="AD138" s="5"/>
      <c r="AE138" s="5"/>
    </row>
    <row r="139" spans="1:34" customFormat="1">
      <c r="A139" s="113">
        <v>100</v>
      </c>
      <c r="B139" s="113" t="s">
        <v>2848</v>
      </c>
      <c r="C139" s="120" t="s">
        <v>5344</v>
      </c>
      <c r="D139" s="124">
        <v>0.5</v>
      </c>
      <c r="E139" s="124">
        <v>0.5</v>
      </c>
      <c r="F139" s="113" t="s">
        <v>2112</v>
      </c>
      <c r="G139" s="113" t="s">
        <v>4319</v>
      </c>
      <c r="H139" s="113" t="s">
        <v>46</v>
      </c>
      <c r="I139" s="113" t="s">
        <v>14</v>
      </c>
      <c r="J139" s="118" t="s">
        <v>2129</v>
      </c>
      <c r="K139" s="118" t="s">
        <v>2712</v>
      </c>
      <c r="L139" s="118" t="s">
        <v>5343</v>
      </c>
      <c r="M139" s="115" t="s">
        <v>1109</v>
      </c>
      <c r="N139" s="115" t="s">
        <v>2129</v>
      </c>
      <c r="O139" s="115" t="s">
        <v>1109</v>
      </c>
      <c r="P139" s="113">
        <v>330</v>
      </c>
      <c r="Q139" s="113">
        <v>40</v>
      </c>
      <c r="R139" s="113">
        <v>30</v>
      </c>
      <c r="S139" s="113">
        <v>50</v>
      </c>
      <c r="T139" s="120">
        <v>55</v>
      </c>
      <c r="U139" s="113">
        <v>55</v>
      </c>
      <c r="V139" s="113">
        <v>100</v>
      </c>
      <c r="W139" s="129"/>
      <c r="X139" s="129"/>
      <c r="Y139" s="5"/>
      <c r="Z139" s="5"/>
      <c r="AA139" s="5"/>
      <c r="AB139" s="5"/>
      <c r="AC139" s="5"/>
      <c r="AD139" s="5"/>
      <c r="AE139" s="5"/>
    </row>
    <row r="140" spans="1:34" customFormat="1">
      <c r="A140" s="113">
        <v>101</v>
      </c>
      <c r="B140" s="113" t="s">
        <v>128</v>
      </c>
      <c r="C140" s="120" t="s">
        <v>5345</v>
      </c>
      <c r="D140" s="124" t="s">
        <v>1109</v>
      </c>
      <c r="E140" s="124" t="s">
        <v>1109</v>
      </c>
      <c r="F140" s="113" t="s">
        <v>2112</v>
      </c>
      <c r="G140" s="113" t="s">
        <v>1973</v>
      </c>
      <c r="H140" s="113" t="s">
        <v>46</v>
      </c>
      <c r="I140" s="113" t="s">
        <v>1109</v>
      </c>
      <c r="J140" s="118" t="s">
        <v>2129</v>
      </c>
      <c r="K140" s="118" t="s">
        <v>2712</v>
      </c>
      <c r="L140" s="118" t="s">
        <v>5343</v>
      </c>
      <c r="M140" s="115" t="s">
        <v>5343</v>
      </c>
      <c r="N140" s="115" t="s">
        <v>6399</v>
      </c>
      <c r="O140" s="115" t="s">
        <v>2128</v>
      </c>
      <c r="P140" s="113">
        <v>490</v>
      </c>
      <c r="Q140" s="113">
        <v>60</v>
      </c>
      <c r="R140" s="113">
        <v>50</v>
      </c>
      <c r="S140" s="113">
        <v>70</v>
      </c>
      <c r="T140" s="120">
        <v>80</v>
      </c>
      <c r="U140" s="113">
        <v>80</v>
      </c>
      <c r="V140" s="113">
        <v>150</v>
      </c>
      <c r="W140" s="129"/>
      <c r="X140" s="129"/>
      <c r="Y140" s="5"/>
      <c r="Z140" s="5"/>
      <c r="AA140" s="5"/>
      <c r="AB140" s="5"/>
      <c r="AC140" s="5"/>
      <c r="AD140" s="5"/>
      <c r="AE140" s="5"/>
      <c r="AF140" s="5"/>
    </row>
    <row r="141" spans="1:34" customFormat="1">
      <c r="A141" s="113">
        <v>101</v>
      </c>
      <c r="B141" s="113" t="s">
        <v>2850</v>
      </c>
      <c r="C141" s="120" t="s">
        <v>5346</v>
      </c>
      <c r="D141" s="124">
        <v>0.5</v>
      </c>
      <c r="E141" s="124">
        <v>0.5</v>
      </c>
      <c r="F141" s="113" t="s">
        <v>2112</v>
      </c>
      <c r="G141" s="113" t="s">
        <v>4319</v>
      </c>
      <c r="H141" s="113" t="s">
        <v>46</v>
      </c>
      <c r="I141" s="113" t="s">
        <v>4320</v>
      </c>
      <c r="J141" s="118" t="s">
        <v>2129</v>
      </c>
      <c r="K141" s="118" t="s">
        <v>2712</v>
      </c>
      <c r="L141" s="118" t="s">
        <v>5343</v>
      </c>
      <c r="M141" s="120" t="s">
        <v>5344</v>
      </c>
      <c r="N141" s="115" t="s">
        <v>6399</v>
      </c>
      <c r="O141" s="115" t="s">
        <v>2128</v>
      </c>
      <c r="P141" s="113">
        <v>490</v>
      </c>
      <c r="Q141" s="113">
        <v>60</v>
      </c>
      <c r="R141" s="113">
        <v>50</v>
      </c>
      <c r="S141" s="113">
        <v>70</v>
      </c>
      <c r="T141" s="120">
        <v>80</v>
      </c>
      <c r="U141" s="113">
        <v>80</v>
      </c>
      <c r="V141" s="113">
        <v>150</v>
      </c>
      <c r="W141" s="129"/>
      <c r="X141" s="129"/>
      <c r="Y141" s="5"/>
      <c r="Z141" s="5"/>
      <c r="AA141" s="5"/>
      <c r="AB141" s="5"/>
      <c r="AC141" s="5"/>
      <c r="AD141" s="5"/>
      <c r="AE141" s="5"/>
      <c r="AF141" s="5"/>
    </row>
    <row r="142" spans="1:34" customFormat="1">
      <c r="A142" s="113">
        <v>102</v>
      </c>
      <c r="B142" s="113" t="s">
        <v>129</v>
      </c>
      <c r="C142" s="120" t="s">
        <v>5347</v>
      </c>
      <c r="D142" s="124">
        <v>0.5</v>
      </c>
      <c r="E142" s="124">
        <v>0.5</v>
      </c>
      <c r="F142" s="113" t="s">
        <v>14</v>
      </c>
      <c r="G142" s="113" t="s">
        <v>1973</v>
      </c>
      <c r="H142" s="113" t="s">
        <v>14</v>
      </c>
      <c r="I142" s="113" t="s">
        <v>86</v>
      </c>
      <c r="J142" s="118" t="s">
        <v>2129</v>
      </c>
      <c r="K142" s="118" t="s">
        <v>4658</v>
      </c>
      <c r="L142" s="118" t="s">
        <v>5347</v>
      </c>
      <c r="M142" s="115" t="s">
        <v>1109</v>
      </c>
      <c r="N142" s="115" t="s">
        <v>2129</v>
      </c>
      <c r="O142" s="115" t="s">
        <v>1109</v>
      </c>
      <c r="P142" s="113">
        <v>325</v>
      </c>
      <c r="Q142" s="113">
        <v>60</v>
      </c>
      <c r="R142" s="113">
        <v>40</v>
      </c>
      <c r="S142" s="113">
        <v>80</v>
      </c>
      <c r="T142" s="120">
        <v>60</v>
      </c>
      <c r="U142" s="113">
        <v>45</v>
      </c>
      <c r="V142" s="113">
        <v>40</v>
      </c>
      <c r="W142" s="129"/>
      <c r="X142" s="129"/>
      <c r="Y142" s="5"/>
      <c r="Z142" s="5"/>
      <c r="AA142" s="5"/>
      <c r="AB142" s="5"/>
      <c r="AC142" s="5"/>
      <c r="AD142" s="5"/>
      <c r="AE142" s="5"/>
      <c r="AF142" s="5"/>
    </row>
    <row r="143" spans="1:34" customFormat="1">
      <c r="A143" s="113">
        <v>103</v>
      </c>
      <c r="B143" s="113" t="s">
        <v>130</v>
      </c>
      <c r="C143" s="120" t="s">
        <v>5348</v>
      </c>
      <c r="D143" s="124">
        <v>0.5</v>
      </c>
      <c r="E143" s="124">
        <v>0.5</v>
      </c>
      <c r="F143" s="113" t="s">
        <v>14</v>
      </c>
      <c r="G143" s="113" t="s">
        <v>1973</v>
      </c>
      <c r="H143" s="113" t="s">
        <v>14</v>
      </c>
      <c r="I143" s="113" t="s">
        <v>86</v>
      </c>
      <c r="J143" s="118" t="s">
        <v>2129</v>
      </c>
      <c r="K143" s="118" t="s">
        <v>4658</v>
      </c>
      <c r="L143" s="118" t="s">
        <v>5347</v>
      </c>
      <c r="M143" s="115" t="s">
        <v>5347</v>
      </c>
      <c r="N143" s="115" t="s">
        <v>6399</v>
      </c>
      <c r="O143" s="115" t="s">
        <v>1803</v>
      </c>
      <c r="P143" s="113">
        <v>530</v>
      </c>
      <c r="Q143" s="113">
        <v>95</v>
      </c>
      <c r="R143" s="113">
        <v>95</v>
      </c>
      <c r="S143" s="113">
        <v>85</v>
      </c>
      <c r="T143" s="120">
        <v>125</v>
      </c>
      <c r="U143" s="113">
        <v>75</v>
      </c>
      <c r="V143" s="113">
        <v>55</v>
      </c>
      <c r="W143" s="129"/>
      <c r="X143" s="129"/>
      <c r="Y143" s="5"/>
      <c r="Z143" s="5"/>
      <c r="AA143" s="5"/>
      <c r="AB143" s="5"/>
      <c r="AC143" s="5"/>
      <c r="AD143" s="5"/>
      <c r="AE143" s="5"/>
    </row>
    <row r="144" spans="1:34" customFormat="1">
      <c r="A144" s="113">
        <v>103</v>
      </c>
      <c r="B144" s="113" t="s">
        <v>6442</v>
      </c>
      <c r="C144" s="120" t="s">
        <v>5349</v>
      </c>
      <c r="D144" s="124">
        <v>0.5</v>
      </c>
      <c r="E144" s="124">
        <v>0.5</v>
      </c>
      <c r="F144" s="113" t="s">
        <v>14</v>
      </c>
      <c r="G144" s="113" t="s">
        <v>2702</v>
      </c>
      <c r="H144" s="113" t="s">
        <v>14</v>
      </c>
      <c r="I144" s="113" t="s">
        <v>23</v>
      </c>
      <c r="J144" s="118" t="s">
        <v>2129</v>
      </c>
      <c r="K144" s="118" t="s">
        <v>4658</v>
      </c>
      <c r="L144" s="118" t="s">
        <v>5347</v>
      </c>
      <c r="M144" s="115" t="s">
        <v>5347</v>
      </c>
      <c r="N144" s="115" t="s">
        <v>6399</v>
      </c>
      <c r="O144" s="115" t="s">
        <v>1803</v>
      </c>
      <c r="P144" s="113">
        <v>530</v>
      </c>
      <c r="Q144" s="113">
        <v>95</v>
      </c>
      <c r="R144" s="113">
        <v>105</v>
      </c>
      <c r="S144" s="113">
        <v>85</v>
      </c>
      <c r="T144" s="120">
        <v>125</v>
      </c>
      <c r="U144" s="113">
        <v>75</v>
      </c>
      <c r="V144" s="113">
        <v>45</v>
      </c>
      <c r="W144" s="129"/>
      <c r="X144" s="129"/>
      <c r="Y144" s="5"/>
      <c r="Z144" s="5"/>
      <c r="AA144" s="5"/>
      <c r="AB144" s="5"/>
      <c r="AC144" s="5"/>
      <c r="AD144" s="5"/>
      <c r="AE144" s="5"/>
      <c r="AH144" s="5"/>
    </row>
    <row r="145" spans="1:34" customFormat="1">
      <c r="A145" s="113">
        <v>104</v>
      </c>
      <c r="B145" s="113" t="s">
        <v>131</v>
      </c>
      <c r="C145" s="120" t="s">
        <v>5350</v>
      </c>
      <c r="D145" s="124">
        <v>0.5</v>
      </c>
      <c r="E145" s="124">
        <v>0.5</v>
      </c>
      <c r="F145" s="113" t="s">
        <v>2330</v>
      </c>
      <c r="G145" s="113" t="s">
        <v>1973</v>
      </c>
      <c r="H145" s="113" t="s">
        <v>49</v>
      </c>
      <c r="I145" s="113" t="s">
        <v>1109</v>
      </c>
      <c r="J145" s="118" t="s">
        <v>2129</v>
      </c>
      <c r="K145" s="118" t="s">
        <v>4658</v>
      </c>
      <c r="L145" s="118" t="s">
        <v>5350</v>
      </c>
      <c r="M145" s="115" t="s">
        <v>1109</v>
      </c>
      <c r="N145" s="115" t="s">
        <v>2129</v>
      </c>
      <c r="O145" s="115" t="s">
        <v>1109</v>
      </c>
      <c r="P145" s="113">
        <v>320</v>
      </c>
      <c r="Q145" s="113">
        <v>50</v>
      </c>
      <c r="R145" s="113">
        <v>50</v>
      </c>
      <c r="S145" s="113">
        <v>95</v>
      </c>
      <c r="T145" s="120">
        <v>40</v>
      </c>
      <c r="U145" s="113">
        <v>50</v>
      </c>
      <c r="V145" s="113">
        <v>35</v>
      </c>
      <c r="W145" s="129"/>
      <c r="X145" s="129"/>
      <c r="Y145" s="5"/>
      <c r="Z145" s="5"/>
      <c r="AA145" s="5"/>
      <c r="AB145" s="5"/>
      <c r="AC145" s="5"/>
      <c r="AD145" s="5"/>
      <c r="AE145" s="5"/>
    </row>
    <row r="146" spans="1:34" customFormat="1">
      <c r="A146" s="113">
        <v>105</v>
      </c>
      <c r="B146" s="113" t="s">
        <v>132</v>
      </c>
      <c r="C146" s="120" t="s">
        <v>5351</v>
      </c>
      <c r="D146" s="124">
        <v>0.5</v>
      </c>
      <c r="E146" s="124">
        <v>0.5</v>
      </c>
      <c r="F146" s="113" t="s">
        <v>2330</v>
      </c>
      <c r="G146" s="113" t="s">
        <v>1973</v>
      </c>
      <c r="H146" s="113" t="s">
        <v>49</v>
      </c>
      <c r="I146" s="113" t="s">
        <v>1109</v>
      </c>
      <c r="J146" s="118" t="s">
        <v>2129</v>
      </c>
      <c r="K146" s="118" t="s">
        <v>4658</v>
      </c>
      <c r="L146" s="118" t="s">
        <v>5350</v>
      </c>
      <c r="M146" s="115" t="s">
        <v>5350</v>
      </c>
      <c r="N146" s="115" t="s">
        <v>6399</v>
      </c>
      <c r="O146" s="115" t="s">
        <v>2128</v>
      </c>
      <c r="P146" s="113">
        <v>425</v>
      </c>
      <c r="Q146" s="113">
        <v>60</v>
      </c>
      <c r="R146" s="113">
        <v>80</v>
      </c>
      <c r="S146" s="113">
        <v>110</v>
      </c>
      <c r="T146" s="120">
        <v>50</v>
      </c>
      <c r="U146" s="113">
        <v>80</v>
      </c>
      <c r="V146" s="113">
        <v>45</v>
      </c>
      <c r="W146" s="129"/>
      <c r="X146" s="129"/>
      <c r="Y146" s="5"/>
      <c r="Z146" s="5"/>
      <c r="AA146" s="5"/>
      <c r="AB146" s="5"/>
      <c r="AC146" s="5"/>
      <c r="AD146" s="5"/>
      <c r="AE146" s="5"/>
    </row>
    <row r="147" spans="1:34" customFormat="1">
      <c r="A147" s="113">
        <v>105</v>
      </c>
      <c r="B147" s="113" t="s">
        <v>6423</v>
      </c>
      <c r="C147" s="120" t="s">
        <v>5352</v>
      </c>
      <c r="D147" s="124">
        <v>0.5</v>
      </c>
      <c r="E147" s="124">
        <v>0.5</v>
      </c>
      <c r="F147" s="113" t="s">
        <v>2330</v>
      </c>
      <c r="G147" s="113" t="s">
        <v>2702</v>
      </c>
      <c r="H147" s="113" t="s">
        <v>19</v>
      </c>
      <c r="I147" s="113" t="s">
        <v>119</v>
      </c>
      <c r="J147" s="118" t="s">
        <v>2129</v>
      </c>
      <c r="K147" s="118" t="s">
        <v>4658</v>
      </c>
      <c r="L147" s="118" t="s">
        <v>5350</v>
      </c>
      <c r="M147" s="115" t="s">
        <v>5350</v>
      </c>
      <c r="N147" s="115" t="s">
        <v>6399</v>
      </c>
      <c r="O147" s="115" t="s">
        <v>2128</v>
      </c>
      <c r="P147" s="113">
        <v>425</v>
      </c>
      <c r="Q147" s="113">
        <v>60</v>
      </c>
      <c r="R147" s="113">
        <v>80</v>
      </c>
      <c r="S147" s="113">
        <v>110</v>
      </c>
      <c r="T147" s="120">
        <v>50</v>
      </c>
      <c r="U147" s="113">
        <v>80</v>
      </c>
      <c r="V147" s="113">
        <v>45</v>
      </c>
      <c r="W147" s="129"/>
      <c r="X147" s="129"/>
      <c r="Y147" s="5"/>
      <c r="Z147" s="5"/>
      <c r="AA147" s="5"/>
      <c r="AB147" s="5"/>
      <c r="AC147" s="5"/>
      <c r="AD147" s="5"/>
      <c r="AE147" s="5"/>
      <c r="AH147" s="5"/>
    </row>
    <row r="148" spans="1:34" customFormat="1">
      <c r="A148" s="113">
        <v>106</v>
      </c>
      <c r="B148" s="113" t="s">
        <v>133</v>
      </c>
      <c r="C148" s="120" t="s">
        <v>5353</v>
      </c>
      <c r="D148" s="124">
        <v>1</v>
      </c>
      <c r="E148" s="124">
        <v>0</v>
      </c>
      <c r="F148" s="113" t="s">
        <v>2334</v>
      </c>
      <c r="G148" s="113" t="s">
        <v>1973</v>
      </c>
      <c r="H148" s="113" t="s">
        <v>78</v>
      </c>
      <c r="I148" s="113" t="s">
        <v>1109</v>
      </c>
      <c r="J148" s="118" t="s">
        <v>2129</v>
      </c>
      <c r="K148" s="118" t="s">
        <v>4657</v>
      </c>
      <c r="L148" s="118" t="s">
        <v>5507</v>
      </c>
      <c r="M148" s="115" t="s">
        <v>5507</v>
      </c>
      <c r="N148" s="115" t="s">
        <v>6399</v>
      </c>
      <c r="O148" s="115" t="s">
        <v>2128</v>
      </c>
      <c r="P148" s="113">
        <v>455</v>
      </c>
      <c r="Q148" s="113">
        <v>50</v>
      </c>
      <c r="R148" s="113">
        <v>120</v>
      </c>
      <c r="S148" s="113">
        <v>53</v>
      </c>
      <c r="T148" s="120">
        <v>35</v>
      </c>
      <c r="U148" s="113">
        <v>110</v>
      </c>
      <c r="V148" s="113">
        <v>87</v>
      </c>
      <c r="W148" s="129"/>
      <c r="X148" s="129"/>
      <c r="Y148" s="5"/>
      <c r="Z148" s="5"/>
      <c r="AA148" s="5"/>
      <c r="AB148" s="5"/>
      <c r="AC148" s="5"/>
      <c r="AD148" s="5"/>
      <c r="AE148" s="5"/>
    </row>
    <row r="149" spans="1:34" customFormat="1">
      <c r="A149" s="113">
        <v>107</v>
      </c>
      <c r="B149" s="113" t="s">
        <v>134</v>
      </c>
      <c r="C149" s="120" t="s">
        <v>5354</v>
      </c>
      <c r="D149" s="124">
        <v>1</v>
      </c>
      <c r="E149" s="124">
        <v>0</v>
      </c>
      <c r="F149" s="113" t="s">
        <v>2334</v>
      </c>
      <c r="G149" s="113" t="s">
        <v>1973</v>
      </c>
      <c r="H149" s="113" t="s">
        <v>78</v>
      </c>
      <c r="I149" s="113" t="s">
        <v>1109</v>
      </c>
      <c r="J149" s="118" t="s">
        <v>2129</v>
      </c>
      <c r="K149" s="118" t="s">
        <v>4657</v>
      </c>
      <c r="L149" s="118" t="s">
        <v>5507</v>
      </c>
      <c r="M149" s="115" t="s">
        <v>5507</v>
      </c>
      <c r="N149" s="115" t="s">
        <v>6399</v>
      </c>
      <c r="O149" s="115" t="s">
        <v>2128</v>
      </c>
      <c r="P149" s="113">
        <v>455</v>
      </c>
      <c r="Q149" s="113">
        <v>50</v>
      </c>
      <c r="R149" s="113">
        <v>105</v>
      </c>
      <c r="S149" s="113">
        <v>79</v>
      </c>
      <c r="T149" s="120">
        <v>35</v>
      </c>
      <c r="U149" s="113">
        <v>110</v>
      </c>
      <c r="V149" s="113">
        <v>76</v>
      </c>
      <c r="W149" s="129"/>
      <c r="X149" s="129"/>
      <c r="Y149" s="5"/>
      <c r="Z149" s="5"/>
      <c r="AA149" s="5"/>
      <c r="AB149" s="5"/>
      <c r="AC149" s="5"/>
      <c r="AD149" s="5"/>
      <c r="AE149" s="5"/>
    </row>
    <row r="150" spans="1:34" customFormat="1">
      <c r="A150" s="113">
        <v>108</v>
      </c>
      <c r="B150" s="113" t="s">
        <v>135</v>
      </c>
      <c r="C150" s="120" t="s">
        <v>5355</v>
      </c>
      <c r="D150" s="124">
        <v>0.5</v>
      </c>
      <c r="E150" s="124">
        <v>0.5</v>
      </c>
      <c r="F150" s="113" t="s">
        <v>2330</v>
      </c>
      <c r="G150" s="113" t="s">
        <v>1973</v>
      </c>
      <c r="H150" s="113" t="s">
        <v>36</v>
      </c>
      <c r="I150" s="113" t="s">
        <v>1109</v>
      </c>
      <c r="J150" s="118" t="s">
        <v>2129</v>
      </c>
      <c r="K150" s="118" t="s">
        <v>4657</v>
      </c>
      <c r="L150" s="118" t="s">
        <v>5355</v>
      </c>
      <c r="M150" s="115" t="s">
        <v>1109</v>
      </c>
      <c r="N150" s="115" t="s">
        <v>2129</v>
      </c>
      <c r="O150" s="115" t="s">
        <v>1109</v>
      </c>
      <c r="P150" s="113">
        <v>385</v>
      </c>
      <c r="Q150" s="113">
        <v>90</v>
      </c>
      <c r="R150" s="113">
        <v>55</v>
      </c>
      <c r="S150" s="113">
        <v>75</v>
      </c>
      <c r="T150" s="120">
        <v>60</v>
      </c>
      <c r="U150" s="113">
        <v>75</v>
      </c>
      <c r="V150" s="113">
        <v>30</v>
      </c>
      <c r="W150" s="129"/>
      <c r="X150" s="129"/>
      <c r="Y150" s="5"/>
      <c r="Z150" s="5"/>
      <c r="AA150" s="5"/>
      <c r="AB150" s="5"/>
      <c r="AC150" s="5"/>
      <c r="AD150" s="5"/>
      <c r="AE150" s="5"/>
      <c r="AG150" s="5"/>
    </row>
    <row r="151" spans="1:34" customFormat="1">
      <c r="A151" s="113">
        <v>109</v>
      </c>
      <c r="B151" s="113" t="s">
        <v>136</v>
      </c>
      <c r="C151" s="120" t="s">
        <v>5356</v>
      </c>
      <c r="D151" s="124">
        <v>0.5</v>
      </c>
      <c r="E151" s="124">
        <v>0.5</v>
      </c>
      <c r="F151" s="113" t="s">
        <v>2336</v>
      </c>
      <c r="G151" s="113" t="s">
        <v>1973</v>
      </c>
      <c r="H151" s="113" t="s">
        <v>15</v>
      </c>
      <c r="I151" s="113" t="s">
        <v>1109</v>
      </c>
      <c r="J151" s="118" t="s">
        <v>2129</v>
      </c>
      <c r="K151" s="118" t="s">
        <v>4658</v>
      </c>
      <c r="L151" s="118" t="s">
        <v>5356</v>
      </c>
      <c r="M151" s="115" t="s">
        <v>1109</v>
      </c>
      <c r="N151" s="115" t="s">
        <v>2129</v>
      </c>
      <c r="O151" s="115" t="s">
        <v>1109</v>
      </c>
      <c r="P151" s="113">
        <v>340</v>
      </c>
      <c r="Q151" s="113">
        <v>40</v>
      </c>
      <c r="R151" s="113">
        <v>65</v>
      </c>
      <c r="S151" s="113">
        <v>95</v>
      </c>
      <c r="T151" s="120">
        <v>60</v>
      </c>
      <c r="U151" s="113">
        <v>45</v>
      </c>
      <c r="V151" s="113">
        <v>35</v>
      </c>
      <c r="W151" s="129"/>
      <c r="X151" s="129"/>
      <c r="Y151" s="5"/>
      <c r="Z151" s="5"/>
      <c r="AA151" s="5"/>
      <c r="AB151" s="5"/>
      <c r="AC151" s="5"/>
      <c r="AD151" s="5"/>
      <c r="AE151" s="5"/>
    </row>
    <row r="152" spans="1:34" customFormat="1">
      <c r="A152" s="113">
        <v>110</v>
      </c>
      <c r="B152" s="113" t="s">
        <v>137</v>
      </c>
      <c r="C152" s="120" t="s">
        <v>5357</v>
      </c>
      <c r="D152" s="124">
        <v>0.5</v>
      </c>
      <c r="E152" s="124">
        <v>0.5</v>
      </c>
      <c r="F152" s="113" t="s">
        <v>2336</v>
      </c>
      <c r="G152" s="113" t="s">
        <v>1973</v>
      </c>
      <c r="H152" s="113" t="s">
        <v>15</v>
      </c>
      <c r="I152" s="113" t="s">
        <v>1109</v>
      </c>
      <c r="J152" s="118" t="s">
        <v>2129</v>
      </c>
      <c r="K152" s="118" t="s">
        <v>4658</v>
      </c>
      <c r="L152" s="118" t="s">
        <v>5356</v>
      </c>
      <c r="M152" s="115" t="s">
        <v>5356</v>
      </c>
      <c r="N152" s="115" t="s">
        <v>6399</v>
      </c>
      <c r="O152" s="115" t="s">
        <v>2128</v>
      </c>
      <c r="P152" s="113">
        <v>490</v>
      </c>
      <c r="Q152" s="113">
        <v>65</v>
      </c>
      <c r="R152" s="113">
        <v>90</v>
      </c>
      <c r="S152" s="113">
        <v>120</v>
      </c>
      <c r="T152" s="120">
        <v>85</v>
      </c>
      <c r="U152" s="113">
        <v>70</v>
      </c>
      <c r="V152" s="113">
        <v>60</v>
      </c>
      <c r="W152" s="129"/>
      <c r="X152" s="129"/>
      <c r="Y152" s="5"/>
      <c r="Z152" s="5"/>
      <c r="AA152" s="5"/>
      <c r="AB152" s="5"/>
      <c r="AC152" s="5"/>
      <c r="AD152" s="5"/>
      <c r="AE152" s="5"/>
    </row>
    <row r="153" spans="1:34" customFormat="1">
      <c r="A153" s="113">
        <v>110</v>
      </c>
      <c r="B153" s="113" t="s">
        <v>6457</v>
      </c>
      <c r="C153" s="120" t="s">
        <v>5358</v>
      </c>
      <c r="D153" s="124">
        <v>0.5</v>
      </c>
      <c r="E153" s="124">
        <v>0.5</v>
      </c>
      <c r="F153" s="113" t="s">
        <v>2336</v>
      </c>
      <c r="G153" s="113" t="s">
        <v>2703</v>
      </c>
      <c r="H153" s="113" t="s">
        <v>15</v>
      </c>
      <c r="I153" s="113" t="s">
        <v>56</v>
      </c>
      <c r="J153" s="118" t="s">
        <v>2129</v>
      </c>
      <c r="K153" s="118" t="s">
        <v>4658</v>
      </c>
      <c r="L153" s="118" t="s">
        <v>5356</v>
      </c>
      <c r="M153" s="115" t="s">
        <v>5356</v>
      </c>
      <c r="N153" s="115" t="s">
        <v>6399</v>
      </c>
      <c r="O153" s="115" t="s">
        <v>2128</v>
      </c>
      <c r="P153" s="113">
        <v>490</v>
      </c>
      <c r="Q153" s="113">
        <v>65</v>
      </c>
      <c r="R153" s="113">
        <v>90</v>
      </c>
      <c r="S153" s="113">
        <v>120</v>
      </c>
      <c r="T153" s="120">
        <v>85</v>
      </c>
      <c r="U153" s="113">
        <v>70</v>
      </c>
      <c r="V153" s="113">
        <v>60</v>
      </c>
      <c r="W153" s="129"/>
      <c r="X153" s="129"/>
      <c r="Y153" s="5"/>
      <c r="Z153" s="5"/>
      <c r="AA153" s="5"/>
      <c r="AB153" s="5"/>
      <c r="AC153" s="5"/>
      <c r="AD153" s="5"/>
      <c r="AE153" s="5"/>
      <c r="AH153" s="5"/>
    </row>
    <row r="154" spans="1:34" customFormat="1">
      <c r="A154" s="113">
        <v>111</v>
      </c>
      <c r="B154" s="113" t="s">
        <v>138</v>
      </c>
      <c r="C154" s="120" t="s">
        <v>5359</v>
      </c>
      <c r="D154" s="124">
        <v>0.5</v>
      </c>
      <c r="E154" s="124">
        <v>0.5</v>
      </c>
      <c r="F154" s="113" t="s">
        <v>2332</v>
      </c>
      <c r="G154" s="113" t="s">
        <v>1973</v>
      </c>
      <c r="H154" s="113" t="s">
        <v>49</v>
      </c>
      <c r="I154" s="113" t="s">
        <v>98</v>
      </c>
      <c r="J154" s="118" t="s">
        <v>2129</v>
      </c>
      <c r="K154" s="118" t="s">
        <v>4658</v>
      </c>
      <c r="L154" s="118" t="s">
        <v>5359</v>
      </c>
      <c r="M154" s="115" t="s">
        <v>1109</v>
      </c>
      <c r="N154" s="115" t="s">
        <v>2129</v>
      </c>
      <c r="O154" s="115" t="s">
        <v>1109</v>
      </c>
      <c r="P154" s="113">
        <v>345</v>
      </c>
      <c r="Q154" s="113">
        <v>80</v>
      </c>
      <c r="R154" s="113">
        <v>85</v>
      </c>
      <c r="S154" s="113">
        <v>95</v>
      </c>
      <c r="T154" s="120">
        <v>30</v>
      </c>
      <c r="U154" s="113">
        <v>30</v>
      </c>
      <c r="V154" s="113">
        <v>25</v>
      </c>
      <c r="W154" s="129"/>
      <c r="X154" s="129"/>
      <c r="Y154" s="5"/>
      <c r="Z154" s="5"/>
      <c r="AA154" s="5"/>
      <c r="AB154" s="5"/>
      <c r="AC154" s="5"/>
      <c r="AD154" s="5"/>
      <c r="AE154" s="5"/>
    </row>
    <row r="155" spans="1:34" customFormat="1">
      <c r="A155" s="113">
        <v>112</v>
      </c>
      <c r="B155" s="113" t="s">
        <v>139</v>
      </c>
      <c r="C155" s="120" t="s">
        <v>5360</v>
      </c>
      <c r="D155" s="124">
        <v>0.5</v>
      </c>
      <c r="E155" s="124">
        <v>0.5</v>
      </c>
      <c r="F155" s="113" t="s">
        <v>2332</v>
      </c>
      <c r="G155" s="113" t="s">
        <v>1973</v>
      </c>
      <c r="H155" s="113" t="s">
        <v>49</v>
      </c>
      <c r="I155" s="113" t="s">
        <v>98</v>
      </c>
      <c r="J155" s="118" t="s">
        <v>2129</v>
      </c>
      <c r="K155" s="118" t="s">
        <v>4658</v>
      </c>
      <c r="L155" s="118" t="s">
        <v>5359</v>
      </c>
      <c r="M155" s="115" t="s">
        <v>5359</v>
      </c>
      <c r="N155" s="115" t="s">
        <v>6398</v>
      </c>
      <c r="O155" s="115" t="s">
        <v>2128</v>
      </c>
      <c r="P155" s="113">
        <v>485</v>
      </c>
      <c r="Q155" s="113">
        <v>105</v>
      </c>
      <c r="R155" s="113">
        <v>130</v>
      </c>
      <c r="S155" s="113">
        <v>120</v>
      </c>
      <c r="T155" s="120">
        <v>45</v>
      </c>
      <c r="U155" s="113">
        <v>45</v>
      </c>
      <c r="V155" s="113">
        <v>40</v>
      </c>
      <c r="W155" s="129"/>
      <c r="X155" s="129"/>
      <c r="Y155" s="5"/>
      <c r="Z155" s="5"/>
      <c r="AA155" s="5"/>
      <c r="AB155" s="5"/>
      <c r="AC155" s="5"/>
      <c r="AD155" s="5"/>
      <c r="AE155" s="5"/>
    </row>
    <row r="156" spans="1:34" customFormat="1">
      <c r="A156" s="113">
        <v>113</v>
      </c>
      <c r="B156" s="113" t="s">
        <v>140</v>
      </c>
      <c r="C156" s="120" t="s">
        <v>5361</v>
      </c>
      <c r="D156" s="124">
        <v>0</v>
      </c>
      <c r="E156" s="124">
        <v>1</v>
      </c>
      <c r="F156" s="113" t="s">
        <v>56</v>
      </c>
      <c r="G156" s="113" t="s">
        <v>1973</v>
      </c>
      <c r="H156" s="113" t="s">
        <v>36</v>
      </c>
      <c r="I156" s="113" t="s">
        <v>1109</v>
      </c>
      <c r="J156" s="118" t="s">
        <v>2129</v>
      </c>
      <c r="K156" s="118" t="s">
        <v>4657</v>
      </c>
      <c r="L156" s="118" t="s">
        <v>5742</v>
      </c>
      <c r="M156" s="115" t="s">
        <v>5742</v>
      </c>
      <c r="N156" s="115" t="s">
        <v>6398</v>
      </c>
      <c r="O156" s="115" t="s">
        <v>2128</v>
      </c>
      <c r="P156" s="113">
        <v>450</v>
      </c>
      <c r="Q156" s="113">
        <v>250</v>
      </c>
      <c r="R156" s="113">
        <v>5</v>
      </c>
      <c r="S156" s="113">
        <v>5</v>
      </c>
      <c r="T156" s="120">
        <v>35</v>
      </c>
      <c r="U156" s="113">
        <v>105</v>
      </c>
      <c r="V156" s="113">
        <v>50</v>
      </c>
      <c r="W156" s="129"/>
      <c r="X156" s="129"/>
      <c r="Y156" s="5"/>
      <c r="Z156" s="5"/>
      <c r="AA156" s="5"/>
      <c r="AB156" s="5"/>
      <c r="AC156" s="5"/>
      <c r="AD156" s="5"/>
      <c r="AE156" s="5"/>
    </row>
    <row r="157" spans="1:34" customFormat="1">
      <c r="A157" s="113">
        <v>114</v>
      </c>
      <c r="B157" s="113" t="s">
        <v>141</v>
      </c>
      <c r="C157" s="120" t="s">
        <v>5362</v>
      </c>
      <c r="D157" s="124">
        <v>0.5</v>
      </c>
      <c r="E157" s="124">
        <v>0.5</v>
      </c>
      <c r="F157" s="113" t="s">
        <v>14</v>
      </c>
      <c r="G157" s="113" t="s">
        <v>1973</v>
      </c>
      <c r="H157" s="113" t="s">
        <v>14</v>
      </c>
      <c r="I157" s="113" t="s">
        <v>1109</v>
      </c>
      <c r="J157" s="118" t="s">
        <v>2129</v>
      </c>
      <c r="K157" s="118" t="s">
        <v>4658</v>
      </c>
      <c r="L157" s="118" t="s">
        <v>5362</v>
      </c>
      <c r="M157" s="115" t="s">
        <v>1109</v>
      </c>
      <c r="N157" s="115" t="s">
        <v>2129</v>
      </c>
      <c r="O157" s="115" t="s">
        <v>1109</v>
      </c>
      <c r="P157" s="113">
        <v>435</v>
      </c>
      <c r="Q157" s="113">
        <v>65</v>
      </c>
      <c r="R157" s="113">
        <v>55</v>
      </c>
      <c r="S157" s="113">
        <v>115</v>
      </c>
      <c r="T157" s="120">
        <v>100</v>
      </c>
      <c r="U157" s="113">
        <v>40</v>
      </c>
      <c r="V157" s="113">
        <v>60</v>
      </c>
      <c r="W157" s="129"/>
      <c r="X157" s="129"/>
      <c r="Y157" s="5"/>
      <c r="Z157" s="5"/>
      <c r="AA157" s="5"/>
      <c r="AB157" s="5"/>
      <c r="AC157" s="5"/>
      <c r="AD157" s="5"/>
      <c r="AE157" s="5"/>
      <c r="AG157" s="5"/>
    </row>
    <row r="158" spans="1:34" customFormat="1">
      <c r="A158" s="113">
        <v>115</v>
      </c>
      <c r="B158" s="113" t="s">
        <v>142</v>
      </c>
      <c r="C158" s="120" t="s">
        <v>5363</v>
      </c>
      <c r="D158" s="124">
        <v>0</v>
      </c>
      <c r="E158" s="124">
        <v>1</v>
      </c>
      <c r="F158" s="113" t="s">
        <v>2330</v>
      </c>
      <c r="G158" s="113" t="s">
        <v>1973</v>
      </c>
      <c r="H158" s="113" t="s">
        <v>36</v>
      </c>
      <c r="I158" s="113" t="s">
        <v>1109</v>
      </c>
      <c r="J158" s="118" t="s">
        <v>2129</v>
      </c>
      <c r="K158" s="118" t="s">
        <v>4657</v>
      </c>
      <c r="L158" s="118" t="s">
        <v>5363</v>
      </c>
      <c r="M158" s="115" t="s">
        <v>1109</v>
      </c>
      <c r="N158" s="115" t="s">
        <v>6399</v>
      </c>
      <c r="O158" s="115" t="s">
        <v>1109</v>
      </c>
      <c r="P158" s="113">
        <v>490</v>
      </c>
      <c r="Q158" s="113">
        <v>105</v>
      </c>
      <c r="R158" s="113">
        <v>95</v>
      </c>
      <c r="S158" s="113">
        <v>80</v>
      </c>
      <c r="T158" s="120">
        <v>40</v>
      </c>
      <c r="U158" s="113">
        <v>80</v>
      </c>
      <c r="V158" s="113">
        <v>90</v>
      </c>
      <c r="W158" s="129"/>
      <c r="X158" s="129"/>
      <c r="Y158" s="5"/>
      <c r="Z158" s="5"/>
      <c r="AA158" s="5"/>
      <c r="AB158" s="5"/>
      <c r="AC158" s="5"/>
      <c r="AD158" s="5"/>
      <c r="AE158" s="5"/>
    </row>
    <row r="159" spans="1:34" customFormat="1" hidden="1">
      <c r="A159" s="113">
        <v>115</v>
      </c>
      <c r="B159" s="113" t="s">
        <v>2858</v>
      </c>
      <c r="C159" s="120" t="s">
        <v>5364</v>
      </c>
      <c r="D159" s="124">
        <v>0</v>
      </c>
      <c r="E159" s="124">
        <v>1</v>
      </c>
      <c r="F159" s="113" t="s">
        <v>2330</v>
      </c>
      <c r="G159" s="113" t="s">
        <v>1973</v>
      </c>
      <c r="H159" s="113" t="s">
        <v>36</v>
      </c>
      <c r="I159" s="113" t="s">
        <v>1109</v>
      </c>
      <c r="J159" s="118" t="s">
        <v>3973</v>
      </c>
      <c r="K159" s="118" t="s">
        <v>4659</v>
      </c>
      <c r="L159" s="118" t="s">
        <v>5363</v>
      </c>
      <c r="M159" s="115" t="s">
        <v>5363</v>
      </c>
      <c r="N159" s="115" t="s">
        <v>3973</v>
      </c>
      <c r="O159" s="115" t="s">
        <v>4480</v>
      </c>
      <c r="P159" s="113">
        <v>590</v>
      </c>
      <c r="Q159" s="113">
        <v>105</v>
      </c>
      <c r="R159" s="113">
        <v>125</v>
      </c>
      <c r="S159" s="113">
        <v>100</v>
      </c>
      <c r="T159" s="120">
        <v>60</v>
      </c>
      <c r="U159" s="113">
        <v>100</v>
      </c>
      <c r="V159" s="113">
        <v>100</v>
      </c>
      <c r="W159" s="129"/>
      <c r="X159" s="129"/>
      <c r="Y159" s="5"/>
      <c r="Z159" s="5"/>
      <c r="AA159" s="5"/>
      <c r="AB159" s="5"/>
      <c r="AC159" s="5"/>
      <c r="AD159" s="5"/>
      <c r="AE159" s="5"/>
    </row>
    <row r="160" spans="1:34" customFormat="1">
      <c r="A160" s="113">
        <v>116</v>
      </c>
      <c r="B160" s="113" t="s">
        <v>143</v>
      </c>
      <c r="C160" s="120" t="s">
        <v>5365</v>
      </c>
      <c r="D160" s="124">
        <v>0.5</v>
      </c>
      <c r="E160" s="124">
        <v>0.5</v>
      </c>
      <c r="F160" s="113" t="s">
        <v>23</v>
      </c>
      <c r="G160" s="113" t="s">
        <v>1973</v>
      </c>
      <c r="H160" s="113" t="s">
        <v>25</v>
      </c>
      <c r="I160" s="113" t="s">
        <v>1109</v>
      </c>
      <c r="J160" s="118" t="s">
        <v>2129</v>
      </c>
      <c r="K160" s="118" t="s">
        <v>4658</v>
      </c>
      <c r="L160" s="118" t="s">
        <v>5365</v>
      </c>
      <c r="M160" s="115" t="s">
        <v>1109</v>
      </c>
      <c r="N160" s="115" t="s">
        <v>2129</v>
      </c>
      <c r="O160" s="115" t="s">
        <v>1109</v>
      </c>
      <c r="P160" s="113">
        <v>295</v>
      </c>
      <c r="Q160" s="113">
        <v>30</v>
      </c>
      <c r="R160" s="113">
        <v>40</v>
      </c>
      <c r="S160" s="113">
        <v>70</v>
      </c>
      <c r="T160" s="120">
        <v>70</v>
      </c>
      <c r="U160" s="113">
        <v>25</v>
      </c>
      <c r="V160" s="113">
        <v>60</v>
      </c>
      <c r="W160" s="129"/>
      <c r="X160" s="129"/>
      <c r="Y160" s="5"/>
      <c r="Z160" s="5"/>
      <c r="AA160" s="5"/>
      <c r="AB160" s="5"/>
      <c r="AC160" s="5"/>
      <c r="AD160" s="5"/>
      <c r="AE160" s="5"/>
      <c r="AG160" s="5"/>
    </row>
    <row r="161" spans="1:36" customFormat="1">
      <c r="A161" s="113">
        <v>117</v>
      </c>
      <c r="B161" s="113" t="s">
        <v>144</v>
      </c>
      <c r="C161" s="120" t="s">
        <v>5366</v>
      </c>
      <c r="D161" s="124">
        <v>0.5</v>
      </c>
      <c r="E161" s="124">
        <v>0.5</v>
      </c>
      <c r="F161" s="113" t="s">
        <v>23</v>
      </c>
      <c r="G161" s="113" t="s">
        <v>1973</v>
      </c>
      <c r="H161" s="113" t="s">
        <v>25</v>
      </c>
      <c r="I161" s="113" t="s">
        <v>1109</v>
      </c>
      <c r="J161" s="118" t="s">
        <v>2129</v>
      </c>
      <c r="K161" s="118" t="s">
        <v>4658</v>
      </c>
      <c r="L161" s="118" t="s">
        <v>5365</v>
      </c>
      <c r="M161" s="115" t="s">
        <v>5365</v>
      </c>
      <c r="N161" s="115" t="s">
        <v>6398</v>
      </c>
      <c r="O161" s="115" t="s">
        <v>2128</v>
      </c>
      <c r="P161" s="113">
        <v>440</v>
      </c>
      <c r="Q161" s="113">
        <v>55</v>
      </c>
      <c r="R161" s="113">
        <v>65</v>
      </c>
      <c r="S161" s="113">
        <v>95</v>
      </c>
      <c r="T161" s="120">
        <v>95</v>
      </c>
      <c r="U161" s="113">
        <v>45</v>
      </c>
      <c r="V161" s="113">
        <v>85</v>
      </c>
      <c r="W161" s="129"/>
      <c r="X161" s="129"/>
      <c r="Y161" s="5"/>
      <c r="Z161" s="5"/>
      <c r="AA161" s="5"/>
      <c r="AB161" s="5"/>
      <c r="AC161" s="5"/>
      <c r="AD161" s="5"/>
      <c r="AE161" s="5"/>
    </row>
    <row r="162" spans="1:36" customFormat="1">
      <c r="A162" s="113">
        <v>118</v>
      </c>
      <c r="B162" s="113" t="s">
        <v>145</v>
      </c>
      <c r="C162" s="120" t="s">
        <v>5367</v>
      </c>
      <c r="D162" s="124">
        <v>0.5</v>
      </c>
      <c r="E162" s="124">
        <v>0.5</v>
      </c>
      <c r="F162" s="113" t="s">
        <v>2337</v>
      </c>
      <c r="G162" s="113" t="s">
        <v>1973</v>
      </c>
      <c r="H162" s="113" t="s">
        <v>25</v>
      </c>
      <c r="I162" s="113" t="s">
        <v>1109</v>
      </c>
      <c r="J162" s="118" t="s">
        <v>2129</v>
      </c>
      <c r="K162" s="118" t="s">
        <v>4658</v>
      </c>
      <c r="L162" s="118" t="s">
        <v>5367</v>
      </c>
      <c r="M162" s="115" t="s">
        <v>1109</v>
      </c>
      <c r="N162" s="115" t="s">
        <v>2129</v>
      </c>
      <c r="O162" s="115" t="s">
        <v>1109</v>
      </c>
      <c r="P162" s="113">
        <v>320</v>
      </c>
      <c r="Q162" s="113">
        <v>45</v>
      </c>
      <c r="R162" s="113">
        <v>67</v>
      </c>
      <c r="S162" s="113">
        <v>60</v>
      </c>
      <c r="T162" s="120">
        <v>35</v>
      </c>
      <c r="U162" s="113">
        <v>50</v>
      </c>
      <c r="V162" s="113">
        <v>63</v>
      </c>
      <c r="W162" s="129"/>
      <c r="X162" s="129"/>
      <c r="Y162" s="5"/>
      <c r="Z162" s="5"/>
      <c r="AA162" s="5"/>
      <c r="AB162" s="5"/>
      <c r="AC162" s="5"/>
      <c r="AD162" s="5"/>
      <c r="AE162" s="5"/>
    </row>
    <row r="163" spans="1:36" customFormat="1">
      <c r="A163" s="113">
        <v>119</v>
      </c>
      <c r="B163" s="113" t="s">
        <v>146</v>
      </c>
      <c r="C163" s="120" t="s">
        <v>5368</v>
      </c>
      <c r="D163" s="124">
        <v>0.5</v>
      </c>
      <c r="E163" s="124">
        <v>0.5</v>
      </c>
      <c r="F163" s="113" t="s">
        <v>2337</v>
      </c>
      <c r="G163" s="113" t="s">
        <v>1973</v>
      </c>
      <c r="H163" s="113" t="s">
        <v>25</v>
      </c>
      <c r="I163" s="113" t="s">
        <v>1109</v>
      </c>
      <c r="J163" s="118" t="s">
        <v>2129</v>
      </c>
      <c r="K163" s="118" t="s">
        <v>4658</v>
      </c>
      <c r="L163" s="118" t="s">
        <v>5367</v>
      </c>
      <c r="M163" s="115" t="s">
        <v>5367</v>
      </c>
      <c r="N163" s="115" t="s">
        <v>6399</v>
      </c>
      <c r="O163" s="115" t="s">
        <v>2128</v>
      </c>
      <c r="P163" s="113">
        <v>450</v>
      </c>
      <c r="Q163" s="113">
        <v>80</v>
      </c>
      <c r="R163" s="113">
        <v>92</v>
      </c>
      <c r="S163" s="113">
        <v>65</v>
      </c>
      <c r="T163" s="120">
        <v>65</v>
      </c>
      <c r="U163" s="113">
        <v>80</v>
      </c>
      <c r="V163" s="113">
        <v>68</v>
      </c>
      <c r="W163" s="129"/>
      <c r="X163" s="129"/>
      <c r="Y163" s="5"/>
      <c r="Z163" s="5"/>
      <c r="AA163" s="5"/>
      <c r="AB163" s="5"/>
      <c r="AC163" s="5"/>
      <c r="AD163" s="5"/>
      <c r="AE163" s="5"/>
    </row>
    <row r="164" spans="1:36" customFormat="1">
      <c r="A164" s="113">
        <v>120</v>
      </c>
      <c r="B164" s="113" t="s">
        <v>147</v>
      </c>
      <c r="C164" s="120" t="s">
        <v>5369</v>
      </c>
      <c r="D164" s="124" t="s">
        <v>1109</v>
      </c>
      <c r="E164" s="124" t="s">
        <v>1109</v>
      </c>
      <c r="F164" s="113" t="s">
        <v>2335</v>
      </c>
      <c r="G164" s="113" t="s">
        <v>1973</v>
      </c>
      <c r="H164" s="113" t="s">
        <v>25</v>
      </c>
      <c r="I164" s="113" t="s">
        <v>1109</v>
      </c>
      <c r="J164" s="118" t="s">
        <v>2129</v>
      </c>
      <c r="K164" s="118" t="s">
        <v>4658</v>
      </c>
      <c r="L164" s="118" t="s">
        <v>5369</v>
      </c>
      <c r="M164" s="115" t="s">
        <v>1109</v>
      </c>
      <c r="N164" s="115" t="s">
        <v>2129</v>
      </c>
      <c r="O164" s="115" t="s">
        <v>1109</v>
      </c>
      <c r="P164" s="113">
        <v>340</v>
      </c>
      <c r="Q164" s="113">
        <v>30</v>
      </c>
      <c r="R164" s="113">
        <v>45</v>
      </c>
      <c r="S164" s="113">
        <v>55</v>
      </c>
      <c r="T164" s="120">
        <v>70</v>
      </c>
      <c r="U164" s="113">
        <v>55</v>
      </c>
      <c r="V164" s="113">
        <v>85</v>
      </c>
      <c r="W164" s="129"/>
      <c r="X164" s="129"/>
      <c r="Y164" s="5"/>
      <c r="Z164" s="5"/>
      <c r="AA164" s="5"/>
      <c r="AB164" s="5"/>
      <c r="AC164" s="5"/>
      <c r="AD164" s="5"/>
      <c r="AE164" s="5"/>
    </row>
    <row r="165" spans="1:36" customFormat="1">
      <c r="A165" s="113">
        <v>121</v>
      </c>
      <c r="B165" s="113" t="s">
        <v>148</v>
      </c>
      <c r="C165" s="120" t="s">
        <v>5370</v>
      </c>
      <c r="D165" s="124" t="s">
        <v>1109</v>
      </c>
      <c r="E165" s="124" t="s">
        <v>1109</v>
      </c>
      <c r="F165" s="113" t="s">
        <v>2335</v>
      </c>
      <c r="G165" s="113" t="s">
        <v>1973</v>
      </c>
      <c r="H165" s="113" t="s">
        <v>25</v>
      </c>
      <c r="I165" s="113" t="s">
        <v>86</v>
      </c>
      <c r="J165" s="118" t="s">
        <v>2129</v>
      </c>
      <c r="K165" s="118" t="s">
        <v>4658</v>
      </c>
      <c r="L165" s="118" t="s">
        <v>5369</v>
      </c>
      <c r="M165" s="115" t="s">
        <v>5369</v>
      </c>
      <c r="N165" s="115" t="s">
        <v>6399</v>
      </c>
      <c r="O165" s="115" t="s">
        <v>1803</v>
      </c>
      <c r="P165" s="113">
        <v>520</v>
      </c>
      <c r="Q165" s="113">
        <v>60</v>
      </c>
      <c r="R165" s="113">
        <v>75</v>
      </c>
      <c r="S165" s="113">
        <v>85</v>
      </c>
      <c r="T165" s="120">
        <v>100</v>
      </c>
      <c r="U165" s="113">
        <v>85</v>
      </c>
      <c r="V165" s="113">
        <v>115</v>
      </c>
      <c r="W165" s="129"/>
      <c r="X165" s="129"/>
      <c r="Y165" s="5"/>
      <c r="Z165" s="5"/>
      <c r="AA165" s="5"/>
      <c r="AB165" s="5"/>
      <c r="AC165" s="5"/>
      <c r="AD165" s="5"/>
      <c r="AE165" s="5"/>
    </row>
    <row r="166" spans="1:36" customFormat="1">
      <c r="A166" s="113">
        <v>122</v>
      </c>
      <c r="B166" s="113" t="s">
        <v>149</v>
      </c>
      <c r="C166" s="120" t="s">
        <v>5371</v>
      </c>
      <c r="D166" s="124">
        <v>0.5</v>
      </c>
      <c r="E166" s="124">
        <v>0.5</v>
      </c>
      <c r="F166" s="113" t="s">
        <v>2334</v>
      </c>
      <c r="G166" s="113" t="s">
        <v>1973</v>
      </c>
      <c r="H166" s="113" t="s">
        <v>86</v>
      </c>
      <c r="I166" s="113" t="s">
        <v>56</v>
      </c>
      <c r="J166" s="118" t="s">
        <v>2129</v>
      </c>
      <c r="K166" s="118" t="s">
        <v>4657</v>
      </c>
      <c r="L166" s="118" t="s">
        <v>5741</v>
      </c>
      <c r="M166" s="115" t="s">
        <v>5741</v>
      </c>
      <c r="N166" s="115" t="s">
        <v>6399</v>
      </c>
      <c r="O166" s="115" t="s">
        <v>2128</v>
      </c>
      <c r="P166" s="113">
        <v>460</v>
      </c>
      <c r="Q166" s="113">
        <v>40</v>
      </c>
      <c r="R166" s="113">
        <v>45</v>
      </c>
      <c r="S166" s="113">
        <v>65</v>
      </c>
      <c r="T166" s="120">
        <v>100</v>
      </c>
      <c r="U166" s="113">
        <v>120</v>
      </c>
      <c r="V166" s="113">
        <v>90</v>
      </c>
      <c r="W166" s="129"/>
      <c r="X166" s="129"/>
      <c r="Y166" s="5"/>
      <c r="Z166" s="5"/>
      <c r="AA166" s="5"/>
      <c r="AB166" s="5"/>
      <c r="AC166" s="5"/>
      <c r="AD166" s="5"/>
      <c r="AE166" s="5"/>
    </row>
    <row r="167" spans="1:36" customFormat="1">
      <c r="A167" s="113">
        <v>122</v>
      </c>
      <c r="B167" s="113" t="s">
        <v>6453</v>
      </c>
      <c r="C167" s="120" t="s">
        <v>5372</v>
      </c>
      <c r="D167" s="124">
        <v>0.5</v>
      </c>
      <c r="E167" s="124">
        <v>0.5</v>
      </c>
      <c r="F167" s="113" t="s">
        <v>2334</v>
      </c>
      <c r="G167" s="113" t="s">
        <v>2703</v>
      </c>
      <c r="H167" s="113" t="s">
        <v>86</v>
      </c>
      <c r="I167" s="113" t="s">
        <v>56</v>
      </c>
      <c r="J167" s="118" t="s">
        <v>2129</v>
      </c>
      <c r="K167" s="118" t="s">
        <v>4657</v>
      </c>
      <c r="L167" s="118" t="s">
        <v>5741</v>
      </c>
      <c r="M167" s="115" t="s">
        <v>5741</v>
      </c>
      <c r="N167" s="115" t="s">
        <v>6398</v>
      </c>
      <c r="O167" s="115" t="s">
        <v>2128</v>
      </c>
      <c r="P167" s="113">
        <v>460</v>
      </c>
      <c r="Q167" s="113">
        <v>50</v>
      </c>
      <c r="R167" s="113">
        <v>65</v>
      </c>
      <c r="S167" s="113">
        <v>65</v>
      </c>
      <c r="T167" s="120">
        <v>90</v>
      </c>
      <c r="U167" s="113">
        <v>90</v>
      </c>
      <c r="V167" s="113">
        <v>100</v>
      </c>
      <c r="W167" s="129"/>
      <c r="X167" s="129"/>
      <c r="Y167" s="5"/>
      <c r="Z167" s="5"/>
      <c r="AA167" s="5"/>
      <c r="AB167" s="5"/>
      <c r="AC167" s="5"/>
      <c r="AD167" s="5"/>
      <c r="AE167" s="5"/>
      <c r="AH167" s="5"/>
    </row>
    <row r="168" spans="1:36" customFormat="1">
      <c r="A168" s="113">
        <v>123</v>
      </c>
      <c r="B168" s="113" t="s">
        <v>150</v>
      </c>
      <c r="C168" s="120" t="s">
        <v>5373</v>
      </c>
      <c r="D168" s="124">
        <v>0.5</v>
      </c>
      <c r="E168" s="124">
        <v>0.5</v>
      </c>
      <c r="F168" s="113" t="s">
        <v>29</v>
      </c>
      <c r="G168" s="113" t="s">
        <v>1973</v>
      </c>
      <c r="H168" s="113" t="s">
        <v>29</v>
      </c>
      <c r="I168" s="113" t="s">
        <v>22</v>
      </c>
      <c r="J168" s="118" t="s">
        <v>2129</v>
      </c>
      <c r="K168" s="118" t="s">
        <v>4657</v>
      </c>
      <c r="L168" s="118" t="s">
        <v>5373</v>
      </c>
      <c r="M168" s="115" t="s">
        <v>1109</v>
      </c>
      <c r="N168" s="115" t="s">
        <v>2129</v>
      </c>
      <c r="O168" s="115" t="s">
        <v>1109</v>
      </c>
      <c r="P168" s="113">
        <v>500</v>
      </c>
      <c r="Q168" s="113">
        <v>70</v>
      </c>
      <c r="R168" s="113">
        <v>110</v>
      </c>
      <c r="S168" s="113">
        <v>80</v>
      </c>
      <c r="T168" s="120">
        <v>55</v>
      </c>
      <c r="U168" s="113">
        <v>80</v>
      </c>
      <c r="V168" s="113">
        <v>105</v>
      </c>
      <c r="W168" s="129"/>
      <c r="X168" s="129"/>
      <c r="Y168" s="5"/>
      <c r="Z168" s="5"/>
      <c r="AA168" s="5"/>
      <c r="AB168" s="5"/>
      <c r="AC168" s="5"/>
      <c r="AD168" s="5"/>
      <c r="AE168" s="5"/>
    </row>
    <row r="169" spans="1:36" customFormat="1">
      <c r="A169" s="113">
        <v>124</v>
      </c>
      <c r="B169" s="113" t="s">
        <v>151</v>
      </c>
      <c r="C169" s="120" t="s">
        <v>5374</v>
      </c>
      <c r="D169" s="124">
        <v>0</v>
      </c>
      <c r="E169" s="124">
        <v>1</v>
      </c>
      <c r="F169" s="113" t="s">
        <v>2334</v>
      </c>
      <c r="G169" s="113" t="s">
        <v>1973</v>
      </c>
      <c r="H169" s="113" t="s">
        <v>113</v>
      </c>
      <c r="I169" s="113" t="s">
        <v>86</v>
      </c>
      <c r="J169" s="118" t="s">
        <v>2129</v>
      </c>
      <c r="K169" s="118" t="s">
        <v>4657</v>
      </c>
      <c r="L169" s="118" t="s">
        <v>5509</v>
      </c>
      <c r="M169" s="115" t="s">
        <v>5509</v>
      </c>
      <c r="N169" s="115" t="s">
        <v>6399</v>
      </c>
      <c r="O169" s="115" t="s">
        <v>2128</v>
      </c>
      <c r="P169" s="113">
        <v>455</v>
      </c>
      <c r="Q169" s="113">
        <v>65</v>
      </c>
      <c r="R169" s="113">
        <v>50</v>
      </c>
      <c r="S169" s="113">
        <v>35</v>
      </c>
      <c r="T169" s="120">
        <v>115</v>
      </c>
      <c r="U169" s="113">
        <v>95</v>
      </c>
      <c r="V169" s="113">
        <v>95</v>
      </c>
      <c r="W169" s="129"/>
      <c r="X169" s="129"/>
      <c r="Y169" s="5"/>
      <c r="Z169" s="5"/>
      <c r="AA169" s="5"/>
      <c r="AB169" s="5"/>
      <c r="AC169" s="5"/>
      <c r="AD169" s="5"/>
      <c r="AE169" s="5"/>
    </row>
    <row r="170" spans="1:36" customFormat="1">
      <c r="A170" s="113">
        <v>125</v>
      </c>
      <c r="B170" s="113" t="s">
        <v>152</v>
      </c>
      <c r="C170" s="120" t="s">
        <v>5375</v>
      </c>
      <c r="D170" s="124">
        <v>0.75</v>
      </c>
      <c r="E170" s="124">
        <v>0.25</v>
      </c>
      <c r="F170" s="113" t="s">
        <v>2334</v>
      </c>
      <c r="G170" s="113" t="s">
        <v>1973</v>
      </c>
      <c r="H170" s="113" t="s">
        <v>46</v>
      </c>
      <c r="I170" s="113" t="s">
        <v>1109</v>
      </c>
      <c r="J170" s="118" t="s">
        <v>2129</v>
      </c>
      <c r="K170" s="118" t="s">
        <v>4657</v>
      </c>
      <c r="L170" s="118" t="s">
        <v>5510</v>
      </c>
      <c r="M170" s="115" t="s">
        <v>5510</v>
      </c>
      <c r="N170" s="115" t="s">
        <v>6398</v>
      </c>
      <c r="O170" s="115" t="s">
        <v>2128</v>
      </c>
      <c r="P170" s="113">
        <v>490</v>
      </c>
      <c r="Q170" s="113">
        <v>65</v>
      </c>
      <c r="R170" s="113">
        <v>83</v>
      </c>
      <c r="S170" s="113">
        <v>57</v>
      </c>
      <c r="T170" s="120">
        <v>95</v>
      </c>
      <c r="U170" s="113">
        <v>85</v>
      </c>
      <c r="V170" s="113">
        <v>105</v>
      </c>
      <c r="W170" s="129"/>
      <c r="X170" s="129"/>
      <c r="Y170" s="5"/>
      <c r="Z170" s="5"/>
      <c r="AA170" s="5"/>
      <c r="AB170" s="5"/>
      <c r="AC170" s="5"/>
      <c r="AD170" s="5"/>
      <c r="AE170" s="5"/>
    </row>
    <row r="171" spans="1:36" customFormat="1">
      <c r="A171" s="113">
        <v>126</v>
      </c>
      <c r="B171" s="113" t="s">
        <v>153</v>
      </c>
      <c r="C171" s="120" t="s">
        <v>5376</v>
      </c>
      <c r="D171" s="124">
        <v>0.75</v>
      </c>
      <c r="E171" s="124">
        <v>0.25</v>
      </c>
      <c r="F171" s="113" t="s">
        <v>2334</v>
      </c>
      <c r="G171" s="113" t="s">
        <v>1973</v>
      </c>
      <c r="H171" s="113" t="s">
        <v>19</v>
      </c>
      <c r="I171" s="113" t="s">
        <v>1109</v>
      </c>
      <c r="J171" s="118" t="s">
        <v>2129</v>
      </c>
      <c r="K171" s="118" t="s">
        <v>4657</v>
      </c>
      <c r="L171" s="118" t="s">
        <v>5511</v>
      </c>
      <c r="M171" s="115" t="s">
        <v>5511</v>
      </c>
      <c r="N171" s="115" t="s">
        <v>6398</v>
      </c>
      <c r="O171" s="115" t="s">
        <v>2128</v>
      </c>
      <c r="P171" s="113">
        <v>495</v>
      </c>
      <c r="Q171" s="113">
        <v>65</v>
      </c>
      <c r="R171" s="113">
        <v>95</v>
      </c>
      <c r="S171" s="113">
        <v>57</v>
      </c>
      <c r="T171" s="120">
        <v>100</v>
      </c>
      <c r="U171" s="113">
        <v>85</v>
      </c>
      <c r="V171" s="113">
        <v>93</v>
      </c>
      <c r="W171" s="129"/>
      <c r="X171" s="129"/>
      <c r="Y171" s="5"/>
      <c r="Z171" s="5"/>
      <c r="AA171" s="5"/>
      <c r="AB171" s="5"/>
      <c r="AC171" s="5"/>
      <c r="AD171" s="5"/>
      <c r="AE171" s="5"/>
    </row>
    <row r="172" spans="1:36" customFormat="1">
      <c r="A172" s="113">
        <v>127</v>
      </c>
      <c r="B172" s="113" t="s">
        <v>154</v>
      </c>
      <c r="C172" s="120" t="s">
        <v>5377</v>
      </c>
      <c r="D172" s="124">
        <v>0.5</v>
      </c>
      <c r="E172" s="124">
        <v>0.5</v>
      </c>
      <c r="F172" s="113" t="s">
        <v>29</v>
      </c>
      <c r="G172" s="113" t="s">
        <v>1973</v>
      </c>
      <c r="H172" s="113" t="s">
        <v>29</v>
      </c>
      <c r="I172" s="113" t="s">
        <v>1109</v>
      </c>
      <c r="J172" s="118" t="s">
        <v>2129</v>
      </c>
      <c r="K172" s="118" t="s">
        <v>4657</v>
      </c>
      <c r="L172" s="118" t="s">
        <v>5377</v>
      </c>
      <c r="M172" s="115" t="s">
        <v>1109</v>
      </c>
      <c r="N172" s="115" t="s">
        <v>6399</v>
      </c>
      <c r="O172" s="115" t="s">
        <v>1109</v>
      </c>
      <c r="P172" s="113">
        <v>500</v>
      </c>
      <c r="Q172" s="113">
        <v>65</v>
      </c>
      <c r="R172" s="113">
        <v>125</v>
      </c>
      <c r="S172" s="113">
        <v>100</v>
      </c>
      <c r="T172" s="120">
        <v>55</v>
      </c>
      <c r="U172" s="113">
        <v>70</v>
      </c>
      <c r="V172" s="113">
        <v>85</v>
      </c>
      <c r="W172" s="129"/>
      <c r="X172" s="129"/>
      <c r="Y172" s="5"/>
      <c r="Z172" s="5"/>
      <c r="AA172" s="5"/>
      <c r="AB172" s="5"/>
      <c r="AC172" s="5"/>
      <c r="AD172" s="5"/>
      <c r="AE172" s="5"/>
    </row>
    <row r="173" spans="1:36" hidden="1">
      <c r="A173" s="113">
        <v>127</v>
      </c>
      <c r="B173" s="113" t="s">
        <v>2862</v>
      </c>
      <c r="C173" s="120" t="s">
        <v>5378</v>
      </c>
      <c r="D173" s="124">
        <v>0.5</v>
      </c>
      <c r="E173" s="124">
        <v>0.5</v>
      </c>
      <c r="F173" s="113" t="s">
        <v>29</v>
      </c>
      <c r="G173" s="113" t="s">
        <v>1973</v>
      </c>
      <c r="H173" s="113" t="s">
        <v>29</v>
      </c>
      <c r="I173" s="113" t="s">
        <v>22</v>
      </c>
      <c r="J173" s="118" t="s">
        <v>3973</v>
      </c>
      <c r="K173" s="118" t="s">
        <v>4659</v>
      </c>
      <c r="L173" s="118" t="s">
        <v>5377</v>
      </c>
      <c r="M173" s="115" t="s">
        <v>5377</v>
      </c>
      <c r="N173" s="115" t="s">
        <v>3973</v>
      </c>
      <c r="O173" s="115" t="s">
        <v>4480</v>
      </c>
      <c r="P173" s="113">
        <v>600</v>
      </c>
      <c r="Q173" s="113">
        <v>65</v>
      </c>
      <c r="R173" s="113">
        <v>155</v>
      </c>
      <c r="S173" s="113">
        <v>120</v>
      </c>
      <c r="T173" s="120">
        <v>65</v>
      </c>
      <c r="U173" s="113">
        <v>90</v>
      </c>
      <c r="V173" s="113">
        <v>105</v>
      </c>
      <c r="W173" s="129"/>
      <c r="X173" s="129"/>
      <c r="AF173"/>
      <c r="AG173"/>
      <c r="AH173"/>
    </row>
    <row r="174" spans="1:36" customFormat="1">
      <c r="A174" s="113">
        <v>128</v>
      </c>
      <c r="B174" s="113" t="s">
        <v>155</v>
      </c>
      <c r="C174" s="120" t="s">
        <v>5379</v>
      </c>
      <c r="D174" s="124">
        <v>1</v>
      </c>
      <c r="E174" s="124">
        <v>0</v>
      </c>
      <c r="F174" s="113" t="s">
        <v>2332</v>
      </c>
      <c r="G174" s="113" t="s">
        <v>1973</v>
      </c>
      <c r="H174" s="113" t="s">
        <v>36</v>
      </c>
      <c r="I174" s="113" t="s">
        <v>1109</v>
      </c>
      <c r="J174" s="118" t="s">
        <v>2129</v>
      </c>
      <c r="K174" s="118" t="s">
        <v>4657</v>
      </c>
      <c r="L174" s="118" t="s">
        <v>5379</v>
      </c>
      <c r="M174" s="115" t="s">
        <v>1109</v>
      </c>
      <c r="N174" s="115" t="s">
        <v>6399</v>
      </c>
      <c r="O174" s="115" t="s">
        <v>1109</v>
      </c>
      <c r="P174" s="113">
        <v>490</v>
      </c>
      <c r="Q174" s="113">
        <v>75</v>
      </c>
      <c r="R174" s="113">
        <v>100</v>
      </c>
      <c r="S174" s="113">
        <v>95</v>
      </c>
      <c r="T174" s="120">
        <v>40</v>
      </c>
      <c r="U174" s="113">
        <v>70</v>
      </c>
      <c r="V174" s="113">
        <v>110</v>
      </c>
      <c r="W174" s="129"/>
      <c r="X174" s="129"/>
      <c r="Y174" s="5"/>
      <c r="Z174" s="5"/>
      <c r="AA174" s="5"/>
      <c r="AB174" s="5"/>
      <c r="AC174" s="5"/>
      <c r="AD174" s="5"/>
      <c r="AE174" s="5"/>
    </row>
    <row r="175" spans="1:36" customFormat="1">
      <c r="A175" s="113">
        <v>128</v>
      </c>
      <c r="B175" s="113" t="s">
        <v>5191</v>
      </c>
      <c r="C175" s="120" t="s">
        <v>5380</v>
      </c>
      <c r="D175" s="124">
        <v>1</v>
      </c>
      <c r="E175" s="124">
        <v>0</v>
      </c>
      <c r="F175" s="113" t="s">
        <v>2332</v>
      </c>
      <c r="G175" s="113" t="s">
        <v>5208</v>
      </c>
      <c r="H175" s="113" t="s">
        <v>78</v>
      </c>
      <c r="I175" s="113" t="s">
        <v>1109</v>
      </c>
      <c r="J175" s="118" t="s">
        <v>2129</v>
      </c>
      <c r="K175" s="118" t="s">
        <v>4657</v>
      </c>
      <c r="L175" s="118" t="s">
        <v>5379</v>
      </c>
      <c r="M175" s="115" t="s">
        <v>1109</v>
      </c>
      <c r="N175" s="115" t="s">
        <v>6399</v>
      </c>
      <c r="O175" s="115" t="s">
        <v>1109</v>
      </c>
      <c r="P175" s="113">
        <v>490</v>
      </c>
      <c r="Q175" s="113">
        <v>75</v>
      </c>
      <c r="R175" s="113">
        <v>110</v>
      </c>
      <c r="S175" s="113">
        <v>105</v>
      </c>
      <c r="T175" s="120">
        <v>30</v>
      </c>
      <c r="U175" s="113">
        <v>70</v>
      </c>
      <c r="V175" s="113">
        <v>100</v>
      </c>
      <c r="W175" s="5"/>
      <c r="X175" s="5"/>
      <c r="Y175" s="5"/>
      <c r="Z175" s="5"/>
      <c r="AA175" s="5"/>
      <c r="AB175" s="5"/>
      <c r="AC175" s="5"/>
      <c r="AD175" s="5"/>
      <c r="AE175" s="5"/>
      <c r="AF175" s="5"/>
      <c r="AG175" s="5"/>
      <c r="AH175" s="5"/>
      <c r="AI175" s="5"/>
      <c r="AJ175" s="5"/>
    </row>
    <row r="176" spans="1:36" customFormat="1">
      <c r="A176" s="113">
        <v>128</v>
      </c>
      <c r="B176" s="113" t="s">
        <v>5193</v>
      </c>
      <c r="C176" s="120" t="s">
        <v>6388</v>
      </c>
      <c r="D176" s="124">
        <v>1</v>
      </c>
      <c r="E176" s="124">
        <v>0</v>
      </c>
      <c r="F176" s="113" t="s">
        <v>2332</v>
      </c>
      <c r="G176" s="113" t="s">
        <v>5208</v>
      </c>
      <c r="H176" s="113" t="s">
        <v>78</v>
      </c>
      <c r="I176" s="113" t="s">
        <v>25</v>
      </c>
      <c r="J176" s="118" t="s">
        <v>2129</v>
      </c>
      <c r="K176" s="118" t="s">
        <v>4657</v>
      </c>
      <c r="L176" s="118" t="s">
        <v>5379</v>
      </c>
      <c r="M176" s="115" t="s">
        <v>1109</v>
      </c>
      <c r="N176" s="115" t="s">
        <v>6399</v>
      </c>
      <c r="O176" s="115" t="s">
        <v>1109</v>
      </c>
      <c r="P176" s="113">
        <v>490</v>
      </c>
      <c r="Q176" s="113">
        <v>75</v>
      </c>
      <c r="R176" s="113">
        <v>110</v>
      </c>
      <c r="S176" s="113">
        <v>105</v>
      </c>
      <c r="T176" s="120">
        <v>30</v>
      </c>
      <c r="U176" s="113">
        <v>70</v>
      </c>
      <c r="V176" s="113">
        <v>100</v>
      </c>
      <c r="W176" s="5"/>
      <c r="X176" s="5"/>
      <c r="Y176" s="5"/>
      <c r="Z176" s="5"/>
      <c r="AA176" s="5"/>
      <c r="AB176" s="5"/>
      <c r="AC176" s="5"/>
      <c r="AD176" s="5"/>
      <c r="AE176" s="5"/>
      <c r="AF176" s="5"/>
      <c r="AG176" s="5"/>
      <c r="AH176" s="5"/>
    </row>
    <row r="177" spans="1:36">
      <c r="A177" s="113">
        <v>128</v>
      </c>
      <c r="B177" s="113" t="s">
        <v>5192</v>
      </c>
      <c r="C177" s="120" t="s">
        <v>6389</v>
      </c>
      <c r="D177" s="124">
        <v>1</v>
      </c>
      <c r="E177" s="124">
        <v>0</v>
      </c>
      <c r="F177" s="113" t="s">
        <v>2332</v>
      </c>
      <c r="G177" s="113" t="s">
        <v>5208</v>
      </c>
      <c r="H177" s="113" t="s">
        <v>78</v>
      </c>
      <c r="I177" s="113" t="s">
        <v>19</v>
      </c>
      <c r="J177" s="118" t="s">
        <v>2129</v>
      </c>
      <c r="K177" s="118" t="s">
        <v>4657</v>
      </c>
      <c r="L177" s="118" t="s">
        <v>5379</v>
      </c>
      <c r="M177" s="115" t="s">
        <v>1109</v>
      </c>
      <c r="N177" s="115" t="s">
        <v>6399</v>
      </c>
      <c r="O177" s="115" t="s">
        <v>1109</v>
      </c>
      <c r="P177" s="113">
        <v>490</v>
      </c>
      <c r="Q177" s="113">
        <v>75</v>
      </c>
      <c r="R177" s="113">
        <v>110</v>
      </c>
      <c r="S177" s="113">
        <v>105</v>
      </c>
      <c r="T177" s="120">
        <v>30</v>
      </c>
      <c r="U177" s="113">
        <v>70</v>
      </c>
      <c r="V177" s="113">
        <v>100</v>
      </c>
      <c r="AI177"/>
      <c r="AJ177"/>
    </row>
    <row r="178" spans="1:36" customFormat="1">
      <c r="A178" s="113">
        <v>129</v>
      </c>
      <c r="B178" s="113" t="s">
        <v>156</v>
      </c>
      <c r="C178" s="120" t="s">
        <v>5381</v>
      </c>
      <c r="D178" s="124">
        <v>0.5</v>
      </c>
      <c r="E178" s="124">
        <v>0.5</v>
      </c>
      <c r="F178" s="113" t="s">
        <v>23</v>
      </c>
      <c r="G178" s="113" t="s">
        <v>1973</v>
      </c>
      <c r="H178" s="113" t="s">
        <v>25</v>
      </c>
      <c r="I178" s="113" t="s">
        <v>1109</v>
      </c>
      <c r="J178" s="118" t="s">
        <v>2129</v>
      </c>
      <c r="K178" s="118" t="s">
        <v>2712</v>
      </c>
      <c r="L178" s="118" t="s">
        <v>5381</v>
      </c>
      <c r="M178" s="115" t="s">
        <v>1109</v>
      </c>
      <c r="N178" s="115" t="s">
        <v>2129</v>
      </c>
      <c r="O178" s="115" t="s">
        <v>1109</v>
      </c>
      <c r="P178" s="113">
        <v>200</v>
      </c>
      <c r="Q178" s="113">
        <v>20</v>
      </c>
      <c r="R178" s="113">
        <v>10</v>
      </c>
      <c r="S178" s="113">
        <v>55</v>
      </c>
      <c r="T178" s="120">
        <v>15</v>
      </c>
      <c r="U178" s="113">
        <v>20</v>
      </c>
      <c r="V178" s="113">
        <v>80</v>
      </c>
      <c r="W178" s="129"/>
      <c r="X178" s="129"/>
      <c r="Y178" s="5"/>
      <c r="Z178" s="5"/>
      <c r="AA178" s="5"/>
      <c r="AB178" s="5"/>
      <c r="AC178" s="5"/>
      <c r="AD178" s="5"/>
      <c r="AE178" s="5"/>
      <c r="AH178" s="5"/>
    </row>
    <row r="179" spans="1:36" customFormat="1">
      <c r="A179" s="113">
        <v>130</v>
      </c>
      <c r="B179" s="113" t="s">
        <v>157</v>
      </c>
      <c r="C179" s="120" t="s">
        <v>5382</v>
      </c>
      <c r="D179" s="124">
        <v>0.5</v>
      </c>
      <c r="E179" s="124">
        <v>0.5</v>
      </c>
      <c r="F179" s="113" t="s">
        <v>23</v>
      </c>
      <c r="G179" s="113" t="s">
        <v>1973</v>
      </c>
      <c r="H179" s="113" t="s">
        <v>25</v>
      </c>
      <c r="I179" s="113" t="s">
        <v>22</v>
      </c>
      <c r="J179" s="118" t="s">
        <v>2129</v>
      </c>
      <c r="K179" s="118" t="s">
        <v>2712</v>
      </c>
      <c r="L179" s="118" t="s">
        <v>5381</v>
      </c>
      <c r="M179" s="115" t="s">
        <v>5381</v>
      </c>
      <c r="N179" s="115" t="s">
        <v>6399</v>
      </c>
      <c r="O179" s="115" t="s">
        <v>2128</v>
      </c>
      <c r="P179" s="113">
        <v>540</v>
      </c>
      <c r="Q179" s="113">
        <v>95</v>
      </c>
      <c r="R179" s="113">
        <v>125</v>
      </c>
      <c r="S179" s="113">
        <v>79</v>
      </c>
      <c r="T179" s="120">
        <v>60</v>
      </c>
      <c r="U179" s="113">
        <v>100</v>
      </c>
      <c r="V179" s="113">
        <v>81</v>
      </c>
      <c r="W179" s="129"/>
      <c r="X179" s="129"/>
      <c r="Y179" s="5"/>
      <c r="Z179" s="5"/>
      <c r="AA179" s="5"/>
      <c r="AB179" s="5"/>
      <c r="AC179" s="5"/>
      <c r="AD179" s="5"/>
      <c r="AE179" s="5"/>
    </row>
    <row r="180" spans="1:36" customFormat="1" hidden="1">
      <c r="A180" s="113">
        <v>130</v>
      </c>
      <c r="B180" s="113" t="s">
        <v>2864</v>
      </c>
      <c r="C180" s="120" t="s">
        <v>5383</v>
      </c>
      <c r="D180" s="124">
        <v>0.5</v>
      </c>
      <c r="E180" s="124">
        <v>0.5</v>
      </c>
      <c r="F180" s="113" t="s">
        <v>23</v>
      </c>
      <c r="G180" s="113" t="s">
        <v>1973</v>
      </c>
      <c r="H180" s="113" t="s">
        <v>25</v>
      </c>
      <c r="I180" s="113" t="s">
        <v>158</v>
      </c>
      <c r="J180" s="118" t="s">
        <v>3973</v>
      </c>
      <c r="K180" s="118" t="s">
        <v>4659</v>
      </c>
      <c r="L180" s="118" t="s">
        <v>5381</v>
      </c>
      <c r="M180" s="115" t="s">
        <v>5382</v>
      </c>
      <c r="N180" s="115" t="s">
        <v>3973</v>
      </c>
      <c r="O180" s="115" t="s">
        <v>4480</v>
      </c>
      <c r="P180" s="113">
        <v>640</v>
      </c>
      <c r="Q180" s="113">
        <v>95</v>
      </c>
      <c r="R180" s="113">
        <v>155</v>
      </c>
      <c r="S180" s="113">
        <v>109</v>
      </c>
      <c r="T180" s="120">
        <v>70</v>
      </c>
      <c r="U180" s="113">
        <v>130</v>
      </c>
      <c r="V180" s="113">
        <v>81</v>
      </c>
      <c r="W180" s="129"/>
      <c r="X180" s="129"/>
      <c r="Y180" s="5"/>
      <c r="Z180" s="5"/>
      <c r="AA180" s="5"/>
      <c r="AB180" s="5"/>
      <c r="AC180" s="5"/>
      <c r="AD180" s="5"/>
      <c r="AE180" s="5"/>
    </row>
    <row r="181" spans="1:36">
      <c r="A181" s="113">
        <v>131</v>
      </c>
      <c r="B181" s="113" t="s">
        <v>159</v>
      </c>
      <c r="C181" s="120" t="s">
        <v>5384</v>
      </c>
      <c r="D181" s="124">
        <v>0.5</v>
      </c>
      <c r="E181" s="124">
        <v>0.5</v>
      </c>
      <c r="F181" s="113" t="s">
        <v>2335</v>
      </c>
      <c r="G181" s="113" t="s">
        <v>1973</v>
      </c>
      <c r="H181" s="113" t="s">
        <v>25</v>
      </c>
      <c r="I181" s="113" t="s">
        <v>113</v>
      </c>
      <c r="J181" s="118" t="s">
        <v>2129</v>
      </c>
      <c r="K181" s="118" t="s">
        <v>4657</v>
      </c>
      <c r="L181" s="118" t="s">
        <v>5384</v>
      </c>
      <c r="M181" s="115" t="s">
        <v>1109</v>
      </c>
      <c r="N181" s="115" t="s">
        <v>6399</v>
      </c>
      <c r="O181" s="115" t="s">
        <v>1109</v>
      </c>
      <c r="P181" s="113">
        <v>535</v>
      </c>
      <c r="Q181" s="113">
        <v>130</v>
      </c>
      <c r="R181" s="113">
        <v>85</v>
      </c>
      <c r="S181" s="113">
        <v>80</v>
      </c>
      <c r="T181" s="120">
        <v>85</v>
      </c>
      <c r="U181" s="113">
        <v>95</v>
      </c>
      <c r="V181" s="113">
        <v>60</v>
      </c>
      <c r="W181" s="129"/>
      <c r="X181" s="129"/>
      <c r="AF181"/>
      <c r="AG181"/>
      <c r="AH181"/>
    </row>
    <row r="182" spans="1:36" customFormat="1">
      <c r="A182" s="113">
        <v>132</v>
      </c>
      <c r="B182" s="113" t="s">
        <v>160</v>
      </c>
      <c r="C182" s="120" t="s">
        <v>5385</v>
      </c>
      <c r="D182" s="124" t="s">
        <v>1109</v>
      </c>
      <c r="E182" s="124" t="s">
        <v>1109</v>
      </c>
      <c r="F182" s="113" t="s">
        <v>160</v>
      </c>
      <c r="G182" s="113" t="s">
        <v>1973</v>
      </c>
      <c r="H182" s="113" t="s">
        <v>36</v>
      </c>
      <c r="I182" s="113" t="s">
        <v>1109</v>
      </c>
      <c r="J182" s="118" t="s">
        <v>2129</v>
      </c>
      <c r="K182" s="118" t="s">
        <v>4657</v>
      </c>
      <c r="L182" s="118" t="s">
        <v>5385</v>
      </c>
      <c r="M182" s="115" t="s">
        <v>1109</v>
      </c>
      <c r="N182" s="115" t="s">
        <v>6399</v>
      </c>
      <c r="O182" s="115" t="s">
        <v>1109</v>
      </c>
      <c r="P182" s="113">
        <v>288</v>
      </c>
      <c r="Q182" s="113">
        <v>48</v>
      </c>
      <c r="R182" s="113">
        <v>48</v>
      </c>
      <c r="S182" s="113">
        <v>48</v>
      </c>
      <c r="T182" s="120">
        <v>48</v>
      </c>
      <c r="U182" s="113">
        <v>48</v>
      </c>
      <c r="V182" s="113">
        <v>48</v>
      </c>
      <c r="W182" s="129"/>
      <c r="X182" s="129"/>
      <c r="Y182" s="5"/>
      <c r="Z182" s="5"/>
      <c r="AA182" s="5"/>
      <c r="AB182" s="5"/>
      <c r="AC182" s="5"/>
      <c r="AD182" s="5"/>
      <c r="AE182" s="5"/>
      <c r="AH182" s="5"/>
    </row>
    <row r="183" spans="1:36" customFormat="1">
      <c r="A183" s="113">
        <v>133</v>
      </c>
      <c r="B183" s="113" t="s">
        <v>161</v>
      </c>
      <c r="C183" s="120" t="s">
        <v>5386</v>
      </c>
      <c r="D183" s="124">
        <v>0.85</v>
      </c>
      <c r="E183" s="124">
        <v>0.15</v>
      </c>
      <c r="F183" s="113" t="s">
        <v>2332</v>
      </c>
      <c r="G183" s="113" t="s">
        <v>1973</v>
      </c>
      <c r="H183" s="113" t="s">
        <v>36</v>
      </c>
      <c r="I183" s="113" t="s">
        <v>1109</v>
      </c>
      <c r="J183" s="118" t="s">
        <v>2129</v>
      </c>
      <c r="K183" s="118" t="s">
        <v>4658</v>
      </c>
      <c r="L183" s="118" t="s">
        <v>5386</v>
      </c>
      <c r="M183" s="115" t="s">
        <v>1109</v>
      </c>
      <c r="N183" s="115" t="s">
        <v>2129</v>
      </c>
      <c r="O183" s="115" t="s">
        <v>1109</v>
      </c>
      <c r="P183" s="113">
        <v>325</v>
      </c>
      <c r="Q183" s="113">
        <v>55</v>
      </c>
      <c r="R183" s="113">
        <v>55</v>
      </c>
      <c r="S183" s="113">
        <v>50</v>
      </c>
      <c r="T183" s="120">
        <v>45</v>
      </c>
      <c r="U183" s="113">
        <v>65</v>
      </c>
      <c r="V183" s="113">
        <v>55</v>
      </c>
      <c r="W183" s="129"/>
      <c r="X183" s="129"/>
      <c r="Y183" s="5"/>
      <c r="Z183" s="5"/>
      <c r="AA183" s="5"/>
      <c r="AB183" s="5"/>
      <c r="AC183" s="5"/>
      <c r="AD183" s="5"/>
      <c r="AE183" s="5"/>
    </row>
    <row r="184" spans="1:36" customFormat="1" ht="15.5" hidden="1" customHeight="1">
      <c r="A184" s="113">
        <v>133</v>
      </c>
      <c r="B184" s="113" t="s">
        <v>2865</v>
      </c>
      <c r="C184" s="120" t="s">
        <v>5387</v>
      </c>
      <c r="D184" s="124">
        <v>0.85</v>
      </c>
      <c r="E184" s="124">
        <v>0.15</v>
      </c>
      <c r="F184" s="113" t="s">
        <v>2332</v>
      </c>
      <c r="G184" s="113" t="s">
        <v>1973</v>
      </c>
      <c r="H184" s="113" t="s">
        <v>36</v>
      </c>
      <c r="I184" s="113" t="s">
        <v>1109</v>
      </c>
      <c r="J184" s="118" t="s">
        <v>814</v>
      </c>
      <c r="K184" s="118" t="s">
        <v>4658</v>
      </c>
      <c r="L184" s="118" t="s">
        <v>5386</v>
      </c>
      <c r="M184" s="115" t="s">
        <v>5386</v>
      </c>
      <c r="N184" s="115" t="s">
        <v>814</v>
      </c>
      <c r="O184" s="115" t="s">
        <v>2130</v>
      </c>
      <c r="P184" s="113">
        <v>435</v>
      </c>
      <c r="Q184" s="113">
        <v>65</v>
      </c>
      <c r="R184" s="113">
        <v>75</v>
      </c>
      <c r="S184" s="113">
        <v>70</v>
      </c>
      <c r="T184" s="120">
        <v>65</v>
      </c>
      <c r="U184" s="113">
        <v>85</v>
      </c>
      <c r="V184" s="113">
        <v>75</v>
      </c>
      <c r="W184" s="129"/>
      <c r="X184" s="129"/>
      <c r="Y184" s="5"/>
      <c r="Z184" s="5"/>
      <c r="AA184" s="5"/>
      <c r="AB184" s="5"/>
      <c r="AC184" s="5"/>
      <c r="AD184" s="5"/>
      <c r="AE184" s="5"/>
    </row>
    <row r="185" spans="1:36" customFormat="1">
      <c r="A185" s="113">
        <v>134</v>
      </c>
      <c r="B185" s="113" t="s">
        <v>162</v>
      </c>
      <c r="C185" s="120" t="s">
        <v>5388</v>
      </c>
      <c r="D185" s="124">
        <v>0.85</v>
      </c>
      <c r="E185" s="124">
        <v>0.15</v>
      </c>
      <c r="F185" s="113" t="s">
        <v>2332</v>
      </c>
      <c r="G185" s="113" t="s">
        <v>1973</v>
      </c>
      <c r="H185" s="113" t="s">
        <v>25</v>
      </c>
      <c r="I185" s="113" t="s">
        <v>1109</v>
      </c>
      <c r="J185" s="118" t="s">
        <v>2129</v>
      </c>
      <c r="K185" s="118" t="s">
        <v>4658</v>
      </c>
      <c r="L185" s="118" t="s">
        <v>5386</v>
      </c>
      <c r="M185" s="115" t="s">
        <v>5386</v>
      </c>
      <c r="N185" s="115" t="s">
        <v>6399</v>
      </c>
      <c r="O185" s="115" t="s">
        <v>1803</v>
      </c>
      <c r="P185" s="113">
        <v>525</v>
      </c>
      <c r="Q185" s="113">
        <v>130</v>
      </c>
      <c r="R185" s="113">
        <v>65</v>
      </c>
      <c r="S185" s="113">
        <v>60</v>
      </c>
      <c r="T185" s="120">
        <v>110</v>
      </c>
      <c r="U185" s="113">
        <v>95</v>
      </c>
      <c r="V185" s="113">
        <v>65</v>
      </c>
      <c r="W185" s="129"/>
      <c r="X185" s="129"/>
      <c r="Y185" s="5"/>
      <c r="Z185" s="5"/>
      <c r="AA185" s="5"/>
      <c r="AB185" s="5"/>
      <c r="AC185" s="5"/>
      <c r="AD185" s="5"/>
      <c r="AE185" s="5"/>
      <c r="AF185" s="5"/>
    </row>
    <row r="186" spans="1:36" customFormat="1">
      <c r="A186" s="113">
        <v>135</v>
      </c>
      <c r="B186" s="113" t="s">
        <v>163</v>
      </c>
      <c r="C186" s="120" t="s">
        <v>5389</v>
      </c>
      <c r="D186" s="124">
        <v>0.85</v>
      </c>
      <c r="E186" s="124">
        <v>0.15</v>
      </c>
      <c r="F186" s="113" t="s">
        <v>2332</v>
      </c>
      <c r="G186" s="113" t="s">
        <v>1973</v>
      </c>
      <c r="H186" s="113" t="s">
        <v>46</v>
      </c>
      <c r="I186" s="113" t="s">
        <v>1109</v>
      </c>
      <c r="J186" s="118" t="s">
        <v>2129</v>
      </c>
      <c r="K186" s="118" t="s">
        <v>4658</v>
      </c>
      <c r="L186" s="118" t="s">
        <v>5386</v>
      </c>
      <c r="M186" s="115" t="s">
        <v>5386</v>
      </c>
      <c r="N186" s="115" t="s">
        <v>6399</v>
      </c>
      <c r="O186" s="115" t="s">
        <v>1803</v>
      </c>
      <c r="P186" s="113">
        <v>525</v>
      </c>
      <c r="Q186" s="113">
        <v>65</v>
      </c>
      <c r="R186" s="113">
        <v>65</v>
      </c>
      <c r="S186" s="113">
        <v>60</v>
      </c>
      <c r="T186" s="120">
        <v>110</v>
      </c>
      <c r="U186" s="113">
        <v>95</v>
      </c>
      <c r="V186" s="113">
        <v>130</v>
      </c>
      <c r="W186" s="129"/>
      <c r="X186" s="129"/>
      <c r="Y186" s="5"/>
      <c r="Z186" s="5"/>
      <c r="AA186" s="5"/>
      <c r="AB186" s="5"/>
      <c r="AC186" s="5"/>
      <c r="AD186" s="5"/>
      <c r="AE186" s="5"/>
      <c r="AH186" s="5"/>
    </row>
    <row r="187" spans="1:36" customFormat="1">
      <c r="A187" s="113">
        <v>136</v>
      </c>
      <c r="B187" s="113" t="s">
        <v>164</v>
      </c>
      <c r="C187" s="120" t="s">
        <v>5390</v>
      </c>
      <c r="D187" s="124">
        <v>0.85</v>
      </c>
      <c r="E187" s="124">
        <v>0.15</v>
      </c>
      <c r="F187" s="113" t="s">
        <v>2332</v>
      </c>
      <c r="G187" s="113" t="s">
        <v>1973</v>
      </c>
      <c r="H187" s="113" t="s">
        <v>19</v>
      </c>
      <c r="I187" s="113" t="s">
        <v>1109</v>
      </c>
      <c r="J187" s="118" t="s">
        <v>2129</v>
      </c>
      <c r="K187" s="137" t="s">
        <v>4658</v>
      </c>
      <c r="L187" s="118" t="s">
        <v>5386</v>
      </c>
      <c r="M187" s="115" t="s">
        <v>5386</v>
      </c>
      <c r="N187" s="115" t="s">
        <v>6399</v>
      </c>
      <c r="O187" s="115" t="s">
        <v>1803</v>
      </c>
      <c r="P187" s="113">
        <v>525</v>
      </c>
      <c r="Q187" s="113">
        <v>65</v>
      </c>
      <c r="R187" s="113">
        <v>130</v>
      </c>
      <c r="S187" s="113">
        <v>60</v>
      </c>
      <c r="T187" s="120">
        <v>95</v>
      </c>
      <c r="U187" s="113">
        <v>110</v>
      </c>
      <c r="V187" s="113">
        <v>65</v>
      </c>
      <c r="W187" s="129"/>
      <c r="X187" s="129"/>
      <c r="Y187" s="5"/>
      <c r="Z187" s="5"/>
      <c r="AA187" s="5"/>
      <c r="AB187" s="5"/>
      <c r="AC187" s="5"/>
      <c r="AD187" s="5"/>
      <c r="AE187" s="5"/>
    </row>
    <row r="188" spans="1:36" customFormat="1">
      <c r="A188" s="113">
        <v>137</v>
      </c>
      <c r="B188" s="113" t="s">
        <v>165</v>
      </c>
      <c r="C188" s="120" t="s">
        <v>5391</v>
      </c>
      <c r="D188" s="124" t="s">
        <v>1109</v>
      </c>
      <c r="E188" s="124" t="s">
        <v>1109</v>
      </c>
      <c r="F188" s="113" t="s">
        <v>2112</v>
      </c>
      <c r="G188" s="113" t="s">
        <v>1973</v>
      </c>
      <c r="H188" s="113" t="s">
        <v>36</v>
      </c>
      <c r="I188" s="113" t="s">
        <v>1109</v>
      </c>
      <c r="J188" s="118" t="s">
        <v>2129</v>
      </c>
      <c r="K188" s="118" t="s">
        <v>4657</v>
      </c>
      <c r="L188" s="118" t="s">
        <v>5391</v>
      </c>
      <c r="M188" s="115" t="s">
        <v>1109</v>
      </c>
      <c r="N188" s="115" t="s">
        <v>2129</v>
      </c>
      <c r="O188" s="115" t="s">
        <v>1109</v>
      </c>
      <c r="P188" s="113">
        <v>395</v>
      </c>
      <c r="Q188" s="113">
        <v>65</v>
      </c>
      <c r="R188" s="113">
        <v>60</v>
      </c>
      <c r="S188" s="113">
        <v>70</v>
      </c>
      <c r="T188" s="120">
        <v>85</v>
      </c>
      <c r="U188" s="113">
        <v>75</v>
      </c>
      <c r="V188" s="113">
        <v>40</v>
      </c>
      <c r="W188" s="129"/>
      <c r="X188" s="129"/>
      <c r="Y188" s="5"/>
      <c r="Z188" s="5"/>
      <c r="AA188" s="5"/>
      <c r="AB188" s="5"/>
      <c r="AC188" s="5"/>
      <c r="AD188" s="5"/>
      <c r="AE188" s="5"/>
    </row>
    <row r="189" spans="1:36" customFormat="1">
      <c r="A189" s="113">
        <v>138</v>
      </c>
      <c r="B189" s="113" t="s">
        <v>166</v>
      </c>
      <c r="C189" s="120" t="s">
        <v>5392</v>
      </c>
      <c r="D189" s="124">
        <v>0.85</v>
      </c>
      <c r="E189" s="124">
        <v>0.15</v>
      </c>
      <c r="F189" s="113" t="s">
        <v>2337</v>
      </c>
      <c r="G189" s="113" t="s">
        <v>1973</v>
      </c>
      <c r="H189" s="113" t="s">
        <v>25</v>
      </c>
      <c r="I189" s="113" t="s">
        <v>98</v>
      </c>
      <c r="J189" s="118" t="s">
        <v>2129</v>
      </c>
      <c r="K189" s="118" t="s">
        <v>4657</v>
      </c>
      <c r="L189" s="118" t="s">
        <v>5392</v>
      </c>
      <c r="M189" s="115" t="s">
        <v>1109</v>
      </c>
      <c r="N189" s="115" t="s">
        <v>2129</v>
      </c>
      <c r="O189" s="115" t="s">
        <v>1109</v>
      </c>
      <c r="P189" s="113">
        <v>355</v>
      </c>
      <c r="Q189" s="113">
        <v>35</v>
      </c>
      <c r="R189" s="113">
        <v>40</v>
      </c>
      <c r="S189" s="113">
        <v>100</v>
      </c>
      <c r="T189" s="120">
        <v>90</v>
      </c>
      <c r="U189" s="113">
        <v>55</v>
      </c>
      <c r="V189" s="113">
        <v>35</v>
      </c>
      <c r="W189" s="129"/>
      <c r="X189" s="129"/>
      <c r="Y189" s="5"/>
      <c r="Z189" s="5"/>
      <c r="AA189" s="5"/>
      <c r="AB189" s="5"/>
      <c r="AC189" s="5"/>
      <c r="AD189" s="5"/>
      <c r="AE189" s="5"/>
    </row>
    <row r="190" spans="1:36" customFormat="1">
      <c r="A190" s="113">
        <v>139</v>
      </c>
      <c r="B190" s="113" t="s">
        <v>167</v>
      </c>
      <c r="C190" s="120" t="s">
        <v>5393</v>
      </c>
      <c r="D190" s="124">
        <v>0.85</v>
      </c>
      <c r="E190" s="124">
        <v>0.15</v>
      </c>
      <c r="F190" s="113" t="s">
        <v>2337</v>
      </c>
      <c r="G190" s="113" t="s">
        <v>1973</v>
      </c>
      <c r="H190" s="113" t="s">
        <v>25</v>
      </c>
      <c r="I190" s="113" t="s">
        <v>98</v>
      </c>
      <c r="J190" s="118" t="s">
        <v>2129</v>
      </c>
      <c r="K190" s="118" t="s">
        <v>4657</v>
      </c>
      <c r="L190" s="118" t="s">
        <v>5392</v>
      </c>
      <c r="M190" s="115" t="s">
        <v>5392</v>
      </c>
      <c r="N190" s="115" t="s">
        <v>6399</v>
      </c>
      <c r="O190" s="115" t="s">
        <v>2128</v>
      </c>
      <c r="P190" s="113">
        <v>495</v>
      </c>
      <c r="Q190" s="113">
        <v>70</v>
      </c>
      <c r="R190" s="113">
        <v>60</v>
      </c>
      <c r="S190" s="113">
        <v>125</v>
      </c>
      <c r="T190" s="120">
        <v>115</v>
      </c>
      <c r="U190" s="113">
        <v>70</v>
      </c>
      <c r="V190" s="113">
        <v>55</v>
      </c>
      <c r="W190" s="129"/>
      <c r="X190" s="129"/>
      <c r="Y190" s="5"/>
      <c r="Z190" s="5"/>
      <c r="AA190" s="5"/>
      <c r="AB190" s="5"/>
      <c r="AC190" s="5"/>
      <c r="AD190" s="5"/>
      <c r="AE190" s="5"/>
    </row>
    <row r="191" spans="1:36" customFormat="1">
      <c r="A191" s="113">
        <v>140</v>
      </c>
      <c r="B191" s="113" t="s">
        <v>168</v>
      </c>
      <c r="C191" s="120" t="s">
        <v>5394</v>
      </c>
      <c r="D191" s="124">
        <v>0.85</v>
      </c>
      <c r="E191" s="124">
        <v>0.15</v>
      </c>
      <c r="F191" s="113" t="s">
        <v>2337</v>
      </c>
      <c r="G191" s="113" t="s">
        <v>1973</v>
      </c>
      <c r="H191" s="113" t="s">
        <v>98</v>
      </c>
      <c r="I191" s="113" t="s">
        <v>25</v>
      </c>
      <c r="J191" s="118" t="s">
        <v>2129</v>
      </c>
      <c r="K191" s="118" t="s">
        <v>4657</v>
      </c>
      <c r="L191" s="118" t="s">
        <v>5394</v>
      </c>
      <c r="M191" s="115" t="s">
        <v>1109</v>
      </c>
      <c r="N191" s="115" t="s">
        <v>2129</v>
      </c>
      <c r="O191" s="115" t="s">
        <v>1109</v>
      </c>
      <c r="P191" s="113">
        <v>355</v>
      </c>
      <c r="Q191" s="113">
        <v>30</v>
      </c>
      <c r="R191" s="113">
        <v>80</v>
      </c>
      <c r="S191" s="113">
        <v>90</v>
      </c>
      <c r="T191" s="120">
        <v>55</v>
      </c>
      <c r="U191" s="113">
        <v>45</v>
      </c>
      <c r="V191" s="113">
        <v>55</v>
      </c>
      <c r="W191" s="129"/>
      <c r="X191" s="129"/>
      <c r="Y191" s="5"/>
      <c r="Z191" s="5"/>
      <c r="AA191" s="5"/>
      <c r="AB191" s="5"/>
      <c r="AC191" s="5"/>
      <c r="AD191" s="5"/>
      <c r="AE191" s="5"/>
    </row>
    <row r="192" spans="1:36" customFormat="1">
      <c r="A192" s="113">
        <v>141</v>
      </c>
      <c r="B192" s="113" t="s">
        <v>169</v>
      </c>
      <c r="C192" s="120" t="s">
        <v>5395</v>
      </c>
      <c r="D192" s="124">
        <v>0.85</v>
      </c>
      <c r="E192" s="124">
        <v>0.15</v>
      </c>
      <c r="F192" s="113" t="s">
        <v>2337</v>
      </c>
      <c r="G192" s="113" t="s">
        <v>1973</v>
      </c>
      <c r="H192" s="113" t="s">
        <v>98</v>
      </c>
      <c r="I192" s="113" t="s">
        <v>25</v>
      </c>
      <c r="J192" s="118" t="s">
        <v>2129</v>
      </c>
      <c r="K192" s="118" t="s">
        <v>4657</v>
      </c>
      <c r="L192" s="118" t="s">
        <v>5394</v>
      </c>
      <c r="M192" s="115" t="s">
        <v>5394</v>
      </c>
      <c r="N192" s="115" t="s">
        <v>6399</v>
      </c>
      <c r="O192" s="115" t="s">
        <v>2128</v>
      </c>
      <c r="P192" s="113">
        <v>495</v>
      </c>
      <c r="Q192" s="113">
        <v>60</v>
      </c>
      <c r="R192" s="113">
        <v>115</v>
      </c>
      <c r="S192" s="113">
        <v>105</v>
      </c>
      <c r="T192" s="120">
        <v>65</v>
      </c>
      <c r="U192" s="113">
        <v>70</v>
      </c>
      <c r="V192" s="113">
        <v>80</v>
      </c>
      <c r="W192" s="129"/>
      <c r="X192" s="129"/>
      <c r="Y192" s="5"/>
      <c r="Z192" s="5"/>
      <c r="AA192" s="5"/>
      <c r="AB192" s="5"/>
      <c r="AC192" s="5"/>
      <c r="AD192" s="5"/>
      <c r="AE192" s="5"/>
    </row>
    <row r="193" spans="1:34" customFormat="1">
      <c r="A193" s="113">
        <v>142</v>
      </c>
      <c r="B193" s="113" t="s">
        <v>170</v>
      </c>
      <c r="C193" s="120" t="s">
        <v>5396</v>
      </c>
      <c r="D193" s="124">
        <v>0.85</v>
      </c>
      <c r="E193" s="124">
        <v>0.15</v>
      </c>
      <c r="F193" s="113" t="s">
        <v>22</v>
      </c>
      <c r="G193" s="113" t="s">
        <v>1973</v>
      </c>
      <c r="H193" s="113" t="s">
        <v>98</v>
      </c>
      <c r="I193" s="113" t="s">
        <v>22</v>
      </c>
      <c r="J193" s="118" t="s">
        <v>2129</v>
      </c>
      <c r="K193" s="118" t="s">
        <v>4657</v>
      </c>
      <c r="L193" s="118" t="s">
        <v>5396</v>
      </c>
      <c r="M193" s="115" t="s">
        <v>1109</v>
      </c>
      <c r="N193" s="115" t="s">
        <v>6399</v>
      </c>
      <c r="O193" s="115" t="s">
        <v>1109</v>
      </c>
      <c r="P193" s="113">
        <v>515</v>
      </c>
      <c r="Q193" s="113">
        <v>80</v>
      </c>
      <c r="R193" s="113">
        <v>105</v>
      </c>
      <c r="S193" s="113">
        <v>65</v>
      </c>
      <c r="T193" s="120">
        <v>60</v>
      </c>
      <c r="U193" s="113">
        <v>75</v>
      </c>
      <c r="V193" s="113">
        <v>130</v>
      </c>
      <c r="W193" s="129"/>
      <c r="X193" s="129"/>
      <c r="Y193" s="5"/>
      <c r="Z193" s="5"/>
      <c r="AA193" s="5"/>
      <c r="AB193" s="5"/>
      <c r="AC193" s="5"/>
      <c r="AD193" s="5"/>
      <c r="AE193" s="5"/>
    </row>
    <row r="194" spans="1:34" customFormat="1" hidden="1">
      <c r="A194" s="113">
        <v>142</v>
      </c>
      <c r="B194" s="113" t="s">
        <v>2867</v>
      </c>
      <c r="C194" s="120" t="s">
        <v>5397</v>
      </c>
      <c r="D194" s="124">
        <v>0.85</v>
      </c>
      <c r="E194" s="124">
        <v>0.15</v>
      </c>
      <c r="F194" s="113" t="s">
        <v>22</v>
      </c>
      <c r="G194" s="113" t="s">
        <v>1973</v>
      </c>
      <c r="H194" s="113" t="s">
        <v>98</v>
      </c>
      <c r="I194" s="113" t="s">
        <v>22</v>
      </c>
      <c r="J194" s="118" t="s">
        <v>3973</v>
      </c>
      <c r="K194" s="118" t="s">
        <v>4659</v>
      </c>
      <c r="L194" s="118" t="s">
        <v>5396</v>
      </c>
      <c r="M194" s="115" t="s">
        <v>5396</v>
      </c>
      <c r="N194" s="115" t="s">
        <v>3973</v>
      </c>
      <c r="O194" s="115" t="s">
        <v>4480</v>
      </c>
      <c r="P194" s="113">
        <v>615</v>
      </c>
      <c r="Q194" s="113">
        <v>80</v>
      </c>
      <c r="R194" s="113">
        <v>135</v>
      </c>
      <c r="S194" s="113">
        <v>85</v>
      </c>
      <c r="T194" s="120">
        <v>70</v>
      </c>
      <c r="U194" s="113">
        <v>95</v>
      </c>
      <c r="V194" s="113">
        <v>150</v>
      </c>
      <c r="W194" s="129"/>
      <c r="X194" s="129"/>
      <c r="Y194" s="5"/>
      <c r="Z194" s="5"/>
      <c r="AA194" s="5"/>
      <c r="AB194" s="5"/>
      <c r="AC194" s="5"/>
      <c r="AD194" s="5"/>
      <c r="AE194" s="5"/>
    </row>
    <row r="195" spans="1:34" customFormat="1">
      <c r="A195" s="113">
        <v>143</v>
      </c>
      <c r="B195" s="113" t="s">
        <v>171</v>
      </c>
      <c r="C195" s="120" t="s">
        <v>5398</v>
      </c>
      <c r="D195" s="124">
        <v>0.85</v>
      </c>
      <c r="E195" s="124">
        <v>0.15</v>
      </c>
      <c r="F195" s="113" t="s">
        <v>2330</v>
      </c>
      <c r="G195" s="113" t="s">
        <v>1973</v>
      </c>
      <c r="H195" s="113" t="s">
        <v>36</v>
      </c>
      <c r="I195" s="113" t="s">
        <v>1109</v>
      </c>
      <c r="J195" s="118" t="s">
        <v>2129</v>
      </c>
      <c r="K195" s="118" t="s">
        <v>4657</v>
      </c>
      <c r="L195" s="118" t="s">
        <v>5749</v>
      </c>
      <c r="M195" s="115" t="s">
        <v>5749</v>
      </c>
      <c r="N195" s="115" t="s">
        <v>6399</v>
      </c>
      <c r="O195" s="115" t="s">
        <v>2128</v>
      </c>
      <c r="P195" s="113">
        <v>540</v>
      </c>
      <c r="Q195" s="113">
        <v>160</v>
      </c>
      <c r="R195" s="113">
        <v>110</v>
      </c>
      <c r="S195" s="113">
        <v>65</v>
      </c>
      <c r="T195" s="120">
        <v>65</v>
      </c>
      <c r="U195" s="113">
        <v>110</v>
      </c>
      <c r="V195" s="113">
        <v>30</v>
      </c>
      <c r="W195" s="129"/>
      <c r="X195" s="129"/>
      <c r="Y195" s="5"/>
      <c r="Z195" s="5"/>
      <c r="AA195" s="5"/>
      <c r="AB195" s="5"/>
      <c r="AC195" s="5"/>
      <c r="AD195" s="5"/>
      <c r="AE195" s="5"/>
    </row>
    <row r="196" spans="1:34" customFormat="1">
      <c r="A196" s="113">
        <v>144</v>
      </c>
      <c r="B196" s="113" t="s">
        <v>172</v>
      </c>
      <c r="C196" s="120" t="s">
        <v>5399</v>
      </c>
      <c r="D196" s="124" t="s">
        <v>1109</v>
      </c>
      <c r="E196" s="124" t="s">
        <v>1109</v>
      </c>
      <c r="F196" s="113" t="s">
        <v>2333</v>
      </c>
      <c r="G196" s="113" t="s">
        <v>1973</v>
      </c>
      <c r="H196" s="113" t="s">
        <v>113</v>
      </c>
      <c r="I196" s="113" t="s">
        <v>22</v>
      </c>
      <c r="J196" s="118" t="s">
        <v>12</v>
      </c>
      <c r="K196" s="118" t="s">
        <v>12</v>
      </c>
      <c r="L196" s="118" t="s">
        <v>5399</v>
      </c>
      <c r="M196" s="115" t="s">
        <v>1109</v>
      </c>
      <c r="N196" s="115" t="s">
        <v>6399</v>
      </c>
      <c r="O196" s="115" t="s">
        <v>1109</v>
      </c>
      <c r="P196" s="113">
        <v>580</v>
      </c>
      <c r="Q196" s="113">
        <v>90</v>
      </c>
      <c r="R196" s="113">
        <v>85</v>
      </c>
      <c r="S196" s="113">
        <v>100</v>
      </c>
      <c r="T196" s="120">
        <v>95</v>
      </c>
      <c r="U196" s="113">
        <v>125</v>
      </c>
      <c r="V196" s="113">
        <v>85</v>
      </c>
      <c r="W196" s="129"/>
      <c r="X196" s="129"/>
      <c r="Y196" s="5"/>
      <c r="Z196" s="5"/>
      <c r="AA196" s="5"/>
      <c r="AB196" s="5"/>
      <c r="AC196" s="5"/>
      <c r="AD196" s="5"/>
      <c r="AE196" s="5"/>
    </row>
    <row r="197" spans="1:34">
      <c r="A197" s="113">
        <v>144</v>
      </c>
      <c r="B197" s="113" t="s">
        <v>6444</v>
      </c>
      <c r="C197" s="120" t="s">
        <v>5400</v>
      </c>
      <c r="D197" s="124" t="s">
        <v>1109</v>
      </c>
      <c r="E197" s="124" t="s">
        <v>1109</v>
      </c>
      <c r="F197" s="113" t="s">
        <v>2333</v>
      </c>
      <c r="G197" s="113" t="s">
        <v>2703</v>
      </c>
      <c r="H197" s="113" t="s">
        <v>86</v>
      </c>
      <c r="I197" s="113" t="s">
        <v>22</v>
      </c>
      <c r="J197" s="118" t="s">
        <v>12</v>
      </c>
      <c r="K197" s="118" t="s">
        <v>12</v>
      </c>
      <c r="L197" s="118" t="s">
        <v>5399</v>
      </c>
      <c r="M197" s="115" t="s">
        <v>1109</v>
      </c>
      <c r="N197" s="115" t="s">
        <v>6399</v>
      </c>
      <c r="O197" s="115" t="s">
        <v>1109</v>
      </c>
      <c r="P197" s="113">
        <v>580</v>
      </c>
      <c r="Q197" s="113">
        <v>90</v>
      </c>
      <c r="R197" s="113">
        <v>85</v>
      </c>
      <c r="S197" s="113">
        <v>85</v>
      </c>
      <c r="T197" s="120">
        <v>125</v>
      </c>
      <c r="U197" s="113">
        <v>100</v>
      </c>
      <c r="V197" s="113">
        <v>95</v>
      </c>
      <c r="W197" s="129"/>
      <c r="X197" s="129"/>
      <c r="AF197"/>
      <c r="AG197"/>
    </row>
    <row r="198" spans="1:34" customFormat="1">
      <c r="A198" s="113">
        <v>145</v>
      </c>
      <c r="B198" s="113" t="s">
        <v>173</v>
      </c>
      <c r="C198" s="120" t="s">
        <v>5401</v>
      </c>
      <c r="D198" s="124" t="s">
        <v>1109</v>
      </c>
      <c r="E198" s="124" t="s">
        <v>1109</v>
      </c>
      <c r="F198" s="113" t="s">
        <v>2333</v>
      </c>
      <c r="G198" s="113" t="s">
        <v>1973</v>
      </c>
      <c r="H198" s="113" t="s">
        <v>46</v>
      </c>
      <c r="I198" s="113" t="s">
        <v>22</v>
      </c>
      <c r="J198" s="118" t="s">
        <v>12</v>
      </c>
      <c r="K198" s="118" t="s">
        <v>12</v>
      </c>
      <c r="L198" s="118" t="s">
        <v>5401</v>
      </c>
      <c r="M198" s="115" t="s">
        <v>1109</v>
      </c>
      <c r="N198" s="115" t="s">
        <v>6399</v>
      </c>
      <c r="O198" s="115" t="s">
        <v>1109</v>
      </c>
      <c r="P198" s="113">
        <v>580</v>
      </c>
      <c r="Q198" s="113">
        <v>90</v>
      </c>
      <c r="R198" s="113">
        <v>90</v>
      </c>
      <c r="S198" s="113">
        <v>85</v>
      </c>
      <c r="T198" s="120">
        <v>125</v>
      </c>
      <c r="U198" s="113">
        <v>90</v>
      </c>
      <c r="V198" s="113">
        <v>100</v>
      </c>
      <c r="W198" s="129"/>
      <c r="X198" s="129"/>
      <c r="Y198" s="5"/>
      <c r="Z198" s="5"/>
      <c r="AA198" s="5"/>
      <c r="AB198" s="5"/>
      <c r="AC198" s="5"/>
      <c r="AD198" s="5"/>
      <c r="AE198" s="5"/>
    </row>
    <row r="199" spans="1:34" customFormat="1">
      <c r="A199" s="113">
        <v>145</v>
      </c>
      <c r="B199" s="113" t="s">
        <v>6459</v>
      </c>
      <c r="C199" s="120" t="s">
        <v>5402</v>
      </c>
      <c r="D199" s="124" t="s">
        <v>1109</v>
      </c>
      <c r="E199" s="124" t="s">
        <v>1109</v>
      </c>
      <c r="F199" s="113" t="s">
        <v>2333</v>
      </c>
      <c r="G199" s="113" t="s">
        <v>2703</v>
      </c>
      <c r="H199" s="113" t="s">
        <v>78</v>
      </c>
      <c r="I199" s="113" t="s">
        <v>22</v>
      </c>
      <c r="J199" s="118" t="s">
        <v>12</v>
      </c>
      <c r="K199" s="118" t="s">
        <v>12</v>
      </c>
      <c r="L199" s="118" t="s">
        <v>5401</v>
      </c>
      <c r="M199" s="115" t="s">
        <v>1109</v>
      </c>
      <c r="N199" s="115" t="s">
        <v>6399</v>
      </c>
      <c r="O199" s="115" t="s">
        <v>1109</v>
      </c>
      <c r="P199" s="113">
        <v>580</v>
      </c>
      <c r="Q199" s="113">
        <v>90</v>
      </c>
      <c r="R199" s="113">
        <v>125</v>
      </c>
      <c r="S199" s="113">
        <v>90</v>
      </c>
      <c r="T199" s="120">
        <v>85</v>
      </c>
      <c r="U199" s="113">
        <v>90</v>
      </c>
      <c r="V199" s="113">
        <v>100</v>
      </c>
      <c r="W199" s="129"/>
      <c r="X199" s="129"/>
      <c r="Y199" s="5"/>
      <c r="Z199" s="5"/>
      <c r="AA199" s="5"/>
      <c r="AB199" s="5"/>
      <c r="AC199" s="5"/>
      <c r="AD199" s="5"/>
      <c r="AE199" s="5"/>
      <c r="AH199" s="5"/>
    </row>
    <row r="200" spans="1:34" customFormat="1">
      <c r="A200" s="113">
        <v>146</v>
      </c>
      <c r="B200" s="113" t="s">
        <v>174</v>
      </c>
      <c r="C200" s="120" t="s">
        <v>5403</v>
      </c>
      <c r="D200" s="124" t="s">
        <v>1109</v>
      </c>
      <c r="E200" s="124" t="s">
        <v>1109</v>
      </c>
      <c r="F200" s="113" t="s">
        <v>2333</v>
      </c>
      <c r="G200" s="113" t="s">
        <v>1973</v>
      </c>
      <c r="H200" s="113" t="s">
        <v>19</v>
      </c>
      <c r="I200" s="113" t="s">
        <v>22</v>
      </c>
      <c r="J200" s="118" t="s">
        <v>12</v>
      </c>
      <c r="K200" s="137" t="s">
        <v>12</v>
      </c>
      <c r="L200" s="118" t="s">
        <v>5403</v>
      </c>
      <c r="M200" s="115" t="s">
        <v>1109</v>
      </c>
      <c r="N200" s="115" t="s">
        <v>6399</v>
      </c>
      <c r="O200" s="115" t="s">
        <v>1109</v>
      </c>
      <c r="P200" s="113">
        <v>580</v>
      </c>
      <c r="Q200" s="113">
        <v>90</v>
      </c>
      <c r="R200" s="113">
        <v>100</v>
      </c>
      <c r="S200" s="113">
        <v>90</v>
      </c>
      <c r="T200" s="120">
        <v>125</v>
      </c>
      <c r="U200" s="113">
        <v>85</v>
      </c>
      <c r="V200" s="113">
        <v>90</v>
      </c>
      <c r="W200" s="129"/>
      <c r="X200" s="129"/>
      <c r="Y200" s="5"/>
      <c r="Z200" s="5"/>
      <c r="AA200" s="5"/>
      <c r="AB200" s="5"/>
      <c r="AC200" s="5"/>
      <c r="AD200" s="5"/>
      <c r="AE200" s="5"/>
      <c r="AF200" s="5"/>
    </row>
    <row r="201" spans="1:34" customFormat="1">
      <c r="A201" s="113">
        <v>146</v>
      </c>
      <c r="B201" s="113" t="s">
        <v>6452</v>
      </c>
      <c r="C201" s="120" t="s">
        <v>5404</v>
      </c>
      <c r="D201" s="124" t="s">
        <v>1109</v>
      </c>
      <c r="E201" s="124" t="s">
        <v>1109</v>
      </c>
      <c r="F201" s="113" t="s">
        <v>2333</v>
      </c>
      <c r="G201" s="113" t="s">
        <v>2703</v>
      </c>
      <c r="H201" s="113" t="s">
        <v>158</v>
      </c>
      <c r="I201" s="113" t="s">
        <v>22</v>
      </c>
      <c r="J201" s="118" t="s">
        <v>12</v>
      </c>
      <c r="K201" s="118" t="s">
        <v>12</v>
      </c>
      <c r="L201" s="118" t="s">
        <v>5403</v>
      </c>
      <c r="M201" s="115" t="s">
        <v>1109</v>
      </c>
      <c r="N201" s="115" t="s">
        <v>6399</v>
      </c>
      <c r="O201" s="115" t="s">
        <v>1109</v>
      </c>
      <c r="P201" s="113">
        <v>580</v>
      </c>
      <c r="Q201" s="113">
        <v>90</v>
      </c>
      <c r="R201" s="113">
        <v>85</v>
      </c>
      <c r="S201" s="113">
        <v>90</v>
      </c>
      <c r="T201" s="120">
        <v>100</v>
      </c>
      <c r="U201" s="113">
        <v>125</v>
      </c>
      <c r="V201" s="113">
        <v>90</v>
      </c>
      <c r="W201" s="129"/>
      <c r="X201" s="129"/>
      <c r="Y201" s="5"/>
      <c r="Z201" s="5"/>
      <c r="AA201" s="5"/>
      <c r="AB201" s="5"/>
      <c r="AC201" s="5"/>
      <c r="AD201" s="5"/>
      <c r="AE201" s="5"/>
      <c r="AF201" s="5"/>
      <c r="AH201" s="5"/>
    </row>
    <row r="202" spans="1:34" customFormat="1">
      <c r="A202" s="113">
        <v>147</v>
      </c>
      <c r="B202" s="113" t="s">
        <v>175</v>
      </c>
      <c r="C202" s="120" t="s">
        <v>5405</v>
      </c>
      <c r="D202" s="124">
        <v>0.5</v>
      </c>
      <c r="E202" s="124">
        <v>0.5</v>
      </c>
      <c r="F202" s="113" t="s">
        <v>23</v>
      </c>
      <c r="G202" s="113" t="s">
        <v>1973</v>
      </c>
      <c r="H202" s="113" t="s">
        <v>23</v>
      </c>
      <c r="I202" s="113" t="s">
        <v>1109</v>
      </c>
      <c r="J202" s="118" t="s">
        <v>2129</v>
      </c>
      <c r="K202" s="118" t="s">
        <v>4657</v>
      </c>
      <c r="L202" s="118" t="s">
        <v>5405</v>
      </c>
      <c r="M202" s="115" t="s">
        <v>1109</v>
      </c>
      <c r="N202" s="115" t="s">
        <v>2129</v>
      </c>
      <c r="O202" s="115" t="s">
        <v>1109</v>
      </c>
      <c r="P202" s="113">
        <v>300</v>
      </c>
      <c r="Q202" s="113">
        <v>41</v>
      </c>
      <c r="R202" s="113">
        <v>64</v>
      </c>
      <c r="S202" s="113">
        <v>45</v>
      </c>
      <c r="T202" s="120">
        <v>50</v>
      </c>
      <c r="U202" s="113">
        <v>50</v>
      </c>
      <c r="V202" s="113">
        <v>50</v>
      </c>
      <c r="W202" s="129"/>
      <c r="X202" s="129"/>
      <c r="Y202" s="5"/>
      <c r="Z202" s="5"/>
      <c r="AA202" s="5"/>
      <c r="AB202" s="5"/>
      <c r="AC202" s="5"/>
      <c r="AD202" s="5"/>
      <c r="AE202" s="5"/>
      <c r="AH202" s="5"/>
    </row>
    <row r="203" spans="1:34" customFormat="1">
      <c r="A203" s="113">
        <v>148</v>
      </c>
      <c r="B203" s="113" t="s">
        <v>176</v>
      </c>
      <c r="C203" s="120" t="s">
        <v>5406</v>
      </c>
      <c r="D203" s="124">
        <v>0.5</v>
      </c>
      <c r="E203" s="124">
        <v>0.5</v>
      </c>
      <c r="F203" s="113" t="s">
        <v>23</v>
      </c>
      <c r="G203" s="113" t="s">
        <v>1973</v>
      </c>
      <c r="H203" s="113" t="s">
        <v>23</v>
      </c>
      <c r="I203" s="113" t="s">
        <v>1109</v>
      </c>
      <c r="J203" s="118" t="s">
        <v>2129</v>
      </c>
      <c r="K203" s="118" t="s">
        <v>4657</v>
      </c>
      <c r="L203" s="118" t="s">
        <v>5405</v>
      </c>
      <c r="M203" s="115" t="s">
        <v>5405</v>
      </c>
      <c r="N203" s="115" t="s">
        <v>6398</v>
      </c>
      <c r="O203" s="115" t="s">
        <v>2128</v>
      </c>
      <c r="P203" s="113">
        <v>420</v>
      </c>
      <c r="Q203" s="113">
        <v>61</v>
      </c>
      <c r="R203" s="113">
        <v>84</v>
      </c>
      <c r="S203" s="113">
        <v>65</v>
      </c>
      <c r="T203" s="120">
        <v>70</v>
      </c>
      <c r="U203" s="113">
        <v>70</v>
      </c>
      <c r="V203" s="113">
        <v>70</v>
      </c>
      <c r="W203" s="129"/>
      <c r="X203" s="129"/>
      <c r="Y203" s="5"/>
      <c r="Z203" s="5"/>
      <c r="AA203" s="5"/>
      <c r="AB203" s="5"/>
      <c r="AC203" s="5"/>
      <c r="AD203" s="5"/>
      <c r="AE203" s="5"/>
    </row>
    <row r="204" spans="1:34" customFormat="1">
      <c r="A204" s="113">
        <v>149</v>
      </c>
      <c r="B204" s="113" t="s">
        <v>177</v>
      </c>
      <c r="C204" s="120" t="s">
        <v>5407</v>
      </c>
      <c r="D204" s="124">
        <v>0.5</v>
      </c>
      <c r="E204" s="124">
        <v>0.5</v>
      </c>
      <c r="F204" s="113" t="s">
        <v>23</v>
      </c>
      <c r="G204" s="113" t="s">
        <v>1973</v>
      </c>
      <c r="H204" s="113" t="s">
        <v>23</v>
      </c>
      <c r="I204" s="113" t="s">
        <v>22</v>
      </c>
      <c r="J204" s="118" t="s">
        <v>2129</v>
      </c>
      <c r="K204" s="118" t="s">
        <v>4657</v>
      </c>
      <c r="L204" s="118" t="s">
        <v>5405</v>
      </c>
      <c r="M204" s="115" t="s">
        <v>5406</v>
      </c>
      <c r="N204" s="115" t="s">
        <v>6399</v>
      </c>
      <c r="O204" s="115" t="s">
        <v>2128</v>
      </c>
      <c r="P204" s="113">
        <v>600</v>
      </c>
      <c r="Q204" s="113">
        <v>91</v>
      </c>
      <c r="R204" s="113">
        <v>134</v>
      </c>
      <c r="S204" s="113">
        <v>95</v>
      </c>
      <c r="T204" s="120">
        <v>100</v>
      </c>
      <c r="U204" s="113">
        <v>100</v>
      </c>
      <c r="V204" s="113">
        <v>80</v>
      </c>
      <c r="W204" s="129"/>
      <c r="X204" s="129"/>
      <c r="Y204" s="5"/>
      <c r="Z204" s="5"/>
      <c r="AA204" s="5"/>
      <c r="AB204" s="5"/>
      <c r="AC204" s="5"/>
      <c r="AD204" s="5"/>
      <c r="AE204" s="5"/>
    </row>
    <row r="205" spans="1:34" customFormat="1">
      <c r="A205" s="113">
        <v>150</v>
      </c>
      <c r="B205" s="113" t="s">
        <v>178</v>
      </c>
      <c r="C205" s="120" t="s">
        <v>5408</v>
      </c>
      <c r="D205" s="124" t="s">
        <v>1109</v>
      </c>
      <c r="E205" s="124" t="s">
        <v>1109</v>
      </c>
      <c r="F205" s="113" t="s">
        <v>2333</v>
      </c>
      <c r="G205" s="113" t="s">
        <v>1973</v>
      </c>
      <c r="H205" s="113" t="s">
        <v>86</v>
      </c>
      <c r="I205" s="113" t="s">
        <v>1109</v>
      </c>
      <c r="J205" s="118" t="s">
        <v>12</v>
      </c>
      <c r="K205" s="137" t="s">
        <v>12</v>
      </c>
      <c r="L205" s="118" t="s">
        <v>5408</v>
      </c>
      <c r="M205" s="115" t="s">
        <v>1109</v>
      </c>
      <c r="N205" s="115" t="s">
        <v>6399</v>
      </c>
      <c r="O205" s="115" t="s">
        <v>1109</v>
      </c>
      <c r="P205" s="113">
        <v>680</v>
      </c>
      <c r="Q205" s="113">
        <v>106</v>
      </c>
      <c r="R205" s="113">
        <v>110</v>
      </c>
      <c r="S205" s="113">
        <v>90</v>
      </c>
      <c r="T205" s="120">
        <v>154</v>
      </c>
      <c r="U205" s="113">
        <v>90</v>
      </c>
      <c r="V205" s="113">
        <v>130</v>
      </c>
      <c r="W205" s="129"/>
      <c r="X205" s="129"/>
      <c r="Y205" s="5"/>
      <c r="Z205" s="5"/>
      <c r="AA205" s="5"/>
      <c r="AB205" s="5"/>
      <c r="AC205" s="5"/>
      <c r="AD205" s="5"/>
      <c r="AE205" s="5"/>
      <c r="AF205" s="5"/>
    </row>
    <row r="206" spans="1:34" customFormat="1" hidden="1">
      <c r="A206" s="113">
        <v>150</v>
      </c>
      <c r="B206" s="113" t="s">
        <v>2874</v>
      </c>
      <c r="C206" s="120" t="s">
        <v>5409</v>
      </c>
      <c r="D206" s="124" t="s">
        <v>1109</v>
      </c>
      <c r="E206" s="124" t="s">
        <v>1109</v>
      </c>
      <c r="F206" s="113" t="s">
        <v>2333</v>
      </c>
      <c r="G206" s="113" t="s">
        <v>1973</v>
      </c>
      <c r="H206" s="113" t="s">
        <v>86</v>
      </c>
      <c r="I206" s="113" t="s">
        <v>78</v>
      </c>
      <c r="J206" s="118" t="s">
        <v>3973</v>
      </c>
      <c r="K206" s="118" t="s">
        <v>4659</v>
      </c>
      <c r="L206" s="118" t="s">
        <v>5408</v>
      </c>
      <c r="M206" s="115" t="s">
        <v>5408</v>
      </c>
      <c r="N206" s="115" t="s">
        <v>3973</v>
      </c>
      <c r="O206" s="115" t="s">
        <v>4480</v>
      </c>
      <c r="P206" s="113">
        <v>780</v>
      </c>
      <c r="Q206" s="113">
        <v>106</v>
      </c>
      <c r="R206" s="113">
        <v>190</v>
      </c>
      <c r="S206" s="113">
        <v>100</v>
      </c>
      <c r="T206" s="120">
        <v>154</v>
      </c>
      <c r="U206" s="113">
        <v>100</v>
      </c>
      <c r="V206" s="113">
        <v>130</v>
      </c>
      <c r="W206" s="129"/>
      <c r="X206" s="129"/>
      <c r="Y206" s="5"/>
      <c r="Z206" s="5"/>
      <c r="AA206" s="5"/>
      <c r="AB206" s="5"/>
      <c r="AC206" s="5"/>
      <c r="AD206" s="5"/>
      <c r="AE206" s="5"/>
      <c r="AF206" s="5"/>
    </row>
    <row r="207" spans="1:34" customFormat="1" hidden="1">
      <c r="A207" s="113">
        <v>150</v>
      </c>
      <c r="B207" s="113" t="s">
        <v>2875</v>
      </c>
      <c r="C207" s="120" t="s">
        <v>5410</v>
      </c>
      <c r="D207" s="124" t="s">
        <v>1109</v>
      </c>
      <c r="E207" s="124" t="s">
        <v>1109</v>
      </c>
      <c r="F207" s="113" t="s">
        <v>2333</v>
      </c>
      <c r="G207" s="113" t="s">
        <v>1973</v>
      </c>
      <c r="H207" s="113" t="s">
        <v>86</v>
      </c>
      <c r="I207" s="113" t="s">
        <v>1109</v>
      </c>
      <c r="J207" s="118" t="s">
        <v>3973</v>
      </c>
      <c r="K207" s="118" t="s">
        <v>4659</v>
      </c>
      <c r="L207" s="118" t="s">
        <v>5408</v>
      </c>
      <c r="M207" s="115" t="s">
        <v>5408</v>
      </c>
      <c r="N207" s="115" t="s">
        <v>3973</v>
      </c>
      <c r="O207" s="115" t="s">
        <v>4480</v>
      </c>
      <c r="P207" s="113">
        <v>780</v>
      </c>
      <c r="Q207" s="113">
        <v>106</v>
      </c>
      <c r="R207" s="113">
        <v>150</v>
      </c>
      <c r="S207" s="113">
        <v>70</v>
      </c>
      <c r="T207" s="120">
        <v>194</v>
      </c>
      <c r="U207" s="113">
        <v>120</v>
      </c>
      <c r="V207" s="113">
        <v>140</v>
      </c>
      <c r="W207" s="129"/>
      <c r="X207" s="129"/>
      <c r="Y207" s="5"/>
      <c r="Z207" s="5"/>
      <c r="AA207" s="5"/>
      <c r="AB207" s="5"/>
      <c r="AC207" s="5"/>
      <c r="AD207" s="5"/>
      <c r="AE207" s="5"/>
      <c r="AF207" s="5"/>
    </row>
    <row r="208" spans="1:34">
      <c r="A208" s="113">
        <v>151</v>
      </c>
      <c r="B208" s="113" t="s">
        <v>179</v>
      </c>
      <c r="C208" s="120" t="s">
        <v>5411</v>
      </c>
      <c r="D208" s="124" t="s">
        <v>1109</v>
      </c>
      <c r="E208" s="124" t="s">
        <v>1109</v>
      </c>
      <c r="F208" s="113" t="s">
        <v>2333</v>
      </c>
      <c r="G208" s="113" t="s">
        <v>1973</v>
      </c>
      <c r="H208" s="113" t="s">
        <v>86</v>
      </c>
      <c r="I208" s="113" t="s">
        <v>1109</v>
      </c>
      <c r="J208" s="118" t="s">
        <v>12</v>
      </c>
      <c r="K208" s="118" t="s">
        <v>12</v>
      </c>
      <c r="L208" s="118" t="s">
        <v>5411</v>
      </c>
      <c r="M208" s="115" t="s">
        <v>1109</v>
      </c>
      <c r="N208" s="115" t="s">
        <v>6399</v>
      </c>
      <c r="O208" s="115" t="s">
        <v>1109</v>
      </c>
      <c r="P208" s="113">
        <v>600</v>
      </c>
      <c r="Q208" s="113">
        <v>100</v>
      </c>
      <c r="R208" s="113">
        <v>100</v>
      </c>
      <c r="S208" s="113">
        <v>100</v>
      </c>
      <c r="T208" s="120">
        <v>100</v>
      </c>
      <c r="U208" s="113">
        <v>100</v>
      </c>
      <c r="V208" s="113">
        <v>100</v>
      </c>
      <c r="W208" s="129"/>
      <c r="X208" s="129"/>
      <c r="AG208"/>
      <c r="AH208"/>
    </row>
    <row r="209" spans="1:34" customFormat="1">
      <c r="A209" s="113">
        <v>152</v>
      </c>
      <c r="B209" s="113" t="s">
        <v>180</v>
      </c>
      <c r="C209" s="120" t="s">
        <v>5412</v>
      </c>
      <c r="D209" s="124">
        <v>0.85</v>
      </c>
      <c r="E209" s="124">
        <v>0.15</v>
      </c>
      <c r="F209" s="113" t="s">
        <v>14</v>
      </c>
      <c r="G209" s="113" t="s">
        <v>1974</v>
      </c>
      <c r="H209" s="113" t="s">
        <v>14</v>
      </c>
      <c r="I209" s="113" t="s">
        <v>1109</v>
      </c>
      <c r="J209" s="118" t="s">
        <v>792</v>
      </c>
      <c r="K209" s="118" t="s">
        <v>4657</v>
      </c>
      <c r="L209" s="118" t="s">
        <v>5412</v>
      </c>
      <c r="M209" s="115" t="s">
        <v>1109</v>
      </c>
      <c r="N209" s="115" t="s">
        <v>2129</v>
      </c>
      <c r="O209" s="115" t="s">
        <v>1109</v>
      </c>
      <c r="P209" s="113">
        <v>318</v>
      </c>
      <c r="Q209" s="113">
        <v>45</v>
      </c>
      <c r="R209" s="113">
        <v>49</v>
      </c>
      <c r="S209" s="113">
        <v>65</v>
      </c>
      <c r="T209" s="120">
        <v>49</v>
      </c>
      <c r="U209" s="113">
        <v>65</v>
      </c>
      <c r="V209" s="113">
        <v>45</v>
      </c>
      <c r="W209" s="129"/>
      <c r="X209" s="129"/>
      <c r="Y209" s="5"/>
      <c r="Z209" s="5"/>
      <c r="AA209" s="5"/>
      <c r="AB209" s="5"/>
      <c r="AC209" s="5"/>
      <c r="AD209" s="5"/>
      <c r="AE209" s="5"/>
      <c r="AG209" s="5"/>
    </row>
    <row r="210" spans="1:34" customFormat="1">
      <c r="A210" s="113">
        <v>153</v>
      </c>
      <c r="B210" s="113" t="s">
        <v>181</v>
      </c>
      <c r="C210" s="120" t="s">
        <v>5413</v>
      </c>
      <c r="D210" s="124">
        <v>0.85</v>
      </c>
      <c r="E210" s="124">
        <v>0.15</v>
      </c>
      <c r="F210" s="113" t="s">
        <v>14</v>
      </c>
      <c r="G210" s="113" t="s">
        <v>1974</v>
      </c>
      <c r="H210" s="113" t="s">
        <v>14</v>
      </c>
      <c r="I210" s="113" t="s">
        <v>1109</v>
      </c>
      <c r="J210" s="118" t="s">
        <v>792</v>
      </c>
      <c r="K210" s="118" t="s">
        <v>4657</v>
      </c>
      <c r="L210" s="118" t="s">
        <v>5412</v>
      </c>
      <c r="M210" s="115" t="s">
        <v>5412</v>
      </c>
      <c r="N210" s="115" t="s">
        <v>6398</v>
      </c>
      <c r="O210" s="115" t="s">
        <v>2128</v>
      </c>
      <c r="P210" s="113">
        <v>405</v>
      </c>
      <c r="Q210" s="113">
        <v>60</v>
      </c>
      <c r="R210" s="113">
        <v>62</v>
      </c>
      <c r="S210" s="113">
        <v>80</v>
      </c>
      <c r="T210" s="120">
        <v>63</v>
      </c>
      <c r="U210" s="113">
        <v>80</v>
      </c>
      <c r="V210" s="113">
        <v>60</v>
      </c>
      <c r="W210" s="129"/>
      <c r="X210" s="129"/>
      <c r="Y210" s="5"/>
      <c r="Z210" s="5"/>
      <c r="AA210" s="5"/>
      <c r="AB210" s="5"/>
      <c r="AC210" s="5"/>
      <c r="AD210" s="5"/>
      <c r="AE210" s="5"/>
    </row>
    <row r="211" spans="1:34" customFormat="1">
      <c r="A211" s="113">
        <v>154</v>
      </c>
      <c r="B211" s="113" t="s">
        <v>1963</v>
      </c>
      <c r="C211" s="120" t="s">
        <v>5414</v>
      </c>
      <c r="D211" s="124">
        <v>0.85</v>
      </c>
      <c r="E211" s="124">
        <v>0.15</v>
      </c>
      <c r="F211" s="113" t="s">
        <v>14</v>
      </c>
      <c r="G211" s="113" t="s">
        <v>1974</v>
      </c>
      <c r="H211" s="113" t="s">
        <v>14</v>
      </c>
      <c r="I211" s="113" t="s">
        <v>1109</v>
      </c>
      <c r="J211" s="118" t="s">
        <v>792</v>
      </c>
      <c r="K211" s="118" t="s">
        <v>4657</v>
      </c>
      <c r="L211" s="118" t="s">
        <v>5412</v>
      </c>
      <c r="M211" s="115" t="s">
        <v>5413</v>
      </c>
      <c r="N211" s="115" t="s">
        <v>6399</v>
      </c>
      <c r="O211" s="115" t="s">
        <v>2128</v>
      </c>
      <c r="P211" s="113">
        <v>525</v>
      </c>
      <c r="Q211" s="113">
        <v>80</v>
      </c>
      <c r="R211" s="113">
        <v>82</v>
      </c>
      <c r="S211" s="113">
        <v>100</v>
      </c>
      <c r="T211" s="120">
        <v>83</v>
      </c>
      <c r="U211" s="113">
        <v>100</v>
      </c>
      <c r="V211" s="113">
        <v>80</v>
      </c>
      <c r="W211" s="129"/>
      <c r="X211" s="129"/>
      <c r="Y211" s="5"/>
      <c r="Z211" s="5"/>
      <c r="AA211" s="5"/>
      <c r="AB211" s="5"/>
      <c r="AC211" s="5"/>
      <c r="AD211" s="5"/>
      <c r="AE211" s="5"/>
      <c r="AG211" s="5"/>
    </row>
    <row r="212" spans="1:34" customFormat="1">
      <c r="A212" s="113">
        <v>155</v>
      </c>
      <c r="B212" s="113" t="s">
        <v>182</v>
      </c>
      <c r="C212" s="120" t="s">
        <v>5415</v>
      </c>
      <c r="D212" s="124">
        <v>0.85</v>
      </c>
      <c r="E212" s="124">
        <v>0.15</v>
      </c>
      <c r="F212" s="113" t="s">
        <v>2332</v>
      </c>
      <c r="G212" s="113" t="s">
        <v>1974</v>
      </c>
      <c r="H212" s="113" t="s">
        <v>19</v>
      </c>
      <c r="I212" s="113" t="s">
        <v>1109</v>
      </c>
      <c r="J212" s="118" t="s">
        <v>792</v>
      </c>
      <c r="K212" s="118" t="s">
        <v>4657</v>
      </c>
      <c r="L212" s="118" t="s">
        <v>5415</v>
      </c>
      <c r="M212" s="115" t="s">
        <v>1109</v>
      </c>
      <c r="N212" s="115" t="s">
        <v>2129</v>
      </c>
      <c r="O212" s="115" t="s">
        <v>1109</v>
      </c>
      <c r="P212" s="113">
        <v>309</v>
      </c>
      <c r="Q212" s="113">
        <v>39</v>
      </c>
      <c r="R212" s="113">
        <v>52</v>
      </c>
      <c r="S212" s="113">
        <v>43</v>
      </c>
      <c r="T212" s="120">
        <v>60</v>
      </c>
      <c r="U212" s="113">
        <v>50</v>
      </c>
      <c r="V212" s="113">
        <v>65</v>
      </c>
      <c r="W212" s="129"/>
      <c r="X212" s="129"/>
      <c r="Y212" s="5"/>
      <c r="Z212" s="5"/>
      <c r="AA212" s="5"/>
      <c r="AB212" s="5"/>
      <c r="AC212" s="5"/>
      <c r="AD212" s="5"/>
      <c r="AE212" s="5"/>
    </row>
    <row r="213" spans="1:34" customFormat="1">
      <c r="A213" s="113">
        <v>156</v>
      </c>
      <c r="B213" s="113" t="s">
        <v>183</v>
      </c>
      <c r="C213" s="120" t="s">
        <v>5416</v>
      </c>
      <c r="D213" s="124">
        <v>0.85</v>
      </c>
      <c r="E213" s="124">
        <v>0.15</v>
      </c>
      <c r="F213" s="113" t="s">
        <v>2332</v>
      </c>
      <c r="G213" s="113" t="s">
        <v>1974</v>
      </c>
      <c r="H213" s="113" t="s">
        <v>19</v>
      </c>
      <c r="I213" s="113" t="s">
        <v>1109</v>
      </c>
      <c r="J213" s="118" t="s">
        <v>792</v>
      </c>
      <c r="K213" s="118" t="s">
        <v>4657</v>
      </c>
      <c r="L213" s="118" t="s">
        <v>5415</v>
      </c>
      <c r="M213" s="115" t="s">
        <v>5415</v>
      </c>
      <c r="N213" s="115" t="s">
        <v>6398</v>
      </c>
      <c r="O213" s="115" t="s">
        <v>2128</v>
      </c>
      <c r="P213" s="113">
        <v>405</v>
      </c>
      <c r="Q213" s="113">
        <v>58</v>
      </c>
      <c r="R213" s="113">
        <v>64</v>
      </c>
      <c r="S213" s="113">
        <v>58</v>
      </c>
      <c r="T213" s="120">
        <v>80</v>
      </c>
      <c r="U213" s="113">
        <v>65</v>
      </c>
      <c r="V213" s="113">
        <v>80</v>
      </c>
      <c r="W213" s="129"/>
      <c r="X213" s="129"/>
      <c r="Y213" s="5"/>
      <c r="Z213" s="5"/>
      <c r="AA213" s="5"/>
      <c r="AB213" s="5"/>
      <c r="AC213" s="5"/>
      <c r="AD213" s="5"/>
      <c r="AE213" s="5"/>
      <c r="AH213" s="5"/>
    </row>
    <row r="214" spans="1:34" customFormat="1">
      <c r="A214" s="113">
        <v>157</v>
      </c>
      <c r="B214" s="113" t="s">
        <v>184</v>
      </c>
      <c r="C214" s="120" t="s">
        <v>5417</v>
      </c>
      <c r="D214" s="124">
        <v>0.85</v>
      </c>
      <c r="E214" s="124">
        <v>0.15</v>
      </c>
      <c r="F214" s="113" t="s">
        <v>2332</v>
      </c>
      <c r="G214" s="113" t="s">
        <v>1974</v>
      </c>
      <c r="H214" s="113" t="s">
        <v>19</v>
      </c>
      <c r="I214" s="113" t="s">
        <v>1109</v>
      </c>
      <c r="J214" s="118" t="s">
        <v>792</v>
      </c>
      <c r="K214" s="118" t="s">
        <v>4657</v>
      </c>
      <c r="L214" s="118" t="s">
        <v>5415</v>
      </c>
      <c r="M214" s="115" t="s">
        <v>5416</v>
      </c>
      <c r="N214" s="115" t="s">
        <v>6399</v>
      </c>
      <c r="O214" s="115" t="s">
        <v>2128</v>
      </c>
      <c r="P214" s="113">
        <v>534</v>
      </c>
      <c r="Q214" s="113">
        <v>78</v>
      </c>
      <c r="R214" s="113">
        <v>84</v>
      </c>
      <c r="S214" s="113">
        <v>78</v>
      </c>
      <c r="T214" s="120">
        <v>109</v>
      </c>
      <c r="U214" s="113">
        <v>85</v>
      </c>
      <c r="V214" s="113">
        <v>100</v>
      </c>
      <c r="W214" s="129"/>
      <c r="X214" s="129"/>
      <c r="Y214" s="5"/>
      <c r="Z214" s="5"/>
      <c r="AA214" s="5"/>
      <c r="AB214" s="5"/>
      <c r="AC214" s="5"/>
      <c r="AD214" s="5"/>
      <c r="AE214" s="5"/>
    </row>
    <row r="215" spans="1:34" customFormat="1">
      <c r="A215" s="113">
        <v>157</v>
      </c>
      <c r="B215" s="113" t="s">
        <v>2877</v>
      </c>
      <c r="C215" s="120" t="s">
        <v>5418</v>
      </c>
      <c r="D215" s="124">
        <v>0.85</v>
      </c>
      <c r="E215" s="124">
        <v>0.15</v>
      </c>
      <c r="F215" s="113" t="s">
        <v>2332</v>
      </c>
      <c r="G215" s="113" t="s">
        <v>4319</v>
      </c>
      <c r="H215" s="113" t="s">
        <v>19</v>
      </c>
      <c r="I215" s="113" t="s">
        <v>119</v>
      </c>
      <c r="J215" s="118" t="s">
        <v>792</v>
      </c>
      <c r="K215" s="118" t="s">
        <v>4657</v>
      </c>
      <c r="L215" s="118" t="s">
        <v>5415</v>
      </c>
      <c r="M215" s="115" t="s">
        <v>5416</v>
      </c>
      <c r="N215" s="115" t="s">
        <v>6399</v>
      </c>
      <c r="O215" s="115" t="s">
        <v>2128</v>
      </c>
      <c r="P215" s="113">
        <v>534</v>
      </c>
      <c r="Q215" s="113">
        <v>73</v>
      </c>
      <c r="R215" s="113">
        <v>84</v>
      </c>
      <c r="S215" s="113">
        <v>78</v>
      </c>
      <c r="T215" s="120">
        <v>119</v>
      </c>
      <c r="U215" s="113">
        <v>85</v>
      </c>
      <c r="V215" s="113">
        <v>95</v>
      </c>
      <c r="W215" s="129"/>
      <c r="X215" s="129"/>
      <c r="Y215" s="5"/>
      <c r="Z215" s="5"/>
      <c r="AA215" s="5"/>
      <c r="AB215" s="5"/>
      <c r="AC215" s="5"/>
      <c r="AD215" s="5"/>
      <c r="AE215" s="5"/>
    </row>
    <row r="216" spans="1:34" customFormat="1">
      <c r="A216" s="113">
        <v>158</v>
      </c>
      <c r="B216" s="113" t="s">
        <v>185</v>
      </c>
      <c r="C216" s="120" t="s">
        <v>5419</v>
      </c>
      <c r="D216" s="124">
        <v>0.85</v>
      </c>
      <c r="E216" s="124">
        <v>0.15</v>
      </c>
      <c r="F216" s="113" t="s">
        <v>2331</v>
      </c>
      <c r="G216" s="113" t="s">
        <v>1974</v>
      </c>
      <c r="H216" s="113" t="s">
        <v>25</v>
      </c>
      <c r="I216" s="113" t="s">
        <v>1109</v>
      </c>
      <c r="J216" s="118" t="s">
        <v>792</v>
      </c>
      <c r="K216" s="118" t="s">
        <v>4657</v>
      </c>
      <c r="L216" s="118" t="s">
        <v>5419</v>
      </c>
      <c r="M216" s="115" t="s">
        <v>1109</v>
      </c>
      <c r="N216" s="115" t="s">
        <v>2129</v>
      </c>
      <c r="O216" s="115" t="s">
        <v>1109</v>
      </c>
      <c r="P216" s="113">
        <v>314</v>
      </c>
      <c r="Q216" s="113">
        <v>50</v>
      </c>
      <c r="R216" s="113">
        <v>65</v>
      </c>
      <c r="S216" s="113">
        <v>64</v>
      </c>
      <c r="T216" s="120">
        <v>44</v>
      </c>
      <c r="U216" s="113">
        <v>48</v>
      </c>
      <c r="V216" s="113">
        <v>43</v>
      </c>
      <c r="W216" s="129"/>
      <c r="X216" s="129"/>
      <c r="Y216" s="5"/>
      <c r="Z216" s="5"/>
      <c r="AA216" s="5"/>
      <c r="AB216" s="5"/>
      <c r="AC216" s="5"/>
      <c r="AD216" s="5"/>
      <c r="AE216" s="5"/>
    </row>
    <row r="217" spans="1:34" customFormat="1">
      <c r="A217" s="113">
        <v>159</v>
      </c>
      <c r="B217" s="113" t="s">
        <v>186</v>
      </c>
      <c r="C217" s="120" t="s">
        <v>5420</v>
      </c>
      <c r="D217" s="124">
        <v>0.85</v>
      </c>
      <c r="E217" s="124">
        <v>0.15</v>
      </c>
      <c r="F217" s="113" t="s">
        <v>2331</v>
      </c>
      <c r="G217" s="113" t="s">
        <v>1974</v>
      </c>
      <c r="H217" s="113" t="s">
        <v>25</v>
      </c>
      <c r="I217" s="113" t="s">
        <v>1109</v>
      </c>
      <c r="J217" s="118" t="s">
        <v>792</v>
      </c>
      <c r="K217" s="118" t="s">
        <v>4657</v>
      </c>
      <c r="L217" s="118" t="s">
        <v>5419</v>
      </c>
      <c r="M217" s="115" t="s">
        <v>5419</v>
      </c>
      <c r="N217" s="115" t="s">
        <v>6398</v>
      </c>
      <c r="O217" s="115" t="s">
        <v>2128</v>
      </c>
      <c r="P217" s="113">
        <v>405</v>
      </c>
      <c r="Q217" s="113">
        <v>65</v>
      </c>
      <c r="R217" s="113">
        <v>80</v>
      </c>
      <c r="S217" s="113">
        <v>80</v>
      </c>
      <c r="T217" s="120">
        <v>59</v>
      </c>
      <c r="U217" s="113">
        <v>63</v>
      </c>
      <c r="V217" s="113">
        <v>58</v>
      </c>
      <c r="W217" s="129"/>
      <c r="X217" s="129"/>
      <c r="Y217" s="5"/>
      <c r="Z217" s="5"/>
      <c r="AA217" s="5"/>
      <c r="AB217" s="5"/>
      <c r="AC217" s="5"/>
      <c r="AD217" s="5"/>
      <c r="AE217" s="5"/>
    </row>
    <row r="218" spans="1:34" customFormat="1">
      <c r="A218" s="113">
        <v>160</v>
      </c>
      <c r="B218" s="113" t="s">
        <v>187</v>
      </c>
      <c r="C218" s="120" t="s">
        <v>5421</v>
      </c>
      <c r="D218" s="124">
        <v>0.85</v>
      </c>
      <c r="E218" s="124">
        <v>0.15</v>
      </c>
      <c r="F218" s="113" t="s">
        <v>2331</v>
      </c>
      <c r="G218" s="113" t="s">
        <v>1974</v>
      </c>
      <c r="H218" s="113" t="s">
        <v>25</v>
      </c>
      <c r="I218" s="113" t="s">
        <v>1109</v>
      </c>
      <c r="J218" s="118" t="s">
        <v>792</v>
      </c>
      <c r="K218" s="118" t="s">
        <v>4657</v>
      </c>
      <c r="L218" s="118" t="s">
        <v>5419</v>
      </c>
      <c r="M218" s="115" t="s">
        <v>5420</v>
      </c>
      <c r="N218" s="115" t="s">
        <v>6399</v>
      </c>
      <c r="O218" s="115" t="s">
        <v>2128</v>
      </c>
      <c r="P218" s="113">
        <v>530</v>
      </c>
      <c r="Q218" s="113">
        <v>85</v>
      </c>
      <c r="R218" s="113">
        <v>105</v>
      </c>
      <c r="S218" s="113">
        <v>100</v>
      </c>
      <c r="T218" s="120">
        <v>79</v>
      </c>
      <c r="U218" s="113">
        <v>83</v>
      </c>
      <c r="V218" s="113">
        <v>78</v>
      </c>
      <c r="W218" s="129"/>
      <c r="X218" s="129"/>
      <c r="Y218" s="5"/>
      <c r="Z218" s="5"/>
      <c r="AA218" s="5"/>
      <c r="AB218" s="5"/>
      <c r="AC218" s="5"/>
      <c r="AD218" s="5"/>
      <c r="AE218" s="5"/>
    </row>
    <row r="219" spans="1:34" customFormat="1">
      <c r="A219" s="113">
        <v>161</v>
      </c>
      <c r="B219" s="113" t="s">
        <v>188</v>
      </c>
      <c r="C219" s="120" t="s">
        <v>5422</v>
      </c>
      <c r="D219" s="124">
        <v>0.5</v>
      </c>
      <c r="E219" s="124">
        <v>0.5</v>
      </c>
      <c r="F219" s="113" t="s">
        <v>2332</v>
      </c>
      <c r="G219" s="113" t="s">
        <v>1974</v>
      </c>
      <c r="H219" s="113" t="s">
        <v>36</v>
      </c>
      <c r="I219" s="113" t="s">
        <v>1109</v>
      </c>
      <c r="J219" s="118" t="s">
        <v>2129</v>
      </c>
      <c r="K219" s="118" t="s">
        <v>2712</v>
      </c>
      <c r="L219" s="118" t="s">
        <v>5422</v>
      </c>
      <c r="M219" s="115" t="s">
        <v>1109</v>
      </c>
      <c r="N219" s="115" t="s">
        <v>2129</v>
      </c>
      <c r="O219" s="115" t="s">
        <v>1109</v>
      </c>
      <c r="P219" s="113">
        <v>215</v>
      </c>
      <c r="Q219" s="113">
        <v>35</v>
      </c>
      <c r="R219" s="113">
        <v>46</v>
      </c>
      <c r="S219" s="113">
        <v>34</v>
      </c>
      <c r="T219" s="120">
        <v>35</v>
      </c>
      <c r="U219" s="113">
        <v>45</v>
      </c>
      <c r="V219" s="113">
        <v>20</v>
      </c>
      <c r="W219" s="129"/>
      <c r="X219" s="129"/>
      <c r="Y219" s="5"/>
      <c r="Z219" s="5"/>
      <c r="AA219" s="5"/>
      <c r="AB219" s="5"/>
      <c r="AC219" s="5"/>
      <c r="AD219" s="5"/>
      <c r="AE219" s="5"/>
    </row>
    <row r="220" spans="1:34" customFormat="1">
      <c r="A220" s="113">
        <v>162</v>
      </c>
      <c r="B220" s="113" t="s">
        <v>189</v>
      </c>
      <c r="C220" s="120" t="s">
        <v>5423</v>
      </c>
      <c r="D220" s="124">
        <v>0.5</v>
      </c>
      <c r="E220" s="124">
        <v>0.5</v>
      </c>
      <c r="F220" s="113" t="s">
        <v>2332</v>
      </c>
      <c r="G220" s="113" t="s">
        <v>1974</v>
      </c>
      <c r="H220" s="113" t="s">
        <v>36</v>
      </c>
      <c r="I220" s="113" t="s">
        <v>1109</v>
      </c>
      <c r="J220" s="118" t="s">
        <v>2129</v>
      </c>
      <c r="K220" s="118" t="s">
        <v>2712</v>
      </c>
      <c r="L220" s="118" t="s">
        <v>5422</v>
      </c>
      <c r="M220" s="115" t="s">
        <v>5422</v>
      </c>
      <c r="N220" s="115" t="s">
        <v>6399</v>
      </c>
      <c r="O220" s="115" t="s">
        <v>2128</v>
      </c>
      <c r="P220" s="113">
        <v>415</v>
      </c>
      <c r="Q220" s="113">
        <v>85</v>
      </c>
      <c r="R220" s="113">
        <v>76</v>
      </c>
      <c r="S220" s="113">
        <v>64</v>
      </c>
      <c r="T220" s="120">
        <v>45</v>
      </c>
      <c r="U220" s="113">
        <v>55</v>
      </c>
      <c r="V220" s="113">
        <v>90</v>
      </c>
      <c r="W220" s="129"/>
      <c r="X220" s="129"/>
      <c r="Y220" s="5"/>
      <c r="Z220" s="5"/>
      <c r="AA220" s="5"/>
      <c r="AB220" s="5"/>
      <c r="AC220" s="5"/>
      <c r="AD220" s="5"/>
      <c r="AE220" s="5"/>
      <c r="AG220" s="5"/>
    </row>
    <row r="221" spans="1:34" customFormat="1">
      <c r="A221" s="113">
        <v>163</v>
      </c>
      <c r="B221" s="113" t="s">
        <v>190</v>
      </c>
      <c r="C221" s="120" t="s">
        <v>5424</v>
      </c>
      <c r="D221" s="124">
        <v>0.5</v>
      </c>
      <c r="E221" s="124">
        <v>0.5</v>
      </c>
      <c r="F221" s="113" t="s">
        <v>22</v>
      </c>
      <c r="G221" s="113" t="s">
        <v>1974</v>
      </c>
      <c r="H221" s="113" t="s">
        <v>36</v>
      </c>
      <c r="I221" s="113" t="s">
        <v>22</v>
      </c>
      <c r="J221" s="118" t="s">
        <v>2129</v>
      </c>
      <c r="K221" s="118" t="s">
        <v>2712</v>
      </c>
      <c r="L221" s="118" t="s">
        <v>5424</v>
      </c>
      <c r="M221" s="115" t="s">
        <v>1109</v>
      </c>
      <c r="N221" s="115" t="s">
        <v>2129</v>
      </c>
      <c r="O221" s="115" t="s">
        <v>1109</v>
      </c>
      <c r="P221" s="113">
        <v>262</v>
      </c>
      <c r="Q221" s="113">
        <v>60</v>
      </c>
      <c r="R221" s="113">
        <v>30</v>
      </c>
      <c r="S221" s="113">
        <v>30</v>
      </c>
      <c r="T221" s="120">
        <v>36</v>
      </c>
      <c r="U221" s="113">
        <v>56</v>
      </c>
      <c r="V221" s="113">
        <v>50</v>
      </c>
      <c r="W221" s="129"/>
      <c r="X221" s="129"/>
      <c r="Y221" s="5"/>
      <c r="Z221" s="5"/>
      <c r="AA221" s="5"/>
      <c r="AB221" s="5"/>
      <c r="AC221" s="5"/>
      <c r="AD221" s="5"/>
      <c r="AE221" s="5"/>
      <c r="AF221" s="5"/>
    </row>
    <row r="222" spans="1:34" customFormat="1">
      <c r="A222" s="113">
        <v>164</v>
      </c>
      <c r="B222" s="113" t="s">
        <v>191</v>
      </c>
      <c r="C222" s="120" t="s">
        <v>5425</v>
      </c>
      <c r="D222" s="124">
        <v>0.5</v>
      </c>
      <c r="E222" s="124">
        <v>0.5</v>
      </c>
      <c r="F222" s="113" t="s">
        <v>22</v>
      </c>
      <c r="G222" s="113" t="s">
        <v>1974</v>
      </c>
      <c r="H222" s="113" t="s">
        <v>36</v>
      </c>
      <c r="I222" s="113" t="s">
        <v>22</v>
      </c>
      <c r="J222" s="118" t="s">
        <v>2129</v>
      </c>
      <c r="K222" s="118" t="s">
        <v>2712</v>
      </c>
      <c r="L222" s="118" t="s">
        <v>5424</v>
      </c>
      <c r="M222" s="115" t="s">
        <v>5424</v>
      </c>
      <c r="N222" s="115" t="s">
        <v>6399</v>
      </c>
      <c r="O222" s="115" t="s">
        <v>2128</v>
      </c>
      <c r="P222" s="113">
        <v>452</v>
      </c>
      <c r="Q222" s="113">
        <v>100</v>
      </c>
      <c r="R222" s="113">
        <v>50</v>
      </c>
      <c r="S222" s="113">
        <v>50</v>
      </c>
      <c r="T222" s="120">
        <v>86</v>
      </c>
      <c r="U222" s="113">
        <v>96</v>
      </c>
      <c r="V222" s="113">
        <v>70</v>
      </c>
      <c r="W222" s="129"/>
      <c r="X222" s="129"/>
      <c r="Y222" s="5"/>
      <c r="Z222" s="5"/>
      <c r="AA222" s="5"/>
      <c r="AB222" s="5"/>
      <c r="AC222" s="5"/>
      <c r="AD222" s="5"/>
      <c r="AE222" s="5"/>
    </row>
    <row r="223" spans="1:34" customFormat="1">
      <c r="A223" s="113">
        <v>165</v>
      </c>
      <c r="B223" s="113" t="s">
        <v>192</v>
      </c>
      <c r="C223" s="120" t="s">
        <v>5426</v>
      </c>
      <c r="D223" s="124">
        <v>0.5</v>
      </c>
      <c r="E223" s="124">
        <v>0.5</v>
      </c>
      <c r="F223" s="113" t="s">
        <v>29</v>
      </c>
      <c r="G223" s="113" t="s">
        <v>1974</v>
      </c>
      <c r="H223" s="113" t="s">
        <v>29</v>
      </c>
      <c r="I223" s="113" t="s">
        <v>22</v>
      </c>
      <c r="J223" s="118" t="s">
        <v>2129</v>
      </c>
      <c r="K223" s="118" t="s">
        <v>2712</v>
      </c>
      <c r="L223" s="118" t="s">
        <v>5426</v>
      </c>
      <c r="M223" s="115" t="s">
        <v>1109</v>
      </c>
      <c r="N223" s="115" t="s">
        <v>2129</v>
      </c>
      <c r="O223" s="115" t="s">
        <v>1109</v>
      </c>
      <c r="P223" s="113">
        <v>265</v>
      </c>
      <c r="Q223" s="113">
        <v>40</v>
      </c>
      <c r="R223" s="113">
        <v>20</v>
      </c>
      <c r="S223" s="113">
        <v>30</v>
      </c>
      <c r="T223" s="120">
        <v>40</v>
      </c>
      <c r="U223" s="113">
        <v>80</v>
      </c>
      <c r="V223" s="113">
        <v>55</v>
      </c>
      <c r="W223" s="129"/>
      <c r="X223" s="129"/>
      <c r="Y223" s="5"/>
      <c r="Z223" s="5"/>
      <c r="AA223" s="5"/>
      <c r="AB223" s="5"/>
      <c r="AC223" s="5"/>
      <c r="AD223" s="5"/>
      <c r="AE223" s="5"/>
    </row>
    <row r="224" spans="1:34" customFormat="1">
      <c r="A224" s="113">
        <v>166</v>
      </c>
      <c r="B224" s="113" t="s">
        <v>193</v>
      </c>
      <c r="C224" s="120" t="s">
        <v>5427</v>
      </c>
      <c r="D224" s="124">
        <v>0.5</v>
      </c>
      <c r="E224" s="124">
        <v>0.5</v>
      </c>
      <c r="F224" s="113" t="s">
        <v>29</v>
      </c>
      <c r="G224" s="113" t="s">
        <v>1974</v>
      </c>
      <c r="H224" s="113" t="s">
        <v>29</v>
      </c>
      <c r="I224" s="113" t="s">
        <v>22</v>
      </c>
      <c r="J224" s="118" t="s">
        <v>2129</v>
      </c>
      <c r="K224" s="118" t="s">
        <v>2712</v>
      </c>
      <c r="L224" s="118" t="s">
        <v>5426</v>
      </c>
      <c r="M224" s="115" t="s">
        <v>5426</v>
      </c>
      <c r="N224" s="115" t="s">
        <v>6399</v>
      </c>
      <c r="O224" s="115" t="s">
        <v>2128</v>
      </c>
      <c r="P224" s="113">
        <v>390</v>
      </c>
      <c r="Q224" s="113">
        <v>55</v>
      </c>
      <c r="R224" s="113">
        <v>35</v>
      </c>
      <c r="S224" s="113">
        <v>50</v>
      </c>
      <c r="T224" s="120">
        <v>55</v>
      </c>
      <c r="U224" s="113">
        <v>110</v>
      </c>
      <c r="V224" s="113">
        <v>85</v>
      </c>
      <c r="W224" s="129"/>
      <c r="X224" s="129"/>
      <c r="Y224" s="5"/>
      <c r="Z224" s="5"/>
      <c r="AA224" s="5"/>
      <c r="AB224" s="5"/>
      <c r="AC224" s="5"/>
      <c r="AD224" s="5"/>
      <c r="AE224" s="5"/>
    </row>
    <row r="225" spans="1:34" customFormat="1">
      <c r="A225" s="113">
        <v>167</v>
      </c>
      <c r="B225" s="113" t="s">
        <v>194</v>
      </c>
      <c r="C225" s="120" t="s">
        <v>5428</v>
      </c>
      <c r="D225" s="124">
        <v>0.5</v>
      </c>
      <c r="E225" s="124">
        <v>0.5</v>
      </c>
      <c r="F225" s="113" t="s">
        <v>29</v>
      </c>
      <c r="G225" s="113" t="s">
        <v>1974</v>
      </c>
      <c r="H225" s="113" t="s">
        <v>29</v>
      </c>
      <c r="I225" s="113" t="s">
        <v>15</v>
      </c>
      <c r="J225" s="118" t="s">
        <v>2129</v>
      </c>
      <c r="K225" s="118" t="s">
        <v>2712</v>
      </c>
      <c r="L225" s="118" t="s">
        <v>5428</v>
      </c>
      <c r="M225" s="115" t="s">
        <v>1109</v>
      </c>
      <c r="N225" s="115" t="s">
        <v>2129</v>
      </c>
      <c r="O225" s="115" t="s">
        <v>1109</v>
      </c>
      <c r="P225" s="113">
        <v>250</v>
      </c>
      <c r="Q225" s="113">
        <v>40</v>
      </c>
      <c r="R225" s="113">
        <v>60</v>
      </c>
      <c r="S225" s="113">
        <v>40</v>
      </c>
      <c r="T225" s="120">
        <v>40</v>
      </c>
      <c r="U225" s="113">
        <v>40</v>
      </c>
      <c r="V225" s="113">
        <v>30</v>
      </c>
      <c r="W225" s="129"/>
      <c r="X225" s="129"/>
      <c r="Y225" s="5"/>
      <c r="Z225" s="5"/>
      <c r="AA225" s="5"/>
      <c r="AB225" s="5"/>
      <c r="AC225" s="5"/>
      <c r="AD225" s="5"/>
      <c r="AE225" s="5"/>
    </row>
    <row r="226" spans="1:34" customFormat="1">
      <c r="A226" s="113">
        <v>168</v>
      </c>
      <c r="B226" s="113" t="s">
        <v>195</v>
      </c>
      <c r="C226" s="120" t="s">
        <v>5429</v>
      </c>
      <c r="D226" s="124">
        <v>0.5</v>
      </c>
      <c r="E226" s="124">
        <v>0.5</v>
      </c>
      <c r="F226" s="113" t="s">
        <v>29</v>
      </c>
      <c r="G226" s="113" t="s">
        <v>1974</v>
      </c>
      <c r="H226" s="113" t="s">
        <v>29</v>
      </c>
      <c r="I226" s="113" t="s">
        <v>15</v>
      </c>
      <c r="J226" s="118" t="s">
        <v>2129</v>
      </c>
      <c r="K226" s="118" t="s">
        <v>2712</v>
      </c>
      <c r="L226" s="118" t="s">
        <v>5428</v>
      </c>
      <c r="M226" s="115" t="s">
        <v>5428</v>
      </c>
      <c r="N226" s="115" t="s">
        <v>6399</v>
      </c>
      <c r="O226" s="115" t="s">
        <v>2128</v>
      </c>
      <c r="P226" s="113">
        <v>400</v>
      </c>
      <c r="Q226" s="113">
        <v>70</v>
      </c>
      <c r="R226" s="113">
        <v>90</v>
      </c>
      <c r="S226" s="113">
        <v>70</v>
      </c>
      <c r="T226" s="120">
        <v>60</v>
      </c>
      <c r="U226" s="113">
        <v>70</v>
      </c>
      <c r="V226" s="113">
        <v>40</v>
      </c>
      <c r="W226" s="129"/>
      <c r="X226" s="129"/>
      <c r="Y226" s="5"/>
      <c r="Z226" s="5"/>
      <c r="AA226" s="5"/>
      <c r="AB226" s="5"/>
      <c r="AC226" s="5"/>
      <c r="AD226" s="5"/>
      <c r="AE226" s="5"/>
      <c r="AG226" s="5"/>
    </row>
    <row r="227" spans="1:34" customFormat="1">
      <c r="A227" s="113">
        <v>169</v>
      </c>
      <c r="B227" s="113" t="s">
        <v>196</v>
      </c>
      <c r="C227" s="120" t="s">
        <v>5430</v>
      </c>
      <c r="D227" s="124">
        <v>0.5</v>
      </c>
      <c r="E227" s="124">
        <v>0.5</v>
      </c>
      <c r="F227" s="113" t="s">
        <v>22</v>
      </c>
      <c r="G227" s="113" t="s">
        <v>1974</v>
      </c>
      <c r="H227" s="113" t="s">
        <v>15</v>
      </c>
      <c r="I227" s="113" t="s">
        <v>22</v>
      </c>
      <c r="J227" s="118" t="s">
        <v>2129</v>
      </c>
      <c r="K227" s="118" t="s">
        <v>2712</v>
      </c>
      <c r="L227" s="118" t="s">
        <v>5264</v>
      </c>
      <c r="M227" s="115" t="s">
        <v>5265</v>
      </c>
      <c r="N227" s="115" t="s">
        <v>6399</v>
      </c>
      <c r="O227" s="115" t="s">
        <v>2128</v>
      </c>
      <c r="P227" s="113">
        <v>535</v>
      </c>
      <c r="Q227" s="113">
        <v>85</v>
      </c>
      <c r="R227" s="113">
        <v>90</v>
      </c>
      <c r="S227" s="113">
        <v>80</v>
      </c>
      <c r="T227" s="120">
        <v>70</v>
      </c>
      <c r="U227" s="113">
        <v>80</v>
      </c>
      <c r="V227" s="113">
        <v>130</v>
      </c>
      <c r="W227" s="129"/>
      <c r="X227" s="129"/>
      <c r="Y227" s="5"/>
      <c r="Z227" s="5"/>
      <c r="AA227" s="5"/>
      <c r="AB227" s="5"/>
      <c r="AC227" s="5"/>
      <c r="AD227" s="5"/>
      <c r="AE227" s="5"/>
    </row>
    <row r="228" spans="1:34" customFormat="1">
      <c r="A228" s="113">
        <v>170</v>
      </c>
      <c r="B228" s="113" t="s">
        <v>197</v>
      </c>
      <c r="C228" s="120" t="s">
        <v>5431</v>
      </c>
      <c r="D228" s="124">
        <v>0.5</v>
      </c>
      <c r="E228" s="124">
        <v>0.5</v>
      </c>
      <c r="F228" s="113" t="s">
        <v>2337</v>
      </c>
      <c r="G228" s="113" t="s">
        <v>1974</v>
      </c>
      <c r="H228" s="113" t="s">
        <v>25</v>
      </c>
      <c r="I228" s="113" t="s">
        <v>46</v>
      </c>
      <c r="J228" s="118" t="s">
        <v>2129</v>
      </c>
      <c r="K228" s="118" t="s">
        <v>4658</v>
      </c>
      <c r="L228" s="118" t="s">
        <v>5431</v>
      </c>
      <c r="M228" s="115" t="s">
        <v>1109</v>
      </c>
      <c r="N228" s="115" t="s">
        <v>2129</v>
      </c>
      <c r="O228" s="115" t="s">
        <v>1109</v>
      </c>
      <c r="P228" s="113">
        <v>330</v>
      </c>
      <c r="Q228" s="113">
        <v>75</v>
      </c>
      <c r="R228" s="113">
        <v>38</v>
      </c>
      <c r="S228" s="113">
        <v>38</v>
      </c>
      <c r="T228" s="120">
        <v>56</v>
      </c>
      <c r="U228" s="113">
        <v>56</v>
      </c>
      <c r="V228" s="113">
        <v>67</v>
      </c>
      <c r="W228" s="129"/>
      <c r="X228" s="129"/>
      <c r="Y228" s="5"/>
      <c r="Z228" s="5"/>
      <c r="AA228" s="5"/>
      <c r="AB228" s="5"/>
      <c r="AC228" s="5"/>
      <c r="AD228" s="5"/>
      <c r="AE228" s="5"/>
    </row>
    <row r="229" spans="1:34" customFormat="1">
      <c r="A229" s="113">
        <v>171</v>
      </c>
      <c r="B229" s="113" t="s">
        <v>198</v>
      </c>
      <c r="C229" s="120" t="s">
        <v>5432</v>
      </c>
      <c r="D229" s="124">
        <v>0.5</v>
      </c>
      <c r="E229" s="124">
        <v>0.5</v>
      </c>
      <c r="F229" s="113" t="s">
        <v>2337</v>
      </c>
      <c r="G229" s="113" t="s">
        <v>1974</v>
      </c>
      <c r="H229" s="113" t="s">
        <v>25</v>
      </c>
      <c r="I229" s="113" t="s">
        <v>46</v>
      </c>
      <c r="J229" s="118" t="s">
        <v>2129</v>
      </c>
      <c r="K229" s="118" t="s">
        <v>4658</v>
      </c>
      <c r="L229" s="118" t="s">
        <v>5431</v>
      </c>
      <c r="M229" s="115" t="s">
        <v>5431</v>
      </c>
      <c r="N229" s="115" t="s">
        <v>6399</v>
      </c>
      <c r="O229" s="115" t="s">
        <v>2128</v>
      </c>
      <c r="P229" s="113">
        <v>460</v>
      </c>
      <c r="Q229" s="113">
        <v>125</v>
      </c>
      <c r="R229" s="113">
        <v>58</v>
      </c>
      <c r="S229" s="113">
        <v>58</v>
      </c>
      <c r="T229" s="120">
        <v>76</v>
      </c>
      <c r="U229" s="113">
        <v>76</v>
      </c>
      <c r="V229" s="113">
        <v>67</v>
      </c>
      <c r="W229" s="129"/>
      <c r="X229" s="129"/>
      <c r="Y229" s="5"/>
      <c r="Z229" s="5"/>
      <c r="AA229" s="5"/>
      <c r="AB229" s="5"/>
      <c r="AC229" s="5"/>
      <c r="AD229" s="5"/>
      <c r="AE229" s="5"/>
    </row>
    <row r="230" spans="1:34" customFormat="1">
      <c r="A230" s="113">
        <v>172</v>
      </c>
      <c r="B230" s="113" t="s">
        <v>199</v>
      </c>
      <c r="C230" s="120" t="s">
        <v>5433</v>
      </c>
      <c r="D230" s="124">
        <v>0.5</v>
      </c>
      <c r="E230" s="124">
        <v>0.5</v>
      </c>
      <c r="F230" s="113" t="s">
        <v>2333</v>
      </c>
      <c r="G230" s="113" t="s">
        <v>1974</v>
      </c>
      <c r="H230" s="113" t="s">
        <v>46</v>
      </c>
      <c r="I230" s="113" t="s">
        <v>1109</v>
      </c>
      <c r="J230" s="118" t="s">
        <v>2129</v>
      </c>
      <c r="K230" s="118" t="s">
        <v>4658</v>
      </c>
      <c r="L230" s="118" t="s">
        <v>5433</v>
      </c>
      <c r="M230" s="115" t="s">
        <v>1109</v>
      </c>
      <c r="N230" s="115" t="s">
        <v>2129</v>
      </c>
      <c r="O230" s="115" t="s">
        <v>1109</v>
      </c>
      <c r="P230" s="113">
        <v>205</v>
      </c>
      <c r="Q230" s="113">
        <v>20</v>
      </c>
      <c r="R230" s="113">
        <v>40</v>
      </c>
      <c r="S230" s="113">
        <v>15</v>
      </c>
      <c r="T230" s="120">
        <v>35</v>
      </c>
      <c r="U230" s="113">
        <v>35</v>
      </c>
      <c r="V230" s="113">
        <v>60</v>
      </c>
      <c r="W230" s="129"/>
      <c r="X230" s="129"/>
      <c r="Y230" s="5"/>
      <c r="Z230" s="5"/>
      <c r="AA230" s="5"/>
      <c r="AB230" s="5"/>
      <c r="AC230" s="5"/>
      <c r="AD230" s="5"/>
      <c r="AE230" s="5"/>
      <c r="AF230" s="5"/>
    </row>
    <row r="231" spans="1:34" customFormat="1">
      <c r="A231" s="113">
        <v>173</v>
      </c>
      <c r="B231" s="113" t="s">
        <v>200</v>
      </c>
      <c r="C231" s="120" t="s">
        <v>5434</v>
      </c>
      <c r="D231" s="124">
        <v>0.25</v>
      </c>
      <c r="E231" s="124">
        <v>0.75</v>
      </c>
      <c r="F231" s="113" t="s">
        <v>2333</v>
      </c>
      <c r="G231" s="113" t="s">
        <v>1974</v>
      </c>
      <c r="H231" s="113" t="s">
        <v>56</v>
      </c>
      <c r="I231" s="113" t="s">
        <v>1109</v>
      </c>
      <c r="J231" s="118" t="s">
        <v>2129</v>
      </c>
      <c r="K231" s="118" t="s">
        <v>4658</v>
      </c>
      <c r="L231" s="118" t="s">
        <v>5434</v>
      </c>
      <c r="M231" s="115" t="s">
        <v>1109</v>
      </c>
      <c r="N231" s="115" t="s">
        <v>2129</v>
      </c>
      <c r="O231" s="115" t="s">
        <v>1109</v>
      </c>
      <c r="P231" s="113">
        <v>218</v>
      </c>
      <c r="Q231" s="113">
        <v>50</v>
      </c>
      <c r="R231" s="113">
        <v>25</v>
      </c>
      <c r="S231" s="113">
        <v>28</v>
      </c>
      <c r="T231" s="120">
        <v>45</v>
      </c>
      <c r="U231" s="113">
        <v>55</v>
      </c>
      <c r="V231" s="113">
        <v>15</v>
      </c>
      <c r="W231" s="129"/>
      <c r="X231" s="129"/>
      <c r="Y231" s="5"/>
      <c r="Z231" s="5"/>
      <c r="AA231" s="5"/>
      <c r="AB231" s="5"/>
      <c r="AC231" s="5"/>
      <c r="AD231" s="5"/>
      <c r="AE231" s="5"/>
    </row>
    <row r="232" spans="1:34" customFormat="1">
      <c r="A232" s="113">
        <v>174</v>
      </c>
      <c r="B232" s="113" t="s">
        <v>201</v>
      </c>
      <c r="C232" s="120" t="s">
        <v>5435</v>
      </c>
      <c r="D232" s="124">
        <v>0.25</v>
      </c>
      <c r="E232" s="124">
        <v>0.75</v>
      </c>
      <c r="F232" s="113" t="s">
        <v>2333</v>
      </c>
      <c r="G232" s="113" t="s">
        <v>1974</v>
      </c>
      <c r="H232" s="113" t="s">
        <v>36</v>
      </c>
      <c r="I232" s="113" t="s">
        <v>56</v>
      </c>
      <c r="J232" s="118" t="s">
        <v>2129</v>
      </c>
      <c r="K232" s="118" t="s">
        <v>4658</v>
      </c>
      <c r="L232" s="118" t="s">
        <v>5435</v>
      </c>
      <c r="M232" s="115" t="s">
        <v>1109</v>
      </c>
      <c r="N232" s="115" t="s">
        <v>2129</v>
      </c>
      <c r="O232" s="115" t="s">
        <v>1109</v>
      </c>
      <c r="P232" s="113">
        <v>210</v>
      </c>
      <c r="Q232" s="113">
        <v>90</v>
      </c>
      <c r="R232" s="113">
        <v>30</v>
      </c>
      <c r="S232" s="113">
        <v>15</v>
      </c>
      <c r="T232" s="120">
        <v>40</v>
      </c>
      <c r="U232" s="113">
        <v>20</v>
      </c>
      <c r="V232" s="113">
        <v>15</v>
      </c>
      <c r="W232" s="129"/>
      <c r="X232" s="129"/>
      <c r="Y232" s="5"/>
      <c r="Z232" s="5"/>
      <c r="AA232" s="5"/>
      <c r="AB232" s="5"/>
      <c r="AC232" s="5"/>
      <c r="AD232" s="5"/>
      <c r="AE232" s="5"/>
    </row>
    <row r="233" spans="1:34" customFormat="1">
      <c r="A233" s="113">
        <v>175</v>
      </c>
      <c r="B233" s="113" t="s">
        <v>202</v>
      </c>
      <c r="C233" s="120" t="s">
        <v>5436</v>
      </c>
      <c r="D233" s="124">
        <v>0.85</v>
      </c>
      <c r="E233" s="124">
        <v>0.15</v>
      </c>
      <c r="F233" s="113" t="s">
        <v>2333</v>
      </c>
      <c r="G233" s="113" t="s">
        <v>1974</v>
      </c>
      <c r="H233" s="113" t="s">
        <v>56</v>
      </c>
      <c r="I233" s="113" t="s">
        <v>1109</v>
      </c>
      <c r="J233" s="118" t="s">
        <v>2129</v>
      </c>
      <c r="K233" s="118" t="s">
        <v>4658</v>
      </c>
      <c r="L233" s="118" t="s">
        <v>5436</v>
      </c>
      <c r="M233" s="115" t="s">
        <v>1109</v>
      </c>
      <c r="N233" s="115" t="s">
        <v>2129</v>
      </c>
      <c r="O233" s="115" t="s">
        <v>1109</v>
      </c>
      <c r="P233" s="113">
        <v>245</v>
      </c>
      <c r="Q233" s="113">
        <v>35</v>
      </c>
      <c r="R233" s="113">
        <v>20</v>
      </c>
      <c r="S233" s="113">
        <v>65</v>
      </c>
      <c r="T233" s="120">
        <v>40</v>
      </c>
      <c r="U233" s="113">
        <v>65</v>
      </c>
      <c r="V233" s="113">
        <v>20</v>
      </c>
      <c r="W233" s="129"/>
      <c r="X233" s="129"/>
      <c r="Y233" s="5"/>
      <c r="Z233" s="5"/>
      <c r="AA233" s="5"/>
      <c r="AB233" s="5"/>
      <c r="AC233" s="5"/>
      <c r="AD233" s="5"/>
      <c r="AE233" s="5"/>
    </row>
    <row r="234" spans="1:34">
      <c r="A234" s="113">
        <v>176</v>
      </c>
      <c r="B234" s="113" t="s">
        <v>203</v>
      </c>
      <c r="C234" s="120" t="s">
        <v>5437</v>
      </c>
      <c r="D234" s="124">
        <v>0.85</v>
      </c>
      <c r="E234" s="124">
        <v>0.15</v>
      </c>
      <c r="F234" s="113" t="s">
        <v>56</v>
      </c>
      <c r="G234" s="113" t="s">
        <v>1974</v>
      </c>
      <c r="H234" s="113" t="s">
        <v>56</v>
      </c>
      <c r="I234" s="113" t="s">
        <v>22</v>
      </c>
      <c r="J234" s="118" t="s">
        <v>2129</v>
      </c>
      <c r="K234" s="118" t="s">
        <v>4658</v>
      </c>
      <c r="L234" s="118" t="s">
        <v>5436</v>
      </c>
      <c r="M234" s="115" t="s">
        <v>5436</v>
      </c>
      <c r="N234" s="115" t="s">
        <v>6398</v>
      </c>
      <c r="O234" s="115" t="s">
        <v>2128</v>
      </c>
      <c r="P234" s="113">
        <v>405</v>
      </c>
      <c r="Q234" s="113">
        <v>55</v>
      </c>
      <c r="R234" s="113">
        <v>40</v>
      </c>
      <c r="S234" s="113">
        <v>85</v>
      </c>
      <c r="T234" s="120">
        <v>80</v>
      </c>
      <c r="U234" s="113">
        <v>105</v>
      </c>
      <c r="V234" s="113">
        <v>40</v>
      </c>
      <c r="W234" s="129"/>
      <c r="X234" s="129"/>
      <c r="AF234"/>
      <c r="AH234"/>
    </row>
    <row r="235" spans="1:34">
      <c r="A235" s="113">
        <v>177</v>
      </c>
      <c r="B235" s="113" t="s">
        <v>204</v>
      </c>
      <c r="C235" s="120" t="s">
        <v>5438</v>
      </c>
      <c r="D235" s="124">
        <v>0.5</v>
      </c>
      <c r="E235" s="124">
        <v>0.5</v>
      </c>
      <c r="F235" s="113" t="s">
        <v>22</v>
      </c>
      <c r="G235" s="113" t="s">
        <v>1974</v>
      </c>
      <c r="H235" s="113" t="s">
        <v>86</v>
      </c>
      <c r="I235" s="113" t="s">
        <v>22</v>
      </c>
      <c r="J235" s="118" t="s">
        <v>2129</v>
      </c>
      <c r="K235" s="118" t="s">
        <v>4658</v>
      </c>
      <c r="L235" s="118" t="s">
        <v>5438</v>
      </c>
      <c r="M235" s="115" t="s">
        <v>1109</v>
      </c>
      <c r="N235" s="115" t="s">
        <v>2129</v>
      </c>
      <c r="O235" s="115" t="s">
        <v>1109</v>
      </c>
      <c r="P235" s="113">
        <v>320</v>
      </c>
      <c r="Q235" s="113">
        <v>40</v>
      </c>
      <c r="R235" s="113">
        <v>50</v>
      </c>
      <c r="S235" s="113">
        <v>45</v>
      </c>
      <c r="T235" s="120">
        <v>70</v>
      </c>
      <c r="U235" s="113">
        <v>45</v>
      </c>
      <c r="V235" s="113">
        <v>70</v>
      </c>
      <c r="W235" s="129"/>
      <c r="X235" s="129"/>
      <c r="AF235"/>
      <c r="AG235"/>
      <c r="AH235"/>
    </row>
    <row r="236" spans="1:34" customFormat="1">
      <c r="A236" s="113">
        <v>178</v>
      </c>
      <c r="B236" s="113" t="s">
        <v>205</v>
      </c>
      <c r="C236" s="120" t="s">
        <v>5439</v>
      </c>
      <c r="D236" s="124">
        <v>0.5</v>
      </c>
      <c r="E236" s="124">
        <v>0.5</v>
      </c>
      <c r="F236" s="113" t="s">
        <v>22</v>
      </c>
      <c r="G236" s="113" t="s">
        <v>1974</v>
      </c>
      <c r="H236" s="113" t="s">
        <v>86</v>
      </c>
      <c r="I236" s="113" t="s">
        <v>22</v>
      </c>
      <c r="J236" s="118" t="s">
        <v>2129</v>
      </c>
      <c r="K236" s="118" t="s">
        <v>4658</v>
      </c>
      <c r="L236" s="118" t="s">
        <v>5438</v>
      </c>
      <c r="M236" s="115" t="s">
        <v>5438</v>
      </c>
      <c r="N236" s="115" t="s">
        <v>6399</v>
      </c>
      <c r="O236" s="115" t="s">
        <v>2128</v>
      </c>
      <c r="P236" s="113">
        <v>470</v>
      </c>
      <c r="Q236" s="113">
        <v>65</v>
      </c>
      <c r="R236" s="113">
        <v>75</v>
      </c>
      <c r="S236" s="113">
        <v>70</v>
      </c>
      <c r="T236" s="120">
        <v>95</v>
      </c>
      <c r="U236" s="113">
        <v>70</v>
      </c>
      <c r="V236" s="113">
        <v>95</v>
      </c>
      <c r="W236" s="129"/>
      <c r="X236" s="129"/>
      <c r="Y236" s="5"/>
      <c r="Z236" s="5"/>
      <c r="AA236" s="5"/>
      <c r="AB236" s="5"/>
      <c r="AC236" s="5"/>
      <c r="AD236" s="5"/>
      <c r="AE236" s="5"/>
    </row>
    <row r="237" spans="1:34" customFormat="1">
      <c r="A237" s="113">
        <v>179</v>
      </c>
      <c r="B237" s="113" t="s">
        <v>206</v>
      </c>
      <c r="C237" s="120" t="s">
        <v>5440</v>
      </c>
      <c r="D237" s="124">
        <v>0.5</v>
      </c>
      <c r="E237" s="124">
        <v>0.5</v>
      </c>
      <c r="F237" s="113" t="s">
        <v>2332</v>
      </c>
      <c r="G237" s="113" t="s">
        <v>1974</v>
      </c>
      <c r="H237" s="113" t="s">
        <v>46</v>
      </c>
      <c r="I237" s="113" t="s">
        <v>1109</v>
      </c>
      <c r="J237" s="118" t="s">
        <v>2129</v>
      </c>
      <c r="K237" s="118" t="s">
        <v>2712</v>
      </c>
      <c r="L237" s="118" t="s">
        <v>5440</v>
      </c>
      <c r="M237" s="115" t="s">
        <v>1109</v>
      </c>
      <c r="N237" s="115" t="s">
        <v>2129</v>
      </c>
      <c r="O237" s="115" t="s">
        <v>1109</v>
      </c>
      <c r="P237" s="113">
        <v>280</v>
      </c>
      <c r="Q237" s="113">
        <v>55</v>
      </c>
      <c r="R237" s="113">
        <v>40</v>
      </c>
      <c r="S237" s="113">
        <v>40</v>
      </c>
      <c r="T237" s="120">
        <v>65</v>
      </c>
      <c r="U237" s="113">
        <v>45</v>
      </c>
      <c r="V237" s="113">
        <v>35</v>
      </c>
      <c r="W237" s="129"/>
      <c r="X237" s="129"/>
      <c r="Y237" s="5"/>
      <c r="Z237" s="5"/>
      <c r="AA237" s="5"/>
      <c r="AB237" s="5"/>
      <c r="AC237" s="5"/>
      <c r="AD237" s="5"/>
      <c r="AE237" s="5"/>
    </row>
    <row r="238" spans="1:34" customFormat="1">
      <c r="A238" s="113">
        <v>180</v>
      </c>
      <c r="B238" s="113" t="s">
        <v>207</v>
      </c>
      <c r="C238" s="120" t="s">
        <v>5441</v>
      </c>
      <c r="D238" s="124">
        <v>0.5</v>
      </c>
      <c r="E238" s="124">
        <v>0.5</v>
      </c>
      <c r="F238" s="113" t="s">
        <v>2332</v>
      </c>
      <c r="G238" s="113" t="s">
        <v>1974</v>
      </c>
      <c r="H238" s="113" t="s">
        <v>46</v>
      </c>
      <c r="I238" s="113" t="s">
        <v>1109</v>
      </c>
      <c r="J238" s="118" t="s">
        <v>2129</v>
      </c>
      <c r="K238" s="118" t="s">
        <v>2712</v>
      </c>
      <c r="L238" s="118" t="s">
        <v>5440</v>
      </c>
      <c r="M238" s="115" t="s">
        <v>5440</v>
      </c>
      <c r="N238" s="115" t="s">
        <v>6398</v>
      </c>
      <c r="O238" s="115" t="s">
        <v>2128</v>
      </c>
      <c r="P238" s="113">
        <v>365</v>
      </c>
      <c r="Q238" s="113">
        <v>70</v>
      </c>
      <c r="R238" s="113">
        <v>55</v>
      </c>
      <c r="S238" s="113">
        <v>55</v>
      </c>
      <c r="T238" s="120">
        <v>80</v>
      </c>
      <c r="U238" s="113">
        <v>60</v>
      </c>
      <c r="V238" s="113">
        <v>45</v>
      </c>
      <c r="W238" s="129"/>
      <c r="X238" s="129"/>
      <c r="Y238" s="5"/>
      <c r="Z238" s="5"/>
      <c r="AA238" s="5"/>
      <c r="AB238" s="5"/>
      <c r="AC238" s="5"/>
      <c r="AD238" s="5"/>
      <c r="AE238" s="5"/>
    </row>
    <row r="239" spans="1:34">
      <c r="A239" s="113">
        <v>181</v>
      </c>
      <c r="B239" s="113" t="s">
        <v>208</v>
      </c>
      <c r="C239" s="120" t="s">
        <v>5442</v>
      </c>
      <c r="D239" s="124">
        <v>0.5</v>
      </c>
      <c r="E239" s="124">
        <v>0.5</v>
      </c>
      <c r="F239" s="113" t="s">
        <v>2332</v>
      </c>
      <c r="G239" s="113" t="s">
        <v>1974</v>
      </c>
      <c r="H239" s="113" t="s">
        <v>46</v>
      </c>
      <c r="I239" s="113" t="s">
        <v>1109</v>
      </c>
      <c r="J239" s="118" t="s">
        <v>2129</v>
      </c>
      <c r="K239" s="118" t="s">
        <v>2712</v>
      </c>
      <c r="L239" s="118" t="s">
        <v>5440</v>
      </c>
      <c r="M239" s="115" t="s">
        <v>5441</v>
      </c>
      <c r="N239" s="115" t="s">
        <v>6399</v>
      </c>
      <c r="O239" s="115" t="s">
        <v>2128</v>
      </c>
      <c r="P239" s="113">
        <v>510</v>
      </c>
      <c r="Q239" s="113">
        <v>90</v>
      </c>
      <c r="R239" s="113">
        <v>75</v>
      </c>
      <c r="S239" s="113">
        <v>85</v>
      </c>
      <c r="T239" s="120">
        <v>115</v>
      </c>
      <c r="U239" s="113">
        <v>90</v>
      </c>
      <c r="V239" s="113">
        <v>55</v>
      </c>
      <c r="W239" s="129"/>
      <c r="X239" s="129"/>
      <c r="AF239"/>
      <c r="AG239"/>
    </row>
    <row r="240" spans="1:34" customFormat="1" hidden="1">
      <c r="A240" s="113">
        <v>181</v>
      </c>
      <c r="B240" s="113" t="s">
        <v>2879</v>
      </c>
      <c r="C240" s="120" t="s">
        <v>5443</v>
      </c>
      <c r="D240" s="124">
        <v>0.5</v>
      </c>
      <c r="E240" s="124">
        <v>0.5</v>
      </c>
      <c r="F240" s="113" t="s">
        <v>2332</v>
      </c>
      <c r="G240" s="113" t="s">
        <v>1974</v>
      </c>
      <c r="H240" s="113" t="s">
        <v>46</v>
      </c>
      <c r="I240" s="113" t="s">
        <v>23</v>
      </c>
      <c r="J240" s="118" t="s">
        <v>3973</v>
      </c>
      <c r="K240" s="118" t="s">
        <v>4659</v>
      </c>
      <c r="L240" s="118" t="s">
        <v>5440</v>
      </c>
      <c r="M240" s="115" t="s">
        <v>5442</v>
      </c>
      <c r="N240" s="115" t="s">
        <v>3973</v>
      </c>
      <c r="O240" s="115" t="s">
        <v>4480</v>
      </c>
      <c r="P240" s="113">
        <v>610</v>
      </c>
      <c r="Q240" s="113">
        <v>90</v>
      </c>
      <c r="R240" s="113">
        <v>95</v>
      </c>
      <c r="S240" s="113">
        <v>105</v>
      </c>
      <c r="T240" s="120">
        <v>165</v>
      </c>
      <c r="U240" s="113">
        <v>110</v>
      </c>
      <c r="V240" s="113">
        <v>45</v>
      </c>
      <c r="W240" s="129"/>
      <c r="X240" s="129"/>
      <c r="Y240" s="5"/>
      <c r="Z240" s="5"/>
      <c r="AA240" s="5"/>
      <c r="AB240" s="5"/>
      <c r="AC240" s="5"/>
      <c r="AD240" s="5"/>
      <c r="AE240" s="5"/>
      <c r="AH240" s="5"/>
    </row>
    <row r="241" spans="1:34" customFormat="1">
      <c r="A241" s="113">
        <v>182</v>
      </c>
      <c r="B241" s="113" t="s">
        <v>209</v>
      </c>
      <c r="C241" s="120" t="s">
        <v>5444</v>
      </c>
      <c r="D241" s="124">
        <v>0.5</v>
      </c>
      <c r="E241" s="124">
        <v>0.5</v>
      </c>
      <c r="F241" s="113" t="s">
        <v>14</v>
      </c>
      <c r="G241" s="113" t="s">
        <v>1974</v>
      </c>
      <c r="H241" s="113" t="s">
        <v>14</v>
      </c>
      <c r="I241" s="113" t="s">
        <v>1109</v>
      </c>
      <c r="J241" s="118" t="s">
        <v>2129</v>
      </c>
      <c r="K241" s="118" t="s">
        <v>2712</v>
      </c>
      <c r="L241" s="118" t="s">
        <v>5266</v>
      </c>
      <c r="M241" s="115" t="s">
        <v>5267</v>
      </c>
      <c r="N241" s="115" t="s">
        <v>6399</v>
      </c>
      <c r="O241" s="115" t="s">
        <v>2130</v>
      </c>
      <c r="P241" s="113">
        <v>490</v>
      </c>
      <c r="Q241" s="113">
        <v>75</v>
      </c>
      <c r="R241" s="113">
        <v>80</v>
      </c>
      <c r="S241" s="113">
        <v>95</v>
      </c>
      <c r="T241" s="120">
        <v>90</v>
      </c>
      <c r="U241" s="113">
        <v>100</v>
      </c>
      <c r="V241" s="113">
        <v>50</v>
      </c>
      <c r="W241" s="129"/>
      <c r="X241" s="129"/>
      <c r="Y241" s="5"/>
      <c r="Z241" s="5"/>
      <c r="AA241" s="5"/>
      <c r="AB241" s="5"/>
      <c r="AC241" s="5"/>
      <c r="AD241" s="5"/>
      <c r="AE241" s="5"/>
    </row>
    <row r="242" spans="1:34" customFormat="1">
      <c r="A242" s="113">
        <v>183</v>
      </c>
      <c r="B242" s="113" t="s">
        <v>210</v>
      </c>
      <c r="C242" s="120" t="s">
        <v>5445</v>
      </c>
      <c r="D242" s="124">
        <v>0.5</v>
      </c>
      <c r="E242" s="124">
        <v>0.5</v>
      </c>
      <c r="F242" s="113" t="s">
        <v>56</v>
      </c>
      <c r="G242" s="113" t="s">
        <v>1974</v>
      </c>
      <c r="H242" s="113" t="s">
        <v>25</v>
      </c>
      <c r="I242" s="113" t="s">
        <v>56</v>
      </c>
      <c r="J242" s="118" t="s">
        <v>2129</v>
      </c>
      <c r="K242" s="118" t="s">
        <v>2712</v>
      </c>
      <c r="L242" s="118" t="s">
        <v>5576</v>
      </c>
      <c r="M242" s="115" t="s">
        <v>5576</v>
      </c>
      <c r="N242" s="115" t="s">
        <v>6398</v>
      </c>
      <c r="O242" s="115" t="s">
        <v>2128</v>
      </c>
      <c r="P242" s="113">
        <v>250</v>
      </c>
      <c r="Q242" s="113">
        <v>70</v>
      </c>
      <c r="R242" s="113">
        <v>20</v>
      </c>
      <c r="S242" s="113">
        <v>50</v>
      </c>
      <c r="T242" s="120">
        <v>20</v>
      </c>
      <c r="U242" s="113">
        <v>50</v>
      </c>
      <c r="V242" s="113">
        <v>40</v>
      </c>
      <c r="W242" s="129"/>
      <c r="X242" s="129"/>
      <c r="Y242" s="5"/>
      <c r="Z242" s="5"/>
      <c r="AA242" s="5"/>
      <c r="AB242" s="5"/>
      <c r="AC242" s="5"/>
      <c r="AD242" s="5"/>
      <c r="AE242" s="5"/>
    </row>
    <row r="243" spans="1:34" customFormat="1">
      <c r="A243" s="113">
        <v>184</v>
      </c>
      <c r="B243" s="113" t="s">
        <v>211</v>
      </c>
      <c r="C243" s="120" t="s">
        <v>5446</v>
      </c>
      <c r="D243" s="124">
        <v>0.5</v>
      </c>
      <c r="E243" s="124">
        <v>0.5</v>
      </c>
      <c r="F243" s="113" t="s">
        <v>56</v>
      </c>
      <c r="G243" s="113" t="s">
        <v>1974</v>
      </c>
      <c r="H243" s="113" t="s">
        <v>25</v>
      </c>
      <c r="I243" s="113" t="s">
        <v>56</v>
      </c>
      <c r="J243" s="118" t="s">
        <v>2129</v>
      </c>
      <c r="K243" s="118" t="s">
        <v>2712</v>
      </c>
      <c r="L243" s="118" t="s">
        <v>5576</v>
      </c>
      <c r="M243" s="115" t="s">
        <v>5445</v>
      </c>
      <c r="N243" s="115" t="s">
        <v>6399</v>
      </c>
      <c r="O243" s="115" t="s">
        <v>2128</v>
      </c>
      <c r="P243" s="113">
        <v>420</v>
      </c>
      <c r="Q243" s="113">
        <v>100</v>
      </c>
      <c r="R243" s="113">
        <v>50</v>
      </c>
      <c r="S243" s="113">
        <v>80</v>
      </c>
      <c r="T243" s="120">
        <v>60</v>
      </c>
      <c r="U243" s="113">
        <v>80</v>
      </c>
      <c r="V243" s="113">
        <v>50</v>
      </c>
      <c r="W243" s="129"/>
      <c r="X243" s="129"/>
      <c r="Y243" s="5"/>
      <c r="Z243" s="5"/>
      <c r="AA243" s="5"/>
      <c r="AB243" s="5"/>
      <c r="AC243" s="5"/>
      <c r="AD243" s="5"/>
      <c r="AE243" s="5"/>
      <c r="AG243" s="5"/>
    </row>
    <row r="244" spans="1:34" customFormat="1">
      <c r="A244" s="113">
        <v>185</v>
      </c>
      <c r="B244" s="113" t="s">
        <v>212</v>
      </c>
      <c r="C244" s="120" t="s">
        <v>5447</v>
      </c>
      <c r="D244" s="124">
        <v>0.5</v>
      </c>
      <c r="E244" s="124">
        <v>0.5</v>
      </c>
      <c r="F244" s="113" t="s">
        <v>2112</v>
      </c>
      <c r="G244" s="113" t="s">
        <v>1974</v>
      </c>
      <c r="H244" s="113" t="s">
        <v>98</v>
      </c>
      <c r="I244" s="113" t="s">
        <v>1109</v>
      </c>
      <c r="J244" s="118" t="s">
        <v>2129</v>
      </c>
      <c r="K244" s="118" t="s">
        <v>4657</v>
      </c>
      <c r="L244" s="118" t="s">
        <v>5740</v>
      </c>
      <c r="M244" s="115" t="s">
        <v>5740</v>
      </c>
      <c r="N244" s="115" t="s">
        <v>6399</v>
      </c>
      <c r="O244" s="115" t="s">
        <v>2128</v>
      </c>
      <c r="P244" s="113">
        <v>410</v>
      </c>
      <c r="Q244" s="113">
        <v>70</v>
      </c>
      <c r="R244" s="113">
        <v>100</v>
      </c>
      <c r="S244" s="113">
        <v>115</v>
      </c>
      <c r="T244" s="120">
        <v>30</v>
      </c>
      <c r="U244" s="113">
        <v>65</v>
      </c>
      <c r="V244" s="113">
        <v>30</v>
      </c>
      <c r="W244" s="129"/>
      <c r="X244" s="129"/>
      <c r="Y244" s="5"/>
      <c r="Z244" s="5"/>
      <c r="AA244" s="5"/>
      <c r="AB244" s="5"/>
      <c r="AC244" s="5"/>
      <c r="AD244" s="5"/>
      <c r="AE244" s="5"/>
      <c r="AH244" s="5"/>
    </row>
    <row r="245" spans="1:34" customFormat="1">
      <c r="A245" s="113">
        <v>186</v>
      </c>
      <c r="B245" s="113" t="s">
        <v>213</v>
      </c>
      <c r="C245" s="120" t="s">
        <v>5448</v>
      </c>
      <c r="D245" s="124">
        <v>0.5</v>
      </c>
      <c r="E245" s="124">
        <v>0.5</v>
      </c>
      <c r="F245" s="113" t="s">
        <v>2331</v>
      </c>
      <c r="G245" s="113" t="s">
        <v>1974</v>
      </c>
      <c r="H245" s="113" t="s">
        <v>25</v>
      </c>
      <c r="I245" s="113" t="s">
        <v>1109</v>
      </c>
      <c r="J245" s="118" t="s">
        <v>2129</v>
      </c>
      <c r="K245" s="118" t="s">
        <v>2712</v>
      </c>
      <c r="L245" s="118" t="s">
        <v>5290</v>
      </c>
      <c r="M245" s="115" t="s">
        <v>5291</v>
      </c>
      <c r="N245" s="115" t="s">
        <v>6399</v>
      </c>
      <c r="O245" s="115" t="s">
        <v>2130</v>
      </c>
      <c r="P245" s="113">
        <v>500</v>
      </c>
      <c r="Q245" s="113">
        <v>90</v>
      </c>
      <c r="R245" s="113">
        <v>75</v>
      </c>
      <c r="S245" s="113">
        <v>75</v>
      </c>
      <c r="T245" s="120">
        <v>90</v>
      </c>
      <c r="U245" s="113">
        <v>100</v>
      </c>
      <c r="V245" s="113">
        <v>70</v>
      </c>
      <c r="W245" s="129"/>
      <c r="X245" s="129"/>
      <c r="Y245" s="5"/>
      <c r="Z245" s="5"/>
      <c r="AA245" s="5"/>
      <c r="AB245" s="5"/>
      <c r="AC245" s="5"/>
      <c r="AD245" s="5"/>
      <c r="AE245" s="5"/>
    </row>
    <row r="246" spans="1:34" customFormat="1">
      <c r="A246" s="113">
        <v>187</v>
      </c>
      <c r="B246" s="113" t="s">
        <v>214</v>
      </c>
      <c r="C246" s="120" t="s">
        <v>5449</v>
      </c>
      <c r="D246" s="124">
        <v>0.5</v>
      </c>
      <c r="E246" s="124">
        <v>0.5</v>
      </c>
      <c r="F246" s="113" t="s">
        <v>56</v>
      </c>
      <c r="G246" s="113" t="s">
        <v>1974</v>
      </c>
      <c r="H246" s="113" t="s">
        <v>14</v>
      </c>
      <c r="I246" s="113" t="s">
        <v>22</v>
      </c>
      <c r="J246" s="118" t="s">
        <v>2129</v>
      </c>
      <c r="K246" s="118" t="s">
        <v>2712</v>
      </c>
      <c r="L246" s="118" t="s">
        <v>5449</v>
      </c>
      <c r="M246" s="115" t="s">
        <v>1109</v>
      </c>
      <c r="N246" s="115" t="s">
        <v>2129</v>
      </c>
      <c r="O246" s="115" t="s">
        <v>1109</v>
      </c>
      <c r="P246" s="113">
        <v>250</v>
      </c>
      <c r="Q246" s="113">
        <v>35</v>
      </c>
      <c r="R246" s="113">
        <v>35</v>
      </c>
      <c r="S246" s="113">
        <v>40</v>
      </c>
      <c r="T246" s="120">
        <v>35</v>
      </c>
      <c r="U246" s="113">
        <v>55</v>
      </c>
      <c r="V246" s="113">
        <v>50</v>
      </c>
      <c r="W246" s="129"/>
      <c r="X246" s="129"/>
      <c r="Y246" s="5"/>
      <c r="Z246" s="5"/>
      <c r="AA246" s="5"/>
      <c r="AB246" s="5"/>
      <c r="AC246" s="5"/>
      <c r="AD246" s="5"/>
      <c r="AE246" s="5"/>
    </row>
    <row r="247" spans="1:34" customFormat="1">
      <c r="A247" s="113">
        <v>188</v>
      </c>
      <c r="B247" s="113" t="s">
        <v>215</v>
      </c>
      <c r="C247" s="120" t="s">
        <v>5450</v>
      </c>
      <c r="D247" s="124">
        <v>0.5</v>
      </c>
      <c r="E247" s="124">
        <v>0.5</v>
      </c>
      <c r="F247" s="113" t="s">
        <v>56</v>
      </c>
      <c r="G247" s="113" t="s">
        <v>1974</v>
      </c>
      <c r="H247" s="113" t="s">
        <v>14</v>
      </c>
      <c r="I247" s="113" t="s">
        <v>22</v>
      </c>
      <c r="J247" s="118" t="s">
        <v>2129</v>
      </c>
      <c r="K247" s="118" t="s">
        <v>2712</v>
      </c>
      <c r="L247" s="118" t="s">
        <v>5449</v>
      </c>
      <c r="M247" s="115" t="s">
        <v>5449</v>
      </c>
      <c r="N247" s="115" t="s">
        <v>6398</v>
      </c>
      <c r="O247" s="115" t="s">
        <v>2128</v>
      </c>
      <c r="P247" s="113">
        <v>340</v>
      </c>
      <c r="Q247" s="113">
        <v>55</v>
      </c>
      <c r="R247" s="113">
        <v>45</v>
      </c>
      <c r="S247" s="113">
        <v>50</v>
      </c>
      <c r="T247" s="120">
        <v>45</v>
      </c>
      <c r="U247" s="113">
        <v>65</v>
      </c>
      <c r="V247" s="113">
        <v>80</v>
      </c>
      <c r="W247" s="129"/>
      <c r="X247" s="129"/>
      <c r="Y247" s="5"/>
      <c r="Z247" s="5"/>
      <c r="AA247" s="5"/>
      <c r="AB247" s="5"/>
      <c r="AC247" s="5"/>
      <c r="AD247" s="5"/>
      <c r="AE247" s="5"/>
    </row>
    <row r="248" spans="1:34" customFormat="1">
      <c r="A248" s="113">
        <v>189</v>
      </c>
      <c r="B248" s="113" t="s">
        <v>216</v>
      </c>
      <c r="C248" s="120" t="s">
        <v>5451</v>
      </c>
      <c r="D248" s="124">
        <v>0.5</v>
      </c>
      <c r="E248" s="124">
        <v>0.5</v>
      </c>
      <c r="F248" s="113" t="s">
        <v>56</v>
      </c>
      <c r="G248" s="113" t="s">
        <v>1974</v>
      </c>
      <c r="H248" s="113" t="s">
        <v>14</v>
      </c>
      <c r="I248" s="113" t="s">
        <v>22</v>
      </c>
      <c r="J248" s="118" t="s">
        <v>2129</v>
      </c>
      <c r="K248" s="118" t="s">
        <v>2712</v>
      </c>
      <c r="L248" s="118" t="s">
        <v>5449</v>
      </c>
      <c r="M248" s="115" t="s">
        <v>5450</v>
      </c>
      <c r="N248" s="115" t="s">
        <v>6399</v>
      </c>
      <c r="O248" s="115" t="s">
        <v>2128</v>
      </c>
      <c r="P248" s="113">
        <v>460</v>
      </c>
      <c r="Q248" s="113">
        <v>75</v>
      </c>
      <c r="R248" s="113">
        <v>55</v>
      </c>
      <c r="S248" s="113">
        <v>70</v>
      </c>
      <c r="T248" s="120">
        <v>55</v>
      </c>
      <c r="U248" s="113">
        <v>95</v>
      </c>
      <c r="V248" s="113">
        <v>110</v>
      </c>
      <c r="W248" s="129"/>
      <c r="X248" s="129"/>
      <c r="Y248" s="5"/>
      <c r="Z248" s="5"/>
      <c r="AA248" s="5"/>
      <c r="AB248" s="5"/>
      <c r="AC248" s="5"/>
      <c r="AD248" s="5"/>
      <c r="AE248" s="5"/>
    </row>
    <row r="249" spans="1:34" customFormat="1">
      <c r="A249" s="113">
        <v>190</v>
      </c>
      <c r="B249" s="113" t="s">
        <v>217</v>
      </c>
      <c r="C249" s="120" t="s">
        <v>5452</v>
      </c>
      <c r="D249" s="124">
        <v>0.5</v>
      </c>
      <c r="E249" s="124">
        <v>0.5</v>
      </c>
      <c r="F249" s="113" t="s">
        <v>2332</v>
      </c>
      <c r="G249" s="113" t="s">
        <v>1974</v>
      </c>
      <c r="H249" s="113" t="s">
        <v>36</v>
      </c>
      <c r="I249" s="113" t="s">
        <v>1109</v>
      </c>
      <c r="J249" s="118" t="s">
        <v>2129</v>
      </c>
      <c r="K249" s="118" t="s">
        <v>4658</v>
      </c>
      <c r="L249" s="118" t="s">
        <v>5452</v>
      </c>
      <c r="M249" s="115" t="s">
        <v>1109</v>
      </c>
      <c r="N249" s="115" t="s">
        <v>2129</v>
      </c>
      <c r="O249" s="115" t="s">
        <v>1109</v>
      </c>
      <c r="P249" s="113">
        <v>360</v>
      </c>
      <c r="Q249" s="113">
        <v>55</v>
      </c>
      <c r="R249" s="113">
        <v>70</v>
      </c>
      <c r="S249" s="113">
        <v>55</v>
      </c>
      <c r="T249" s="120">
        <v>40</v>
      </c>
      <c r="U249" s="113">
        <v>55</v>
      </c>
      <c r="V249" s="113">
        <v>85</v>
      </c>
      <c r="W249" s="129"/>
      <c r="X249" s="129"/>
      <c r="Y249" s="5"/>
      <c r="Z249" s="5"/>
      <c r="AA249" s="5"/>
      <c r="AB249" s="5"/>
      <c r="AC249" s="5"/>
      <c r="AD249" s="5"/>
      <c r="AE249" s="5"/>
    </row>
    <row r="250" spans="1:34" customFormat="1">
      <c r="A250" s="113">
        <v>191</v>
      </c>
      <c r="B250" s="113" t="s">
        <v>218</v>
      </c>
      <c r="C250" s="120" t="s">
        <v>5453</v>
      </c>
      <c r="D250" s="124">
        <v>0.5</v>
      </c>
      <c r="E250" s="124">
        <v>0.5</v>
      </c>
      <c r="F250" s="113" t="s">
        <v>14</v>
      </c>
      <c r="G250" s="113" t="s">
        <v>1974</v>
      </c>
      <c r="H250" s="113" t="s">
        <v>14</v>
      </c>
      <c r="I250" s="113" t="s">
        <v>1109</v>
      </c>
      <c r="J250" s="118" t="s">
        <v>2129</v>
      </c>
      <c r="K250" s="118" t="s">
        <v>4658</v>
      </c>
      <c r="L250" s="118" t="s">
        <v>5453</v>
      </c>
      <c r="M250" s="115" t="s">
        <v>1109</v>
      </c>
      <c r="N250" s="115" t="s">
        <v>2129</v>
      </c>
      <c r="O250" s="115" t="s">
        <v>1109</v>
      </c>
      <c r="P250" s="113">
        <v>180</v>
      </c>
      <c r="Q250" s="113">
        <v>30</v>
      </c>
      <c r="R250" s="113">
        <v>30</v>
      </c>
      <c r="S250" s="113">
        <v>30</v>
      </c>
      <c r="T250" s="120">
        <v>30</v>
      </c>
      <c r="U250" s="113">
        <v>30</v>
      </c>
      <c r="V250" s="113">
        <v>30</v>
      </c>
      <c r="W250" s="129"/>
      <c r="X250" s="129"/>
      <c r="Y250" s="5"/>
      <c r="Z250" s="5"/>
      <c r="AA250" s="5"/>
      <c r="AB250" s="5"/>
      <c r="AC250" s="5"/>
      <c r="AD250" s="5"/>
      <c r="AE250" s="5"/>
    </row>
    <row r="251" spans="1:34" customFormat="1">
      <c r="A251" s="113">
        <v>192</v>
      </c>
      <c r="B251" s="113" t="s">
        <v>219</v>
      </c>
      <c r="C251" s="120" t="s">
        <v>5454</v>
      </c>
      <c r="D251" s="124">
        <v>0.5</v>
      </c>
      <c r="E251" s="124">
        <v>0.5</v>
      </c>
      <c r="F251" s="113" t="s">
        <v>14</v>
      </c>
      <c r="G251" s="113" t="s">
        <v>1974</v>
      </c>
      <c r="H251" s="113" t="s">
        <v>14</v>
      </c>
      <c r="I251" s="113" t="s">
        <v>1109</v>
      </c>
      <c r="J251" s="118" t="s">
        <v>2129</v>
      </c>
      <c r="K251" s="118" t="s">
        <v>4658</v>
      </c>
      <c r="L251" s="118" t="s">
        <v>5453</v>
      </c>
      <c r="M251" s="115" t="s">
        <v>5453</v>
      </c>
      <c r="N251" s="115" t="s">
        <v>6399</v>
      </c>
      <c r="O251" s="115" t="s">
        <v>1803</v>
      </c>
      <c r="P251" s="113">
        <v>425</v>
      </c>
      <c r="Q251" s="113">
        <v>75</v>
      </c>
      <c r="R251" s="113">
        <v>75</v>
      </c>
      <c r="S251" s="113">
        <v>55</v>
      </c>
      <c r="T251" s="120">
        <v>105</v>
      </c>
      <c r="U251" s="113">
        <v>85</v>
      </c>
      <c r="V251" s="113">
        <v>30</v>
      </c>
      <c r="W251" s="129"/>
      <c r="X251" s="129"/>
      <c r="Y251" s="5"/>
      <c r="Z251" s="5"/>
      <c r="AA251" s="5"/>
      <c r="AB251" s="5"/>
      <c r="AC251" s="5"/>
      <c r="AD251" s="5"/>
      <c r="AE251" s="5"/>
    </row>
    <row r="252" spans="1:34" customFormat="1">
      <c r="A252" s="113">
        <v>193</v>
      </c>
      <c r="B252" s="113" t="s">
        <v>220</v>
      </c>
      <c r="C252" s="120" t="s">
        <v>5455</v>
      </c>
      <c r="D252" s="124">
        <v>0.5</v>
      </c>
      <c r="E252" s="124">
        <v>0.5</v>
      </c>
      <c r="F252" s="113" t="s">
        <v>29</v>
      </c>
      <c r="G252" s="113" t="s">
        <v>1974</v>
      </c>
      <c r="H252" s="113" t="s">
        <v>29</v>
      </c>
      <c r="I252" s="113" t="s">
        <v>22</v>
      </c>
      <c r="J252" s="118" t="s">
        <v>2129</v>
      </c>
      <c r="K252" s="118" t="s">
        <v>4657</v>
      </c>
      <c r="L252" s="118" t="s">
        <v>5455</v>
      </c>
      <c r="M252" s="115" t="s">
        <v>1109</v>
      </c>
      <c r="N252" s="115" t="s">
        <v>2129</v>
      </c>
      <c r="O252" s="115" t="s">
        <v>1109</v>
      </c>
      <c r="P252" s="113">
        <v>390</v>
      </c>
      <c r="Q252" s="113">
        <v>65</v>
      </c>
      <c r="R252" s="113">
        <v>65</v>
      </c>
      <c r="S252" s="113">
        <v>45</v>
      </c>
      <c r="T252" s="120">
        <v>75</v>
      </c>
      <c r="U252" s="113">
        <v>45</v>
      </c>
      <c r="V252" s="113">
        <v>95</v>
      </c>
      <c r="W252" s="129"/>
      <c r="X252" s="129"/>
      <c r="Y252" s="5"/>
      <c r="Z252" s="5"/>
      <c r="AA252" s="5"/>
      <c r="AB252" s="5"/>
      <c r="AC252" s="5"/>
      <c r="AD252" s="5"/>
      <c r="AE252" s="5"/>
    </row>
    <row r="253" spans="1:34" customFormat="1">
      <c r="A253" s="113">
        <v>194</v>
      </c>
      <c r="B253" s="113" t="s">
        <v>221</v>
      </c>
      <c r="C253" s="120" t="s">
        <v>5456</v>
      </c>
      <c r="D253" s="124">
        <v>0.5</v>
      </c>
      <c r="E253" s="124">
        <v>0.5</v>
      </c>
      <c r="F253" s="113" t="s">
        <v>2331</v>
      </c>
      <c r="G253" s="113" t="s">
        <v>1974</v>
      </c>
      <c r="H253" s="113" t="s">
        <v>25</v>
      </c>
      <c r="I253" s="113" t="s">
        <v>49</v>
      </c>
      <c r="J253" s="118" t="s">
        <v>2129</v>
      </c>
      <c r="K253" s="118" t="s">
        <v>2712</v>
      </c>
      <c r="L253" s="118" t="s">
        <v>5456</v>
      </c>
      <c r="M253" s="115" t="s">
        <v>1109</v>
      </c>
      <c r="N253" s="115" t="s">
        <v>2129</v>
      </c>
      <c r="O253" s="115" t="s">
        <v>1109</v>
      </c>
      <c r="P253" s="113">
        <v>210</v>
      </c>
      <c r="Q253" s="113">
        <v>55</v>
      </c>
      <c r="R253" s="113">
        <v>45</v>
      </c>
      <c r="S253" s="113">
        <v>45</v>
      </c>
      <c r="T253" s="120">
        <v>25</v>
      </c>
      <c r="U253" s="113">
        <v>25</v>
      </c>
      <c r="V253" s="113">
        <v>15</v>
      </c>
      <c r="W253" s="129"/>
      <c r="X253" s="129"/>
      <c r="Y253" s="5"/>
      <c r="Z253" s="5"/>
      <c r="AA253" s="5"/>
      <c r="AB253" s="5"/>
      <c r="AC253" s="5"/>
      <c r="AD253" s="5"/>
      <c r="AE253" s="5"/>
    </row>
    <row r="254" spans="1:34" customFormat="1">
      <c r="A254" s="113">
        <v>194</v>
      </c>
      <c r="B254" s="113" t="s">
        <v>6390</v>
      </c>
      <c r="C254" s="120" t="s">
        <v>5457</v>
      </c>
      <c r="D254" s="124">
        <v>0.5</v>
      </c>
      <c r="E254" s="124">
        <v>0.5</v>
      </c>
      <c r="F254" s="113" t="s">
        <v>2331</v>
      </c>
      <c r="G254" s="113" t="s">
        <v>5208</v>
      </c>
      <c r="H254" s="113" t="s">
        <v>15</v>
      </c>
      <c r="I254" s="113" t="s">
        <v>1109</v>
      </c>
      <c r="J254" s="118" t="s">
        <v>2129</v>
      </c>
      <c r="K254" s="118" t="s">
        <v>2712</v>
      </c>
      <c r="L254" s="118" t="s">
        <v>5456</v>
      </c>
      <c r="M254" s="115" t="s">
        <v>1109</v>
      </c>
      <c r="N254" s="115" t="s">
        <v>2129</v>
      </c>
      <c r="O254" s="115" t="s">
        <v>1109</v>
      </c>
      <c r="P254" s="113">
        <v>210</v>
      </c>
      <c r="Q254" s="113">
        <v>55</v>
      </c>
      <c r="R254" s="113">
        <v>45</v>
      </c>
      <c r="S254" s="113">
        <v>45</v>
      </c>
      <c r="T254" s="120">
        <v>25</v>
      </c>
      <c r="U254" s="113">
        <v>25</v>
      </c>
      <c r="V254" s="113">
        <v>15</v>
      </c>
      <c r="W254" s="5"/>
      <c r="X254" s="5"/>
      <c r="Y254" s="5"/>
      <c r="Z254" s="5"/>
      <c r="AA254" s="5"/>
      <c r="AB254" s="5"/>
      <c r="AC254" s="5"/>
      <c r="AD254" s="5"/>
      <c r="AE254" s="5"/>
      <c r="AF254" s="5"/>
      <c r="AG254" s="5"/>
      <c r="AH254" s="5"/>
    </row>
    <row r="255" spans="1:34" customFormat="1">
      <c r="A255" s="113">
        <v>195</v>
      </c>
      <c r="B255" s="113" t="s">
        <v>222</v>
      </c>
      <c r="C255" s="120" t="s">
        <v>5458</v>
      </c>
      <c r="D255" s="124">
        <v>0.5</v>
      </c>
      <c r="E255" s="124">
        <v>0.5</v>
      </c>
      <c r="F255" s="113" t="s">
        <v>2331</v>
      </c>
      <c r="G255" s="113" t="s">
        <v>1974</v>
      </c>
      <c r="H255" s="113" t="s">
        <v>25</v>
      </c>
      <c r="I255" s="113" t="s">
        <v>49</v>
      </c>
      <c r="J255" s="118" t="s">
        <v>2129</v>
      </c>
      <c r="K255" s="118" t="s">
        <v>2712</v>
      </c>
      <c r="L255" s="118" t="s">
        <v>5456</v>
      </c>
      <c r="M255" s="115" t="s">
        <v>5456</v>
      </c>
      <c r="N255" s="115" t="s">
        <v>6399</v>
      </c>
      <c r="O255" s="115" t="s">
        <v>2128</v>
      </c>
      <c r="P255" s="113">
        <v>430</v>
      </c>
      <c r="Q255" s="113">
        <v>95</v>
      </c>
      <c r="R255" s="113">
        <v>85</v>
      </c>
      <c r="S255" s="113">
        <v>85</v>
      </c>
      <c r="T255" s="120">
        <v>65</v>
      </c>
      <c r="U255" s="113">
        <v>65</v>
      </c>
      <c r="V255" s="113">
        <v>35</v>
      </c>
      <c r="W255" s="129"/>
      <c r="X255" s="129"/>
      <c r="Y255" s="5"/>
      <c r="Z255" s="5"/>
      <c r="AA255" s="5"/>
      <c r="AB255" s="5"/>
      <c r="AC255" s="5"/>
      <c r="AD255" s="5"/>
      <c r="AE255" s="5"/>
    </row>
    <row r="256" spans="1:34" customFormat="1">
      <c r="A256" s="113">
        <v>196</v>
      </c>
      <c r="B256" s="113" t="s">
        <v>223</v>
      </c>
      <c r="C256" s="120" t="s">
        <v>5459</v>
      </c>
      <c r="D256" s="124">
        <v>0.85</v>
      </c>
      <c r="E256" s="124">
        <v>0.15</v>
      </c>
      <c r="F256" s="113" t="s">
        <v>2332</v>
      </c>
      <c r="G256" s="113" t="s">
        <v>1974</v>
      </c>
      <c r="H256" s="113" t="s">
        <v>86</v>
      </c>
      <c r="I256" s="113" t="s">
        <v>1109</v>
      </c>
      <c r="J256" s="118" t="s">
        <v>2129</v>
      </c>
      <c r="K256" s="137" t="s">
        <v>4658</v>
      </c>
      <c r="L256" s="118" t="s">
        <v>5386</v>
      </c>
      <c r="M256" s="115" t="s">
        <v>5386</v>
      </c>
      <c r="N256" s="115" t="s">
        <v>6399</v>
      </c>
      <c r="O256" s="115" t="s">
        <v>1803</v>
      </c>
      <c r="P256" s="113">
        <v>525</v>
      </c>
      <c r="Q256" s="113">
        <v>65</v>
      </c>
      <c r="R256" s="113">
        <v>65</v>
      </c>
      <c r="S256" s="113">
        <v>60</v>
      </c>
      <c r="T256" s="120">
        <v>130</v>
      </c>
      <c r="U256" s="113">
        <v>95</v>
      </c>
      <c r="V256" s="113">
        <v>110</v>
      </c>
      <c r="W256" s="129"/>
      <c r="X256" s="129"/>
      <c r="Y256" s="5"/>
      <c r="Z256" s="5"/>
      <c r="AA256" s="5"/>
      <c r="AB256" s="5"/>
      <c r="AC256" s="5"/>
      <c r="AD256" s="5"/>
      <c r="AE256" s="5"/>
    </row>
    <row r="257" spans="1:34" customFormat="1">
      <c r="A257" s="113">
        <v>197</v>
      </c>
      <c r="B257" s="113" t="s">
        <v>224</v>
      </c>
      <c r="C257" s="120" t="s">
        <v>5460</v>
      </c>
      <c r="D257" s="124">
        <v>0.85</v>
      </c>
      <c r="E257" s="124">
        <v>0.15</v>
      </c>
      <c r="F257" s="113" t="s">
        <v>2332</v>
      </c>
      <c r="G257" s="113" t="s">
        <v>1974</v>
      </c>
      <c r="H257" s="113" t="s">
        <v>158</v>
      </c>
      <c r="I257" s="113" t="s">
        <v>1109</v>
      </c>
      <c r="J257" s="118" t="s">
        <v>2129</v>
      </c>
      <c r="K257" s="137" t="s">
        <v>4658</v>
      </c>
      <c r="L257" s="118" t="s">
        <v>5386</v>
      </c>
      <c r="M257" s="115" t="s">
        <v>5386</v>
      </c>
      <c r="N257" s="115" t="s">
        <v>6399</v>
      </c>
      <c r="O257" s="115" t="s">
        <v>1803</v>
      </c>
      <c r="P257" s="113">
        <v>525</v>
      </c>
      <c r="Q257" s="113">
        <v>95</v>
      </c>
      <c r="R257" s="113">
        <v>65</v>
      </c>
      <c r="S257" s="113">
        <v>110</v>
      </c>
      <c r="T257" s="120">
        <v>60</v>
      </c>
      <c r="U257" s="113">
        <v>130</v>
      </c>
      <c r="V257" s="113">
        <v>65</v>
      </c>
      <c r="W257" s="129"/>
      <c r="X257" s="129"/>
      <c r="Y257" s="5"/>
      <c r="Z257" s="5"/>
      <c r="AA257" s="5"/>
      <c r="AB257" s="5"/>
      <c r="AC257" s="5"/>
      <c r="AD257" s="5"/>
      <c r="AE257" s="5"/>
    </row>
    <row r="258" spans="1:34" customFormat="1">
      <c r="A258" s="113">
        <v>198</v>
      </c>
      <c r="B258" s="113" t="s">
        <v>225</v>
      </c>
      <c r="C258" s="120" t="s">
        <v>5461</v>
      </c>
      <c r="D258" s="124">
        <v>0.5</v>
      </c>
      <c r="E258" s="124">
        <v>0.5</v>
      </c>
      <c r="F258" s="113" t="s">
        <v>22</v>
      </c>
      <c r="G258" s="113" t="s">
        <v>1974</v>
      </c>
      <c r="H258" s="113" t="s">
        <v>158</v>
      </c>
      <c r="I258" s="113" t="s">
        <v>22</v>
      </c>
      <c r="J258" s="118" t="s">
        <v>2129</v>
      </c>
      <c r="K258" s="118" t="s">
        <v>4658</v>
      </c>
      <c r="L258" s="118" t="s">
        <v>5461</v>
      </c>
      <c r="M258" s="115" t="s">
        <v>1109</v>
      </c>
      <c r="N258" s="115" t="s">
        <v>2129</v>
      </c>
      <c r="O258" s="115" t="s">
        <v>1109</v>
      </c>
      <c r="P258" s="113">
        <v>405</v>
      </c>
      <c r="Q258" s="113">
        <v>60</v>
      </c>
      <c r="R258" s="113">
        <v>85</v>
      </c>
      <c r="S258" s="113">
        <v>42</v>
      </c>
      <c r="T258" s="120">
        <v>85</v>
      </c>
      <c r="U258" s="113">
        <v>42</v>
      </c>
      <c r="V258" s="113">
        <v>91</v>
      </c>
      <c r="W258" s="129"/>
      <c r="X258" s="129"/>
      <c r="Y258" s="5"/>
      <c r="Z258" s="5"/>
      <c r="AA258" s="5"/>
      <c r="AB258" s="5"/>
      <c r="AC258" s="5"/>
      <c r="AD258" s="5"/>
      <c r="AE258" s="5"/>
    </row>
    <row r="259" spans="1:34" customFormat="1">
      <c r="A259" s="113">
        <v>199</v>
      </c>
      <c r="B259" s="113" t="s">
        <v>226</v>
      </c>
      <c r="C259" s="120" t="s">
        <v>5462</v>
      </c>
      <c r="D259" s="124">
        <v>0.5</v>
      </c>
      <c r="E259" s="124">
        <v>0.5</v>
      </c>
      <c r="F259" s="113" t="s">
        <v>2331</v>
      </c>
      <c r="G259" s="113" t="s">
        <v>1974</v>
      </c>
      <c r="H259" s="113" t="s">
        <v>25</v>
      </c>
      <c r="I259" s="113" t="s">
        <v>86</v>
      </c>
      <c r="J259" s="118" t="s">
        <v>2129</v>
      </c>
      <c r="K259" s="118" t="s">
        <v>4658</v>
      </c>
      <c r="L259" s="118" t="s">
        <v>5315</v>
      </c>
      <c r="M259" s="115" t="s">
        <v>5315</v>
      </c>
      <c r="N259" s="115" t="s">
        <v>6399</v>
      </c>
      <c r="O259" s="115" t="s">
        <v>2130</v>
      </c>
      <c r="P259" s="113">
        <v>490</v>
      </c>
      <c r="Q259" s="113">
        <v>95</v>
      </c>
      <c r="R259" s="113">
        <v>75</v>
      </c>
      <c r="S259" s="113">
        <v>80</v>
      </c>
      <c r="T259" s="120">
        <v>100</v>
      </c>
      <c r="U259" s="113">
        <v>110</v>
      </c>
      <c r="V259" s="113">
        <v>30</v>
      </c>
      <c r="W259" s="129"/>
      <c r="X259" s="129"/>
      <c r="Y259" s="5"/>
      <c r="Z259" s="5"/>
      <c r="AA259" s="5"/>
      <c r="AB259" s="5"/>
      <c r="AC259" s="5"/>
      <c r="AD259" s="5"/>
      <c r="AE259" s="5"/>
    </row>
    <row r="260" spans="1:34">
      <c r="A260" s="113">
        <v>199</v>
      </c>
      <c r="B260" s="113" t="s">
        <v>6426</v>
      </c>
      <c r="C260" s="120" t="s">
        <v>5463</v>
      </c>
      <c r="D260" s="124">
        <v>0.5</v>
      </c>
      <c r="E260" s="124">
        <v>0.5</v>
      </c>
      <c r="F260" s="113" t="s">
        <v>2331</v>
      </c>
      <c r="G260" s="113" t="s">
        <v>2703</v>
      </c>
      <c r="H260" s="113" t="s">
        <v>15</v>
      </c>
      <c r="I260" s="113" t="s">
        <v>86</v>
      </c>
      <c r="J260" s="118" t="s">
        <v>2129</v>
      </c>
      <c r="K260" s="118" t="s">
        <v>4658</v>
      </c>
      <c r="L260" s="118" t="s">
        <v>5315</v>
      </c>
      <c r="M260" s="120" t="s">
        <v>5316</v>
      </c>
      <c r="N260" s="115" t="s">
        <v>6399</v>
      </c>
      <c r="O260" s="115" t="s">
        <v>2130</v>
      </c>
      <c r="P260" s="113">
        <v>490</v>
      </c>
      <c r="Q260" s="113">
        <v>95</v>
      </c>
      <c r="R260" s="113">
        <v>65</v>
      </c>
      <c r="S260" s="113">
        <v>80</v>
      </c>
      <c r="T260" s="120">
        <v>110</v>
      </c>
      <c r="U260" s="113">
        <v>110</v>
      </c>
      <c r="V260" s="113">
        <v>30</v>
      </c>
      <c r="W260" s="129"/>
      <c r="X260" s="129"/>
      <c r="AF260"/>
      <c r="AG260"/>
    </row>
    <row r="261" spans="1:34" customFormat="1">
      <c r="A261" s="113">
        <v>200</v>
      </c>
      <c r="B261" s="113" t="s">
        <v>227</v>
      </c>
      <c r="C261" s="120" t="s">
        <v>5464</v>
      </c>
      <c r="D261" s="124">
        <v>0.5</v>
      </c>
      <c r="E261" s="124">
        <v>0.5</v>
      </c>
      <c r="F261" s="113" t="s">
        <v>2336</v>
      </c>
      <c r="G261" s="113" t="s">
        <v>1974</v>
      </c>
      <c r="H261" s="113" t="s">
        <v>119</v>
      </c>
      <c r="I261" s="113" t="s">
        <v>1109</v>
      </c>
      <c r="J261" s="118" t="s">
        <v>2129</v>
      </c>
      <c r="K261" s="118" t="s">
        <v>4657</v>
      </c>
      <c r="L261" s="118" t="s">
        <v>5464</v>
      </c>
      <c r="M261" s="115" t="s">
        <v>1109</v>
      </c>
      <c r="N261" s="115" t="s">
        <v>2129</v>
      </c>
      <c r="O261" s="115" t="s">
        <v>1109</v>
      </c>
      <c r="P261" s="113">
        <v>435</v>
      </c>
      <c r="Q261" s="113">
        <v>60</v>
      </c>
      <c r="R261" s="113">
        <v>60</v>
      </c>
      <c r="S261" s="113">
        <v>60</v>
      </c>
      <c r="T261" s="120">
        <v>85</v>
      </c>
      <c r="U261" s="113">
        <v>85</v>
      </c>
      <c r="V261" s="113">
        <v>85</v>
      </c>
      <c r="W261" s="129"/>
      <c r="X261" s="129"/>
      <c r="Y261" s="5"/>
      <c r="Z261" s="5"/>
      <c r="AA261" s="5"/>
      <c r="AB261" s="5"/>
      <c r="AC261" s="5"/>
      <c r="AD261" s="5"/>
      <c r="AE261" s="5"/>
      <c r="AF261" s="5"/>
    </row>
    <row r="262" spans="1:34" customFormat="1">
      <c r="A262" s="113">
        <v>201</v>
      </c>
      <c r="B262" s="113" t="s">
        <v>228</v>
      </c>
      <c r="C262" s="120" t="s">
        <v>5465</v>
      </c>
      <c r="D262" s="124" t="s">
        <v>1109</v>
      </c>
      <c r="E262" s="124" t="s">
        <v>1109</v>
      </c>
      <c r="F262" s="113" t="s">
        <v>2333</v>
      </c>
      <c r="G262" s="113" t="s">
        <v>1974</v>
      </c>
      <c r="H262" s="113" t="s">
        <v>86</v>
      </c>
      <c r="I262" s="113" t="s">
        <v>1109</v>
      </c>
      <c r="J262" s="118" t="s">
        <v>2129</v>
      </c>
      <c r="K262" s="118" t="s">
        <v>4658</v>
      </c>
      <c r="L262" s="118" t="s">
        <v>5465</v>
      </c>
      <c r="M262" s="115" t="s">
        <v>1109</v>
      </c>
      <c r="N262" s="115" t="s">
        <v>6399</v>
      </c>
      <c r="O262" s="115" t="s">
        <v>1109</v>
      </c>
      <c r="P262" s="113">
        <v>336</v>
      </c>
      <c r="Q262" s="113">
        <v>48</v>
      </c>
      <c r="R262" s="113">
        <v>72</v>
      </c>
      <c r="S262" s="113">
        <v>48</v>
      </c>
      <c r="T262" s="120">
        <v>72</v>
      </c>
      <c r="U262" s="113">
        <v>48</v>
      </c>
      <c r="V262" s="113">
        <v>48</v>
      </c>
      <c r="W262" s="129"/>
      <c r="X262" s="129"/>
      <c r="Y262" s="5"/>
      <c r="Z262" s="5"/>
      <c r="AA262" s="5"/>
      <c r="AB262" s="5"/>
      <c r="AC262" s="5"/>
      <c r="AD262" s="5"/>
      <c r="AE262" s="5"/>
    </row>
    <row r="263" spans="1:34" customFormat="1">
      <c r="A263" s="113">
        <v>202</v>
      </c>
      <c r="B263" s="113" t="s">
        <v>229</v>
      </c>
      <c r="C263" s="120" t="s">
        <v>5466</v>
      </c>
      <c r="D263" s="124">
        <v>0.5</v>
      </c>
      <c r="E263" s="124">
        <v>0.5</v>
      </c>
      <c r="F263" s="113" t="s">
        <v>2336</v>
      </c>
      <c r="G263" s="113" t="s">
        <v>1974</v>
      </c>
      <c r="H263" s="113" t="s">
        <v>86</v>
      </c>
      <c r="I263" s="113" t="s">
        <v>1109</v>
      </c>
      <c r="J263" s="118" t="s">
        <v>2129</v>
      </c>
      <c r="K263" s="118" t="s">
        <v>4657</v>
      </c>
      <c r="L263" s="118" t="s">
        <v>5648</v>
      </c>
      <c r="M263" s="115" t="s">
        <v>5648</v>
      </c>
      <c r="N263" s="115" t="s">
        <v>6399</v>
      </c>
      <c r="O263" s="115" t="s">
        <v>2128</v>
      </c>
      <c r="P263" s="113">
        <v>405</v>
      </c>
      <c r="Q263" s="113">
        <v>190</v>
      </c>
      <c r="R263" s="113">
        <v>33</v>
      </c>
      <c r="S263" s="113">
        <v>58</v>
      </c>
      <c r="T263" s="120">
        <v>33</v>
      </c>
      <c r="U263" s="113">
        <v>58</v>
      </c>
      <c r="V263" s="113">
        <v>33</v>
      </c>
      <c r="W263" s="129"/>
      <c r="X263" s="129"/>
      <c r="Y263" s="5"/>
      <c r="Z263" s="5"/>
      <c r="AA263" s="5"/>
      <c r="AB263" s="5"/>
      <c r="AC263" s="5"/>
      <c r="AD263" s="5"/>
      <c r="AE263" s="5"/>
    </row>
    <row r="264" spans="1:34" customFormat="1">
      <c r="A264" s="113">
        <v>203</v>
      </c>
      <c r="B264" s="113" t="s">
        <v>230</v>
      </c>
      <c r="C264" s="120" t="s">
        <v>5467</v>
      </c>
      <c r="D264" s="124">
        <v>0.5</v>
      </c>
      <c r="E264" s="124">
        <v>0.5</v>
      </c>
      <c r="F264" s="113" t="s">
        <v>2332</v>
      </c>
      <c r="G264" s="113" t="s">
        <v>1974</v>
      </c>
      <c r="H264" s="113" t="s">
        <v>36</v>
      </c>
      <c r="I264" s="113" t="s">
        <v>86</v>
      </c>
      <c r="J264" s="118" t="s">
        <v>2129</v>
      </c>
      <c r="K264" s="118" t="s">
        <v>4657</v>
      </c>
      <c r="L264" s="118" t="s">
        <v>5467</v>
      </c>
      <c r="M264" s="115" t="s">
        <v>1109</v>
      </c>
      <c r="N264" s="115" t="s">
        <v>2129</v>
      </c>
      <c r="O264" s="115" t="s">
        <v>1109</v>
      </c>
      <c r="P264" s="113">
        <v>455</v>
      </c>
      <c r="Q264" s="113">
        <v>70</v>
      </c>
      <c r="R264" s="113">
        <v>80</v>
      </c>
      <c r="S264" s="113">
        <v>65</v>
      </c>
      <c r="T264" s="120">
        <v>90</v>
      </c>
      <c r="U264" s="113">
        <v>65</v>
      </c>
      <c r="V264" s="113">
        <v>85</v>
      </c>
      <c r="W264" s="129"/>
      <c r="X264" s="129"/>
      <c r="Y264" s="5"/>
      <c r="Z264" s="5"/>
      <c r="AA264" s="5"/>
      <c r="AB264" s="5"/>
      <c r="AC264" s="5"/>
      <c r="AD264" s="5"/>
      <c r="AE264" s="5"/>
      <c r="AF264" s="5"/>
    </row>
    <row r="265" spans="1:34">
      <c r="A265" s="113">
        <v>204</v>
      </c>
      <c r="B265" s="113" t="s">
        <v>231</v>
      </c>
      <c r="C265" s="120" t="s">
        <v>5468</v>
      </c>
      <c r="D265" s="124">
        <v>0.5</v>
      </c>
      <c r="E265" s="124">
        <v>0.5</v>
      </c>
      <c r="F265" s="113" t="s">
        <v>29</v>
      </c>
      <c r="G265" s="113" t="s">
        <v>1974</v>
      </c>
      <c r="H265" s="113" t="s">
        <v>29</v>
      </c>
      <c r="I265" s="113" t="s">
        <v>1109</v>
      </c>
      <c r="J265" s="118" t="s">
        <v>2129</v>
      </c>
      <c r="K265" s="118" t="s">
        <v>4658</v>
      </c>
      <c r="L265" s="118" t="s">
        <v>5468</v>
      </c>
      <c r="M265" s="115" t="s">
        <v>1109</v>
      </c>
      <c r="N265" s="115" t="s">
        <v>2129</v>
      </c>
      <c r="O265" s="115" t="s">
        <v>1109</v>
      </c>
      <c r="P265" s="113">
        <v>290</v>
      </c>
      <c r="Q265" s="113">
        <v>50</v>
      </c>
      <c r="R265" s="113">
        <v>65</v>
      </c>
      <c r="S265" s="113">
        <v>90</v>
      </c>
      <c r="T265" s="120">
        <v>35</v>
      </c>
      <c r="U265" s="113">
        <v>35</v>
      </c>
      <c r="V265" s="113">
        <v>15</v>
      </c>
      <c r="W265" s="129"/>
      <c r="X265" s="129"/>
      <c r="AF265"/>
      <c r="AG265"/>
      <c r="AH265"/>
    </row>
    <row r="266" spans="1:34" customFormat="1">
      <c r="A266" s="113">
        <v>205</v>
      </c>
      <c r="B266" s="113" t="s">
        <v>232</v>
      </c>
      <c r="C266" s="120" t="s">
        <v>5469</v>
      </c>
      <c r="D266" s="124">
        <v>0.5</v>
      </c>
      <c r="E266" s="124">
        <v>0.5</v>
      </c>
      <c r="F266" s="113" t="s">
        <v>29</v>
      </c>
      <c r="G266" s="113" t="s">
        <v>1974</v>
      </c>
      <c r="H266" s="113" t="s">
        <v>29</v>
      </c>
      <c r="I266" s="113" t="s">
        <v>106</v>
      </c>
      <c r="J266" s="118" t="s">
        <v>2129</v>
      </c>
      <c r="K266" s="118" t="s">
        <v>4658</v>
      </c>
      <c r="L266" s="118" t="s">
        <v>5468</v>
      </c>
      <c r="M266" s="115" t="s">
        <v>5468</v>
      </c>
      <c r="N266" s="115" t="s">
        <v>6399</v>
      </c>
      <c r="O266" s="115" t="s">
        <v>2128</v>
      </c>
      <c r="P266" s="113">
        <v>465</v>
      </c>
      <c r="Q266" s="113">
        <v>75</v>
      </c>
      <c r="R266" s="113">
        <v>90</v>
      </c>
      <c r="S266" s="113">
        <v>140</v>
      </c>
      <c r="T266" s="120">
        <v>60</v>
      </c>
      <c r="U266" s="113">
        <v>60</v>
      </c>
      <c r="V266" s="113">
        <v>40</v>
      </c>
      <c r="W266" s="129"/>
      <c r="X266" s="129"/>
      <c r="Y266" s="5"/>
      <c r="Z266" s="5"/>
      <c r="AA266" s="5"/>
      <c r="AB266" s="5"/>
      <c r="AC266" s="5"/>
      <c r="AD266" s="5"/>
      <c r="AE266" s="5"/>
      <c r="AH266" s="5"/>
    </row>
    <row r="267" spans="1:34" customFormat="1">
      <c r="A267" s="113">
        <v>206</v>
      </c>
      <c r="B267" s="113" t="s">
        <v>233</v>
      </c>
      <c r="C267" s="120" t="s">
        <v>5470</v>
      </c>
      <c r="D267" s="124">
        <v>0.5</v>
      </c>
      <c r="E267" s="124">
        <v>0.5</v>
      </c>
      <c r="F267" s="113" t="s">
        <v>2332</v>
      </c>
      <c r="G267" s="113" t="s">
        <v>1974</v>
      </c>
      <c r="H267" s="113" t="s">
        <v>36</v>
      </c>
      <c r="I267" s="113" t="s">
        <v>1109</v>
      </c>
      <c r="J267" s="118" t="s">
        <v>2129</v>
      </c>
      <c r="K267" s="118" t="s">
        <v>4658</v>
      </c>
      <c r="L267" s="118" t="s">
        <v>5470</v>
      </c>
      <c r="M267" s="115" t="s">
        <v>1109</v>
      </c>
      <c r="N267" s="115" t="s">
        <v>2129</v>
      </c>
      <c r="O267" s="115" t="s">
        <v>1109</v>
      </c>
      <c r="P267" s="113">
        <v>415</v>
      </c>
      <c r="Q267" s="113">
        <v>100</v>
      </c>
      <c r="R267" s="113">
        <v>70</v>
      </c>
      <c r="S267" s="113">
        <v>70</v>
      </c>
      <c r="T267" s="120">
        <v>65</v>
      </c>
      <c r="U267" s="113">
        <v>65</v>
      </c>
      <c r="V267" s="113">
        <v>45</v>
      </c>
      <c r="W267" s="129"/>
      <c r="X267" s="129"/>
      <c r="Y267" s="5"/>
      <c r="Z267" s="5"/>
      <c r="AA267" s="5"/>
      <c r="AB267" s="5"/>
      <c r="AC267" s="5"/>
      <c r="AD267" s="5"/>
      <c r="AE267" s="5"/>
    </row>
    <row r="268" spans="1:34" customFormat="1">
      <c r="A268" s="113">
        <v>207</v>
      </c>
      <c r="B268" s="113" t="s">
        <v>234</v>
      </c>
      <c r="C268" s="120" t="s">
        <v>5471</v>
      </c>
      <c r="D268" s="124">
        <v>0.5</v>
      </c>
      <c r="E268" s="124">
        <v>0.5</v>
      </c>
      <c r="F268" s="113" t="s">
        <v>29</v>
      </c>
      <c r="G268" s="113" t="s">
        <v>1974</v>
      </c>
      <c r="H268" s="113" t="s">
        <v>49</v>
      </c>
      <c r="I268" s="113" t="s">
        <v>22</v>
      </c>
      <c r="J268" s="118" t="s">
        <v>2129</v>
      </c>
      <c r="K268" s="118" t="s">
        <v>4657</v>
      </c>
      <c r="L268" s="118" t="s">
        <v>5471</v>
      </c>
      <c r="M268" s="115" t="s">
        <v>1109</v>
      </c>
      <c r="N268" s="115" t="s">
        <v>2129</v>
      </c>
      <c r="O268" s="115" t="s">
        <v>1109</v>
      </c>
      <c r="P268" s="113">
        <v>430</v>
      </c>
      <c r="Q268" s="113">
        <v>65</v>
      </c>
      <c r="R268" s="113">
        <v>75</v>
      </c>
      <c r="S268" s="113">
        <v>105</v>
      </c>
      <c r="T268" s="120">
        <v>35</v>
      </c>
      <c r="U268" s="113">
        <v>65</v>
      </c>
      <c r="V268" s="113">
        <v>85</v>
      </c>
      <c r="W268" s="129"/>
      <c r="X268" s="129"/>
      <c r="Y268" s="5"/>
      <c r="Z268" s="5"/>
      <c r="AA268" s="5"/>
      <c r="AB268" s="5"/>
      <c r="AC268" s="5"/>
      <c r="AD268" s="5"/>
      <c r="AE268" s="5"/>
    </row>
    <row r="269" spans="1:34" customFormat="1">
      <c r="A269" s="113">
        <v>208</v>
      </c>
      <c r="B269" s="113" t="s">
        <v>235</v>
      </c>
      <c r="C269" s="120" t="s">
        <v>5472</v>
      </c>
      <c r="D269" s="124">
        <v>0.5</v>
      </c>
      <c r="E269" s="124">
        <v>0.5</v>
      </c>
      <c r="F269" s="113" t="s">
        <v>2112</v>
      </c>
      <c r="G269" s="113" t="s">
        <v>1974</v>
      </c>
      <c r="H269" s="113" t="s">
        <v>106</v>
      </c>
      <c r="I269" s="113" t="s">
        <v>49</v>
      </c>
      <c r="J269" s="118" t="s">
        <v>2129</v>
      </c>
      <c r="K269" s="118" t="s">
        <v>4657</v>
      </c>
      <c r="L269" s="118" t="s">
        <v>5338</v>
      </c>
      <c r="M269" s="115" t="s">
        <v>5338</v>
      </c>
      <c r="N269" s="115" t="s">
        <v>6399</v>
      </c>
      <c r="O269" s="115" t="s">
        <v>2130</v>
      </c>
      <c r="P269" s="113">
        <v>510</v>
      </c>
      <c r="Q269" s="113">
        <v>75</v>
      </c>
      <c r="R269" s="113">
        <v>85</v>
      </c>
      <c r="S269" s="113">
        <v>200</v>
      </c>
      <c r="T269" s="120">
        <v>55</v>
      </c>
      <c r="U269" s="113">
        <v>65</v>
      </c>
      <c r="V269" s="113">
        <v>30</v>
      </c>
      <c r="W269" s="129"/>
      <c r="X269" s="129"/>
      <c r="Y269" s="5"/>
      <c r="Z269" s="5"/>
      <c r="AA269" s="5"/>
      <c r="AB269" s="5"/>
      <c r="AC269" s="5"/>
      <c r="AD269" s="5"/>
      <c r="AE269" s="5"/>
    </row>
    <row r="270" spans="1:34" customFormat="1" hidden="1">
      <c r="A270" s="113">
        <v>208</v>
      </c>
      <c r="B270" s="113" t="s">
        <v>2883</v>
      </c>
      <c r="C270" s="120" t="s">
        <v>5473</v>
      </c>
      <c r="D270" s="124">
        <v>0.5</v>
      </c>
      <c r="E270" s="124">
        <v>0.5</v>
      </c>
      <c r="F270" s="113" t="s">
        <v>2112</v>
      </c>
      <c r="G270" s="113" t="s">
        <v>1974</v>
      </c>
      <c r="H270" s="113" t="s">
        <v>106</v>
      </c>
      <c r="I270" s="113" t="s">
        <v>49</v>
      </c>
      <c r="J270" s="118" t="s">
        <v>3973</v>
      </c>
      <c r="K270" s="118" t="s">
        <v>4659</v>
      </c>
      <c r="L270" s="118" t="s">
        <v>5338</v>
      </c>
      <c r="M270" s="115" t="s">
        <v>5472</v>
      </c>
      <c r="N270" s="115" t="s">
        <v>3973</v>
      </c>
      <c r="O270" s="115" t="s">
        <v>4480</v>
      </c>
      <c r="P270" s="113">
        <v>610</v>
      </c>
      <c r="Q270" s="113">
        <v>75</v>
      </c>
      <c r="R270" s="113">
        <v>125</v>
      </c>
      <c r="S270" s="113">
        <v>230</v>
      </c>
      <c r="T270" s="120">
        <v>55</v>
      </c>
      <c r="U270" s="113">
        <v>95</v>
      </c>
      <c r="V270" s="113">
        <v>30</v>
      </c>
      <c r="W270" s="129"/>
      <c r="X270" s="129"/>
      <c r="Y270" s="5"/>
      <c r="Z270" s="5"/>
      <c r="AA270" s="5"/>
      <c r="AB270" s="5"/>
      <c r="AC270" s="5"/>
      <c r="AD270" s="5"/>
      <c r="AE270" s="5"/>
    </row>
    <row r="271" spans="1:34" customFormat="1">
      <c r="A271" s="113">
        <v>209</v>
      </c>
      <c r="B271" s="113" t="s">
        <v>236</v>
      </c>
      <c r="C271" s="120" t="s">
        <v>5474</v>
      </c>
      <c r="D271" s="124">
        <v>0.25</v>
      </c>
      <c r="E271" s="124">
        <v>0.75</v>
      </c>
      <c r="F271" s="113" t="s">
        <v>2332</v>
      </c>
      <c r="G271" s="113" t="s">
        <v>1974</v>
      </c>
      <c r="H271" s="113" t="s">
        <v>56</v>
      </c>
      <c r="I271" s="113" t="s">
        <v>1109</v>
      </c>
      <c r="J271" s="118" t="s">
        <v>2129</v>
      </c>
      <c r="K271" s="118" t="s">
        <v>4658</v>
      </c>
      <c r="L271" s="118" t="s">
        <v>5474</v>
      </c>
      <c r="M271" s="115" t="s">
        <v>1109</v>
      </c>
      <c r="N271" s="115" t="s">
        <v>2129</v>
      </c>
      <c r="O271" s="115" t="s">
        <v>1109</v>
      </c>
      <c r="P271" s="113">
        <v>300</v>
      </c>
      <c r="Q271" s="113">
        <v>60</v>
      </c>
      <c r="R271" s="113">
        <v>80</v>
      </c>
      <c r="S271" s="113">
        <v>50</v>
      </c>
      <c r="T271" s="120">
        <v>40</v>
      </c>
      <c r="U271" s="113">
        <v>40</v>
      </c>
      <c r="V271" s="113">
        <v>30</v>
      </c>
      <c r="W271" s="129"/>
      <c r="X271" s="129"/>
      <c r="Y271" s="5"/>
      <c r="Z271" s="5"/>
      <c r="AA271" s="5"/>
      <c r="AB271" s="5"/>
      <c r="AC271" s="5"/>
      <c r="AD271" s="5"/>
      <c r="AE271" s="5"/>
      <c r="AH271" s="5"/>
    </row>
    <row r="272" spans="1:34" customFormat="1">
      <c r="A272" s="113">
        <v>210</v>
      </c>
      <c r="B272" s="113" t="s">
        <v>237</v>
      </c>
      <c r="C272" s="120" t="s">
        <v>5475</v>
      </c>
      <c r="D272" s="124">
        <v>0.25</v>
      </c>
      <c r="E272" s="124">
        <v>0.75</v>
      </c>
      <c r="F272" s="113" t="s">
        <v>2332</v>
      </c>
      <c r="G272" s="113" t="s">
        <v>1974</v>
      </c>
      <c r="H272" s="113" t="s">
        <v>56</v>
      </c>
      <c r="I272" s="113" t="s">
        <v>1109</v>
      </c>
      <c r="J272" s="118" t="s">
        <v>2129</v>
      </c>
      <c r="K272" s="118" t="s">
        <v>4658</v>
      </c>
      <c r="L272" s="118" t="s">
        <v>5474</v>
      </c>
      <c r="M272" s="115" t="s">
        <v>5474</v>
      </c>
      <c r="N272" s="115" t="s">
        <v>6399</v>
      </c>
      <c r="O272" s="115" t="s">
        <v>2128</v>
      </c>
      <c r="P272" s="113">
        <v>450</v>
      </c>
      <c r="Q272" s="113">
        <v>90</v>
      </c>
      <c r="R272" s="113">
        <v>120</v>
      </c>
      <c r="S272" s="113">
        <v>75</v>
      </c>
      <c r="T272" s="120">
        <v>60</v>
      </c>
      <c r="U272" s="113">
        <v>60</v>
      </c>
      <c r="V272" s="113">
        <v>45</v>
      </c>
      <c r="W272" s="129"/>
      <c r="X272" s="129"/>
      <c r="Y272" s="5"/>
      <c r="Z272" s="5"/>
      <c r="AA272" s="5"/>
      <c r="AB272" s="5"/>
      <c r="AC272" s="5"/>
      <c r="AD272" s="5"/>
      <c r="AE272" s="5"/>
    </row>
    <row r="273" spans="1:32" customFormat="1">
      <c r="A273" s="113">
        <v>211</v>
      </c>
      <c r="B273" s="113" t="s">
        <v>238</v>
      </c>
      <c r="C273" s="120" t="s">
        <v>5476</v>
      </c>
      <c r="D273" s="124">
        <v>0.5</v>
      </c>
      <c r="E273" s="124">
        <v>0.5</v>
      </c>
      <c r="F273" s="113" t="s">
        <v>2337</v>
      </c>
      <c r="G273" s="113" t="s">
        <v>1974</v>
      </c>
      <c r="H273" s="113" t="s">
        <v>25</v>
      </c>
      <c r="I273" s="113" t="s">
        <v>15</v>
      </c>
      <c r="J273" s="118" t="s">
        <v>2129</v>
      </c>
      <c r="K273" s="118" t="s">
        <v>4658</v>
      </c>
      <c r="L273" s="118" t="s">
        <v>5476</v>
      </c>
      <c r="M273" s="115" t="s">
        <v>1109</v>
      </c>
      <c r="N273" s="115" t="s">
        <v>2129</v>
      </c>
      <c r="O273" s="115" t="s">
        <v>1109</v>
      </c>
      <c r="P273" s="113">
        <v>440</v>
      </c>
      <c r="Q273" s="113">
        <v>65</v>
      </c>
      <c r="R273" s="113">
        <v>95</v>
      </c>
      <c r="S273" s="113">
        <v>85</v>
      </c>
      <c r="T273" s="120">
        <v>55</v>
      </c>
      <c r="U273" s="113">
        <v>55</v>
      </c>
      <c r="V273" s="113">
        <v>85</v>
      </c>
      <c r="W273" s="129"/>
      <c r="X273" s="129"/>
      <c r="Y273" s="5"/>
      <c r="Z273" s="5"/>
      <c r="AA273" s="5"/>
      <c r="AB273" s="5"/>
      <c r="AC273" s="5"/>
      <c r="AD273" s="5"/>
      <c r="AE273" s="5"/>
    </row>
    <row r="274" spans="1:32" customFormat="1">
      <c r="A274" s="113">
        <v>211</v>
      </c>
      <c r="B274" s="113" t="s">
        <v>2885</v>
      </c>
      <c r="C274" s="120" t="s">
        <v>5477</v>
      </c>
      <c r="D274" s="124">
        <v>0.5</v>
      </c>
      <c r="E274" s="124">
        <v>0.5</v>
      </c>
      <c r="F274" s="113" t="s">
        <v>2337</v>
      </c>
      <c r="G274" s="113" t="s">
        <v>4319</v>
      </c>
      <c r="H274" s="113" t="s">
        <v>158</v>
      </c>
      <c r="I274" s="113" t="s">
        <v>15</v>
      </c>
      <c r="J274" s="118" t="s">
        <v>2129</v>
      </c>
      <c r="K274" s="118" t="s">
        <v>4658</v>
      </c>
      <c r="L274" s="118" t="s">
        <v>5476</v>
      </c>
      <c r="M274" s="115" t="s">
        <v>1109</v>
      </c>
      <c r="N274" s="115" t="s">
        <v>2129</v>
      </c>
      <c r="O274" s="115" t="s">
        <v>1109</v>
      </c>
      <c r="P274" s="113">
        <v>440</v>
      </c>
      <c r="Q274" s="113">
        <v>65</v>
      </c>
      <c r="R274" s="113">
        <v>95</v>
      </c>
      <c r="S274" s="113">
        <v>85</v>
      </c>
      <c r="T274" s="120">
        <v>55</v>
      </c>
      <c r="U274" s="113">
        <v>55</v>
      </c>
      <c r="V274" s="113">
        <v>85</v>
      </c>
      <c r="W274" s="129"/>
      <c r="X274" s="129"/>
      <c r="Y274" s="5"/>
      <c r="Z274" s="5"/>
      <c r="AA274" s="5"/>
      <c r="AB274" s="5"/>
      <c r="AC274" s="5"/>
      <c r="AD274" s="5"/>
      <c r="AE274" s="5"/>
    </row>
    <row r="275" spans="1:32" customFormat="1">
      <c r="A275" s="113">
        <v>212</v>
      </c>
      <c r="B275" s="113" t="s">
        <v>239</v>
      </c>
      <c r="C275" s="120" t="s">
        <v>5478</v>
      </c>
      <c r="D275" s="124">
        <v>0.5</v>
      </c>
      <c r="E275" s="124">
        <v>0.5</v>
      </c>
      <c r="F275" s="113" t="s">
        <v>29</v>
      </c>
      <c r="G275" s="113" t="s">
        <v>1974</v>
      </c>
      <c r="H275" s="113" t="s">
        <v>29</v>
      </c>
      <c r="I275" s="113" t="s">
        <v>106</v>
      </c>
      <c r="J275" s="118" t="s">
        <v>2129</v>
      </c>
      <c r="K275" s="118" t="s">
        <v>4657</v>
      </c>
      <c r="L275" s="118" t="s">
        <v>5373</v>
      </c>
      <c r="M275" s="115" t="s">
        <v>5373</v>
      </c>
      <c r="N275" s="115" t="s">
        <v>6399</v>
      </c>
      <c r="O275" s="115" t="s">
        <v>2130</v>
      </c>
      <c r="P275" s="113">
        <v>500</v>
      </c>
      <c r="Q275" s="113">
        <v>70</v>
      </c>
      <c r="R275" s="113">
        <v>130</v>
      </c>
      <c r="S275" s="113">
        <v>100</v>
      </c>
      <c r="T275" s="120">
        <v>55</v>
      </c>
      <c r="U275" s="113">
        <v>80</v>
      </c>
      <c r="V275" s="113">
        <v>65</v>
      </c>
      <c r="W275" s="129"/>
      <c r="X275" s="129"/>
      <c r="Y275" s="5"/>
      <c r="Z275" s="5"/>
      <c r="AA275" s="5"/>
      <c r="AB275" s="5"/>
      <c r="AC275" s="5"/>
      <c r="AD275" s="5"/>
      <c r="AE275" s="5"/>
    </row>
    <row r="276" spans="1:32" customFormat="1" hidden="1">
      <c r="A276" s="113">
        <v>212</v>
      </c>
      <c r="B276" s="113" t="s">
        <v>2887</v>
      </c>
      <c r="C276" s="120" t="s">
        <v>5479</v>
      </c>
      <c r="D276" s="124">
        <v>0.5</v>
      </c>
      <c r="E276" s="124">
        <v>0.5</v>
      </c>
      <c r="F276" s="113" t="s">
        <v>29</v>
      </c>
      <c r="G276" s="113" t="s">
        <v>1974</v>
      </c>
      <c r="H276" s="113" t="s">
        <v>29</v>
      </c>
      <c r="I276" s="113" t="s">
        <v>106</v>
      </c>
      <c r="J276" s="118" t="s">
        <v>3973</v>
      </c>
      <c r="K276" s="118" t="s">
        <v>4659</v>
      </c>
      <c r="L276" s="118" t="s">
        <v>5373</v>
      </c>
      <c r="M276" s="115" t="s">
        <v>5478</v>
      </c>
      <c r="N276" s="115" t="s">
        <v>3973</v>
      </c>
      <c r="O276" s="115" t="s">
        <v>4480</v>
      </c>
      <c r="P276" s="113">
        <v>600</v>
      </c>
      <c r="Q276" s="113">
        <v>70</v>
      </c>
      <c r="R276" s="113">
        <v>150</v>
      </c>
      <c r="S276" s="113">
        <v>140</v>
      </c>
      <c r="T276" s="120">
        <v>65</v>
      </c>
      <c r="U276" s="113">
        <v>100</v>
      </c>
      <c r="V276" s="113">
        <v>75</v>
      </c>
      <c r="W276" s="129"/>
      <c r="X276" s="129"/>
      <c r="Y276" s="5"/>
      <c r="Z276" s="5"/>
      <c r="AA276" s="5"/>
      <c r="AB276" s="5"/>
      <c r="AC276" s="5"/>
      <c r="AD276" s="5"/>
      <c r="AE276" s="5"/>
    </row>
    <row r="277" spans="1:32" customFormat="1">
      <c r="A277" s="113">
        <v>213</v>
      </c>
      <c r="B277" s="113" t="s">
        <v>240</v>
      </c>
      <c r="C277" s="120" t="s">
        <v>5480</v>
      </c>
      <c r="D277" s="124">
        <v>0.5</v>
      </c>
      <c r="E277" s="124">
        <v>0.5</v>
      </c>
      <c r="F277" s="113" t="s">
        <v>29</v>
      </c>
      <c r="G277" s="113" t="s">
        <v>1974</v>
      </c>
      <c r="H277" s="113" t="s">
        <v>29</v>
      </c>
      <c r="I277" s="113" t="s">
        <v>98</v>
      </c>
      <c r="J277" s="118" t="s">
        <v>2129</v>
      </c>
      <c r="K277" s="118" t="s">
        <v>4657</v>
      </c>
      <c r="L277" s="118" t="s">
        <v>5480</v>
      </c>
      <c r="M277" s="115" t="s">
        <v>1109</v>
      </c>
      <c r="N277" s="115" t="s">
        <v>6399</v>
      </c>
      <c r="O277" s="115" t="s">
        <v>1109</v>
      </c>
      <c r="P277" s="113">
        <v>505</v>
      </c>
      <c r="Q277" s="113">
        <v>20</v>
      </c>
      <c r="R277" s="113">
        <v>10</v>
      </c>
      <c r="S277" s="113">
        <v>230</v>
      </c>
      <c r="T277" s="120">
        <v>10</v>
      </c>
      <c r="U277" s="113">
        <v>230</v>
      </c>
      <c r="V277" s="113">
        <v>5</v>
      </c>
      <c r="W277" s="129"/>
      <c r="X277" s="129"/>
      <c r="Y277" s="5"/>
      <c r="Z277" s="5"/>
      <c r="AA277" s="5"/>
      <c r="AB277" s="5"/>
      <c r="AC277" s="5"/>
      <c r="AD277" s="5"/>
      <c r="AE277" s="5"/>
    </row>
    <row r="278" spans="1:32" customFormat="1">
      <c r="A278" s="113">
        <v>214</v>
      </c>
      <c r="B278" s="113" t="s">
        <v>241</v>
      </c>
      <c r="C278" s="120" t="s">
        <v>5481</v>
      </c>
      <c r="D278" s="124">
        <v>0.5</v>
      </c>
      <c r="E278" s="124">
        <v>0.5</v>
      </c>
      <c r="F278" s="113" t="s">
        <v>29</v>
      </c>
      <c r="G278" s="113" t="s">
        <v>1974</v>
      </c>
      <c r="H278" s="113" t="s">
        <v>29</v>
      </c>
      <c r="I278" s="113" t="s">
        <v>78</v>
      </c>
      <c r="J278" s="118" t="s">
        <v>2129</v>
      </c>
      <c r="K278" s="118" t="s">
        <v>4657</v>
      </c>
      <c r="L278" s="118" t="s">
        <v>5481</v>
      </c>
      <c r="M278" s="115" t="s">
        <v>1109</v>
      </c>
      <c r="N278" s="115" t="s">
        <v>6399</v>
      </c>
      <c r="O278" s="115" t="s">
        <v>1109</v>
      </c>
      <c r="P278" s="113">
        <v>500</v>
      </c>
      <c r="Q278" s="113">
        <v>80</v>
      </c>
      <c r="R278" s="113">
        <v>125</v>
      </c>
      <c r="S278" s="113">
        <v>75</v>
      </c>
      <c r="T278" s="120">
        <v>40</v>
      </c>
      <c r="U278" s="113">
        <v>95</v>
      </c>
      <c r="V278" s="113">
        <v>85</v>
      </c>
      <c r="W278" s="129"/>
      <c r="X278" s="129"/>
      <c r="Y278" s="5"/>
      <c r="Z278" s="5"/>
      <c r="AA278" s="5"/>
      <c r="AB278" s="5"/>
      <c r="AC278" s="5"/>
      <c r="AD278" s="5"/>
      <c r="AE278" s="5"/>
    </row>
    <row r="279" spans="1:32" customFormat="1" hidden="1">
      <c r="A279" s="113">
        <v>214</v>
      </c>
      <c r="B279" s="113" t="s">
        <v>2889</v>
      </c>
      <c r="C279" s="120" t="s">
        <v>5482</v>
      </c>
      <c r="D279" s="124">
        <v>0.5</v>
      </c>
      <c r="E279" s="124">
        <v>0.5</v>
      </c>
      <c r="F279" s="113" t="s">
        <v>29</v>
      </c>
      <c r="G279" s="113" t="s">
        <v>1974</v>
      </c>
      <c r="H279" s="113" t="s">
        <v>29</v>
      </c>
      <c r="I279" s="113" t="s">
        <v>78</v>
      </c>
      <c r="J279" s="118" t="s">
        <v>3973</v>
      </c>
      <c r="K279" s="118" t="s">
        <v>4659</v>
      </c>
      <c r="L279" s="118" t="s">
        <v>5481</v>
      </c>
      <c r="M279" s="115" t="s">
        <v>5481</v>
      </c>
      <c r="N279" s="115" t="s">
        <v>3973</v>
      </c>
      <c r="O279" s="115" t="s">
        <v>4480</v>
      </c>
      <c r="P279" s="113">
        <v>600</v>
      </c>
      <c r="Q279" s="113">
        <v>80</v>
      </c>
      <c r="R279" s="113">
        <v>185</v>
      </c>
      <c r="S279" s="113">
        <v>115</v>
      </c>
      <c r="T279" s="120">
        <v>40</v>
      </c>
      <c r="U279" s="113">
        <v>105</v>
      </c>
      <c r="V279" s="113">
        <v>75</v>
      </c>
      <c r="W279" s="129"/>
      <c r="X279" s="129"/>
      <c r="Y279" s="5"/>
      <c r="Z279" s="5"/>
      <c r="AA279" s="5"/>
      <c r="AB279" s="5"/>
      <c r="AC279" s="5"/>
      <c r="AD279" s="5"/>
      <c r="AE279" s="5"/>
    </row>
    <row r="280" spans="1:32" customFormat="1">
      <c r="A280" s="113">
        <v>215</v>
      </c>
      <c r="B280" s="113" t="s">
        <v>242</v>
      </c>
      <c r="C280" s="120" t="s">
        <v>5483</v>
      </c>
      <c r="D280" s="124">
        <v>0.5</v>
      </c>
      <c r="E280" s="124">
        <v>0.5</v>
      </c>
      <c r="F280" s="113" t="s">
        <v>2332</v>
      </c>
      <c r="G280" s="113" t="s">
        <v>1974</v>
      </c>
      <c r="H280" s="113" t="s">
        <v>158</v>
      </c>
      <c r="I280" s="113" t="s">
        <v>113</v>
      </c>
      <c r="J280" s="118" t="s">
        <v>2129</v>
      </c>
      <c r="K280" s="118" t="s">
        <v>4658</v>
      </c>
      <c r="L280" s="118" t="s">
        <v>5483</v>
      </c>
      <c r="M280" s="115" t="s">
        <v>1109</v>
      </c>
      <c r="N280" s="115" t="s">
        <v>2129</v>
      </c>
      <c r="O280" s="115" t="s">
        <v>1109</v>
      </c>
      <c r="P280" s="113">
        <v>430</v>
      </c>
      <c r="Q280" s="113">
        <v>55</v>
      </c>
      <c r="R280" s="113">
        <v>95</v>
      </c>
      <c r="S280" s="113">
        <v>55</v>
      </c>
      <c r="T280" s="120">
        <v>35</v>
      </c>
      <c r="U280" s="113">
        <v>75</v>
      </c>
      <c r="V280" s="113">
        <v>115</v>
      </c>
      <c r="W280" s="129"/>
      <c r="X280" s="129"/>
      <c r="Y280" s="5"/>
      <c r="Z280" s="5"/>
      <c r="AA280" s="5"/>
      <c r="AB280" s="5"/>
      <c r="AC280" s="5"/>
      <c r="AD280" s="5"/>
      <c r="AE280" s="5"/>
    </row>
    <row r="281" spans="1:32" customFormat="1">
      <c r="A281" s="113">
        <v>215</v>
      </c>
      <c r="B281" s="113" t="s">
        <v>2891</v>
      </c>
      <c r="C281" s="120" t="s">
        <v>5484</v>
      </c>
      <c r="D281" s="124">
        <v>0.5</v>
      </c>
      <c r="E281" s="124">
        <v>0.5</v>
      </c>
      <c r="F281" s="113" t="s">
        <v>2332</v>
      </c>
      <c r="G281" s="113" t="s">
        <v>4319</v>
      </c>
      <c r="H281" s="113" t="s">
        <v>78</v>
      </c>
      <c r="I281" s="113" t="s">
        <v>15</v>
      </c>
      <c r="J281" s="118" t="s">
        <v>2129</v>
      </c>
      <c r="K281" s="118" t="s">
        <v>4658</v>
      </c>
      <c r="L281" s="118" t="s">
        <v>5483</v>
      </c>
      <c r="M281" s="115" t="s">
        <v>1109</v>
      </c>
      <c r="N281" s="115" t="s">
        <v>2129</v>
      </c>
      <c r="O281" s="115" t="s">
        <v>1109</v>
      </c>
      <c r="P281" s="113">
        <v>430</v>
      </c>
      <c r="Q281" s="113">
        <v>55</v>
      </c>
      <c r="R281" s="113">
        <v>95</v>
      </c>
      <c r="S281" s="113">
        <v>55</v>
      </c>
      <c r="T281" s="120">
        <v>35</v>
      </c>
      <c r="U281" s="113">
        <v>75</v>
      </c>
      <c r="V281" s="113">
        <v>115</v>
      </c>
      <c r="W281" s="129"/>
      <c r="X281" s="129"/>
      <c r="Y281" s="5"/>
      <c r="Z281" s="5"/>
      <c r="AA281" s="5"/>
      <c r="AB281" s="5"/>
      <c r="AC281" s="5"/>
      <c r="AD281" s="5"/>
      <c r="AE281" s="5"/>
    </row>
    <row r="282" spans="1:32" customFormat="1">
      <c r="A282" s="113">
        <v>216</v>
      </c>
      <c r="B282" s="113" t="s">
        <v>243</v>
      </c>
      <c r="C282" s="120" t="s">
        <v>5485</v>
      </c>
      <c r="D282" s="124">
        <v>0.5</v>
      </c>
      <c r="E282" s="124">
        <v>0.5</v>
      </c>
      <c r="F282" s="113" t="s">
        <v>2332</v>
      </c>
      <c r="G282" s="113" t="s">
        <v>1974</v>
      </c>
      <c r="H282" s="113" t="s">
        <v>36</v>
      </c>
      <c r="I282" s="113" t="s">
        <v>1109</v>
      </c>
      <c r="J282" s="118" t="s">
        <v>2129</v>
      </c>
      <c r="K282" s="118" t="s">
        <v>4658</v>
      </c>
      <c r="L282" s="118" t="s">
        <v>5485</v>
      </c>
      <c r="M282" s="115" t="s">
        <v>1109</v>
      </c>
      <c r="N282" s="115" t="s">
        <v>2129</v>
      </c>
      <c r="O282" s="115" t="s">
        <v>1109</v>
      </c>
      <c r="P282" s="113">
        <v>330</v>
      </c>
      <c r="Q282" s="113">
        <v>60</v>
      </c>
      <c r="R282" s="113">
        <v>80</v>
      </c>
      <c r="S282" s="113">
        <v>50</v>
      </c>
      <c r="T282" s="120">
        <v>50</v>
      </c>
      <c r="U282" s="113">
        <v>50</v>
      </c>
      <c r="V282" s="113">
        <v>40</v>
      </c>
      <c r="W282" s="129"/>
      <c r="X282" s="129"/>
      <c r="Y282" s="5"/>
      <c r="Z282" s="5"/>
      <c r="AA282" s="5"/>
      <c r="AB282" s="5"/>
      <c r="AC282" s="5"/>
      <c r="AD282" s="5"/>
      <c r="AE282" s="5"/>
    </row>
    <row r="283" spans="1:32" customFormat="1">
      <c r="A283" s="113">
        <v>217</v>
      </c>
      <c r="B283" s="113" t="s">
        <v>244</v>
      </c>
      <c r="C283" s="120" t="s">
        <v>5486</v>
      </c>
      <c r="D283" s="124">
        <v>0.5</v>
      </c>
      <c r="E283" s="124">
        <v>0.5</v>
      </c>
      <c r="F283" s="113" t="s">
        <v>2332</v>
      </c>
      <c r="G283" s="113" t="s">
        <v>1974</v>
      </c>
      <c r="H283" s="113" t="s">
        <v>36</v>
      </c>
      <c r="I283" s="113" t="s">
        <v>1109</v>
      </c>
      <c r="J283" s="118" t="s">
        <v>2129</v>
      </c>
      <c r="K283" s="118" t="s">
        <v>4658</v>
      </c>
      <c r="L283" s="118" t="s">
        <v>5485</v>
      </c>
      <c r="M283" s="115" t="s">
        <v>5485</v>
      </c>
      <c r="N283" s="115" t="s">
        <v>6399</v>
      </c>
      <c r="O283" s="115" t="s">
        <v>2128</v>
      </c>
      <c r="P283" s="113">
        <v>500</v>
      </c>
      <c r="Q283" s="113">
        <v>90</v>
      </c>
      <c r="R283" s="113">
        <v>130</v>
      </c>
      <c r="S283" s="113">
        <v>75</v>
      </c>
      <c r="T283" s="120">
        <v>75</v>
      </c>
      <c r="U283" s="113">
        <v>75</v>
      </c>
      <c r="V283" s="113">
        <v>55</v>
      </c>
      <c r="W283" s="129"/>
      <c r="X283" s="129"/>
      <c r="Y283" s="5"/>
      <c r="Z283" s="5"/>
      <c r="AA283" s="5"/>
      <c r="AB283" s="5"/>
      <c r="AC283" s="5"/>
      <c r="AD283" s="5"/>
      <c r="AE283" s="5"/>
    </row>
    <row r="284" spans="1:32" customFormat="1">
      <c r="A284" s="113">
        <v>218</v>
      </c>
      <c r="B284" s="113" t="s">
        <v>245</v>
      </c>
      <c r="C284" s="120" t="s">
        <v>5487</v>
      </c>
      <c r="D284" s="124">
        <v>0.5</v>
      </c>
      <c r="E284" s="124">
        <v>0.5</v>
      </c>
      <c r="F284" s="113" t="s">
        <v>2336</v>
      </c>
      <c r="G284" s="113" t="s">
        <v>1974</v>
      </c>
      <c r="H284" s="113" t="s">
        <v>19</v>
      </c>
      <c r="I284" s="113" t="s">
        <v>1109</v>
      </c>
      <c r="J284" s="118" t="s">
        <v>2129</v>
      </c>
      <c r="K284" s="118" t="s">
        <v>4657</v>
      </c>
      <c r="L284" s="118" t="s">
        <v>5487</v>
      </c>
      <c r="M284" s="115" t="s">
        <v>1109</v>
      </c>
      <c r="N284" s="115" t="s">
        <v>2129</v>
      </c>
      <c r="O284" s="115" t="s">
        <v>1109</v>
      </c>
      <c r="P284" s="113">
        <v>250</v>
      </c>
      <c r="Q284" s="113">
        <v>40</v>
      </c>
      <c r="R284" s="113">
        <v>40</v>
      </c>
      <c r="S284" s="113">
        <v>40</v>
      </c>
      <c r="T284" s="120">
        <v>70</v>
      </c>
      <c r="U284" s="113">
        <v>40</v>
      </c>
      <c r="V284" s="113">
        <v>20</v>
      </c>
      <c r="W284" s="129"/>
      <c r="X284" s="129"/>
      <c r="Y284" s="5"/>
      <c r="Z284" s="5"/>
      <c r="AA284" s="5"/>
      <c r="AB284" s="5"/>
      <c r="AC284" s="5"/>
      <c r="AD284" s="5"/>
      <c r="AE284" s="5"/>
    </row>
    <row r="285" spans="1:32" customFormat="1">
      <c r="A285" s="113">
        <v>219</v>
      </c>
      <c r="B285" s="113" t="s">
        <v>246</v>
      </c>
      <c r="C285" s="120" t="s">
        <v>5488</v>
      </c>
      <c r="D285" s="124">
        <v>0.5</v>
      </c>
      <c r="E285" s="124">
        <v>0.5</v>
      </c>
      <c r="F285" s="113" t="s">
        <v>2336</v>
      </c>
      <c r="G285" s="113" t="s">
        <v>1974</v>
      </c>
      <c r="H285" s="113" t="s">
        <v>19</v>
      </c>
      <c r="I285" s="113" t="s">
        <v>98</v>
      </c>
      <c r="J285" s="118" t="s">
        <v>2129</v>
      </c>
      <c r="K285" s="118" t="s">
        <v>4657</v>
      </c>
      <c r="L285" s="118" t="s">
        <v>5487</v>
      </c>
      <c r="M285" s="115" t="s">
        <v>5487</v>
      </c>
      <c r="N285" s="115" t="s">
        <v>6399</v>
      </c>
      <c r="O285" s="115" t="s">
        <v>2128</v>
      </c>
      <c r="P285" s="113">
        <v>430</v>
      </c>
      <c r="Q285" s="113">
        <v>60</v>
      </c>
      <c r="R285" s="113">
        <v>50</v>
      </c>
      <c r="S285" s="113">
        <v>120</v>
      </c>
      <c r="T285" s="120">
        <v>90</v>
      </c>
      <c r="U285" s="113">
        <v>80</v>
      </c>
      <c r="V285" s="113">
        <v>30</v>
      </c>
      <c r="W285" s="129"/>
      <c r="X285" s="129"/>
      <c r="Y285" s="5"/>
      <c r="Z285" s="5"/>
      <c r="AA285" s="5"/>
      <c r="AB285" s="5"/>
      <c r="AC285" s="5"/>
      <c r="AD285" s="5"/>
      <c r="AE285" s="5"/>
    </row>
    <row r="286" spans="1:32" customFormat="1">
      <c r="A286" s="113">
        <v>220</v>
      </c>
      <c r="B286" s="113" t="s">
        <v>247</v>
      </c>
      <c r="C286" s="120" t="s">
        <v>5489</v>
      </c>
      <c r="D286" s="124">
        <v>0.5</v>
      </c>
      <c r="E286" s="124">
        <v>0.5</v>
      </c>
      <c r="F286" s="113" t="s">
        <v>2332</v>
      </c>
      <c r="G286" s="113" t="s">
        <v>1974</v>
      </c>
      <c r="H286" s="113" t="s">
        <v>113</v>
      </c>
      <c r="I286" s="113" t="s">
        <v>49</v>
      </c>
      <c r="J286" s="118" t="s">
        <v>2129</v>
      </c>
      <c r="K286" s="118" t="s">
        <v>2712</v>
      </c>
      <c r="L286" s="118" t="s">
        <v>5489</v>
      </c>
      <c r="M286" s="115" t="s">
        <v>1109</v>
      </c>
      <c r="N286" s="115" t="s">
        <v>2129</v>
      </c>
      <c r="O286" s="115" t="s">
        <v>1109</v>
      </c>
      <c r="P286" s="113">
        <v>250</v>
      </c>
      <c r="Q286" s="113">
        <v>50</v>
      </c>
      <c r="R286" s="113">
        <v>50</v>
      </c>
      <c r="S286" s="113">
        <v>40</v>
      </c>
      <c r="T286" s="120">
        <v>30</v>
      </c>
      <c r="U286" s="113">
        <v>30</v>
      </c>
      <c r="V286" s="113">
        <v>50</v>
      </c>
      <c r="W286" s="129"/>
      <c r="X286" s="129"/>
      <c r="Y286" s="5"/>
      <c r="Z286" s="5"/>
      <c r="AA286" s="5"/>
      <c r="AB286" s="5"/>
      <c r="AC286" s="5"/>
      <c r="AD286" s="5"/>
      <c r="AE286" s="5"/>
      <c r="AF286" s="5"/>
    </row>
    <row r="287" spans="1:32" customFormat="1">
      <c r="A287" s="113">
        <v>221</v>
      </c>
      <c r="B287" s="113" t="s">
        <v>248</v>
      </c>
      <c r="C287" s="120" t="s">
        <v>5490</v>
      </c>
      <c r="D287" s="124">
        <v>0.5</v>
      </c>
      <c r="E287" s="124">
        <v>0.5</v>
      </c>
      <c r="F287" s="113" t="s">
        <v>2332</v>
      </c>
      <c r="G287" s="113" t="s">
        <v>1974</v>
      </c>
      <c r="H287" s="113" t="s">
        <v>113</v>
      </c>
      <c r="I287" s="113" t="s">
        <v>49</v>
      </c>
      <c r="J287" s="118" t="s">
        <v>2129</v>
      </c>
      <c r="K287" s="118" t="s">
        <v>2712</v>
      </c>
      <c r="L287" s="118" t="s">
        <v>5489</v>
      </c>
      <c r="M287" s="115" t="s">
        <v>5489</v>
      </c>
      <c r="N287" s="115" t="s">
        <v>6398</v>
      </c>
      <c r="O287" s="115" t="s">
        <v>2128</v>
      </c>
      <c r="P287" s="113">
        <v>450</v>
      </c>
      <c r="Q287" s="113">
        <v>100</v>
      </c>
      <c r="R287" s="113">
        <v>100</v>
      </c>
      <c r="S287" s="113">
        <v>80</v>
      </c>
      <c r="T287" s="120">
        <v>60</v>
      </c>
      <c r="U287" s="113">
        <v>60</v>
      </c>
      <c r="V287" s="113">
        <v>50</v>
      </c>
      <c r="W287" s="129"/>
      <c r="X287" s="129"/>
      <c r="Y287" s="5"/>
      <c r="Z287" s="5"/>
      <c r="AA287" s="5"/>
      <c r="AB287" s="5"/>
      <c r="AC287" s="5"/>
      <c r="AD287" s="5"/>
      <c r="AE287" s="5"/>
    </row>
    <row r="288" spans="1:32" customFormat="1">
      <c r="A288" s="113">
        <v>222</v>
      </c>
      <c r="B288" s="113" t="s">
        <v>249</v>
      </c>
      <c r="C288" s="120" t="s">
        <v>5491</v>
      </c>
      <c r="D288" s="124">
        <v>0.25</v>
      </c>
      <c r="E288" s="124">
        <v>0.75</v>
      </c>
      <c r="F288" s="113" t="s">
        <v>2335</v>
      </c>
      <c r="G288" s="113" t="s">
        <v>1974</v>
      </c>
      <c r="H288" s="113" t="s">
        <v>25</v>
      </c>
      <c r="I288" s="113" t="s">
        <v>98</v>
      </c>
      <c r="J288" s="118" t="s">
        <v>2129</v>
      </c>
      <c r="K288" s="118" t="s">
        <v>4657</v>
      </c>
      <c r="L288" s="118" t="s">
        <v>5491</v>
      </c>
      <c r="M288" s="115" t="s">
        <v>1109</v>
      </c>
      <c r="N288" s="115" t="s">
        <v>6399</v>
      </c>
      <c r="O288" s="115" t="s">
        <v>1109</v>
      </c>
      <c r="P288" s="113">
        <v>410</v>
      </c>
      <c r="Q288" s="113">
        <v>65</v>
      </c>
      <c r="R288" s="113">
        <v>55</v>
      </c>
      <c r="S288" s="113">
        <v>95</v>
      </c>
      <c r="T288" s="120">
        <v>65</v>
      </c>
      <c r="U288" s="113">
        <v>95</v>
      </c>
      <c r="V288" s="113">
        <v>35</v>
      </c>
      <c r="W288" s="129"/>
      <c r="X288" s="129"/>
      <c r="Y288" s="5"/>
      <c r="Z288" s="5"/>
      <c r="AA288" s="5"/>
      <c r="AB288" s="5"/>
      <c r="AC288" s="5"/>
      <c r="AD288" s="5"/>
      <c r="AE288" s="5"/>
    </row>
    <row r="289" spans="1:34" customFormat="1">
      <c r="A289" s="113">
        <v>222</v>
      </c>
      <c r="B289" s="113" t="s">
        <v>6445</v>
      </c>
      <c r="C289" s="120" t="s">
        <v>5492</v>
      </c>
      <c r="D289" s="124">
        <v>0.25</v>
      </c>
      <c r="E289" s="124">
        <v>0.75</v>
      </c>
      <c r="F289" s="113" t="s">
        <v>2335</v>
      </c>
      <c r="G289" s="113" t="s">
        <v>2703</v>
      </c>
      <c r="H289" s="113" t="s">
        <v>119</v>
      </c>
      <c r="I289" s="113" t="s">
        <v>1109</v>
      </c>
      <c r="J289" s="118" t="s">
        <v>2129</v>
      </c>
      <c r="K289" s="118" t="s">
        <v>4657</v>
      </c>
      <c r="L289" s="118" t="s">
        <v>5491</v>
      </c>
      <c r="M289" s="115" t="s">
        <v>1109</v>
      </c>
      <c r="N289" s="115" t="s">
        <v>2129</v>
      </c>
      <c r="O289" s="115" t="s">
        <v>1109</v>
      </c>
      <c r="P289" s="113">
        <v>410</v>
      </c>
      <c r="Q289" s="113">
        <v>60</v>
      </c>
      <c r="R289" s="113">
        <v>55</v>
      </c>
      <c r="S289" s="113">
        <v>100</v>
      </c>
      <c r="T289" s="120">
        <v>65</v>
      </c>
      <c r="U289" s="113">
        <v>100</v>
      </c>
      <c r="V289" s="113">
        <v>30</v>
      </c>
      <c r="W289" s="129"/>
      <c r="X289" s="129"/>
      <c r="Y289" s="5"/>
      <c r="Z289" s="5"/>
      <c r="AA289" s="5"/>
      <c r="AB289" s="5"/>
      <c r="AC289" s="5"/>
      <c r="AD289" s="5"/>
      <c r="AE289" s="5"/>
      <c r="AH289" s="5"/>
    </row>
    <row r="290" spans="1:34" customFormat="1">
      <c r="A290" s="113">
        <v>223</v>
      </c>
      <c r="B290" s="113" t="s">
        <v>250</v>
      </c>
      <c r="C290" s="120" t="s">
        <v>5493</v>
      </c>
      <c r="D290" s="124">
        <v>0.5</v>
      </c>
      <c r="E290" s="124">
        <v>0.5</v>
      </c>
      <c r="F290" s="113" t="s">
        <v>2337</v>
      </c>
      <c r="G290" s="113" t="s">
        <v>1974</v>
      </c>
      <c r="H290" s="113" t="s">
        <v>25</v>
      </c>
      <c r="I290" s="113" t="s">
        <v>1109</v>
      </c>
      <c r="J290" s="118" t="s">
        <v>2129</v>
      </c>
      <c r="K290" s="118" t="s">
        <v>2712</v>
      </c>
      <c r="L290" s="118" t="s">
        <v>5493</v>
      </c>
      <c r="M290" s="115" t="s">
        <v>1109</v>
      </c>
      <c r="N290" s="115" t="s">
        <v>2129</v>
      </c>
      <c r="O290" s="115" t="s">
        <v>1109</v>
      </c>
      <c r="P290" s="113">
        <v>300</v>
      </c>
      <c r="Q290" s="113">
        <v>35</v>
      </c>
      <c r="R290" s="113">
        <v>65</v>
      </c>
      <c r="S290" s="113">
        <v>35</v>
      </c>
      <c r="T290" s="120">
        <v>65</v>
      </c>
      <c r="U290" s="113">
        <v>35</v>
      </c>
      <c r="V290" s="113">
        <v>65</v>
      </c>
      <c r="W290" s="129"/>
      <c r="X290" s="129"/>
      <c r="Y290" s="5"/>
      <c r="Z290" s="5"/>
      <c r="AA290" s="5"/>
      <c r="AB290" s="5"/>
      <c r="AC290" s="5"/>
      <c r="AD290" s="5"/>
      <c r="AE290" s="5"/>
    </row>
    <row r="291" spans="1:34" customFormat="1">
      <c r="A291" s="113">
        <v>224</v>
      </c>
      <c r="B291" s="113" t="s">
        <v>251</v>
      </c>
      <c r="C291" s="120" t="s">
        <v>5494</v>
      </c>
      <c r="D291" s="124">
        <v>0.5</v>
      </c>
      <c r="E291" s="124">
        <v>0.5</v>
      </c>
      <c r="F291" s="113" t="s">
        <v>2337</v>
      </c>
      <c r="G291" s="113" t="s">
        <v>1974</v>
      </c>
      <c r="H291" s="113" t="s">
        <v>25</v>
      </c>
      <c r="I291" s="113" t="s">
        <v>1109</v>
      </c>
      <c r="J291" s="118" t="s">
        <v>2129</v>
      </c>
      <c r="K291" s="118" t="s">
        <v>2712</v>
      </c>
      <c r="L291" s="118" t="s">
        <v>5493</v>
      </c>
      <c r="M291" s="115" t="s">
        <v>5493</v>
      </c>
      <c r="N291" s="115" t="s">
        <v>6399</v>
      </c>
      <c r="O291" s="115" t="s">
        <v>2128</v>
      </c>
      <c r="P291" s="113">
        <v>480</v>
      </c>
      <c r="Q291" s="113">
        <v>75</v>
      </c>
      <c r="R291" s="113">
        <v>105</v>
      </c>
      <c r="S291" s="113">
        <v>75</v>
      </c>
      <c r="T291" s="120">
        <v>105</v>
      </c>
      <c r="U291" s="113">
        <v>75</v>
      </c>
      <c r="V291" s="113">
        <v>45</v>
      </c>
      <c r="W291" s="129"/>
      <c r="X291" s="129"/>
      <c r="Y291" s="5"/>
      <c r="Z291" s="5"/>
      <c r="AA291" s="5"/>
      <c r="AB291" s="5"/>
      <c r="AC291" s="5"/>
      <c r="AD291" s="5"/>
      <c r="AE291" s="5"/>
    </row>
    <row r="292" spans="1:34" customFormat="1">
      <c r="A292" s="113">
        <v>225</v>
      </c>
      <c r="B292" s="113" t="s">
        <v>252</v>
      </c>
      <c r="C292" s="120" t="s">
        <v>5495</v>
      </c>
      <c r="D292" s="124">
        <v>0.5</v>
      </c>
      <c r="E292" s="124">
        <v>0.5</v>
      </c>
      <c r="F292" s="113" t="s">
        <v>2332</v>
      </c>
      <c r="G292" s="113" t="s">
        <v>1974</v>
      </c>
      <c r="H292" s="113" t="s">
        <v>113</v>
      </c>
      <c r="I292" s="113" t="s">
        <v>22</v>
      </c>
      <c r="J292" s="118" t="s">
        <v>2129</v>
      </c>
      <c r="K292" s="118" t="s">
        <v>4657</v>
      </c>
      <c r="L292" s="118" t="s">
        <v>5495</v>
      </c>
      <c r="M292" s="115" t="s">
        <v>1109</v>
      </c>
      <c r="N292" s="115" t="s">
        <v>6399</v>
      </c>
      <c r="O292" s="115" t="s">
        <v>1109</v>
      </c>
      <c r="P292" s="113">
        <v>330</v>
      </c>
      <c r="Q292" s="113">
        <v>45</v>
      </c>
      <c r="R292" s="113">
        <v>55</v>
      </c>
      <c r="S292" s="113">
        <v>45</v>
      </c>
      <c r="T292" s="120">
        <v>65</v>
      </c>
      <c r="U292" s="113">
        <v>45</v>
      </c>
      <c r="V292" s="113">
        <v>75</v>
      </c>
      <c r="W292" s="129"/>
      <c r="X292" s="129"/>
      <c r="Y292" s="5"/>
      <c r="Z292" s="5"/>
      <c r="AA292" s="5"/>
      <c r="AB292" s="5"/>
      <c r="AC292" s="5"/>
      <c r="AD292" s="5"/>
      <c r="AE292" s="5"/>
      <c r="AF292" s="5"/>
      <c r="AG292" s="5"/>
    </row>
    <row r="293" spans="1:34" customFormat="1">
      <c r="A293" s="113">
        <v>226</v>
      </c>
      <c r="B293" s="113" t="s">
        <v>253</v>
      </c>
      <c r="C293" s="120" t="s">
        <v>5496</v>
      </c>
      <c r="D293" s="124">
        <v>0.5</v>
      </c>
      <c r="E293" s="124">
        <v>0.5</v>
      </c>
      <c r="F293" s="113" t="s">
        <v>2335</v>
      </c>
      <c r="G293" s="113" t="s">
        <v>1974</v>
      </c>
      <c r="H293" s="113" t="s">
        <v>25</v>
      </c>
      <c r="I293" s="113" t="s">
        <v>22</v>
      </c>
      <c r="J293" s="118" t="s">
        <v>2129</v>
      </c>
      <c r="K293" s="118" t="s">
        <v>4657</v>
      </c>
      <c r="L293" s="118" t="s">
        <v>5762</v>
      </c>
      <c r="M293" s="115" t="s">
        <v>5762</v>
      </c>
      <c r="N293" s="115" t="s">
        <v>6399</v>
      </c>
      <c r="O293" s="115" t="s">
        <v>2128</v>
      </c>
      <c r="P293" s="113">
        <v>485</v>
      </c>
      <c r="Q293" s="113">
        <v>85</v>
      </c>
      <c r="R293" s="113">
        <v>40</v>
      </c>
      <c r="S293" s="113">
        <v>70</v>
      </c>
      <c r="T293" s="120">
        <v>80</v>
      </c>
      <c r="U293" s="113">
        <v>140</v>
      </c>
      <c r="V293" s="113">
        <v>70</v>
      </c>
      <c r="W293" s="129"/>
      <c r="X293" s="129"/>
      <c r="Y293" s="5"/>
      <c r="Z293" s="5"/>
      <c r="AA293" s="5"/>
      <c r="AB293" s="5"/>
      <c r="AC293" s="5"/>
      <c r="AD293" s="5"/>
      <c r="AE293" s="5"/>
    </row>
    <row r="294" spans="1:34" customFormat="1">
      <c r="A294" s="113">
        <v>227</v>
      </c>
      <c r="B294" s="113" t="s">
        <v>254</v>
      </c>
      <c r="C294" s="120" t="s">
        <v>5497</v>
      </c>
      <c r="D294" s="124">
        <v>0.5</v>
      </c>
      <c r="E294" s="124">
        <v>0.5</v>
      </c>
      <c r="F294" s="113" t="s">
        <v>22</v>
      </c>
      <c r="G294" s="113" t="s">
        <v>1974</v>
      </c>
      <c r="H294" s="113" t="s">
        <v>106</v>
      </c>
      <c r="I294" s="113" t="s">
        <v>22</v>
      </c>
      <c r="J294" s="118" t="s">
        <v>2129</v>
      </c>
      <c r="K294" s="118" t="s">
        <v>4657</v>
      </c>
      <c r="L294" s="118" t="s">
        <v>5497</v>
      </c>
      <c r="M294" s="115" t="s">
        <v>1109</v>
      </c>
      <c r="N294" s="115" t="s">
        <v>6399</v>
      </c>
      <c r="O294" s="115" t="s">
        <v>1109</v>
      </c>
      <c r="P294" s="113">
        <v>465</v>
      </c>
      <c r="Q294" s="113">
        <v>65</v>
      </c>
      <c r="R294" s="113">
        <v>80</v>
      </c>
      <c r="S294" s="113">
        <v>140</v>
      </c>
      <c r="T294" s="120">
        <v>40</v>
      </c>
      <c r="U294" s="113">
        <v>70</v>
      </c>
      <c r="V294" s="113">
        <v>70</v>
      </c>
      <c r="W294" s="129"/>
      <c r="X294" s="129"/>
      <c r="Y294" s="5"/>
      <c r="Z294" s="5"/>
      <c r="AA294" s="5"/>
      <c r="AB294" s="5"/>
      <c r="AC294" s="5"/>
      <c r="AD294" s="5"/>
      <c r="AE294" s="5"/>
    </row>
    <row r="295" spans="1:34">
      <c r="A295" s="113">
        <v>228</v>
      </c>
      <c r="B295" s="113" t="s">
        <v>255</v>
      </c>
      <c r="C295" s="120" t="s">
        <v>5498</v>
      </c>
      <c r="D295" s="124">
        <v>0.5</v>
      </c>
      <c r="E295" s="124">
        <v>0.5</v>
      </c>
      <c r="F295" s="113" t="s">
        <v>2332</v>
      </c>
      <c r="G295" s="113" t="s">
        <v>1974</v>
      </c>
      <c r="H295" s="113" t="s">
        <v>158</v>
      </c>
      <c r="I295" s="113" t="s">
        <v>19</v>
      </c>
      <c r="J295" s="118" t="s">
        <v>2129</v>
      </c>
      <c r="K295" s="118" t="s">
        <v>4657</v>
      </c>
      <c r="L295" s="118" t="s">
        <v>5498</v>
      </c>
      <c r="M295" s="115" t="s">
        <v>1109</v>
      </c>
      <c r="N295" s="115" t="s">
        <v>2129</v>
      </c>
      <c r="O295" s="115" t="s">
        <v>1109</v>
      </c>
      <c r="P295" s="113">
        <v>330</v>
      </c>
      <c r="Q295" s="113">
        <v>45</v>
      </c>
      <c r="R295" s="113">
        <v>60</v>
      </c>
      <c r="S295" s="113">
        <v>30</v>
      </c>
      <c r="T295" s="120">
        <v>80</v>
      </c>
      <c r="U295" s="113">
        <v>50</v>
      </c>
      <c r="V295" s="113">
        <v>65</v>
      </c>
      <c r="W295" s="129"/>
      <c r="X295" s="129"/>
      <c r="AF295"/>
      <c r="AG295"/>
      <c r="AH295"/>
    </row>
    <row r="296" spans="1:34" customFormat="1">
      <c r="A296" s="113">
        <v>229</v>
      </c>
      <c r="B296" s="113" t="s">
        <v>256</v>
      </c>
      <c r="C296" s="120" t="s">
        <v>5499</v>
      </c>
      <c r="D296" s="124">
        <v>0.5</v>
      </c>
      <c r="E296" s="124">
        <v>0.5</v>
      </c>
      <c r="F296" s="113" t="s">
        <v>2332</v>
      </c>
      <c r="G296" s="113" t="s">
        <v>1974</v>
      </c>
      <c r="H296" s="113" t="s">
        <v>158</v>
      </c>
      <c r="I296" s="113" t="s">
        <v>19</v>
      </c>
      <c r="J296" s="118" t="s">
        <v>2129</v>
      </c>
      <c r="K296" s="118" t="s">
        <v>4657</v>
      </c>
      <c r="L296" s="118" t="s">
        <v>5498</v>
      </c>
      <c r="M296" s="115" t="s">
        <v>5498</v>
      </c>
      <c r="N296" s="115" t="s">
        <v>6399</v>
      </c>
      <c r="O296" s="115" t="s">
        <v>2128</v>
      </c>
      <c r="P296" s="113">
        <v>500</v>
      </c>
      <c r="Q296" s="113">
        <v>75</v>
      </c>
      <c r="R296" s="113">
        <v>90</v>
      </c>
      <c r="S296" s="113">
        <v>50</v>
      </c>
      <c r="T296" s="120">
        <v>110</v>
      </c>
      <c r="U296" s="113">
        <v>80</v>
      </c>
      <c r="V296" s="113">
        <v>95</v>
      </c>
      <c r="W296" s="129"/>
      <c r="X296" s="129"/>
      <c r="Y296" s="5"/>
      <c r="Z296" s="5"/>
      <c r="AA296" s="5"/>
      <c r="AB296" s="5"/>
      <c r="AC296" s="5"/>
      <c r="AD296" s="5"/>
      <c r="AE296" s="5"/>
    </row>
    <row r="297" spans="1:34" customFormat="1" hidden="1">
      <c r="A297" s="113">
        <v>229</v>
      </c>
      <c r="B297" s="113" t="s">
        <v>2895</v>
      </c>
      <c r="C297" s="120" t="s">
        <v>5500</v>
      </c>
      <c r="D297" s="124">
        <v>0.5</v>
      </c>
      <c r="E297" s="124">
        <v>0.5</v>
      </c>
      <c r="F297" s="113" t="s">
        <v>2332</v>
      </c>
      <c r="G297" s="113" t="s">
        <v>1974</v>
      </c>
      <c r="H297" s="113" t="s">
        <v>158</v>
      </c>
      <c r="I297" s="113" t="s">
        <v>19</v>
      </c>
      <c r="J297" s="118" t="s">
        <v>3973</v>
      </c>
      <c r="K297" s="118" t="s">
        <v>4659</v>
      </c>
      <c r="L297" s="118" t="s">
        <v>5498</v>
      </c>
      <c r="M297" s="115" t="s">
        <v>5499</v>
      </c>
      <c r="N297" s="115" t="s">
        <v>3973</v>
      </c>
      <c r="O297" s="115" t="s">
        <v>4480</v>
      </c>
      <c r="P297" s="113">
        <v>600</v>
      </c>
      <c r="Q297" s="113">
        <v>75</v>
      </c>
      <c r="R297" s="113">
        <v>90</v>
      </c>
      <c r="S297" s="113">
        <v>90</v>
      </c>
      <c r="T297" s="120">
        <v>140</v>
      </c>
      <c r="U297" s="113">
        <v>90</v>
      </c>
      <c r="V297" s="113">
        <v>115</v>
      </c>
      <c r="W297" s="129"/>
      <c r="X297" s="129"/>
      <c r="Y297" s="5"/>
      <c r="Z297" s="5"/>
      <c r="AA297" s="5"/>
      <c r="AB297" s="5"/>
      <c r="AC297" s="5"/>
      <c r="AD297" s="5"/>
      <c r="AE297" s="5"/>
    </row>
    <row r="298" spans="1:34" customFormat="1">
      <c r="A298" s="113">
        <v>230</v>
      </c>
      <c r="B298" s="113" t="s">
        <v>257</v>
      </c>
      <c r="C298" s="120" t="s">
        <v>5501</v>
      </c>
      <c r="D298" s="124">
        <v>0.5</v>
      </c>
      <c r="E298" s="124">
        <v>0.5</v>
      </c>
      <c r="F298" s="113" t="s">
        <v>23</v>
      </c>
      <c r="G298" s="113" t="s">
        <v>1974</v>
      </c>
      <c r="H298" s="113" t="s">
        <v>25</v>
      </c>
      <c r="I298" s="113" t="s">
        <v>23</v>
      </c>
      <c r="J298" s="118" t="s">
        <v>2129</v>
      </c>
      <c r="K298" s="118" t="s">
        <v>4658</v>
      </c>
      <c r="L298" s="118" t="s">
        <v>5365</v>
      </c>
      <c r="M298" s="115" t="s">
        <v>5366</v>
      </c>
      <c r="N298" s="115" t="s">
        <v>6399</v>
      </c>
      <c r="O298" s="115" t="s">
        <v>2130</v>
      </c>
      <c r="P298" s="113">
        <v>540</v>
      </c>
      <c r="Q298" s="113">
        <v>75</v>
      </c>
      <c r="R298" s="113">
        <v>95</v>
      </c>
      <c r="S298" s="113">
        <v>95</v>
      </c>
      <c r="T298" s="120">
        <v>95</v>
      </c>
      <c r="U298" s="113">
        <v>95</v>
      </c>
      <c r="V298" s="113">
        <v>85</v>
      </c>
      <c r="W298" s="129"/>
      <c r="X298" s="129"/>
      <c r="Y298" s="5"/>
      <c r="Z298" s="5"/>
      <c r="AA298" s="5"/>
      <c r="AB298" s="5"/>
      <c r="AC298" s="5"/>
      <c r="AD298" s="5"/>
      <c r="AE298" s="5"/>
    </row>
    <row r="299" spans="1:34" customFormat="1">
      <c r="A299" s="113">
        <v>231</v>
      </c>
      <c r="B299" s="113" t="s">
        <v>258</v>
      </c>
      <c r="C299" s="120" t="s">
        <v>5502</v>
      </c>
      <c r="D299" s="124">
        <v>0.5</v>
      </c>
      <c r="E299" s="124">
        <v>0.5</v>
      </c>
      <c r="F299" s="113" t="s">
        <v>2332</v>
      </c>
      <c r="G299" s="113" t="s">
        <v>1974</v>
      </c>
      <c r="H299" s="113" t="s">
        <v>49</v>
      </c>
      <c r="I299" s="113" t="s">
        <v>1109</v>
      </c>
      <c r="J299" s="118" t="s">
        <v>2129</v>
      </c>
      <c r="K299" s="118" t="s">
        <v>4657</v>
      </c>
      <c r="L299" s="118" t="s">
        <v>5502</v>
      </c>
      <c r="M299" s="115" t="s">
        <v>1109</v>
      </c>
      <c r="N299" s="115" t="s">
        <v>2129</v>
      </c>
      <c r="O299" s="115" t="s">
        <v>1109</v>
      </c>
      <c r="P299" s="113">
        <v>330</v>
      </c>
      <c r="Q299" s="113">
        <v>90</v>
      </c>
      <c r="R299" s="113">
        <v>60</v>
      </c>
      <c r="S299" s="113">
        <v>60</v>
      </c>
      <c r="T299" s="120">
        <v>40</v>
      </c>
      <c r="U299" s="113">
        <v>40</v>
      </c>
      <c r="V299" s="113">
        <v>40</v>
      </c>
      <c r="W299" s="129"/>
      <c r="X299" s="129"/>
      <c r="Y299" s="5"/>
      <c r="Z299" s="5"/>
      <c r="AA299" s="5"/>
      <c r="AB299" s="5"/>
      <c r="AC299" s="5"/>
      <c r="AD299" s="5"/>
      <c r="AE299" s="5"/>
    </row>
    <row r="300" spans="1:34" customFormat="1">
      <c r="A300" s="113">
        <v>232</v>
      </c>
      <c r="B300" s="113" t="s">
        <v>259</v>
      </c>
      <c r="C300" s="120" t="s">
        <v>5503</v>
      </c>
      <c r="D300" s="124">
        <v>0.5</v>
      </c>
      <c r="E300" s="124">
        <v>0.5</v>
      </c>
      <c r="F300" s="113" t="s">
        <v>2332</v>
      </c>
      <c r="G300" s="113" t="s">
        <v>1974</v>
      </c>
      <c r="H300" s="113" t="s">
        <v>49</v>
      </c>
      <c r="I300" s="113" t="s">
        <v>1109</v>
      </c>
      <c r="J300" s="118" t="s">
        <v>2129</v>
      </c>
      <c r="K300" s="118" t="s">
        <v>4657</v>
      </c>
      <c r="L300" s="118" t="s">
        <v>5502</v>
      </c>
      <c r="M300" s="115" t="s">
        <v>5502</v>
      </c>
      <c r="N300" s="115" t="s">
        <v>6399</v>
      </c>
      <c r="O300" s="115" t="s">
        <v>2128</v>
      </c>
      <c r="P300" s="113">
        <v>500</v>
      </c>
      <c r="Q300" s="113">
        <v>90</v>
      </c>
      <c r="R300" s="113">
        <v>120</v>
      </c>
      <c r="S300" s="113">
        <v>120</v>
      </c>
      <c r="T300" s="120">
        <v>60</v>
      </c>
      <c r="U300" s="113">
        <v>60</v>
      </c>
      <c r="V300" s="113">
        <v>50</v>
      </c>
      <c r="W300" s="129"/>
      <c r="X300" s="129"/>
      <c r="Y300" s="5"/>
      <c r="Z300" s="5"/>
      <c r="AA300" s="5"/>
      <c r="AB300" s="5"/>
      <c r="AC300" s="5"/>
      <c r="AD300" s="5"/>
      <c r="AE300" s="5"/>
    </row>
    <row r="301" spans="1:34" customFormat="1">
      <c r="A301" s="113">
        <v>233</v>
      </c>
      <c r="B301" s="113" t="s">
        <v>260</v>
      </c>
      <c r="C301" s="120" t="s">
        <v>5504</v>
      </c>
      <c r="D301" s="124" t="s">
        <v>1109</v>
      </c>
      <c r="E301" s="124" t="s">
        <v>1109</v>
      </c>
      <c r="F301" s="113" t="s">
        <v>2112</v>
      </c>
      <c r="G301" s="113" t="s">
        <v>1974</v>
      </c>
      <c r="H301" s="113" t="s">
        <v>36</v>
      </c>
      <c r="I301" s="113" t="s">
        <v>1109</v>
      </c>
      <c r="J301" s="118" t="s">
        <v>2129</v>
      </c>
      <c r="K301" s="118" t="s">
        <v>4657</v>
      </c>
      <c r="L301" s="118" t="s">
        <v>5391</v>
      </c>
      <c r="M301" s="115" t="s">
        <v>5391</v>
      </c>
      <c r="N301" s="115" t="s">
        <v>6398</v>
      </c>
      <c r="O301" s="115" t="s">
        <v>2130</v>
      </c>
      <c r="P301" s="113">
        <v>515</v>
      </c>
      <c r="Q301" s="113">
        <v>85</v>
      </c>
      <c r="R301" s="113">
        <v>80</v>
      </c>
      <c r="S301" s="113">
        <v>90</v>
      </c>
      <c r="T301" s="120">
        <v>105</v>
      </c>
      <c r="U301" s="113">
        <v>95</v>
      </c>
      <c r="V301" s="113">
        <v>60</v>
      </c>
      <c r="W301" s="129"/>
      <c r="X301" s="129"/>
      <c r="Y301" s="5"/>
      <c r="Z301" s="5"/>
      <c r="AA301" s="5"/>
      <c r="AB301" s="5"/>
      <c r="AC301" s="5"/>
      <c r="AD301" s="5"/>
      <c r="AE301" s="5"/>
      <c r="AH301" s="5"/>
    </row>
    <row r="302" spans="1:34" customFormat="1">
      <c r="A302" s="113">
        <v>234</v>
      </c>
      <c r="B302" s="113" t="s">
        <v>261</v>
      </c>
      <c r="C302" s="120" t="s">
        <v>5505</v>
      </c>
      <c r="D302" s="124">
        <v>0.5</v>
      </c>
      <c r="E302" s="124">
        <v>0.5</v>
      </c>
      <c r="F302" s="113" t="s">
        <v>2332</v>
      </c>
      <c r="G302" s="113" t="s">
        <v>1974</v>
      </c>
      <c r="H302" s="113" t="s">
        <v>36</v>
      </c>
      <c r="I302" s="113" t="s">
        <v>1109</v>
      </c>
      <c r="J302" s="118" t="s">
        <v>2129</v>
      </c>
      <c r="K302" s="118" t="s">
        <v>4657</v>
      </c>
      <c r="L302" s="118" t="s">
        <v>5505</v>
      </c>
      <c r="M302" s="115" t="s">
        <v>1109</v>
      </c>
      <c r="N302" s="115" t="s">
        <v>2129</v>
      </c>
      <c r="O302" s="115" t="s">
        <v>1109</v>
      </c>
      <c r="P302" s="113">
        <v>465</v>
      </c>
      <c r="Q302" s="113">
        <v>73</v>
      </c>
      <c r="R302" s="113">
        <v>95</v>
      </c>
      <c r="S302" s="113">
        <v>62</v>
      </c>
      <c r="T302" s="120">
        <v>85</v>
      </c>
      <c r="U302" s="113">
        <v>65</v>
      </c>
      <c r="V302" s="113">
        <v>85</v>
      </c>
      <c r="W302" s="129"/>
      <c r="X302" s="129"/>
      <c r="Y302" s="5"/>
      <c r="Z302" s="5"/>
      <c r="AA302" s="5"/>
      <c r="AB302" s="5"/>
      <c r="AC302" s="5"/>
      <c r="AD302" s="5"/>
      <c r="AE302" s="5"/>
    </row>
    <row r="303" spans="1:34" customFormat="1">
      <c r="A303" s="113">
        <v>235</v>
      </c>
      <c r="B303" s="113" t="s">
        <v>262</v>
      </c>
      <c r="C303" s="120" t="s">
        <v>5506</v>
      </c>
      <c r="D303" s="124">
        <v>0.5</v>
      </c>
      <c r="E303" s="124">
        <v>0.5</v>
      </c>
      <c r="F303" s="113" t="s">
        <v>2332</v>
      </c>
      <c r="G303" s="113" t="s">
        <v>1974</v>
      </c>
      <c r="H303" s="113" t="s">
        <v>36</v>
      </c>
      <c r="I303" s="113" t="s">
        <v>1109</v>
      </c>
      <c r="J303" s="118" t="s">
        <v>2129</v>
      </c>
      <c r="K303" s="118" t="s">
        <v>4657</v>
      </c>
      <c r="L303" s="118" t="s">
        <v>5506</v>
      </c>
      <c r="M303" s="115" t="s">
        <v>1109</v>
      </c>
      <c r="N303" s="115" t="s">
        <v>6399</v>
      </c>
      <c r="O303" s="115" t="s">
        <v>1109</v>
      </c>
      <c r="P303" s="113">
        <v>250</v>
      </c>
      <c r="Q303" s="113">
        <v>55</v>
      </c>
      <c r="R303" s="113">
        <v>20</v>
      </c>
      <c r="S303" s="113">
        <v>35</v>
      </c>
      <c r="T303" s="120">
        <v>20</v>
      </c>
      <c r="U303" s="113">
        <v>45</v>
      </c>
      <c r="V303" s="113">
        <v>75</v>
      </c>
      <c r="W303" s="129"/>
      <c r="X303" s="129"/>
      <c r="Y303" s="5"/>
      <c r="Z303" s="5"/>
      <c r="AA303" s="5"/>
      <c r="AB303" s="5"/>
      <c r="AC303" s="5"/>
      <c r="AD303" s="5"/>
      <c r="AE303" s="5"/>
    </row>
    <row r="304" spans="1:34" customFormat="1">
      <c r="A304" s="113">
        <v>236</v>
      </c>
      <c r="B304" s="113" t="s">
        <v>263</v>
      </c>
      <c r="C304" s="120" t="s">
        <v>5507</v>
      </c>
      <c r="D304" s="124">
        <v>1</v>
      </c>
      <c r="E304" s="124">
        <v>0</v>
      </c>
      <c r="F304" s="113" t="s">
        <v>2333</v>
      </c>
      <c r="G304" s="113" t="s">
        <v>1974</v>
      </c>
      <c r="H304" s="113" t="s">
        <v>78</v>
      </c>
      <c r="I304" s="113" t="s">
        <v>1109</v>
      </c>
      <c r="J304" s="118" t="s">
        <v>2129</v>
      </c>
      <c r="K304" s="118" t="s">
        <v>4657</v>
      </c>
      <c r="L304" s="118" t="s">
        <v>5507</v>
      </c>
      <c r="M304" s="115" t="s">
        <v>1109</v>
      </c>
      <c r="N304" s="115" t="s">
        <v>2129</v>
      </c>
      <c r="O304" s="115" t="s">
        <v>1109</v>
      </c>
      <c r="P304" s="113">
        <v>210</v>
      </c>
      <c r="Q304" s="113">
        <v>35</v>
      </c>
      <c r="R304" s="113">
        <v>35</v>
      </c>
      <c r="S304" s="113">
        <v>35</v>
      </c>
      <c r="T304" s="120">
        <v>35</v>
      </c>
      <c r="U304" s="113">
        <v>35</v>
      </c>
      <c r="V304" s="113">
        <v>35</v>
      </c>
      <c r="W304" s="129"/>
      <c r="X304" s="129"/>
      <c r="Y304" s="5"/>
      <c r="Z304" s="5"/>
      <c r="AA304" s="5"/>
      <c r="AB304" s="5"/>
      <c r="AC304" s="5"/>
      <c r="AD304" s="5"/>
      <c r="AE304" s="5"/>
    </row>
    <row r="305" spans="1:33" customFormat="1">
      <c r="A305" s="113">
        <v>237</v>
      </c>
      <c r="B305" s="113" t="s">
        <v>264</v>
      </c>
      <c r="C305" s="120" t="s">
        <v>5508</v>
      </c>
      <c r="D305" s="124">
        <v>1</v>
      </c>
      <c r="E305" s="124">
        <v>0</v>
      </c>
      <c r="F305" s="113" t="s">
        <v>2334</v>
      </c>
      <c r="G305" s="113" t="s">
        <v>1974</v>
      </c>
      <c r="H305" s="113" t="s">
        <v>78</v>
      </c>
      <c r="I305" s="113" t="s">
        <v>1109</v>
      </c>
      <c r="J305" s="118" t="s">
        <v>2129</v>
      </c>
      <c r="K305" s="118" t="s">
        <v>4657</v>
      </c>
      <c r="L305" s="118" t="s">
        <v>5507</v>
      </c>
      <c r="M305" s="115" t="s">
        <v>5507</v>
      </c>
      <c r="N305" s="115" t="s">
        <v>6399</v>
      </c>
      <c r="O305" s="115" t="s">
        <v>2128</v>
      </c>
      <c r="P305" s="113">
        <v>455</v>
      </c>
      <c r="Q305" s="113">
        <v>50</v>
      </c>
      <c r="R305" s="113">
        <v>95</v>
      </c>
      <c r="S305" s="113">
        <v>95</v>
      </c>
      <c r="T305" s="120">
        <v>35</v>
      </c>
      <c r="U305" s="113">
        <v>110</v>
      </c>
      <c r="V305" s="113">
        <v>70</v>
      </c>
      <c r="W305" s="129"/>
      <c r="X305" s="129"/>
      <c r="Y305" s="5"/>
      <c r="Z305" s="5"/>
      <c r="AA305" s="5"/>
      <c r="AB305" s="5"/>
      <c r="AC305" s="5"/>
      <c r="AD305" s="5"/>
      <c r="AE305" s="5"/>
      <c r="AG305" s="5"/>
    </row>
    <row r="306" spans="1:33" customFormat="1">
      <c r="A306" s="113">
        <v>238</v>
      </c>
      <c r="B306" s="113" t="s">
        <v>265</v>
      </c>
      <c r="C306" s="120" t="s">
        <v>5509</v>
      </c>
      <c r="D306" s="124">
        <v>0</v>
      </c>
      <c r="E306" s="124">
        <v>1</v>
      </c>
      <c r="F306" s="113" t="s">
        <v>2333</v>
      </c>
      <c r="G306" s="113" t="s">
        <v>1974</v>
      </c>
      <c r="H306" s="113" t="s">
        <v>113</v>
      </c>
      <c r="I306" s="113" t="s">
        <v>86</v>
      </c>
      <c r="J306" s="118" t="s">
        <v>2129</v>
      </c>
      <c r="K306" s="118" t="s">
        <v>4657</v>
      </c>
      <c r="L306" s="118" t="s">
        <v>5509</v>
      </c>
      <c r="M306" s="115" t="s">
        <v>1109</v>
      </c>
      <c r="N306" s="115" t="s">
        <v>2129</v>
      </c>
      <c r="O306" s="115" t="s">
        <v>1109</v>
      </c>
      <c r="P306" s="113">
        <v>305</v>
      </c>
      <c r="Q306" s="113">
        <v>45</v>
      </c>
      <c r="R306" s="113">
        <v>30</v>
      </c>
      <c r="S306" s="113">
        <v>15</v>
      </c>
      <c r="T306" s="120">
        <v>85</v>
      </c>
      <c r="U306" s="113">
        <v>65</v>
      </c>
      <c r="V306" s="113">
        <v>65</v>
      </c>
      <c r="W306" s="129"/>
      <c r="X306" s="129"/>
      <c r="Y306" s="5"/>
      <c r="Z306" s="5"/>
      <c r="AA306" s="5"/>
      <c r="AB306" s="5"/>
      <c r="AC306" s="5"/>
      <c r="AD306" s="5"/>
      <c r="AE306" s="5"/>
    </row>
    <row r="307" spans="1:33" customFormat="1">
      <c r="A307" s="113">
        <v>239</v>
      </c>
      <c r="B307" s="113" t="s">
        <v>266</v>
      </c>
      <c r="C307" s="120" t="s">
        <v>5510</v>
      </c>
      <c r="D307" s="124">
        <v>0.75</v>
      </c>
      <c r="E307" s="124">
        <v>0.25</v>
      </c>
      <c r="F307" s="113" t="s">
        <v>2333</v>
      </c>
      <c r="G307" s="113" t="s">
        <v>1974</v>
      </c>
      <c r="H307" s="113" t="s">
        <v>46</v>
      </c>
      <c r="I307" s="113" t="s">
        <v>1109</v>
      </c>
      <c r="J307" s="118" t="s">
        <v>2129</v>
      </c>
      <c r="K307" s="118" t="s">
        <v>4657</v>
      </c>
      <c r="L307" s="118" t="s">
        <v>5510</v>
      </c>
      <c r="M307" s="115" t="s">
        <v>1109</v>
      </c>
      <c r="N307" s="115" t="s">
        <v>2129</v>
      </c>
      <c r="O307" s="115" t="s">
        <v>1109</v>
      </c>
      <c r="P307" s="113">
        <v>360</v>
      </c>
      <c r="Q307" s="113">
        <v>45</v>
      </c>
      <c r="R307" s="113">
        <v>63</v>
      </c>
      <c r="S307" s="113">
        <v>37</v>
      </c>
      <c r="T307" s="120">
        <v>65</v>
      </c>
      <c r="U307" s="113">
        <v>55</v>
      </c>
      <c r="V307" s="113">
        <v>95</v>
      </c>
      <c r="W307" s="129"/>
      <c r="X307" s="129"/>
      <c r="Y307" s="5"/>
      <c r="Z307" s="5"/>
      <c r="AA307" s="5"/>
      <c r="AB307" s="5"/>
      <c r="AC307" s="5"/>
      <c r="AD307" s="5"/>
      <c r="AE307" s="5"/>
      <c r="AG307" s="5"/>
    </row>
    <row r="308" spans="1:33" customFormat="1">
      <c r="A308" s="113">
        <v>240</v>
      </c>
      <c r="B308" s="113" t="s">
        <v>267</v>
      </c>
      <c r="C308" s="120" t="s">
        <v>5511</v>
      </c>
      <c r="D308" s="124">
        <v>0.75</v>
      </c>
      <c r="E308" s="124">
        <v>0.25</v>
      </c>
      <c r="F308" s="113" t="s">
        <v>2333</v>
      </c>
      <c r="G308" s="113" t="s">
        <v>1974</v>
      </c>
      <c r="H308" s="113" t="s">
        <v>19</v>
      </c>
      <c r="I308" s="113" t="s">
        <v>1109</v>
      </c>
      <c r="J308" s="118" t="s">
        <v>2129</v>
      </c>
      <c r="K308" s="118" t="s">
        <v>4657</v>
      </c>
      <c r="L308" s="118" t="s">
        <v>5511</v>
      </c>
      <c r="M308" s="115" t="s">
        <v>1109</v>
      </c>
      <c r="N308" s="115" t="s">
        <v>2129</v>
      </c>
      <c r="O308" s="115" t="s">
        <v>1109</v>
      </c>
      <c r="P308" s="113">
        <v>365</v>
      </c>
      <c r="Q308" s="113">
        <v>45</v>
      </c>
      <c r="R308" s="113">
        <v>75</v>
      </c>
      <c r="S308" s="113">
        <v>37</v>
      </c>
      <c r="T308" s="120">
        <v>70</v>
      </c>
      <c r="U308" s="113">
        <v>55</v>
      </c>
      <c r="V308" s="113">
        <v>83</v>
      </c>
      <c r="W308" s="129"/>
      <c r="X308" s="129"/>
      <c r="Y308" s="5"/>
      <c r="Z308" s="5"/>
      <c r="AA308" s="5"/>
      <c r="AB308" s="5"/>
      <c r="AC308" s="5"/>
      <c r="AD308" s="5"/>
      <c r="AE308" s="5"/>
    </row>
    <row r="309" spans="1:33" customFormat="1">
      <c r="A309" s="113">
        <v>241</v>
      </c>
      <c r="B309" s="113" t="s">
        <v>268</v>
      </c>
      <c r="C309" s="120" t="s">
        <v>5512</v>
      </c>
      <c r="D309" s="124">
        <v>0</v>
      </c>
      <c r="E309" s="124">
        <v>1</v>
      </c>
      <c r="F309" s="113" t="s">
        <v>2332</v>
      </c>
      <c r="G309" s="113" t="s">
        <v>1974</v>
      </c>
      <c r="H309" s="113" t="s">
        <v>36</v>
      </c>
      <c r="I309" s="113" t="s">
        <v>1109</v>
      </c>
      <c r="J309" s="118" t="s">
        <v>2129</v>
      </c>
      <c r="K309" s="118" t="s">
        <v>4657</v>
      </c>
      <c r="L309" s="118" t="s">
        <v>5512</v>
      </c>
      <c r="M309" s="115" t="s">
        <v>1109</v>
      </c>
      <c r="N309" s="115" t="s">
        <v>6399</v>
      </c>
      <c r="O309" s="115" t="s">
        <v>1109</v>
      </c>
      <c r="P309" s="113">
        <v>490</v>
      </c>
      <c r="Q309" s="113">
        <v>95</v>
      </c>
      <c r="R309" s="113">
        <v>80</v>
      </c>
      <c r="S309" s="113">
        <v>105</v>
      </c>
      <c r="T309" s="120">
        <v>40</v>
      </c>
      <c r="U309" s="113">
        <v>70</v>
      </c>
      <c r="V309" s="113">
        <v>100</v>
      </c>
      <c r="W309" s="129"/>
      <c r="X309" s="129"/>
      <c r="Y309" s="5"/>
      <c r="Z309" s="5"/>
      <c r="AA309" s="5"/>
      <c r="AB309" s="5"/>
      <c r="AC309" s="5"/>
      <c r="AD309" s="5"/>
      <c r="AE309" s="5"/>
    </row>
    <row r="310" spans="1:33" customFormat="1">
      <c r="A310" s="113">
        <v>242</v>
      </c>
      <c r="B310" s="113" t="s">
        <v>269</v>
      </c>
      <c r="C310" s="120" t="s">
        <v>5513</v>
      </c>
      <c r="D310" s="124">
        <v>0</v>
      </c>
      <c r="E310" s="124">
        <v>1</v>
      </c>
      <c r="F310" s="113" t="s">
        <v>56</v>
      </c>
      <c r="G310" s="113" t="s">
        <v>1974</v>
      </c>
      <c r="H310" s="113" t="s">
        <v>36</v>
      </c>
      <c r="I310" s="113" t="s">
        <v>1109</v>
      </c>
      <c r="J310" s="118" t="s">
        <v>2129</v>
      </c>
      <c r="K310" s="118" t="s">
        <v>4657</v>
      </c>
      <c r="L310" s="118" t="s">
        <v>5742</v>
      </c>
      <c r="M310" s="115" t="s">
        <v>5361</v>
      </c>
      <c r="N310" s="115" t="s">
        <v>6399</v>
      </c>
      <c r="O310" s="115" t="s">
        <v>2128</v>
      </c>
      <c r="P310" s="113">
        <v>540</v>
      </c>
      <c r="Q310" s="113">
        <v>255</v>
      </c>
      <c r="R310" s="113">
        <v>10</v>
      </c>
      <c r="S310" s="113">
        <v>10</v>
      </c>
      <c r="T310" s="120">
        <v>75</v>
      </c>
      <c r="U310" s="113">
        <v>135</v>
      </c>
      <c r="V310" s="113">
        <v>55</v>
      </c>
      <c r="W310" s="129"/>
      <c r="X310" s="129"/>
      <c r="Y310" s="5"/>
      <c r="Z310" s="5"/>
      <c r="AA310" s="5"/>
      <c r="AB310" s="5"/>
      <c r="AC310" s="5"/>
      <c r="AD310" s="5"/>
      <c r="AE310" s="5"/>
    </row>
    <row r="311" spans="1:33" customFormat="1">
      <c r="A311" s="113">
        <v>243</v>
      </c>
      <c r="B311" s="113" t="s">
        <v>270</v>
      </c>
      <c r="C311" s="120" t="s">
        <v>5514</v>
      </c>
      <c r="D311" s="124" t="s">
        <v>1109</v>
      </c>
      <c r="E311" s="124" t="s">
        <v>1109</v>
      </c>
      <c r="F311" s="113" t="s">
        <v>2333</v>
      </c>
      <c r="G311" s="113" t="s">
        <v>1974</v>
      </c>
      <c r="H311" s="113" t="s">
        <v>46</v>
      </c>
      <c r="I311" s="113" t="s">
        <v>1109</v>
      </c>
      <c r="J311" s="118" t="s">
        <v>12</v>
      </c>
      <c r="K311" s="118" t="s">
        <v>12</v>
      </c>
      <c r="L311" s="118" t="s">
        <v>5514</v>
      </c>
      <c r="M311" s="115" t="s">
        <v>1109</v>
      </c>
      <c r="N311" s="115" t="s">
        <v>6399</v>
      </c>
      <c r="O311" s="115" t="s">
        <v>1109</v>
      </c>
      <c r="P311" s="113">
        <v>580</v>
      </c>
      <c r="Q311" s="113">
        <v>90</v>
      </c>
      <c r="R311" s="113">
        <v>85</v>
      </c>
      <c r="S311" s="113">
        <v>75</v>
      </c>
      <c r="T311" s="120">
        <v>115</v>
      </c>
      <c r="U311" s="113">
        <v>100</v>
      </c>
      <c r="V311" s="113">
        <v>115</v>
      </c>
      <c r="W311" s="129"/>
      <c r="X311" s="129"/>
      <c r="Y311" s="5"/>
      <c r="Z311" s="5"/>
      <c r="AA311" s="5"/>
      <c r="AB311" s="5"/>
      <c r="AC311" s="5"/>
      <c r="AD311" s="5"/>
      <c r="AE311" s="5"/>
    </row>
    <row r="312" spans="1:33" customFormat="1">
      <c r="A312" s="113">
        <v>244</v>
      </c>
      <c r="B312" s="113" t="s">
        <v>271</v>
      </c>
      <c r="C312" s="120" t="s">
        <v>5515</v>
      </c>
      <c r="D312" s="124" t="s">
        <v>1109</v>
      </c>
      <c r="E312" s="124" t="s">
        <v>1109</v>
      </c>
      <c r="F312" s="113" t="s">
        <v>2333</v>
      </c>
      <c r="G312" s="113" t="s">
        <v>1974</v>
      </c>
      <c r="H312" s="113" t="s">
        <v>19</v>
      </c>
      <c r="I312" s="113" t="s">
        <v>1109</v>
      </c>
      <c r="J312" s="118" t="s">
        <v>12</v>
      </c>
      <c r="K312" s="118" t="s">
        <v>12</v>
      </c>
      <c r="L312" s="118" t="s">
        <v>5515</v>
      </c>
      <c r="M312" s="115" t="s">
        <v>1109</v>
      </c>
      <c r="N312" s="115" t="s">
        <v>6399</v>
      </c>
      <c r="O312" s="115" t="s">
        <v>1109</v>
      </c>
      <c r="P312" s="113">
        <v>580</v>
      </c>
      <c r="Q312" s="113">
        <v>115</v>
      </c>
      <c r="R312" s="113">
        <v>115</v>
      </c>
      <c r="S312" s="113">
        <v>85</v>
      </c>
      <c r="T312" s="120">
        <v>90</v>
      </c>
      <c r="U312" s="113">
        <v>75</v>
      </c>
      <c r="V312" s="113">
        <v>100</v>
      </c>
      <c r="W312" s="129"/>
      <c r="X312" s="129"/>
      <c r="Y312" s="5"/>
      <c r="Z312" s="5"/>
      <c r="AA312" s="5"/>
      <c r="AB312" s="5"/>
      <c r="AC312" s="5"/>
      <c r="AD312" s="5"/>
      <c r="AE312" s="5"/>
    </row>
    <row r="313" spans="1:33" customFormat="1">
      <c r="A313" s="113">
        <v>245</v>
      </c>
      <c r="B313" s="113" t="s">
        <v>272</v>
      </c>
      <c r="C313" s="120" t="s">
        <v>5516</v>
      </c>
      <c r="D313" s="124" t="s">
        <v>1109</v>
      </c>
      <c r="E313" s="124" t="s">
        <v>1109</v>
      </c>
      <c r="F313" s="113" t="s">
        <v>2333</v>
      </c>
      <c r="G313" s="113" t="s">
        <v>1974</v>
      </c>
      <c r="H313" s="113" t="s">
        <v>25</v>
      </c>
      <c r="I313" s="113" t="s">
        <v>1109</v>
      </c>
      <c r="J313" s="118" t="s">
        <v>12</v>
      </c>
      <c r="K313" s="118" t="s">
        <v>12</v>
      </c>
      <c r="L313" s="118" t="s">
        <v>5516</v>
      </c>
      <c r="M313" s="115" t="s">
        <v>1109</v>
      </c>
      <c r="N313" s="115" t="s">
        <v>6399</v>
      </c>
      <c r="O313" s="115" t="s">
        <v>1109</v>
      </c>
      <c r="P313" s="113">
        <v>580</v>
      </c>
      <c r="Q313" s="113">
        <v>100</v>
      </c>
      <c r="R313" s="113">
        <v>75</v>
      </c>
      <c r="S313" s="113">
        <v>115</v>
      </c>
      <c r="T313" s="120">
        <v>90</v>
      </c>
      <c r="U313" s="113">
        <v>115</v>
      </c>
      <c r="V313" s="113">
        <v>85</v>
      </c>
      <c r="W313" s="129"/>
      <c r="X313" s="129"/>
      <c r="Y313" s="5"/>
      <c r="Z313" s="5"/>
      <c r="AA313" s="5"/>
      <c r="AB313" s="5"/>
      <c r="AC313" s="5"/>
      <c r="AD313" s="5"/>
      <c r="AE313" s="5"/>
    </row>
    <row r="314" spans="1:33" customFormat="1">
      <c r="A314" s="113">
        <v>246</v>
      </c>
      <c r="B314" s="113" t="s">
        <v>273</v>
      </c>
      <c r="C314" s="120" t="s">
        <v>5517</v>
      </c>
      <c r="D314" s="124">
        <v>0.5</v>
      </c>
      <c r="E314" s="124">
        <v>0.5</v>
      </c>
      <c r="F314" s="113" t="s">
        <v>2330</v>
      </c>
      <c r="G314" s="113" t="s">
        <v>1974</v>
      </c>
      <c r="H314" s="113" t="s">
        <v>98</v>
      </c>
      <c r="I314" s="113" t="s">
        <v>49</v>
      </c>
      <c r="J314" s="118" t="s">
        <v>2129</v>
      </c>
      <c r="K314" s="118" t="s">
        <v>4657</v>
      </c>
      <c r="L314" s="118" t="s">
        <v>5517</v>
      </c>
      <c r="M314" s="115" t="s">
        <v>1109</v>
      </c>
      <c r="N314" s="115" t="s">
        <v>2129</v>
      </c>
      <c r="O314" s="115" t="s">
        <v>1109</v>
      </c>
      <c r="P314" s="113">
        <v>300</v>
      </c>
      <c r="Q314" s="113">
        <v>50</v>
      </c>
      <c r="R314" s="113">
        <v>64</v>
      </c>
      <c r="S314" s="113">
        <v>50</v>
      </c>
      <c r="T314" s="120">
        <v>45</v>
      </c>
      <c r="U314" s="113">
        <v>50</v>
      </c>
      <c r="V314" s="113">
        <v>41</v>
      </c>
      <c r="W314" s="129"/>
      <c r="X314" s="129"/>
      <c r="Y314" s="5"/>
      <c r="Z314" s="5"/>
      <c r="AA314" s="5"/>
      <c r="AB314" s="5"/>
      <c r="AC314" s="5"/>
      <c r="AD314" s="5"/>
      <c r="AE314" s="5"/>
    </row>
    <row r="315" spans="1:33" customFormat="1">
      <c r="A315" s="113">
        <v>247</v>
      </c>
      <c r="B315" s="113" t="s">
        <v>274</v>
      </c>
      <c r="C315" s="120" t="s">
        <v>5518</v>
      </c>
      <c r="D315" s="124">
        <v>0.5</v>
      </c>
      <c r="E315" s="124">
        <v>0.5</v>
      </c>
      <c r="F315" s="113" t="s">
        <v>2330</v>
      </c>
      <c r="G315" s="113" t="s">
        <v>1974</v>
      </c>
      <c r="H315" s="113" t="s">
        <v>98</v>
      </c>
      <c r="I315" s="113" t="s">
        <v>49</v>
      </c>
      <c r="J315" s="118" t="s">
        <v>2129</v>
      </c>
      <c r="K315" s="118" t="s">
        <v>4657</v>
      </c>
      <c r="L315" s="118" t="s">
        <v>5517</v>
      </c>
      <c r="M315" s="115" t="s">
        <v>5517</v>
      </c>
      <c r="N315" s="115" t="s">
        <v>6398</v>
      </c>
      <c r="O315" s="115" t="s">
        <v>2128</v>
      </c>
      <c r="P315" s="113">
        <v>410</v>
      </c>
      <c r="Q315" s="113">
        <v>70</v>
      </c>
      <c r="R315" s="113">
        <v>84</v>
      </c>
      <c r="S315" s="113">
        <v>70</v>
      </c>
      <c r="T315" s="120">
        <v>65</v>
      </c>
      <c r="U315" s="113">
        <v>70</v>
      </c>
      <c r="V315" s="113">
        <v>51</v>
      </c>
      <c r="W315" s="129"/>
      <c r="X315" s="129"/>
      <c r="Y315" s="5"/>
      <c r="Z315" s="5"/>
      <c r="AA315" s="5"/>
      <c r="AB315" s="5"/>
      <c r="AC315" s="5"/>
      <c r="AD315" s="5"/>
      <c r="AE315" s="5"/>
    </row>
    <row r="316" spans="1:33" customFormat="1">
      <c r="A316" s="113">
        <v>248</v>
      </c>
      <c r="B316" s="113" t="s">
        <v>275</v>
      </c>
      <c r="C316" s="120" t="s">
        <v>5519</v>
      </c>
      <c r="D316" s="124">
        <v>0.5</v>
      </c>
      <c r="E316" s="124">
        <v>0.5</v>
      </c>
      <c r="F316" s="113" t="s">
        <v>2330</v>
      </c>
      <c r="G316" s="113" t="s">
        <v>1974</v>
      </c>
      <c r="H316" s="113" t="s">
        <v>98</v>
      </c>
      <c r="I316" s="113" t="s">
        <v>158</v>
      </c>
      <c r="J316" s="118" t="s">
        <v>2129</v>
      </c>
      <c r="K316" s="118" t="s">
        <v>4657</v>
      </c>
      <c r="L316" s="118" t="s">
        <v>5517</v>
      </c>
      <c r="M316" s="115" t="s">
        <v>5518</v>
      </c>
      <c r="N316" s="115" t="s">
        <v>6399</v>
      </c>
      <c r="O316" s="115" t="s">
        <v>2128</v>
      </c>
      <c r="P316" s="113">
        <v>600</v>
      </c>
      <c r="Q316" s="113">
        <v>100</v>
      </c>
      <c r="R316" s="113">
        <v>134</v>
      </c>
      <c r="S316" s="113">
        <v>110</v>
      </c>
      <c r="T316" s="120">
        <v>95</v>
      </c>
      <c r="U316" s="113">
        <v>100</v>
      </c>
      <c r="V316" s="113">
        <v>61</v>
      </c>
      <c r="W316" s="129"/>
      <c r="X316" s="129"/>
      <c r="Y316" s="5"/>
      <c r="Z316" s="5"/>
      <c r="AA316" s="5"/>
      <c r="AB316" s="5"/>
      <c r="AC316" s="5"/>
      <c r="AD316" s="5"/>
      <c r="AE316" s="5"/>
    </row>
    <row r="317" spans="1:33" customFormat="1" hidden="1">
      <c r="A317" s="113">
        <v>248</v>
      </c>
      <c r="B317" s="113" t="s">
        <v>2897</v>
      </c>
      <c r="C317" s="120" t="s">
        <v>5520</v>
      </c>
      <c r="D317" s="124">
        <v>0.5</v>
      </c>
      <c r="E317" s="124">
        <v>0.5</v>
      </c>
      <c r="F317" s="113" t="s">
        <v>2330</v>
      </c>
      <c r="G317" s="113" t="s">
        <v>1974</v>
      </c>
      <c r="H317" s="113" t="s">
        <v>98</v>
      </c>
      <c r="I317" s="113" t="s">
        <v>158</v>
      </c>
      <c r="J317" s="118" t="s">
        <v>3973</v>
      </c>
      <c r="K317" s="118" t="s">
        <v>4659</v>
      </c>
      <c r="L317" s="118" t="s">
        <v>5517</v>
      </c>
      <c r="M317" s="115" t="s">
        <v>5519</v>
      </c>
      <c r="N317" s="115" t="s">
        <v>3973</v>
      </c>
      <c r="O317" s="115" t="s">
        <v>4480</v>
      </c>
      <c r="P317" s="113">
        <v>700</v>
      </c>
      <c r="Q317" s="113">
        <v>100</v>
      </c>
      <c r="R317" s="113">
        <v>164</v>
      </c>
      <c r="S317" s="113">
        <v>150</v>
      </c>
      <c r="T317" s="120">
        <v>95</v>
      </c>
      <c r="U317" s="113">
        <v>120</v>
      </c>
      <c r="V317" s="113">
        <v>71</v>
      </c>
      <c r="W317" s="129"/>
      <c r="X317" s="129"/>
      <c r="Y317" s="5"/>
      <c r="Z317" s="5"/>
      <c r="AA317" s="5"/>
      <c r="AB317" s="5"/>
      <c r="AC317" s="5"/>
      <c r="AD317" s="5"/>
      <c r="AE317" s="5"/>
    </row>
    <row r="318" spans="1:33" customFormat="1">
      <c r="A318" s="113">
        <v>249</v>
      </c>
      <c r="B318" s="113" t="s">
        <v>276</v>
      </c>
      <c r="C318" s="120" t="s">
        <v>5521</v>
      </c>
      <c r="D318" s="124" t="s">
        <v>1109</v>
      </c>
      <c r="E318" s="124" t="s">
        <v>1109</v>
      </c>
      <c r="F318" s="113" t="s">
        <v>2333</v>
      </c>
      <c r="G318" s="113" t="s">
        <v>1974</v>
      </c>
      <c r="H318" s="113" t="s">
        <v>86</v>
      </c>
      <c r="I318" s="113" t="s">
        <v>22</v>
      </c>
      <c r="J318" s="118" t="s">
        <v>12</v>
      </c>
      <c r="K318" s="118" t="s">
        <v>12</v>
      </c>
      <c r="L318" s="118" t="s">
        <v>5521</v>
      </c>
      <c r="M318" s="115" t="s">
        <v>1109</v>
      </c>
      <c r="N318" s="115" t="s">
        <v>6399</v>
      </c>
      <c r="O318" s="115" t="s">
        <v>1109</v>
      </c>
      <c r="P318" s="113">
        <v>680</v>
      </c>
      <c r="Q318" s="113">
        <v>106</v>
      </c>
      <c r="R318" s="113">
        <v>90</v>
      </c>
      <c r="S318" s="113">
        <v>130</v>
      </c>
      <c r="T318" s="120">
        <v>90</v>
      </c>
      <c r="U318" s="113">
        <v>154</v>
      </c>
      <c r="V318" s="113">
        <v>110</v>
      </c>
      <c r="W318" s="129"/>
      <c r="X318" s="129"/>
      <c r="Y318" s="5"/>
      <c r="Z318" s="5"/>
      <c r="AA318" s="5"/>
      <c r="AB318" s="5"/>
      <c r="AC318" s="5"/>
      <c r="AD318" s="5"/>
      <c r="AE318" s="5"/>
    </row>
    <row r="319" spans="1:33" customFormat="1">
      <c r="A319" s="113">
        <v>250</v>
      </c>
      <c r="B319" s="113" t="s">
        <v>1489</v>
      </c>
      <c r="C319" s="120" t="s">
        <v>5522</v>
      </c>
      <c r="D319" s="124" t="s">
        <v>1109</v>
      </c>
      <c r="E319" s="124" t="s">
        <v>1109</v>
      </c>
      <c r="F319" s="113" t="s">
        <v>2333</v>
      </c>
      <c r="G319" s="113" t="s">
        <v>1974</v>
      </c>
      <c r="H319" s="113" t="s">
        <v>19</v>
      </c>
      <c r="I319" s="113" t="s">
        <v>22</v>
      </c>
      <c r="J319" s="118" t="s">
        <v>12</v>
      </c>
      <c r="K319" s="118" t="s">
        <v>12</v>
      </c>
      <c r="L319" s="118" t="s">
        <v>5522</v>
      </c>
      <c r="M319" s="115" t="s">
        <v>1109</v>
      </c>
      <c r="N319" s="115" t="s">
        <v>6399</v>
      </c>
      <c r="O319" s="115" t="s">
        <v>1109</v>
      </c>
      <c r="P319" s="113">
        <v>680</v>
      </c>
      <c r="Q319" s="113">
        <v>106</v>
      </c>
      <c r="R319" s="113">
        <v>130</v>
      </c>
      <c r="S319" s="113">
        <v>90</v>
      </c>
      <c r="T319" s="120">
        <v>110</v>
      </c>
      <c r="U319" s="113">
        <v>154</v>
      </c>
      <c r="V319" s="113">
        <v>90</v>
      </c>
      <c r="W319" s="129"/>
      <c r="X319" s="129"/>
      <c r="Y319" s="5"/>
      <c r="Z319" s="5"/>
      <c r="AA319" s="5"/>
      <c r="AB319" s="5"/>
      <c r="AC319" s="5"/>
      <c r="AD319" s="5"/>
      <c r="AE319" s="5"/>
    </row>
    <row r="320" spans="1:33" customFormat="1">
      <c r="A320" s="113">
        <v>251</v>
      </c>
      <c r="B320" s="113" t="s">
        <v>278</v>
      </c>
      <c r="C320" s="120" t="s">
        <v>5523</v>
      </c>
      <c r="D320" s="124" t="s">
        <v>1109</v>
      </c>
      <c r="E320" s="124" t="s">
        <v>1109</v>
      </c>
      <c r="F320" s="113" t="s">
        <v>2333</v>
      </c>
      <c r="G320" s="113" t="s">
        <v>1974</v>
      </c>
      <c r="H320" s="113" t="s">
        <v>86</v>
      </c>
      <c r="I320" s="113" t="s">
        <v>14</v>
      </c>
      <c r="J320" s="118" t="s">
        <v>12</v>
      </c>
      <c r="K320" s="118" t="s">
        <v>12</v>
      </c>
      <c r="L320" s="118" t="s">
        <v>5523</v>
      </c>
      <c r="M320" s="115" t="s">
        <v>1109</v>
      </c>
      <c r="N320" s="115" t="s">
        <v>6399</v>
      </c>
      <c r="O320" s="115" t="s">
        <v>1109</v>
      </c>
      <c r="P320" s="113">
        <v>600</v>
      </c>
      <c r="Q320" s="113">
        <v>100</v>
      </c>
      <c r="R320" s="113">
        <v>100</v>
      </c>
      <c r="S320" s="113">
        <v>100</v>
      </c>
      <c r="T320" s="120">
        <v>100</v>
      </c>
      <c r="U320" s="113">
        <v>100</v>
      </c>
      <c r="V320" s="113">
        <v>100</v>
      </c>
      <c r="W320" s="129"/>
      <c r="X320" s="129"/>
      <c r="Y320" s="5"/>
      <c r="Z320" s="5"/>
      <c r="AA320" s="5"/>
      <c r="AB320" s="5"/>
      <c r="AC320" s="5"/>
      <c r="AD320" s="5"/>
      <c r="AE320" s="5"/>
    </row>
    <row r="321" spans="1:31" customFormat="1">
      <c r="A321" s="113">
        <v>252</v>
      </c>
      <c r="B321" s="113" t="s">
        <v>279</v>
      </c>
      <c r="C321" s="120" t="s">
        <v>5524</v>
      </c>
      <c r="D321" s="124">
        <v>0.85</v>
      </c>
      <c r="E321" s="124">
        <v>0.15</v>
      </c>
      <c r="F321" s="113" t="s">
        <v>23</v>
      </c>
      <c r="G321" s="113" t="s">
        <v>2119</v>
      </c>
      <c r="H321" s="113" t="s">
        <v>14</v>
      </c>
      <c r="I321" s="113" t="s">
        <v>1109</v>
      </c>
      <c r="J321" s="118" t="s">
        <v>792</v>
      </c>
      <c r="K321" s="118" t="s">
        <v>4657</v>
      </c>
      <c r="L321" s="118" t="s">
        <v>5524</v>
      </c>
      <c r="M321" s="115" t="s">
        <v>1109</v>
      </c>
      <c r="N321" s="115" t="s">
        <v>2129</v>
      </c>
      <c r="O321" s="115" t="s">
        <v>1109</v>
      </c>
      <c r="P321" s="113">
        <v>310</v>
      </c>
      <c r="Q321" s="113">
        <v>40</v>
      </c>
      <c r="R321" s="113">
        <v>45</v>
      </c>
      <c r="S321" s="113">
        <v>35</v>
      </c>
      <c r="T321" s="120">
        <v>65</v>
      </c>
      <c r="U321" s="113">
        <v>55</v>
      </c>
      <c r="V321" s="113">
        <v>70</v>
      </c>
      <c r="W321" s="129"/>
      <c r="X321" s="129"/>
      <c r="Y321" s="5"/>
      <c r="Z321" s="5"/>
      <c r="AA321" s="5"/>
      <c r="AB321" s="5"/>
      <c r="AC321" s="5"/>
      <c r="AD321" s="5"/>
      <c r="AE321" s="5"/>
    </row>
    <row r="322" spans="1:31" customFormat="1">
      <c r="A322" s="113">
        <v>253</v>
      </c>
      <c r="B322" s="113" t="s">
        <v>280</v>
      </c>
      <c r="C322" s="120" t="s">
        <v>5525</v>
      </c>
      <c r="D322" s="124">
        <v>0.85</v>
      </c>
      <c r="E322" s="124">
        <v>0.15</v>
      </c>
      <c r="F322" s="113" t="s">
        <v>23</v>
      </c>
      <c r="G322" s="113" t="s">
        <v>2119</v>
      </c>
      <c r="H322" s="113" t="s">
        <v>14</v>
      </c>
      <c r="I322" s="113" t="s">
        <v>1109</v>
      </c>
      <c r="J322" s="118" t="s">
        <v>792</v>
      </c>
      <c r="K322" s="118" t="s">
        <v>4657</v>
      </c>
      <c r="L322" s="118" t="s">
        <v>5524</v>
      </c>
      <c r="M322" s="115" t="s">
        <v>5524</v>
      </c>
      <c r="N322" s="115" t="s">
        <v>6398</v>
      </c>
      <c r="O322" s="115" t="s">
        <v>2128</v>
      </c>
      <c r="P322" s="113">
        <v>405</v>
      </c>
      <c r="Q322" s="113">
        <v>50</v>
      </c>
      <c r="R322" s="113">
        <v>65</v>
      </c>
      <c r="S322" s="113">
        <v>45</v>
      </c>
      <c r="T322" s="120">
        <v>85</v>
      </c>
      <c r="U322" s="113">
        <v>65</v>
      </c>
      <c r="V322" s="113">
        <v>95</v>
      </c>
      <c r="W322" s="129"/>
      <c r="X322" s="129"/>
      <c r="Y322" s="5"/>
      <c r="Z322" s="5"/>
      <c r="AA322" s="5"/>
      <c r="AB322" s="5"/>
      <c r="AC322" s="5"/>
      <c r="AD322" s="5"/>
      <c r="AE322" s="5"/>
    </row>
    <row r="323" spans="1:31" customFormat="1">
      <c r="A323" s="113">
        <v>254</v>
      </c>
      <c r="B323" s="113" t="s">
        <v>281</v>
      </c>
      <c r="C323" s="120" t="s">
        <v>5526</v>
      </c>
      <c r="D323" s="124">
        <v>0.85</v>
      </c>
      <c r="E323" s="124">
        <v>0.15</v>
      </c>
      <c r="F323" s="113" t="s">
        <v>23</v>
      </c>
      <c r="G323" s="113" t="s">
        <v>2119</v>
      </c>
      <c r="H323" s="113" t="s">
        <v>14</v>
      </c>
      <c r="I323" s="113" t="s">
        <v>1109</v>
      </c>
      <c r="J323" s="118" t="s">
        <v>792</v>
      </c>
      <c r="K323" s="118" t="s">
        <v>4657</v>
      </c>
      <c r="L323" s="118" t="s">
        <v>5524</v>
      </c>
      <c r="M323" s="115" t="s">
        <v>5525</v>
      </c>
      <c r="N323" s="115" t="s">
        <v>6399</v>
      </c>
      <c r="O323" s="115" t="s">
        <v>2128</v>
      </c>
      <c r="P323" s="113">
        <v>530</v>
      </c>
      <c r="Q323" s="113">
        <v>70</v>
      </c>
      <c r="R323" s="113">
        <v>85</v>
      </c>
      <c r="S323" s="113">
        <v>65</v>
      </c>
      <c r="T323" s="120">
        <v>105</v>
      </c>
      <c r="U323" s="113">
        <v>85</v>
      </c>
      <c r="V323" s="113">
        <v>120</v>
      </c>
      <c r="W323" s="129"/>
      <c r="X323" s="129"/>
      <c r="Y323" s="5"/>
      <c r="Z323" s="5"/>
      <c r="AA323" s="5"/>
      <c r="AB323" s="5"/>
      <c r="AC323" s="5"/>
      <c r="AD323" s="5"/>
      <c r="AE323" s="5"/>
    </row>
    <row r="324" spans="1:31" customFormat="1" hidden="1">
      <c r="A324" s="113">
        <v>254</v>
      </c>
      <c r="B324" s="113" t="s">
        <v>2899</v>
      </c>
      <c r="C324" s="120" t="s">
        <v>5527</v>
      </c>
      <c r="D324" s="124">
        <v>0.85</v>
      </c>
      <c r="E324" s="124">
        <v>0.15</v>
      </c>
      <c r="F324" s="113" t="s">
        <v>23</v>
      </c>
      <c r="G324" s="113" t="s">
        <v>2119</v>
      </c>
      <c r="H324" s="113" t="s">
        <v>14</v>
      </c>
      <c r="I324" s="113" t="s">
        <v>23</v>
      </c>
      <c r="J324" s="118" t="s">
        <v>3973</v>
      </c>
      <c r="K324" s="118" t="s">
        <v>4659</v>
      </c>
      <c r="L324" s="118" t="s">
        <v>5524</v>
      </c>
      <c r="M324" s="115" t="s">
        <v>5526</v>
      </c>
      <c r="N324" s="115" t="s">
        <v>3973</v>
      </c>
      <c r="O324" s="115" t="s">
        <v>4480</v>
      </c>
      <c r="P324" s="113">
        <v>630</v>
      </c>
      <c r="Q324" s="113">
        <v>70</v>
      </c>
      <c r="R324" s="113">
        <v>110</v>
      </c>
      <c r="S324" s="113">
        <v>75</v>
      </c>
      <c r="T324" s="120">
        <v>145</v>
      </c>
      <c r="U324" s="113">
        <v>85</v>
      </c>
      <c r="V324" s="113">
        <v>145</v>
      </c>
      <c r="W324" s="129"/>
      <c r="X324" s="129"/>
      <c r="Y324" s="5"/>
      <c r="Z324" s="5"/>
      <c r="AA324" s="5"/>
      <c r="AB324" s="5"/>
      <c r="AC324" s="5"/>
      <c r="AD324" s="5"/>
      <c r="AE324" s="5"/>
    </row>
    <row r="325" spans="1:31" customFormat="1">
      <c r="A325" s="113">
        <v>255</v>
      </c>
      <c r="B325" s="113" t="s">
        <v>282</v>
      </c>
      <c r="C325" s="120" t="s">
        <v>5528</v>
      </c>
      <c r="D325" s="124">
        <v>0.85</v>
      </c>
      <c r="E325" s="124">
        <v>0.15</v>
      </c>
      <c r="F325" s="113" t="s">
        <v>2332</v>
      </c>
      <c r="G325" s="113" t="s">
        <v>2119</v>
      </c>
      <c r="H325" s="113" t="s">
        <v>19</v>
      </c>
      <c r="I325" s="113" t="s">
        <v>1109</v>
      </c>
      <c r="J325" s="118" t="s">
        <v>792</v>
      </c>
      <c r="K325" s="118" t="s">
        <v>4657</v>
      </c>
      <c r="L325" s="118" t="s">
        <v>5528</v>
      </c>
      <c r="M325" s="115" t="s">
        <v>1109</v>
      </c>
      <c r="N325" s="115" t="s">
        <v>2129</v>
      </c>
      <c r="O325" s="115" t="s">
        <v>1109</v>
      </c>
      <c r="P325" s="113">
        <v>310</v>
      </c>
      <c r="Q325" s="113">
        <v>45</v>
      </c>
      <c r="R325" s="113">
        <v>60</v>
      </c>
      <c r="S325" s="113">
        <v>40</v>
      </c>
      <c r="T325" s="120">
        <v>70</v>
      </c>
      <c r="U325" s="113">
        <v>50</v>
      </c>
      <c r="V325" s="113">
        <v>45</v>
      </c>
      <c r="W325" s="129"/>
      <c r="X325" s="129"/>
      <c r="Y325" s="5"/>
      <c r="Z325" s="5"/>
      <c r="AA325" s="5"/>
      <c r="AB325" s="5"/>
      <c r="AC325" s="5"/>
      <c r="AD325" s="5"/>
      <c r="AE325" s="5"/>
    </row>
    <row r="326" spans="1:31" customFormat="1">
      <c r="A326" s="113">
        <v>256</v>
      </c>
      <c r="B326" s="113" t="s">
        <v>283</v>
      </c>
      <c r="C326" s="120" t="s">
        <v>5529</v>
      </c>
      <c r="D326" s="124">
        <v>0.85</v>
      </c>
      <c r="E326" s="124">
        <v>0.15</v>
      </c>
      <c r="F326" s="113" t="s">
        <v>2332</v>
      </c>
      <c r="G326" s="113" t="s">
        <v>2119</v>
      </c>
      <c r="H326" s="113" t="s">
        <v>19</v>
      </c>
      <c r="I326" s="113" t="s">
        <v>78</v>
      </c>
      <c r="J326" s="118" t="s">
        <v>792</v>
      </c>
      <c r="K326" s="118" t="s">
        <v>4657</v>
      </c>
      <c r="L326" s="118" t="s">
        <v>5528</v>
      </c>
      <c r="M326" s="115" t="s">
        <v>5528</v>
      </c>
      <c r="N326" s="115" t="s">
        <v>6398</v>
      </c>
      <c r="O326" s="115" t="s">
        <v>2128</v>
      </c>
      <c r="P326" s="113">
        <v>405</v>
      </c>
      <c r="Q326" s="113">
        <v>60</v>
      </c>
      <c r="R326" s="113">
        <v>85</v>
      </c>
      <c r="S326" s="113">
        <v>60</v>
      </c>
      <c r="T326" s="120">
        <v>85</v>
      </c>
      <c r="U326" s="113">
        <v>60</v>
      </c>
      <c r="V326" s="113">
        <v>55</v>
      </c>
      <c r="W326" s="129"/>
      <c r="X326" s="129"/>
      <c r="Y326" s="5"/>
      <c r="Z326" s="5"/>
      <c r="AA326" s="5"/>
      <c r="AB326" s="5"/>
      <c r="AC326" s="5"/>
      <c r="AD326" s="5"/>
      <c r="AE326" s="5"/>
    </row>
    <row r="327" spans="1:31" customFormat="1">
      <c r="A327" s="113">
        <v>257</v>
      </c>
      <c r="B327" s="113" t="s">
        <v>284</v>
      </c>
      <c r="C327" s="120" t="s">
        <v>5530</v>
      </c>
      <c r="D327" s="124">
        <v>0.85</v>
      </c>
      <c r="E327" s="124">
        <v>0.15</v>
      </c>
      <c r="F327" s="113" t="s">
        <v>2332</v>
      </c>
      <c r="G327" s="113" t="s">
        <v>2119</v>
      </c>
      <c r="H327" s="113" t="s">
        <v>19</v>
      </c>
      <c r="I327" s="113" t="s">
        <v>78</v>
      </c>
      <c r="J327" s="118" t="s">
        <v>792</v>
      </c>
      <c r="K327" s="118" t="s">
        <v>4657</v>
      </c>
      <c r="L327" s="118" t="s">
        <v>5528</v>
      </c>
      <c r="M327" s="115" t="s">
        <v>5529</v>
      </c>
      <c r="N327" s="115" t="s">
        <v>6399</v>
      </c>
      <c r="O327" s="115" t="s">
        <v>2128</v>
      </c>
      <c r="P327" s="113">
        <v>530</v>
      </c>
      <c r="Q327" s="113">
        <v>80</v>
      </c>
      <c r="R327" s="113">
        <v>120</v>
      </c>
      <c r="S327" s="113">
        <v>70</v>
      </c>
      <c r="T327" s="120">
        <v>110</v>
      </c>
      <c r="U327" s="113">
        <v>70</v>
      </c>
      <c r="V327" s="113">
        <v>80</v>
      </c>
      <c r="W327" s="129"/>
      <c r="X327" s="129"/>
      <c r="Y327" s="5"/>
      <c r="Z327" s="5"/>
      <c r="AA327" s="5"/>
      <c r="AB327" s="5"/>
      <c r="AC327" s="5"/>
      <c r="AD327" s="5"/>
      <c r="AE327" s="5"/>
    </row>
    <row r="328" spans="1:31" customFormat="1" hidden="1">
      <c r="A328" s="113">
        <v>257</v>
      </c>
      <c r="B328" s="113" t="s">
        <v>2901</v>
      </c>
      <c r="C328" s="120" t="s">
        <v>5531</v>
      </c>
      <c r="D328" s="124">
        <v>0.85</v>
      </c>
      <c r="E328" s="124">
        <v>0.15</v>
      </c>
      <c r="F328" s="113" t="s">
        <v>2332</v>
      </c>
      <c r="G328" s="113" t="s">
        <v>2119</v>
      </c>
      <c r="H328" s="113" t="s">
        <v>19</v>
      </c>
      <c r="I328" s="113" t="s">
        <v>78</v>
      </c>
      <c r="J328" s="118" t="s">
        <v>3973</v>
      </c>
      <c r="K328" s="118" t="s">
        <v>4659</v>
      </c>
      <c r="L328" s="118" t="s">
        <v>5528</v>
      </c>
      <c r="M328" s="115" t="s">
        <v>5530</v>
      </c>
      <c r="N328" s="115" t="s">
        <v>3973</v>
      </c>
      <c r="O328" s="115" t="s">
        <v>4480</v>
      </c>
      <c r="P328" s="113">
        <v>630</v>
      </c>
      <c r="Q328" s="113">
        <v>80</v>
      </c>
      <c r="R328" s="113">
        <v>160</v>
      </c>
      <c r="S328" s="113">
        <v>80</v>
      </c>
      <c r="T328" s="120">
        <v>130</v>
      </c>
      <c r="U328" s="113">
        <v>80</v>
      </c>
      <c r="V328" s="113">
        <v>100</v>
      </c>
      <c r="W328" s="129"/>
      <c r="X328" s="129"/>
      <c r="Y328" s="5"/>
      <c r="Z328" s="5"/>
      <c r="AA328" s="5"/>
      <c r="AB328" s="5"/>
      <c r="AC328" s="5"/>
      <c r="AD328" s="5"/>
      <c r="AE328" s="5"/>
    </row>
    <row r="329" spans="1:31" customFormat="1">
      <c r="A329" s="113">
        <v>258</v>
      </c>
      <c r="B329" s="113" t="s">
        <v>285</v>
      </c>
      <c r="C329" s="120" t="s">
        <v>5532</v>
      </c>
      <c r="D329" s="124">
        <v>0.85</v>
      </c>
      <c r="E329" s="124">
        <v>0.15</v>
      </c>
      <c r="F329" s="113" t="s">
        <v>2331</v>
      </c>
      <c r="G329" s="113" t="s">
        <v>2119</v>
      </c>
      <c r="H329" s="113" t="s">
        <v>25</v>
      </c>
      <c r="I329" s="113" t="s">
        <v>1109</v>
      </c>
      <c r="J329" s="118" t="s">
        <v>792</v>
      </c>
      <c r="K329" s="118" t="s">
        <v>4657</v>
      </c>
      <c r="L329" s="118" t="s">
        <v>5532</v>
      </c>
      <c r="M329" s="115" t="s">
        <v>1109</v>
      </c>
      <c r="N329" s="115" t="s">
        <v>2129</v>
      </c>
      <c r="O329" s="115" t="s">
        <v>1109</v>
      </c>
      <c r="P329" s="113">
        <v>310</v>
      </c>
      <c r="Q329" s="113">
        <v>50</v>
      </c>
      <c r="R329" s="113">
        <v>70</v>
      </c>
      <c r="S329" s="113">
        <v>50</v>
      </c>
      <c r="T329" s="120">
        <v>50</v>
      </c>
      <c r="U329" s="113">
        <v>50</v>
      </c>
      <c r="V329" s="113">
        <v>40</v>
      </c>
      <c r="W329" s="129"/>
      <c r="X329" s="129"/>
      <c r="Y329" s="5"/>
      <c r="Z329" s="5"/>
      <c r="AA329" s="5"/>
      <c r="AB329" s="5"/>
      <c r="AC329" s="5"/>
      <c r="AD329" s="5"/>
      <c r="AE329" s="5"/>
    </row>
    <row r="330" spans="1:31" customFormat="1">
      <c r="A330" s="113">
        <v>259</v>
      </c>
      <c r="B330" s="113" t="s">
        <v>286</v>
      </c>
      <c r="C330" s="120" t="s">
        <v>5533</v>
      </c>
      <c r="D330" s="124">
        <v>0.85</v>
      </c>
      <c r="E330" s="124">
        <v>0.15</v>
      </c>
      <c r="F330" s="113" t="s">
        <v>2331</v>
      </c>
      <c r="G330" s="113" t="s">
        <v>2119</v>
      </c>
      <c r="H330" s="113" t="s">
        <v>25</v>
      </c>
      <c r="I330" s="113" t="s">
        <v>49</v>
      </c>
      <c r="J330" s="118" t="s">
        <v>792</v>
      </c>
      <c r="K330" s="118" t="s">
        <v>4657</v>
      </c>
      <c r="L330" s="118" t="s">
        <v>5532</v>
      </c>
      <c r="M330" s="115" t="s">
        <v>5532</v>
      </c>
      <c r="N330" s="115" t="s">
        <v>6398</v>
      </c>
      <c r="O330" s="115" t="s">
        <v>2128</v>
      </c>
      <c r="P330" s="113">
        <v>405</v>
      </c>
      <c r="Q330" s="113">
        <v>70</v>
      </c>
      <c r="R330" s="113">
        <v>85</v>
      </c>
      <c r="S330" s="113">
        <v>70</v>
      </c>
      <c r="T330" s="120">
        <v>60</v>
      </c>
      <c r="U330" s="113">
        <v>70</v>
      </c>
      <c r="V330" s="113">
        <v>50</v>
      </c>
      <c r="W330" s="129"/>
      <c r="X330" s="129"/>
      <c r="Y330" s="5"/>
      <c r="Z330" s="5"/>
      <c r="AA330" s="5"/>
      <c r="AB330" s="5"/>
      <c r="AC330" s="5"/>
      <c r="AD330" s="5"/>
      <c r="AE330" s="5"/>
    </row>
    <row r="331" spans="1:31" customFormat="1">
      <c r="A331" s="113">
        <v>260</v>
      </c>
      <c r="B331" s="113" t="s">
        <v>287</v>
      </c>
      <c r="C331" s="120" t="s">
        <v>5534</v>
      </c>
      <c r="D331" s="124">
        <v>0.85</v>
      </c>
      <c r="E331" s="124">
        <v>0.15</v>
      </c>
      <c r="F331" s="113" t="s">
        <v>2331</v>
      </c>
      <c r="G331" s="113" t="s">
        <v>2119</v>
      </c>
      <c r="H331" s="113" t="s">
        <v>25</v>
      </c>
      <c r="I331" s="113" t="s">
        <v>49</v>
      </c>
      <c r="J331" s="118" t="s">
        <v>792</v>
      </c>
      <c r="K331" s="118" t="s">
        <v>4657</v>
      </c>
      <c r="L331" s="118" t="s">
        <v>5532</v>
      </c>
      <c r="M331" s="115" t="s">
        <v>5533</v>
      </c>
      <c r="N331" s="115" t="s">
        <v>6399</v>
      </c>
      <c r="O331" s="115" t="s">
        <v>2128</v>
      </c>
      <c r="P331" s="113">
        <v>535</v>
      </c>
      <c r="Q331" s="113">
        <v>100</v>
      </c>
      <c r="R331" s="113">
        <v>110</v>
      </c>
      <c r="S331" s="113">
        <v>90</v>
      </c>
      <c r="T331" s="120">
        <v>85</v>
      </c>
      <c r="U331" s="113">
        <v>90</v>
      </c>
      <c r="V331" s="113">
        <v>60</v>
      </c>
      <c r="W331" s="129"/>
      <c r="X331" s="129"/>
      <c r="Y331" s="5"/>
      <c r="Z331" s="5"/>
      <c r="AA331" s="5"/>
      <c r="AB331" s="5"/>
      <c r="AC331" s="5"/>
      <c r="AD331" s="5"/>
      <c r="AE331" s="5"/>
    </row>
    <row r="332" spans="1:31" customFormat="1" hidden="1">
      <c r="A332" s="113">
        <v>260</v>
      </c>
      <c r="B332" s="113" t="s">
        <v>2903</v>
      </c>
      <c r="C332" s="120" t="s">
        <v>5535</v>
      </c>
      <c r="D332" s="124">
        <v>0.85</v>
      </c>
      <c r="E332" s="124">
        <v>0.15</v>
      </c>
      <c r="F332" s="113" t="s">
        <v>2331</v>
      </c>
      <c r="G332" s="113" t="s">
        <v>2119</v>
      </c>
      <c r="H332" s="113" t="s">
        <v>25</v>
      </c>
      <c r="I332" s="113" t="s">
        <v>49</v>
      </c>
      <c r="J332" s="118" t="s">
        <v>3973</v>
      </c>
      <c r="K332" s="118" t="s">
        <v>4659</v>
      </c>
      <c r="L332" s="118" t="s">
        <v>5532</v>
      </c>
      <c r="M332" s="115" t="s">
        <v>5534</v>
      </c>
      <c r="N332" s="115" t="s">
        <v>3973</v>
      </c>
      <c r="O332" s="115" t="s">
        <v>4480</v>
      </c>
      <c r="P332" s="113">
        <v>635</v>
      </c>
      <c r="Q332" s="113">
        <v>100</v>
      </c>
      <c r="R332" s="113">
        <v>150</v>
      </c>
      <c r="S332" s="113">
        <v>110</v>
      </c>
      <c r="T332" s="120">
        <v>95</v>
      </c>
      <c r="U332" s="113">
        <v>110</v>
      </c>
      <c r="V332" s="113">
        <v>70</v>
      </c>
      <c r="W332" s="129"/>
      <c r="X332" s="129"/>
      <c r="Y332" s="5"/>
      <c r="Z332" s="5"/>
      <c r="AA332" s="5"/>
      <c r="AB332" s="5"/>
      <c r="AC332" s="5"/>
      <c r="AD332" s="5"/>
      <c r="AE332" s="5"/>
    </row>
    <row r="333" spans="1:31" customFormat="1">
      <c r="A333" s="113">
        <v>261</v>
      </c>
      <c r="B333" s="113" t="s">
        <v>288</v>
      </c>
      <c r="C333" s="120" t="s">
        <v>5536</v>
      </c>
      <c r="D333" s="124">
        <v>0.5</v>
      </c>
      <c r="E333" s="124">
        <v>0.5</v>
      </c>
      <c r="F333" s="113" t="s">
        <v>2332</v>
      </c>
      <c r="G333" s="113" t="s">
        <v>2119</v>
      </c>
      <c r="H333" s="113" t="s">
        <v>158</v>
      </c>
      <c r="I333" s="113" t="s">
        <v>1109</v>
      </c>
      <c r="J333" s="118" t="s">
        <v>2129</v>
      </c>
      <c r="K333" s="118" t="s">
        <v>2712</v>
      </c>
      <c r="L333" s="118" t="s">
        <v>5536</v>
      </c>
      <c r="M333" s="115" t="s">
        <v>1109</v>
      </c>
      <c r="N333" s="115" t="s">
        <v>2129</v>
      </c>
      <c r="O333" s="115" t="s">
        <v>1109</v>
      </c>
      <c r="P333" s="113">
        <v>220</v>
      </c>
      <c r="Q333" s="113">
        <v>35</v>
      </c>
      <c r="R333" s="113">
        <v>55</v>
      </c>
      <c r="S333" s="113">
        <v>35</v>
      </c>
      <c r="T333" s="120">
        <v>30</v>
      </c>
      <c r="U333" s="113">
        <v>30</v>
      </c>
      <c r="V333" s="113">
        <v>35</v>
      </c>
      <c r="W333" s="129"/>
      <c r="X333" s="129"/>
      <c r="Y333" s="5"/>
      <c r="Z333" s="5"/>
      <c r="AA333" s="5"/>
      <c r="AB333" s="5"/>
      <c r="AC333" s="5"/>
      <c r="AD333" s="5"/>
      <c r="AE333" s="5"/>
    </row>
    <row r="334" spans="1:31" customFormat="1">
      <c r="A334" s="113">
        <v>262</v>
      </c>
      <c r="B334" s="113" t="s">
        <v>289</v>
      </c>
      <c r="C334" s="120" t="s">
        <v>5537</v>
      </c>
      <c r="D334" s="124">
        <v>0.5</v>
      </c>
      <c r="E334" s="124">
        <v>0.5</v>
      </c>
      <c r="F334" s="113" t="s">
        <v>2332</v>
      </c>
      <c r="G334" s="113" t="s">
        <v>2119</v>
      </c>
      <c r="H334" s="113" t="s">
        <v>158</v>
      </c>
      <c r="I334" s="113" t="s">
        <v>1109</v>
      </c>
      <c r="J334" s="118" t="s">
        <v>2129</v>
      </c>
      <c r="K334" s="118" t="s">
        <v>2712</v>
      </c>
      <c r="L334" s="118" t="s">
        <v>5536</v>
      </c>
      <c r="M334" s="115" t="s">
        <v>5536</v>
      </c>
      <c r="N334" s="115" t="s">
        <v>6399</v>
      </c>
      <c r="O334" s="115" t="s">
        <v>2128</v>
      </c>
      <c r="P334" s="113">
        <v>420</v>
      </c>
      <c r="Q334" s="113">
        <v>70</v>
      </c>
      <c r="R334" s="113">
        <v>90</v>
      </c>
      <c r="S334" s="113">
        <v>70</v>
      </c>
      <c r="T334" s="120">
        <v>60</v>
      </c>
      <c r="U334" s="113">
        <v>60</v>
      </c>
      <c r="V334" s="113">
        <v>70</v>
      </c>
      <c r="W334" s="129"/>
      <c r="X334" s="129"/>
      <c r="Y334" s="5"/>
      <c r="Z334" s="5"/>
      <c r="AA334" s="5"/>
      <c r="AB334" s="5"/>
      <c r="AC334" s="5"/>
      <c r="AD334" s="5"/>
      <c r="AE334" s="5"/>
    </row>
    <row r="335" spans="1:31" customFormat="1">
      <c r="A335" s="113">
        <v>263</v>
      </c>
      <c r="B335" s="113" t="s">
        <v>290</v>
      </c>
      <c r="C335" s="120" t="s">
        <v>5538</v>
      </c>
      <c r="D335" s="124">
        <v>0.5</v>
      </c>
      <c r="E335" s="124">
        <v>0.5</v>
      </c>
      <c r="F335" s="113" t="s">
        <v>2332</v>
      </c>
      <c r="G335" s="113" t="s">
        <v>2119</v>
      </c>
      <c r="H335" s="113" t="s">
        <v>36</v>
      </c>
      <c r="I335" s="113" t="s">
        <v>1109</v>
      </c>
      <c r="J335" s="118" t="s">
        <v>2129</v>
      </c>
      <c r="K335" s="118" t="s">
        <v>2712</v>
      </c>
      <c r="L335" s="118" t="s">
        <v>5538</v>
      </c>
      <c r="M335" s="115" t="s">
        <v>1109</v>
      </c>
      <c r="N335" s="115" t="s">
        <v>2129</v>
      </c>
      <c r="O335" s="115" t="s">
        <v>1109</v>
      </c>
      <c r="P335" s="113">
        <v>240</v>
      </c>
      <c r="Q335" s="113">
        <v>38</v>
      </c>
      <c r="R335" s="113">
        <v>30</v>
      </c>
      <c r="S335" s="113">
        <v>41</v>
      </c>
      <c r="T335" s="120">
        <v>30</v>
      </c>
      <c r="U335" s="113">
        <v>41</v>
      </c>
      <c r="V335" s="113">
        <v>60</v>
      </c>
      <c r="W335" s="129"/>
      <c r="X335" s="129"/>
      <c r="Y335" s="5"/>
      <c r="Z335" s="5"/>
      <c r="AA335" s="5"/>
      <c r="AB335" s="5"/>
      <c r="AC335" s="5"/>
      <c r="AD335" s="5"/>
      <c r="AE335" s="5"/>
    </row>
    <row r="336" spans="1:31" customFormat="1">
      <c r="A336" s="113">
        <v>263</v>
      </c>
      <c r="B336" s="113" t="s">
        <v>6460</v>
      </c>
      <c r="C336" s="120" t="s">
        <v>5539</v>
      </c>
      <c r="D336" s="124">
        <v>0.5</v>
      </c>
      <c r="E336" s="124">
        <v>0.5</v>
      </c>
      <c r="F336" s="113" t="s">
        <v>2332</v>
      </c>
      <c r="G336" s="113" t="s">
        <v>2703</v>
      </c>
      <c r="H336" s="113" t="s">
        <v>158</v>
      </c>
      <c r="I336" s="113" t="s">
        <v>36</v>
      </c>
      <c r="J336" s="118" t="s">
        <v>2129</v>
      </c>
      <c r="K336" s="118" t="s">
        <v>2712</v>
      </c>
      <c r="L336" s="118" t="s">
        <v>5538</v>
      </c>
      <c r="M336" s="115" t="s">
        <v>1109</v>
      </c>
      <c r="N336" s="115" t="s">
        <v>2129</v>
      </c>
      <c r="O336" s="115" t="s">
        <v>1109</v>
      </c>
      <c r="P336" s="113">
        <v>240</v>
      </c>
      <c r="Q336" s="113">
        <v>38</v>
      </c>
      <c r="R336" s="113">
        <v>30</v>
      </c>
      <c r="S336" s="113">
        <v>41</v>
      </c>
      <c r="T336" s="120">
        <v>30</v>
      </c>
      <c r="U336" s="113">
        <v>41</v>
      </c>
      <c r="V336" s="113">
        <v>60</v>
      </c>
      <c r="W336" s="129"/>
      <c r="X336" s="129"/>
      <c r="Y336" s="5"/>
      <c r="Z336" s="5"/>
      <c r="AA336" s="5"/>
      <c r="AB336" s="5"/>
      <c r="AC336" s="5"/>
      <c r="AD336" s="5"/>
      <c r="AE336" s="5"/>
    </row>
    <row r="337" spans="1:34" customFormat="1">
      <c r="A337" s="113">
        <v>264</v>
      </c>
      <c r="B337" s="113" t="s">
        <v>291</v>
      </c>
      <c r="C337" s="120" t="s">
        <v>5540</v>
      </c>
      <c r="D337" s="124">
        <v>0.5</v>
      </c>
      <c r="E337" s="124">
        <v>0.5</v>
      </c>
      <c r="F337" s="113" t="s">
        <v>2332</v>
      </c>
      <c r="G337" s="113" t="s">
        <v>2119</v>
      </c>
      <c r="H337" s="113" t="s">
        <v>36</v>
      </c>
      <c r="I337" s="113" t="s">
        <v>1109</v>
      </c>
      <c r="J337" s="118" t="s">
        <v>2129</v>
      </c>
      <c r="K337" s="118" t="s">
        <v>2712</v>
      </c>
      <c r="L337" s="118" t="s">
        <v>5538</v>
      </c>
      <c r="M337" s="115" t="s">
        <v>5538</v>
      </c>
      <c r="N337" s="115" t="s">
        <v>6399</v>
      </c>
      <c r="O337" s="115" t="s">
        <v>2128</v>
      </c>
      <c r="P337" s="113">
        <v>420</v>
      </c>
      <c r="Q337" s="113">
        <v>78</v>
      </c>
      <c r="R337" s="113">
        <v>70</v>
      </c>
      <c r="S337" s="113">
        <v>61</v>
      </c>
      <c r="T337" s="120">
        <v>50</v>
      </c>
      <c r="U337" s="113">
        <v>61</v>
      </c>
      <c r="V337" s="113">
        <v>100</v>
      </c>
      <c r="W337" s="129"/>
      <c r="X337" s="129"/>
      <c r="Y337" s="5"/>
      <c r="Z337" s="5"/>
      <c r="AA337" s="5"/>
      <c r="AB337" s="5"/>
      <c r="AC337" s="5"/>
      <c r="AD337" s="5"/>
      <c r="AE337" s="5"/>
    </row>
    <row r="338" spans="1:34" customFormat="1">
      <c r="A338" s="113">
        <v>264</v>
      </c>
      <c r="B338" s="113" t="s">
        <v>6450</v>
      </c>
      <c r="C338" s="120" t="s">
        <v>5541</v>
      </c>
      <c r="D338" s="124">
        <v>0.5</v>
      </c>
      <c r="E338" s="124">
        <v>0.5</v>
      </c>
      <c r="F338" s="113" t="s">
        <v>2332</v>
      </c>
      <c r="G338" s="113" t="s">
        <v>2703</v>
      </c>
      <c r="H338" s="113" t="s">
        <v>158</v>
      </c>
      <c r="I338" s="113" t="s">
        <v>36</v>
      </c>
      <c r="J338" s="118" t="s">
        <v>2129</v>
      </c>
      <c r="K338" s="118" t="s">
        <v>2712</v>
      </c>
      <c r="L338" s="118" t="s">
        <v>5538</v>
      </c>
      <c r="M338" s="113" t="s">
        <v>5539</v>
      </c>
      <c r="N338" s="115" t="s">
        <v>6398</v>
      </c>
      <c r="O338" s="115" t="s">
        <v>2128</v>
      </c>
      <c r="P338" s="113">
        <v>420</v>
      </c>
      <c r="Q338" s="113">
        <v>78</v>
      </c>
      <c r="R338" s="113">
        <v>70</v>
      </c>
      <c r="S338" s="113">
        <v>61</v>
      </c>
      <c r="T338" s="120">
        <v>50</v>
      </c>
      <c r="U338" s="113">
        <v>61</v>
      </c>
      <c r="V338" s="113">
        <v>100</v>
      </c>
      <c r="W338" s="129"/>
      <c r="X338" s="129"/>
      <c r="Y338" s="5"/>
      <c r="Z338" s="5"/>
      <c r="AA338" s="5"/>
      <c r="AB338" s="5"/>
      <c r="AC338" s="5"/>
      <c r="AD338" s="5"/>
      <c r="AE338" s="5"/>
      <c r="AH338" s="5"/>
    </row>
    <row r="339" spans="1:34" customFormat="1">
      <c r="A339" s="113">
        <v>265</v>
      </c>
      <c r="B339" s="113" t="s">
        <v>292</v>
      </c>
      <c r="C339" s="120" t="s">
        <v>5542</v>
      </c>
      <c r="D339" s="124">
        <v>0.5</v>
      </c>
      <c r="E339" s="124">
        <v>0.5</v>
      </c>
      <c r="F339" s="113" t="s">
        <v>29</v>
      </c>
      <c r="G339" s="113" t="s">
        <v>2119</v>
      </c>
      <c r="H339" s="113" t="s">
        <v>29</v>
      </c>
      <c r="I339" s="113" t="s">
        <v>1109</v>
      </c>
      <c r="J339" s="118" t="s">
        <v>2129</v>
      </c>
      <c r="K339" s="118" t="s">
        <v>2712</v>
      </c>
      <c r="L339" s="118" t="s">
        <v>5542</v>
      </c>
      <c r="M339" s="115" t="s">
        <v>1109</v>
      </c>
      <c r="N339" s="115" t="s">
        <v>2129</v>
      </c>
      <c r="O339" s="115" t="s">
        <v>1109</v>
      </c>
      <c r="P339" s="113">
        <v>195</v>
      </c>
      <c r="Q339" s="113">
        <v>45</v>
      </c>
      <c r="R339" s="113">
        <v>45</v>
      </c>
      <c r="S339" s="113">
        <v>35</v>
      </c>
      <c r="T339" s="120">
        <v>20</v>
      </c>
      <c r="U339" s="113">
        <v>30</v>
      </c>
      <c r="V339" s="113">
        <v>20</v>
      </c>
      <c r="W339" s="129"/>
      <c r="X339" s="129"/>
      <c r="Y339" s="5"/>
      <c r="Z339" s="5"/>
      <c r="AA339" s="5"/>
      <c r="AB339" s="5"/>
      <c r="AC339" s="5"/>
      <c r="AD339" s="5"/>
      <c r="AE339" s="5"/>
    </row>
    <row r="340" spans="1:34" customFormat="1">
      <c r="A340" s="113">
        <v>266</v>
      </c>
      <c r="B340" s="113" t="s">
        <v>293</v>
      </c>
      <c r="C340" s="120" t="s">
        <v>5543</v>
      </c>
      <c r="D340" s="124">
        <v>0</v>
      </c>
      <c r="E340" s="124">
        <v>1</v>
      </c>
      <c r="F340" s="113" t="s">
        <v>29</v>
      </c>
      <c r="G340" s="113" t="s">
        <v>2119</v>
      </c>
      <c r="H340" s="113" t="s">
        <v>29</v>
      </c>
      <c r="I340" s="113" t="s">
        <v>1109</v>
      </c>
      <c r="J340" s="118" t="s">
        <v>2129</v>
      </c>
      <c r="K340" s="118" t="s">
        <v>2712</v>
      </c>
      <c r="L340" s="118" t="s">
        <v>5542</v>
      </c>
      <c r="M340" s="115" t="s">
        <v>5542</v>
      </c>
      <c r="N340" s="115" t="s">
        <v>6398</v>
      </c>
      <c r="O340" s="115" t="s">
        <v>2128</v>
      </c>
      <c r="P340" s="113">
        <v>205</v>
      </c>
      <c r="Q340" s="113">
        <v>50</v>
      </c>
      <c r="R340" s="113">
        <v>35</v>
      </c>
      <c r="S340" s="113">
        <v>55</v>
      </c>
      <c r="T340" s="120">
        <v>25</v>
      </c>
      <c r="U340" s="113">
        <v>25</v>
      </c>
      <c r="V340" s="113">
        <v>15</v>
      </c>
      <c r="W340" s="129"/>
      <c r="X340" s="129"/>
      <c r="Y340" s="5"/>
      <c r="Z340" s="5"/>
      <c r="AA340" s="5"/>
      <c r="AB340" s="5"/>
      <c r="AC340" s="5"/>
      <c r="AD340" s="5"/>
      <c r="AE340" s="5"/>
    </row>
    <row r="341" spans="1:34" customFormat="1">
      <c r="A341" s="113">
        <v>267</v>
      </c>
      <c r="B341" s="113" t="s">
        <v>294</v>
      </c>
      <c r="C341" s="120" t="s">
        <v>5544</v>
      </c>
      <c r="D341" s="124">
        <v>0</v>
      </c>
      <c r="E341" s="124">
        <v>1</v>
      </c>
      <c r="F341" s="113" t="s">
        <v>29</v>
      </c>
      <c r="G341" s="113" t="s">
        <v>2119</v>
      </c>
      <c r="H341" s="113" t="s">
        <v>29</v>
      </c>
      <c r="I341" s="113" t="s">
        <v>22</v>
      </c>
      <c r="J341" s="118" t="s">
        <v>2129</v>
      </c>
      <c r="K341" s="118" t="s">
        <v>2712</v>
      </c>
      <c r="L341" s="118" t="s">
        <v>5542</v>
      </c>
      <c r="M341" s="115" t="s">
        <v>5543</v>
      </c>
      <c r="N341" s="115" t="s">
        <v>6399</v>
      </c>
      <c r="O341" s="115" t="s">
        <v>2128</v>
      </c>
      <c r="P341" s="113">
        <v>395</v>
      </c>
      <c r="Q341" s="113">
        <v>60</v>
      </c>
      <c r="R341" s="113">
        <v>70</v>
      </c>
      <c r="S341" s="113">
        <v>50</v>
      </c>
      <c r="T341" s="120">
        <v>100</v>
      </c>
      <c r="U341" s="113">
        <v>50</v>
      </c>
      <c r="V341" s="113">
        <v>65</v>
      </c>
      <c r="W341" s="129"/>
      <c r="X341" s="129"/>
      <c r="Y341" s="5"/>
      <c r="Z341" s="5"/>
      <c r="AA341" s="5"/>
      <c r="AB341" s="5"/>
      <c r="AC341" s="5"/>
      <c r="AD341" s="5"/>
      <c r="AE341" s="5"/>
    </row>
    <row r="342" spans="1:34" customFormat="1">
      <c r="A342" s="113">
        <v>268</v>
      </c>
      <c r="B342" s="113" t="s">
        <v>295</v>
      </c>
      <c r="C342" s="120" t="s">
        <v>5545</v>
      </c>
      <c r="D342" s="124">
        <v>1</v>
      </c>
      <c r="E342" s="124">
        <v>0</v>
      </c>
      <c r="F342" s="113" t="s">
        <v>29</v>
      </c>
      <c r="G342" s="113" t="s">
        <v>2119</v>
      </c>
      <c r="H342" s="113" t="s">
        <v>29</v>
      </c>
      <c r="I342" s="113" t="s">
        <v>1109</v>
      </c>
      <c r="J342" s="118" t="s">
        <v>2129</v>
      </c>
      <c r="K342" s="118" t="s">
        <v>2712</v>
      </c>
      <c r="L342" s="118" t="s">
        <v>5542</v>
      </c>
      <c r="M342" s="115" t="s">
        <v>5542</v>
      </c>
      <c r="N342" s="115" t="s">
        <v>6398</v>
      </c>
      <c r="O342" s="115" t="s">
        <v>2128</v>
      </c>
      <c r="P342" s="113">
        <v>205</v>
      </c>
      <c r="Q342" s="113">
        <v>50</v>
      </c>
      <c r="R342" s="113">
        <v>35</v>
      </c>
      <c r="S342" s="113">
        <v>55</v>
      </c>
      <c r="T342" s="120">
        <v>25</v>
      </c>
      <c r="U342" s="113">
        <v>25</v>
      </c>
      <c r="V342" s="113">
        <v>15</v>
      </c>
      <c r="W342" s="129"/>
      <c r="X342" s="129"/>
      <c r="Y342" s="5"/>
      <c r="Z342" s="5"/>
      <c r="AA342" s="5"/>
      <c r="AB342" s="5"/>
      <c r="AC342" s="5"/>
      <c r="AD342" s="5"/>
      <c r="AE342" s="5"/>
    </row>
    <row r="343" spans="1:34" customFormat="1">
      <c r="A343" s="113">
        <v>269</v>
      </c>
      <c r="B343" s="113" t="s">
        <v>296</v>
      </c>
      <c r="C343" s="120" t="s">
        <v>5546</v>
      </c>
      <c r="D343" s="124">
        <v>1</v>
      </c>
      <c r="E343" s="124">
        <v>0</v>
      </c>
      <c r="F343" s="113" t="s">
        <v>29</v>
      </c>
      <c r="G343" s="113" t="s">
        <v>2119</v>
      </c>
      <c r="H343" s="113" t="s">
        <v>29</v>
      </c>
      <c r="I343" s="113" t="s">
        <v>15</v>
      </c>
      <c r="J343" s="118" t="s">
        <v>2129</v>
      </c>
      <c r="K343" s="118" t="s">
        <v>2712</v>
      </c>
      <c r="L343" s="118" t="s">
        <v>5542</v>
      </c>
      <c r="M343" s="115" t="s">
        <v>5545</v>
      </c>
      <c r="N343" s="115" t="s">
        <v>6399</v>
      </c>
      <c r="O343" s="115" t="s">
        <v>2128</v>
      </c>
      <c r="P343" s="113">
        <v>385</v>
      </c>
      <c r="Q343" s="113">
        <v>60</v>
      </c>
      <c r="R343" s="113">
        <v>50</v>
      </c>
      <c r="S343" s="113">
        <v>70</v>
      </c>
      <c r="T343" s="120">
        <v>50</v>
      </c>
      <c r="U343" s="113">
        <v>90</v>
      </c>
      <c r="V343" s="113">
        <v>65</v>
      </c>
      <c r="W343" s="129"/>
      <c r="X343" s="129"/>
      <c r="Y343" s="5"/>
      <c r="Z343" s="5"/>
      <c r="AA343" s="5"/>
      <c r="AB343" s="5"/>
      <c r="AC343" s="5"/>
      <c r="AD343" s="5"/>
      <c r="AE343" s="5"/>
    </row>
    <row r="344" spans="1:34" customFormat="1">
      <c r="A344" s="113">
        <v>270</v>
      </c>
      <c r="B344" s="113" t="s">
        <v>297</v>
      </c>
      <c r="C344" s="120" t="s">
        <v>5547</v>
      </c>
      <c r="D344" s="124">
        <v>0.5</v>
      </c>
      <c r="E344" s="124">
        <v>0.5</v>
      </c>
      <c r="F344" s="113" t="s">
        <v>2331</v>
      </c>
      <c r="G344" s="113" t="s">
        <v>2119</v>
      </c>
      <c r="H344" s="113" t="s">
        <v>25</v>
      </c>
      <c r="I344" s="113" t="s">
        <v>14</v>
      </c>
      <c r="J344" s="118" t="s">
        <v>2129</v>
      </c>
      <c r="K344" s="118" t="s">
        <v>4658</v>
      </c>
      <c r="L344" s="118" t="s">
        <v>5547</v>
      </c>
      <c r="M344" s="115" t="s">
        <v>1109</v>
      </c>
      <c r="N344" s="115" t="s">
        <v>2129</v>
      </c>
      <c r="O344" s="115" t="s">
        <v>1109</v>
      </c>
      <c r="P344" s="113">
        <v>220</v>
      </c>
      <c r="Q344" s="113">
        <v>40</v>
      </c>
      <c r="R344" s="113">
        <v>30</v>
      </c>
      <c r="S344" s="113">
        <v>30</v>
      </c>
      <c r="T344" s="120">
        <v>40</v>
      </c>
      <c r="U344" s="113">
        <v>50</v>
      </c>
      <c r="V344" s="113">
        <v>30</v>
      </c>
      <c r="W344" s="129"/>
      <c r="X344" s="129"/>
      <c r="Y344" s="5"/>
      <c r="Z344" s="5"/>
      <c r="AA344" s="5"/>
      <c r="AB344" s="5"/>
      <c r="AC344" s="5"/>
      <c r="AD344" s="5"/>
      <c r="AE344" s="5"/>
    </row>
    <row r="345" spans="1:34" customFormat="1">
      <c r="A345" s="113">
        <v>271</v>
      </c>
      <c r="B345" s="113" t="s">
        <v>298</v>
      </c>
      <c r="C345" s="120" t="s">
        <v>5548</v>
      </c>
      <c r="D345" s="124">
        <v>0.5</v>
      </c>
      <c r="E345" s="124">
        <v>0.5</v>
      </c>
      <c r="F345" s="113" t="s">
        <v>2331</v>
      </c>
      <c r="G345" s="113" t="s">
        <v>2119</v>
      </c>
      <c r="H345" s="113" t="s">
        <v>25</v>
      </c>
      <c r="I345" s="113" t="s">
        <v>14</v>
      </c>
      <c r="J345" s="118" t="s">
        <v>2129</v>
      </c>
      <c r="K345" s="118" t="s">
        <v>4658</v>
      </c>
      <c r="L345" s="118" t="s">
        <v>5547</v>
      </c>
      <c r="M345" s="115" t="s">
        <v>5547</v>
      </c>
      <c r="N345" s="115" t="s">
        <v>6398</v>
      </c>
      <c r="O345" s="115" t="s">
        <v>2128</v>
      </c>
      <c r="P345" s="113">
        <v>340</v>
      </c>
      <c r="Q345" s="113">
        <v>60</v>
      </c>
      <c r="R345" s="113">
        <v>50</v>
      </c>
      <c r="S345" s="113">
        <v>50</v>
      </c>
      <c r="T345" s="120">
        <v>60</v>
      </c>
      <c r="U345" s="113">
        <v>70</v>
      </c>
      <c r="V345" s="113">
        <v>50</v>
      </c>
      <c r="W345" s="129"/>
      <c r="X345" s="129"/>
      <c r="Y345" s="5"/>
      <c r="Z345" s="5"/>
      <c r="AA345" s="5"/>
      <c r="AB345" s="5"/>
      <c r="AC345" s="5"/>
      <c r="AD345" s="5"/>
      <c r="AE345" s="5"/>
    </row>
    <row r="346" spans="1:34" customFormat="1">
      <c r="A346" s="113">
        <v>272</v>
      </c>
      <c r="B346" s="113" t="s">
        <v>299</v>
      </c>
      <c r="C346" s="120" t="s">
        <v>5549</v>
      </c>
      <c r="D346" s="124">
        <v>0.5</v>
      </c>
      <c r="E346" s="124">
        <v>0.5</v>
      </c>
      <c r="F346" s="113" t="s">
        <v>2331</v>
      </c>
      <c r="G346" s="113" t="s">
        <v>2119</v>
      </c>
      <c r="H346" s="113" t="s">
        <v>25</v>
      </c>
      <c r="I346" s="113" t="s">
        <v>14</v>
      </c>
      <c r="J346" s="118" t="s">
        <v>2129</v>
      </c>
      <c r="K346" s="118" t="s">
        <v>4658</v>
      </c>
      <c r="L346" s="118" t="s">
        <v>5547</v>
      </c>
      <c r="M346" s="115" t="s">
        <v>5548</v>
      </c>
      <c r="N346" s="115" t="s">
        <v>6399</v>
      </c>
      <c r="O346" s="115" t="s">
        <v>1803</v>
      </c>
      <c r="P346" s="113">
        <v>480</v>
      </c>
      <c r="Q346" s="113">
        <v>80</v>
      </c>
      <c r="R346" s="113">
        <v>70</v>
      </c>
      <c r="S346" s="113">
        <v>70</v>
      </c>
      <c r="T346" s="120">
        <v>90</v>
      </c>
      <c r="U346" s="113">
        <v>100</v>
      </c>
      <c r="V346" s="113">
        <v>70</v>
      </c>
      <c r="W346" s="129"/>
      <c r="X346" s="129"/>
      <c r="Y346" s="5"/>
      <c r="Z346" s="5"/>
      <c r="AA346" s="5"/>
      <c r="AB346" s="5"/>
      <c r="AC346" s="5"/>
      <c r="AD346" s="5"/>
      <c r="AE346" s="5"/>
    </row>
    <row r="347" spans="1:34" customFormat="1">
      <c r="A347" s="113">
        <v>273</v>
      </c>
      <c r="B347" s="113" t="s">
        <v>300</v>
      </c>
      <c r="C347" s="120" t="s">
        <v>5550</v>
      </c>
      <c r="D347" s="124">
        <v>0.5</v>
      </c>
      <c r="E347" s="124">
        <v>0.5</v>
      </c>
      <c r="F347" s="113" t="s">
        <v>14</v>
      </c>
      <c r="G347" s="113" t="s">
        <v>2119</v>
      </c>
      <c r="H347" s="113" t="s">
        <v>14</v>
      </c>
      <c r="I347" s="113" t="s">
        <v>1109</v>
      </c>
      <c r="J347" s="118" t="s">
        <v>2129</v>
      </c>
      <c r="K347" s="118" t="s">
        <v>4658</v>
      </c>
      <c r="L347" s="118" t="s">
        <v>5550</v>
      </c>
      <c r="M347" s="115" t="s">
        <v>1109</v>
      </c>
      <c r="N347" s="115" t="s">
        <v>2129</v>
      </c>
      <c r="O347" s="115" t="s">
        <v>1109</v>
      </c>
      <c r="P347" s="113">
        <v>220</v>
      </c>
      <c r="Q347" s="113">
        <v>40</v>
      </c>
      <c r="R347" s="113">
        <v>40</v>
      </c>
      <c r="S347" s="113">
        <v>50</v>
      </c>
      <c r="T347" s="120">
        <v>30</v>
      </c>
      <c r="U347" s="113">
        <v>30</v>
      </c>
      <c r="V347" s="113">
        <v>30</v>
      </c>
      <c r="W347" s="129"/>
      <c r="X347" s="129"/>
      <c r="Y347" s="5"/>
      <c r="Z347" s="5"/>
      <c r="AA347" s="5"/>
      <c r="AB347" s="5"/>
      <c r="AC347" s="5"/>
      <c r="AD347" s="5"/>
      <c r="AE347" s="5"/>
    </row>
    <row r="348" spans="1:34" customFormat="1">
      <c r="A348" s="113">
        <v>274</v>
      </c>
      <c r="B348" s="113" t="s">
        <v>301</v>
      </c>
      <c r="C348" s="120" t="s">
        <v>5551</v>
      </c>
      <c r="D348" s="124">
        <v>0.5</v>
      </c>
      <c r="E348" s="124">
        <v>0.5</v>
      </c>
      <c r="F348" s="113" t="s">
        <v>14</v>
      </c>
      <c r="G348" s="113" t="s">
        <v>2119</v>
      </c>
      <c r="H348" s="113" t="s">
        <v>14</v>
      </c>
      <c r="I348" s="113" t="s">
        <v>158</v>
      </c>
      <c r="J348" s="118" t="s">
        <v>2129</v>
      </c>
      <c r="K348" s="118" t="s">
        <v>4658</v>
      </c>
      <c r="L348" s="118" t="s">
        <v>5550</v>
      </c>
      <c r="M348" s="115" t="s">
        <v>5550</v>
      </c>
      <c r="N348" s="115" t="s">
        <v>6398</v>
      </c>
      <c r="O348" s="115" t="s">
        <v>2128</v>
      </c>
      <c r="P348" s="113">
        <v>340</v>
      </c>
      <c r="Q348" s="113">
        <v>70</v>
      </c>
      <c r="R348" s="113">
        <v>70</v>
      </c>
      <c r="S348" s="113">
        <v>40</v>
      </c>
      <c r="T348" s="120">
        <v>60</v>
      </c>
      <c r="U348" s="113">
        <v>40</v>
      </c>
      <c r="V348" s="113">
        <v>60</v>
      </c>
      <c r="W348" s="129"/>
      <c r="X348" s="129"/>
      <c r="Y348" s="5"/>
      <c r="Z348" s="5"/>
      <c r="AA348" s="5"/>
      <c r="AB348" s="5"/>
      <c r="AC348" s="5"/>
      <c r="AD348" s="5"/>
      <c r="AE348" s="5"/>
    </row>
    <row r="349" spans="1:34" customFormat="1">
      <c r="A349" s="113">
        <v>275</v>
      </c>
      <c r="B349" s="113" t="s">
        <v>302</v>
      </c>
      <c r="C349" s="120" t="s">
        <v>5552</v>
      </c>
      <c r="D349" s="124">
        <v>0.5</v>
      </c>
      <c r="E349" s="124">
        <v>0.5</v>
      </c>
      <c r="F349" s="113" t="s">
        <v>14</v>
      </c>
      <c r="G349" s="113" t="s">
        <v>2119</v>
      </c>
      <c r="H349" s="113" t="s">
        <v>14</v>
      </c>
      <c r="I349" s="113" t="s">
        <v>158</v>
      </c>
      <c r="J349" s="118" t="s">
        <v>2129</v>
      </c>
      <c r="K349" s="118" t="s">
        <v>4658</v>
      </c>
      <c r="L349" s="118" t="s">
        <v>5550</v>
      </c>
      <c r="M349" s="115" t="s">
        <v>5551</v>
      </c>
      <c r="N349" s="115" t="s">
        <v>6399</v>
      </c>
      <c r="O349" s="115" t="s">
        <v>1803</v>
      </c>
      <c r="P349" s="113">
        <v>480</v>
      </c>
      <c r="Q349" s="113">
        <v>90</v>
      </c>
      <c r="R349" s="113">
        <v>100</v>
      </c>
      <c r="S349" s="113">
        <v>60</v>
      </c>
      <c r="T349" s="120">
        <v>90</v>
      </c>
      <c r="U349" s="113">
        <v>60</v>
      </c>
      <c r="V349" s="113">
        <v>80</v>
      </c>
      <c r="W349" s="129"/>
      <c r="X349" s="129"/>
      <c r="Y349" s="5"/>
      <c r="Z349" s="5"/>
      <c r="AA349" s="5"/>
      <c r="AB349" s="5"/>
      <c r="AC349" s="5"/>
      <c r="AD349" s="5"/>
      <c r="AE349" s="5"/>
    </row>
    <row r="350" spans="1:34" customFormat="1">
      <c r="A350" s="113">
        <v>276</v>
      </c>
      <c r="B350" s="113" t="s">
        <v>303</v>
      </c>
      <c r="C350" s="120" t="s">
        <v>5553</v>
      </c>
      <c r="D350" s="124">
        <v>0.5</v>
      </c>
      <c r="E350" s="124">
        <v>0.5</v>
      </c>
      <c r="F350" s="113" t="s">
        <v>22</v>
      </c>
      <c r="G350" s="113" t="s">
        <v>2119</v>
      </c>
      <c r="H350" s="113" t="s">
        <v>36</v>
      </c>
      <c r="I350" s="113" t="s">
        <v>22</v>
      </c>
      <c r="J350" s="118" t="s">
        <v>2129</v>
      </c>
      <c r="K350" s="118" t="s">
        <v>2712</v>
      </c>
      <c r="L350" s="118" t="s">
        <v>5553</v>
      </c>
      <c r="M350" s="115" t="s">
        <v>1109</v>
      </c>
      <c r="N350" s="115" t="s">
        <v>2129</v>
      </c>
      <c r="O350" s="115" t="s">
        <v>1109</v>
      </c>
      <c r="P350" s="113">
        <v>270</v>
      </c>
      <c r="Q350" s="113">
        <v>40</v>
      </c>
      <c r="R350" s="113">
        <v>55</v>
      </c>
      <c r="S350" s="113">
        <v>30</v>
      </c>
      <c r="T350" s="120">
        <v>30</v>
      </c>
      <c r="U350" s="113">
        <v>30</v>
      </c>
      <c r="V350" s="113">
        <v>85</v>
      </c>
      <c r="W350" s="129"/>
      <c r="X350" s="129"/>
      <c r="Y350" s="5"/>
      <c r="Z350" s="5"/>
      <c r="AA350" s="5"/>
      <c r="AB350" s="5"/>
      <c r="AC350" s="5"/>
      <c r="AD350" s="5"/>
      <c r="AE350" s="5"/>
    </row>
    <row r="351" spans="1:34" customFormat="1">
      <c r="A351" s="113">
        <v>277</v>
      </c>
      <c r="B351" s="113" t="s">
        <v>304</v>
      </c>
      <c r="C351" s="120" t="s">
        <v>5554</v>
      </c>
      <c r="D351" s="124">
        <v>0.5</v>
      </c>
      <c r="E351" s="124">
        <v>0.5</v>
      </c>
      <c r="F351" s="113" t="s">
        <v>22</v>
      </c>
      <c r="G351" s="113" t="s">
        <v>2119</v>
      </c>
      <c r="H351" s="113" t="s">
        <v>36</v>
      </c>
      <c r="I351" s="113" t="s">
        <v>22</v>
      </c>
      <c r="J351" s="118" t="s">
        <v>2129</v>
      </c>
      <c r="K351" s="118" t="s">
        <v>2712</v>
      </c>
      <c r="L351" s="118" t="s">
        <v>5553</v>
      </c>
      <c r="M351" s="115" t="s">
        <v>5553</v>
      </c>
      <c r="N351" s="115" t="s">
        <v>6399</v>
      </c>
      <c r="O351" s="115" t="s">
        <v>2128</v>
      </c>
      <c r="P351" s="113">
        <v>455</v>
      </c>
      <c r="Q351" s="113">
        <v>60</v>
      </c>
      <c r="R351" s="113">
        <v>85</v>
      </c>
      <c r="S351" s="113">
        <v>60</v>
      </c>
      <c r="T351" s="120">
        <v>75</v>
      </c>
      <c r="U351" s="113">
        <v>50</v>
      </c>
      <c r="V351" s="113">
        <v>125</v>
      </c>
      <c r="W351" s="129"/>
      <c r="X351" s="129"/>
      <c r="Y351" s="5"/>
      <c r="Z351" s="5"/>
      <c r="AA351" s="5"/>
      <c r="AB351" s="5"/>
      <c r="AC351" s="5"/>
      <c r="AD351" s="5"/>
      <c r="AE351" s="5"/>
    </row>
    <row r="352" spans="1:34" customFormat="1">
      <c r="A352" s="113">
        <v>278</v>
      </c>
      <c r="B352" s="113" t="s">
        <v>305</v>
      </c>
      <c r="C352" s="120" t="s">
        <v>5555</v>
      </c>
      <c r="D352" s="124">
        <v>0.5</v>
      </c>
      <c r="E352" s="124">
        <v>0.5</v>
      </c>
      <c r="F352" s="113" t="s">
        <v>22</v>
      </c>
      <c r="G352" s="113" t="s">
        <v>2119</v>
      </c>
      <c r="H352" s="113" t="s">
        <v>25</v>
      </c>
      <c r="I352" s="113" t="s">
        <v>22</v>
      </c>
      <c r="J352" s="118" t="s">
        <v>2129</v>
      </c>
      <c r="K352" s="118" t="s">
        <v>2712</v>
      </c>
      <c r="L352" s="118" t="s">
        <v>5555</v>
      </c>
      <c r="M352" s="115" t="s">
        <v>1109</v>
      </c>
      <c r="N352" s="115" t="s">
        <v>2129</v>
      </c>
      <c r="O352" s="115" t="s">
        <v>1109</v>
      </c>
      <c r="P352" s="113">
        <v>270</v>
      </c>
      <c r="Q352" s="113">
        <v>40</v>
      </c>
      <c r="R352" s="113">
        <v>30</v>
      </c>
      <c r="S352" s="113">
        <v>30</v>
      </c>
      <c r="T352" s="120">
        <v>55</v>
      </c>
      <c r="U352" s="113">
        <v>30</v>
      </c>
      <c r="V352" s="113">
        <v>85</v>
      </c>
      <c r="W352" s="129"/>
      <c r="X352" s="129"/>
      <c r="Y352" s="5"/>
      <c r="Z352" s="5"/>
      <c r="AA352" s="5"/>
      <c r="AB352" s="5"/>
      <c r="AC352" s="5"/>
      <c r="AD352" s="5"/>
      <c r="AE352" s="5"/>
    </row>
    <row r="353" spans="1:31" customFormat="1">
      <c r="A353" s="113">
        <v>279</v>
      </c>
      <c r="B353" s="113" t="s">
        <v>306</v>
      </c>
      <c r="C353" s="120" t="s">
        <v>5556</v>
      </c>
      <c r="D353" s="124">
        <v>0.5</v>
      </c>
      <c r="E353" s="124">
        <v>0.5</v>
      </c>
      <c r="F353" s="113" t="s">
        <v>22</v>
      </c>
      <c r="G353" s="113" t="s">
        <v>2119</v>
      </c>
      <c r="H353" s="113" t="s">
        <v>25</v>
      </c>
      <c r="I353" s="113" t="s">
        <v>22</v>
      </c>
      <c r="J353" s="118" t="s">
        <v>2129</v>
      </c>
      <c r="K353" s="118" t="s">
        <v>2712</v>
      </c>
      <c r="L353" s="118" t="s">
        <v>5555</v>
      </c>
      <c r="M353" s="115" t="s">
        <v>5555</v>
      </c>
      <c r="N353" s="115" t="s">
        <v>6399</v>
      </c>
      <c r="O353" s="115" t="s">
        <v>2128</v>
      </c>
      <c r="P353" s="113">
        <v>440</v>
      </c>
      <c r="Q353" s="113">
        <v>60</v>
      </c>
      <c r="R353" s="113">
        <v>50</v>
      </c>
      <c r="S353" s="113">
        <v>100</v>
      </c>
      <c r="T353" s="120">
        <v>95</v>
      </c>
      <c r="U353" s="113">
        <v>70</v>
      </c>
      <c r="V353" s="113">
        <v>65</v>
      </c>
      <c r="W353" s="129"/>
      <c r="X353" s="129"/>
      <c r="Y353" s="5"/>
      <c r="Z353" s="5"/>
      <c r="AA353" s="5"/>
      <c r="AB353" s="5"/>
      <c r="AC353" s="5"/>
      <c r="AD353" s="5"/>
      <c r="AE353" s="5"/>
    </row>
    <row r="354" spans="1:31" customFormat="1">
      <c r="A354" s="113">
        <v>280</v>
      </c>
      <c r="B354" s="113" t="s">
        <v>307</v>
      </c>
      <c r="C354" s="120" t="s">
        <v>5557</v>
      </c>
      <c r="D354" s="124">
        <v>0.5</v>
      </c>
      <c r="E354" s="124">
        <v>0.5</v>
      </c>
      <c r="F354" s="113" t="s">
        <v>2334</v>
      </c>
      <c r="G354" s="113" t="s">
        <v>2119</v>
      </c>
      <c r="H354" s="113" t="s">
        <v>86</v>
      </c>
      <c r="I354" s="113" t="s">
        <v>56</v>
      </c>
      <c r="J354" s="118" t="s">
        <v>2129</v>
      </c>
      <c r="K354" s="118" t="s">
        <v>4657</v>
      </c>
      <c r="L354" s="118" t="s">
        <v>5557</v>
      </c>
      <c r="M354" s="115" t="s">
        <v>1109</v>
      </c>
      <c r="N354" s="115" t="s">
        <v>2129</v>
      </c>
      <c r="O354" s="115" t="s">
        <v>1109</v>
      </c>
      <c r="P354" s="113">
        <v>198</v>
      </c>
      <c r="Q354" s="113">
        <v>28</v>
      </c>
      <c r="R354" s="113">
        <v>25</v>
      </c>
      <c r="S354" s="113">
        <v>25</v>
      </c>
      <c r="T354" s="120">
        <v>45</v>
      </c>
      <c r="U354" s="113">
        <v>35</v>
      </c>
      <c r="V354" s="113">
        <v>40</v>
      </c>
      <c r="W354" s="129"/>
      <c r="X354" s="129"/>
      <c r="Y354" s="5"/>
      <c r="Z354" s="5"/>
      <c r="AA354" s="5"/>
      <c r="AB354" s="5"/>
      <c r="AC354" s="5"/>
      <c r="AD354" s="5"/>
      <c r="AE354" s="5"/>
    </row>
    <row r="355" spans="1:31" customFormat="1">
      <c r="A355" s="113">
        <v>281</v>
      </c>
      <c r="B355" s="113" t="s">
        <v>308</v>
      </c>
      <c r="C355" s="120" t="s">
        <v>5558</v>
      </c>
      <c r="D355" s="124">
        <v>0.5</v>
      </c>
      <c r="E355" s="124">
        <v>0.5</v>
      </c>
      <c r="F355" s="113" t="s">
        <v>2334</v>
      </c>
      <c r="G355" s="113" t="s">
        <v>2119</v>
      </c>
      <c r="H355" s="113" t="s">
        <v>86</v>
      </c>
      <c r="I355" s="113" t="s">
        <v>56</v>
      </c>
      <c r="J355" s="118" t="s">
        <v>2129</v>
      </c>
      <c r="K355" s="118" t="s">
        <v>4657</v>
      </c>
      <c r="L355" s="118" t="s">
        <v>5557</v>
      </c>
      <c r="M355" s="115" t="s">
        <v>5557</v>
      </c>
      <c r="N355" s="115" t="s">
        <v>6398</v>
      </c>
      <c r="O355" s="115" t="s">
        <v>2128</v>
      </c>
      <c r="P355" s="113">
        <v>278</v>
      </c>
      <c r="Q355" s="113">
        <v>38</v>
      </c>
      <c r="R355" s="113">
        <v>35</v>
      </c>
      <c r="S355" s="113">
        <v>35</v>
      </c>
      <c r="T355" s="120">
        <v>65</v>
      </c>
      <c r="U355" s="113">
        <v>55</v>
      </c>
      <c r="V355" s="113">
        <v>50</v>
      </c>
      <c r="W355" s="129"/>
      <c r="X355" s="129"/>
      <c r="Y355" s="5"/>
      <c r="Z355" s="5"/>
      <c r="AA355" s="5"/>
      <c r="AB355" s="5"/>
      <c r="AC355" s="5"/>
      <c r="AD355" s="5"/>
      <c r="AE355" s="5"/>
    </row>
    <row r="356" spans="1:31" customFormat="1">
      <c r="A356" s="113">
        <v>282</v>
      </c>
      <c r="B356" s="113" t="s">
        <v>309</v>
      </c>
      <c r="C356" s="120" t="s">
        <v>5559</v>
      </c>
      <c r="D356" s="124">
        <v>0</v>
      </c>
      <c r="E356" s="124">
        <v>1</v>
      </c>
      <c r="F356" s="113" t="s">
        <v>2334</v>
      </c>
      <c r="G356" s="113" t="s">
        <v>2119</v>
      </c>
      <c r="H356" s="113" t="s">
        <v>86</v>
      </c>
      <c r="I356" s="113" t="s">
        <v>56</v>
      </c>
      <c r="J356" s="118" t="s">
        <v>2129</v>
      </c>
      <c r="K356" s="118" t="s">
        <v>4657</v>
      </c>
      <c r="L356" s="118" t="s">
        <v>5557</v>
      </c>
      <c r="M356" s="115" t="s">
        <v>5558</v>
      </c>
      <c r="N356" s="115" t="s">
        <v>6399</v>
      </c>
      <c r="O356" s="115" t="s">
        <v>2128</v>
      </c>
      <c r="P356" s="113">
        <v>518</v>
      </c>
      <c r="Q356" s="113">
        <v>68</v>
      </c>
      <c r="R356" s="113">
        <v>65</v>
      </c>
      <c r="S356" s="113">
        <v>65</v>
      </c>
      <c r="T356" s="120">
        <v>125</v>
      </c>
      <c r="U356" s="113">
        <v>115</v>
      </c>
      <c r="V356" s="113">
        <v>80</v>
      </c>
      <c r="W356" s="129"/>
      <c r="X356" s="129"/>
      <c r="Y356" s="5"/>
      <c r="Z356" s="5"/>
      <c r="AA356" s="5"/>
      <c r="AB356" s="5"/>
      <c r="AC356" s="5"/>
      <c r="AD356" s="5"/>
      <c r="AE356" s="5"/>
    </row>
    <row r="357" spans="1:31" customFormat="1" hidden="1">
      <c r="A357" s="113">
        <v>282</v>
      </c>
      <c r="B357" s="113" t="s">
        <v>2909</v>
      </c>
      <c r="C357" s="120" t="s">
        <v>5560</v>
      </c>
      <c r="D357" s="124">
        <v>0</v>
      </c>
      <c r="E357" s="124">
        <v>1</v>
      </c>
      <c r="F357" s="113" t="s">
        <v>2334</v>
      </c>
      <c r="G357" s="113" t="s">
        <v>2119</v>
      </c>
      <c r="H357" s="113" t="s">
        <v>86</v>
      </c>
      <c r="I357" s="113" t="s">
        <v>56</v>
      </c>
      <c r="J357" s="118" t="s">
        <v>3973</v>
      </c>
      <c r="K357" s="118" t="s">
        <v>4659</v>
      </c>
      <c r="L357" s="118" t="s">
        <v>5557</v>
      </c>
      <c r="M357" s="115" t="s">
        <v>5559</v>
      </c>
      <c r="N357" s="115" t="s">
        <v>3973</v>
      </c>
      <c r="O357" s="115" t="s">
        <v>4480</v>
      </c>
      <c r="P357" s="113">
        <v>618</v>
      </c>
      <c r="Q357" s="113">
        <v>68</v>
      </c>
      <c r="R357" s="113">
        <v>85</v>
      </c>
      <c r="S357" s="113">
        <v>65</v>
      </c>
      <c r="T357" s="120">
        <v>165</v>
      </c>
      <c r="U357" s="113">
        <v>135</v>
      </c>
      <c r="V357" s="113">
        <v>100</v>
      </c>
      <c r="W357" s="129"/>
      <c r="X357" s="129"/>
      <c r="Y357" s="5"/>
      <c r="Z357" s="5"/>
      <c r="AA357" s="5"/>
      <c r="AB357" s="5"/>
      <c r="AC357" s="5"/>
      <c r="AD357" s="5"/>
      <c r="AE357" s="5"/>
    </row>
    <row r="358" spans="1:31" customFormat="1">
      <c r="A358" s="113">
        <v>283</v>
      </c>
      <c r="B358" s="113" t="s">
        <v>310</v>
      </c>
      <c r="C358" s="120" t="s">
        <v>5561</v>
      </c>
      <c r="D358" s="124">
        <v>0.5</v>
      </c>
      <c r="E358" s="124">
        <v>0.5</v>
      </c>
      <c r="F358" s="113" t="s">
        <v>29</v>
      </c>
      <c r="G358" s="113" t="s">
        <v>2119</v>
      </c>
      <c r="H358" s="113" t="s">
        <v>29</v>
      </c>
      <c r="I358" s="113" t="s">
        <v>25</v>
      </c>
      <c r="J358" s="118" t="s">
        <v>2129</v>
      </c>
      <c r="K358" s="118" t="s">
        <v>2712</v>
      </c>
      <c r="L358" s="118" t="s">
        <v>5561</v>
      </c>
      <c r="M358" s="115" t="s">
        <v>1109</v>
      </c>
      <c r="N358" s="115" t="s">
        <v>2129</v>
      </c>
      <c r="O358" s="115" t="s">
        <v>1109</v>
      </c>
      <c r="P358" s="113">
        <v>269</v>
      </c>
      <c r="Q358" s="113">
        <v>40</v>
      </c>
      <c r="R358" s="113">
        <v>30</v>
      </c>
      <c r="S358" s="113">
        <v>32</v>
      </c>
      <c r="T358" s="120">
        <v>50</v>
      </c>
      <c r="U358" s="113">
        <v>52</v>
      </c>
      <c r="V358" s="113">
        <v>65</v>
      </c>
      <c r="W358" s="129"/>
      <c r="X358" s="129"/>
      <c r="Y358" s="5"/>
      <c r="Z358" s="5"/>
      <c r="AA358" s="5"/>
      <c r="AB358" s="5"/>
      <c r="AC358" s="5"/>
      <c r="AD358" s="5"/>
      <c r="AE358" s="5"/>
    </row>
    <row r="359" spans="1:31" customFormat="1">
      <c r="A359" s="113">
        <v>284</v>
      </c>
      <c r="B359" s="113" t="s">
        <v>311</v>
      </c>
      <c r="C359" s="120" t="s">
        <v>5562</v>
      </c>
      <c r="D359" s="124">
        <v>0.5</v>
      </c>
      <c r="E359" s="124">
        <v>0.5</v>
      </c>
      <c r="F359" s="113" t="s">
        <v>29</v>
      </c>
      <c r="G359" s="113" t="s">
        <v>2119</v>
      </c>
      <c r="H359" s="113" t="s">
        <v>29</v>
      </c>
      <c r="I359" s="113" t="s">
        <v>22</v>
      </c>
      <c r="J359" s="118" t="s">
        <v>2129</v>
      </c>
      <c r="K359" s="118" t="s">
        <v>2712</v>
      </c>
      <c r="L359" s="118" t="s">
        <v>5561</v>
      </c>
      <c r="M359" s="115" t="s">
        <v>5561</v>
      </c>
      <c r="N359" s="115" t="s">
        <v>6399</v>
      </c>
      <c r="O359" s="115" t="s">
        <v>2128</v>
      </c>
      <c r="P359" s="113">
        <v>454</v>
      </c>
      <c r="Q359" s="113">
        <v>70</v>
      </c>
      <c r="R359" s="113">
        <v>60</v>
      </c>
      <c r="S359" s="113">
        <v>62</v>
      </c>
      <c r="T359" s="120">
        <v>100</v>
      </c>
      <c r="U359" s="113">
        <v>82</v>
      </c>
      <c r="V359" s="113">
        <v>80</v>
      </c>
      <c r="W359" s="129"/>
      <c r="X359" s="129"/>
      <c r="Y359" s="5"/>
      <c r="Z359" s="5"/>
      <c r="AA359" s="5"/>
      <c r="AB359" s="5"/>
      <c r="AC359" s="5"/>
      <c r="AD359" s="5"/>
      <c r="AE359" s="5"/>
    </row>
    <row r="360" spans="1:31" customFormat="1">
      <c r="A360" s="113">
        <v>285</v>
      </c>
      <c r="B360" s="113" t="s">
        <v>312</v>
      </c>
      <c r="C360" s="120" t="s">
        <v>5563</v>
      </c>
      <c r="D360" s="124">
        <v>0.5</v>
      </c>
      <c r="E360" s="124">
        <v>0.5</v>
      </c>
      <c r="F360" s="113" t="s">
        <v>14</v>
      </c>
      <c r="G360" s="113" t="s">
        <v>2119</v>
      </c>
      <c r="H360" s="113" t="s">
        <v>14</v>
      </c>
      <c r="I360" s="113" t="s">
        <v>1109</v>
      </c>
      <c r="J360" s="118" t="s">
        <v>2129</v>
      </c>
      <c r="K360" s="118" t="s">
        <v>4658</v>
      </c>
      <c r="L360" s="118" t="s">
        <v>5563</v>
      </c>
      <c r="M360" s="115" t="s">
        <v>1109</v>
      </c>
      <c r="N360" s="115" t="s">
        <v>2129</v>
      </c>
      <c r="O360" s="115" t="s">
        <v>1109</v>
      </c>
      <c r="P360" s="113">
        <v>295</v>
      </c>
      <c r="Q360" s="113">
        <v>60</v>
      </c>
      <c r="R360" s="113">
        <v>40</v>
      </c>
      <c r="S360" s="113">
        <v>60</v>
      </c>
      <c r="T360" s="120">
        <v>40</v>
      </c>
      <c r="U360" s="113">
        <v>60</v>
      </c>
      <c r="V360" s="113">
        <v>35</v>
      </c>
      <c r="W360" s="129"/>
      <c r="X360" s="129"/>
      <c r="Y360" s="5"/>
      <c r="Z360" s="5"/>
      <c r="AA360" s="5"/>
      <c r="AB360" s="5"/>
      <c r="AC360" s="5"/>
      <c r="AD360" s="5"/>
      <c r="AE360" s="5"/>
    </row>
    <row r="361" spans="1:31" customFormat="1">
      <c r="A361" s="113">
        <v>286</v>
      </c>
      <c r="B361" s="113" t="s">
        <v>313</v>
      </c>
      <c r="C361" s="120" t="s">
        <v>5564</v>
      </c>
      <c r="D361" s="124">
        <v>0.5</v>
      </c>
      <c r="E361" s="124">
        <v>0.5</v>
      </c>
      <c r="F361" s="113" t="s">
        <v>14</v>
      </c>
      <c r="G361" s="113" t="s">
        <v>2119</v>
      </c>
      <c r="H361" s="113" t="s">
        <v>14</v>
      </c>
      <c r="I361" s="113" t="s">
        <v>78</v>
      </c>
      <c r="J361" s="118" t="s">
        <v>2129</v>
      </c>
      <c r="K361" s="118" t="s">
        <v>4658</v>
      </c>
      <c r="L361" s="118" t="s">
        <v>5563</v>
      </c>
      <c r="M361" s="115" t="s">
        <v>5563</v>
      </c>
      <c r="N361" s="115" t="s">
        <v>6399</v>
      </c>
      <c r="O361" s="115" t="s">
        <v>2128</v>
      </c>
      <c r="P361" s="113">
        <v>460</v>
      </c>
      <c r="Q361" s="113">
        <v>60</v>
      </c>
      <c r="R361" s="113">
        <v>130</v>
      </c>
      <c r="S361" s="113">
        <v>80</v>
      </c>
      <c r="T361" s="120">
        <v>60</v>
      </c>
      <c r="U361" s="113">
        <v>60</v>
      </c>
      <c r="V361" s="113">
        <v>70</v>
      </c>
      <c r="W361" s="129"/>
      <c r="X361" s="129"/>
      <c r="Y361" s="5"/>
      <c r="Z361" s="5"/>
      <c r="AA361" s="5"/>
      <c r="AB361" s="5"/>
      <c r="AC361" s="5"/>
      <c r="AD361" s="5"/>
      <c r="AE361" s="5"/>
    </row>
    <row r="362" spans="1:31" customFormat="1">
      <c r="A362" s="113">
        <v>287</v>
      </c>
      <c r="B362" s="113" t="s">
        <v>314</v>
      </c>
      <c r="C362" s="120" t="s">
        <v>5565</v>
      </c>
      <c r="D362" s="124">
        <v>0.5</v>
      </c>
      <c r="E362" s="124">
        <v>0.5</v>
      </c>
      <c r="F362" s="113" t="s">
        <v>2332</v>
      </c>
      <c r="G362" s="113" t="s">
        <v>2119</v>
      </c>
      <c r="H362" s="113" t="s">
        <v>36</v>
      </c>
      <c r="I362" s="113" t="s">
        <v>1109</v>
      </c>
      <c r="J362" s="118" t="s">
        <v>2129</v>
      </c>
      <c r="K362" s="118" t="s">
        <v>4658</v>
      </c>
      <c r="L362" s="118" t="s">
        <v>5565</v>
      </c>
      <c r="M362" s="115" t="s">
        <v>1109</v>
      </c>
      <c r="N362" s="115" t="s">
        <v>2129</v>
      </c>
      <c r="O362" s="115" t="s">
        <v>1109</v>
      </c>
      <c r="P362" s="113">
        <v>280</v>
      </c>
      <c r="Q362" s="113">
        <v>60</v>
      </c>
      <c r="R362" s="113">
        <v>60</v>
      </c>
      <c r="S362" s="113">
        <v>60</v>
      </c>
      <c r="T362" s="120">
        <v>35</v>
      </c>
      <c r="U362" s="113">
        <v>35</v>
      </c>
      <c r="V362" s="113">
        <v>30</v>
      </c>
      <c r="W362" s="129"/>
      <c r="X362" s="129"/>
      <c r="Y362" s="5"/>
      <c r="Z362" s="5"/>
      <c r="AA362" s="5"/>
      <c r="AB362" s="5"/>
      <c r="AC362" s="5"/>
      <c r="AD362" s="5"/>
      <c r="AE362" s="5"/>
    </row>
    <row r="363" spans="1:31" customFormat="1">
      <c r="A363" s="113">
        <v>288</v>
      </c>
      <c r="B363" s="113" t="s">
        <v>315</v>
      </c>
      <c r="C363" s="120" t="s">
        <v>5566</v>
      </c>
      <c r="D363" s="124">
        <v>0.5</v>
      </c>
      <c r="E363" s="124">
        <v>0.5</v>
      </c>
      <c r="F363" s="113" t="s">
        <v>2332</v>
      </c>
      <c r="G363" s="113" t="s">
        <v>2119</v>
      </c>
      <c r="H363" s="113" t="s">
        <v>36</v>
      </c>
      <c r="I363" s="113" t="s">
        <v>1109</v>
      </c>
      <c r="J363" s="118" t="s">
        <v>2129</v>
      </c>
      <c r="K363" s="118" t="s">
        <v>4658</v>
      </c>
      <c r="L363" s="118" t="s">
        <v>5565</v>
      </c>
      <c r="M363" s="115" t="s">
        <v>5565</v>
      </c>
      <c r="N363" s="115" t="s">
        <v>6398</v>
      </c>
      <c r="O363" s="115" t="s">
        <v>2128</v>
      </c>
      <c r="P363" s="113">
        <v>440</v>
      </c>
      <c r="Q363" s="113">
        <v>80</v>
      </c>
      <c r="R363" s="113">
        <v>80</v>
      </c>
      <c r="S363" s="113">
        <v>80</v>
      </c>
      <c r="T363" s="120">
        <v>55</v>
      </c>
      <c r="U363" s="113">
        <v>55</v>
      </c>
      <c r="V363" s="113">
        <v>90</v>
      </c>
      <c r="W363" s="129"/>
      <c r="X363" s="129"/>
      <c r="Y363" s="5"/>
      <c r="Z363" s="5"/>
      <c r="AA363" s="5"/>
      <c r="AB363" s="5"/>
      <c r="AC363" s="5"/>
      <c r="AD363" s="5"/>
      <c r="AE363" s="5"/>
    </row>
    <row r="364" spans="1:31" customFormat="1">
      <c r="A364" s="113">
        <v>289</v>
      </c>
      <c r="B364" s="113" t="s">
        <v>316</v>
      </c>
      <c r="C364" s="120" t="s">
        <v>5567</v>
      </c>
      <c r="D364" s="124">
        <v>0.5</v>
      </c>
      <c r="E364" s="124">
        <v>0.5</v>
      </c>
      <c r="F364" s="113" t="s">
        <v>2332</v>
      </c>
      <c r="G364" s="113" t="s">
        <v>2119</v>
      </c>
      <c r="H364" s="113" t="s">
        <v>36</v>
      </c>
      <c r="I364" s="113" t="s">
        <v>1109</v>
      </c>
      <c r="J364" s="118" t="s">
        <v>2129</v>
      </c>
      <c r="K364" s="118" t="s">
        <v>4658</v>
      </c>
      <c r="L364" s="118" t="s">
        <v>5565</v>
      </c>
      <c r="M364" s="115" t="s">
        <v>5566</v>
      </c>
      <c r="N364" s="115" t="s">
        <v>6399</v>
      </c>
      <c r="O364" s="115" t="s">
        <v>2128</v>
      </c>
      <c r="P364" s="113">
        <v>670</v>
      </c>
      <c r="Q364" s="113">
        <v>150</v>
      </c>
      <c r="R364" s="113">
        <v>160</v>
      </c>
      <c r="S364" s="113">
        <v>100</v>
      </c>
      <c r="T364" s="120">
        <v>95</v>
      </c>
      <c r="U364" s="113">
        <v>65</v>
      </c>
      <c r="V364" s="113">
        <v>100</v>
      </c>
      <c r="W364" s="129"/>
      <c r="X364" s="129"/>
      <c r="Y364" s="5"/>
      <c r="Z364" s="5"/>
      <c r="AA364" s="5"/>
      <c r="AB364" s="5"/>
      <c r="AC364" s="5"/>
      <c r="AD364" s="5"/>
      <c r="AE364" s="5"/>
    </row>
    <row r="365" spans="1:31" customFormat="1">
      <c r="A365" s="113">
        <v>290</v>
      </c>
      <c r="B365" s="113" t="s">
        <v>317</v>
      </c>
      <c r="C365" s="120" t="s">
        <v>5568</v>
      </c>
      <c r="D365" s="124">
        <v>0.5</v>
      </c>
      <c r="E365" s="124">
        <v>0.5</v>
      </c>
      <c r="F365" s="113" t="s">
        <v>29</v>
      </c>
      <c r="G365" s="113" t="s">
        <v>2119</v>
      </c>
      <c r="H365" s="113" t="s">
        <v>29</v>
      </c>
      <c r="I365" s="113" t="s">
        <v>49</v>
      </c>
      <c r="J365" s="118" t="s">
        <v>2129</v>
      </c>
      <c r="K365" s="118" t="s">
        <v>4658</v>
      </c>
      <c r="L365" s="118" t="s">
        <v>5568</v>
      </c>
      <c r="M365" s="115" t="s">
        <v>1109</v>
      </c>
      <c r="N365" s="115" t="s">
        <v>2129</v>
      </c>
      <c r="O365" s="115" t="s">
        <v>1109</v>
      </c>
      <c r="P365" s="113">
        <v>266</v>
      </c>
      <c r="Q365" s="113">
        <v>31</v>
      </c>
      <c r="R365" s="113">
        <v>45</v>
      </c>
      <c r="S365" s="113">
        <v>90</v>
      </c>
      <c r="T365" s="120">
        <v>30</v>
      </c>
      <c r="U365" s="113">
        <v>30</v>
      </c>
      <c r="V365" s="113">
        <v>40</v>
      </c>
      <c r="W365" s="129"/>
      <c r="X365" s="129"/>
      <c r="Y365" s="5"/>
      <c r="Z365" s="5"/>
      <c r="AA365" s="5"/>
      <c r="AB365" s="5"/>
      <c r="AC365" s="5"/>
      <c r="AD365" s="5"/>
      <c r="AE365" s="5"/>
    </row>
    <row r="366" spans="1:31" customFormat="1">
      <c r="A366" s="113">
        <v>291</v>
      </c>
      <c r="B366" s="113" t="s">
        <v>318</v>
      </c>
      <c r="C366" s="120" t="s">
        <v>5569</v>
      </c>
      <c r="D366" s="124">
        <v>0.5</v>
      </c>
      <c r="E366" s="124">
        <v>0.5</v>
      </c>
      <c r="F366" s="113" t="s">
        <v>29</v>
      </c>
      <c r="G366" s="113" t="s">
        <v>2119</v>
      </c>
      <c r="H366" s="113" t="s">
        <v>29</v>
      </c>
      <c r="I366" s="113" t="s">
        <v>22</v>
      </c>
      <c r="J366" s="118" t="s">
        <v>2129</v>
      </c>
      <c r="K366" s="118" t="s">
        <v>4658</v>
      </c>
      <c r="L366" s="118" t="s">
        <v>5568</v>
      </c>
      <c r="M366" s="115" t="s">
        <v>5568</v>
      </c>
      <c r="N366" s="115" t="s">
        <v>6399</v>
      </c>
      <c r="O366" s="115" t="s">
        <v>2128</v>
      </c>
      <c r="P366" s="113">
        <v>456</v>
      </c>
      <c r="Q366" s="113">
        <v>61</v>
      </c>
      <c r="R366" s="113">
        <v>90</v>
      </c>
      <c r="S366" s="113">
        <v>45</v>
      </c>
      <c r="T366" s="120">
        <v>50</v>
      </c>
      <c r="U366" s="113">
        <v>50</v>
      </c>
      <c r="V366" s="113">
        <v>160</v>
      </c>
      <c r="W366" s="129"/>
      <c r="X366" s="129"/>
      <c r="Y366" s="5"/>
      <c r="Z366" s="5"/>
      <c r="AA366" s="5"/>
      <c r="AB366" s="5"/>
      <c r="AC366" s="5"/>
      <c r="AD366" s="5"/>
      <c r="AE366" s="5"/>
    </row>
    <row r="367" spans="1:31" customFormat="1">
      <c r="A367" s="113">
        <v>292</v>
      </c>
      <c r="B367" s="113" t="s">
        <v>319</v>
      </c>
      <c r="C367" s="120" t="s">
        <v>5570</v>
      </c>
      <c r="D367" s="124" t="s">
        <v>1109</v>
      </c>
      <c r="E367" s="124" t="s">
        <v>1109</v>
      </c>
      <c r="F367" s="113" t="s">
        <v>2112</v>
      </c>
      <c r="G367" s="113" t="s">
        <v>2119</v>
      </c>
      <c r="H367" s="113" t="s">
        <v>29</v>
      </c>
      <c r="I367" s="113" t="s">
        <v>119</v>
      </c>
      <c r="J367" s="118" t="s">
        <v>2129</v>
      </c>
      <c r="K367" s="118" t="s">
        <v>4658</v>
      </c>
      <c r="L367" s="118" t="s">
        <v>5568</v>
      </c>
      <c r="M367" s="115" t="s">
        <v>5568</v>
      </c>
      <c r="N367" s="115" t="s">
        <v>6399</v>
      </c>
      <c r="O367" s="115" t="s">
        <v>814</v>
      </c>
      <c r="P367" s="113">
        <v>236</v>
      </c>
      <c r="Q367" s="113">
        <v>1</v>
      </c>
      <c r="R367" s="113">
        <v>90</v>
      </c>
      <c r="S367" s="113">
        <v>45</v>
      </c>
      <c r="T367" s="120">
        <v>30</v>
      </c>
      <c r="U367" s="113">
        <v>30</v>
      </c>
      <c r="V367" s="113">
        <v>40</v>
      </c>
      <c r="W367" s="129"/>
      <c r="X367" s="129"/>
      <c r="Y367" s="5"/>
      <c r="Z367" s="5"/>
      <c r="AA367" s="5"/>
      <c r="AB367" s="5"/>
      <c r="AC367" s="5"/>
      <c r="AD367" s="5"/>
      <c r="AE367" s="5"/>
    </row>
    <row r="368" spans="1:31" customFormat="1">
      <c r="A368" s="113">
        <v>293</v>
      </c>
      <c r="B368" s="113" t="s">
        <v>320</v>
      </c>
      <c r="C368" s="120" t="s">
        <v>5571</v>
      </c>
      <c r="D368" s="124">
        <v>0.5</v>
      </c>
      <c r="E368" s="124">
        <v>0.5</v>
      </c>
      <c r="F368" s="113" t="s">
        <v>2332</v>
      </c>
      <c r="G368" s="113" t="s">
        <v>2119</v>
      </c>
      <c r="H368" s="113" t="s">
        <v>36</v>
      </c>
      <c r="I368" s="113" t="s">
        <v>1109</v>
      </c>
      <c r="J368" s="118" t="s">
        <v>2129</v>
      </c>
      <c r="K368" s="118" t="s">
        <v>2712</v>
      </c>
      <c r="L368" s="118" t="s">
        <v>5571</v>
      </c>
      <c r="M368" s="115" t="s">
        <v>1109</v>
      </c>
      <c r="N368" s="115" t="s">
        <v>2129</v>
      </c>
      <c r="O368" s="115" t="s">
        <v>1109</v>
      </c>
      <c r="P368" s="113">
        <v>240</v>
      </c>
      <c r="Q368" s="113">
        <v>64</v>
      </c>
      <c r="R368" s="113">
        <v>51</v>
      </c>
      <c r="S368" s="113">
        <v>23</v>
      </c>
      <c r="T368" s="120">
        <v>51</v>
      </c>
      <c r="U368" s="113">
        <v>23</v>
      </c>
      <c r="V368" s="113">
        <v>28</v>
      </c>
      <c r="W368" s="129"/>
      <c r="X368" s="129"/>
      <c r="Y368" s="5"/>
      <c r="Z368" s="5"/>
      <c r="AA368" s="5"/>
      <c r="AB368" s="5"/>
      <c r="AC368" s="5"/>
      <c r="AD368" s="5"/>
      <c r="AE368" s="5"/>
    </row>
    <row r="369" spans="1:31" customFormat="1">
      <c r="A369" s="113">
        <v>294</v>
      </c>
      <c r="B369" s="113" t="s">
        <v>321</v>
      </c>
      <c r="C369" s="120" t="s">
        <v>5572</v>
      </c>
      <c r="D369" s="124">
        <v>0.5</v>
      </c>
      <c r="E369" s="124">
        <v>0.5</v>
      </c>
      <c r="F369" s="113" t="s">
        <v>2332</v>
      </c>
      <c r="G369" s="113" t="s">
        <v>2119</v>
      </c>
      <c r="H369" s="113" t="s">
        <v>36</v>
      </c>
      <c r="I369" s="113" t="s">
        <v>1109</v>
      </c>
      <c r="J369" s="118" t="s">
        <v>2129</v>
      </c>
      <c r="K369" s="118" t="s">
        <v>2712</v>
      </c>
      <c r="L369" s="118" t="s">
        <v>5571</v>
      </c>
      <c r="M369" s="115" t="s">
        <v>5571</v>
      </c>
      <c r="N369" s="115" t="s">
        <v>6398</v>
      </c>
      <c r="O369" s="115" t="s">
        <v>2128</v>
      </c>
      <c r="P369" s="113">
        <v>360</v>
      </c>
      <c r="Q369" s="113">
        <v>84</v>
      </c>
      <c r="R369" s="113">
        <v>71</v>
      </c>
      <c r="S369" s="113">
        <v>43</v>
      </c>
      <c r="T369" s="120">
        <v>71</v>
      </c>
      <c r="U369" s="113">
        <v>43</v>
      </c>
      <c r="V369" s="113">
        <v>48</v>
      </c>
      <c r="W369" s="129"/>
      <c r="X369" s="129"/>
      <c r="Y369" s="5"/>
      <c r="Z369" s="5"/>
      <c r="AA369" s="5"/>
      <c r="AB369" s="5"/>
      <c r="AC369" s="5"/>
      <c r="AD369" s="5"/>
      <c r="AE369" s="5"/>
    </row>
    <row r="370" spans="1:31" customFormat="1">
      <c r="A370" s="113">
        <v>295</v>
      </c>
      <c r="B370" s="113" t="s">
        <v>322</v>
      </c>
      <c r="C370" s="120" t="s">
        <v>5573</v>
      </c>
      <c r="D370" s="124">
        <v>0.5</v>
      </c>
      <c r="E370" s="124">
        <v>0.5</v>
      </c>
      <c r="F370" s="113" t="s">
        <v>2332</v>
      </c>
      <c r="G370" s="113" t="s">
        <v>2119</v>
      </c>
      <c r="H370" s="113" t="s">
        <v>36</v>
      </c>
      <c r="I370" s="113" t="s">
        <v>1109</v>
      </c>
      <c r="J370" s="118" t="s">
        <v>2129</v>
      </c>
      <c r="K370" s="118" t="s">
        <v>2712</v>
      </c>
      <c r="L370" s="118" t="s">
        <v>5571</v>
      </c>
      <c r="M370" s="115" t="s">
        <v>5572</v>
      </c>
      <c r="N370" s="115" t="s">
        <v>6399</v>
      </c>
      <c r="O370" s="115" t="s">
        <v>2128</v>
      </c>
      <c r="P370" s="113">
        <v>490</v>
      </c>
      <c r="Q370" s="113">
        <v>104</v>
      </c>
      <c r="R370" s="113">
        <v>91</v>
      </c>
      <c r="S370" s="113">
        <v>63</v>
      </c>
      <c r="T370" s="120">
        <v>91</v>
      </c>
      <c r="U370" s="113">
        <v>73</v>
      </c>
      <c r="V370" s="113">
        <v>68</v>
      </c>
      <c r="W370" s="129"/>
      <c r="X370" s="129"/>
      <c r="Y370" s="5"/>
      <c r="Z370" s="5"/>
      <c r="AA370" s="5"/>
      <c r="AB370" s="5"/>
      <c r="AC370" s="5"/>
      <c r="AD370" s="5"/>
      <c r="AE370" s="5"/>
    </row>
    <row r="371" spans="1:31" customFormat="1">
      <c r="A371" s="113">
        <v>296</v>
      </c>
      <c r="B371" s="113" t="s">
        <v>323</v>
      </c>
      <c r="C371" s="120" t="s">
        <v>5574</v>
      </c>
      <c r="D371" s="124">
        <v>0.75</v>
      </c>
      <c r="E371" s="124">
        <v>0.25</v>
      </c>
      <c r="F371" s="113" t="s">
        <v>2334</v>
      </c>
      <c r="G371" s="113" t="s">
        <v>2119</v>
      </c>
      <c r="H371" s="113" t="s">
        <v>78</v>
      </c>
      <c r="I371" s="113" t="s">
        <v>1109</v>
      </c>
      <c r="J371" s="118" t="s">
        <v>2129</v>
      </c>
      <c r="K371" s="118" t="s">
        <v>2712</v>
      </c>
      <c r="L371" s="118" t="s">
        <v>5574</v>
      </c>
      <c r="M371" s="115" t="s">
        <v>1109</v>
      </c>
      <c r="N371" s="115" t="s">
        <v>2129</v>
      </c>
      <c r="O371" s="115" t="s">
        <v>1109</v>
      </c>
      <c r="P371" s="113">
        <v>237</v>
      </c>
      <c r="Q371" s="113">
        <v>72</v>
      </c>
      <c r="R371" s="113">
        <v>60</v>
      </c>
      <c r="S371" s="113">
        <v>30</v>
      </c>
      <c r="T371" s="120">
        <v>20</v>
      </c>
      <c r="U371" s="113">
        <v>30</v>
      </c>
      <c r="V371" s="113">
        <v>25</v>
      </c>
      <c r="W371" s="129"/>
      <c r="X371" s="129"/>
      <c r="Y371" s="5"/>
      <c r="Z371" s="5"/>
      <c r="AA371" s="5"/>
      <c r="AB371" s="5"/>
      <c r="AC371" s="5"/>
      <c r="AD371" s="5"/>
      <c r="AE371" s="5"/>
    </row>
    <row r="372" spans="1:31" customFormat="1">
      <c r="A372" s="113">
        <v>297</v>
      </c>
      <c r="B372" s="113" t="s">
        <v>324</v>
      </c>
      <c r="C372" s="120" t="s">
        <v>5575</v>
      </c>
      <c r="D372" s="124">
        <v>0.75</v>
      </c>
      <c r="E372" s="124">
        <v>0.25</v>
      </c>
      <c r="F372" s="113" t="s">
        <v>2334</v>
      </c>
      <c r="G372" s="113" t="s">
        <v>2119</v>
      </c>
      <c r="H372" s="113" t="s">
        <v>78</v>
      </c>
      <c r="I372" s="113" t="s">
        <v>1109</v>
      </c>
      <c r="J372" s="118" t="s">
        <v>2129</v>
      </c>
      <c r="K372" s="118" t="s">
        <v>2712</v>
      </c>
      <c r="L372" s="118" t="s">
        <v>5574</v>
      </c>
      <c r="M372" s="115" t="s">
        <v>5574</v>
      </c>
      <c r="N372" s="115" t="s">
        <v>6399</v>
      </c>
      <c r="O372" s="115" t="s">
        <v>2128</v>
      </c>
      <c r="P372" s="113">
        <v>474</v>
      </c>
      <c r="Q372" s="113">
        <v>144</v>
      </c>
      <c r="R372" s="113">
        <v>120</v>
      </c>
      <c r="S372" s="113">
        <v>60</v>
      </c>
      <c r="T372" s="120">
        <v>40</v>
      </c>
      <c r="U372" s="113">
        <v>60</v>
      </c>
      <c r="V372" s="113">
        <v>50</v>
      </c>
      <c r="W372" s="129"/>
      <c r="X372" s="129"/>
      <c r="Y372" s="5"/>
      <c r="Z372" s="5"/>
      <c r="AA372" s="5"/>
      <c r="AB372" s="5"/>
      <c r="AC372" s="5"/>
      <c r="AD372" s="5"/>
      <c r="AE372" s="5"/>
    </row>
    <row r="373" spans="1:31" customFormat="1">
      <c r="A373" s="113">
        <v>298</v>
      </c>
      <c r="B373" s="113" t="s">
        <v>325</v>
      </c>
      <c r="C373" s="120" t="s">
        <v>5576</v>
      </c>
      <c r="D373" s="124">
        <v>0.25</v>
      </c>
      <c r="E373" s="124">
        <v>0.75</v>
      </c>
      <c r="F373" s="113" t="s">
        <v>2333</v>
      </c>
      <c r="G373" s="113" t="s">
        <v>2119</v>
      </c>
      <c r="H373" s="113" t="s">
        <v>36</v>
      </c>
      <c r="I373" s="113" t="s">
        <v>56</v>
      </c>
      <c r="J373" s="118" t="s">
        <v>2129</v>
      </c>
      <c r="K373" s="118" t="s">
        <v>2712</v>
      </c>
      <c r="L373" s="118" t="s">
        <v>5576</v>
      </c>
      <c r="M373" s="115" t="s">
        <v>1109</v>
      </c>
      <c r="N373" s="115" t="s">
        <v>2129</v>
      </c>
      <c r="O373" s="115" t="s">
        <v>1109</v>
      </c>
      <c r="P373" s="113">
        <v>190</v>
      </c>
      <c r="Q373" s="113">
        <v>50</v>
      </c>
      <c r="R373" s="113">
        <v>20</v>
      </c>
      <c r="S373" s="113">
        <v>40</v>
      </c>
      <c r="T373" s="120">
        <v>20</v>
      </c>
      <c r="U373" s="113">
        <v>40</v>
      </c>
      <c r="V373" s="113">
        <v>20</v>
      </c>
      <c r="W373" s="129"/>
      <c r="X373" s="129"/>
      <c r="Y373" s="5"/>
      <c r="Z373" s="5"/>
      <c r="AA373" s="5"/>
      <c r="AB373" s="5"/>
      <c r="AC373" s="5"/>
      <c r="AD373" s="5"/>
      <c r="AE373" s="5"/>
    </row>
    <row r="374" spans="1:31" customFormat="1">
      <c r="A374" s="113">
        <v>299</v>
      </c>
      <c r="B374" s="113" t="s">
        <v>326</v>
      </c>
      <c r="C374" s="120" t="s">
        <v>5577</v>
      </c>
      <c r="D374" s="124">
        <v>0.5</v>
      </c>
      <c r="E374" s="124">
        <v>0.5</v>
      </c>
      <c r="F374" s="113" t="s">
        <v>2112</v>
      </c>
      <c r="G374" s="113" t="s">
        <v>2119</v>
      </c>
      <c r="H374" s="113" t="s">
        <v>98</v>
      </c>
      <c r="I374" s="113" t="s">
        <v>1109</v>
      </c>
      <c r="J374" s="118" t="s">
        <v>2129</v>
      </c>
      <c r="K374" s="118" t="s">
        <v>4657</v>
      </c>
      <c r="L374" s="118" t="s">
        <v>5577</v>
      </c>
      <c r="M374" s="115" t="s">
        <v>1109</v>
      </c>
      <c r="N374" s="115" t="s">
        <v>2129</v>
      </c>
      <c r="O374" s="115" t="s">
        <v>1109</v>
      </c>
      <c r="P374" s="113">
        <v>375</v>
      </c>
      <c r="Q374" s="113">
        <v>30</v>
      </c>
      <c r="R374" s="113">
        <v>45</v>
      </c>
      <c r="S374" s="113">
        <v>135</v>
      </c>
      <c r="T374" s="120">
        <v>45</v>
      </c>
      <c r="U374" s="113">
        <v>90</v>
      </c>
      <c r="V374" s="113">
        <v>30</v>
      </c>
      <c r="W374" s="129"/>
      <c r="X374" s="129"/>
      <c r="Y374" s="5"/>
      <c r="Z374" s="5"/>
      <c r="AA374" s="5"/>
      <c r="AB374" s="5"/>
      <c r="AC374" s="5"/>
      <c r="AD374" s="5"/>
      <c r="AE374" s="5"/>
    </row>
    <row r="375" spans="1:31" customFormat="1">
      <c r="A375" s="113">
        <v>300</v>
      </c>
      <c r="B375" s="113" t="s">
        <v>327</v>
      </c>
      <c r="C375" s="120" t="s">
        <v>5578</v>
      </c>
      <c r="D375" s="124">
        <v>0.25</v>
      </c>
      <c r="E375" s="124">
        <v>0.75</v>
      </c>
      <c r="F375" s="113" t="s">
        <v>56</v>
      </c>
      <c r="G375" s="113" t="s">
        <v>2119</v>
      </c>
      <c r="H375" s="113" t="s">
        <v>36</v>
      </c>
      <c r="I375" s="113" t="s">
        <v>1109</v>
      </c>
      <c r="J375" s="118" t="s">
        <v>2129</v>
      </c>
      <c r="K375" s="118" t="s">
        <v>4658</v>
      </c>
      <c r="L375" s="118" t="s">
        <v>5578</v>
      </c>
      <c r="M375" s="115" t="s">
        <v>1109</v>
      </c>
      <c r="N375" s="115" t="s">
        <v>2129</v>
      </c>
      <c r="O375" s="115" t="s">
        <v>1109</v>
      </c>
      <c r="P375" s="113">
        <v>260</v>
      </c>
      <c r="Q375" s="113">
        <v>50</v>
      </c>
      <c r="R375" s="113">
        <v>45</v>
      </c>
      <c r="S375" s="113">
        <v>45</v>
      </c>
      <c r="T375" s="120">
        <v>35</v>
      </c>
      <c r="U375" s="113">
        <v>35</v>
      </c>
      <c r="V375" s="113">
        <v>50</v>
      </c>
      <c r="W375" s="129"/>
      <c r="X375" s="129"/>
      <c r="Y375" s="5"/>
      <c r="Z375" s="5"/>
      <c r="AA375" s="5"/>
      <c r="AB375" s="5"/>
      <c r="AC375" s="5"/>
      <c r="AD375" s="5"/>
      <c r="AE375" s="5"/>
    </row>
    <row r="376" spans="1:31" customFormat="1">
      <c r="A376" s="113">
        <v>301</v>
      </c>
      <c r="B376" s="113" t="s">
        <v>328</v>
      </c>
      <c r="C376" s="120" t="s">
        <v>5579</v>
      </c>
      <c r="D376" s="124">
        <v>0.25</v>
      </c>
      <c r="E376" s="124">
        <v>0.75</v>
      </c>
      <c r="F376" s="113" t="s">
        <v>56</v>
      </c>
      <c r="G376" s="113" t="s">
        <v>2119</v>
      </c>
      <c r="H376" s="113" t="s">
        <v>36</v>
      </c>
      <c r="I376" s="113" t="s">
        <v>1109</v>
      </c>
      <c r="J376" s="118" t="s">
        <v>2129</v>
      </c>
      <c r="K376" s="118" t="s">
        <v>4658</v>
      </c>
      <c r="L376" s="118" t="s">
        <v>5578</v>
      </c>
      <c r="M376" s="115" t="s">
        <v>5578</v>
      </c>
      <c r="N376" s="115" t="s">
        <v>6399</v>
      </c>
      <c r="O376" s="115" t="s">
        <v>1803</v>
      </c>
      <c r="P376" s="113">
        <v>400</v>
      </c>
      <c r="Q376" s="113">
        <v>70</v>
      </c>
      <c r="R376" s="113">
        <v>65</v>
      </c>
      <c r="S376" s="113">
        <v>65</v>
      </c>
      <c r="T376" s="120">
        <v>55</v>
      </c>
      <c r="U376" s="113">
        <v>55</v>
      </c>
      <c r="V376" s="113">
        <v>90</v>
      </c>
      <c r="W376" s="129"/>
      <c r="X376" s="129"/>
      <c r="Y376" s="5"/>
      <c r="Z376" s="5"/>
      <c r="AA376" s="5"/>
      <c r="AB376" s="5"/>
      <c r="AC376" s="5"/>
      <c r="AD376" s="5"/>
      <c r="AE376" s="5"/>
    </row>
    <row r="377" spans="1:31" customFormat="1">
      <c r="A377" s="113">
        <v>302</v>
      </c>
      <c r="B377" s="113" t="s">
        <v>329</v>
      </c>
      <c r="C377" s="120" t="s">
        <v>5580</v>
      </c>
      <c r="D377" s="124">
        <v>0.5</v>
      </c>
      <c r="E377" s="124">
        <v>0.5</v>
      </c>
      <c r="F377" s="113" t="s">
        <v>2334</v>
      </c>
      <c r="G377" s="113" t="s">
        <v>2119</v>
      </c>
      <c r="H377" s="113" t="s">
        <v>158</v>
      </c>
      <c r="I377" s="113" t="s">
        <v>119</v>
      </c>
      <c r="J377" s="118" t="s">
        <v>2129</v>
      </c>
      <c r="K377" s="118" t="s">
        <v>4657</v>
      </c>
      <c r="L377" s="118" t="s">
        <v>5580</v>
      </c>
      <c r="M377" s="115" t="s">
        <v>1109</v>
      </c>
      <c r="N377" s="115" t="s">
        <v>6399</v>
      </c>
      <c r="O377" s="115" t="s">
        <v>1109</v>
      </c>
      <c r="P377" s="113">
        <v>380</v>
      </c>
      <c r="Q377" s="113">
        <v>50</v>
      </c>
      <c r="R377" s="113">
        <v>75</v>
      </c>
      <c r="S377" s="113">
        <v>75</v>
      </c>
      <c r="T377" s="120">
        <v>65</v>
      </c>
      <c r="U377" s="113">
        <v>65</v>
      </c>
      <c r="V377" s="113">
        <v>50</v>
      </c>
      <c r="W377" s="129"/>
      <c r="X377" s="129"/>
      <c r="Y377" s="5"/>
      <c r="Z377" s="5"/>
      <c r="AA377" s="5"/>
      <c r="AB377" s="5"/>
      <c r="AC377" s="5"/>
      <c r="AD377" s="5"/>
      <c r="AE377" s="5"/>
    </row>
    <row r="378" spans="1:31" customFormat="1" hidden="1">
      <c r="A378" s="113">
        <v>302</v>
      </c>
      <c r="B378" s="113" t="s">
        <v>2911</v>
      </c>
      <c r="C378" s="120" t="s">
        <v>5581</v>
      </c>
      <c r="D378" s="124">
        <v>0.5</v>
      </c>
      <c r="E378" s="124">
        <v>0.5</v>
      </c>
      <c r="F378" s="113" t="s">
        <v>2334</v>
      </c>
      <c r="G378" s="113" t="s">
        <v>2119</v>
      </c>
      <c r="H378" s="113" t="s">
        <v>158</v>
      </c>
      <c r="I378" s="113" t="s">
        <v>119</v>
      </c>
      <c r="J378" s="118" t="s">
        <v>3973</v>
      </c>
      <c r="K378" s="118" t="s">
        <v>4659</v>
      </c>
      <c r="L378" s="118" t="s">
        <v>5580</v>
      </c>
      <c r="M378" s="115" t="s">
        <v>5580</v>
      </c>
      <c r="N378" s="115" t="s">
        <v>3973</v>
      </c>
      <c r="O378" s="115" t="s">
        <v>4480</v>
      </c>
      <c r="P378" s="113">
        <v>480</v>
      </c>
      <c r="Q378" s="113">
        <v>50</v>
      </c>
      <c r="R378" s="113">
        <v>85</v>
      </c>
      <c r="S378" s="113">
        <v>125</v>
      </c>
      <c r="T378" s="120">
        <v>85</v>
      </c>
      <c r="U378" s="113">
        <v>115</v>
      </c>
      <c r="V378" s="113">
        <v>20</v>
      </c>
      <c r="W378" s="129"/>
      <c r="X378" s="129"/>
      <c r="Y378" s="5"/>
      <c r="Z378" s="5"/>
      <c r="AA378" s="5"/>
      <c r="AB378" s="5"/>
      <c r="AC378" s="5"/>
      <c r="AD378" s="5"/>
      <c r="AE378" s="5"/>
    </row>
    <row r="379" spans="1:31" customFormat="1">
      <c r="A379" s="113">
        <v>303</v>
      </c>
      <c r="B379" s="113" t="s">
        <v>330</v>
      </c>
      <c r="C379" s="120" t="s">
        <v>5582</v>
      </c>
      <c r="D379" s="124">
        <v>0.5</v>
      </c>
      <c r="E379" s="124">
        <v>0.5</v>
      </c>
      <c r="F379" s="113" t="s">
        <v>56</v>
      </c>
      <c r="G379" s="113" t="s">
        <v>2119</v>
      </c>
      <c r="H379" s="113" t="s">
        <v>106</v>
      </c>
      <c r="I379" s="113" t="s">
        <v>56</v>
      </c>
      <c r="J379" s="118" t="s">
        <v>2129</v>
      </c>
      <c r="K379" s="118" t="s">
        <v>4657</v>
      </c>
      <c r="L379" s="118" t="s">
        <v>5582</v>
      </c>
      <c r="M379" s="115" t="s">
        <v>1109</v>
      </c>
      <c r="N379" s="115" t="s">
        <v>6399</v>
      </c>
      <c r="O379" s="115" t="s">
        <v>1109</v>
      </c>
      <c r="P379" s="113">
        <v>380</v>
      </c>
      <c r="Q379" s="113">
        <v>50</v>
      </c>
      <c r="R379" s="113">
        <v>85</v>
      </c>
      <c r="S379" s="113">
        <v>85</v>
      </c>
      <c r="T379" s="120">
        <v>55</v>
      </c>
      <c r="U379" s="113">
        <v>55</v>
      </c>
      <c r="V379" s="113">
        <v>50</v>
      </c>
      <c r="W379" s="129"/>
      <c r="X379" s="129"/>
      <c r="Y379" s="5"/>
      <c r="Z379" s="5"/>
      <c r="AA379" s="5"/>
      <c r="AB379" s="5"/>
      <c r="AC379" s="5"/>
      <c r="AD379" s="5"/>
      <c r="AE379" s="5"/>
    </row>
    <row r="380" spans="1:31" customFormat="1" hidden="1">
      <c r="A380" s="113">
        <v>303</v>
      </c>
      <c r="B380" s="113" t="s">
        <v>2913</v>
      </c>
      <c r="C380" s="120" t="s">
        <v>5583</v>
      </c>
      <c r="D380" s="124">
        <v>0.5</v>
      </c>
      <c r="E380" s="124">
        <v>0.5</v>
      </c>
      <c r="F380" s="113" t="s">
        <v>56</v>
      </c>
      <c r="G380" s="113" t="s">
        <v>2119</v>
      </c>
      <c r="H380" s="113" t="s">
        <v>106</v>
      </c>
      <c r="I380" s="113" t="s">
        <v>56</v>
      </c>
      <c r="J380" s="118" t="s">
        <v>3973</v>
      </c>
      <c r="K380" s="118" t="s">
        <v>4659</v>
      </c>
      <c r="L380" s="118" t="s">
        <v>5582</v>
      </c>
      <c r="M380" s="115" t="s">
        <v>5582</v>
      </c>
      <c r="N380" s="115" t="s">
        <v>3973</v>
      </c>
      <c r="O380" s="115" t="s">
        <v>4480</v>
      </c>
      <c r="P380" s="113">
        <v>480</v>
      </c>
      <c r="Q380" s="113">
        <v>50</v>
      </c>
      <c r="R380" s="113">
        <v>105</v>
      </c>
      <c r="S380" s="113">
        <v>125</v>
      </c>
      <c r="T380" s="120">
        <v>55</v>
      </c>
      <c r="U380" s="113">
        <v>95</v>
      </c>
      <c r="V380" s="113">
        <v>50</v>
      </c>
      <c r="W380" s="129"/>
      <c r="X380" s="129"/>
      <c r="Y380" s="5"/>
      <c r="Z380" s="5"/>
      <c r="AA380" s="5"/>
      <c r="AB380" s="5"/>
      <c r="AC380" s="5"/>
      <c r="AD380" s="5"/>
      <c r="AE380" s="5"/>
    </row>
    <row r="381" spans="1:31" customFormat="1">
      <c r="A381" s="113">
        <v>304</v>
      </c>
      <c r="B381" s="113" t="s">
        <v>331</v>
      </c>
      <c r="C381" s="120" t="s">
        <v>5584</v>
      </c>
      <c r="D381" s="124">
        <v>0.5</v>
      </c>
      <c r="E381" s="124">
        <v>0.5</v>
      </c>
      <c r="F381" s="113" t="s">
        <v>2330</v>
      </c>
      <c r="G381" s="113" t="s">
        <v>2119</v>
      </c>
      <c r="H381" s="113" t="s">
        <v>106</v>
      </c>
      <c r="I381" s="113" t="s">
        <v>98</v>
      </c>
      <c r="J381" s="118" t="s">
        <v>2129</v>
      </c>
      <c r="K381" s="118" t="s">
        <v>4657</v>
      </c>
      <c r="L381" s="118" t="s">
        <v>5584</v>
      </c>
      <c r="M381" s="115" t="s">
        <v>1109</v>
      </c>
      <c r="N381" s="115" t="s">
        <v>2129</v>
      </c>
      <c r="O381" s="115" t="s">
        <v>1109</v>
      </c>
      <c r="P381" s="113">
        <v>330</v>
      </c>
      <c r="Q381" s="113">
        <v>50</v>
      </c>
      <c r="R381" s="113">
        <v>70</v>
      </c>
      <c r="S381" s="113">
        <v>100</v>
      </c>
      <c r="T381" s="120">
        <v>40</v>
      </c>
      <c r="U381" s="113">
        <v>40</v>
      </c>
      <c r="V381" s="113">
        <v>30</v>
      </c>
      <c r="W381" s="129"/>
      <c r="X381" s="129"/>
      <c r="Y381" s="5"/>
      <c r="Z381" s="5"/>
      <c r="AA381" s="5"/>
      <c r="AB381" s="5"/>
      <c r="AC381" s="5"/>
      <c r="AD381" s="5"/>
      <c r="AE381" s="5"/>
    </row>
    <row r="382" spans="1:31" customFormat="1">
      <c r="A382" s="113">
        <v>305</v>
      </c>
      <c r="B382" s="113" t="s">
        <v>332</v>
      </c>
      <c r="C382" s="120" t="s">
        <v>5585</v>
      </c>
      <c r="D382" s="124">
        <v>0.5</v>
      </c>
      <c r="E382" s="124">
        <v>0.5</v>
      </c>
      <c r="F382" s="113" t="s">
        <v>2330</v>
      </c>
      <c r="G382" s="113" t="s">
        <v>2119</v>
      </c>
      <c r="H382" s="113" t="s">
        <v>106</v>
      </c>
      <c r="I382" s="113" t="s">
        <v>98</v>
      </c>
      <c r="J382" s="118" t="s">
        <v>2129</v>
      </c>
      <c r="K382" s="118" t="s">
        <v>4657</v>
      </c>
      <c r="L382" s="118" t="s">
        <v>5584</v>
      </c>
      <c r="M382" s="115" t="s">
        <v>5584</v>
      </c>
      <c r="N382" s="115" t="s">
        <v>6398</v>
      </c>
      <c r="O382" s="115" t="s">
        <v>2128</v>
      </c>
      <c r="P382" s="113">
        <v>430</v>
      </c>
      <c r="Q382" s="113">
        <v>60</v>
      </c>
      <c r="R382" s="113">
        <v>90</v>
      </c>
      <c r="S382" s="113">
        <v>140</v>
      </c>
      <c r="T382" s="120">
        <v>50</v>
      </c>
      <c r="U382" s="113">
        <v>50</v>
      </c>
      <c r="V382" s="113">
        <v>40</v>
      </c>
      <c r="W382" s="129"/>
      <c r="X382" s="129"/>
      <c r="Y382" s="5"/>
      <c r="Z382" s="5"/>
      <c r="AA382" s="5"/>
      <c r="AB382" s="5"/>
      <c r="AC382" s="5"/>
      <c r="AD382" s="5"/>
      <c r="AE382" s="5"/>
    </row>
    <row r="383" spans="1:31" customFormat="1">
      <c r="A383" s="113">
        <v>306</v>
      </c>
      <c r="B383" s="113" t="s">
        <v>333</v>
      </c>
      <c r="C383" s="120" t="s">
        <v>5586</v>
      </c>
      <c r="D383" s="124">
        <v>0.5</v>
      </c>
      <c r="E383" s="124">
        <v>0.5</v>
      </c>
      <c r="F383" s="113" t="s">
        <v>2330</v>
      </c>
      <c r="G383" s="113" t="s">
        <v>2119</v>
      </c>
      <c r="H383" s="113" t="s">
        <v>106</v>
      </c>
      <c r="I383" s="113" t="s">
        <v>98</v>
      </c>
      <c r="J383" s="118" t="s">
        <v>2129</v>
      </c>
      <c r="K383" s="118" t="s">
        <v>4657</v>
      </c>
      <c r="L383" s="118" t="s">
        <v>5584</v>
      </c>
      <c r="M383" s="115" t="s">
        <v>5585</v>
      </c>
      <c r="N383" s="115" t="s">
        <v>6399</v>
      </c>
      <c r="O383" s="115" t="s">
        <v>2128</v>
      </c>
      <c r="P383" s="113">
        <v>530</v>
      </c>
      <c r="Q383" s="113">
        <v>70</v>
      </c>
      <c r="R383" s="113">
        <v>110</v>
      </c>
      <c r="S383" s="113">
        <v>180</v>
      </c>
      <c r="T383" s="120">
        <v>60</v>
      </c>
      <c r="U383" s="113">
        <v>60</v>
      </c>
      <c r="V383" s="113">
        <v>50</v>
      </c>
      <c r="W383" s="129"/>
      <c r="X383" s="129"/>
      <c r="Y383" s="5"/>
      <c r="Z383" s="5"/>
      <c r="AA383" s="5"/>
      <c r="AB383" s="5"/>
      <c r="AC383" s="5"/>
      <c r="AD383" s="5"/>
      <c r="AE383" s="5"/>
    </row>
    <row r="384" spans="1:31" customFormat="1" hidden="1">
      <c r="A384" s="113">
        <v>306</v>
      </c>
      <c r="B384" s="113" t="s">
        <v>2915</v>
      </c>
      <c r="C384" s="120" t="s">
        <v>5587</v>
      </c>
      <c r="D384" s="124">
        <v>0.5</v>
      </c>
      <c r="E384" s="124">
        <v>0.5</v>
      </c>
      <c r="F384" s="113" t="s">
        <v>2330</v>
      </c>
      <c r="G384" s="113" t="s">
        <v>2119</v>
      </c>
      <c r="H384" s="113" t="s">
        <v>106</v>
      </c>
      <c r="I384" s="113" t="s">
        <v>1109</v>
      </c>
      <c r="J384" s="118" t="s">
        <v>3973</v>
      </c>
      <c r="K384" s="118" t="s">
        <v>4659</v>
      </c>
      <c r="L384" s="118" t="s">
        <v>5584</v>
      </c>
      <c r="M384" s="115" t="s">
        <v>5586</v>
      </c>
      <c r="N384" s="115" t="s">
        <v>3973</v>
      </c>
      <c r="O384" s="115" t="s">
        <v>4480</v>
      </c>
      <c r="P384" s="113">
        <v>630</v>
      </c>
      <c r="Q384" s="113">
        <v>70</v>
      </c>
      <c r="R384" s="113">
        <v>140</v>
      </c>
      <c r="S384" s="113">
        <v>230</v>
      </c>
      <c r="T384" s="120">
        <v>60</v>
      </c>
      <c r="U384" s="113">
        <v>80</v>
      </c>
      <c r="V384" s="113">
        <v>50</v>
      </c>
      <c r="W384" s="129"/>
      <c r="X384" s="129"/>
      <c r="Y384" s="5"/>
      <c r="Z384" s="5"/>
      <c r="AA384" s="5"/>
      <c r="AB384" s="5"/>
      <c r="AC384" s="5"/>
      <c r="AD384" s="5"/>
      <c r="AE384" s="5"/>
    </row>
    <row r="385" spans="1:31" customFormat="1">
      <c r="A385" s="113">
        <v>307</v>
      </c>
      <c r="B385" s="113" t="s">
        <v>334</v>
      </c>
      <c r="C385" s="120" t="s">
        <v>5588</v>
      </c>
      <c r="D385" s="124">
        <v>0.5</v>
      </c>
      <c r="E385" s="124">
        <v>0.5</v>
      </c>
      <c r="F385" s="113" t="s">
        <v>2334</v>
      </c>
      <c r="G385" s="113" t="s">
        <v>2119</v>
      </c>
      <c r="H385" s="113" t="s">
        <v>78</v>
      </c>
      <c r="I385" s="113" t="s">
        <v>86</v>
      </c>
      <c r="J385" s="118" t="s">
        <v>2129</v>
      </c>
      <c r="K385" s="118" t="s">
        <v>4658</v>
      </c>
      <c r="L385" s="118" t="s">
        <v>5588</v>
      </c>
      <c r="M385" s="115" t="s">
        <v>1109</v>
      </c>
      <c r="N385" s="115" t="s">
        <v>2129</v>
      </c>
      <c r="O385" s="115" t="s">
        <v>1109</v>
      </c>
      <c r="P385" s="113">
        <v>280</v>
      </c>
      <c r="Q385" s="113">
        <v>30</v>
      </c>
      <c r="R385" s="113">
        <v>40</v>
      </c>
      <c r="S385" s="113">
        <v>55</v>
      </c>
      <c r="T385" s="120">
        <v>40</v>
      </c>
      <c r="U385" s="113">
        <v>55</v>
      </c>
      <c r="V385" s="113">
        <v>60</v>
      </c>
      <c r="W385" s="129"/>
      <c r="X385" s="129"/>
      <c r="Y385" s="5"/>
      <c r="Z385" s="5"/>
      <c r="AA385" s="5"/>
      <c r="AB385" s="5"/>
      <c r="AC385" s="5"/>
      <c r="AD385" s="5"/>
      <c r="AE385" s="5"/>
    </row>
    <row r="386" spans="1:31" customFormat="1">
      <c r="A386" s="113">
        <v>308</v>
      </c>
      <c r="B386" s="113" t="s">
        <v>335</v>
      </c>
      <c r="C386" s="120" t="s">
        <v>5589</v>
      </c>
      <c r="D386" s="124">
        <v>0.5</v>
      </c>
      <c r="E386" s="124">
        <v>0.5</v>
      </c>
      <c r="F386" s="113" t="s">
        <v>2334</v>
      </c>
      <c r="G386" s="113" t="s">
        <v>2119</v>
      </c>
      <c r="H386" s="113" t="s">
        <v>78</v>
      </c>
      <c r="I386" s="113" t="s">
        <v>86</v>
      </c>
      <c r="J386" s="118" t="s">
        <v>2129</v>
      </c>
      <c r="K386" s="118" t="s">
        <v>4658</v>
      </c>
      <c r="L386" s="137" t="s">
        <v>5588</v>
      </c>
      <c r="M386" s="115" t="s">
        <v>5588</v>
      </c>
      <c r="N386" s="115" t="s">
        <v>6399</v>
      </c>
      <c r="O386" s="115" t="s">
        <v>2128</v>
      </c>
      <c r="P386" s="113">
        <v>410</v>
      </c>
      <c r="Q386" s="113">
        <v>60</v>
      </c>
      <c r="R386" s="113">
        <v>60</v>
      </c>
      <c r="S386" s="113">
        <v>75</v>
      </c>
      <c r="T386" s="120">
        <v>60</v>
      </c>
      <c r="U386" s="113">
        <v>75</v>
      </c>
      <c r="V386" s="113">
        <v>80</v>
      </c>
      <c r="W386" s="129"/>
      <c r="X386" s="129"/>
      <c r="Y386" s="5"/>
      <c r="Z386" s="5"/>
      <c r="AA386" s="5"/>
      <c r="AB386" s="5"/>
      <c r="AC386" s="5"/>
      <c r="AD386" s="5"/>
      <c r="AE386" s="5"/>
    </row>
    <row r="387" spans="1:31" customFormat="1" hidden="1">
      <c r="A387" s="113">
        <v>308</v>
      </c>
      <c r="B387" s="113" t="s">
        <v>2917</v>
      </c>
      <c r="C387" s="120" t="s">
        <v>5590</v>
      </c>
      <c r="D387" s="124">
        <v>0.5</v>
      </c>
      <c r="E387" s="124">
        <v>0.5</v>
      </c>
      <c r="F387" s="113" t="s">
        <v>2334</v>
      </c>
      <c r="G387" s="113" t="s">
        <v>2119</v>
      </c>
      <c r="H387" s="113" t="s">
        <v>78</v>
      </c>
      <c r="I387" s="113" t="s">
        <v>86</v>
      </c>
      <c r="J387" s="118" t="s">
        <v>3973</v>
      </c>
      <c r="K387" s="118" t="s">
        <v>4659</v>
      </c>
      <c r="L387" s="137" t="s">
        <v>5588</v>
      </c>
      <c r="M387" s="115" t="s">
        <v>5589</v>
      </c>
      <c r="N387" s="115" t="s">
        <v>3973</v>
      </c>
      <c r="O387" s="115" t="s">
        <v>4480</v>
      </c>
      <c r="P387" s="113">
        <v>510</v>
      </c>
      <c r="Q387" s="113">
        <v>60</v>
      </c>
      <c r="R387" s="113">
        <v>100</v>
      </c>
      <c r="S387" s="113">
        <v>85</v>
      </c>
      <c r="T387" s="120">
        <v>80</v>
      </c>
      <c r="U387" s="113">
        <v>85</v>
      </c>
      <c r="V387" s="113">
        <v>100</v>
      </c>
      <c r="W387" s="129"/>
      <c r="X387" s="129"/>
      <c r="Y387" s="5"/>
      <c r="Z387" s="5"/>
      <c r="AA387" s="5"/>
      <c r="AB387" s="5"/>
      <c r="AC387" s="5"/>
      <c r="AD387" s="5"/>
      <c r="AE387" s="5"/>
    </row>
    <row r="388" spans="1:31" customFormat="1">
      <c r="A388" s="113">
        <v>309</v>
      </c>
      <c r="B388" s="113" t="s">
        <v>336</v>
      </c>
      <c r="C388" s="120" t="s">
        <v>5591</v>
      </c>
      <c r="D388" s="124">
        <v>0.5</v>
      </c>
      <c r="E388" s="124">
        <v>0.5</v>
      </c>
      <c r="F388" s="113" t="s">
        <v>2332</v>
      </c>
      <c r="G388" s="113" t="s">
        <v>2119</v>
      </c>
      <c r="H388" s="113" t="s">
        <v>46</v>
      </c>
      <c r="I388" s="113" t="s">
        <v>1109</v>
      </c>
      <c r="J388" s="118" t="s">
        <v>2129</v>
      </c>
      <c r="K388" s="118" t="s">
        <v>4658</v>
      </c>
      <c r="L388" s="118" t="s">
        <v>5591</v>
      </c>
      <c r="M388" s="115" t="s">
        <v>1109</v>
      </c>
      <c r="N388" s="115" t="s">
        <v>2129</v>
      </c>
      <c r="O388" s="115" t="s">
        <v>1109</v>
      </c>
      <c r="P388" s="113">
        <v>295</v>
      </c>
      <c r="Q388" s="113">
        <v>40</v>
      </c>
      <c r="R388" s="113">
        <v>45</v>
      </c>
      <c r="S388" s="113">
        <v>40</v>
      </c>
      <c r="T388" s="120">
        <v>65</v>
      </c>
      <c r="U388" s="113">
        <v>40</v>
      </c>
      <c r="V388" s="113">
        <v>65</v>
      </c>
      <c r="W388" s="129"/>
      <c r="X388" s="129"/>
      <c r="Y388" s="5"/>
      <c r="Z388" s="5"/>
      <c r="AA388" s="5"/>
      <c r="AB388" s="5"/>
      <c r="AC388" s="5"/>
      <c r="AD388" s="5"/>
      <c r="AE388" s="5"/>
    </row>
    <row r="389" spans="1:31" customFormat="1">
      <c r="A389" s="113">
        <v>310</v>
      </c>
      <c r="B389" s="113" t="s">
        <v>337</v>
      </c>
      <c r="C389" s="120" t="s">
        <v>5592</v>
      </c>
      <c r="D389" s="124">
        <v>0.5</v>
      </c>
      <c r="E389" s="124">
        <v>0.5</v>
      </c>
      <c r="F389" s="113" t="s">
        <v>2332</v>
      </c>
      <c r="G389" s="113" t="s">
        <v>2119</v>
      </c>
      <c r="H389" s="113" t="s">
        <v>46</v>
      </c>
      <c r="I389" s="113" t="s">
        <v>1109</v>
      </c>
      <c r="J389" s="118" t="s">
        <v>2129</v>
      </c>
      <c r="K389" s="118" t="s">
        <v>4658</v>
      </c>
      <c r="L389" s="118" t="s">
        <v>5591</v>
      </c>
      <c r="M389" s="115" t="s">
        <v>5591</v>
      </c>
      <c r="N389" s="115" t="s">
        <v>6399</v>
      </c>
      <c r="O389" s="115" t="s">
        <v>2128</v>
      </c>
      <c r="P389" s="113">
        <v>475</v>
      </c>
      <c r="Q389" s="113">
        <v>70</v>
      </c>
      <c r="R389" s="113">
        <v>75</v>
      </c>
      <c r="S389" s="113">
        <v>60</v>
      </c>
      <c r="T389" s="120">
        <v>105</v>
      </c>
      <c r="U389" s="113">
        <v>60</v>
      </c>
      <c r="V389" s="113">
        <v>105</v>
      </c>
      <c r="W389" s="129"/>
      <c r="X389" s="129"/>
      <c r="Y389" s="5"/>
      <c r="Z389" s="5"/>
      <c r="AA389" s="5"/>
      <c r="AB389" s="5"/>
      <c r="AC389" s="5"/>
      <c r="AD389" s="5"/>
      <c r="AE389" s="5"/>
    </row>
    <row r="390" spans="1:31" customFormat="1" hidden="1">
      <c r="A390" s="113">
        <v>310</v>
      </c>
      <c r="B390" s="113" t="s">
        <v>2919</v>
      </c>
      <c r="C390" s="120" t="s">
        <v>5593</v>
      </c>
      <c r="D390" s="124">
        <v>0.5</v>
      </c>
      <c r="E390" s="124">
        <v>0.5</v>
      </c>
      <c r="F390" s="113" t="s">
        <v>2332</v>
      </c>
      <c r="G390" s="113" t="s">
        <v>2119</v>
      </c>
      <c r="H390" s="113" t="s">
        <v>46</v>
      </c>
      <c r="I390" s="113" t="s">
        <v>1109</v>
      </c>
      <c r="J390" s="118" t="s">
        <v>3973</v>
      </c>
      <c r="K390" s="118" t="s">
        <v>4659</v>
      </c>
      <c r="L390" s="118" t="s">
        <v>5591</v>
      </c>
      <c r="M390" s="115" t="s">
        <v>5592</v>
      </c>
      <c r="N390" s="115" t="s">
        <v>3973</v>
      </c>
      <c r="O390" s="115" t="s">
        <v>4480</v>
      </c>
      <c r="P390" s="113">
        <v>575</v>
      </c>
      <c r="Q390" s="113">
        <v>70</v>
      </c>
      <c r="R390" s="113">
        <v>75</v>
      </c>
      <c r="S390" s="113">
        <v>80</v>
      </c>
      <c r="T390" s="120">
        <v>135</v>
      </c>
      <c r="U390" s="113">
        <v>80</v>
      </c>
      <c r="V390" s="113">
        <v>135</v>
      </c>
      <c r="W390" s="129"/>
      <c r="X390" s="129"/>
      <c r="Y390" s="5"/>
      <c r="Z390" s="5"/>
      <c r="AA390" s="5"/>
      <c r="AB390" s="5"/>
      <c r="AC390" s="5"/>
      <c r="AD390" s="5"/>
      <c r="AE390" s="5"/>
    </row>
    <row r="391" spans="1:31" customFormat="1">
      <c r="A391" s="113">
        <v>311</v>
      </c>
      <c r="B391" s="113" t="s">
        <v>338</v>
      </c>
      <c r="C391" s="120" t="s">
        <v>5594</v>
      </c>
      <c r="D391" s="124">
        <v>0.5</v>
      </c>
      <c r="E391" s="124">
        <v>0.5</v>
      </c>
      <c r="F391" s="113" t="s">
        <v>56</v>
      </c>
      <c r="G391" s="113" t="s">
        <v>2119</v>
      </c>
      <c r="H391" s="113" t="s">
        <v>46</v>
      </c>
      <c r="I391" s="113" t="s">
        <v>1109</v>
      </c>
      <c r="J391" s="118" t="s">
        <v>2129</v>
      </c>
      <c r="K391" s="118" t="s">
        <v>4658</v>
      </c>
      <c r="L391" s="118" t="s">
        <v>5594</v>
      </c>
      <c r="M391" s="115" t="s">
        <v>1109</v>
      </c>
      <c r="N391" s="115" t="s">
        <v>6399</v>
      </c>
      <c r="O391" s="115" t="s">
        <v>1109</v>
      </c>
      <c r="P391" s="113">
        <v>405</v>
      </c>
      <c r="Q391" s="113">
        <v>60</v>
      </c>
      <c r="R391" s="113">
        <v>50</v>
      </c>
      <c r="S391" s="113">
        <v>40</v>
      </c>
      <c r="T391" s="120">
        <v>85</v>
      </c>
      <c r="U391" s="113">
        <v>75</v>
      </c>
      <c r="V391" s="113">
        <v>95</v>
      </c>
      <c r="W391" s="129"/>
      <c r="X391" s="129"/>
      <c r="Y391" s="5"/>
      <c r="Z391" s="5"/>
      <c r="AA391" s="5"/>
      <c r="AB391" s="5"/>
      <c r="AC391" s="5"/>
      <c r="AD391" s="5"/>
      <c r="AE391" s="5"/>
    </row>
    <row r="392" spans="1:31" customFormat="1">
      <c r="A392" s="113">
        <v>312</v>
      </c>
      <c r="B392" s="113" t="s">
        <v>339</v>
      </c>
      <c r="C392" s="120" t="s">
        <v>5595</v>
      </c>
      <c r="D392" s="124">
        <v>0.5</v>
      </c>
      <c r="E392" s="124">
        <v>0.5</v>
      </c>
      <c r="F392" s="113" t="s">
        <v>56</v>
      </c>
      <c r="G392" s="113" t="s">
        <v>2119</v>
      </c>
      <c r="H392" s="113" t="s">
        <v>46</v>
      </c>
      <c r="I392" s="113" t="s">
        <v>1109</v>
      </c>
      <c r="J392" s="118" t="s">
        <v>2129</v>
      </c>
      <c r="K392" s="118" t="s">
        <v>4658</v>
      </c>
      <c r="L392" s="118" t="s">
        <v>5595</v>
      </c>
      <c r="M392" s="115" t="s">
        <v>1109</v>
      </c>
      <c r="N392" s="115" t="s">
        <v>6399</v>
      </c>
      <c r="O392" s="115" t="s">
        <v>1109</v>
      </c>
      <c r="P392" s="113">
        <v>405</v>
      </c>
      <c r="Q392" s="113">
        <v>60</v>
      </c>
      <c r="R392" s="113">
        <v>40</v>
      </c>
      <c r="S392" s="113">
        <v>50</v>
      </c>
      <c r="T392" s="120">
        <v>75</v>
      </c>
      <c r="U392" s="113">
        <v>85</v>
      </c>
      <c r="V392" s="113">
        <v>95</v>
      </c>
      <c r="W392" s="129"/>
      <c r="X392" s="129"/>
      <c r="Y392" s="5"/>
      <c r="Z392" s="5"/>
      <c r="AA392" s="5"/>
      <c r="AB392" s="5"/>
      <c r="AC392" s="5"/>
      <c r="AD392" s="5"/>
      <c r="AE392" s="5"/>
    </row>
    <row r="393" spans="1:31" customFormat="1">
      <c r="A393" s="113">
        <v>313</v>
      </c>
      <c r="B393" s="113" t="s">
        <v>340</v>
      </c>
      <c r="C393" s="120" t="s">
        <v>5596</v>
      </c>
      <c r="D393" s="124">
        <v>1</v>
      </c>
      <c r="E393" s="124">
        <v>0</v>
      </c>
      <c r="F393" s="113" t="s">
        <v>29</v>
      </c>
      <c r="G393" s="113" t="s">
        <v>2119</v>
      </c>
      <c r="H393" s="113" t="s">
        <v>29</v>
      </c>
      <c r="I393" s="113" t="s">
        <v>1109</v>
      </c>
      <c r="J393" s="118" t="s">
        <v>2129</v>
      </c>
      <c r="K393" s="118" t="s">
        <v>4658</v>
      </c>
      <c r="L393" s="118" t="s">
        <v>5596</v>
      </c>
      <c r="M393" s="115" t="s">
        <v>1109</v>
      </c>
      <c r="N393" s="115" t="s">
        <v>6399</v>
      </c>
      <c r="O393" s="115" t="s">
        <v>1109</v>
      </c>
      <c r="P393" s="113">
        <v>430</v>
      </c>
      <c r="Q393" s="113">
        <v>65</v>
      </c>
      <c r="R393" s="113">
        <v>73</v>
      </c>
      <c r="S393" s="113">
        <v>75</v>
      </c>
      <c r="T393" s="120">
        <v>47</v>
      </c>
      <c r="U393" s="113">
        <v>85</v>
      </c>
      <c r="V393" s="113">
        <v>85</v>
      </c>
      <c r="W393" s="129"/>
      <c r="X393" s="129"/>
      <c r="Y393" s="5"/>
      <c r="Z393" s="5"/>
      <c r="AA393" s="5"/>
      <c r="AB393" s="5"/>
      <c r="AC393" s="5"/>
      <c r="AD393" s="5"/>
      <c r="AE393" s="5"/>
    </row>
    <row r="394" spans="1:31" customFormat="1">
      <c r="A394" s="113">
        <v>314</v>
      </c>
      <c r="B394" s="113" t="s">
        <v>341</v>
      </c>
      <c r="C394" s="120" t="s">
        <v>5597</v>
      </c>
      <c r="D394" s="124">
        <v>0</v>
      </c>
      <c r="E394" s="124">
        <v>1</v>
      </c>
      <c r="F394" s="113" t="s">
        <v>29</v>
      </c>
      <c r="G394" s="113" t="s">
        <v>2119</v>
      </c>
      <c r="H394" s="113" t="s">
        <v>29</v>
      </c>
      <c r="I394" s="113" t="s">
        <v>1109</v>
      </c>
      <c r="J394" s="118" t="s">
        <v>2129</v>
      </c>
      <c r="K394" s="118" t="s">
        <v>4658</v>
      </c>
      <c r="L394" s="118" t="s">
        <v>5597</v>
      </c>
      <c r="M394" s="115" t="s">
        <v>1109</v>
      </c>
      <c r="N394" s="115" t="s">
        <v>6399</v>
      </c>
      <c r="O394" s="115" t="s">
        <v>1109</v>
      </c>
      <c r="P394" s="113">
        <v>430</v>
      </c>
      <c r="Q394" s="113">
        <v>65</v>
      </c>
      <c r="R394" s="113">
        <v>47</v>
      </c>
      <c r="S394" s="113">
        <v>75</v>
      </c>
      <c r="T394" s="120">
        <v>73</v>
      </c>
      <c r="U394" s="113">
        <v>85</v>
      </c>
      <c r="V394" s="113">
        <v>85</v>
      </c>
      <c r="W394" s="129"/>
      <c r="X394" s="129"/>
      <c r="Y394" s="5"/>
      <c r="Z394" s="5"/>
      <c r="AA394" s="5"/>
      <c r="AB394" s="5"/>
      <c r="AC394" s="5"/>
      <c r="AD394" s="5"/>
      <c r="AE394" s="5"/>
    </row>
    <row r="395" spans="1:31" customFormat="1">
      <c r="A395" s="113">
        <v>315</v>
      </c>
      <c r="B395" s="113" t="s">
        <v>342</v>
      </c>
      <c r="C395" s="120" t="s">
        <v>5598</v>
      </c>
      <c r="D395" s="124">
        <v>0.5</v>
      </c>
      <c r="E395" s="124">
        <v>0.5</v>
      </c>
      <c r="F395" s="113" t="s">
        <v>14</v>
      </c>
      <c r="G395" s="113" t="s">
        <v>2119</v>
      </c>
      <c r="H395" s="113" t="s">
        <v>14</v>
      </c>
      <c r="I395" s="113" t="s">
        <v>15</v>
      </c>
      <c r="J395" s="118" t="s">
        <v>2129</v>
      </c>
      <c r="K395" s="118" t="s">
        <v>4658</v>
      </c>
      <c r="L395" s="118" t="s">
        <v>5705</v>
      </c>
      <c r="M395" s="115" t="s">
        <v>5705</v>
      </c>
      <c r="N395" s="115" t="s">
        <v>6398</v>
      </c>
      <c r="O395" s="115" t="s">
        <v>2128</v>
      </c>
      <c r="P395" s="113">
        <v>400</v>
      </c>
      <c r="Q395" s="113">
        <v>50</v>
      </c>
      <c r="R395" s="113">
        <v>60</v>
      </c>
      <c r="S395" s="113">
        <v>45</v>
      </c>
      <c r="T395" s="120">
        <v>100</v>
      </c>
      <c r="U395" s="113">
        <v>80</v>
      </c>
      <c r="V395" s="113">
        <v>65</v>
      </c>
      <c r="W395" s="129"/>
      <c r="X395" s="129"/>
      <c r="Y395" s="5"/>
      <c r="Z395" s="5"/>
      <c r="AA395" s="5"/>
      <c r="AB395" s="5"/>
      <c r="AC395" s="5"/>
      <c r="AD395" s="5"/>
      <c r="AE395" s="5"/>
    </row>
    <row r="396" spans="1:31" customFormat="1">
      <c r="A396" s="113">
        <v>316</v>
      </c>
      <c r="B396" s="113" t="s">
        <v>343</v>
      </c>
      <c r="C396" s="120" t="s">
        <v>5599</v>
      </c>
      <c r="D396" s="124">
        <v>0.5</v>
      </c>
      <c r="E396" s="124">
        <v>0.5</v>
      </c>
      <c r="F396" s="113" t="s">
        <v>2336</v>
      </c>
      <c r="G396" s="113" t="s">
        <v>2119</v>
      </c>
      <c r="H396" s="113" t="s">
        <v>15</v>
      </c>
      <c r="I396" s="113" t="s">
        <v>1109</v>
      </c>
      <c r="J396" s="118" t="s">
        <v>2129</v>
      </c>
      <c r="K396" s="118" t="s">
        <v>2712</v>
      </c>
      <c r="L396" s="118" t="s">
        <v>5599</v>
      </c>
      <c r="M396" s="115" t="s">
        <v>1109</v>
      </c>
      <c r="N396" s="115" t="s">
        <v>2129</v>
      </c>
      <c r="O396" s="115" t="s">
        <v>1109</v>
      </c>
      <c r="P396" s="113">
        <v>302</v>
      </c>
      <c r="Q396" s="113">
        <v>70</v>
      </c>
      <c r="R396" s="113">
        <v>43</v>
      </c>
      <c r="S396" s="113">
        <v>53</v>
      </c>
      <c r="T396" s="120">
        <v>43</v>
      </c>
      <c r="U396" s="113">
        <v>53</v>
      </c>
      <c r="V396" s="113">
        <v>40</v>
      </c>
      <c r="W396" s="129"/>
      <c r="X396" s="129"/>
      <c r="Y396" s="5"/>
      <c r="Z396" s="5"/>
      <c r="AA396" s="5"/>
      <c r="AB396" s="5"/>
      <c r="AC396" s="5"/>
      <c r="AD396" s="5"/>
      <c r="AE396" s="5"/>
    </row>
    <row r="397" spans="1:31" customFormat="1">
      <c r="A397" s="113">
        <v>317</v>
      </c>
      <c r="B397" s="113" t="s">
        <v>344</v>
      </c>
      <c r="C397" s="120" t="s">
        <v>5600</v>
      </c>
      <c r="D397" s="124">
        <v>0.5</v>
      </c>
      <c r="E397" s="124">
        <v>0.5</v>
      </c>
      <c r="F397" s="113" t="s">
        <v>2336</v>
      </c>
      <c r="G397" s="113" t="s">
        <v>2119</v>
      </c>
      <c r="H397" s="113" t="s">
        <v>15</v>
      </c>
      <c r="I397" s="113" t="s">
        <v>1109</v>
      </c>
      <c r="J397" s="118" t="s">
        <v>2129</v>
      </c>
      <c r="K397" s="118" t="s">
        <v>2712</v>
      </c>
      <c r="L397" s="118" t="s">
        <v>5599</v>
      </c>
      <c r="M397" s="115" t="s">
        <v>5599</v>
      </c>
      <c r="N397" s="115" t="s">
        <v>6399</v>
      </c>
      <c r="O397" s="115" t="s">
        <v>2128</v>
      </c>
      <c r="P397" s="113">
        <v>467</v>
      </c>
      <c r="Q397" s="113">
        <v>100</v>
      </c>
      <c r="R397" s="113">
        <v>73</v>
      </c>
      <c r="S397" s="113">
        <v>83</v>
      </c>
      <c r="T397" s="120">
        <v>73</v>
      </c>
      <c r="U397" s="113">
        <v>83</v>
      </c>
      <c r="V397" s="113">
        <v>55</v>
      </c>
      <c r="W397" s="129"/>
      <c r="X397" s="129"/>
      <c r="Y397" s="5"/>
      <c r="Z397" s="5"/>
      <c r="AA397" s="5"/>
      <c r="AB397" s="5"/>
      <c r="AC397" s="5"/>
      <c r="AD397" s="5"/>
      <c r="AE397" s="5"/>
    </row>
    <row r="398" spans="1:31" customFormat="1">
      <c r="A398" s="113">
        <v>318</v>
      </c>
      <c r="B398" s="113" t="s">
        <v>345</v>
      </c>
      <c r="C398" s="120" t="s">
        <v>5601</v>
      </c>
      <c r="D398" s="124">
        <v>0.5</v>
      </c>
      <c r="E398" s="124">
        <v>0.5</v>
      </c>
      <c r="F398" s="113" t="s">
        <v>2335</v>
      </c>
      <c r="G398" s="113" t="s">
        <v>2119</v>
      </c>
      <c r="H398" s="113" t="s">
        <v>25</v>
      </c>
      <c r="I398" s="113" t="s">
        <v>158</v>
      </c>
      <c r="J398" s="118" t="s">
        <v>2129</v>
      </c>
      <c r="K398" s="118" t="s">
        <v>4658</v>
      </c>
      <c r="L398" s="118" t="s">
        <v>5601</v>
      </c>
      <c r="M398" s="115" t="s">
        <v>1109</v>
      </c>
      <c r="N398" s="115" t="s">
        <v>2129</v>
      </c>
      <c r="O398" s="115" t="s">
        <v>1109</v>
      </c>
      <c r="P398" s="113">
        <v>305</v>
      </c>
      <c r="Q398" s="113">
        <v>45</v>
      </c>
      <c r="R398" s="113">
        <v>90</v>
      </c>
      <c r="S398" s="113">
        <v>20</v>
      </c>
      <c r="T398" s="120">
        <v>65</v>
      </c>
      <c r="U398" s="113">
        <v>20</v>
      </c>
      <c r="V398" s="113">
        <v>65</v>
      </c>
      <c r="W398" s="129"/>
      <c r="X398" s="129"/>
      <c r="Y398" s="5"/>
      <c r="Z398" s="5"/>
      <c r="AA398" s="5"/>
      <c r="AB398" s="5"/>
      <c r="AC398" s="5"/>
      <c r="AD398" s="5"/>
      <c r="AE398" s="5"/>
    </row>
    <row r="399" spans="1:31" customFormat="1">
      <c r="A399" s="113">
        <v>319</v>
      </c>
      <c r="B399" s="113" t="s">
        <v>346</v>
      </c>
      <c r="C399" s="120" t="s">
        <v>5602</v>
      </c>
      <c r="D399" s="124">
        <v>0.5</v>
      </c>
      <c r="E399" s="124">
        <v>0.5</v>
      </c>
      <c r="F399" s="113" t="s">
        <v>2335</v>
      </c>
      <c r="G399" s="113" t="s">
        <v>2119</v>
      </c>
      <c r="H399" s="113" t="s">
        <v>25</v>
      </c>
      <c r="I399" s="113" t="s">
        <v>158</v>
      </c>
      <c r="J399" s="118" t="s">
        <v>2129</v>
      </c>
      <c r="K399" s="118" t="s">
        <v>4658</v>
      </c>
      <c r="L399" s="118" t="s">
        <v>5601</v>
      </c>
      <c r="M399" s="115" t="s">
        <v>5601</v>
      </c>
      <c r="N399" s="115" t="s">
        <v>6399</v>
      </c>
      <c r="O399" s="115" t="s">
        <v>2128</v>
      </c>
      <c r="P399" s="113">
        <v>460</v>
      </c>
      <c r="Q399" s="113">
        <v>70</v>
      </c>
      <c r="R399" s="113">
        <v>120</v>
      </c>
      <c r="S399" s="113">
        <v>40</v>
      </c>
      <c r="T399" s="120">
        <v>95</v>
      </c>
      <c r="U399" s="113">
        <v>40</v>
      </c>
      <c r="V399" s="113">
        <v>95</v>
      </c>
      <c r="W399" s="129"/>
      <c r="X399" s="129"/>
      <c r="Y399" s="5"/>
      <c r="Z399" s="5"/>
      <c r="AA399" s="5"/>
      <c r="AB399" s="5"/>
      <c r="AC399" s="5"/>
      <c r="AD399" s="5"/>
      <c r="AE399" s="5"/>
    </row>
    <row r="400" spans="1:31" customFormat="1" hidden="1">
      <c r="A400" s="113">
        <v>319</v>
      </c>
      <c r="B400" s="113" t="s">
        <v>2921</v>
      </c>
      <c r="C400" s="120" t="s">
        <v>5603</v>
      </c>
      <c r="D400" s="124">
        <v>0.5</v>
      </c>
      <c r="E400" s="124">
        <v>0.5</v>
      </c>
      <c r="F400" s="113" t="s">
        <v>2335</v>
      </c>
      <c r="G400" s="113" t="s">
        <v>2119</v>
      </c>
      <c r="H400" s="113" t="s">
        <v>25</v>
      </c>
      <c r="I400" s="113" t="s">
        <v>158</v>
      </c>
      <c r="J400" s="118" t="s">
        <v>3973</v>
      </c>
      <c r="K400" s="118" t="s">
        <v>4659</v>
      </c>
      <c r="L400" s="118" t="s">
        <v>5601</v>
      </c>
      <c r="M400" s="115" t="s">
        <v>5602</v>
      </c>
      <c r="N400" s="115" t="s">
        <v>3973</v>
      </c>
      <c r="O400" s="115" t="s">
        <v>4480</v>
      </c>
      <c r="P400" s="113">
        <v>560</v>
      </c>
      <c r="Q400" s="113">
        <v>70</v>
      </c>
      <c r="R400" s="113">
        <v>140</v>
      </c>
      <c r="S400" s="113">
        <v>70</v>
      </c>
      <c r="T400" s="120">
        <v>110</v>
      </c>
      <c r="U400" s="113">
        <v>65</v>
      </c>
      <c r="V400" s="113">
        <v>105</v>
      </c>
      <c r="W400" s="129"/>
      <c r="X400" s="129"/>
      <c r="Y400" s="5"/>
      <c r="Z400" s="5"/>
      <c r="AA400" s="5"/>
      <c r="AB400" s="5"/>
      <c r="AC400" s="5"/>
      <c r="AD400" s="5"/>
      <c r="AE400" s="5"/>
    </row>
    <row r="401" spans="1:31" customFormat="1">
      <c r="A401" s="113">
        <v>320</v>
      </c>
      <c r="B401" s="113" t="s">
        <v>347</v>
      </c>
      <c r="C401" s="120" t="s">
        <v>5604</v>
      </c>
      <c r="D401" s="124">
        <v>0.5</v>
      </c>
      <c r="E401" s="124">
        <v>0.5</v>
      </c>
      <c r="F401" s="113" t="s">
        <v>2335</v>
      </c>
      <c r="G401" s="113" t="s">
        <v>2119</v>
      </c>
      <c r="H401" s="113" t="s">
        <v>25</v>
      </c>
      <c r="I401" s="113" t="s">
        <v>1109</v>
      </c>
      <c r="J401" s="118" t="s">
        <v>2129</v>
      </c>
      <c r="K401" s="118" t="s">
        <v>4658</v>
      </c>
      <c r="L401" s="118" t="s">
        <v>5604</v>
      </c>
      <c r="M401" s="115" t="s">
        <v>1109</v>
      </c>
      <c r="N401" s="115" t="s">
        <v>2129</v>
      </c>
      <c r="O401" s="115" t="s">
        <v>1109</v>
      </c>
      <c r="P401" s="113">
        <v>400</v>
      </c>
      <c r="Q401" s="113">
        <v>130</v>
      </c>
      <c r="R401" s="113">
        <v>70</v>
      </c>
      <c r="S401" s="113">
        <v>35</v>
      </c>
      <c r="T401" s="120">
        <v>70</v>
      </c>
      <c r="U401" s="113">
        <v>35</v>
      </c>
      <c r="V401" s="113">
        <v>60</v>
      </c>
      <c r="W401" s="129"/>
      <c r="X401" s="129"/>
      <c r="Y401" s="5"/>
      <c r="Z401" s="5"/>
      <c r="AA401" s="5"/>
      <c r="AB401" s="5"/>
      <c r="AC401" s="5"/>
      <c r="AD401" s="5"/>
      <c r="AE401" s="5"/>
    </row>
    <row r="402" spans="1:31" customFormat="1">
      <c r="A402" s="113">
        <v>321</v>
      </c>
      <c r="B402" s="113" t="s">
        <v>348</v>
      </c>
      <c r="C402" s="120" t="s">
        <v>5605</v>
      </c>
      <c r="D402" s="124">
        <v>0.5</v>
      </c>
      <c r="E402" s="124">
        <v>0.5</v>
      </c>
      <c r="F402" s="113" t="s">
        <v>2335</v>
      </c>
      <c r="G402" s="113" t="s">
        <v>2119</v>
      </c>
      <c r="H402" s="113" t="s">
        <v>25</v>
      </c>
      <c r="I402" s="113" t="s">
        <v>1109</v>
      </c>
      <c r="J402" s="118" t="s">
        <v>2129</v>
      </c>
      <c r="K402" s="118" t="s">
        <v>4658</v>
      </c>
      <c r="L402" s="118" t="s">
        <v>5604</v>
      </c>
      <c r="M402" s="115" t="s">
        <v>5604</v>
      </c>
      <c r="N402" s="115" t="s">
        <v>6399</v>
      </c>
      <c r="O402" s="115" t="s">
        <v>2128</v>
      </c>
      <c r="P402" s="113">
        <v>500</v>
      </c>
      <c r="Q402" s="113">
        <v>170</v>
      </c>
      <c r="R402" s="113">
        <v>90</v>
      </c>
      <c r="S402" s="113">
        <v>45</v>
      </c>
      <c r="T402" s="120">
        <v>90</v>
      </c>
      <c r="U402" s="113">
        <v>45</v>
      </c>
      <c r="V402" s="113">
        <v>60</v>
      </c>
      <c r="W402" s="129"/>
      <c r="X402" s="129"/>
      <c r="Y402" s="5"/>
      <c r="Z402" s="5"/>
      <c r="AA402" s="5"/>
      <c r="AB402" s="5"/>
      <c r="AC402" s="5"/>
      <c r="AD402" s="5"/>
      <c r="AE402" s="5"/>
    </row>
    <row r="403" spans="1:31" customFormat="1">
      <c r="A403" s="113">
        <v>322</v>
      </c>
      <c r="B403" s="113" t="s">
        <v>349</v>
      </c>
      <c r="C403" s="120" t="s">
        <v>5606</v>
      </c>
      <c r="D403" s="124">
        <v>0.5</v>
      </c>
      <c r="E403" s="124">
        <v>0.5</v>
      </c>
      <c r="F403" s="113" t="s">
        <v>2332</v>
      </c>
      <c r="G403" s="113" t="s">
        <v>2119</v>
      </c>
      <c r="H403" s="113" t="s">
        <v>19</v>
      </c>
      <c r="I403" s="113" t="s">
        <v>49</v>
      </c>
      <c r="J403" s="118" t="s">
        <v>2129</v>
      </c>
      <c r="K403" s="118" t="s">
        <v>4658</v>
      </c>
      <c r="L403" s="118" t="s">
        <v>5606</v>
      </c>
      <c r="M403" s="115" t="s">
        <v>1109</v>
      </c>
      <c r="N403" s="115" t="s">
        <v>2129</v>
      </c>
      <c r="O403" s="115" t="s">
        <v>1109</v>
      </c>
      <c r="P403" s="113">
        <v>305</v>
      </c>
      <c r="Q403" s="113">
        <v>60</v>
      </c>
      <c r="R403" s="113">
        <v>60</v>
      </c>
      <c r="S403" s="113">
        <v>40</v>
      </c>
      <c r="T403" s="120">
        <v>65</v>
      </c>
      <c r="U403" s="113">
        <v>45</v>
      </c>
      <c r="V403" s="113">
        <v>35</v>
      </c>
      <c r="W403" s="129"/>
      <c r="X403" s="129"/>
      <c r="Y403" s="5"/>
      <c r="Z403" s="5"/>
      <c r="AA403" s="5"/>
      <c r="AB403" s="5"/>
      <c r="AC403" s="5"/>
      <c r="AD403" s="5"/>
      <c r="AE403" s="5"/>
    </row>
    <row r="404" spans="1:31" customFormat="1">
      <c r="A404" s="113">
        <v>323</v>
      </c>
      <c r="B404" s="113" t="s">
        <v>350</v>
      </c>
      <c r="C404" s="120" t="s">
        <v>5607</v>
      </c>
      <c r="D404" s="124">
        <v>0.5</v>
      </c>
      <c r="E404" s="124">
        <v>0.5</v>
      </c>
      <c r="F404" s="113" t="s">
        <v>2332</v>
      </c>
      <c r="G404" s="113" t="s">
        <v>2119</v>
      </c>
      <c r="H404" s="113" t="s">
        <v>19</v>
      </c>
      <c r="I404" s="113" t="s">
        <v>49</v>
      </c>
      <c r="J404" s="118" t="s">
        <v>2129</v>
      </c>
      <c r="K404" s="118" t="s">
        <v>4658</v>
      </c>
      <c r="L404" s="118" t="s">
        <v>5606</v>
      </c>
      <c r="M404" s="115" t="s">
        <v>5606</v>
      </c>
      <c r="N404" s="115" t="s">
        <v>6399</v>
      </c>
      <c r="O404" s="115" t="s">
        <v>2128</v>
      </c>
      <c r="P404" s="113">
        <v>460</v>
      </c>
      <c r="Q404" s="113">
        <v>70</v>
      </c>
      <c r="R404" s="113">
        <v>100</v>
      </c>
      <c r="S404" s="113">
        <v>70</v>
      </c>
      <c r="T404" s="120">
        <v>105</v>
      </c>
      <c r="U404" s="113">
        <v>75</v>
      </c>
      <c r="V404" s="113">
        <v>40</v>
      </c>
      <c r="W404" s="129"/>
      <c r="X404" s="129"/>
      <c r="Y404" s="5"/>
      <c r="Z404" s="5"/>
      <c r="AA404" s="5"/>
      <c r="AB404" s="5"/>
      <c r="AC404" s="5"/>
      <c r="AD404" s="5"/>
      <c r="AE404" s="5"/>
    </row>
    <row r="405" spans="1:31" customFormat="1" hidden="1">
      <c r="A405" s="113">
        <v>323</v>
      </c>
      <c r="B405" s="113" t="s">
        <v>2923</v>
      </c>
      <c r="C405" s="120" t="s">
        <v>5608</v>
      </c>
      <c r="D405" s="124">
        <v>0.5</v>
      </c>
      <c r="E405" s="124">
        <v>0.5</v>
      </c>
      <c r="F405" s="113" t="s">
        <v>2332</v>
      </c>
      <c r="G405" s="113" t="s">
        <v>2119</v>
      </c>
      <c r="H405" s="113" t="s">
        <v>19</v>
      </c>
      <c r="I405" s="113" t="s">
        <v>49</v>
      </c>
      <c r="J405" s="118" t="s">
        <v>3973</v>
      </c>
      <c r="K405" s="118" t="s">
        <v>4659</v>
      </c>
      <c r="L405" s="118" t="s">
        <v>5606</v>
      </c>
      <c r="M405" s="115" t="s">
        <v>5607</v>
      </c>
      <c r="N405" s="115" t="s">
        <v>3973</v>
      </c>
      <c r="O405" s="115" t="s">
        <v>4480</v>
      </c>
      <c r="P405" s="113">
        <v>560</v>
      </c>
      <c r="Q405" s="113">
        <v>70</v>
      </c>
      <c r="R405" s="113">
        <v>120</v>
      </c>
      <c r="S405" s="113">
        <v>100</v>
      </c>
      <c r="T405" s="120">
        <v>145</v>
      </c>
      <c r="U405" s="113">
        <v>105</v>
      </c>
      <c r="V405" s="113">
        <v>20</v>
      </c>
      <c r="W405" s="129"/>
      <c r="X405" s="129"/>
      <c r="Y405" s="5"/>
      <c r="Z405" s="5"/>
      <c r="AA405" s="5"/>
      <c r="AB405" s="5"/>
      <c r="AC405" s="5"/>
      <c r="AD405" s="5"/>
      <c r="AE405" s="5"/>
    </row>
    <row r="406" spans="1:31" customFormat="1">
      <c r="A406" s="113">
        <v>324</v>
      </c>
      <c r="B406" s="113" t="s">
        <v>351</v>
      </c>
      <c r="C406" s="120" t="s">
        <v>5609</v>
      </c>
      <c r="D406" s="124">
        <v>0.5</v>
      </c>
      <c r="E406" s="124">
        <v>0.5</v>
      </c>
      <c r="F406" s="113" t="s">
        <v>2332</v>
      </c>
      <c r="G406" s="113" t="s">
        <v>2119</v>
      </c>
      <c r="H406" s="113" t="s">
        <v>19</v>
      </c>
      <c r="I406" s="113" t="s">
        <v>1109</v>
      </c>
      <c r="J406" s="118" t="s">
        <v>2129</v>
      </c>
      <c r="K406" s="118" t="s">
        <v>4657</v>
      </c>
      <c r="L406" s="118" t="s">
        <v>5609</v>
      </c>
      <c r="M406" s="115" t="s">
        <v>1109</v>
      </c>
      <c r="N406" s="115" t="s">
        <v>6399</v>
      </c>
      <c r="O406" s="115" t="s">
        <v>1109</v>
      </c>
      <c r="P406" s="113">
        <v>470</v>
      </c>
      <c r="Q406" s="113">
        <v>70</v>
      </c>
      <c r="R406" s="113">
        <v>85</v>
      </c>
      <c r="S406" s="113">
        <v>140</v>
      </c>
      <c r="T406" s="120">
        <v>85</v>
      </c>
      <c r="U406" s="113">
        <v>70</v>
      </c>
      <c r="V406" s="113">
        <v>20</v>
      </c>
      <c r="W406" s="129"/>
      <c r="X406" s="129"/>
      <c r="Y406" s="5"/>
      <c r="Z406" s="5"/>
      <c r="AA406" s="5"/>
      <c r="AB406" s="5"/>
      <c r="AC406" s="5"/>
      <c r="AD406" s="5"/>
      <c r="AE406" s="5"/>
    </row>
    <row r="407" spans="1:31" customFormat="1">
      <c r="A407" s="113">
        <v>325</v>
      </c>
      <c r="B407" s="113" t="s">
        <v>352</v>
      </c>
      <c r="C407" s="120" t="s">
        <v>5610</v>
      </c>
      <c r="D407" s="124">
        <v>0.5</v>
      </c>
      <c r="E407" s="124">
        <v>0.5</v>
      </c>
      <c r="F407" s="113" t="s">
        <v>2332</v>
      </c>
      <c r="G407" s="113" t="s">
        <v>2119</v>
      </c>
      <c r="H407" s="113" t="s">
        <v>86</v>
      </c>
      <c r="I407" s="113" t="s">
        <v>1109</v>
      </c>
      <c r="J407" s="118" t="s">
        <v>2129</v>
      </c>
      <c r="K407" s="118" t="s">
        <v>4658</v>
      </c>
      <c r="L407" s="118" t="s">
        <v>5610</v>
      </c>
      <c r="M407" s="115" t="s">
        <v>1109</v>
      </c>
      <c r="N407" s="115" t="s">
        <v>2129</v>
      </c>
      <c r="O407" s="115" t="s">
        <v>1109</v>
      </c>
      <c r="P407" s="113">
        <v>330</v>
      </c>
      <c r="Q407" s="113">
        <v>60</v>
      </c>
      <c r="R407" s="113">
        <v>25</v>
      </c>
      <c r="S407" s="113">
        <v>35</v>
      </c>
      <c r="T407" s="120">
        <v>70</v>
      </c>
      <c r="U407" s="113">
        <v>80</v>
      </c>
      <c r="V407" s="113">
        <v>60</v>
      </c>
      <c r="W407" s="129"/>
      <c r="X407" s="129"/>
      <c r="Y407" s="5"/>
      <c r="Z407" s="5"/>
      <c r="AA407" s="5"/>
      <c r="AB407" s="5"/>
      <c r="AC407" s="5"/>
      <c r="AD407" s="5"/>
      <c r="AE407" s="5"/>
    </row>
    <row r="408" spans="1:31" customFormat="1">
      <c r="A408" s="113">
        <v>326</v>
      </c>
      <c r="B408" s="113" t="s">
        <v>353</v>
      </c>
      <c r="C408" s="120" t="s">
        <v>5611</v>
      </c>
      <c r="D408" s="124">
        <v>0.5</v>
      </c>
      <c r="E408" s="124">
        <v>0.5</v>
      </c>
      <c r="F408" s="113" t="s">
        <v>2332</v>
      </c>
      <c r="G408" s="113" t="s">
        <v>2119</v>
      </c>
      <c r="H408" s="113" t="s">
        <v>86</v>
      </c>
      <c r="I408" s="113" t="s">
        <v>1109</v>
      </c>
      <c r="J408" s="118" t="s">
        <v>2129</v>
      </c>
      <c r="K408" s="118" t="s">
        <v>4658</v>
      </c>
      <c r="L408" s="118" t="s">
        <v>5610</v>
      </c>
      <c r="M408" s="115" t="s">
        <v>5610</v>
      </c>
      <c r="N408" s="115" t="s">
        <v>6399</v>
      </c>
      <c r="O408" s="115" t="s">
        <v>2128</v>
      </c>
      <c r="P408" s="113">
        <v>470</v>
      </c>
      <c r="Q408" s="113">
        <v>80</v>
      </c>
      <c r="R408" s="113">
        <v>45</v>
      </c>
      <c r="S408" s="113">
        <v>65</v>
      </c>
      <c r="T408" s="120">
        <v>90</v>
      </c>
      <c r="U408" s="113">
        <v>110</v>
      </c>
      <c r="V408" s="113">
        <v>80</v>
      </c>
      <c r="W408" s="129"/>
      <c r="X408" s="129"/>
      <c r="Y408" s="5"/>
      <c r="Z408" s="5"/>
      <c r="AA408" s="5"/>
      <c r="AB408" s="5"/>
      <c r="AC408" s="5"/>
      <c r="AD408" s="5"/>
      <c r="AE408" s="5"/>
    </row>
    <row r="409" spans="1:31" customFormat="1">
      <c r="A409" s="113">
        <v>327</v>
      </c>
      <c r="B409" s="113" t="s">
        <v>354</v>
      </c>
      <c r="C409" s="120" t="s">
        <v>5612</v>
      </c>
      <c r="D409" s="124">
        <v>0.5</v>
      </c>
      <c r="E409" s="124">
        <v>0.5</v>
      </c>
      <c r="F409" s="113" t="s">
        <v>2332</v>
      </c>
      <c r="G409" s="113" t="s">
        <v>2119</v>
      </c>
      <c r="H409" s="113" t="s">
        <v>36</v>
      </c>
      <c r="I409" s="113" t="s">
        <v>1109</v>
      </c>
      <c r="J409" s="118" t="s">
        <v>2129</v>
      </c>
      <c r="K409" s="118" t="s">
        <v>4658</v>
      </c>
      <c r="L409" s="118" t="s">
        <v>5612</v>
      </c>
      <c r="M409" s="115" t="s">
        <v>1109</v>
      </c>
      <c r="N409" s="115" t="s">
        <v>6399</v>
      </c>
      <c r="O409" s="115" t="s">
        <v>1109</v>
      </c>
      <c r="P409" s="113">
        <v>360</v>
      </c>
      <c r="Q409" s="113">
        <v>60</v>
      </c>
      <c r="R409" s="113">
        <v>60</v>
      </c>
      <c r="S409" s="113">
        <v>60</v>
      </c>
      <c r="T409" s="120">
        <v>60</v>
      </c>
      <c r="U409" s="113">
        <v>60</v>
      </c>
      <c r="V409" s="113">
        <v>60</v>
      </c>
      <c r="W409" s="129"/>
      <c r="X409" s="129"/>
      <c r="Y409" s="5"/>
      <c r="Z409" s="5"/>
      <c r="AA409" s="5"/>
      <c r="AB409" s="5"/>
      <c r="AC409" s="5"/>
      <c r="AD409" s="5"/>
      <c r="AE409" s="5"/>
    </row>
    <row r="410" spans="1:31" customFormat="1">
      <c r="A410" s="113">
        <v>328</v>
      </c>
      <c r="B410" s="113" t="s">
        <v>355</v>
      </c>
      <c r="C410" s="120" t="s">
        <v>5613</v>
      </c>
      <c r="D410" s="124">
        <v>0.5</v>
      </c>
      <c r="E410" s="124">
        <v>0.5</v>
      </c>
      <c r="F410" s="113" t="s">
        <v>23</v>
      </c>
      <c r="G410" s="113" t="s">
        <v>2119</v>
      </c>
      <c r="H410" s="113" t="s">
        <v>49</v>
      </c>
      <c r="I410" s="113" t="s">
        <v>1109</v>
      </c>
      <c r="J410" s="118" t="s">
        <v>2129</v>
      </c>
      <c r="K410" s="118" t="s">
        <v>4657</v>
      </c>
      <c r="L410" s="118" t="s">
        <v>5613</v>
      </c>
      <c r="M410" s="115" t="s">
        <v>1109</v>
      </c>
      <c r="N410" s="115" t="s">
        <v>2129</v>
      </c>
      <c r="O410" s="115" t="s">
        <v>1109</v>
      </c>
      <c r="P410" s="113">
        <v>290</v>
      </c>
      <c r="Q410" s="113">
        <v>45</v>
      </c>
      <c r="R410" s="113">
        <v>100</v>
      </c>
      <c r="S410" s="113">
        <v>45</v>
      </c>
      <c r="T410" s="120">
        <v>45</v>
      </c>
      <c r="U410" s="113">
        <v>45</v>
      </c>
      <c r="V410" s="113">
        <v>10</v>
      </c>
      <c r="W410" s="129"/>
      <c r="X410" s="129"/>
      <c r="Y410" s="5"/>
      <c r="Z410" s="5"/>
      <c r="AA410" s="5"/>
      <c r="AB410" s="5"/>
      <c r="AC410" s="5"/>
      <c r="AD410" s="5"/>
      <c r="AE410" s="5"/>
    </row>
    <row r="411" spans="1:31" customFormat="1">
      <c r="A411" s="113">
        <v>329</v>
      </c>
      <c r="B411" s="113" t="s">
        <v>356</v>
      </c>
      <c r="C411" s="120" t="s">
        <v>5614</v>
      </c>
      <c r="D411" s="124">
        <v>0.5</v>
      </c>
      <c r="E411" s="124">
        <v>0.5</v>
      </c>
      <c r="F411" s="113" t="s">
        <v>23</v>
      </c>
      <c r="G411" s="113" t="s">
        <v>2119</v>
      </c>
      <c r="H411" s="113" t="s">
        <v>49</v>
      </c>
      <c r="I411" s="113" t="s">
        <v>23</v>
      </c>
      <c r="J411" s="118" t="s">
        <v>2129</v>
      </c>
      <c r="K411" s="118" t="s">
        <v>4657</v>
      </c>
      <c r="L411" s="118" t="s">
        <v>5613</v>
      </c>
      <c r="M411" s="115" t="s">
        <v>5613</v>
      </c>
      <c r="N411" s="115" t="s">
        <v>6398</v>
      </c>
      <c r="O411" s="115" t="s">
        <v>2128</v>
      </c>
      <c r="P411" s="113">
        <v>340</v>
      </c>
      <c r="Q411" s="113">
        <v>50</v>
      </c>
      <c r="R411" s="113">
        <v>70</v>
      </c>
      <c r="S411" s="113">
        <v>50</v>
      </c>
      <c r="T411" s="120">
        <v>50</v>
      </c>
      <c r="U411" s="113">
        <v>50</v>
      </c>
      <c r="V411" s="113">
        <v>70</v>
      </c>
      <c r="W411" s="129"/>
      <c r="X411" s="129"/>
      <c r="Y411" s="5"/>
      <c r="Z411" s="5"/>
      <c r="AA411" s="5"/>
      <c r="AB411" s="5"/>
      <c r="AC411" s="5"/>
      <c r="AD411" s="5"/>
      <c r="AE411" s="5"/>
    </row>
    <row r="412" spans="1:31" customFormat="1">
      <c r="A412" s="113">
        <v>330</v>
      </c>
      <c r="B412" s="113" t="s">
        <v>357</v>
      </c>
      <c r="C412" s="120" t="s">
        <v>5615</v>
      </c>
      <c r="D412" s="124">
        <v>0.5</v>
      </c>
      <c r="E412" s="124">
        <v>0.5</v>
      </c>
      <c r="F412" s="113" t="s">
        <v>23</v>
      </c>
      <c r="G412" s="113" t="s">
        <v>2119</v>
      </c>
      <c r="H412" s="113" t="s">
        <v>49</v>
      </c>
      <c r="I412" s="113" t="s">
        <v>23</v>
      </c>
      <c r="J412" s="118" t="s">
        <v>2129</v>
      </c>
      <c r="K412" s="118" t="s">
        <v>4657</v>
      </c>
      <c r="L412" s="118" t="s">
        <v>5613</v>
      </c>
      <c r="M412" s="115" t="s">
        <v>5614</v>
      </c>
      <c r="N412" s="115" t="s">
        <v>6399</v>
      </c>
      <c r="O412" s="115" t="s">
        <v>2128</v>
      </c>
      <c r="P412" s="113">
        <v>520</v>
      </c>
      <c r="Q412" s="113">
        <v>80</v>
      </c>
      <c r="R412" s="113">
        <v>100</v>
      </c>
      <c r="S412" s="113">
        <v>80</v>
      </c>
      <c r="T412" s="120">
        <v>80</v>
      </c>
      <c r="U412" s="113">
        <v>80</v>
      </c>
      <c r="V412" s="113">
        <v>100</v>
      </c>
      <c r="W412" s="129"/>
      <c r="X412" s="129"/>
      <c r="Y412" s="5"/>
      <c r="Z412" s="5"/>
      <c r="AA412" s="5"/>
      <c r="AB412" s="5"/>
      <c r="AC412" s="5"/>
      <c r="AD412" s="5"/>
      <c r="AE412" s="5"/>
    </row>
    <row r="413" spans="1:31" customFormat="1">
      <c r="A413" s="113">
        <v>331</v>
      </c>
      <c r="B413" s="113" t="s">
        <v>358</v>
      </c>
      <c r="C413" s="120" t="s">
        <v>5616</v>
      </c>
      <c r="D413" s="124">
        <v>0.5</v>
      </c>
      <c r="E413" s="124">
        <v>0.5</v>
      </c>
      <c r="F413" s="113" t="s">
        <v>2334</v>
      </c>
      <c r="G413" s="113" t="s">
        <v>2119</v>
      </c>
      <c r="H413" s="113" t="s">
        <v>14</v>
      </c>
      <c r="I413" s="113" t="s">
        <v>1109</v>
      </c>
      <c r="J413" s="118" t="s">
        <v>2129</v>
      </c>
      <c r="K413" s="118" t="s">
        <v>4658</v>
      </c>
      <c r="L413" s="118" t="s">
        <v>5616</v>
      </c>
      <c r="M413" s="115" t="s">
        <v>1109</v>
      </c>
      <c r="N413" s="115" t="s">
        <v>2129</v>
      </c>
      <c r="O413" s="115" t="s">
        <v>1109</v>
      </c>
      <c r="P413" s="113">
        <v>335</v>
      </c>
      <c r="Q413" s="113">
        <v>50</v>
      </c>
      <c r="R413" s="113">
        <v>85</v>
      </c>
      <c r="S413" s="113">
        <v>40</v>
      </c>
      <c r="T413" s="120">
        <v>85</v>
      </c>
      <c r="U413" s="113">
        <v>40</v>
      </c>
      <c r="V413" s="113">
        <v>35</v>
      </c>
      <c r="W413" s="129"/>
      <c r="X413" s="129"/>
      <c r="Y413" s="5"/>
      <c r="Z413" s="5"/>
      <c r="AA413" s="5"/>
      <c r="AB413" s="5"/>
      <c r="AC413" s="5"/>
      <c r="AD413" s="5"/>
      <c r="AE413" s="5"/>
    </row>
    <row r="414" spans="1:31" customFormat="1">
      <c r="A414" s="113">
        <v>332</v>
      </c>
      <c r="B414" s="113" t="s">
        <v>359</v>
      </c>
      <c r="C414" s="120" t="s">
        <v>5617</v>
      </c>
      <c r="D414" s="124">
        <v>0.5</v>
      </c>
      <c r="E414" s="124">
        <v>0.5</v>
      </c>
      <c r="F414" s="113" t="s">
        <v>2334</v>
      </c>
      <c r="G414" s="113" t="s">
        <v>2119</v>
      </c>
      <c r="H414" s="113" t="s">
        <v>14</v>
      </c>
      <c r="I414" s="113" t="s">
        <v>158</v>
      </c>
      <c r="J414" s="118" t="s">
        <v>2129</v>
      </c>
      <c r="K414" s="118" t="s">
        <v>4658</v>
      </c>
      <c r="L414" s="118" t="s">
        <v>5616</v>
      </c>
      <c r="M414" s="115" t="s">
        <v>5616</v>
      </c>
      <c r="N414" s="115" t="s">
        <v>6399</v>
      </c>
      <c r="O414" s="115" t="s">
        <v>2128</v>
      </c>
      <c r="P414" s="113">
        <v>475</v>
      </c>
      <c r="Q414" s="113">
        <v>70</v>
      </c>
      <c r="R414" s="113">
        <v>115</v>
      </c>
      <c r="S414" s="113">
        <v>60</v>
      </c>
      <c r="T414" s="120">
        <v>115</v>
      </c>
      <c r="U414" s="113">
        <v>60</v>
      </c>
      <c r="V414" s="113">
        <v>55</v>
      </c>
      <c r="W414" s="129"/>
      <c r="X414" s="129"/>
      <c r="Y414" s="5"/>
      <c r="Z414" s="5"/>
      <c r="AA414" s="5"/>
      <c r="AB414" s="5"/>
      <c r="AC414" s="5"/>
      <c r="AD414" s="5"/>
      <c r="AE414" s="5"/>
    </row>
    <row r="415" spans="1:31" customFormat="1">
      <c r="A415" s="113">
        <v>333</v>
      </c>
      <c r="B415" s="113" t="s">
        <v>360</v>
      </c>
      <c r="C415" s="120" t="s">
        <v>5618</v>
      </c>
      <c r="D415" s="124">
        <v>0.5</v>
      </c>
      <c r="E415" s="124">
        <v>0.5</v>
      </c>
      <c r="F415" s="113" t="s">
        <v>22</v>
      </c>
      <c r="G415" s="113" t="s">
        <v>2119</v>
      </c>
      <c r="H415" s="113" t="s">
        <v>36</v>
      </c>
      <c r="I415" s="113" t="s">
        <v>22</v>
      </c>
      <c r="J415" s="118" t="s">
        <v>2129</v>
      </c>
      <c r="K415" s="118" t="s">
        <v>4657</v>
      </c>
      <c r="L415" s="118" t="s">
        <v>5618</v>
      </c>
      <c r="M415" s="115" t="s">
        <v>1109</v>
      </c>
      <c r="N415" s="115" t="s">
        <v>2129</v>
      </c>
      <c r="O415" s="115" t="s">
        <v>1109</v>
      </c>
      <c r="P415" s="113">
        <v>310</v>
      </c>
      <c r="Q415" s="113">
        <v>45</v>
      </c>
      <c r="R415" s="113">
        <v>40</v>
      </c>
      <c r="S415" s="113">
        <v>60</v>
      </c>
      <c r="T415" s="120">
        <v>40</v>
      </c>
      <c r="U415" s="113">
        <v>75</v>
      </c>
      <c r="V415" s="113">
        <v>50</v>
      </c>
      <c r="W415" s="129"/>
      <c r="X415" s="129"/>
      <c r="Y415" s="5"/>
      <c r="Z415" s="5"/>
      <c r="AA415" s="5"/>
      <c r="AB415" s="5"/>
      <c r="AC415" s="5"/>
      <c r="AD415" s="5"/>
      <c r="AE415" s="5"/>
    </row>
    <row r="416" spans="1:31" customFormat="1">
      <c r="A416" s="113">
        <v>334</v>
      </c>
      <c r="B416" s="113" t="s">
        <v>361</v>
      </c>
      <c r="C416" s="120" t="s">
        <v>5619</v>
      </c>
      <c r="D416" s="124">
        <v>0.5</v>
      </c>
      <c r="E416" s="124">
        <v>0.5</v>
      </c>
      <c r="F416" s="113" t="s">
        <v>22</v>
      </c>
      <c r="G416" s="113" t="s">
        <v>2119</v>
      </c>
      <c r="H416" s="113" t="s">
        <v>23</v>
      </c>
      <c r="I416" s="113" t="s">
        <v>22</v>
      </c>
      <c r="J416" s="118" t="s">
        <v>2129</v>
      </c>
      <c r="K416" s="118" t="s">
        <v>4657</v>
      </c>
      <c r="L416" s="118" t="s">
        <v>5618</v>
      </c>
      <c r="M416" s="115" t="s">
        <v>5618</v>
      </c>
      <c r="N416" s="115" t="s">
        <v>6399</v>
      </c>
      <c r="O416" s="115" t="s">
        <v>2128</v>
      </c>
      <c r="P416" s="113">
        <v>490</v>
      </c>
      <c r="Q416" s="113">
        <v>75</v>
      </c>
      <c r="R416" s="113">
        <v>70</v>
      </c>
      <c r="S416" s="113">
        <v>90</v>
      </c>
      <c r="T416" s="120">
        <v>70</v>
      </c>
      <c r="U416" s="113">
        <v>105</v>
      </c>
      <c r="V416" s="113">
        <v>80</v>
      </c>
      <c r="W416" s="129"/>
      <c r="X416" s="129"/>
      <c r="Y416" s="5"/>
      <c r="Z416" s="5"/>
      <c r="AA416" s="5"/>
      <c r="AB416" s="5"/>
      <c r="AC416" s="5"/>
      <c r="AD416" s="5"/>
      <c r="AE416" s="5"/>
    </row>
    <row r="417" spans="1:31" customFormat="1" hidden="1">
      <c r="A417" s="113">
        <v>334</v>
      </c>
      <c r="B417" s="113" t="s">
        <v>2925</v>
      </c>
      <c r="C417" s="120" t="s">
        <v>5620</v>
      </c>
      <c r="D417" s="124">
        <v>0.5</v>
      </c>
      <c r="E417" s="124">
        <v>0.5</v>
      </c>
      <c r="F417" s="113" t="s">
        <v>22</v>
      </c>
      <c r="G417" s="113" t="s">
        <v>2119</v>
      </c>
      <c r="H417" s="113" t="s">
        <v>23</v>
      </c>
      <c r="I417" s="113" t="s">
        <v>56</v>
      </c>
      <c r="J417" s="118" t="s">
        <v>3973</v>
      </c>
      <c r="K417" s="118" t="s">
        <v>4659</v>
      </c>
      <c r="L417" s="118" t="s">
        <v>5618</v>
      </c>
      <c r="M417" s="115" t="s">
        <v>5619</v>
      </c>
      <c r="N417" s="115" t="s">
        <v>3973</v>
      </c>
      <c r="O417" s="115" t="s">
        <v>4480</v>
      </c>
      <c r="P417" s="113">
        <v>590</v>
      </c>
      <c r="Q417" s="113">
        <v>75</v>
      </c>
      <c r="R417" s="113">
        <v>110</v>
      </c>
      <c r="S417" s="113">
        <v>110</v>
      </c>
      <c r="T417" s="120">
        <v>110</v>
      </c>
      <c r="U417" s="113">
        <v>105</v>
      </c>
      <c r="V417" s="113">
        <v>80</v>
      </c>
      <c r="W417" s="129"/>
      <c r="X417" s="129"/>
      <c r="Y417" s="5"/>
      <c r="Z417" s="5"/>
      <c r="AA417" s="5"/>
      <c r="AB417" s="5"/>
      <c r="AC417" s="5"/>
      <c r="AD417" s="5"/>
      <c r="AE417" s="5"/>
    </row>
    <row r="418" spans="1:31" customFormat="1">
      <c r="A418" s="113">
        <v>335</v>
      </c>
      <c r="B418" s="113" t="s">
        <v>362</v>
      </c>
      <c r="C418" s="120" t="s">
        <v>5621</v>
      </c>
      <c r="D418" s="124">
        <v>0.5</v>
      </c>
      <c r="E418" s="124">
        <v>0.5</v>
      </c>
      <c r="F418" s="113" t="s">
        <v>2332</v>
      </c>
      <c r="G418" s="113" t="s">
        <v>2119</v>
      </c>
      <c r="H418" s="113" t="s">
        <v>36</v>
      </c>
      <c r="I418" s="113" t="s">
        <v>1109</v>
      </c>
      <c r="J418" s="118" t="s">
        <v>2129</v>
      </c>
      <c r="K418" s="118" t="s">
        <v>4657</v>
      </c>
      <c r="L418" s="118" t="s">
        <v>5621</v>
      </c>
      <c r="M418" s="115" t="s">
        <v>1109</v>
      </c>
      <c r="N418" s="115" t="s">
        <v>6399</v>
      </c>
      <c r="O418" s="115" t="s">
        <v>1109</v>
      </c>
      <c r="P418" s="113">
        <v>458</v>
      </c>
      <c r="Q418" s="113">
        <v>73</v>
      </c>
      <c r="R418" s="113">
        <v>115</v>
      </c>
      <c r="S418" s="113">
        <v>60</v>
      </c>
      <c r="T418" s="120">
        <v>60</v>
      </c>
      <c r="U418" s="113">
        <v>60</v>
      </c>
      <c r="V418" s="113">
        <v>90</v>
      </c>
      <c r="W418" s="129"/>
      <c r="X418" s="129"/>
      <c r="Y418" s="5"/>
      <c r="Z418" s="5"/>
      <c r="AA418" s="5"/>
      <c r="AB418" s="5"/>
      <c r="AC418" s="5"/>
      <c r="AD418" s="5"/>
      <c r="AE418" s="5"/>
    </row>
    <row r="419" spans="1:31" customFormat="1">
      <c r="A419" s="113">
        <v>336</v>
      </c>
      <c r="B419" s="113" t="s">
        <v>363</v>
      </c>
      <c r="C419" s="120" t="s">
        <v>5622</v>
      </c>
      <c r="D419" s="124">
        <v>0.5</v>
      </c>
      <c r="E419" s="124">
        <v>0.5</v>
      </c>
      <c r="F419" s="113" t="s">
        <v>2332</v>
      </c>
      <c r="G419" s="113" t="s">
        <v>2119</v>
      </c>
      <c r="H419" s="113" t="s">
        <v>15</v>
      </c>
      <c r="I419" s="113" t="s">
        <v>1109</v>
      </c>
      <c r="J419" s="118" t="s">
        <v>2129</v>
      </c>
      <c r="K419" s="118" t="s">
        <v>4657</v>
      </c>
      <c r="L419" s="118" t="s">
        <v>5622</v>
      </c>
      <c r="M419" s="115" t="s">
        <v>1109</v>
      </c>
      <c r="N419" s="115" t="s">
        <v>6399</v>
      </c>
      <c r="O419" s="115" t="s">
        <v>1109</v>
      </c>
      <c r="P419" s="113">
        <v>458</v>
      </c>
      <c r="Q419" s="113">
        <v>73</v>
      </c>
      <c r="R419" s="113">
        <v>100</v>
      </c>
      <c r="S419" s="113">
        <v>60</v>
      </c>
      <c r="T419" s="120">
        <v>100</v>
      </c>
      <c r="U419" s="113">
        <v>60</v>
      </c>
      <c r="V419" s="113">
        <v>65</v>
      </c>
      <c r="W419" s="129"/>
      <c r="X419" s="129"/>
      <c r="Y419" s="5"/>
      <c r="Z419" s="5"/>
      <c r="AA419" s="5"/>
      <c r="AB419" s="5"/>
      <c r="AC419" s="5"/>
      <c r="AD419" s="5"/>
      <c r="AE419" s="5"/>
    </row>
    <row r="420" spans="1:31" customFormat="1">
      <c r="A420" s="113">
        <v>337</v>
      </c>
      <c r="B420" s="113" t="s">
        <v>364</v>
      </c>
      <c r="C420" s="120" t="s">
        <v>5623</v>
      </c>
      <c r="D420" s="124" t="s">
        <v>1109</v>
      </c>
      <c r="E420" s="124" t="s">
        <v>1109</v>
      </c>
      <c r="F420" s="113" t="s">
        <v>2112</v>
      </c>
      <c r="G420" s="113" t="s">
        <v>2119</v>
      </c>
      <c r="H420" s="113" t="s">
        <v>98</v>
      </c>
      <c r="I420" s="113" t="s">
        <v>86</v>
      </c>
      <c r="J420" s="118" t="s">
        <v>2129</v>
      </c>
      <c r="K420" s="118" t="s">
        <v>4657</v>
      </c>
      <c r="L420" s="118" t="s">
        <v>5623</v>
      </c>
      <c r="M420" s="115" t="s">
        <v>1109</v>
      </c>
      <c r="N420" s="115" t="s">
        <v>6399</v>
      </c>
      <c r="O420" s="115" t="s">
        <v>1109</v>
      </c>
      <c r="P420" s="113">
        <v>460</v>
      </c>
      <c r="Q420" s="113">
        <v>90</v>
      </c>
      <c r="R420" s="113">
        <v>55</v>
      </c>
      <c r="S420" s="113">
        <v>65</v>
      </c>
      <c r="T420" s="120">
        <v>95</v>
      </c>
      <c r="U420" s="113">
        <v>85</v>
      </c>
      <c r="V420" s="113">
        <v>70</v>
      </c>
      <c r="W420" s="129"/>
      <c r="X420" s="129"/>
      <c r="Y420" s="5"/>
      <c r="Z420" s="5"/>
      <c r="AA420" s="5"/>
      <c r="AB420" s="5"/>
      <c r="AC420" s="5"/>
      <c r="AD420" s="5"/>
      <c r="AE420" s="5"/>
    </row>
    <row r="421" spans="1:31" customFormat="1">
      <c r="A421" s="113">
        <v>338</v>
      </c>
      <c r="B421" s="113" t="s">
        <v>365</v>
      </c>
      <c r="C421" s="120" t="s">
        <v>5624</v>
      </c>
      <c r="D421" s="124" t="s">
        <v>1109</v>
      </c>
      <c r="E421" s="124" t="s">
        <v>1109</v>
      </c>
      <c r="F421" s="113" t="s">
        <v>2112</v>
      </c>
      <c r="G421" s="113" t="s">
        <v>2119</v>
      </c>
      <c r="H421" s="113" t="s">
        <v>98</v>
      </c>
      <c r="I421" s="113" t="s">
        <v>86</v>
      </c>
      <c r="J421" s="118" t="s">
        <v>2129</v>
      </c>
      <c r="K421" s="118" t="s">
        <v>4657</v>
      </c>
      <c r="L421" s="118" t="s">
        <v>5624</v>
      </c>
      <c r="M421" s="115" t="s">
        <v>1109</v>
      </c>
      <c r="N421" s="115" t="s">
        <v>6399</v>
      </c>
      <c r="O421" s="115" t="s">
        <v>1109</v>
      </c>
      <c r="P421" s="113">
        <v>460</v>
      </c>
      <c r="Q421" s="113">
        <v>90</v>
      </c>
      <c r="R421" s="113">
        <v>95</v>
      </c>
      <c r="S421" s="113">
        <v>85</v>
      </c>
      <c r="T421" s="120">
        <v>55</v>
      </c>
      <c r="U421" s="113">
        <v>65</v>
      </c>
      <c r="V421" s="113">
        <v>70</v>
      </c>
      <c r="W421" s="129"/>
      <c r="X421" s="129"/>
      <c r="Y421" s="5"/>
      <c r="Z421" s="5"/>
      <c r="AA421" s="5"/>
      <c r="AB421" s="5"/>
      <c r="AC421" s="5"/>
      <c r="AD421" s="5"/>
      <c r="AE421" s="5"/>
    </row>
    <row r="422" spans="1:31" customFormat="1">
      <c r="A422" s="113">
        <v>339</v>
      </c>
      <c r="B422" s="113" t="s">
        <v>366</v>
      </c>
      <c r="C422" s="120" t="s">
        <v>5625</v>
      </c>
      <c r="D422" s="124">
        <v>0.5</v>
      </c>
      <c r="E422" s="124">
        <v>0.5</v>
      </c>
      <c r="F422" s="113" t="s">
        <v>2331</v>
      </c>
      <c r="G422" s="113" t="s">
        <v>2119</v>
      </c>
      <c r="H422" s="113" t="s">
        <v>25</v>
      </c>
      <c r="I422" s="113" t="s">
        <v>49</v>
      </c>
      <c r="J422" s="118" t="s">
        <v>2129</v>
      </c>
      <c r="K422" s="118" t="s">
        <v>4658</v>
      </c>
      <c r="L422" s="118" t="s">
        <v>5625</v>
      </c>
      <c r="M422" s="115" t="s">
        <v>1109</v>
      </c>
      <c r="N422" s="115" t="s">
        <v>2129</v>
      </c>
      <c r="O422" s="115" t="s">
        <v>1109</v>
      </c>
      <c r="P422" s="113">
        <v>288</v>
      </c>
      <c r="Q422" s="113">
        <v>50</v>
      </c>
      <c r="R422" s="113">
        <v>48</v>
      </c>
      <c r="S422" s="113">
        <v>43</v>
      </c>
      <c r="T422" s="120">
        <v>46</v>
      </c>
      <c r="U422" s="113">
        <v>41</v>
      </c>
      <c r="V422" s="113">
        <v>60</v>
      </c>
      <c r="W422" s="129"/>
      <c r="X422" s="129"/>
      <c r="Y422" s="5"/>
      <c r="Z422" s="5"/>
      <c r="AA422" s="5"/>
      <c r="AB422" s="5"/>
      <c r="AC422" s="5"/>
      <c r="AD422" s="5"/>
      <c r="AE422" s="5"/>
    </row>
    <row r="423" spans="1:31" customFormat="1">
      <c r="A423" s="113">
        <v>340</v>
      </c>
      <c r="B423" s="113" t="s">
        <v>367</v>
      </c>
      <c r="C423" s="120" t="s">
        <v>5626</v>
      </c>
      <c r="D423" s="124">
        <v>0.5</v>
      </c>
      <c r="E423" s="124">
        <v>0.5</v>
      </c>
      <c r="F423" s="113" t="s">
        <v>2331</v>
      </c>
      <c r="G423" s="113" t="s">
        <v>2119</v>
      </c>
      <c r="H423" s="113" t="s">
        <v>25</v>
      </c>
      <c r="I423" s="113" t="s">
        <v>49</v>
      </c>
      <c r="J423" s="118" t="s">
        <v>2129</v>
      </c>
      <c r="K423" s="118" t="s">
        <v>4658</v>
      </c>
      <c r="L423" s="118" t="s">
        <v>5625</v>
      </c>
      <c r="M423" s="115" t="s">
        <v>5625</v>
      </c>
      <c r="N423" s="115" t="s">
        <v>6399</v>
      </c>
      <c r="O423" s="115" t="s">
        <v>2128</v>
      </c>
      <c r="P423" s="113">
        <v>468</v>
      </c>
      <c r="Q423" s="113">
        <v>110</v>
      </c>
      <c r="R423" s="113">
        <v>78</v>
      </c>
      <c r="S423" s="113">
        <v>73</v>
      </c>
      <c r="T423" s="120">
        <v>76</v>
      </c>
      <c r="U423" s="113">
        <v>71</v>
      </c>
      <c r="V423" s="113">
        <v>60</v>
      </c>
      <c r="W423" s="129"/>
      <c r="X423" s="129"/>
      <c r="Y423" s="5"/>
      <c r="Z423" s="5"/>
      <c r="AA423" s="5"/>
      <c r="AB423" s="5"/>
      <c r="AC423" s="5"/>
      <c r="AD423" s="5"/>
      <c r="AE423" s="5"/>
    </row>
    <row r="424" spans="1:31" customFormat="1">
      <c r="A424" s="113">
        <v>341</v>
      </c>
      <c r="B424" s="113" t="s">
        <v>368</v>
      </c>
      <c r="C424" s="120" t="s">
        <v>5627</v>
      </c>
      <c r="D424" s="124">
        <v>0.5</v>
      </c>
      <c r="E424" s="124">
        <v>0.5</v>
      </c>
      <c r="F424" s="113" t="s">
        <v>2331</v>
      </c>
      <c r="G424" s="113" t="s">
        <v>2119</v>
      </c>
      <c r="H424" s="113" t="s">
        <v>25</v>
      </c>
      <c r="I424" s="113" t="s">
        <v>1109</v>
      </c>
      <c r="J424" s="118" t="s">
        <v>2129</v>
      </c>
      <c r="K424" s="118" t="s">
        <v>4658</v>
      </c>
      <c r="L424" s="118" t="s">
        <v>5627</v>
      </c>
      <c r="M424" s="115" t="s">
        <v>1109</v>
      </c>
      <c r="N424" s="115" t="s">
        <v>2129</v>
      </c>
      <c r="O424" s="115" t="s">
        <v>1109</v>
      </c>
      <c r="P424" s="113">
        <v>308</v>
      </c>
      <c r="Q424" s="113">
        <v>43</v>
      </c>
      <c r="R424" s="113">
        <v>80</v>
      </c>
      <c r="S424" s="113">
        <v>65</v>
      </c>
      <c r="T424" s="120">
        <v>50</v>
      </c>
      <c r="U424" s="113">
        <v>35</v>
      </c>
      <c r="V424" s="113">
        <v>35</v>
      </c>
      <c r="W424" s="129"/>
      <c r="X424" s="129"/>
      <c r="Y424" s="5"/>
      <c r="Z424" s="5"/>
      <c r="AA424" s="5"/>
      <c r="AB424" s="5"/>
      <c r="AC424" s="5"/>
      <c r="AD424" s="5"/>
      <c r="AE424" s="5"/>
    </row>
    <row r="425" spans="1:31" customFormat="1">
      <c r="A425" s="113">
        <v>342</v>
      </c>
      <c r="B425" s="113" t="s">
        <v>369</v>
      </c>
      <c r="C425" s="120" t="s">
        <v>5628</v>
      </c>
      <c r="D425" s="124">
        <v>0.5</v>
      </c>
      <c r="E425" s="124">
        <v>0.5</v>
      </c>
      <c r="F425" s="113" t="s">
        <v>2331</v>
      </c>
      <c r="G425" s="113" t="s">
        <v>2119</v>
      </c>
      <c r="H425" s="113" t="s">
        <v>25</v>
      </c>
      <c r="I425" s="113" t="s">
        <v>158</v>
      </c>
      <c r="J425" s="118" t="s">
        <v>2129</v>
      </c>
      <c r="K425" s="118" t="s">
        <v>4658</v>
      </c>
      <c r="L425" s="118" t="s">
        <v>5627</v>
      </c>
      <c r="M425" s="115" t="s">
        <v>5627</v>
      </c>
      <c r="N425" s="115" t="s">
        <v>6399</v>
      </c>
      <c r="O425" s="115" t="s">
        <v>2128</v>
      </c>
      <c r="P425" s="113">
        <v>468</v>
      </c>
      <c r="Q425" s="113">
        <v>63</v>
      </c>
      <c r="R425" s="113">
        <v>120</v>
      </c>
      <c r="S425" s="113">
        <v>85</v>
      </c>
      <c r="T425" s="120">
        <v>90</v>
      </c>
      <c r="U425" s="113">
        <v>55</v>
      </c>
      <c r="V425" s="113">
        <v>55</v>
      </c>
      <c r="W425" s="129"/>
      <c r="X425" s="129"/>
      <c r="Y425" s="5"/>
      <c r="Z425" s="5"/>
      <c r="AA425" s="5"/>
      <c r="AB425" s="5"/>
      <c r="AC425" s="5"/>
      <c r="AD425" s="5"/>
      <c r="AE425" s="5"/>
    </row>
    <row r="426" spans="1:31" customFormat="1">
      <c r="A426" s="113">
        <v>343</v>
      </c>
      <c r="B426" s="113" t="s">
        <v>370</v>
      </c>
      <c r="C426" s="120" t="s">
        <v>5629</v>
      </c>
      <c r="D426" s="124" t="s">
        <v>1109</v>
      </c>
      <c r="E426" s="124" t="s">
        <v>1109</v>
      </c>
      <c r="F426" s="113" t="s">
        <v>2112</v>
      </c>
      <c r="G426" s="113" t="s">
        <v>2119</v>
      </c>
      <c r="H426" s="113" t="s">
        <v>49</v>
      </c>
      <c r="I426" s="113" t="s">
        <v>86</v>
      </c>
      <c r="J426" s="118" t="s">
        <v>2129</v>
      </c>
      <c r="K426" s="118" t="s">
        <v>4658</v>
      </c>
      <c r="L426" s="118" t="s">
        <v>5629</v>
      </c>
      <c r="M426" s="115" t="s">
        <v>1109</v>
      </c>
      <c r="N426" s="115" t="s">
        <v>2129</v>
      </c>
      <c r="O426" s="115" t="s">
        <v>1109</v>
      </c>
      <c r="P426" s="113">
        <v>300</v>
      </c>
      <c r="Q426" s="113">
        <v>40</v>
      </c>
      <c r="R426" s="113">
        <v>40</v>
      </c>
      <c r="S426" s="113">
        <v>55</v>
      </c>
      <c r="T426" s="120">
        <v>40</v>
      </c>
      <c r="U426" s="113">
        <v>70</v>
      </c>
      <c r="V426" s="113">
        <v>55</v>
      </c>
      <c r="W426" s="129"/>
      <c r="X426" s="129"/>
      <c r="Y426" s="5"/>
      <c r="Z426" s="5"/>
      <c r="AA426" s="5"/>
      <c r="AB426" s="5"/>
      <c r="AC426" s="5"/>
      <c r="AD426" s="5"/>
      <c r="AE426" s="5"/>
    </row>
    <row r="427" spans="1:31" customFormat="1">
      <c r="A427" s="113">
        <v>344</v>
      </c>
      <c r="B427" s="113" t="s">
        <v>371</v>
      </c>
      <c r="C427" s="120" t="s">
        <v>5630</v>
      </c>
      <c r="D427" s="124" t="s">
        <v>1109</v>
      </c>
      <c r="E427" s="124" t="s">
        <v>1109</v>
      </c>
      <c r="F427" s="113" t="s">
        <v>2112</v>
      </c>
      <c r="G427" s="113" t="s">
        <v>2119</v>
      </c>
      <c r="H427" s="113" t="s">
        <v>49</v>
      </c>
      <c r="I427" s="113" t="s">
        <v>86</v>
      </c>
      <c r="J427" s="118" t="s">
        <v>2129</v>
      </c>
      <c r="K427" s="118" t="s">
        <v>4658</v>
      </c>
      <c r="L427" s="118" t="s">
        <v>5629</v>
      </c>
      <c r="M427" s="115" t="s">
        <v>5629</v>
      </c>
      <c r="N427" s="115" t="s">
        <v>6399</v>
      </c>
      <c r="O427" s="115" t="s">
        <v>2128</v>
      </c>
      <c r="P427" s="113">
        <v>500</v>
      </c>
      <c r="Q427" s="113">
        <v>60</v>
      </c>
      <c r="R427" s="113">
        <v>70</v>
      </c>
      <c r="S427" s="113">
        <v>105</v>
      </c>
      <c r="T427" s="120">
        <v>70</v>
      </c>
      <c r="U427" s="113">
        <v>120</v>
      </c>
      <c r="V427" s="113">
        <v>75</v>
      </c>
      <c r="W427" s="129"/>
      <c r="X427" s="129"/>
      <c r="Y427" s="5"/>
      <c r="Z427" s="5"/>
      <c r="AA427" s="5"/>
      <c r="AB427" s="5"/>
      <c r="AC427" s="5"/>
      <c r="AD427" s="5"/>
      <c r="AE427" s="5"/>
    </row>
    <row r="428" spans="1:31" customFormat="1">
      <c r="A428" s="113">
        <v>345</v>
      </c>
      <c r="B428" s="113" t="s">
        <v>372</v>
      </c>
      <c r="C428" s="120" t="s">
        <v>5631</v>
      </c>
      <c r="D428" s="124">
        <v>0.85</v>
      </c>
      <c r="E428" s="124">
        <v>0.15</v>
      </c>
      <c r="F428" s="113" t="s">
        <v>2335</v>
      </c>
      <c r="G428" s="113" t="s">
        <v>2119</v>
      </c>
      <c r="H428" s="113" t="s">
        <v>98</v>
      </c>
      <c r="I428" s="113" t="s">
        <v>14</v>
      </c>
      <c r="J428" s="118" t="s">
        <v>2129</v>
      </c>
      <c r="K428" s="118" t="s">
        <v>4657</v>
      </c>
      <c r="L428" s="118" t="s">
        <v>5631</v>
      </c>
      <c r="M428" s="115" t="s">
        <v>1109</v>
      </c>
      <c r="N428" s="115" t="s">
        <v>2129</v>
      </c>
      <c r="O428" s="115" t="s">
        <v>1109</v>
      </c>
      <c r="P428" s="113">
        <v>355</v>
      </c>
      <c r="Q428" s="113">
        <v>66</v>
      </c>
      <c r="R428" s="113">
        <v>41</v>
      </c>
      <c r="S428" s="113">
        <v>77</v>
      </c>
      <c r="T428" s="120">
        <v>61</v>
      </c>
      <c r="U428" s="113">
        <v>87</v>
      </c>
      <c r="V428" s="113">
        <v>23</v>
      </c>
      <c r="W428" s="129"/>
      <c r="X428" s="129"/>
      <c r="Y428" s="5"/>
      <c r="Z428" s="5"/>
      <c r="AA428" s="5"/>
      <c r="AB428" s="5"/>
      <c r="AC428" s="5"/>
      <c r="AD428" s="5"/>
      <c r="AE428" s="5"/>
    </row>
    <row r="429" spans="1:31" customFormat="1">
      <c r="A429" s="113">
        <v>346</v>
      </c>
      <c r="B429" s="113" t="s">
        <v>373</v>
      </c>
      <c r="C429" s="120" t="s">
        <v>5632</v>
      </c>
      <c r="D429" s="124">
        <v>0.85</v>
      </c>
      <c r="E429" s="124">
        <v>0.15</v>
      </c>
      <c r="F429" s="113" t="s">
        <v>2335</v>
      </c>
      <c r="G429" s="113" t="s">
        <v>2119</v>
      </c>
      <c r="H429" s="113" t="s">
        <v>98</v>
      </c>
      <c r="I429" s="113" t="s">
        <v>14</v>
      </c>
      <c r="J429" s="118" t="s">
        <v>2129</v>
      </c>
      <c r="K429" s="118" t="s">
        <v>4657</v>
      </c>
      <c r="L429" s="118" t="s">
        <v>5631</v>
      </c>
      <c r="M429" s="115" t="s">
        <v>5631</v>
      </c>
      <c r="N429" s="115" t="s">
        <v>6399</v>
      </c>
      <c r="O429" s="115" t="s">
        <v>2128</v>
      </c>
      <c r="P429" s="113">
        <v>495</v>
      </c>
      <c r="Q429" s="113">
        <v>86</v>
      </c>
      <c r="R429" s="113">
        <v>81</v>
      </c>
      <c r="S429" s="113">
        <v>97</v>
      </c>
      <c r="T429" s="120">
        <v>81</v>
      </c>
      <c r="U429" s="113">
        <v>107</v>
      </c>
      <c r="V429" s="113">
        <v>43</v>
      </c>
      <c r="W429" s="129"/>
      <c r="X429" s="129"/>
      <c r="Y429" s="5"/>
      <c r="Z429" s="5"/>
      <c r="AA429" s="5"/>
      <c r="AB429" s="5"/>
      <c r="AC429" s="5"/>
      <c r="AD429" s="5"/>
      <c r="AE429" s="5"/>
    </row>
    <row r="430" spans="1:31" customFormat="1">
      <c r="A430" s="113">
        <v>347</v>
      </c>
      <c r="B430" s="113" t="s">
        <v>374</v>
      </c>
      <c r="C430" s="120" t="s">
        <v>5633</v>
      </c>
      <c r="D430" s="124">
        <v>0.85</v>
      </c>
      <c r="E430" s="124">
        <v>0.15</v>
      </c>
      <c r="F430" s="113" t="s">
        <v>2335</v>
      </c>
      <c r="G430" s="113" t="s">
        <v>2119</v>
      </c>
      <c r="H430" s="113" t="s">
        <v>98</v>
      </c>
      <c r="I430" s="113" t="s">
        <v>29</v>
      </c>
      <c r="J430" s="118" t="s">
        <v>2129</v>
      </c>
      <c r="K430" s="118" t="s">
        <v>4657</v>
      </c>
      <c r="L430" s="118" t="s">
        <v>5633</v>
      </c>
      <c r="M430" s="115" t="s">
        <v>1109</v>
      </c>
      <c r="N430" s="115" t="s">
        <v>2129</v>
      </c>
      <c r="O430" s="115" t="s">
        <v>1109</v>
      </c>
      <c r="P430" s="113">
        <v>355</v>
      </c>
      <c r="Q430" s="113">
        <v>45</v>
      </c>
      <c r="R430" s="113">
        <v>95</v>
      </c>
      <c r="S430" s="113">
        <v>50</v>
      </c>
      <c r="T430" s="120">
        <v>40</v>
      </c>
      <c r="U430" s="113">
        <v>50</v>
      </c>
      <c r="V430" s="113">
        <v>75</v>
      </c>
      <c r="W430" s="129"/>
      <c r="X430" s="129"/>
      <c r="Y430" s="5"/>
      <c r="Z430" s="5"/>
      <c r="AA430" s="5"/>
      <c r="AB430" s="5"/>
      <c r="AC430" s="5"/>
      <c r="AD430" s="5"/>
      <c r="AE430" s="5"/>
    </row>
    <row r="431" spans="1:31" customFormat="1">
      <c r="A431" s="113">
        <v>348</v>
      </c>
      <c r="B431" s="113" t="s">
        <v>375</v>
      </c>
      <c r="C431" s="120" t="s">
        <v>5634</v>
      </c>
      <c r="D431" s="124">
        <v>0.85</v>
      </c>
      <c r="E431" s="124">
        <v>0.15</v>
      </c>
      <c r="F431" s="113" t="s">
        <v>2335</v>
      </c>
      <c r="G431" s="113" t="s">
        <v>2119</v>
      </c>
      <c r="H431" s="113" t="s">
        <v>98</v>
      </c>
      <c r="I431" s="113" t="s">
        <v>29</v>
      </c>
      <c r="J431" s="118" t="s">
        <v>2129</v>
      </c>
      <c r="K431" s="118" t="s">
        <v>4657</v>
      </c>
      <c r="L431" s="118" t="s">
        <v>5633</v>
      </c>
      <c r="M431" s="115" t="s">
        <v>5633</v>
      </c>
      <c r="N431" s="115" t="s">
        <v>6399</v>
      </c>
      <c r="O431" s="115" t="s">
        <v>2128</v>
      </c>
      <c r="P431" s="113">
        <v>495</v>
      </c>
      <c r="Q431" s="113">
        <v>75</v>
      </c>
      <c r="R431" s="113">
        <v>125</v>
      </c>
      <c r="S431" s="113">
        <v>100</v>
      </c>
      <c r="T431" s="120">
        <v>70</v>
      </c>
      <c r="U431" s="113">
        <v>80</v>
      </c>
      <c r="V431" s="113">
        <v>45</v>
      </c>
      <c r="W431" s="129"/>
      <c r="X431" s="129"/>
      <c r="Y431" s="5"/>
      <c r="Z431" s="5"/>
      <c r="AA431" s="5"/>
      <c r="AB431" s="5"/>
      <c r="AC431" s="5"/>
      <c r="AD431" s="5"/>
      <c r="AE431" s="5"/>
    </row>
    <row r="432" spans="1:31" customFormat="1">
      <c r="A432" s="113">
        <v>349</v>
      </c>
      <c r="B432" s="113" t="s">
        <v>376</v>
      </c>
      <c r="C432" s="120" t="s">
        <v>5635</v>
      </c>
      <c r="D432" s="124">
        <v>0.5</v>
      </c>
      <c r="E432" s="124">
        <v>0.5</v>
      </c>
      <c r="F432" s="113" t="s">
        <v>2331</v>
      </c>
      <c r="G432" s="113" t="s">
        <v>2119</v>
      </c>
      <c r="H432" s="113" t="s">
        <v>25</v>
      </c>
      <c r="I432" s="113" t="s">
        <v>1109</v>
      </c>
      <c r="J432" s="118" t="s">
        <v>2129</v>
      </c>
      <c r="K432" s="118" t="s">
        <v>4657</v>
      </c>
      <c r="L432" s="118" t="s">
        <v>5635</v>
      </c>
      <c r="M432" s="115" t="s">
        <v>1109</v>
      </c>
      <c r="N432" s="115" t="s">
        <v>2129</v>
      </c>
      <c r="O432" s="115" t="s">
        <v>1109</v>
      </c>
      <c r="P432" s="113">
        <v>200</v>
      </c>
      <c r="Q432" s="113">
        <v>20</v>
      </c>
      <c r="R432" s="113">
        <v>15</v>
      </c>
      <c r="S432" s="113">
        <v>20</v>
      </c>
      <c r="T432" s="120">
        <v>10</v>
      </c>
      <c r="U432" s="113">
        <v>55</v>
      </c>
      <c r="V432" s="113">
        <v>80</v>
      </c>
      <c r="W432" s="129"/>
      <c r="X432" s="129"/>
      <c r="Y432" s="5"/>
      <c r="Z432" s="5"/>
      <c r="AA432" s="5"/>
      <c r="AB432" s="5"/>
      <c r="AC432" s="5"/>
      <c r="AD432" s="5"/>
      <c r="AE432" s="5"/>
    </row>
    <row r="433" spans="1:31" customFormat="1">
      <c r="A433" s="113">
        <v>350</v>
      </c>
      <c r="B433" s="113" t="s">
        <v>377</v>
      </c>
      <c r="C433" s="120" t="s">
        <v>5636</v>
      </c>
      <c r="D433" s="124">
        <v>0.5</v>
      </c>
      <c r="E433" s="124">
        <v>0.5</v>
      </c>
      <c r="F433" s="113" t="s">
        <v>2331</v>
      </c>
      <c r="G433" s="113" t="s">
        <v>2119</v>
      </c>
      <c r="H433" s="113" t="s">
        <v>25</v>
      </c>
      <c r="I433" s="113" t="s">
        <v>1109</v>
      </c>
      <c r="J433" s="118" t="s">
        <v>2129</v>
      </c>
      <c r="K433" s="118" t="s">
        <v>4657</v>
      </c>
      <c r="L433" s="118" t="s">
        <v>5635</v>
      </c>
      <c r="M433" s="115" t="s">
        <v>5635</v>
      </c>
      <c r="N433" s="115" t="s">
        <v>6399</v>
      </c>
      <c r="O433" s="115" t="s">
        <v>2130</v>
      </c>
      <c r="P433" s="113">
        <v>540</v>
      </c>
      <c r="Q433" s="113">
        <v>95</v>
      </c>
      <c r="R433" s="113">
        <v>60</v>
      </c>
      <c r="S433" s="113">
        <v>79</v>
      </c>
      <c r="T433" s="120">
        <v>100</v>
      </c>
      <c r="U433" s="113">
        <v>125</v>
      </c>
      <c r="V433" s="113">
        <v>81</v>
      </c>
      <c r="W433" s="129"/>
      <c r="X433" s="129"/>
      <c r="Y433" s="5"/>
      <c r="Z433" s="5"/>
      <c r="AA433" s="5"/>
      <c r="AB433" s="5"/>
      <c r="AC433" s="5"/>
      <c r="AD433" s="5"/>
      <c r="AE433" s="5"/>
    </row>
    <row r="434" spans="1:31" customFormat="1">
      <c r="A434" s="113">
        <v>351</v>
      </c>
      <c r="B434" s="113" t="s">
        <v>378</v>
      </c>
      <c r="C434" s="120" t="s">
        <v>5637</v>
      </c>
      <c r="D434" s="124">
        <v>0.5</v>
      </c>
      <c r="E434" s="124">
        <v>0.5</v>
      </c>
      <c r="F434" s="113" t="s">
        <v>2336</v>
      </c>
      <c r="G434" s="113" t="s">
        <v>2119</v>
      </c>
      <c r="H434" s="113" t="s">
        <v>36</v>
      </c>
      <c r="I434" s="113" t="s">
        <v>1109</v>
      </c>
      <c r="J434" s="118" t="s">
        <v>2129</v>
      </c>
      <c r="K434" s="118" t="s">
        <v>4657</v>
      </c>
      <c r="L434" s="118" t="s">
        <v>5637</v>
      </c>
      <c r="M434" s="115" t="s">
        <v>1109</v>
      </c>
      <c r="N434" s="115" t="s">
        <v>6399</v>
      </c>
      <c r="O434" s="115" t="s">
        <v>1109</v>
      </c>
      <c r="P434" s="113">
        <v>420</v>
      </c>
      <c r="Q434" s="113">
        <v>70</v>
      </c>
      <c r="R434" s="113">
        <v>70</v>
      </c>
      <c r="S434" s="113">
        <v>70</v>
      </c>
      <c r="T434" s="120">
        <v>70</v>
      </c>
      <c r="U434" s="113">
        <v>70</v>
      </c>
      <c r="V434" s="113">
        <v>70</v>
      </c>
      <c r="W434" s="129"/>
      <c r="X434" s="129"/>
      <c r="Y434" s="5"/>
      <c r="Z434" s="5"/>
      <c r="AA434" s="5"/>
      <c r="AB434" s="5"/>
      <c r="AC434" s="5"/>
      <c r="AD434" s="5"/>
      <c r="AE434" s="5"/>
    </row>
    <row r="435" spans="1:31" customFormat="1">
      <c r="A435" s="113">
        <v>352</v>
      </c>
      <c r="B435" s="113" t="s">
        <v>379</v>
      </c>
      <c r="C435" s="120" t="s">
        <v>5638</v>
      </c>
      <c r="D435" s="124">
        <v>0.5</v>
      </c>
      <c r="E435" s="124">
        <v>0.5</v>
      </c>
      <c r="F435" s="113" t="s">
        <v>2332</v>
      </c>
      <c r="G435" s="113" t="s">
        <v>2119</v>
      </c>
      <c r="H435" s="113" t="s">
        <v>36</v>
      </c>
      <c r="I435" s="113" t="s">
        <v>1109</v>
      </c>
      <c r="J435" s="118" t="s">
        <v>2129</v>
      </c>
      <c r="K435" s="118" t="s">
        <v>4657</v>
      </c>
      <c r="L435" s="118" t="s">
        <v>5638</v>
      </c>
      <c r="M435" s="115" t="s">
        <v>1109</v>
      </c>
      <c r="N435" s="115" t="s">
        <v>6399</v>
      </c>
      <c r="O435" s="115" t="s">
        <v>1109</v>
      </c>
      <c r="P435" s="113">
        <v>440</v>
      </c>
      <c r="Q435" s="113">
        <v>60</v>
      </c>
      <c r="R435" s="113">
        <v>90</v>
      </c>
      <c r="S435" s="113">
        <v>70</v>
      </c>
      <c r="T435" s="120">
        <v>60</v>
      </c>
      <c r="U435" s="113">
        <v>120</v>
      </c>
      <c r="V435" s="113">
        <v>40</v>
      </c>
      <c r="W435" s="129"/>
      <c r="X435" s="129"/>
      <c r="Y435" s="5"/>
      <c r="Z435" s="5"/>
      <c r="AA435" s="5"/>
      <c r="AB435" s="5"/>
      <c r="AC435" s="5"/>
      <c r="AD435" s="5"/>
      <c r="AE435" s="5"/>
    </row>
    <row r="436" spans="1:31" customFormat="1">
      <c r="A436" s="113">
        <v>353</v>
      </c>
      <c r="B436" s="113" t="s">
        <v>380</v>
      </c>
      <c r="C436" s="120" t="s">
        <v>5639</v>
      </c>
      <c r="D436" s="124">
        <v>0.5</v>
      </c>
      <c r="E436" s="124">
        <v>0.5</v>
      </c>
      <c r="F436" s="113" t="s">
        <v>2336</v>
      </c>
      <c r="G436" s="113" t="s">
        <v>2119</v>
      </c>
      <c r="H436" s="113" t="s">
        <v>119</v>
      </c>
      <c r="I436" s="113" t="s">
        <v>1109</v>
      </c>
      <c r="J436" s="118" t="s">
        <v>2129</v>
      </c>
      <c r="K436" s="118" t="s">
        <v>4658</v>
      </c>
      <c r="L436" s="118" t="s">
        <v>5639</v>
      </c>
      <c r="M436" s="115" t="s">
        <v>1109</v>
      </c>
      <c r="N436" s="115" t="s">
        <v>2129</v>
      </c>
      <c r="O436" s="115" t="s">
        <v>1109</v>
      </c>
      <c r="P436" s="113">
        <v>295</v>
      </c>
      <c r="Q436" s="113">
        <v>44</v>
      </c>
      <c r="R436" s="113">
        <v>75</v>
      </c>
      <c r="S436" s="113">
        <v>35</v>
      </c>
      <c r="T436" s="120">
        <v>63</v>
      </c>
      <c r="U436" s="113">
        <v>33</v>
      </c>
      <c r="V436" s="113">
        <v>45</v>
      </c>
      <c r="W436" s="129"/>
      <c r="X436" s="129"/>
      <c r="Y436" s="5"/>
      <c r="Z436" s="5"/>
      <c r="AA436" s="5"/>
      <c r="AB436" s="5"/>
      <c r="AC436" s="5"/>
      <c r="AD436" s="5"/>
      <c r="AE436" s="5"/>
    </row>
    <row r="437" spans="1:31" customFormat="1">
      <c r="A437" s="113">
        <v>354</v>
      </c>
      <c r="B437" s="113" t="s">
        <v>381</v>
      </c>
      <c r="C437" s="120" t="s">
        <v>5640</v>
      </c>
      <c r="D437" s="124">
        <v>0.5</v>
      </c>
      <c r="E437" s="124">
        <v>0.5</v>
      </c>
      <c r="F437" s="113" t="s">
        <v>2336</v>
      </c>
      <c r="G437" s="113" t="s">
        <v>2119</v>
      </c>
      <c r="H437" s="113" t="s">
        <v>119</v>
      </c>
      <c r="I437" s="113" t="s">
        <v>1109</v>
      </c>
      <c r="J437" s="118" t="s">
        <v>2129</v>
      </c>
      <c r="K437" s="118" t="s">
        <v>4658</v>
      </c>
      <c r="L437" s="118" t="s">
        <v>5639</v>
      </c>
      <c r="M437" s="115" t="s">
        <v>5639</v>
      </c>
      <c r="N437" s="115" t="s">
        <v>6399</v>
      </c>
      <c r="O437" s="115" t="s">
        <v>2128</v>
      </c>
      <c r="P437" s="113">
        <v>455</v>
      </c>
      <c r="Q437" s="113">
        <v>64</v>
      </c>
      <c r="R437" s="113">
        <v>115</v>
      </c>
      <c r="S437" s="113">
        <v>65</v>
      </c>
      <c r="T437" s="120">
        <v>83</v>
      </c>
      <c r="U437" s="113">
        <v>63</v>
      </c>
      <c r="V437" s="113">
        <v>65</v>
      </c>
      <c r="W437" s="129"/>
      <c r="X437" s="129"/>
      <c r="Y437" s="5"/>
      <c r="Z437" s="5"/>
      <c r="AA437" s="5"/>
      <c r="AB437" s="5"/>
      <c r="AC437" s="5"/>
      <c r="AD437" s="5"/>
      <c r="AE437" s="5"/>
    </row>
    <row r="438" spans="1:31" customFormat="1" hidden="1">
      <c r="A438" s="113">
        <v>354</v>
      </c>
      <c r="B438" s="113" t="s">
        <v>2927</v>
      </c>
      <c r="C438" s="120" t="s">
        <v>5641</v>
      </c>
      <c r="D438" s="124">
        <v>0.5</v>
      </c>
      <c r="E438" s="124">
        <v>0.5</v>
      </c>
      <c r="F438" s="113" t="s">
        <v>2336</v>
      </c>
      <c r="G438" s="113" t="s">
        <v>2119</v>
      </c>
      <c r="H438" s="113" t="s">
        <v>119</v>
      </c>
      <c r="I438" s="113" t="s">
        <v>1109</v>
      </c>
      <c r="J438" s="118" t="s">
        <v>3973</v>
      </c>
      <c r="K438" s="118" t="s">
        <v>4659</v>
      </c>
      <c r="L438" s="118" t="s">
        <v>5639</v>
      </c>
      <c r="M438" s="115" t="s">
        <v>5640</v>
      </c>
      <c r="N438" s="115" t="s">
        <v>3973</v>
      </c>
      <c r="O438" s="115" t="s">
        <v>4480</v>
      </c>
      <c r="P438" s="113">
        <v>555</v>
      </c>
      <c r="Q438" s="113">
        <v>64</v>
      </c>
      <c r="R438" s="113">
        <v>165</v>
      </c>
      <c r="S438" s="113">
        <v>75</v>
      </c>
      <c r="T438" s="120">
        <v>93</v>
      </c>
      <c r="U438" s="113">
        <v>83</v>
      </c>
      <c r="V438" s="113">
        <v>75</v>
      </c>
      <c r="W438" s="129"/>
      <c r="X438" s="129"/>
      <c r="Y438" s="5"/>
      <c r="Z438" s="5"/>
      <c r="AA438" s="5"/>
      <c r="AB438" s="5"/>
      <c r="AC438" s="5"/>
      <c r="AD438" s="5"/>
      <c r="AE438" s="5"/>
    </row>
    <row r="439" spans="1:31" customFormat="1">
      <c r="A439" s="113">
        <v>355</v>
      </c>
      <c r="B439" s="113" t="s">
        <v>382</v>
      </c>
      <c r="C439" s="120" t="s">
        <v>5642</v>
      </c>
      <c r="D439" s="124">
        <v>0.5</v>
      </c>
      <c r="E439" s="124">
        <v>0.5</v>
      </c>
      <c r="F439" s="113" t="s">
        <v>2336</v>
      </c>
      <c r="G439" s="113" t="s">
        <v>2119</v>
      </c>
      <c r="H439" s="113" t="s">
        <v>119</v>
      </c>
      <c r="I439" s="113" t="s">
        <v>1109</v>
      </c>
      <c r="J439" s="118" t="s">
        <v>2129</v>
      </c>
      <c r="K439" s="118" t="s">
        <v>4658</v>
      </c>
      <c r="L439" s="118" t="s">
        <v>5642</v>
      </c>
      <c r="M439" s="115" t="s">
        <v>1109</v>
      </c>
      <c r="N439" s="115" t="s">
        <v>2129</v>
      </c>
      <c r="O439" s="115" t="s">
        <v>1109</v>
      </c>
      <c r="P439" s="113">
        <v>295</v>
      </c>
      <c r="Q439" s="113">
        <v>20</v>
      </c>
      <c r="R439" s="113">
        <v>40</v>
      </c>
      <c r="S439" s="113">
        <v>90</v>
      </c>
      <c r="T439" s="120">
        <v>30</v>
      </c>
      <c r="U439" s="113">
        <v>90</v>
      </c>
      <c r="V439" s="113">
        <v>25</v>
      </c>
      <c r="W439" s="129"/>
      <c r="X439" s="129"/>
      <c r="Y439" s="5"/>
      <c r="Z439" s="5"/>
      <c r="AA439" s="5"/>
      <c r="AB439" s="5"/>
      <c r="AC439" s="5"/>
      <c r="AD439" s="5"/>
      <c r="AE439" s="5"/>
    </row>
    <row r="440" spans="1:31" customFormat="1">
      <c r="A440" s="113">
        <v>356</v>
      </c>
      <c r="B440" s="113" t="s">
        <v>383</v>
      </c>
      <c r="C440" s="120" t="s">
        <v>5643</v>
      </c>
      <c r="D440" s="124">
        <v>0.5</v>
      </c>
      <c r="E440" s="124">
        <v>0.5</v>
      </c>
      <c r="F440" s="113" t="s">
        <v>2336</v>
      </c>
      <c r="G440" s="113" t="s">
        <v>2119</v>
      </c>
      <c r="H440" s="113" t="s">
        <v>119</v>
      </c>
      <c r="I440" s="113" t="s">
        <v>1109</v>
      </c>
      <c r="J440" s="118" t="s">
        <v>2129</v>
      </c>
      <c r="K440" s="118" t="s">
        <v>4658</v>
      </c>
      <c r="L440" s="118" t="s">
        <v>5642</v>
      </c>
      <c r="M440" s="115" t="s">
        <v>5642</v>
      </c>
      <c r="N440" s="115" t="s">
        <v>6398</v>
      </c>
      <c r="O440" s="115" t="s">
        <v>2128</v>
      </c>
      <c r="P440" s="113">
        <v>455</v>
      </c>
      <c r="Q440" s="113">
        <v>40</v>
      </c>
      <c r="R440" s="113">
        <v>70</v>
      </c>
      <c r="S440" s="113">
        <v>130</v>
      </c>
      <c r="T440" s="120">
        <v>60</v>
      </c>
      <c r="U440" s="113">
        <v>130</v>
      </c>
      <c r="V440" s="113">
        <v>25</v>
      </c>
      <c r="W440" s="129"/>
      <c r="X440" s="129"/>
      <c r="Y440" s="5"/>
      <c r="Z440" s="5"/>
      <c r="AA440" s="5"/>
      <c r="AB440" s="5"/>
      <c r="AC440" s="5"/>
      <c r="AD440" s="5"/>
      <c r="AE440" s="5"/>
    </row>
    <row r="441" spans="1:31" customFormat="1">
      <c r="A441" s="113">
        <v>357</v>
      </c>
      <c r="B441" s="113" t="s">
        <v>384</v>
      </c>
      <c r="C441" s="120" t="s">
        <v>5644</v>
      </c>
      <c r="D441" s="124">
        <v>0.5</v>
      </c>
      <c r="E441" s="124">
        <v>0.5</v>
      </c>
      <c r="F441" s="113" t="s">
        <v>14</v>
      </c>
      <c r="G441" s="113" t="s">
        <v>2119</v>
      </c>
      <c r="H441" s="113" t="s">
        <v>14</v>
      </c>
      <c r="I441" s="113" t="s">
        <v>22</v>
      </c>
      <c r="J441" s="118" t="s">
        <v>2129</v>
      </c>
      <c r="K441" s="118" t="s">
        <v>4657</v>
      </c>
      <c r="L441" s="118" t="s">
        <v>5644</v>
      </c>
      <c r="M441" s="115" t="s">
        <v>1109</v>
      </c>
      <c r="N441" s="115" t="s">
        <v>6399</v>
      </c>
      <c r="O441" s="115" t="s">
        <v>1109</v>
      </c>
      <c r="P441" s="113">
        <v>460</v>
      </c>
      <c r="Q441" s="113">
        <v>99</v>
      </c>
      <c r="R441" s="113">
        <v>68</v>
      </c>
      <c r="S441" s="113">
        <v>83</v>
      </c>
      <c r="T441" s="120">
        <v>72</v>
      </c>
      <c r="U441" s="113">
        <v>87</v>
      </c>
      <c r="V441" s="113">
        <v>51</v>
      </c>
      <c r="W441" s="129"/>
      <c r="X441" s="129"/>
      <c r="Y441" s="5"/>
      <c r="Z441" s="5"/>
      <c r="AA441" s="5"/>
      <c r="AB441" s="5"/>
      <c r="AC441" s="5"/>
      <c r="AD441" s="5"/>
      <c r="AE441" s="5"/>
    </row>
    <row r="442" spans="1:31" customFormat="1">
      <c r="A442" s="113">
        <v>358</v>
      </c>
      <c r="B442" s="113" t="s">
        <v>385</v>
      </c>
      <c r="C442" s="120" t="s">
        <v>5645</v>
      </c>
      <c r="D442" s="124">
        <v>0.5</v>
      </c>
      <c r="E442" s="124">
        <v>0.5</v>
      </c>
      <c r="F442" s="113" t="s">
        <v>2336</v>
      </c>
      <c r="G442" s="113" t="s">
        <v>2119</v>
      </c>
      <c r="H442" s="113" t="s">
        <v>86</v>
      </c>
      <c r="I442" s="113" t="s">
        <v>1109</v>
      </c>
      <c r="J442" s="118" t="s">
        <v>2129</v>
      </c>
      <c r="K442" s="118" t="s">
        <v>4657</v>
      </c>
      <c r="L442" s="118" t="s">
        <v>5735</v>
      </c>
      <c r="M442" s="115" t="s">
        <v>5735</v>
      </c>
      <c r="N442" s="115" t="s">
        <v>6399</v>
      </c>
      <c r="O442" s="115" t="s">
        <v>2128</v>
      </c>
      <c r="P442" s="113">
        <v>455</v>
      </c>
      <c r="Q442" s="113">
        <v>75</v>
      </c>
      <c r="R442" s="113">
        <v>50</v>
      </c>
      <c r="S442" s="113">
        <v>80</v>
      </c>
      <c r="T442" s="120">
        <v>95</v>
      </c>
      <c r="U442" s="113">
        <v>90</v>
      </c>
      <c r="V442" s="113">
        <v>65</v>
      </c>
      <c r="W442" s="129"/>
      <c r="X442" s="129"/>
      <c r="Y442" s="5"/>
      <c r="Z442" s="5"/>
      <c r="AA442" s="5"/>
      <c r="AB442" s="5"/>
      <c r="AC442" s="5"/>
      <c r="AD442" s="5"/>
      <c r="AE442" s="5"/>
    </row>
    <row r="443" spans="1:31" customFormat="1">
      <c r="A443" s="113">
        <v>359</v>
      </c>
      <c r="B443" s="113" t="s">
        <v>386</v>
      </c>
      <c r="C443" s="120" t="s">
        <v>5646</v>
      </c>
      <c r="D443" s="124">
        <v>0.5</v>
      </c>
      <c r="E443" s="124">
        <v>0.5</v>
      </c>
      <c r="F443" s="113" t="s">
        <v>2332</v>
      </c>
      <c r="G443" s="113" t="s">
        <v>2119</v>
      </c>
      <c r="H443" s="113" t="s">
        <v>158</v>
      </c>
      <c r="I443" s="113" t="s">
        <v>1109</v>
      </c>
      <c r="J443" s="118" t="s">
        <v>2129</v>
      </c>
      <c r="K443" s="118" t="s">
        <v>4657</v>
      </c>
      <c r="L443" s="118" t="s">
        <v>5646</v>
      </c>
      <c r="M443" s="115" t="s">
        <v>1109</v>
      </c>
      <c r="N443" s="115" t="s">
        <v>6399</v>
      </c>
      <c r="O443" s="115" t="s">
        <v>1109</v>
      </c>
      <c r="P443" s="113">
        <v>465</v>
      </c>
      <c r="Q443" s="113">
        <v>65</v>
      </c>
      <c r="R443" s="113">
        <v>130</v>
      </c>
      <c r="S443" s="113">
        <v>60</v>
      </c>
      <c r="T443" s="120">
        <v>75</v>
      </c>
      <c r="U443" s="113">
        <v>60</v>
      </c>
      <c r="V443" s="113">
        <v>75</v>
      </c>
      <c r="W443" s="129"/>
      <c r="X443" s="129"/>
      <c r="Y443" s="5"/>
      <c r="Z443" s="5"/>
      <c r="AA443" s="5"/>
      <c r="AB443" s="5"/>
      <c r="AC443" s="5"/>
      <c r="AD443" s="5"/>
      <c r="AE443" s="5"/>
    </row>
    <row r="444" spans="1:31" customFormat="1" hidden="1">
      <c r="A444" s="113">
        <v>359</v>
      </c>
      <c r="B444" s="113" t="s">
        <v>2929</v>
      </c>
      <c r="C444" s="120" t="s">
        <v>5647</v>
      </c>
      <c r="D444" s="124">
        <v>0.5</v>
      </c>
      <c r="E444" s="124">
        <v>0.5</v>
      </c>
      <c r="F444" s="113" t="s">
        <v>2332</v>
      </c>
      <c r="G444" s="113" t="s">
        <v>2119</v>
      </c>
      <c r="H444" s="113" t="s">
        <v>158</v>
      </c>
      <c r="I444" s="113" t="s">
        <v>1109</v>
      </c>
      <c r="J444" s="118" t="s">
        <v>3973</v>
      </c>
      <c r="K444" s="118" t="s">
        <v>4659</v>
      </c>
      <c r="L444" s="118" t="s">
        <v>5646</v>
      </c>
      <c r="M444" s="115" t="s">
        <v>5646</v>
      </c>
      <c r="N444" s="115" t="s">
        <v>3973</v>
      </c>
      <c r="O444" s="115" t="s">
        <v>4480</v>
      </c>
      <c r="P444" s="113">
        <v>565</v>
      </c>
      <c r="Q444" s="113">
        <v>65</v>
      </c>
      <c r="R444" s="113">
        <v>150</v>
      </c>
      <c r="S444" s="113">
        <v>60</v>
      </c>
      <c r="T444" s="120">
        <v>115</v>
      </c>
      <c r="U444" s="113">
        <v>60</v>
      </c>
      <c r="V444" s="113">
        <v>115</v>
      </c>
      <c r="W444" s="129"/>
      <c r="X444" s="129"/>
      <c r="Y444" s="5"/>
      <c r="Z444" s="5"/>
      <c r="AA444" s="5"/>
      <c r="AB444" s="5"/>
      <c r="AC444" s="5"/>
      <c r="AD444" s="5"/>
      <c r="AE444" s="5"/>
    </row>
    <row r="445" spans="1:31" customFormat="1">
      <c r="A445" s="113">
        <v>360</v>
      </c>
      <c r="B445" s="113" t="s">
        <v>387</v>
      </c>
      <c r="C445" s="120" t="s">
        <v>5648</v>
      </c>
      <c r="D445" s="124">
        <v>0.5</v>
      </c>
      <c r="E445" s="124">
        <v>0.5</v>
      </c>
      <c r="F445" s="113" t="s">
        <v>2333</v>
      </c>
      <c r="G445" s="113" t="s">
        <v>2119</v>
      </c>
      <c r="H445" s="113" t="s">
        <v>86</v>
      </c>
      <c r="I445" s="113" t="s">
        <v>1109</v>
      </c>
      <c r="J445" s="118" t="s">
        <v>2129</v>
      </c>
      <c r="K445" s="118" t="s">
        <v>4657</v>
      </c>
      <c r="L445" s="118" t="s">
        <v>5648</v>
      </c>
      <c r="M445" s="115" t="s">
        <v>1109</v>
      </c>
      <c r="N445" s="115" t="s">
        <v>2129</v>
      </c>
      <c r="O445" s="115" t="s">
        <v>1109</v>
      </c>
      <c r="P445" s="113">
        <v>260</v>
      </c>
      <c r="Q445" s="113">
        <v>95</v>
      </c>
      <c r="R445" s="113">
        <v>23</v>
      </c>
      <c r="S445" s="113">
        <v>48</v>
      </c>
      <c r="T445" s="120">
        <v>23</v>
      </c>
      <c r="U445" s="113">
        <v>48</v>
      </c>
      <c r="V445" s="113">
        <v>23</v>
      </c>
      <c r="W445" s="129"/>
      <c r="X445" s="129"/>
      <c r="Y445" s="5"/>
      <c r="Z445" s="5"/>
      <c r="AA445" s="5"/>
      <c r="AB445" s="5"/>
      <c r="AC445" s="5"/>
      <c r="AD445" s="5"/>
      <c r="AE445" s="5"/>
    </row>
    <row r="446" spans="1:31" customFormat="1">
      <c r="A446" s="113">
        <v>361</v>
      </c>
      <c r="B446" s="113" t="s">
        <v>388</v>
      </c>
      <c r="C446" s="120" t="s">
        <v>5649</v>
      </c>
      <c r="D446" s="124">
        <v>0.5</v>
      </c>
      <c r="E446" s="124">
        <v>0.5</v>
      </c>
      <c r="F446" s="113" t="s">
        <v>2112</v>
      </c>
      <c r="G446" s="113" t="s">
        <v>2119</v>
      </c>
      <c r="H446" s="113" t="s">
        <v>113</v>
      </c>
      <c r="I446" s="113" t="s">
        <v>1109</v>
      </c>
      <c r="J446" s="118" t="s">
        <v>2129</v>
      </c>
      <c r="K446" s="118" t="s">
        <v>4658</v>
      </c>
      <c r="L446" s="118" t="s">
        <v>5649</v>
      </c>
      <c r="M446" s="115" t="s">
        <v>1109</v>
      </c>
      <c r="N446" s="115" t="s">
        <v>2129</v>
      </c>
      <c r="O446" s="115" t="s">
        <v>1109</v>
      </c>
      <c r="P446" s="113">
        <v>300</v>
      </c>
      <c r="Q446" s="113">
        <v>50</v>
      </c>
      <c r="R446" s="113">
        <v>50</v>
      </c>
      <c r="S446" s="113">
        <v>50</v>
      </c>
      <c r="T446" s="120">
        <v>50</v>
      </c>
      <c r="U446" s="113">
        <v>50</v>
      </c>
      <c r="V446" s="113">
        <v>50</v>
      </c>
      <c r="W446" s="129"/>
      <c r="X446" s="129"/>
      <c r="Y446" s="5"/>
      <c r="Z446" s="5"/>
      <c r="AA446" s="5"/>
      <c r="AB446" s="5"/>
      <c r="AC446" s="5"/>
      <c r="AD446" s="5"/>
      <c r="AE446" s="5"/>
    </row>
    <row r="447" spans="1:31" customFormat="1">
      <c r="A447" s="113">
        <v>362</v>
      </c>
      <c r="B447" s="113" t="s">
        <v>389</v>
      </c>
      <c r="C447" s="120" t="s">
        <v>5650</v>
      </c>
      <c r="D447" s="124">
        <v>1</v>
      </c>
      <c r="E447" s="124">
        <v>0</v>
      </c>
      <c r="F447" s="113" t="s">
        <v>2112</v>
      </c>
      <c r="G447" s="113" t="s">
        <v>2119</v>
      </c>
      <c r="H447" s="113" t="s">
        <v>113</v>
      </c>
      <c r="I447" s="113" t="s">
        <v>1109</v>
      </c>
      <c r="J447" s="118" t="s">
        <v>2129</v>
      </c>
      <c r="K447" s="118" t="s">
        <v>4658</v>
      </c>
      <c r="L447" s="118" t="s">
        <v>5649</v>
      </c>
      <c r="M447" s="115" t="s">
        <v>5649</v>
      </c>
      <c r="N447" s="115" t="s">
        <v>6399</v>
      </c>
      <c r="O447" s="115" t="s">
        <v>2128</v>
      </c>
      <c r="P447" s="113">
        <v>480</v>
      </c>
      <c r="Q447" s="113">
        <v>80</v>
      </c>
      <c r="R447" s="113">
        <v>80</v>
      </c>
      <c r="S447" s="113">
        <v>80</v>
      </c>
      <c r="T447" s="120">
        <v>80</v>
      </c>
      <c r="U447" s="113">
        <v>80</v>
      </c>
      <c r="V447" s="113">
        <v>80</v>
      </c>
      <c r="W447" s="129"/>
      <c r="X447" s="129"/>
      <c r="Y447" s="5"/>
      <c r="Z447" s="5"/>
      <c r="AA447" s="5"/>
      <c r="AB447" s="5"/>
      <c r="AC447" s="5"/>
      <c r="AD447" s="5"/>
      <c r="AE447" s="5"/>
    </row>
    <row r="448" spans="1:31" customFormat="1" hidden="1">
      <c r="A448" s="113">
        <v>362</v>
      </c>
      <c r="B448" s="113" t="s">
        <v>2931</v>
      </c>
      <c r="C448" s="120" t="s">
        <v>5651</v>
      </c>
      <c r="D448" s="124">
        <v>1</v>
      </c>
      <c r="E448" s="124">
        <v>0</v>
      </c>
      <c r="F448" s="113" t="s">
        <v>2112</v>
      </c>
      <c r="G448" s="113" t="s">
        <v>2119</v>
      </c>
      <c r="H448" s="113" t="s">
        <v>113</v>
      </c>
      <c r="I448" s="113" t="s">
        <v>1109</v>
      </c>
      <c r="J448" s="118" t="s">
        <v>3973</v>
      </c>
      <c r="K448" s="118" t="s">
        <v>4659</v>
      </c>
      <c r="L448" s="118" t="s">
        <v>5649</v>
      </c>
      <c r="M448" s="115" t="s">
        <v>5650</v>
      </c>
      <c r="N448" s="115" t="s">
        <v>3973</v>
      </c>
      <c r="O448" s="115" t="s">
        <v>4480</v>
      </c>
      <c r="P448" s="113">
        <v>580</v>
      </c>
      <c r="Q448" s="113">
        <v>80</v>
      </c>
      <c r="R448" s="113">
        <v>120</v>
      </c>
      <c r="S448" s="113">
        <v>80</v>
      </c>
      <c r="T448" s="120">
        <v>120</v>
      </c>
      <c r="U448" s="113">
        <v>80</v>
      </c>
      <c r="V448" s="113">
        <v>100</v>
      </c>
      <c r="W448" s="129"/>
      <c r="X448" s="129"/>
      <c r="Y448" s="5"/>
      <c r="Z448" s="5"/>
      <c r="AA448" s="5"/>
      <c r="AB448" s="5"/>
      <c r="AC448" s="5"/>
      <c r="AD448" s="5"/>
      <c r="AE448" s="5"/>
    </row>
    <row r="449" spans="1:31" customFormat="1">
      <c r="A449" s="113">
        <v>363</v>
      </c>
      <c r="B449" s="113" t="s">
        <v>390</v>
      </c>
      <c r="C449" s="120" t="s">
        <v>5652</v>
      </c>
      <c r="D449" s="124">
        <v>0.5</v>
      </c>
      <c r="E449" s="124">
        <v>0.5</v>
      </c>
      <c r="F449" s="113" t="s">
        <v>2335</v>
      </c>
      <c r="G449" s="113" t="s">
        <v>2119</v>
      </c>
      <c r="H449" s="113" t="s">
        <v>113</v>
      </c>
      <c r="I449" s="113" t="s">
        <v>25</v>
      </c>
      <c r="J449" s="118" t="s">
        <v>2129</v>
      </c>
      <c r="K449" s="118" t="s">
        <v>4658</v>
      </c>
      <c r="L449" s="118" t="s">
        <v>5652</v>
      </c>
      <c r="M449" s="115" t="s">
        <v>1109</v>
      </c>
      <c r="N449" s="115" t="s">
        <v>2129</v>
      </c>
      <c r="O449" s="115" t="s">
        <v>1109</v>
      </c>
      <c r="P449" s="113">
        <v>290</v>
      </c>
      <c r="Q449" s="113">
        <v>70</v>
      </c>
      <c r="R449" s="113">
        <v>40</v>
      </c>
      <c r="S449" s="113">
        <v>50</v>
      </c>
      <c r="T449" s="120">
        <v>55</v>
      </c>
      <c r="U449" s="113">
        <v>50</v>
      </c>
      <c r="V449" s="113">
        <v>25</v>
      </c>
      <c r="W449" s="129"/>
      <c r="X449" s="129"/>
      <c r="Y449" s="5"/>
      <c r="Z449" s="5"/>
      <c r="AA449" s="5"/>
      <c r="AB449" s="5"/>
      <c r="AC449" s="5"/>
      <c r="AD449" s="5"/>
      <c r="AE449" s="5"/>
    </row>
    <row r="450" spans="1:31" customFormat="1">
      <c r="A450" s="113">
        <v>364</v>
      </c>
      <c r="B450" s="113" t="s">
        <v>391</v>
      </c>
      <c r="C450" s="120" t="s">
        <v>5653</v>
      </c>
      <c r="D450" s="124">
        <v>0.5</v>
      </c>
      <c r="E450" s="124">
        <v>0.5</v>
      </c>
      <c r="F450" s="113" t="s">
        <v>2335</v>
      </c>
      <c r="G450" s="113" t="s">
        <v>2119</v>
      </c>
      <c r="H450" s="113" t="s">
        <v>113</v>
      </c>
      <c r="I450" s="113" t="s">
        <v>25</v>
      </c>
      <c r="J450" s="118" t="s">
        <v>2129</v>
      </c>
      <c r="K450" s="118" t="s">
        <v>4658</v>
      </c>
      <c r="L450" s="118" t="s">
        <v>5652</v>
      </c>
      <c r="M450" s="115" t="s">
        <v>5652</v>
      </c>
      <c r="N450" s="115" t="s">
        <v>6398</v>
      </c>
      <c r="O450" s="115" t="s">
        <v>2128</v>
      </c>
      <c r="P450" s="113">
        <v>410</v>
      </c>
      <c r="Q450" s="113">
        <v>90</v>
      </c>
      <c r="R450" s="113">
        <v>60</v>
      </c>
      <c r="S450" s="113">
        <v>70</v>
      </c>
      <c r="T450" s="120">
        <v>75</v>
      </c>
      <c r="U450" s="113">
        <v>70</v>
      </c>
      <c r="V450" s="113">
        <v>45</v>
      </c>
      <c r="W450" s="129"/>
      <c r="X450" s="129"/>
      <c r="Y450" s="5"/>
      <c r="Z450" s="5"/>
      <c r="AA450" s="5"/>
      <c r="AB450" s="5"/>
      <c r="AC450" s="5"/>
      <c r="AD450" s="5"/>
      <c r="AE450" s="5"/>
    </row>
    <row r="451" spans="1:31" customFormat="1">
      <c r="A451" s="113">
        <v>365</v>
      </c>
      <c r="B451" s="113" t="s">
        <v>392</v>
      </c>
      <c r="C451" s="120" t="s">
        <v>5654</v>
      </c>
      <c r="D451" s="124">
        <v>0.5</v>
      </c>
      <c r="E451" s="124">
        <v>0.5</v>
      </c>
      <c r="F451" s="113" t="s">
        <v>2335</v>
      </c>
      <c r="G451" s="113" t="s">
        <v>2119</v>
      </c>
      <c r="H451" s="113" t="s">
        <v>113</v>
      </c>
      <c r="I451" s="113" t="s">
        <v>25</v>
      </c>
      <c r="J451" s="118" t="s">
        <v>2129</v>
      </c>
      <c r="K451" s="118" t="s">
        <v>4658</v>
      </c>
      <c r="L451" s="118" t="s">
        <v>5652</v>
      </c>
      <c r="M451" s="115" t="s">
        <v>5653</v>
      </c>
      <c r="N451" s="115" t="s">
        <v>6399</v>
      </c>
      <c r="O451" s="115" t="s">
        <v>2128</v>
      </c>
      <c r="P451" s="113">
        <v>530</v>
      </c>
      <c r="Q451" s="113">
        <v>110</v>
      </c>
      <c r="R451" s="113">
        <v>80</v>
      </c>
      <c r="S451" s="113">
        <v>90</v>
      </c>
      <c r="T451" s="120">
        <v>95</v>
      </c>
      <c r="U451" s="113">
        <v>90</v>
      </c>
      <c r="V451" s="113">
        <v>65</v>
      </c>
      <c r="W451" s="129"/>
      <c r="X451" s="129"/>
      <c r="Y451" s="5"/>
      <c r="Z451" s="5"/>
      <c r="AA451" s="5"/>
      <c r="AB451" s="5"/>
      <c r="AC451" s="5"/>
      <c r="AD451" s="5"/>
      <c r="AE451" s="5"/>
    </row>
    <row r="452" spans="1:31" customFormat="1">
      <c r="A452" s="113">
        <v>366</v>
      </c>
      <c r="B452" s="113" t="s">
        <v>393</v>
      </c>
      <c r="C452" s="120" t="s">
        <v>5655</v>
      </c>
      <c r="D452" s="124">
        <v>0.5</v>
      </c>
      <c r="E452" s="124">
        <v>0.5</v>
      </c>
      <c r="F452" s="113" t="s">
        <v>2337</v>
      </c>
      <c r="G452" s="113" t="s">
        <v>2119</v>
      </c>
      <c r="H452" s="113" t="s">
        <v>25</v>
      </c>
      <c r="I452" s="113" t="s">
        <v>1109</v>
      </c>
      <c r="J452" s="118" t="s">
        <v>2129</v>
      </c>
      <c r="K452" s="118" t="s">
        <v>4658</v>
      </c>
      <c r="L452" s="118" t="s">
        <v>5655</v>
      </c>
      <c r="M452" s="115" t="s">
        <v>1109</v>
      </c>
      <c r="N452" s="115" t="s">
        <v>2129</v>
      </c>
      <c r="O452" s="115" t="s">
        <v>1109</v>
      </c>
      <c r="P452" s="113">
        <v>345</v>
      </c>
      <c r="Q452" s="113">
        <v>35</v>
      </c>
      <c r="R452" s="113">
        <v>64</v>
      </c>
      <c r="S452" s="113">
        <v>85</v>
      </c>
      <c r="T452" s="120">
        <v>74</v>
      </c>
      <c r="U452" s="113">
        <v>55</v>
      </c>
      <c r="V452" s="113">
        <v>32</v>
      </c>
      <c r="W452" s="129"/>
      <c r="X452" s="129"/>
      <c r="Y452" s="5"/>
      <c r="Z452" s="5"/>
      <c r="AA452" s="5"/>
      <c r="AB452" s="5"/>
      <c r="AC452" s="5"/>
      <c r="AD452" s="5"/>
      <c r="AE452" s="5"/>
    </row>
    <row r="453" spans="1:31" customFormat="1">
      <c r="A453" s="113">
        <v>367</v>
      </c>
      <c r="B453" s="113" t="s">
        <v>394</v>
      </c>
      <c r="C453" s="120" t="s">
        <v>5656</v>
      </c>
      <c r="D453" s="124">
        <v>0.5</v>
      </c>
      <c r="E453" s="124">
        <v>0.5</v>
      </c>
      <c r="F453" s="113" t="s">
        <v>2337</v>
      </c>
      <c r="G453" s="113" t="s">
        <v>2119</v>
      </c>
      <c r="H453" s="113" t="s">
        <v>25</v>
      </c>
      <c r="I453" s="113" t="s">
        <v>1109</v>
      </c>
      <c r="J453" s="118" t="s">
        <v>2129</v>
      </c>
      <c r="K453" s="118" t="s">
        <v>4658</v>
      </c>
      <c r="L453" s="118" t="s">
        <v>5655</v>
      </c>
      <c r="M453" s="115" t="s">
        <v>5655</v>
      </c>
      <c r="N453" s="115" t="s">
        <v>6399</v>
      </c>
      <c r="O453" s="115" t="s">
        <v>2130</v>
      </c>
      <c r="P453" s="113">
        <v>485</v>
      </c>
      <c r="Q453" s="113">
        <v>55</v>
      </c>
      <c r="R453" s="113">
        <v>104</v>
      </c>
      <c r="S453" s="113">
        <v>105</v>
      </c>
      <c r="T453" s="120">
        <v>94</v>
      </c>
      <c r="U453" s="113">
        <v>75</v>
      </c>
      <c r="V453" s="113">
        <v>52</v>
      </c>
      <c r="W453" s="129"/>
      <c r="X453" s="129"/>
      <c r="Y453" s="5"/>
      <c r="Z453" s="5"/>
      <c r="AA453" s="5"/>
      <c r="AB453" s="5"/>
      <c r="AC453" s="5"/>
      <c r="AD453" s="5"/>
      <c r="AE453" s="5"/>
    </row>
    <row r="454" spans="1:31" customFormat="1">
      <c r="A454" s="113">
        <v>368</v>
      </c>
      <c r="B454" s="113" t="s">
        <v>395</v>
      </c>
      <c r="C454" s="120" t="s">
        <v>5657</v>
      </c>
      <c r="D454" s="124">
        <v>0.5</v>
      </c>
      <c r="E454" s="124">
        <v>0.5</v>
      </c>
      <c r="F454" s="113" t="s">
        <v>2337</v>
      </c>
      <c r="G454" s="113" t="s">
        <v>2119</v>
      </c>
      <c r="H454" s="113" t="s">
        <v>25</v>
      </c>
      <c r="I454" s="113" t="s">
        <v>1109</v>
      </c>
      <c r="J454" s="118" t="s">
        <v>2129</v>
      </c>
      <c r="K454" s="118" t="s">
        <v>4658</v>
      </c>
      <c r="L454" s="118" t="s">
        <v>5655</v>
      </c>
      <c r="M454" s="115" t="s">
        <v>5655</v>
      </c>
      <c r="N454" s="115" t="s">
        <v>6399</v>
      </c>
      <c r="O454" s="115" t="s">
        <v>2130</v>
      </c>
      <c r="P454" s="113">
        <v>485</v>
      </c>
      <c r="Q454" s="113">
        <v>55</v>
      </c>
      <c r="R454" s="113">
        <v>84</v>
      </c>
      <c r="S454" s="113">
        <v>105</v>
      </c>
      <c r="T454" s="120">
        <v>114</v>
      </c>
      <c r="U454" s="113">
        <v>75</v>
      </c>
      <c r="V454" s="113">
        <v>52</v>
      </c>
      <c r="W454" s="129"/>
      <c r="X454" s="129"/>
      <c r="Y454" s="5"/>
      <c r="Z454" s="5"/>
      <c r="AA454" s="5"/>
      <c r="AB454" s="5"/>
      <c r="AC454" s="5"/>
      <c r="AD454" s="5"/>
      <c r="AE454" s="5"/>
    </row>
    <row r="455" spans="1:31" customFormat="1">
      <c r="A455" s="113">
        <v>369</v>
      </c>
      <c r="B455" s="113" t="s">
        <v>396</v>
      </c>
      <c r="C455" s="120" t="s">
        <v>5658</v>
      </c>
      <c r="D455" s="124">
        <v>0.85</v>
      </c>
      <c r="E455" s="124">
        <v>0.15</v>
      </c>
      <c r="F455" s="113" t="s">
        <v>2337</v>
      </c>
      <c r="G455" s="113" t="s">
        <v>2119</v>
      </c>
      <c r="H455" s="113" t="s">
        <v>25</v>
      </c>
      <c r="I455" s="113" t="s">
        <v>98</v>
      </c>
      <c r="J455" s="118" t="s">
        <v>2129</v>
      </c>
      <c r="K455" s="118" t="s">
        <v>4657</v>
      </c>
      <c r="L455" s="118" t="s">
        <v>5658</v>
      </c>
      <c r="M455" s="115" t="s">
        <v>1109</v>
      </c>
      <c r="N455" s="115" t="s">
        <v>6399</v>
      </c>
      <c r="O455" s="115" t="s">
        <v>1109</v>
      </c>
      <c r="P455" s="113">
        <v>485</v>
      </c>
      <c r="Q455" s="113">
        <v>100</v>
      </c>
      <c r="R455" s="113">
        <v>90</v>
      </c>
      <c r="S455" s="113">
        <v>130</v>
      </c>
      <c r="T455" s="120">
        <v>45</v>
      </c>
      <c r="U455" s="113">
        <v>65</v>
      </c>
      <c r="V455" s="113">
        <v>55</v>
      </c>
      <c r="W455" s="129"/>
      <c r="X455" s="129"/>
      <c r="Y455" s="5"/>
      <c r="Z455" s="5"/>
      <c r="AA455" s="5"/>
      <c r="AB455" s="5"/>
      <c r="AC455" s="5"/>
      <c r="AD455" s="5"/>
      <c r="AE455" s="5"/>
    </row>
    <row r="456" spans="1:31" customFormat="1">
      <c r="A456" s="113">
        <v>370</v>
      </c>
      <c r="B456" s="113" t="s">
        <v>397</v>
      </c>
      <c r="C456" s="120" t="s">
        <v>5659</v>
      </c>
      <c r="D456" s="124">
        <v>0.25</v>
      </c>
      <c r="E456" s="124">
        <v>0.75</v>
      </c>
      <c r="F456" s="113" t="s">
        <v>2335</v>
      </c>
      <c r="G456" s="113" t="s">
        <v>2119</v>
      </c>
      <c r="H456" s="113" t="s">
        <v>25</v>
      </c>
      <c r="I456" s="113" t="s">
        <v>1109</v>
      </c>
      <c r="J456" s="118" t="s">
        <v>2129</v>
      </c>
      <c r="K456" s="118" t="s">
        <v>4658</v>
      </c>
      <c r="L456" s="118" t="s">
        <v>5659</v>
      </c>
      <c r="M456" s="115" t="s">
        <v>1109</v>
      </c>
      <c r="N456" s="115" t="s">
        <v>6399</v>
      </c>
      <c r="O456" s="115" t="s">
        <v>1109</v>
      </c>
      <c r="P456" s="113">
        <v>330</v>
      </c>
      <c r="Q456" s="113">
        <v>43</v>
      </c>
      <c r="R456" s="113">
        <v>30</v>
      </c>
      <c r="S456" s="113">
        <v>55</v>
      </c>
      <c r="T456" s="120">
        <v>40</v>
      </c>
      <c r="U456" s="113">
        <v>65</v>
      </c>
      <c r="V456" s="113">
        <v>97</v>
      </c>
      <c r="W456" s="129"/>
      <c r="X456" s="129"/>
      <c r="Y456" s="5"/>
      <c r="Z456" s="5"/>
      <c r="AA456" s="5"/>
      <c r="AB456" s="5"/>
      <c r="AC456" s="5"/>
      <c r="AD456" s="5"/>
      <c r="AE456" s="5"/>
    </row>
    <row r="457" spans="1:31" customFormat="1">
      <c r="A457" s="113">
        <v>371</v>
      </c>
      <c r="B457" s="113" t="s">
        <v>398</v>
      </c>
      <c r="C457" s="120" t="s">
        <v>5660</v>
      </c>
      <c r="D457" s="124">
        <v>0.5</v>
      </c>
      <c r="E457" s="124">
        <v>0.5</v>
      </c>
      <c r="F457" s="113" t="s">
        <v>23</v>
      </c>
      <c r="G457" s="113" t="s">
        <v>2119</v>
      </c>
      <c r="H457" s="113" t="s">
        <v>23</v>
      </c>
      <c r="I457" s="113" t="s">
        <v>1109</v>
      </c>
      <c r="J457" s="118" t="s">
        <v>2129</v>
      </c>
      <c r="K457" s="118" t="s">
        <v>4657</v>
      </c>
      <c r="L457" s="118" t="s">
        <v>5660</v>
      </c>
      <c r="M457" s="115" t="s">
        <v>1109</v>
      </c>
      <c r="N457" s="115" t="s">
        <v>2129</v>
      </c>
      <c r="O457" s="115" t="s">
        <v>1109</v>
      </c>
      <c r="P457" s="113">
        <v>300</v>
      </c>
      <c r="Q457" s="113">
        <v>45</v>
      </c>
      <c r="R457" s="113">
        <v>75</v>
      </c>
      <c r="S457" s="113">
        <v>60</v>
      </c>
      <c r="T457" s="120">
        <v>40</v>
      </c>
      <c r="U457" s="113">
        <v>30</v>
      </c>
      <c r="V457" s="113">
        <v>50</v>
      </c>
      <c r="W457" s="129"/>
      <c r="X457" s="129"/>
      <c r="Y457" s="5"/>
      <c r="Z457" s="5"/>
      <c r="AA457" s="5"/>
      <c r="AB457" s="5"/>
      <c r="AC457" s="5"/>
      <c r="AD457" s="5"/>
      <c r="AE457" s="5"/>
    </row>
    <row r="458" spans="1:31" customFormat="1">
      <c r="A458" s="113">
        <v>372</v>
      </c>
      <c r="B458" s="113" t="s">
        <v>399</v>
      </c>
      <c r="C458" s="120" t="s">
        <v>5661</v>
      </c>
      <c r="D458" s="124">
        <v>0.5</v>
      </c>
      <c r="E458" s="124">
        <v>0.5</v>
      </c>
      <c r="F458" s="113" t="s">
        <v>23</v>
      </c>
      <c r="G458" s="113" t="s">
        <v>2119</v>
      </c>
      <c r="H458" s="113" t="s">
        <v>23</v>
      </c>
      <c r="I458" s="113" t="s">
        <v>1109</v>
      </c>
      <c r="J458" s="118" t="s">
        <v>2129</v>
      </c>
      <c r="K458" s="118" t="s">
        <v>4657</v>
      </c>
      <c r="L458" s="118" t="s">
        <v>5660</v>
      </c>
      <c r="M458" s="115" t="s">
        <v>5660</v>
      </c>
      <c r="N458" s="115" t="s">
        <v>6398</v>
      </c>
      <c r="O458" s="115" t="s">
        <v>2128</v>
      </c>
      <c r="P458" s="113">
        <v>420</v>
      </c>
      <c r="Q458" s="113">
        <v>65</v>
      </c>
      <c r="R458" s="113">
        <v>95</v>
      </c>
      <c r="S458" s="113">
        <v>100</v>
      </c>
      <c r="T458" s="120">
        <v>60</v>
      </c>
      <c r="U458" s="113">
        <v>50</v>
      </c>
      <c r="V458" s="113">
        <v>50</v>
      </c>
      <c r="W458" s="129"/>
      <c r="X458" s="129"/>
      <c r="Y458" s="5"/>
      <c r="Z458" s="5"/>
      <c r="AA458" s="5"/>
      <c r="AB458" s="5"/>
      <c r="AC458" s="5"/>
      <c r="AD458" s="5"/>
      <c r="AE458" s="5"/>
    </row>
    <row r="459" spans="1:31" customFormat="1">
      <c r="A459" s="113">
        <v>373</v>
      </c>
      <c r="B459" s="113" t="s">
        <v>400</v>
      </c>
      <c r="C459" s="120" t="s">
        <v>5662</v>
      </c>
      <c r="D459" s="124">
        <v>0.5</v>
      </c>
      <c r="E459" s="124">
        <v>0.5</v>
      </c>
      <c r="F459" s="113" t="s">
        <v>23</v>
      </c>
      <c r="G459" s="113" t="s">
        <v>2119</v>
      </c>
      <c r="H459" s="113" t="s">
        <v>23</v>
      </c>
      <c r="I459" s="113" t="s">
        <v>22</v>
      </c>
      <c r="J459" s="118" t="s">
        <v>2129</v>
      </c>
      <c r="K459" s="118" t="s">
        <v>4657</v>
      </c>
      <c r="L459" s="118" t="s">
        <v>5660</v>
      </c>
      <c r="M459" s="115" t="s">
        <v>5661</v>
      </c>
      <c r="N459" s="115" t="s">
        <v>6399</v>
      </c>
      <c r="O459" s="115" t="s">
        <v>2128</v>
      </c>
      <c r="P459" s="113">
        <v>600</v>
      </c>
      <c r="Q459" s="113">
        <v>95</v>
      </c>
      <c r="R459" s="113">
        <v>135</v>
      </c>
      <c r="S459" s="113">
        <v>80</v>
      </c>
      <c r="T459" s="120">
        <v>110</v>
      </c>
      <c r="U459" s="113">
        <v>80</v>
      </c>
      <c r="V459" s="113">
        <v>100</v>
      </c>
      <c r="W459" s="129"/>
      <c r="X459" s="129"/>
      <c r="Y459" s="5"/>
      <c r="Z459" s="5"/>
      <c r="AA459" s="5"/>
      <c r="AB459" s="5"/>
      <c r="AC459" s="5"/>
      <c r="AD459" s="5"/>
      <c r="AE459" s="5"/>
    </row>
    <row r="460" spans="1:31" customFormat="1" hidden="1">
      <c r="A460" s="113">
        <v>373</v>
      </c>
      <c r="B460" s="113" t="s">
        <v>2933</v>
      </c>
      <c r="C460" s="120" t="s">
        <v>5663</v>
      </c>
      <c r="D460" s="124">
        <v>0.5</v>
      </c>
      <c r="E460" s="124">
        <v>0.5</v>
      </c>
      <c r="F460" s="113" t="s">
        <v>23</v>
      </c>
      <c r="G460" s="113" t="s">
        <v>2119</v>
      </c>
      <c r="H460" s="113" t="s">
        <v>23</v>
      </c>
      <c r="I460" s="113" t="s">
        <v>22</v>
      </c>
      <c r="J460" s="118" t="s">
        <v>3973</v>
      </c>
      <c r="K460" s="118" t="s">
        <v>4659</v>
      </c>
      <c r="L460" s="118" t="s">
        <v>5660</v>
      </c>
      <c r="M460" s="115" t="s">
        <v>5662</v>
      </c>
      <c r="N460" s="115" t="s">
        <v>3973</v>
      </c>
      <c r="O460" s="115" t="s">
        <v>4480</v>
      </c>
      <c r="P460" s="113">
        <v>700</v>
      </c>
      <c r="Q460" s="113">
        <v>95</v>
      </c>
      <c r="R460" s="113">
        <v>145</v>
      </c>
      <c r="S460" s="113">
        <v>130</v>
      </c>
      <c r="T460" s="120">
        <v>120</v>
      </c>
      <c r="U460" s="113">
        <v>90</v>
      </c>
      <c r="V460" s="113">
        <v>120</v>
      </c>
      <c r="W460" s="129"/>
      <c r="X460" s="129"/>
      <c r="Y460" s="5"/>
      <c r="Z460" s="5"/>
      <c r="AA460" s="5"/>
      <c r="AB460" s="5"/>
      <c r="AC460" s="5"/>
      <c r="AD460" s="5"/>
      <c r="AE460" s="5"/>
    </row>
    <row r="461" spans="1:31" customFormat="1">
      <c r="A461" s="113">
        <v>374</v>
      </c>
      <c r="B461" s="113" t="s">
        <v>401</v>
      </c>
      <c r="C461" s="120" t="s">
        <v>5664</v>
      </c>
      <c r="D461" s="124" t="s">
        <v>1109</v>
      </c>
      <c r="E461" s="124" t="s">
        <v>1109</v>
      </c>
      <c r="F461" s="113" t="s">
        <v>2112</v>
      </c>
      <c r="G461" s="113" t="s">
        <v>2119</v>
      </c>
      <c r="H461" s="113" t="s">
        <v>106</v>
      </c>
      <c r="I461" s="113" t="s">
        <v>86</v>
      </c>
      <c r="J461" s="118" t="s">
        <v>2129</v>
      </c>
      <c r="K461" s="118" t="s">
        <v>4657</v>
      </c>
      <c r="L461" s="118" t="s">
        <v>5664</v>
      </c>
      <c r="M461" s="115" t="s">
        <v>1109</v>
      </c>
      <c r="N461" s="115" t="s">
        <v>2129</v>
      </c>
      <c r="O461" s="115" t="s">
        <v>1109</v>
      </c>
      <c r="P461" s="113">
        <v>300</v>
      </c>
      <c r="Q461" s="113">
        <v>40</v>
      </c>
      <c r="R461" s="113">
        <v>55</v>
      </c>
      <c r="S461" s="113">
        <v>80</v>
      </c>
      <c r="T461" s="120">
        <v>35</v>
      </c>
      <c r="U461" s="113">
        <v>60</v>
      </c>
      <c r="V461" s="113">
        <v>30</v>
      </c>
      <c r="W461" s="129"/>
      <c r="X461" s="129"/>
      <c r="Y461" s="5"/>
      <c r="Z461" s="5"/>
      <c r="AA461" s="5"/>
      <c r="AB461" s="5"/>
      <c r="AC461" s="5"/>
      <c r="AD461" s="5"/>
      <c r="AE461" s="5"/>
    </row>
    <row r="462" spans="1:31" customFormat="1">
      <c r="A462" s="113">
        <v>375</v>
      </c>
      <c r="B462" s="113" t="s">
        <v>402</v>
      </c>
      <c r="C462" s="120" t="s">
        <v>5665</v>
      </c>
      <c r="D462" s="124" t="s">
        <v>1109</v>
      </c>
      <c r="E462" s="124" t="s">
        <v>1109</v>
      </c>
      <c r="F462" s="113" t="s">
        <v>2112</v>
      </c>
      <c r="G462" s="113" t="s">
        <v>2119</v>
      </c>
      <c r="H462" s="113" t="s">
        <v>106</v>
      </c>
      <c r="I462" s="113" t="s">
        <v>86</v>
      </c>
      <c r="J462" s="118" t="s">
        <v>2129</v>
      </c>
      <c r="K462" s="118" t="s">
        <v>4657</v>
      </c>
      <c r="L462" s="118" t="s">
        <v>5664</v>
      </c>
      <c r="M462" s="115" t="s">
        <v>5664</v>
      </c>
      <c r="N462" s="115" t="s">
        <v>6398</v>
      </c>
      <c r="O462" s="115" t="s">
        <v>2128</v>
      </c>
      <c r="P462" s="113">
        <v>420</v>
      </c>
      <c r="Q462" s="113">
        <v>60</v>
      </c>
      <c r="R462" s="113">
        <v>75</v>
      </c>
      <c r="S462" s="113">
        <v>100</v>
      </c>
      <c r="T462" s="120">
        <v>55</v>
      </c>
      <c r="U462" s="113">
        <v>80</v>
      </c>
      <c r="V462" s="113">
        <v>50</v>
      </c>
      <c r="W462" s="129"/>
      <c r="X462" s="129"/>
      <c r="Y462" s="5"/>
      <c r="Z462" s="5"/>
      <c r="AA462" s="5"/>
      <c r="AB462" s="5"/>
      <c r="AC462" s="5"/>
      <c r="AD462" s="5"/>
      <c r="AE462" s="5"/>
    </row>
    <row r="463" spans="1:31" customFormat="1">
      <c r="A463" s="113">
        <v>376</v>
      </c>
      <c r="B463" s="113" t="s">
        <v>403</v>
      </c>
      <c r="C463" s="120" t="s">
        <v>5666</v>
      </c>
      <c r="D463" s="124" t="s">
        <v>1109</v>
      </c>
      <c r="E463" s="124" t="s">
        <v>1109</v>
      </c>
      <c r="F463" s="113" t="s">
        <v>2112</v>
      </c>
      <c r="G463" s="113" t="s">
        <v>2119</v>
      </c>
      <c r="H463" s="113" t="s">
        <v>106</v>
      </c>
      <c r="I463" s="113" t="s">
        <v>86</v>
      </c>
      <c r="J463" s="118" t="s">
        <v>2129</v>
      </c>
      <c r="K463" s="118" t="s">
        <v>4657</v>
      </c>
      <c r="L463" s="118" t="s">
        <v>5664</v>
      </c>
      <c r="M463" s="115" t="s">
        <v>5665</v>
      </c>
      <c r="N463" s="115" t="s">
        <v>6399</v>
      </c>
      <c r="O463" s="115" t="s">
        <v>2128</v>
      </c>
      <c r="P463" s="113">
        <v>600</v>
      </c>
      <c r="Q463" s="113">
        <v>80</v>
      </c>
      <c r="R463" s="113">
        <v>135</v>
      </c>
      <c r="S463" s="113">
        <v>130</v>
      </c>
      <c r="T463" s="120">
        <v>95</v>
      </c>
      <c r="U463" s="113">
        <v>90</v>
      </c>
      <c r="V463" s="113">
        <v>70</v>
      </c>
      <c r="W463" s="129"/>
      <c r="X463" s="129"/>
      <c r="Y463" s="5"/>
      <c r="Z463" s="5"/>
      <c r="AA463" s="5"/>
      <c r="AB463" s="5"/>
      <c r="AC463" s="5"/>
      <c r="AD463" s="5"/>
      <c r="AE463" s="5"/>
    </row>
    <row r="464" spans="1:31" customFormat="1" hidden="1">
      <c r="A464" s="113">
        <v>376</v>
      </c>
      <c r="B464" s="113" t="s">
        <v>2935</v>
      </c>
      <c r="C464" s="120" t="s">
        <v>5667</v>
      </c>
      <c r="D464" s="124" t="s">
        <v>1109</v>
      </c>
      <c r="E464" s="124" t="s">
        <v>1109</v>
      </c>
      <c r="F464" s="113" t="s">
        <v>2112</v>
      </c>
      <c r="G464" s="113" t="s">
        <v>2119</v>
      </c>
      <c r="H464" s="113" t="s">
        <v>106</v>
      </c>
      <c r="I464" s="113" t="s">
        <v>86</v>
      </c>
      <c r="J464" s="118" t="s">
        <v>3973</v>
      </c>
      <c r="K464" s="118" t="s">
        <v>4659</v>
      </c>
      <c r="L464" s="118" t="s">
        <v>5664</v>
      </c>
      <c r="M464" s="115" t="s">
        <v>5666</v>
      </c>
      <c r="N464" s="115" t="s">
        <v>3973</v>
      </c>
      <c r="O464" s="115" t="s">
        <v>4480</v>
      </c>
      <c r="P464" s="113">
        <v>700</v>
      </c>
      <c r="Q464" s="113">
        <v>80</v>
      </c>
      <c r="R464" s="113">
        <v>145</v>
      </c>
      <c r="S464" s="113">
        <v>150</v>
      </c>
      <c r="T464" s="120">
        <v>105</v>
      </c>
      <c r="U464" s="113">
        <v>110</v>
      </c>
      <c r="V464" s="113">
        <v>110</v>
      </c>
      <c r="W464" s="129"/>
      <c r="X464" s="129"/>
      <c r="Y464" s="5"/>
      <c r="Z464" s="5"/>
      <c r="AA464" s="5"/>
      <c r="AB464" s="5"/>
      <c r="AC464" s="5"/>
      <c r="AD464" s="5"/>
      <c r="AE464" s="5"/>
    </row>
    <row r="465" spans="1:31" customFormat="1">
      <c r="A465" s="113">
        <v>377</v>
      </c>
      <c r="B465" s="113" t="s">
        <v>404</v>
      </c>
      <c r="C465" s="120" t="s">
        <v>5668</v>
      </c>
      <c r="D465" s="124" t="s">
        <v>1109</v>
      </c>
      <c r="E465" s="124" t="s">
        <v>1109</v>
      </c>
      <c r="F465" s="113" t="s">
        <v>2333</v>
      </c>
      <c r="G465" s="113" t="s">
        <v>2119</v>
      </c>
      <c r="H465" s="113" t="s">
        <v>98</v>
      </c>
      <c r="I465" s="113" t="s">
        <v>1109</v>
      </c>
      <c r="J465" s="118" t="s">
        <v>12</v>
      </c>
      <c r="K465" s="118" t="s">
        <v>12</v>
      </c>
      <c r="L465" s="118" t="s">
        <v>5668</v>
      </c>
      <c r="M465" s="115" t="s">
        <v>1109</v>
      </c>
      <c r="N465" s="115" t="s">
        <v>6399</v>
      </c>
      <c r="O465" s="115" t="s">
        <v>1109</v>
      </c>
      <c r="P465" s="113">
        <v>580</v>
      </c>
      <c r="Q465" s="113">
        <v>80</v>
      </c>
      <c r="R465" s="113">
        <v>100</v>
      </c>
      <c r="S465" s="113">
        <v>200</v>
      </c>
      <c r="T465" s="120">
        <v>50</v>
      </c>
      <c r="U465" s="113">
        <v>100</v>
      </c>
      <c r="V465" s="113">
        <v>50</v>
      </c>
      <c r="W465" s="129"/>
      <c r="X465" s="129"/>
      <c r="Y465" s="5"/>
      <c r="Z465" s="5"/>
      <c r="AA465" s="5"/>
      <c r="AB465" s="5"/>
      <c r="AC465" s="5"/>
      <c r="AD465" s="5"/>
      <c r="AE465" s="5"/>
    </row>
    <row r="466" spans="1:31" customFormat="1">
      <c r="A466" s="113">
        <v>378</v>
      </c>
      <c r="B466" s="113" t="s">
        <v>405</v>
      </c>
      <c r="C466" s="120" t="s">
        <v>5669</v>
      </c>
      <c r="D466" s="124" t="s">
        <v>1109</v>
      </c>
      <c r="E466" s="124" t="s">
        <v>1109</v>
      </c>
      <c r="F466" s="113" t="s">
        <v>2333</v>
      </c>
      <c r="G466" s="113" t="s">
        <v>2119</v>
      </c>
      <c r="H466" s="113" t="s">
        <v>113</v>
      </c>
      <c r="I466" s="113" t="s">
        <v>1109</v>
      </c>
      <c r="J466" s="118" t="s">
        <v>12</v>
      </c>
      <c r="K466" s="118" t="s">
        <v>12</v>
      </c>
      <c r="L466" s="118" t="s">
        <v>5669</v>
      </c>
      <c r="M466" s="115" t="s">
        <v>1109</v>
      </c>
      <c r="N466" s="115" t="s">
        <v>6399</v>
      </c>
      <c r="O466" s="115" t="s">
        <v>1109</v>
      </c>
      <c r="P466" s="113">
        <v>580</v>
      </c>
      <c r="Q466" s="113">
        <v>80</v>
      </c>
      <c r="R466" s="113">
        <v>50</v>
      </c>
      <c r="S466" s="113">
        <v>100</v>
      </c>
      <c r="T466" s="120">
        <v>100</v>
      </c>
      <c r="U466" s="113">
        <v>200</v>
      </c>
      <c r="V466" s="113">
        <v>50</v>
      </c>
      <c r="W466" s="129"/>
      <c r="X466" s="129"/>
      <c r="Y466" s="5"/>
      <c r="Z466" s="5"/>
      <c r="AA466" s="5"/>
      <c r="AB466" s="5"/>
      <c r="AC466" s="5"/>
      <c r="AD466" s="5"/>
      <c r="AE466" s="5"/>
    </row>
    <row r="467" spans="1:31" customFormat="1">
      <c r="A467" s="113">
        <v>379</v>
      </c>
      <c r="B467" s="113" t="s">
        <v>406</v>
      </c>
      <c r="C467" s="120" t="s">
        <v>5670</v>
      </c>
      <c r="D467" s="124" t="s">
        <v>1109</v>
      </c>
      <c r="E467" s="124" t="s">
        <v>1109</v>
      </c>
      <c r="F467" s="113" t="s">
        <v>2333</v>
      </c>
      <c r="G467" s="113" t="s">
        <v>2119</v>
      </c>
      <c r="H467" s="113" t="s">
        <v>106</v>
      </c>
      <c r="I467" s="113" t="s">
        <v>1109</v>
      </c>
      <c r="J467" s="118" t="s">
        <v>12</v>
      </c>
      <c r="K467" s="118" t="s">
        <v>12</v>
      </c>
      <c r="L467" s="118" t="s">
        <v>5670</v>
      </c>
      <c r="M467" s="115" t="s">
        <v>1109</v>
      </c>
      <c r="N467" s="115" t="s">
        <v>6399</v>
      </c>
      <c r="O467" s="115" t="s">
        <v>1109</v>
      </c>
      <c r="P467" s="113">
        <v>580</v>
      </c>
      <c r="Q467" s="113">
        <v>80</v>
      </c>
      <c r="R467" s="113">
        <v>75</v>
      </c>
      <c r="S467" s="113">
        <v>150</v>
      </c>
      <c r="T467" s="120">
        <v>75</v>
      </c>
      <c r="U467" s="113">
        <v>150</v>
      </c>
      <c r="V467" s="113">
        <v>50</v>
      </c>
      <c r="W467" s="129"/>
      <c r="X467" s="129"/>
      <c r="Y467" s="5"/>
      <c r="Z467" s="5"/>
      <c r="AA467" s="5"/>
      <c r="AB467" s="5"/>
      <c r="AC467" s="5"/>
      <c r="AD467" s="5"/>
      <c r="AE467" s="5"/>
    </row>
    <row r="468" spans="1:31" customFormat="1">
      <c r="A468" s="113">
        <v>380</v>
      </c>
      <c r="B468" s="113" t="s">
        <v>407</v>
      </c>
      <c r="C468" s="120" t="s">
        <v>5671</v>
      </c>
      <c r="D468" s="124">
        <v>0</v>
      </c>
      <c r="E468" s="124">
        <v>1</v>
      </c>
      <c r="F468" s="113" t="s">
        <v>2333</v>
      </c>
      <c r="G468" s="113" t="s">
        <v>2119</v>
      </c>
      <c r="H468" s="113" t="s">
        <v>23</v>
      </c>
      <c r="I468" s="113" t="s">
        <v>86</v>
      </c>
      <c r="J468" s="118" t="s">
        <v>12</v>
      </c>
      <c r="K468" s="118" t="s">
        <v>12</v>
      </c>
      <c r="L468" s="118" t="s">
        <v>5671</v>
      </c>
      <c r="M468" s="115" t="s">
        <v>1109</v>
      </c>
      <c r="N468" s="115" t="s">
        <v>6399</v>
      </c>
      <c r="O468" s="115" t="s">
        <v>1109</v>
      </c>
      <c r="P468" s="113">
        <v>600</v>
      </c>
      <c r="Q468" s="113">
        <v>80</v>
      </c>
      <c r="R468" s="113">
        <v>80</v>
      </c>
      <c r="S468" s="113">
        <v>90</v>
      </c>
      <c r="T468" s="120">
        <v>110</v>
      </c>
      <c r="U468" s="113">
        <v>130</v>
      </c>
      <c r="V468" s="113">
        <v>110</v>
      </c>
      <c r="W468" s="129"/>
      <c r="X468" s="129"/>
      <c r="Y468" s="5"/>
      <c r="Z468" s="5"/>
      <c r="AA468" s="5"/>
      <c r="AB468" s="5"/>
      <c r="AC468" s="5"/>
      <c r="AD468" s="5"/>
      <c r="AE468" s="5"/>
    </row>
    <row r="469" spans="1:31" customFormat="1" hidden="1">
      <c r="A469" s="113">
        <v>380</v>
      </c>
      <c r="B469" s="113" t="s">
        <v>2937</v>
      </c>
      <c r="C469" s="120" t="s">
        <v>5672</v>
      </c>
      <c r="D469" s="124">
        <v>0</v>
      </c>
      <c r="E469" s="124">
        <v>1</v>
      </c>
      <c r="F469" s="113" t="s">
        <v>2333</v>
      </c>
      <c r="G469" s="113" t="s">
        <v>2119</v>
      </c>
      <c r="H469" s="113" t="s">
        <v>23</v>
      </c>
      <c r="I469" s="113" t="s">
        <v>86</v>
      </c>
      <c r="J469" s="118" t="s">
        <v>3973</v>
      </c>
      <c r="K469" s="118" t="s">
        <v>4659</v>
      </c>
      <c r="L469" s="118" t="s">
        <v>5671</v>
      </c>
      <c r="M469" s="115" t="s">
        <v>5671</v>
      </c>
      <c r="N469" s="115" t="s">
        <v>3973</v>
      </c>
      <c r="O469" s="115" t="s">
        <v>4480</v>
      </c>
      <c r="P469" s="113">
        <v>700</v>
      </c>
      <c r="Q469" s="113">
        <v>80</v>
      </c>
      <c r="R469" s="113">
        <v>100</v>
      </c>
      <c r="S469" s="113">
        <v>120</v>
      </c>
      <c r="T469" s="120">
        <v>140</v>
      </c>
      <c r="U469" s="113">
        <v>150</v>
      </c>
      <c r="V469" s="113">
        <v>110</v>
      </c>
      <c r="W469" s="129"/>
      <c r="X469" s="129"/>
      <c r="Y469" s="5"/>
      <c r="Z469" s="5"/>
      <c r="AA469" s="5"/>
      <c r="AB469" s="5"/>
      <c r="AC469" s="5"/>
      <c r="AD469" s="5"/>
      <c r="AE469" s="5"/>
    </row>
    <row r="470" spans="1:31" customFormat="1">
      <c r="A470" s="113">
        <v>381</v>
      </c>
      <c r="B470" s="113" t="s">
        <v>408</v>
      </c>
      <c r="C470" s="120" t="s">
        <v>5673</v>
      </c>
      <c r="D470" s="124">
        <v>1</v>
      </c>
      <c r="E470" s="124">
        <v>0</v>
      </c>
      <c r="F470" s="113" t="s">
        <v>2333</v>
      </c>
      <c r="G470" s="113" t="s">
        <v>2119</v>
      </c>
      <c r="H470" s="113" t="s">
        <v>23</v>
      </c>
      <c r="I470" s="113" t="s">
        <v>86</v>
      </c>
      <c r="J470" s="118" t="s">
        <v>12</v>
      </c>
      <c r="K470" s="118" t="s">
        <v>12</v>
      </c>
      <c r="L470" s="118" t="s">
        <v>5673</v>
      </c>
      <c r="M470" s="115" t="s">
        <v>1109</v>
      </c>
      <c r="N470" s="115" t="s">
        <v>6399</v>
      </c>
      <c r="O470" s="115" t="s">
        <v>1109</v>
      </c>
      <c r="P470" s="113">
        <v>600</v>
      </c>
      <c r="Q470" s="113">
        <v>80</v>
      </c>
      <c r="R470" s="113">
        <v>90</v>
      </c>
      <c r="S470" s="113">
        <v>80</v>
      </c>
      <c r="T470" s="120">
        <v>130</v>
      </c>
      <c r="U470" s="113">
        <v>110</v>
      </c>
      <c r="V470" s="113">
        <v>110</v>
      </c>
      <c r="W470" s="129"/>
      <c r="X470" s="129"/>
      <c r="Y470" s="5"/>
      <c r="Z470" s="5"/>
      <c r="AA470" s="5"/>
      <c r="AB470" s="5"/>
      <c r="AC470" s="5"/>
      <c r="AD470" s="5"/>
      <c r="AE470" s="5"/>
    </row>
    <row r="471" spans="1:31" customFormat="1" hidden="1">
      <c r="A471" s="113">
        <v>381</v>
      </c>
      <c r="B471" s="113" t="s">
        <v>2939</v>
      </c>
      <c r="C471" s="120" t="s">
        <v>5674</v>
      </c>
      <c r="D471" s="124">
        <v>1</v>
      </c>
      <c r="E471" s="124">
        <v>0</v>
      </c>
      <c r="F471" s="113" t="s">
        <v>2333</v>
      </c>
      <c r="G471" s="113" t="s">
        <v>2119</v>
      </c>
      <c r="H471" s="113" t="s">
        <v>23</v>
      </c>
      <c r="I471" s="113" t="s">
        <v>86</v>
      </c>
      <c r="J471" s="118" t="s">
        <v>3973</v>
      </c>
      <c r="K471" s="118" t="s">
        <v>4659</v>
      </c>
      <c r="L471" s="118" t="s">
        <v>5673</v>
      </c>
      <c r="M471" s="115" t="s">
        <v>5673</v>
      </c>
      <c r="N471" s="115" t="s">
        <v>3973</v>
      </c>
      <c r="O471" s="115" t="s">
        <v>4480</v>
      </c>
      <c r="P471" s="113">
        <v>700</v>
      </c>
      <c r="Q471" s="113">
        <v>80</v>
      </c>
      <c r="R471" s="113">
        <v>130</v>
      </c>
      <c r="S471" s="113">
        <v>100</v>
      </c>
      <c r="T471" s="120">
        <v>160</v>
      </c>
      <c r="U471" s="113">
        <v>120</v>
      </c>
      <c r="V471" s="113">
        <v>110</v>
      </c>
      <c r="W471" s="129"/>
      <c r="X471" s="129"/>
      <c r="Y471" s="5"/>
      <c r="Z471" s="5"/>
      <c r="AA471" s="5"/>
      <c r="AB471" s="5"/>
      <c r="AC471" s="5"/>
      <c r="AD471" s="5"/>
      <c r="AE471" s="5"/>
    </row>
    <row r="472" spans="1:31" customFormat="1">
      <c r="A472" s="113">
        <v>382</v>
      </c>
      <c r="B472" s="113" t="s">
        <v>409</v>
      </c>
      <c r="C472" s="120" t="s">
        <v>5675</v>
      </c>
      <c r="D472" s="124" t="s">
        <v>1109</v>
      </c>
      <c r="E472" s="124" t="s">
        <v>1109</v>
      </c>
      <c r="F472" s="113" t="s">
        <v>2333</v>
      </c>
      <c r="G472" s="113" t="s">
        <v>2119</v>
      </c>
      <c r="H472" s="113" t="s">
        <v>25</v>
      </c>
      <c r="I472" s="113" t="s">
        <v>1109</v>
      </c>
      <c r="J472" s="118" t="s">
        <v>12</v>
      </c>
      <c r="K472" s="118" t="s">
        <v>12</v>
      </c>
      <c r="L472" s="118" t="s">
        <v>5675</v>
      </c>
      <c r="M472" s="115" t="s">
        <v>1109</v>
      </c>
      <c r="N472" s="115" t="s">
        <v>6399</v>
      </c>
      <c r="O472" s="115" t="s">
        <v>1109</v>
      </c>
      <c r="P472" s="113">
        <v>670</v>
      </c>
      <c r="Q472" s="113">
        <v>100</v>
      </c>
      <c r="R472" s="113">
        <v>100</v>
      </c>
      <c r="S472" s="113">
        <v>90</v>
      </c>
      <c r="T472" s="120">
        <v>150</v>
      </c>
      <c r="U472" s="113">
        <v>140</v>
      </c>
      <c r="V472" s="113">
        <v>90</v>
      </c>
      <c r="W472" s="129"/>
      <c r="X472" s="129"/>
      <c r="Y472" s="5"/>
      <c r="Z472" s="5"/>
      <c r="AA472" s="5"/>
      <c r="AB472" s="5"/>
      <c r="AC472" s="5"/>
      <c r="AD472" s="5"/>
      <c r="AE472" s="5"/>
    </row>
    <row r="473" spans="1:31" customFormat="1" hidden="1">
      <c r="A473" s="113">
        <v>382</v>
      </c>
      <c r="B473" s="113" t="s">
        <v>2941</v>
      </c>
      <c r="C473" s="120" t="s">
        <v>5676</v>
      </c>
      <c r="D473" s="124" t="s">
        <v>1109</v>
      </c>
      <c r="E473" s="124" t="s">
        <v>1109</v>
      </c>
      <c r="F473" s="113" t="s">
        <v>2333</v>
      </c>
      <c r="G473" s="113" t="s">
        <v>2119</v>
      </c>
      <c r="H473" s="113" t="s">
        <v>25</v>
      </c>
      <c r="I473" s="113" t="s">
        <v>1109</v>
      </c>
      <c r="J473" s="118" t="s">
        <v>3973</v>
      </c>
      <c r="K473" s="118" t="s">
        <v>4659</v>
      </c>
      <c r="L473" s="118" t="s">
        <v>5675</v>
      </c>
      <c r="M473" s="115" t="s">
        <v>5675</v>
      </c>
      <c r="N473" s="115" t="s">
        <v>3973</v>
      </c>
      <c r="O473" s="115" t="s">
        <v>4480</v>
      </c>
      <c r="P473" s="113">
        <v>770</v>
      </c>
      <c r="Q473" s="113">
        <v>100</v>
      </c>
      <c r="R473" s="113">
        <v>150</v>
      </c>
      <c r="S473" s="113">
        <v>90</v>
      </c>
      <c r="T473" s="120">
        <v>180</v>
      </c>
      <c r="U473" s="113">
        <v>160</v>
      </c>
      <c r="V473" s="113">
        <v>90</v>
      </c>
      <c r="W473" s="129"/>
      <c r="X473" s="129"/>
      <c r="Y473" s="5"/>
      <c r="Z473" s="5"/>
      <c r="AA473" s="5"/>
      <c r="AB473" s="5"/>
      <c r="AC473" s="5"/>
      <c r="AD473" s="5"/>
      <c r="AE473" s="5"/>
    </row>
    <row r="474" spans="1:31" customFormat="1">
      <c r="A474" s="113">
        <v>383</v>
      </c>
      <c r="B474" s="113" t="s">
        <v>411</v>
      </c>
      <c r="C474" s="120" t="s">
        <v>5677</v>
      </c>
      <c r="D474" s="124" t="s">
        <v>1109</v>
      </c>
      <c r="E474" s="124" t="s">
        <v>1109</v>
      </c>
      <c r="F474" s="113" t="s">
        <v>2333</v>
      </c>
      <c r="G474" s="113" t="s">
        <v>2119</v>
      </c>
      <c r="H474" s="113" t="s">
        <v>49</v>
      </c>
      <c r="I474" s="113" t="s">
        <v>1109</v>
      </c>
      <c r="J474" s="118" t="s">
        <v>12</v>
      </c>
      <c r="K474" s="118" t="s">
        <v>12</v>
      </c>
      <c r="L474" s="118" t="s">
        <v>5677</v>
      </c>
      <c r="M474" s="115" t="s">
        <v>1109</v>
      </c>
      <c r="N474" s="115" t="s">
        <v>6399</v>
      </c>
      <c r="O474" s="115" t="s">
        <v>1109</v>
      </c>
      <c r="P474" s="113">
        <v>670</v>
      </c>
      <c r="Q474" s="113">
        <v>100</v>
      </c>
      <c r="R474" s="113">
        <v>150</v>
      </c>
      <c r="S474" s="113">
        <v>140</v>
      </c>
      <c r="T474" s="120">
        <v>100</v>
      </c>
      <c r="U474" s="113">
        <v>90</v>
      </c>
      <c r="V474" s="113">
        <v>90</v>
      </c>
      <c r="W474" s="129"/>
      <c r="X474" s="129"/>
      <c r="Y474" s="5"/>
      <c r="Z474" s="5"/>
      <c r="AA474" s="5"/>
      <c r="AB474" s="5"/>
      <c r="AC474" s="5"/>
      <c r="AD474" s="5"/>
      <c r="AE474" s="5"/>
    </row>
    <row r="475" spans="1:31" customFormat="1" hidden="1">
      <c r="A475" s="113">
        <v>383</v>
      </c>
      <c r="B475" s="113" t="s">
        <v>2943</v>
      </c>
      <c r="C475" s="120" t="s">
        <v>5678</v>
      </c>
      <c r="D475" s="124" t="s">
        <v>1109</v>
      </c>
      <c r="E475" s="124" t="s">
        <v>1109</v>
      </c>
      <c r="F475" s="113" t="s">
        <v>2333</v>
      </c>
      <c r="G475" s="113" t="s">
        <v>2119</v>
      </c>
      <c r="H475" s="113" t="s">
        <v>49</v>
      </c>
      <c r="I475" s="113" t="s">
        <v>19</v>
      </c>
      <c r="J475" s="118" t="s">
        <v>3973</v>
      </c>
      <c r="K475" s="118" t="s">
        <v>4659</v>
      </c>
      <c r="L475" s="118" t="s">
        <v>5677</v>
      </c>
      <c r="M475" s="115" t="s">
        <v>5677</v>
      </c>
      <c r="N475" s="115" t="s">
        <v>3973</v>
      </c>
      <c r="O475" s="115" t="s">
        <v>4480</v>
      </c>
      <c r="P475" s="113">
        <v>770</v>
      </c>
      <c r="Q475" s="113">
        <v>100</v>
      </c>
      <c r="R475" s="113">
        <v>180</v>
      </c>
      <c r="S475" s="113">
        <v>160</v>
      </c>
      <c r="T475" s="120">
        <v>150</v>
      </c>
      <c r="U475" s="113">
        <v>90</v>
      </c>
      <c r="V475" s="113">
        <v>90</v>
      </c>
      <c r="W475" s="129"/>
      <c r="X475" s="129"/>
      <c r="Y475" s="5"/>
      <c r="Z475" s="5"/>
      <c r="AA475" s="5"/>
      <c r="AB475" s="5"/>
      <c r="AC475" s="5"/>
      <c r="AD475" s="5"/>
      <c r="AE475" s="5"/>
    </row>
    <row r="476" spans="1:31" customFormat="1">
      <c r="A476" s="113">
        <v>384</v>
      </c>
      <c r="B476" s="113" t="s">
        <v>413</v>
      </c>
      <c r="C476" s="120" t="s">
        <v>5679</v>
      </c>
      <c r="D476" s="124" t="s">
        <v>1109</v>
      </c>
      <c r="E476" s="124" t="s">
        <v>1109</v>
      </c>
      <c r="F476" s="113" t="s">
        <v>2333</v>
      </c>
      <c r="G476" s="113" t="s">
        <v>2119</v>
      </c>
      <c r="H476" s="113" t="s">
        <v>23</v>
      </c>
      <c r="I476" s="113" t="s">
        <v>22</v>
      </c>
      <c r="J476" s="118" t="s">
        <v>12</v>
      </c>
      <c r="K476" s="118" t="s">
        <v>12</v>
      </c>
      <c r="L476" s="118" t="s">
        <v>5679</v>
      </c>
      <c r="M476" s="115" t="s">
        <v>1109</v>
      </c>
      <c r="N476" s="115" t="s">
        <v>6399</v>
      </c>
      <c r="O476" s="115" t="s">
        <v>1109</v>
      </c>
      <c r="P476" s="113">
        <v>680</v>
      </c>
      <c r="Q476" s="113">
        <v>105</v>
      </c>
      <c r="R476" s="113">
        <v>150</v>
      </c>
      <c r="S476" s="113">
        <v>90</v>
      </c>
      <c r="T476" s="120">
        <v>150</v>
      </c>
      <c r="U476" s="113">
        <v>90</v>
      </c>
      <c r="V476" s="113">
        <v>95</v>
      </c>
      <c r="W476" s="129"/>
      <c r="X476" s="129"/>
      <c r="Y476" s="5"/>
      <c r="Z476" s="5"/>
      <c r="AA476" s="5"/>
      <c r="AB476" s="5"/>
      <c r="AC476" s="5"/>
      <c r="AD476" s="5"/>
      <c r="AE476" s="5"/>
    </row>
    <row r="477" spans="1:31" customFormat="1" hidden="1">
      <c r="A477" s="113">
        <v>384</v>
      </c>
      <c r="B477" s="113" t="s">
        <v>2945</v>
      </c>
      <c r="C477" s="120" t="s">
        <v>5680</v>
      </c>
      <c r="D477" s="124" t="s">
        <v>1109</v>
      </c>
      <c r="E477" s="124" t="s">
        <v>1109</v>
      </c>
      <c r="F477" s="113" t="s">
        <v>2333</v>
      </c>
      <c r="G477" s="113" t="s">
        <v>2119</v>
      </c>
      <c r="H477" s="113" t="s">
        <v>23</v>
      </c>
      <c r="I477" s="113" t="s">
        <v>22</v>
      </c>
      <c r="J477" s="118" t="s">
        <v>3973</v>
      </c>
      <c r="K477" s="118" t="s">
        <v>4659</v>
      </c>
      <c r="L477" s="118" t="s">
        <v>5679</v>
      </c>
      <c r="M477" s="115" t="s">
        <v>5679</v>
      </c>
      <c r="N477" s="115" t="s">
        <v>3973</v>
      </c>
      <c r="O477" s="115" t="s">
        <v>4480</v>
      </c>
      <c r="P477" s="113">
        <v>780</v>
      </c>
      <c r="Q477" s="113">
        <v>105</v>
      </c>
      <c r="R477" s="113">
        <v>180</v>
      </c>
      <c r="S477" s="113">
        <v>100</v>
      </c>
      <c r="T477" s="120">
        <v>180</v>
      </c>
      <c r="U477" s="113">
        <v>100</v>
      </c>
      <c r="V477" s="113">
        <v>115</v>
      </c>
      <c r="W477" s="129"/>
      <c r="X477" s="129"/>
      <c r="Y477" s="5"/>
      <c r="Z477" s="5"/>
      <c r="AA477" s="5"/>
      <c r="AB477" s="5"/>
      <c r="AC477" s="5"/>
      <c r="AD477" s="5"/>
      <c r="AE477" s="5"/>
    </row>
    <row r="478" spans="1:31" customFormat="1">
      <c r="A478" s="113">
        <v>385</v>
      </c>
      <c r="B478" s="113" t="s">
        <v>414</v>
      </c>
      <c r="C478" s="120" t="s">
        <v>5681</v>
      </c>
      <c r="D478" s="124" t="s">
        <v>1109</v>
      </c>
      <c r="E478" s="124" t="s">
        <v>1109</v>
      </c>
      <c r="F478" s="113" t="s">
        <v>2333</v>
      </c>
      <c r="G478" s="113" t="s">
        <v>2119</v>
      </c>
      <c r="H478" s="113" t="s">
        <v>106</v>
      </c>
      <c r="I478" s="113" t="s">
        <v>86</v>
      </c>
      <c r="J478" s="118" t="s">
        <v>12</v>
      </c>
      <c r="K478" s="118" t="s">
        <v>12</v>
      </c>
      <c r="L478" s="118" t="s">
        <v>5681</v>
      </c>
      <c r="M478" s="115" t="s">
        <v>1109</v>
      </c>
      <c r="N478" s="115" t="s">
        <v>6399</v>
      </c>
      <c r="O478" s="115" t="s">
        <v>1109</v>
      </c>
      <c r="P478" s="113">
        <v>600</v>
      </c>
      <c r="Q478" s="113">
        <v>100</v>
      </c>
      <c r="R478" s="113">
        <v>100</v>
      </c>
      <c r="S478" s="113">
        <v>100</v>
      </c>
      <c r="T478" s="120">
        <v>100</v>
      </c>
      <c r="U478" s="113">
        <v>100</v>
      </c>
      <c r="V478" s="113">
        <v>100</v>
      </c>
      <c r="W478" s="129"/>
      <c r="X478" s="129"/>
      <c r="Y478" s="5"/>
      <c r="Z478" s="5"/>
      <c r="AA478" s="5"/>
      <c r="AB478" s="5"/>
      <c r="AC478" s="5"/>
      <c r="AD478" s="5"/>
      <c r="AE478" s="5"/>
    </row>
    <row r="479" spans="1:31" customFormat="1">
      <c r="A479" s="113">
        <v>386</v>
      </c>
      <c r="B479" s="113" t="s">
        <v>2133</v>
      </c>
      <c r="C479" s="120" t="s">
        <v>5682</v>
      </c>
      <c r="D479" s="124" t="s">
        <v>1109</v>
      </c>
      <c r="E479" s="124" t="s">
        <v>1109</v>
      </c>
      <c r="F479" s="113" t="s">
        <v>2333</v>
      </c>
      <c r="G479" s="113" t="s">
        <v>2119</v>
      </c>
      <c r="H479" s="113" t="s">
        <v>86</v>
      </c>
      <c r="I479" s="113" t="s">
        <v>1109</v>
      </c>
      <c r="J479" s="118" t="s">
        <v>12</v>
      </c>
      <c r="K479" s="118" t="s">
        <v>12</v>
      </c>
      <c r="L479" s="118" t="s">
        <v>5682</v>
      </c>
      <c r="M479" s="115" t="s">
        <v>1109</v>
      </c>
      <c r="N479" s="115" t="s">
        <v>6399</v>
      </c>
      <c r="O479" s="115" t="s">
        <v>1109</v>
      </c>
      <c r="P479" s="113">
        <v>600</v>
      </c>
      <c r="Q479" s="113">
        <v>50</v>
      </c>
      <c r="R479" s="113">
        <v>150</v>
      </c>
      <c r="S479" s="113">
        <v>50</v>
      </c>
      <c r="T479" s="120">
        <v>150</v>
      </c>
      <c r="U479" s="113">
        <v>50</v>
      </c>
      <c r="V479" s="113">
        <v>150</v>
      </c>
      <c r="W479" s="129"/>
      <c r="X479" s="129"/>
      <c r="Y479" s="5"/>
      <c r="Z479" s="5"/>
      <c r="AA479" s="5"/>
      <c r="AB479" s="5"/>
      <c r="AC479" s="5"/>
      <c r="AD479" s="5"/>
      <c r="AE479" s="5"/>
    </row>
    <row r="480" spans="1:31" customFormat="1">
      <c r="A480" s="113">
        <v>386</v>
      </c>
      <c r="B480" s="113" t="s">
        <v>2948</v>
      </c>
      <c r="C480" s="120" t="s">
        <v>5683</v>
      </c>
      <c r="D480" s="124" t="s">
        <v>1109</v>
      </c>
      <c r="E480" s="124" t="s">
        <v>1109</v>
      </c>
      <c r="F480" s="113" t="s">
        <v>2333</v>
      </c>
      <c r="G480" s="113" t="s">
        <v>2119</v>
      </c>
      <c r="H480" s="113" t="s">
        <v>86</v>
      </c>
      <c r="I480" s="113" t="s">
        <v>1109</v>
      </c>
      <c r="J480" s="118" t="s">
        <v>12</v>
      </c>
      <c r="K480" s="118" t="s">
        <v>12</v>
      </c>
      <c r="L480" s="118" t="s">
        <v>5682</v>
      </c>
      <c r="M480" s="115" t="s">
        <v>1109</v>
      </c>
      <c r="N480" s="115" t="s">
        <v>6399</v>
      </c>
      <c r="O480" s="115" t="s">
        <v>1109</v>
      </c>
      <c r="P480" s="113">
        <v>600</v>
      </c>
      <c r="Q480" s="113">
        <v>50</v>
      </c>
      <c r="R480" s="113">
        <v>180</v>
      </c>
      <c r="S480" s="113">
        <v>20</v>
      </c>
      <c r="T480" s="120">
        <v>180</v>
      </c>
      <c r="U480" s="113">
        <v>20</v>
      </c>
      <c r="V480" s="113">
        <v>150</v>
      </c>
      <c r="W480" s="129"/>
      <c r="X480" s="129"/>
      <c r="Y480" s="5"/>
      <c r="Z480" s="5"/>
      <c r="AA480" s="5"/>
      <c r="AB480" s="5"/>
      <c r="AC480" s="5"/>
      <c r="AD480" s="5"/>
      <c r="AE480" s="5"/>
    </row>
    <row r="481" spans="1:31" customFormat="1">
      <c r="A481" s="113">
        <v>386</v>
      </c>
      <c r="B481" s="113" t="s">
        <v>2950</v>
      </c>
      <c r="C481" s="120" t="s">
        <v>5684</v>
      </c>
      <c r="D481" s="124" t="s">
        <v>1109</v>
      </c>
      <c r="E481" s="124" t="s">
        <v>1109</v>
      </c>
      <c r="F481" s="113" t="s">
        <v>2333</v>
      </c>
      <c r="G481" s="113" t="s">
        <v>2119</v>
      </c>
      <c r="H481" s="113" t="s">
        <v>86</v>
      </c>
      <c r="I481" s="113" t="s">
        <v>1109</v>
      </c>
      <c r="J481" s="118" t="s">
        <v>12</v>
      </c>
      <c r="K481" s="118" t="s">
        <v>12</v>
      </c>
      <c r="L481" s="118" t="s">
        <v>5682</v>
      </c>
      <c r="M481" s="115" t="s">
        <v>1109</v>
      </c>
      <c r="N481" s="115" t="s">
        <v>6399</v>
      </c>
      <c r="O481" s="115" t="s">
        <v>1109</v>
      </c>
      <c r="P481" s="113">
        <v>600</v>
      </c>
      <c r="Q481" s="113">
        <v>50</v>
      </c>
      <c r="R481" s="113">
        <v>70</v>
      </c>
      <c r="S481" s="113">
        <v>160</v>
      </c>
      <c r="T481" s="120">
        <v>70</v>
      </c>
      <c r="U481" s="113">
        <v>160</v>
      </c>
      <c r="V481" s="113">
        <v>90</v>
      </c>
      <c r="W481" s="129"/>
      <c r="X481" s="129"/>
      <c r="Y481" s="5"/>
      <c r="Z481" s="5"/>
      <c r="AA481" s="5"/>
      <c r="AB481" s="5"/>
      <c r="AC481" s="5"/>
      <c r="AD481" s="5"/>
      <c r="AE481" s="5"/>
    </row>
    <row r="482" spans="1:31" customFormat="1">
      <c r="A482" s="113">
        <v>386</v>
      </c>
      <c r="B482" s="113" t="s">
        <v>2952</v>
      </c>
      <c r="C482" s="120" t="s">
        <v>5685</v>
      </c>
      <c r="D482" s="124" t="s">
        <v>1109</v>
      </c>
      <c r="E482" s="124" t="s">
        <v>1109</v>
      </c>
      <c r="F482" s="113" t="s">
        <v>2333</v>
      </c>
      <c r="G482" s="113" t="s">
        <v>2119</v>
      </c>
      <c r="H482" s="113" t="s">
        <v>86</v>
      </c>
      <c r="I482" s="113" t="s">
        <v>1109</v>
      </c>
      <c r="J482" s="118" t="s">
        <v>12</v>
      </c>
      <c r="K482" s="118" t="s">
        <v>12</v>
      </c>
      <c r="L482" s="118" t="s">
        <v>5682</v>
      </c>
      <c r="M482" s="115" t="s">
        <v>1109</v>
      </c>
      <c r="N482" s="115" t="s">
        <v>6399</v>
      </c>
      <c r="O482" s="115" t="s">
        <v>1109</v>
      </c>
      <c r="P482" s="113">
        <v>600</v>
      </c>
      <c r="Q482" s="113">
        <v>50</v>
      </c>
      <c r="R482" s="113">
        <v>95</v>
      </c>
      <c r="S482" s="113">
        <v>90</v>
      </c>
      <c r="T482" s="120">
        <v>95</v>
      </c>
      <c r="U482" s="113">
        <v>90</v>
      </c>
      <c r="V482" s="113">
        <v>180</v>
      </c>
      <c r="W482" s="129"/>
      <c r="X482" s="129"/>
      <c r="Y482" s="5"/>
      <c r="Z482" s="5"/>
      <c r="AA482" s="5"/>
      <c r="AB482" s="5"/>
      <c r="AC482" s="5"/>
      <c r="AD482" s="5"/>
      <c r="AE482" s="5"/>
    </row>
    <row r="483" spans="1:31" customFormat="1">
      <c r="A483" s="113">
        <v>387</v>
      </c>
      <c r="B483" s="113" t="s">
        <v>419</v>
      </c>
      <c r="C483" s="120" t="s">
        <v>5686</v>
      </c>
      <c r="D483" s="124">
        <v>0.85</v>
      </c>
      <c r="E483" s="124">
        <v>0.15</v>
      </c>
      <c r="F483" s="113" t="s">
        <v>14</v>
      </c>
      <c r="G483" s="113" t="s">
        <v>2120</v>
      </c>
      <c r="H483" s="113" t="s">
        <v>14</v>
      </c>
      <c r="I483" s="113" t="s">
        <v>1109</v>
      </c>
      <c r="J483" s="118" t="s">
        <v>792</v>
      </c>
      <c r="K483" s="118" t="s">
        <v>4657</v>
      </c>
      <c r="L483" s="118" t="s">
        <v>5686</v>
      </c>
      <c r="M483" s="115" t="s">
        <v>1109</v>
      </c>
      <c r="N483" s="115" t="s">
        <v>2129</v>
      </c>
      <c r="O483" s="115" t="s">
        <v>1109</v>
      </c>
      <c r="P483" s="113">
        <v>318</v>
      </c>
      <c r="Q483" s="113">
        <v>55</v>
      </c>
      <c r="R483" s="113">
        <v>68</v>
      </c>
      <c r="S483" s="113">
        <v>64</v>
      </c>
      <c r="T483" s="120">
        <v>45</v>
      </c>
      <c r="U483" s="113">
        <v>55</v>
      </c>
      <c r="V483" s="113">
        <v>31</v>
      </c>
      <c r="W483" s="129"/>
      <c r="X483" s="129"/>
      <c r="Y483" s="5"/>
      <c r="Z483" s="5"/>
      <c r="AA483" s="5"/>
      <c r="AB483" s="5"/>
      <c r="AC483" s="5"/>
      <c r="AD483" s="5"/>
      <c r="AE483" s="5"/>
    </row>
    <row r="484" spans="1:31" customFormat="1">
      <c r="A484" s="113">
        <v>388</v>
      </c>
      <c r="B484" s="113" t="s">
        <v>420</v>
      </c>
      <c r="C484" s="120" t="s">
        <v>5687</v>
      </c>
      <c r="D484" s="124">
        <v>0.85</v>
      </c>
      <c r="E484" s="124">
        <v>0.15</v>
      </c>
      <c r="F484" s="113" t="s">
        <v>14</v>
      </c>
      <c r="G484" s="113" t="s">
        <v>2120</v>
      </c>
      <c r="H484" s="113" t="s">
        <v>14</v>
      </c>
      <c r="I484" s="113" t="s">
        <v>1109</v>
      </c>
      <c r="J484" s="118" t="s">
        <v>792</v>
      </c>
      <c r="K484" s="118" t="s">
        <v>4657</v>
      </c>
      <c r="L484" s="118" t="s">
        <v>5686</v>
      </c>
      <c r="M484" s="115" t="s">
        <v>5686</v>
      </c>
      <c r="N484" s="115" t="s">
        <v>6398</v>
      </c>
      <c r="O484" s="115" t="s">
        <v>2128</v>
      </c>
      <c r="P484" s="113">
        <v>405</v>
      </c>
      <c r="Q484" s="113">
        <v>75</v>
      </c>
      <c r="R484" s="113">
        <v>89</v>
      </c>
      <c r="S484" s="113">
        <v>85</v>
      </c>
      <c r="T484" s="120">
        <v>55</v>
      </c>
      <c r="U484" s="113">
        <v>65</v>
      </c>
      <c r="V484" s="113">
        <v>36</v>
      </c>
      <c r="W484" s="129"/>
      <c r="X484" s="129"/>
      <c r="Y484" s="5"/>
      <c r="Z484" s="5"/>
      <c r="AA484" s="5"/>
      <c r="AB484" s="5"/>
      <c r="AC484" s="5"/>
      <c r="AD484" s="5"/>
      <c r="AE484" s="5"/>
    </row>
    <row r="485" spans="1:31" customFormat="1">
      <c r="A485" s="113">
        <v>389</v>
      </c>
      <c r="B485" s="113" t="s">
        <v>421</v>
      </c>
      <c r="C485" s="120" t="s">
        <v>5688</v>
      </c>
      <c r="D485" s="124">
        <v>0.85</v>
      </c>
      <c r="E485" s="124">
        <v>0.15</v>
      </c>
      <c r="F485" s="113" t="s">
        <v>14</v>
      </c>
      <c r="G485" s="113" t="s">
        <v>2120</v>
      </c>
      <c r="H485" s="113" t="s">
        <v>14</v>
      </c>
      <c r="I485" s="113" t="s">
        <v>49</v>
      </c>
      <c r="J485" s="118" t="s">
        <v>792</v>
      </c>
      <c r="K485" s="118" t="s">
        <v>4657</v>
      </c>
      <c r="L485" s="118" t="s">
        <v>5686</v>
      </c>
      <c r="M485" s="115" t="s">
        <v>5687</v>
      </c>
      <c r="N485" s="115" t="s">
        <v>6399</v>
      </c>
      <c r="O485" s="115" t="s">
        <v>2128</v>
      </c>
      <c r="P485" s="113">
        <v>525</v>
      </c>
      <c r="Q485" s="113">
        <v>95</v>
      </c>
      <c r="R485" s="113">
        <v>109</v>
      </c>
      <c r="S485" s="113">
        <v>105</v>
      </c>
      <c r="T485" s="120">
        <v>75</v>
      </c>
      <c r="U485" s="113">
        <v>85</v>
      </c>
      <c r="V485" s="113">
        <v>56</v>
      </c>
      <c r="W485" s="129"/>
      <c r="X485" s="129"/>
      <c r="Y485" s="5"/>
      <c r="Z485" s="5"/>
      <c r="AA485" s="5"/>
      <c r="AB485" s="5"/>
      <c r="AC485" s="5"/>
      <c r="AD485" s="5"/>
      <c r="AE485" s="5"/>
    </row>
    <row r="486" spans="1:31" customFormat="1">
      <c r="A486" s="113">
        <v>390</v>
      </c>
      <c r="B486" s="113" t="s">
        <v>422</v>
      </c>
      <c r="C486" s="120" t="s">
        <v>5689</v>
      </c>
      <c r="D486" s="124">
        <v>0.85</v>
      </c>
      <c r="E486" s="124">
        <v>0.15</v>
      </c>
      <c r="F486" s="113" t="s">
        <v>2334</v>
      </c>
      <c r="G486" s="113" t="s">
        <v>2120</v>
      </c>
      <c r="H486" s="113" t="s">
        <v>19</v>
      </c>
      <c r="I486" s="113" t="s">
        <v>1109</v>
      </c>
      <c r="J486" s="118" t="s">
        <v>792</v>
      </c>
      <c r="K486" s="118" t="s">
        <v>4657</v>
      </c>
      <c r="L486" s="118" t="s">
        <v>5689</v>
      </c>
      <c r="M486" s="115" t="s">
        <v>1109</v>
      </c>
      <c r="N486" s="115" t="s">
        <v>2129</v>
      </c>
      <c r="O486" s="115" t="s">
        <v>1109</v>
      </c>
      <c r="P486" s="113">
        <v>309</v>
      </c>
      <c r="Q486" s="113">
        <v>44</v>
      </c>
      <c r="R486" s="113">
        <v>58</v>
      </c>
      <c r="S486" s="113">
        <v>44</v>
      </c>
      <c r="T486" s="120">
        <v>58</v>
      </c>
      <c r="U486" s="113">
        <v>44</v>
      </c>
      <c r="V486" s="113">
        <v>61</v>
      </c>
      <c r="W486" s="129"/>
      <c r="X486" s="129"/>
      <c r="Y486" s="5"/>
      <c r="Z486" s="5"/>
      <c r="AA486" s="5"/>
      <c r="AB486" s="5"/>
      <c r="AC486" s="5"/>
      <c r="AD486" s="5"/>
      <c r="AE486" s="5"/>
    </row>
    <row r="487" spans="1:31" customFormat="1">
      <c r="A487" s="113">
        <v>391</v>
      </c>
      <c r="B487" s="113" t="s">
        <v>423</v>
      </c>
      <c r="C487" s="120" t="s">
        <v>5690</v>
      </c>
      <c r="D487" s="124">
        <v>0.85</v>
      </c>
      <c r="E487" s="124">
        <v>0.15</v>
      </c>
      <c r="F487" s="113" t="s">
        <v>2334</v>
      </c>
      <c r="G487" s="113" t="s">
        <v>2120</v>
      </c>
      <c r="H487" s="113" t="s">
        <v>19</v>
      </c>
      <c r="I487" s="113" t="s">
        <v>78</v>
      </c>
      <c r="J487" s="118" t="s">
        <v>792</v>
      </c>
      <c r="K487" s="118" t="s">
        <v>4657</v>
      </c>
      <c r="L487" s="118" t="s">
        <v>5689</v>
      </c>
      <c r="M487" s="115" t="s">
        <v>5689</v>
      </c>
      <c r="N487" s="115" t="s">
        <v>6398</v>
      </c>
      <c r="O487" s="115" t="s">
        <v>2128</v>
      </c>
      <c r="P487" s="113">
        <v>405</v>
      </c>
      <c r="Q487" s="113">
        <v>64</v>
      </c>
      <c r="R487" s="113">
        <v>78</v>
      </c>
      <c r="S487" s="113">
        <v>52</v>
      </c>
      <c r="T487" s="120">
        <v>78</v>
      </c>
      <c r="U487" s="113">
        <v>52</v>
      </c>
      <c r="V487" s="113">
        <v>81</v>
      </c>
      <c r="W487" s="129"/>
      <c r="X487" s="129"/>
      <c r="Y487" s="5"/>
      <c r="Z487" s="5"/>
      <c r="AA487" s="5"/>
      <c r="AB487" s="5"/>
      <c r="AC487" s="5"/>
      <c r="AD487" s="5"/>
      <c r="AE487" s="5"/>
    </row>
    <row r="488" spans="1:31" customFormat="1">
      <c r="A488" s="113">
        <v>392</v>
      </c>
      <c r="B488" s="113" t="s">
        <v>424</v>
      </c>
      <c r="C488" s="120" t="s">
        <v>5691</v>
      </c>
      <c r="D488" s="124">
        <v>0.85</v>
      </c>
      <c r="E488" s="124">
        <v>0.15</v>
      </c>
      <c r="F488" s="113" t="s">
        <v>2334</v>
      </c>
      <c r="G488" s="113" t="s">
        <v>2120</v>
      </c>
      <c r="H488" s="113" t="s">
        <v>19</v>
      </c>
      <c r="I488" s="113" t="s">
        <v>78</v>
      </c>
      <c r="J488" s="118" t="s">
        <v>792</v>
      </c>
      <c r="K488" s="118" t="s">
        <v>4657</v>
      </c>
      <c r="L488" s="118" t="s">
        <v>5689</v>
      </c>
      <c r="M488" s="115" t="s">
        <v>5690</v>
      </c>
      <c r="N488" s="115" t="s">
        <v>6399</v>
      </c>
      <c r="O488" s="115" t="s">
        <v>2128</v>
      </c>
      <c r="P488" s="113">
        <v>534</v>
      </c>
      <c r="Q488" s="113">
        <v>76</v>
      </c>
      <c r="R488" s="113">
        <v>104</v>
      </c>
      <c r="S488" s="113">
        <v>71</v>
      </c>
      <c r="T488" s="120">
        <v>104</v>
      </c>
      <c r="U488" s="113">
        <v>71</v>
      </c>
      <c r="V488" s="113">
        <v>108</v>
      </c>
      <c r="W488" s="129"/>
      <c r="X488" s="129"/>
      <c r="Y488" s="5"/>
      <c r="Z488" s="5"/>
      <c r="AA488" s="5"/>
      <c r="AB488" s="5"/>
      <c r="AC488" s="5"/>
      <c r="AD488" s="5"/>
      <c r="AE488" s="5"/>
    </row>
    <row r="489" spans="1:31" customFormat="1">
      <c r="A489" s="113">
        <v>393</v>
      </c>
      <c r="B489" s="113" t="s">
        <v>425</v>
      </c>
      <c r="C489" s="120" t="s">
        <v>5692</v>
      </c>
      <c r="D489" s="124">
        <v>0.85</v>
      </c>
      <c r="E489" s="124">
        <v>0.15</v>
      </c>
      <c r="F489" s="113" t="s">
        <v>2331</v>
      </c>
      <c r="G489" s="113" t="s">
        <v>2120</v>
      </c>
      <c r="H489" s="113" t="s">
        <v>25</v>
      </c>
      <c r="I489" s="113" t="s">
        <v>1109</v>
      </c>
      <c r="J489" s="118" t="s">
        <v>792</v>
      </c>
      <c r="K489" s="118" t="s">
        <v>4657</v>
      </c>
      <c r="L489" s="118" t="s">
        <v>5692</v>
      </c>
      <c r="M489" s="115" t="s">
        <v>1109</v>
      </c>
      <c r="N489" s="115" t="s">
        <v>2129</v>
      </c>
      <c r="O489" s="115" t="s">
        <v>1109</v>
      </c>
      <c r="P489" s="113">
        <v>314</v>
      </c>
      <c r="Q489" s="113">
        <v>53</v>
      </c>
      <c r="R489" s="113">
        <v>51</v>
      </c>
      <c r="S489" s="113">
        <v>53</v>
      </c>
      <c r="T489" s="120">
        <v>61</v>
      </c>
      <c r="U489" s="113">
        <v>56</v>
      </c>
      <c r="V489" s="113">
        <v>40</v>
      </c>
      <c r="W489" s="129"/>
      <c r="X489" s="129"/>
      <c r="Y489" s="5"/>
      <c r="Z489" s="5"/>
      <c r="AA489" s="5"/>
      <c r="AB489" s="5"/>
      <c r="AC489" s="5"/>
      <c r="AD489" s="5"/>
      <c r="AE489" s="5"/>
    </row>
    <row r="490" spans="1:31" customFormat="1">
      <c r="A490" s="113">
        <v>394</v>
      </c>
      <c r="B490" s="113" t="s">
        <v>426</v>
      </c>
      <c r="C490" s="120" t="s">
        <v>5693</v>
      </c>
      <c r="D490" s="124">
        <v>0.85</v>
      </c>
      <c r="E490" s="124">
        <v>0.15</v>
      </c>
      <c r="F490" s="113" t="s">
        <v>2331</v>
      </c>
      <c r="G490" s="113" t="s">
        <v>2120</v>
      </c>
      <c r="H490" s="113" t="s">
        <v>25</v>
      </c>
      <c r="I490" s="113" t="s">
        <v>1109</v>
      </c>
      <c r="J490" s="118" t="s">
        <v>792</v>
      </c>
      <c r="K490" s="118" t="s">
        <v>4657</v>
      </c>
      <c r="L490" s="118" t="s">
        <v>5692</v>
      </c>
      <c r="M490" s="115" t="s">
        <v>5692</v>
      </c>
      <c r="N490" s="115" t="s">
        <v>6398</v>
      </c>
      <c r="O490" s="115" t="s">
        <v>2128</v>
      </c>
      <c r="P490" s="113">
        <v>405</v>
      </c>
      <c r="Q490" s="113">
        <v>64</v>
      </c>
      <c r="R490" s="113">
        <v>66</v>
      </c>
      <c r="S490" s="113">
        <v>68</v>
      </c>
      <c r="T490" s="120">
        <v>81</v>
      </c>
      <c r="U490" s="113">
        <v>76</v>
      </c>
      <c r="V490" s="113">
        <v>50</v>
      </c>
      <c r="W490" s="129"/>
      <c r="X490" s="129"/>
      <c r="Y490" s="5"/>
      <c r="Z490" s="5"/>
      <c r="AA490" s="5"/>
      <c r="AB490" s="5"/>
      <c r="AC490" s="5"/>
      <c r="AD490" s="5"/>
      <c r="AE490" s="5"/>
    </row>
    <row r="491" spans="1:31" customFormat="1">
      <c r="A491" s="113">
        <v>395</v>
      </c>
      <c r="B491" s="113" t="s">
        <v>427</v>
      </c>
      <c r="C491" s="120" t="s">
        <v>5694</v>
      </c>
      <c r="D491" s="124">
        <v>0.85</v>
      </c>
      <c r="E491" s="124">
        <v>0.15</v>
      </c>
      <c r="F491" s="113" t="s">
        <v>2331</v>
      </c>
      <c r="G491" s="113" t="s">
        <v>2120</v>
      </c>
      <c r="H491" s="113" t="s">
        <v>25</v>
      </c>
      <c r="I491" s="113" t="s">
        <v>106</v>
      </c>
      <c r="J491" s="118" t="s">
        <v>792</v>
      </c>
      <c r="K491" s="118" t="s">
        <v>4657</v>
      </c>
      <c r="L491" s="118" t="s">
        <v>5692</v>
      </c>
      <c r="M491" s="115" t="s">
        <v>5693</v>
      </c>
      <c r="N491" s="115" t="s">
        <v>6399</v>
      </c>
      <c r="O491" s="115" t="s">
        <v>2128</v>
      </c>
      <c r="P491" s="113">
        <v>530</v>
      </c>
      <c r="Q491" s="113">
        <v>84</v>
      </c>
      <c r="R491" s="113">
        <v>86</v>
      </c>
      <c r="S491" s="113">
        <v>88</v>
      </c>
      <c r="T491" s="120">
        <v>111</v>
      </c>
      <c r="U491" s="113">
        <v>101</v>
      </c>
      <c r="V491" s="113">
        <v>60</v>
      </c>
      <c r="W491" s="129"/>
      <c r="X491" s="129"/>
      <c r="Y491" s="5"/>
      <c r="Z491" s="5"/>
      <c r="AA491" s="5"/>
      <c r="AB491" s="5"/>
      <c r="AC491" s="5"/>
      <c r="AD491" s="5"/>
      <c r="AE491" s="5"/>
    </row>
    <row r="492" spans="1:31" customFormat="1">
      <c r="A492" s="113">
        <v>396</v>
      </c>
      <c r="B492" s="113" t="s">
        <v>428</v>
      </c>
      <c r="C492" s="120" t="s">
        <v>5695</v>
      </c>
      <c r="D492" s="124">
        <v>0.5</v>
      </c>
      <c r="E492" s="124">
        <v>0.5</v>
      </c>
      <c r="F492" s="113" t="s">
        <v>22</v>
      </c>
      <c r="G492" s="113" t="s">
        <v>2120</v>
      </c>
      <c r="H492" s="113" t="s">
        <v>36</v>
      </c>
      <c r="I492" s="113" t="s">
        <v>22</v>
      </c>
      <c r="J492" s="118" t="s">
        <v>2129</v>
      </c>
      <c r="K492" s="118" t="s">
        <v>2712</v>
      </c>
      <c r="L492" s="118" t="s">
        <v>5695</v>
      </c>
      <c r="M492" s="115" t="s">
        <v>1109</v>
      </c>
      <c r="N492" s="115" t="s">
        <v>2129</v>
      </c>
      <c r="O492" s="115" t="s">
        <v>1109</v>
      </c>
      <c r="P492" s="113">
        <v>245</v>
      </c>
      <c r="Q492" s="113">
        <v>40</v>
      </c>
      <c r="R492" s="113">
        <v>55</v>
      </c>
      <c r="S492" s="113">
        <v>30</v>
      </c>
      <c r="T492" s="120">
        <v>30</v>
      </c>
      <c r="U492" s="113">
        <v>30</v>
      </c>
      <c r="V492" s="113">
        <v>60</v>
      </c>
      <c r="W492" s="129"/>
      <c r="X492" s="129"/>
      <c r="Y492" s="5"/>
      <c r="Z492" s="5"/>
      <c r="AA492" s="5"/>
      <c r="AB492" s="5"/>
      <c r="AC492" s="5"/>
      <c r="AD492" s="5"/>
      <c r="AE492" s="5"/>
    </row>
    <row r="493" spans="1:31" customFormat="1">
      <c r="A493" s="113">
        <v>397</v>
      </c>
      <c r="B493" s="113" t="s">
        <v>429</v>
      </c>
      <c r="C493" s="120" t="s">
        <v>5696</v>
      </c>
      <c r="D493" s="124">
        <v>0.5</v>
      </c>
      <c r="E493" s="124">
        <v>0.5</v>
      </c>
      <c r="F493" s="113" t="s">
        <v>22</v>
      </c>
      <c r="G493" s="113" t="s">
        <v>2120</v>
      </c>
      <c r="H493" s="113" t="s">
        <v>36</v>
      </c>
      <c r="I493" s="113" t="s">
        <v>22</v>
      </c>
      <c r="J493" s="118" t="s">
        <v>2129</v>
      </c>
      <c r="K493" s="118" t="s">
        <v>2712</v>
      </c>
      <c r="L493" s="118" t="s">
        <v>5695</v>
      </c>
      <c r="M493" s="115" t="s">
        <v>5695</v>
      </c>
      <c r="N493" s="115" t="s">
        <v>6398</v>
      </c>
      <c r="O493" s="115" t="s">
        <v>2128</v>
      </c>
      <c r="P493" s="113">
        <v>340</v>
      </c>
      <c r="Q493" s="113">
        <v>55</v>
      </c>
      <c r="R493" s="113">
        <v>75</v>
      </c>
      <c r="S493" s="113">
        <v>50</v>
      </c>
      <c r="T493" s="120">
        <v>40</v>
      </c>
      <c r="U493" s="113">
        <v>40</v>
      </c>
      <c r="V493" s="113">
        <v>80</v>
      </c>
      <c r="W493" s="129"/>
      <c r="X493" s="129"/>
      <c r="Y493" s="5"/>
      <c r="Z493" s="5"/>
      <c r="AA493" s="5"/>
      <c r="AB493" s="5"/>
      <c r="AC493" s="5"/>
      <c r="AD493" s="5"/>
      <c r="AE493" s="5"/>
    </row>
    <row r="494" spans="1:31" customFormat="1">
      <c r="A494" s="113">
        <v>398</v>
      </c>
      <c r="B494" s="113" t="s">
        <v>430</v>
      </c>
      <c r="C494" s="120" t="s">
        <v>5697</v>
      </c>
      <c r="D494" s="124">
        <v>0.5</v>
      </c>
      <c r="E494" s="124">
        <v>0.5</v>
      </c>
      <c r="F494" s="113" t="s">
        <v>22</v>
      </c>
      <c r="G494" s="113" t="s">
        <v>2120</v>
      </c>
      <c r="H494" s="113" t="s">
        <v>36</v>
      </c>
      <c r="I494" s="113" t="s">
        <v>22</v>
      </c>
      <c r="J494" s="118" t="s">
        <v>2129</v>
      </c>
      <c r="K494" s="118" t="s">
        <v>2712</v>
      </c>
      <c r="L494" s="118" t="s">
        <v>5695</v>
      </c>
      <c r="M494" s="115" t="s">
        <v>5696</v>
      </c>
      <c r="N494" s="115" t="s">
        <v>6399</v>
      </c>
      <c r="O494" s="115" t="s">
        <v>2128</v>
      </c>
      <c r="P494" s="113">
        <v>485</v>
      </c>
      <c r="Q494" s="113">
        <v>85</v>
      </c>
      <c r="R494" s="113">
        <v>120</v>
      </c>
      <c r="S494" s="113">
        <v>70</v>
      </c>
      <c r="T494" s="120">
        <v>50</v>
      </c>
      <c r="U494" s="113">
        <v>60</v>
      </c>
      <c r="V494" s="113">
        <v>100</v>
      </c>
      <c r="W494" s="129"/>
      <c r="X494" s="129"/>
      <c r="Y494" s="5"/>
      <c r="Z494" s="5"/>
      <c r="AA494" s="5"/>
      <c r="AB494" s="5"/>
      <c r="AC494" s="5"/>
      <c r="AD494" s="5"/>
      <c r="AE494" s="5"/>
    </row>
    <row r="495" spans="1:31" customFormat="1">
      <c r="A495" s="113">
        <v>399</v>
      </c>
      <c r="B495" s="113" t="s">
        <v>431</v>
      </c>
      <c r="C495" s="120" t="s">
        <v>5698</v>
      </c>
      <c r="D495" s="124">
        <v>0.5</v>
      </c>
      <c r="E495" s="124">
        <v>0.5</v>
      </c>
      <c r="F495" s="113" t="s">
        <v>2332</v>
      </c>
      <c r="G495" s="113" t="s">
        <v>2120</v>
      </c>
      <c r="H495" s="113" t="s">
        <v>36</v>
      </c>
      <c r="I495" s="113" t="s">
        <v>1109</v>
      </c>
      <c r="J495" s="118" t="s">
        <v>2129</v>
      </c>
      <c r="K495" s="118" t="s">
        <v>2712</v>
      </c>
      <c r="L495" s="118" t="s">
        <v>5698</v>
      </c>
      <c r="M495" s="115" t="s">
        <v>1109</v>
      </c>
      <c r="N495" s="115" t="s">
        <v>2129</v>
      </c>
      <c r="O495" s="115" t="s">
        <v>1109</v>
      </c>
      <c r="P495" s="113">
        <v>250</v>
      </c>
      <c r="Q495" s="113">
        <v>59</v>
      </c>
      <c r="R495" s="113">
        <v>45</v>
      </c>
      <c r="S495" s="113">
        <v>40</v>
      </c>
      <c r="T495" s="120">
        <v>35</v>
      </c>
      <c r="U495" s="113">
        <v>40</v>
      </c>
      <c r="V495" s="113">
        <v>31</v>
      </c>
      <c r="W495" s="129"/>
      <c r="X495" s="129"/>
      <c r="Y495" s="5"/>
      <c r="Z495" s="5"/>
      <c r="AA495" s="5"/>
      <c r="AB495" s="5"/>
      <c r="AC495" s="5"/>
      <c r="AD495" s="5"/>
      <c r="AE495" s="5"/>
    </row>
    <row r="496" spans="1:31" customFormat="1">
      <c r="A496" s="113">
        <v>400</v>
      </c>
      <c r="B496" s="113" t="s">
        <v>432</v>
      </c>
      <c r="C496" s="120" t="s">
        <v>5699</v>
      </c>
      <c r="D496" s="124">
        <v>0.5</v>
      </c>
      <c r="E496" s="124">
        <v>0.5</v>
      </c>
      <c r="F496" s="113" t="s">
        <v>2332</v>
      </c>
      <c r="G496" s="113" t="s">
        <v>2120</v>
      </c>
      <c r="H496" s="113" t="s">
        <v>36</v>
      </c>
      <c r="I496" s="113" t="s">
        <v>25</v>
      </c>
      <c r="J496" s="118" t="s">
        <v>2129</v>
      </c>
      <c r="K496" s="118" t="s">
        <v>2712</v>
      </c>
      <c r="L496" s="118" t="s">
        <v>5698</v>
      </c>
      <c r="M496" s="115" t="s">
        <v>5698</v>
      </c>
      <c r="N496" s="115" t="s">
        <v>6399</v>
      </c>
      <c r="O496" s="115" t="s">
        <v>2128</v>
      </c>
      <c r="P496" s="113">
        <v>410</v>
      </c>
      <c r="Q496" s="113">
        <v>79</v>
      </c>
      <c r="R496" s="113">
        <v>85</v>
      </c>
      <c r="S496" s="113">
        <v>60</v>
      </c>
      <c r="T496" s="120">
        <v>55</v>
      </c>
      <c r="U496" s="113">
        <v>60</v>
      </c>
      <c r="V496" s="113">
        <v>71</v>
      </c>
      <c r="W496" s="129"/>
      <c r="X496" s="129"/>
      <c r="Y496" s="5"/>
      <c r="Z496" s="5"/>
      <c r="AA496" s="5"/>
      <c r="AB496" s="5"/>
      <c r="AC496" s="5"/>
      <c r="AD496" s="5"/>
      <c r="AE496" s="5"/>
    </row>
    <row r="497" spans="1:31" customFormat="1">
      <c r="A497" s="113">
        <v>401</v>
      </c>
      <c r="B497" s="113" t="s">
        <v>433</v>
      </c>
      <c r="C497" s="120" t="s">
        <v>5700</v>
      </c>
      <c r="D497" s="124">
        <v>0.5</v>
      </c>
      <c r="E497" s="124">
        <v>0.5</v>
      </c>
      <c r="F497" s="113" t="s">
        <v>29</v>
      </c>
      <c r="G497" s="113" t="s">
        <v>2120</v>
      </c>
      <c r="H497" s="113" t="s">
        <v>29</v>
      </c>
      <c r="I497" s="113" t="s">
        <v>1109</v>
      </c>
      <c r="J497" s="118" t="s">
        <v>2129</v>
      </c>
      <c r="K497" s="118" t="s">
        <v>2712</v>
      </c>
      <c r="L497" s="118" t="s">
        <v>5700</v>
      </c>
      <c r="M497" s="115" t="s">
        <v>1109</v>
      </c>
      <c r="N497" s="115" t="s">
        <v>2129</v>
      </c>
      <c r="O497" s="115" t="s">
        <v>1109</v>
      </c>
      <c r="P497" s="113">
        <v>194</v>
      </c>
      <c r="Q497" s="113">
        <v>37</v>
      </c>
      <c r="R497" s="113">
        <v>25</v>
      </c>
      <c r="S497" s="113">
        <v>41</v>
      </c>
      <c r="T497" s="120">
        <v>25</v>
      </c>
      <c r="U497" s="113">
        <v>41</v>
      </c>
      <c r="V497" s="113">
        <v>25</v>
      </c>
      <c r="W497" s="129"/>
      <c r="X497" s="129"/>
      <c r="Y497" s="5"/>
      <c r="Z497" s="5"/>
      <c r="AA497" s="5"/>
      <c r="AB497" s="5"/>
      <c r="AC497" s="5"/>
      <c r="AD497" s="5"/>
      <c r="AE497" s="5"/>
    </row>
    <row r="498" spans="1:31" customFormat="1">
      <c r="A498" s="113">
        <v>402</v>
      </c>
      <c r="B498" s="113" t="s">
        <v>434</v>
      </c>
      <c r="C498" s="120" t="s">
        <v>5701</v>
      </c>
      <c r="D498" s="124">
        <v>0.5</v>
      </c>
      <c r="E498" s="124">
        <v>0.5</v>
      </c>
      <c r="F498" s="113" t="s">
        <v>29</v>
      </c>
      <c r="G498" s="113" t="s">
        <v>2120</v>
      </c>
      <c r="H498" s="113" t="s">
        <v>29</v>
      </c>
      <c r="I498" s="113" t="s">
        <v>1109</v>
      </c>
      <c r="J498" s="118" t="s">
        <v>2129</v>
      </c>
      <c r="K498" s="118" t="s">
        <v>2712</v>
      </c>
      <c r="L498" s="118" t="s">
        <v>5700</v>
      </c>
      <c r="M498" s="115" t="s">
        <v>5700</v>
      </c>
      <c r="N498" s="115" t="s">
        <v>6399</v>
      </c>
      <c r="O498" s="115" t="s">
        <v>2128</v>
      </c>
      <c r="P498" s="113">
        <v>384</v>
      </c>
      <c r="Q498" s="113">
        <v>77</v>
      </c>
      <c r="R498" s="113">
        <v>85</v>
      </c>
      <c r="S498" s="113">
        <v>51</v>
      </c>
      <c r="T498" s="120">
        <v>55</v>
      </c>
      <c r="U498" s="113">
        <v>51</v>
      </c>
      <c r="V498" s="113">
        <v>65</v>
      </c>
      <c r="W498" s="129"/>
      <c r="X498" s="129"/>
      <c r="Y498" s="5"/>
      <c r="Z498" s="5"/>
      <c r="AA498" s="5"/>
      <c r="AB498" s="5"/>
      <c r="AC498" s="5"/>
      <c r="AD498" s="5"/>
      <c r="AE498" s="5"/>
    </row>
    <row r="499" spans="1:31" customFormat="1">
      <c r="A499" s="113">
        <v>403</v>
      </c>
      <c r="B499" s="113" t="s">
        <v>435</v>
      </c>
      <c r="C499" s="120" t="s">
        <v>5702</v>
      </c>
      <c r="D499" s="124">
        <v>0.5</v>
      </c>
      <c r="E499" s="124">
        <v>0.5</v>
      </c>
      <c r="F499" s="113" t="s">
        <v>2332</v>
      </c>
      <c r="G499" s="113" t="s">
        <v>2120</v>
      </c>
      <c r="H499" s="113" t="s">
        <v>46</v>
      </c>
      <c r="I499" s="113" t="s">
        <v>1109</v>
      </c>
      <c r="J499" s="118" t="s">
        <v>2129</v>
      </c>
      <c r="K499" s="118" t="s">
        <v>2712</v>
      </c>
      <c r="L499" s="118" t="s">
        <v>5702</v>
      </c>
      <c r="M499" s="115" t="s">
        <v>1109</v>
      </c>
      <c r="N499" s="115" t="s">
        <v>2129</v>
      </c>
      <c r="O499" s="115" t="s">
        <v>1109</v>
      </c>
      <c r="P499" s="113">
        <v>263</v>
      </c>
      <c r="Q499" s="113">
        <v>45</v>
      </c>
      <c r="R499" s="113">
        <v>65</v>
      </c>
      <c r="S499" s="113">
        <v>34</v>
      </c>
      <c r="T499" s="120">
        <v>40</v>
      </c>
      <c r="U499" s="113">
        <v>34</v>
      </c>
      <c r="V499" s="113">
        <v>45</v>
      </c>
      <c r="W499" s="129"/>
      <c r="X499" s="129"/>
      <c r="Y499" s="5"/>
      <c r="Z499" s="5"/>
      <c r="AA499" s="5"/>
      <c r="AB499" s="5"/>
      <c r="AC499" s="5"/>
      <c r="AD499" s="5"/>
      <c r="AE499" s="5"/>
    </row>
    <row r="500" spans="1:31" customFormat="1">
      <c r="A500" s="113">
        <v>404</v>
      </c>
      <c r="B500" s="113" t="s">
        <v>436</v>
      </c>
      <c r="C500" s="120" t="s">
        <v>5703</v>
      </c>
      <c r="D500" s="124">
        <v>0.5</v>
      </c>
      <c r="E500" s="124">
        <v>0.5</v>
      </c>
      <c r="F500" s="113" t="s">
        <v>2332</v>
      </c>
      <c r="G500" s="113" t="s">
        <v>2120</v>
      </c>
      <c r="H500" s="113" t="s">
        <v>46</v>
      </c>
      <c r="I500" s="113" t="s">
        <v>1109</v>
      </c>
      <c r="J500" s="118" t="s">
        <v>2129</v>
      </c>
      <c r="K500" s="118" t="s">
        <v>2712</v>
      </c>
      <c r="L500" s="118" t="s">
        <v>5702</v>
      </c>
      <c r="M500" s="115" t="s">
        <v>5702</v>
      </c>
      <c r="N500" s="115" t="s">
        <v>6398</v>
      </c>
      <c r="O500" s="115" t="s">
        <v>2128</v>
      </c>
      <c r="P500" s="113">
        <v>363</v>
      </c>
      <c r="Q500" s="113">
        <v>60</v>
      </c>
      <c r="R500" s="113">
        <v>85</v>
      </c>
      <c r="S500" s="113">
        <v>49</v>
      </c>
      <c r="T500" s="120">
        <v>60</v>
      </c>
      <c r="U500" s="113">
        <v>49</v>
      </c>
      <c r="V500" s="113">
        <v>60</v>
      </c>
      <c r="W500" s="129"/>
      <c r="X500" s="129"/>
      <c r="Y500" s="5"/>
      <c r="Z500" s="5"/>
      <c r="AA500" s="5"/>
      <c r="AB500" s="5"/>
      <c r="AC500" s="5"/>
      <c r="AD500" s="5"/>
      <c r="AE500" s="5"/>
    </row>
    <row r="501" spans="1:31" customFormat="1">
      <c r="A501" s="113">
        <v>405</v>
      </c>
      <c r="B501" s="113" t="s">
        <v>437</v>
      </c>
      <c r="C501" s="120" t="s">
        <v>5704</v>
      </c>
      <c r="D501" s="124">
        <v>0.5</v>
      </c>
      <c r="E501" s="124">
        <v>0.5</v>
      </c>
      <c r="F501" s="113" t="s">
        <v>2332</v>
      </c>
      <c r="G501" s="113" t="s">
        <v>2120</v>
      </c>
      <c r="H501" s="113" t="s">
        <v>46</v>
      </c>
      <c r="I501" s="113" t="s">
        <v>1109</v>
      </c>
      <c r="J501" s="118" t="s">
        <v>2129</v>
      </c>
      <c r="K501" s="118" t="s">
        <v>2712</v>
      </c>
      <c r="L501" s="118" t="s">
        <v>5702</v>
      </c>
      <c r="M501" s="115" t="s">
        <v>5703</v>
      </c>
      <c r="N501" s="115" t="s">
        <v>6399</v>
      </c>
      <c r="O501" s="115" t="s">
        <v>2128</v>
      </c>
      <c r="P501" s="113">
        <v>523</v>
      </c>
      <c r="Q501" s="113">
        <v>80</v>
      </c>
      <c r="R501" s="113">
        <v>120</v>
      </c>
      <c r="S501" s="113">
        <v>79</v>
      </c>
      <c r="T501" s="120">
        <v>95</v>
      </c>
      <c r="U501" s="113">
        <v>79</v>
      </c>
      <c r="V501" s="113">
        <v>70</v>
      </c>
      <c r="W501" s="129"/>
      <c r="X501" s="129"/>
      <c r="Y501" s="5"/>
      <c r="Z501" s="5"/>
      <c r="AA501" s="5"/>
      <c r="AB501" s="5"/>
      <c r="AC501" s="5"/>
      <c r="AD501" s="5"/>
      <c r="AE501" s="5"/>
    </row>
    <row r="502" spans="1:31" customFormat="1">
      <c r="A502" s="113">
        <v>406</v>
      </c>
      <c r="B502" s="113" t="s">
        <v>438</v>
      </c>
      <c r="C502" s="120" t="s">
        <v>5705</v>
      </c>
      <c r="D502" s="124">
        <v>0.5</v>
      </c>
      <c r="E502" s="124">
        <v>0.5</v>
      </c>
      <c r="F502" s="113" t="s">
        <v>2333</v>
      </c>
      <c r="G502" s="113" t="s">
        <v>2120</v>
      </c>
      <c r="H502" s="113" t="s">
        <v>14</v>
      </c>
      <c r="I502" s="113" t="s">
        <v>15</v>
      </c>
      <c r="J502" s="118" t="s">
        <v>2129</v>
      </c>
      <c r="K502" s="118" t="s">
        <v>4658</v>
      </c>
      <c r="L502" s="118" t="s">
        <v>5705</v>
      </c>
      <c r="M502" s="115" t="s">
        <v>1109</v>
      </c>
      <c r="N502" s="115" t="s">
        <v>2129</v>
      </c>
      <c r="O502" s="115" t="s">
        <v>1109</v>
      </c>
      <c r="P502" s="113">
        <v>280</v>
      </c>
      <c r="Q502" s="113">
        <v>40</v>
      </c>
      <c r="R502" s="113">
        <v>30</v>
      </c>
      <c r="S502" s="113">
        <v>35</v>
      </c>
      <c r="T502" s="120">
        <v>50</v>
      </c>
      <c r="U502" s="113">
        <v>70</v>
      </c>
      <c r="V502" s="113">
        <v>55</v>
      </c>
      <c r="W502" s="129"/>
      <c r="X502" s="129"/>
      <c r="Y502" s="5"/>
      <c r="Z502" s="5"/>
      <c r="AA502" s="5"/>
      <c r="AB502" s="5"/>
      <c r="AC502" s="5"/>
      <c r="AD502" s="5"/>
      <c r="AE502" s="5"/>
    </row>
    <row r="503" spans="1:31" customFormat="1">
      <c r="A503" s="113">
        <v>407</v>
      </c>
      <c r="B503" s="113" t="s">
        <v>439</v>
      </c>
      <c r="C503" s="120" t="s">
        <v>5706</v>
      </c>
      <c r="D503" s="124">
        <v>0.5</v>
      </c>
      <c r="E503" s="124">
        <v>0.5</v>
      </c>
      <c r="F503" s="113" t="s">
        <v>14</v>
      </c>
      <c r="G503" s="113" t="s">
        <v>2120</v>
      </c>
      <c r="H503" s="113" t="s">
        <v>14</v>
      </c>
      <c r="I503" s="113" t="s">
        <v>15</v>
      </c>
      <c r="J503" s="118" t="s">
        <v>2129</v>
      </c>
      <c r="K503" s="118" t="s">
        <v>4658</v>
      </c>
      <c r="L503" s="118" t="s">
        <v>5705</v>
      </c>
      <c r="M503" s="115" t="s">
        <v>5598</v>
      </c>
      <c r="N503" s="115" t="s">
        <v>6399</v>
      </c>
      <c r="O503" s="115" t="s">
        <v>1803</v>
      </c>
      <c r="P503" s="113">
        <v>515</v>
      </c>
      <c r="Q503" s="113">
        <v>60</v>
      </c>
      <c r="R503" s="113">
        <v>70</v>
      </c>
      <c r="S503" s="113">
        <v>65</v>
      </c>
      <c r="T503" s="120">
        <v>125</v>
      </c>
      <c r="U503" s="113">
        <v>105</v>
      </c>
      <c r="V503" s="113">
        <v>90</v>
      </c>
      <c r="W503" s="129"/>
      <c r="X503" s="129"/>
      <c r="Y503" s="5"/>
      <c r="Z503" s="5"/>
      <c r="AA503" s="5"/>
      <c r="AB503" s="5"/>
      <c r="AC503" s="5"/>
      <c r="AD503" s="5"/>
      <c r="AE503" s="5"/>
    </row>
    <row r="504" spans="1:31" customFormat="1">
      <c r="A504" s="113">
        <v>408</v>
      </c>
      <c r="B504" s="113" t="s">
        <v>440</v>
      </c>
      <c r="C504" s="120" t="s">
        <v>5707</v>
      </c>
      <c r="D504" s="124">
        <v>0.85</v>
      </c>
      <c r="E504" s="124">
        <v>0.15</v>
      </c>
      <c r="F504" s="113" t="s">
        <v>2330</v>
      </c>
      <c r="G504" s="113" t="s">
        <v>2120</v>
      </c>
      <c r="H504" s="113" t="s">
        <v>98</v>
      </c>
      <c r="I504" s="113" t="s">
        <v>1109</v>
      </c>
      <c r="J504" s="118" t="s">
        <v>2129</v>
      </c>
      <c r="K504" s="118" t="s">
        <v>4657</v>
      </c>
      <c r="L504" s="118" t="s">
        <v>5707</v>
      </c>
      <c r="M504" s="115" t="s">
        <v>1109</v>
      </c>
      <c r="N504" s="115" t="s">
        <v>2129</v>
      </c>
      <c r="O504" s="115" t="s">
        <v>1109</v>
      </c>
      <c r="P504" s="113">
        <v>350</v>
      </c>
      <c r="Q504" s="113">
        <v>67</v>
      </c>
      <c r="R504" s="113">
        <v>125</v>
      </c>
      <c r="S504" s="113">
        <v>40</v>
      </c>
      <c r="T504" s="120">
        <v>30</v>
      </c>
      <c r="U504" s="113">
        <v>30</v>
      </c>
      <c r="V504" s="113">
        <v>58</v>
      </c>
      <c r="W504" s="129"/>
      <c r="X504" s="129"/>
      <c r="Y504" s="5"/>
      <c r="Z504" s="5"/>
      <c r="AA504" s="5"/>
      <c r="AB504" s="5"/>
      <c r="AC504" s="5"/>
      <c r="AD504" s="5"/>
      <c r="AE504" s="5"/>
    </row>
    <row r="505" spans="1:31" customFormat="1">
      <c r="A505" s="113">
        <v>409</v>
      </c>
      <c r="B505" s="113" t="s">
        <v>441</v>
      </c>
      <c r="C505" s="120" t="s">
        <v>5708</v>
      </c>
      <c r="D505" s="124">
        <v>0.85</v>
      </c>
      <c r="E505" s="124">
        <v>0.15</v>
      </c>
      <c r="F505" s="113" t="s">
        <v>2330</v>
      </c>
      <c r="G505" s="113" t="s">
        <v>2120</v>
      </c>
      <c r="H505" s="113" t="s">
        <v>98</v>
      </c>
      <c r="I505" s="113" t="s">
        <v>1109</v>
      </c>
      <c r="J505" s="118" t="s">
        <v>2129</v>
      </c>
      <c r="K505" s="118" t="s">
        <v>4657</v>
      </c>
      <c r="L505" s="118" t="s">
        <v>5707</v>
      </c>
      <c r="M505" s="115" t="s">
        <v>5707</v>
      </c>
      <c r="N505" s="115" t="s">
        <v>6399</v>
      </c>
      <c r="O505" s="115" t="s">
        <v>2128</v>
      </c>
      <c r="P505" s="113">
        <v>495</v>
      </c>
      <c r="Q505" s="113">
        <v>97</v>
      </c>
      <c r="R505" s="113">
        <v>165</v>
      </c>
      <c r="S505" s="113">
        <v>60</v>
      </c>
      <c r="T505" s="120">
        <v>65</v>
      </c>
      <c r="U505" s="113">
        <v>50</v>
      </c>
      <c r="V505" s="113">
        <v>58</v>
      </c>
      <c r="W505" s="129"/>
      <c r="X505" s="129"/>
      <c r="Y505" s="5"/>
      <c r="Z505" s="5"/>
      <c r="AA505" s="5"/>
      <c r="AB505" s="5"/>
      <c r="AC505" s="5"/>
      <c r="AD505" s="5"/>
      <c r="AE505" s="5"/>
    </row>
    <row r="506" spans="1:31" customFormat="1">
      <c r="A506" s="113">
        <v>410</v>
      </c>
      <c r="B506" s="113" t="s">
        <v>442</v>
      </c>
      <c r="C506" s="120" t="s">
        <v>5709</v>
      </c>
      <c r="D506" s="124">
        <v>0.85</v>
      </c>
      <c r="E506" s="124">
        <v>0.15</v>
      </c>
      <c r="F506" s="113" t="s">
        <v>2330</v>
      </c>
      <c r="G506" s="113" t="s">
        <v>2120</v>
      </c>
      <c r="H506" s="113" t="s">
        <v>98</v>
      </c>
      <c r="I506" s="113" t="s">
        <v>106</v>
      </c>
      <c r="J506" s="118" t="s">
        <v>2129</v>
      </c>
      <c r="K506" s="118" t="s">
        <v>4657</v>
      </c>
      <c r="L506" s="118" t="s">
        <v>5709</v>
      </c>
      <c r="M506" s="115" t="s">
        <v>1109</v>
      </c>
      <c r="N506" s="115" t="s">
        <v>2129</v>
      </c>
      <c r="O506" s="115" t="s">
        <v>1109</v>
      </c>
      <c r="P506" s="113">
        <v>350</v>
      </c>
      <c r="Q506" s="113">
        <v>30</v>
      </c>
      <c r="R506" s="113">
        <v>42</v>
      </c>
      <c r="S506" s="113">
        <v>118</v>
      </c>
      <c r="T506" s="120">
        <v>42</v>
      </c>
      <c r="U506" s="113">
        <v>88</v>
      </c>
      <c r="V506" s="113">
        <v>30</v>
      </c>
      <c r="W506" s="129"/>
      <c r="X506" s="129"/>
      <c r="Y506" s="5"/>
      <c r="Z506" s="5"/>
      <c r="AA506" s="5"/>
      <c r="AB506" s="5"/>
      <c r="AC506" s="5"/>
      <c r="AD506" s="5"/>
      <c r="AE506" s="5"/>
    </row>
    <row r="507" spans="1:31" customFormat="1">
      <c r="A507" s="113">
        <v>411</v>
      </c>
      <c r="B507" s="113" t="s">
        <v>443</v>
      </c>
      <c r="C507" s="120" t="s">
        <v>5710</v>
      </c>
      <c r="D507" s="124">
        <v>0.85</v>
      </c>
      <c r="E507" s="124">
        <v>0.15</v>
      </c>
      <c r="F507" s="113" t="s">
        <v>2330</v>
      </c>
      <c r="G507" s="113" t="s">
        <v>2120</v>
      </c>
      <c r="H507" s="113" t="s">
        <v>98</v>
      </c>
      <c r="I507" s="113" t="s">
        <v>106</v>
      </c>
      <c r="J507" s="118" t="s">
        <v>2129</v>
      </c>
      <c r="K507" s="118" t="s">
        <v>4657</v>
      </c>
      <c r="L507" s="118" t="s">
        <v>5709</v>
      </c>
      <c r="M507" s="115" t="s">
        <v>5709</v>
      </c>
      <c r="N507" s="115" t="s">
        <v>6399</v>
      </c>
      <c r="O507" s="115" t="s">
        <v>2128</v>
      </c>
      <c r="P507" s="113">
        <v>495</v>
      </c>
      <c r="Q507" s="113">
        <v>60</v>
      </c>
      <c r="R507" s="113">
        <v>52</v>
      </c>
      <c r="S507" s="113">
        <v>168</v>
      </c>
      <c r="T507" s="120">
        <v>47</v>
      </c>
      <c r="U507" s="113">
        <v>138</v>
      </c>
      <c r="V507" s="113">
        <v>30</v>
      </c>
      <c r="W507" s="129"/>
      <c r="X507" s="129"/>
      <c r="Y507" s="5"/>
      <c r="Z507" s="5"/>
      <c r="AA507" s="5"/>
      <c r="AB507" s="5"/>
      <c r="AC507" s="5"/>
      <c r="AD507" s="5"/>
      <c r="AE507" s="5"/>
    </row>
    <row r="508" spans="1:31" customFormat="1">
      <c r="A508" s="113">
        <v>412</v>
      </c>
      <c r="B508" s="113" t="s">
        <v>444</v>
      </c>
      <c r="C508" s="138" t="s">
        <v>5711</v>
      </c>
      <c r="D508" s="124">
        <v>0.5</v>
      </c>
      <c r="E508" s="124">
        <v>0.5</v>
      </c>
      <c r="F508" s="113" t="s">
        <v>29</v>
      </c>
      <c r="G508" s="113" t="s">
        <v>2120</v>
      </c>
      <c r="H508" s="113" t="s">
        <v>29</v>
      </c>
      <c r="I508" s="113" t="s">
        <v>1109</v>
      </c>
      <c r="J508" s="118" t="s">
        <v>2129</v>
      </c>
      <c r="K508" s="118" t="s">
        <v>4658</v>
      </c>
      <c r="L508" s="118" t="s">
        <v>5711</v>
      </c>
      <c r="M508" s="115" t="s">
        <v>1109</v>
      </c>
      <c r="N508" s="115" t="s">
        <v>2129</v>
      </c>
      <c r="O508" s="115" t="s">
        <v>1109</v>
      </c>
      <c r="P508" s="113">
        <v>224</v>
      </c>
      <c r="Q508" s="113">
        <v>40</v>
      </c>
      <c r="R508" s="113">
        <v>29</v>
      </c>
      <c r="S508" s="113">
        <v>45</v>
      </c>
      <c r="T508" s="120">
        <v>29</v>
      </c>
      <c r="U508" s="113">
        <v>45</v>
      </c>
      <c r="V508" s="113">
        <v>36</v>
      </c>
      <c r="W508" s="129"/>
      <c r="X508" s="129"/>
      <c r="Y508" s="5"/>
      <c r="Z508" s="5"/>
      <c r="AA508" s="5"/>
      <c r="AB508" s="5"/>
      <c r="AC508" s="5"/>
      <c r="AD508" s="5"/>
      <c r="AE508" s="5"/>
    </row>
    <row r="509" spans="1:31" customFormat="1">
      <c r="A509" s="113">
        <v>413</v>
      </c>
      <c r="B509" s="113" t="s">
        <v>2955</v>
      </c>
      <c r="C509" s="120" t="s">
        <v>5713</v>
      </c>
      <c r="D509" s="124">
        <v>0</v>
      </c>
      <c r="E509" s="124">
        <v>1</v>
      </c>
      <c r="F509" s="113" t="s">
        <v>29</v>
      </c>
      <c r="G509" s="113" t="s">
        <v>2120</v>
      </c>
      <c r="H509" s="113" t="s">
        <v>29</v>
      </c>
      <c r="I509" s="113" t="s">
        <v>49</v>
      </c>
      <c r="J509" s="118" t="s">
        <v>2129</v>
      </c>
      <c r="K509" s="118" t="s">
        <v>4658</v>
      </c>
      <c r="L509" s="118" t="s">
        <v>5711</v>
      </c>
      <c r="M509" s="115" t="s">
        <v>5711</v>
      </c>
      <c r="N509" s="115" t="s">
        <v>6399</v>
      </c>
      <c r="O509" s="115" t="s">
        <v>2128</v>
      </c>
      <c r="P509" s="113">
        <v>424</v>
      </c>
      <c r="Q509" s="113">
        <v>60</v>
      </c>
      <c r="R509" s="113">
        <v>79</v>
      </c>
      <c r="S509" s="113">
        <v>105</v>
      </c>
      <c r="T509" s="120">
        <v>59</v>
      </c>
      <c r="U509" s="113">
        <v>85</v>
      </c>
      <c r="V509" s="113">
        <v>36</v>
      </c>
      <c r="W509" s="129"/>
      <c r="X509" s="129"/>
      <c r="Y509" s="5"/>
      <c r="Z509" s="5"/>
      <c r="AA509" s="5"/>
      <c r="AB509" s="5"/>
      <c r="AC509" s="5"/>
      <c r="AD509" s="5"/>
      <c r="AE509" s="5"/>
    </row>
    <row r="510" spans="1:31" customFormat="1">
      <c r="A510" s="113">
        <v>413</v>
      </c>
      <c r="B510" s="113" t="s">
        <v>2953</v>
      </c>
      <c r="C510" s="120" t="s">
        <v>5712</v>
      </c>
      <c r="D510" s="124">
        <v>0</v>
      </c>
      <c r="E510" s="124">
        <v>1</v>
      </c>
      <c r="F510" s="113" t="s">
        <v>29</v>
      </c>
      <c r="G510" s="113" t="s">
        <v>2120</v>
      </c>
      <c r="H510" s="113" t="s">
        <v>29</v>
      </c>
      <c r="I510" s="113" t="s">
        <v>14</v>
      </c>
      <c r="J510" s="118" t="s">
        <v>2129</v>
      </c>
      <c r="K510" s="118" t="s">
        <v>4658</v>
      </c>
      <c r="L510" s="118" t="s">
        <v>5711</v>
      </c>
      <c r="M510" s="115" t="s">
        <v>5711</v>
      </c>
      <c r="N510" s="115" t="s">
        <v>6399</v>
      </c>
      <c r="O510" s="115" t="s">
        <v>2128</v>
      </c>
      <c r="P510" s="113">
        <v>424</v>
      </c>
      <c r="Q510" s="113">
        <v>60</v>
      </c>
      <c r="R510" s="113">
        <v>59</v>
      </c>
      <c r="S510" s="113">
        <v>85</v>
      </c>
      <c r="T510" s="120">
        <v>79</v>
      </c>
      <c r="U510" s="113">
        <v>105</v>
      </c>
      <c r="V510" s="113">
        <v>36</v>
      </c>
      <c r="W510" s="129"/>
      <c r="X510" s="129"/>
      <c r="Y510" s="5"/>
      <c r="Z510" s="5"/>
      <c r="AA510" s="5"/>
      <c r="AB510" s="5"/>
      <c r="AC510" s="5"/>
      <c r="AD510" s="5"/>
      <c r="AE510" s="5"/>
    </row>
    <row r="511" spans="1:31" customFormat="1">
      <c r="A511" s="113">
        <v>413</v>
      </c>
      <c r="B511" s="113" t="s">
        <v>2957</v>
      </c>
      <c r="C511" s="120" t="s">
        <v>5714</v>
      </c>
      <c r="D511" s="124">
        <v>0</v>
      </c>
      <c r="E511" s="124">
        <v>1</v>
      </c>
      <c r="F511" s="113" t="s">
        <v>29</v>
      </c>
      <c r="G511" s="113" t="s">
        <v>2120</v>
      </c>
      <c r="H511" s="113" t="s">
        <v>29</v>
      </c>
      <c r="I511" s="113" t="s">
        <v>106</v>
      </c>
      <c r="J511" s="118" t="s">
        <v>2129</v>
      </c>
      <c r="K511" s="118" t="s">
        <v>4658</v>
      </c>
      <c r="L511" s="118" t="s">
        <v>5711</v>
      </c>
      <c r="M511" s="115" t="s">
        <v>5711</v>
      </c>
      <c r="N511" s="115" t="s">
        <v>6399</v>
      </c>
      <c r="O511" s="115" t="s">
        <v>2128</v>
      </c>
      <c r="P511" s="113">
        <v>424</v>
      </c>
      <c r="Q511" s="113">
        <v>60</v>
      </c>
      <c r="R511" s="113">
        <v>69</v>
      </c>
      <c r="S511" s="113">
        <v>95</v>
      </c>
      <c r="T511" s="120">
        <v>69</v>
      </c>
      <c r="U511" s="113">
        <v>95</v>
      </c>
      <c r="V511" s="113">
        <v>36</v>
      </c>
      <c r="W511" s="129"/>
      <c r="X511" s="129"/>
      <c r="Y511" s="5"/>
      <c r="Z511" s="5"/>
      <c r="AA511" s="5"/>
      <c r="AB511" s="5"/>
      <c r="AC511" s="5"/>
      <c r="AD511" s="5"/>
      <c r="AE511" s="5"/>
    </row>
    <row r="512" spans="1:31" customFormat="1">
      <c r="A512" s="113">
        <v>414</v>
      </c>
      <c r="B512" s="113" t="s">
        <v>448</v>
      </c>
      <c r="C512" s="120" t="s">
        <v>5715</v>
      </c>
      <c r="D512" s="124">
        <v>1</v>
      </c>
      <c r="E512" s="124">
        <v>0</v>
      </c>
      <c r="F512" s="113" t="s">
        <v>29</v>
      </c>
      <c r="G512" s="113" t="s">
        <v>2120</v>
      </c>
      <c r="H512" s="113" t="s">
        <v>29</v>
      </c>
      <c r="I512" s="113" t="s">
        <v>22</v>
      </c>
      <c r="J512" s="118" t="s">
        <v>2129</v>
      </c>
      <c r="K512" s="118" t="s">
        <v>4658</v>
      </c>
      <c r="L512" s="118" t="s">
        <v>5711</v>
      </c>
      <c r="M512" s="115" t="s">
        <v>5711</v>
      </c>
      <c r="N512" s="115" t="s">
        <v>6399</v>
      </c>
      <c r="O512" s="115" t="s">
        <v>2128</v>
      </c>
      <c r="P512" s="113">
        <v>424</v>
      </c>
      <c r="Q512" s="113">
        <v>70</v>
      </c>
      <c r="R512" s="113">
        <v>94</v>
      </c>
      <c r="S512" s="113">
        <v>50</v>
      </c>
      <c r="T512" s="120">
        <v>94</v>
      </c>
      <c r="U512" s="113">
        <v>50</v>
      </c>
      <c r="V512" s="113">
        <v>66</v>
      </c>
      <c r="W512" s="129"/>
      <c r="X512" s="129"/>
      <c r="Y512" s="5"/>
      <c r="Z512" s="5"/>
      <c r="AA512" s="5"/>
      <c r="AB512" s="5"/>
      <c r="AC512" s="5"/>
      <c r="AD512" s="5"/>
      <c r="AE512" s="5"/>
    </row>
    <row r="513" spans="1:31" customFormat="1">
      <c r="A513" s="113">
        <v>415</v>
      </c>
      <c r="B513" s="113" t="s">
        <v>449</v>
      </c>
      <c r="C513" s="120" t="s">
        <v>5716</v>
      </c>
      <c r="D513" s="124">
        <v>0.85</v>
      </c>
      <c r="E513" s="124">
        <v>0.15</v>
      </c>
      <c r="F513" s="113" t="s">
        <v>29</v>
      </c>
      <c r="G513" s="113" t="s">
        <v>2120</v>
      </c>
      <c r="H513" s="113" t="s">
        <v>29</v>
      </c>
      <c r="I513" s="113" t="s">
        <v>22</v>
      </c>
      <c r="J513" s="118" t="s">
        <v>2129</v>
      </c>
      <c r="K513" s="118" t="s">
        <v>4657</v>
      </c>
      <c r="L513" s="118" t="s">
        <v>5716</v>
      </c>
      <c r="M513" s="115" t="s">
        <v>1109</v>
      </c>
      <c r="N513" s="115" t="s">
        <v>2129</v>
      </c>
      <c r="O513" s="115" t="s">
        <v>1109</v>
      </c>
      <c r="P513" s="113">
        <v>244</v>
      </c>
      <c r="Q513" s="113">
        <v>30</v>
      </c>
      <c r="R513" s="113">
        <v>30</v>
      </c>
      <c r="S513" s="113">
        <v>42</v>
      </c>
      <c r="T513" s="120">
        <v>30</v>
      </c>
      <c r="U513" s="113">
        <v>42</v>
      </c>
      <c r="V513" s="113">
        <v>70</v>
      </c>
      <c r="W513" s="129"/>
      <c r="X513" s="129"/>
      <c r="Y513" s="5"/>
      <c r="Z513" s="5"/>
      <c r="AA513" s="5"/>
      <c r="AB513" s="5"/>
      <c r="AC513" s="5"/>
      <c r="AD513" s="5"/>
      <c r="AE513" s="5"/>
    </row>
    <row r="514" spans="1:31" customFormat="1">
      <c r="A514" s="113">
        <v>416</v>
      </c>
      <c r="B514" s="113" t="s">
        <v>450</v>
      </c>
      <c r="C514" s="120" t="s">
        <v>5717</v>
      </c>
      <c r="D514" s="124">
        <v>0</v>
      </c>
      <c r="E514" s="124">
        <v>1</v>
      </c>
      <c r="F514" s="113" t="s">
        <v>29</v>
      </c>
      <c r="G514" s="113" t="s">
        <v>2120</v>
      </c>
      <c r="H514" s="113" t="s">
        <v>29</v>
      </c>
      <c r="I514" s="113" t="s">
        <v>22</v>
      </c>
      <c r="J514" s="118" t="s">
        <v>2129</v>
      </c>
      <c r="K514" s="118" t="s">
        <v>4657</v>
      </c>
      <c r="L514" s="118" t="s">
        <v>5716</v>
      </c>
      <c r="M514" s="115" t="s">
        <v>5716</v>
      </c>
      <c r="N514" s="115" t="s">
        <v>6399</v>
      </c>
      <c r="O514" s="115" t="s">
        <v>2128</v>
      </c>
      <c r="P514" s="113">
        <v>474</v>
      </c>
      <c r="Q514" s="113">
        <v>70</v>
      </c>
      <c r="R514" s="113">
        <v>80</v>
      </c>
      <c r="S514" s="113">
        <v>102</v>
      </c>
      <c r="T514" s="120">
        <v>80</v>
      </c>
      <c r="U514" s="113">
        <v>102</v>
      </c>
      <c r="V514" s="113">
        <v>40</v>
      </c>
      <c r="W514" s="129"/>
      <c r="X514" s="129"/>
      <c r="Y514" s="5"/>
      <c r="Z514" s="5"/>
      <c r="AA514" s="5"/>
      <c r="AB514" s="5"/>
      <c r="AC514" s="5"/>
      <c r="AD514" s="5"/>
      <c r="AE514" s="5"/>
    </row>
    <row r="515" spans="1:31" customFormat="1">
      <c r="A515" s="113">
        <v>417</v>
      </c>
      <c r="B515" s="113" t="s">
        <v>451</v>
      </c>
      <c r="C515" s="120" t="s">
        <v>5718</v>
      </c>
      <c r="D515" s="124">
        <v>0.5</v>
      </c>
      <c r="E515" s="124">
        <v>0.5</v>
      </c>
      <c r="F515" s="113" t="s">
        <v>56</v>
      </c>
      <c r="G515" s="113" t="s">
        <v>2120</v>
      </c>
      <c r="H515" s="113" t="s">
        <v>46</v>
      </c>
      <c r="I515" s="113" t="s">
        <v>1109</v>
      </c>
      <c r="J515" s="118" t="s">
        <v>2129</v>
      </c>
      <c r="K515" s="118" t="s">
        <v>4658</v>
      </c>
      <c r="L515" s="118" t="s">
        <v>5718</v>
      </c>
      <c r="M515" s="115" t="s">
        <v>1109</v>
      </c>
      <c r="N515" s="115" t="s">
        <v>6399</v>
      </c>
      <c r="O515" s="115" t="s">
        <v>1109</v>
      </c>
      <c r="P515" s="113">
        <v>405</v>
      </c>
      <c r="Q515" s="113">
        <v>60</v>
      </c>
      <c r="R515" s="113">
        <v>45</v>
      </c>
      <c r="S515" s="113">
        <v>70</v>
      </c>
      <c r="T515" s="120">
        <v>45</v>
      </c>
      <c r="U515" s="113">
        <v>90</v>
      </c>
      <c r="V515" s="113">
        <v>95</v>
      </c>
      <c r="W515" s="129"/>
      <c r="X515" s="129"/>
      <c r="Y515" s="5"/>
      <c r="Z515" s="5"/>
      <c r="AA515" s="5"/>
      <c r="AB515" s="5"/>
      <c r="AC515" s="5"/>
      <c r="AD515" s="5"/>
      <c r="AE515" s="5"/>
    </row>
    <row r="516" spans="1:31" customFormat="1">
      <c r="A516" s="113">
        <v>418</v>
      </c>
      <c r="B516" s="113" t="s">
        <v>452</v>
      </c>
      <c r="C516" s="120" t="s">
        <v>5719</v>
      </c>
      <c r="D516" s="124">
        <v>0.5</v>
      </c>
      <c r="E516" s="124">
        <v>0.5</v>
      </c>
      <c r="F516" s="113" t="s">
        <v>2332</v>
      </c>
      <c r="G516" s="113" t="s">
        <v>2120</v>
      </c>
      <c r="H516" s="113" t="s">
        <v>25</v>
      </c>
      <c r="I516" s="113" t="s">
        <v>1109</v>
      </c>
      <c r="J516" s="118" t="s">
        <v>2129</v>
      </c>
      <c r="K516" s="118" t="s">
        <v>2712</v>
      </c>
      <c r="L516" s="118" t="s">
        <v>5719</v>
      </c>
      <c r="M516" s="115" t="s">
        <v>1109</v>
      </c>
      <c r="N516" s="115" t="s">
        <v>2129</v>
      </c>
      <c r="O516" s="115" t="s">
        <v>1109</v>
      </c>
      <c r="P516" s="113">
        <v>330</v>
      </c>
      <c r="Q516" s="113">
        <v>55</v>
      </c>
      <c r="R516" s="113">
        <v>65</v>
      </c>
      <c r="S516" s="113">
        <v>35</v>
      </c>
      <c r="T516" s="120">
        <v>60</v>
      </c>
      <c r="U516" s="113">
        <v>30</v>
      </c>
      <c r="V516" s="113">
        <v>85</v>
      </c>
      <c r="W516" s="129"/>
      <c r="X516" s="129"/>
      <c r="Y516" s="5"/>
      <c r="Z516" s="5"/>
      <c r="AA516" s="5"/>
      <c r="AB516" s="5"/>
      <c r="AC516" s="5"/>
      <c r="AD516" s="5"/>
      <c r="AE516" s="5"/>
    </row>
    <row r="517" spans="1:31" customFormat="1">
      <c r="A517" s="113">
        <v>419</v>
      </c>
      <c r="B517" s="113" t="s">
        <v>453</v>
      </c>
      <c r="C517" s="120" t="s">
        <v>5720</v>
      </c>
      <c r="D517" s="124">
        <v>0.5</v>
      </c>
      <c r="E517" s="124">
        <v>0.5</v>
      </c>
      <c r="F517" s="113" t="s">
        <v>2332</v>
      </c>
      <c r="G517" s="113" t="s">
        <v>2120</v>
      </c>
      <c r="H517" s="113" t="s">
        <v>25</v>
      </c>
      <c r="I517" s="113" t="s">
        <v>1109</v>
      </c>
      <c r="J517" s="118" t="s">
        <v>2129</v>
      </c>
      <c r="K517" s="118" t="s">
        <v>2712</v>
      </c>
      <c r="L517" s="118" t="s">
        <v>5719</v>
      </c>
      <c r="M517" s="115" t="s">
        <v>5719</v>
      </c>
      <c r="N517" s="115" t="s">
        <v>6399</v>
      </c>
      <c r="O517" s="115" t="s">
        <v>2128</v>
      </c>
      <c r="P517" s="113">
        <v>495</v>
      </c>
      <c r="Q517" s="113">
        <v>85</v>
      </c>
      <c r="R517" s="113">
        <v>105</v>
      </c>
      <c r="S517" s="113">
        <v>55</v>
      </c>
      <c r="T517" s="120">
        <v>85</v>
      </c>
      <c r="U517" s="113">
        <v>50</v>
      </c>
      <c r="V517" s="113">
        <v>115</v>
      </c>
      <c r="W517" s="129"/>
      <c r="X517" s="129"/>
      <c r="Y517" s="5"/>
      <c r="Z517" s="5"/>
      <c r="AA517" s="5"/>
      <c r="AB517" s="5"/>
      <c r="AC517" s="5"/>
      <c r="AD517" s="5"/>
      <c r="AE517" s="5"/>
    </row>
    <row r="518" spans="1:31" customFormat="1">
      <c r="A518" s="113">
        <v>420</v>
      </c>
      <c r="B518" s="113" t="s">
        <v>454</v>
      </c>
      <c r="C518" s="120" t="s">
        <v>5721</v>
      </c>
      <c r="D518" s="124">
        <v>0.5</v>
      </c>
      <c r="E518" s="124">
        <v>0.5</v>
      </c>
      <c r="F518" s="113" t="s">
        <v>14</v>
      </c>
      <c r="G518" s="113" t="s">
        <v>2120</v>
      </c>
      <c r="H518" s="113" t="s">
        <v>14</v>
      </c>
      <c r="I518" s="113" t="s">
        <v>1109</v>
      </c>
      <c r="J518" s="118" t="s">
        <v>2129</v>
      </c>
      <c r="K518" s="118" t="s">
        <v>4658</v>
      </c>
      <c r="L518" s="118" t="s">
        <v>5721</v>
      </c>
      <c r="M518" s="115" t="s">
        <v>1109</v>
      </c>
      <c r="N518" s="115" t="s">
        <v>2129</v>
      </c>
      <c r="O518" s="115" t="s">
        <v>1109</v>
      </c>
      <c r="P518" s="113">
        <v>275</v>
      </c>
      <c r="Q518" s="113">
        <v>45</v>
      </c>
      <c r="R518" s="113">
        <v>35</v>
      </c>
      <c r="S518" s="113">
        <v>45</v>
      </c>
      <c r="T518" s="120">
        <v>62</v>
      </c>
      <c r="U518" s="113">
        <v>53</v>
      </c>
      <c r="V518" s="113">
        <v>35</v>
      </c>
      <c r="W518" s="129"/>
      <c r="X518" s="129"/>
      <c r="Y518" s="5"/>
      <c r="Z518" s="5"/>
      <c r="AA518" s="5"/>
      <c r="AB518" s="5"/>
      <c r="AC518" s="5"/>
      <c r="AD518" s="5"/>
      <c r="AE518" s="5"/>
    </row>
    <row r="519" spans="1:31" customFormat="1">
      <c r="A519" s="113">
        <v>421</v>
      </c>
      <c r="B519" s="113" t="s">
        <v>455</v>
      </c>
      <c r="C519" s="120" t="s">
        <v>5722</v>
      </c>
      <c r="D519" s="124">
        <v>0.5</v>
      </c>
      <c r="E519" s="124">
        <v>0.5</v>
      </c>
      <c r="F519" s="113" t="s">
        <v>14</v>
      </c>
      <c r="G519" s="113" t="s">
        <v>2120</v>
      </c>
      <c r="H519" s="113" t="s">
        <v>14</v>
      </c>
      <c r="I519" s="113" t="s">
        <v>1109</v>
      </c>
      <c r="J519" s="118" t="s">
        <v>2129</v>
      </c>
      <c r="K519" s="118" t="s">
        <v>4658</v>
      </c>
      <c r="L519" s="118" t="s">
        <v>5721</v>
      </c>
      <c r="M519" s="115" t="s">
        <v>5721</v>
      </c>
      <c r="N519" s="115" t="s">
        <v>6399</v>
      </c>
      <c r="O519" s="115" t="s">
        <v>2128</v>
      </c>
      <c r="P519" s="113">
        <v>450</v>
      </c>
      <c r="Q519" s="113">
        <v>70</v>
      </c>
      <c r="R519" s="113">
        <v>60</v>
      </c>
      <c r="S519" s="113">
        <v>70</v>
      </c>
      <c r="T519" s="120">
        <v>87</v>
      </c>
      <c r="U519" s="113">
        <v>78</v>
      </c>
      <c r="V519" s="113">
        <v>85</v>
      </c>
      <c r="W519" s="129"/>
      <c r="X519" s="129"/>
      <c r="Y519" s="5"/>
      <c r="Z519" s="5"/>
      <c r="AA519" s="5"/>
      <c r="AB519" s="5"/>
      <c r="AC519" s="5"/>
      <c r="AD519" s="5"/>
      <c r="AE519" s="5"/>
    </row>
    <row r="520" spans="1:31" customFormat="1">
      <c r="A520" s="113">
        <v>422</v>
      </c>
      <c r="B520" s="113" t="s">
        <v>456</v>
      </c>
      <c r="C520" s="120" t="s">
        <v>5723</v>
      </c>
      <c r="D520" s="124">
        <v>0.5</v>
      </c>
      <c r="E520" s="124">
        <v>0.5</v>
      </c>
      <c r="F520" s="113" t="s">
        <v>2336</v>
      </c>
      <c r="G520" s="113" t="s">
        <v>2120</v>
      </c>
      <c r="H520" s="113" t="s">
        <v>25</v>
      </c>
      <c r="I520" s="113" t="s">
        <v>1109</v>
      </c>
      <c r="J520" s="118" t="s">
        <v>2129</v>
      </c>
      <c r="K520" s="118" t="s">
        <v>4658</v>
      </c>
      <c r="L520" s="118" t="s">
        <v>5723</v>
      </c>
      <c r="M520" s="115" t="s">
        <v>1109</v>
      </c>
      <c r="N520" s="115" t="s">
        <v>2129</v>
      </c>
      <c r="O520" s="115" t="s">
        <v>1109</v>
      </c>
      <c r="P520" s="113">
        <v>325</v>
      </c>
      <c r="Q520" s="113">
        <v>76</v>
      </c>
      <c r="R520" s="113">
        <v>48</v>
      </c>
      <c r="S520" s="113">
        <v>48</v>
      </c>
      <c r="T520" s="120">
        <v>57</v>
      </c>
      <c r="U520" s="113">
        <v>62</v>
      </c>
      <c r="V520" s="113">
        <v>34</v>
      </c>
      <c r="W520" s="129"/>
      <c r="X520" s="129"/>
      <c r="Y520" s="5"/>
      <c r="Z520" s="5"/>
      <c r="AA520" s="5"/>
      <c r="AB520" s="5"/>
      <c r="AC520" s="5"/>
      <c r="AD520" s="5"/>
      <c r="AE520" s="5"/>
    </row>
    <row r="521" spans="1:31" customFormat="1">
      <c r="A521" s="113">
        <v>423</v>
      </c>
      <c r="B521" s="113" t="s">
        <v>457</v>
      </c>
      <c r="C521" s="120" t="s">
        <v>5724</v>
      </c>
      <c r="D521" s="124">
        <v>0.5</v>
      </c>
      <c r="E521" s="124">
        <v>0.5</v>
      </c>
      <c r="F521" s="113" t="s">
        <v>2336</v>
      </c>
      <c r="G521" s="113" t="s">
        <v>2120</v>
      </c>
      <c r="H521" s="113" t="s">
        <v>25</v>
      </c>
      <c r="I521" s="113" t="s">
        <v>49</v>
      </c>
      <c r="J521" s="118" t="s">
        <v>2129</v>
      </c>
      <c r="K521" s="118" t="s">
        <v>4658</v>
      </c>
      <c r="L521" s="118" t="s">
        <v>5723</v>
      </c>
      <c r="M521" s="115" t="s">
        <v>5723</v>
      </c>
      <c r="N521" s="115" t="s">
        <v>6399</v>
      </c>
      <c r="O521" s="115" t="s">
        <v>2128</v>
      </c>
      <c r="P521" s="113">
        <v>475</v>
      </c>
      <c r="Q521" s="113">
        <v>111</v>
      </c>
      <c r="R521" s="113">
        <v>83</v>
      </c>
      <c r="S521" s="113">
        <v>68</v>
      </c>
      <c r="T521" s="120">
        <v>92</v>
      </c>
      <c r="U521" s="113">
        <v>82</v>
      </c>
      <c r="V521" s="113">
        <v>39</v>
      </c>
      <c r="W521" s="129"/>
      <c r="X521" s="129"/>
      <c r="Y521" s="5"/>
      <c r="Z521" s="5"/>
      <c r="AA521" s="5"/>
      <c r="AB521" s="5"/>
      <c r="AC521" s="5"/>
      <c r="AD521" s="5"/>
      <c r="AE521" s="5"/>
    </row>
    <row r="522" spans="1:31" customFormat="1">
      <c r="A522" s="113">
        <v>424</v>
      </c>
      <c r="B522" s="113" t="s">
        <v>458</v>
      </c>
      <c r="C522" s="120" t="s">
        <v>5725</v>
      </c>
      <c r="D522" s="124">
        <v>0.5</v>
      </c>
      <c r="E522" s="124">
        <v>0.5</v>
      </c>
      <c r="F522" s="113" t="s">
        <v>2332</v>
      </c>
      <c r="G522" s="113" t="s">
        <v>2120</v>
      </c>
      <c r="H522" s="113" t="s">
        <v>36</v>
      </c>
      <c r="I522" s="113" t="s">
        <v>1109</v>
      </c>
      <c r="J522" s="118" t="s">
        <v>2129</v>
      </c>
      <c r="K522" s="118" t="s">
        <v>4658</v>
      </c>
      <c r="L522" s="118" t="s">
        <v>5452</v>
      </c>
      <c r="M522" s="115" t="s">
        <v>5452</v>
      </c>
      <c r="N522" s="115" t="s">
        <v>6399</v>
      </c>
      <c r="O522" s="115" t="s">
        <v>2128</v>
      </c>
      <c r="P522" s="113">
        <v>482</v>
      </c>
      <c r="Q522" s="113">
        <v>75</v>
      </c>
      <c r="R522" s="113">
        <v>100</v>
      </c>
      <c r="S522" s="113">
        <v>66</v>
      </c>
      <c r="T522" s="120">
        <v>60</v>
      </c>
      <c r="U522" s="113">
        <v>66</v>
      </c>
      <c r="V522" s="113">
        <v>115</v>
      </c>
      <c r="W522" s="129"/>
      <c r="X522" s="129"/>
      <c r="Y522" s="5"/>
      <c r="Z522" s="5"/>
      <c r="AA522" s="5"/>
      <c r="AB522" s="5"/>
      <c r="AC522" s="5"/>
      <c r="AD522" s="5"/>
      <c r="AE522" s="5"/>
    </row>
    <row r="523" spans="1:31" customFormat="1">
      <c r="A523" s="113">
        <v>425</v>
      </c>
      <c r="B523" s="113" t="s">
        <v>459</v>
      </c>
      <c r="C523" s="120" t="s">
        <v>5726</v>
      </c>
      <c r="D523" s="124">
        <v>0.5</v>
      </c>
      <c r="E523" s="124">
        <v>0.5</v>
      </c>
      <c r="F523" s="113" t="s">
        <v>2336</v>
      </c>
      <c r="G523" s="113" t="s">
        <v>2120</v>
      </c>
      <c r="H523" s="113" t="s">
        <v>119</v>
      </c>
      <c r="I523" s="113" t="s">
        <v>22</v>
      </c>
      <c r="J523" s="118" t="s">
        <v>2129</v>
      </c>
      <c r="K523" s="118" t="s">
        <v>4658</v>
      </c>
      <c r="L523" s="118" t="s">
        <v>5726</v>
      </c>
      <c r="M523" s="115" t="s">
        <v>1109</v>
      </c>
      <c r="N523" s="115" t="s">
        <v>2129</v>
      </c>
      <c r="O523" s="115" t="s">
        <v>1109</v>
      </c>
      <c r="P523" s="113">
        <v>348</v>
      </c>
      <c r="Q523" s="113">
        <v>90</v>
      </c>
      <c r="R523" s="113">
        <v>50</v>
      </c>
      <c r="S523" s="113">
        <v>34</v>
      </c>
      <c r="T523" s="120">
        <v>60</v>
      </c>
      <c r="U523" s="113">
        <v>44</v>
      </c>
      <c r="V523" s="113">
        <v>70</v>
      </c>
      <c r="W523" s="129"/>
      <c r="X523" s="129"/>
      <c r="Y523" s="5"/>
      <c r="Z523" s="5"/>
      <c r="AA523" s="5"/>
      <c r="AB523" s="5"/>
      <c r="AC523" s="5"/>
      <c r="AD523" s="5"/>
      <c r="AE523" s="5"/>
    </row>
    <row r="524" spans="1:31" customFormat="1">
      <c r="A524" s="113">
        <v>426</v>
      </c>
      <c r="B524" s="113" t="s">
        <v>460</v>
      </c>
      <c r="C524" s="120" t="s">
        <v>5727</v>
      </c>
      <c r="D524" s="124">
        <v>0.5</v>
      </c>
      <c r="E524" s="124">
        <v>0.5</v>
      </c>
      <c r="F524" s="113" t="s">
        <v>2336</v>
      </c>
      <c r="G524" s="113" t="s">
        <v>2120</v>
      </c>
      <c r="H524" s="113" t="s">
        <v>119</v>
      </c>
      <c r="I524" s="113" t="s">
        <v>22</v>
      </c>
      <c r="J524" s="118" t="s">
        <v>2129</v>
      </c>
      <c r="K524" s="118" t="s">
        <v>4658</v>
      </c>
      <c r="L524" s="118" t="s">
        <v>5726</v>
      </c>
      <c r="M524" s="115" t="s">
        <v>5726</v>
      </c>
      <c r="N524" s="115" t="s">
        <v>6399</v>
      </c>
      <c r="O524" s="115" t="s">
        <v>2128</v>
      </c>
      <c r="P524" s="113">
        <v>498</v>
      </c>
      <c r="Q524" s="113">
        <v>150</v>
      </c>
      <c r="R524" s="113">
        <v>80</v>
      </c>
      <c r="S524" s="113">
        <v>44</v>
      </c>
      <c r="T524" s="120">
        <v>90</v>
      </c>
      <c r="U524" s="113">
        <v>54</v>
      </c>
      <c r="V524" s="113">
        <v>80</v>
      </c>
      <c r="W524" s="129"/>
      <c r="X524" s="129"/>
      <c r="Y524" s="5"/>
      <c r="Z524" s="5"/>
      <c r="AA524" s="5"/>
      <c r="AB524" s="5"/>
      <c r="AC524" s="5"/>
      <c r="AD524" s="5"/>
      <c r="AE524" s="5"/>
    </row>
    <row r="525" spans="1:31" customFormat="1">
      <c r="A525" s="113">
        <v>427</v>
      </c>
      <c r="B525" s="113" t="s">
        <v>461</v>
      </c>
      <c r="C525" s="120" t="s">
        <v>5728</v>
      </c>
      <c r="D525" s="124">
        <v>0.5</v>
      </c>
      <c r="E525" s="124">
        <v>0.5</v>
      </c>
      <c r="F525" s="113" t="s">
        <v>2334</v>
      </c>
      <c r="G525" s="113" t="s">
        <v>2120</v>
      </c>
      <c r="H525" s="113" t="s">
        <v>36</v>
      </c>
      <c r="I525" s="113" t="s">
        <v>1109</v>
      </c>
      <c r="J525" s="118" t="s">
        <v>2129</v>
      </c>
      <c r="K525" s="118" t="s">
        <v>4658</v>
      </c>
      <c r="L525" s="118" t="s">
        <v>5728</v>
      </c>
      <c r="M525" s="115" t="s">
        <v>1109</v>
      </c>
      <c r="N525" s="115" t="s">
        <v>2129</v>
      </c>
      <c r="O525" s="115" t="s">
        <v>1109</v>
      </c>
      <c r="P525" s="113">
        <v>350</v>
      </c>
      <c r="Q525" s="113">
        <v>55</v>
      </c>
      <c r="R525" s="113">
        <v>66</v>
      </c>
      <c r="S525" s="113">
        <v>44</v>
      </c>
      <c r="T525" s="120">
        <v>44</v>
      </c>
      <c r="U525" s="113">
        <v>56</v>
      </c>
      <c r="V525" s="113">
        <v>85</v>
      </c>
      <c r="W525" s="129"/>
      <c r="X525" s="129"/>
      <c r="Y525" s="5"/>
      <c r="Z525" s="5"/>
      <c r="AA525" s="5"/>
      <c r="AB525" s="5"/>
      <c r="AC525" s="5"/>
      <c r="AD525" s="5"/>
      <c r="AE525" s="5"/>
    </row>
    <row r="526" spans="1:31" customFormat="1">
      <c r="A526" s="113">
        <v>428</v>
      </c>
      <c r="B526" s="113" t="s">
        <v>462</v>
      </c>
      <c r="C526" s="120" t="s">
        <v>5729</v>
      </c>
      <c r="D526" s="124">
        <v>0.5</v>
      </c>
      <c r="E526" s="124">
        <v>0.5</v>
      </c>
      <c r="F526" s="113" t="s">
        <v>2334</v>
      </c>
      <c r="G526" s="113" t="s">
        <v>2120</v>
      </c>
      <c r="H526" s="113" t="s">
        <v>36</v>
      </c>
      <c r="I526" s="113" t="s">
        <v>1109</v>
      </c>
      <c r="J526" s="118" t="s">
        <v>2129</v>
      </c>
      <c r="K526" s="118" t="s">
        <v>4658</v>
      </c>
      <c r="L526" s="118" t="s">
        <v>5728</v>
      </c>
      <c r="M526" s="115" t="s">
        <v>5728</v>
      </c>
      <c r="N526" s="115" t="s">
        <v>6399</v>
      </c>
      <c r="O526" s="115" t="s">
        <v>2128</v>
      </c>
      <c r="P526" s="113">
        <v>480</v>
      </c>
      <c r="Q526" s="113">
        <v>65</v>
      </c>
      <c r="R526" s="113">
        <v>76</v>
      </c>
      <c r="S526" s="113">
        <v>84</v>
      </c>
      <c r="T526" s="120">
        <v>54</v>
      </c>
      <c r="U526" s="113">
        <v>96</v>
      </c>
      <c r="V526" s="113">
        <v>105</v>
      </c>
      <c r="W526" s="129"/>
      <c r="X526" s="129"/>
      <c r="Y526" s="5"/>
      <c r="Z526" s="5"/>
      <c r="AA526" s="5"/>
      <c r="AB526" s="5"/>
      <c r="AC526" s="5"/>
      <c r="AD526" s="5"/>
      <c r="AE526" s="5"/>
    </row>
    <row r="527" spans="1:31" customFormat="1" hidden="1">
      <c r="A527" s="113">
        <v>428</v>
      </c>
      <c r="B527" s="113" t="s">
        <v>2959</v>
      </c>
      <c r="C527" s="120" t="s">
        <v>5730</v>
      </c>
      <c r="D527" s="124">
        <v>0.5</v>
      </c>
      <c r="E527" s="124">
        <v>0.5</v>
      </c>
      <c r="F527" s="113" t="s">
        <v>2334</v>
      </c>
      <c r="G527" s="113" t="s">
        <v>2120</v>
      </c>
      <c r="H527" s="113" t="s">
        <v>36</v>
      </c>
      <c r="I527" s="113" t="s">
        <v>78</v>
      </c>
      <c r="J527" s="118" t="s">
        <v>3973</v>
      </c>
      <c r="K527" s="118" t="s">
        <v>4659</v>
      </c>
      <c r="L527" s="118" t="s">
        <v>5728</v>
      </c>
      <c r="M527" s="115" t="s">
        <v>5729</v>
      </c>
      <c r="N527" s="115" t="s">
        <v>3973</v>
      </c>
      <c r="O527" s="115" t="s">
        <v>4480</v>
      </c>
      <c r="P527" s="113">
        <v>580</v>
      </c>
      <c r="Q527" s="113">
        <v>65</v>
      </c>
      <c r="R527" s="113">
        <v>136</v>
      </c>
      <c r="S527" s="113">
        <v>94</v>
      </c>
      <c r="T527" s="120">
        <v>54</v>
      </c>
      <c r="U527" s="113">
        <v>96</v>
      </c>
      <c r="V527" s="113">
        <v>135</v>
      </c>
      <c r="W527" s="129"/>
      <c r="X527" s="129"/>
      <c r="Y527" s="5"/>
      <c r="Z527" s="5"/>
      <c r="AA527" s="5"/>
      <c r="AB527" s="5"/>
      <c r="AC527" s="5"/>
      <c r="AD527" s="5"/>
      <c r="AE527" s="5"/>
    </row>
    <row r="528" spans="1:31" customFormat="1">
      <c r="A528" s="113">
        <v>429</v>
      </c>
      <c r="B528" s="113" t="s">
        <v>463</v>
      </c>
      <c r="C528" s="120" t="s">
        <v>5731</v>
      </c>
      <c r="D528" s="124">
        <v>0.5</v>
      </c>
      <c r="E528" s="124">
        <v>0.5</v>
      </c>
      <c r="F528" s="113" t="s">
        <v>2336</v>
      </c>
      <c r="G528" s="113" t="s">
        <v>2120</v>
      </c>
      <c r="H528" s="113" t="s">
        <v>119</v>
      </c>
      <c r="I528" s="113" t="s">
        <v>1109</v>
      </c>
      <c r="J528" s="118" t="s">
        <v>2129</v>
      </c>
      <c r="K528" s="118" t="s">
        <v>4657</v>
      </c>
      <c r="L528" s="118" t="s">
        <v>5464</v>
      </c>
      <c r="M528" s="115" t="s">
        <v>5464</v>
      </c>
      <c r="N528" s="115" t="s">
        <v>6399</v>
      </c>
      <c r="O528" s="115" t="s">
        <v>1803</v>
      </c>
      <c r="P528" s="113">
        <v>495</v>
      </c>
      <c r="Q528" s="113">
        <v>60</v>
      </c>
      <c r="R528" s="113">
        <v>60</v>
      </c>
      <c r="S528" s="113">
        <v>60</v>
      </c>
      <c r="T528" s="120">
        <v>105</v>
      </c>
      <c r="U528" s="113">
        <v>105</v>
      </c>
      <c r="V528" s="113">
        <v>105</v>
      </c>
      <c r="W528" s="129"/>
      <c r="X528" s="129"/>
      <c r="Y528" s="5"/>
      <c r="Z528" s="5"/>
      <c r="AA528" s="5"/>
      <c r="AB528" s="5"/>
      <c r="AC528" s="5"/>
      <c r="AD528" s="5"/>
      <c r="AE528" s="5"/>
    </row>
    <row r="529" spans="1:31" customFormat="1">
      <c r="A529" s="113">
        <v>430</v>
      </c>
      <c r="B529" s="113" t="s">
        <v>464</v>
      </c>
      <c r="C529" s="120" t="s">
        <v>5732</v>
      </c>
      <c r="D529" s="124">
        <v>0.5</v>
      </c>
      <c r="E529" s="124">
        <v>0.5</v>
      </c>
      <c r="F529" s="113" t="s">
        <v>22</v>
      </c>
      <c r="G529" s="113" t="s">
        <v>2120</v>
      </c>
      <c r="H529" s="113" t="s">
        <v>158</v>
      </c>
      <c r="I529" s="113" t="s">
        <v>22</v>
      </c>
      <c r="J529" s="118" t="s">
        <v>2129</v>
      </c>
      <c r="K529" s="118" t="s">
        <v>4658</v>
      </c>
      <c r="L529" s="118" t="s">
        <v>5461</v>
      </c>
      <c r="M529" s="115" t="s">
        <v>5461</v>
      </c>
      <c r="N529" s="115" t="s">
        <v>6399</v>
      </c>
      <c r="O529" s="115" t="s">
        <v>1803</v>
      </c>
      <c r="P529" s="113">
        <v>505</v>
      </c>
      <c r="Q529" s="113">
        <v>100</v>
      </c>
      <c r="R529" s="113">
        <v>125</v>
      </c>
      <c r="S529" s="113">
        <v>52</v>
      </c>
      <c r="T529" s="120">
        <v>105</v>
      </c>
      <c r="U529" s="113">
        <v>52</v>
      </c>
      <c r="V529" s="113">
        <v>71</v>
      </c>
      <c r="W529" s="129"/>
      <c r="X529" s="129"/>
      <c r="Y529" s="5"/>
      <c r="Z529" s="5"/>
      <c r="AA529" s="5"/>
      <c r="AB529" s="5"/>
      <c r="AC529" s="5"/>
      <c r="AD529" s="5"/>
      <c r="AE529" s="5"/>
    </row>
    <row r="530" spans="1:31" customFormat="1">
      <c r="A530" s="113">
        <v>431</v>
      </c>
      <c r="B530" s="113" t="s">
        <v>465</v>
      </c>
      <c r="C530" s="120" t="s">
        <v>5733</v>
      </c>
      <c r="D530" s="124">
        <v>0.25</v>
      </c>
      <c r="E530" s="124">
        <v>0.75</v>
      </c>
      <c r="F530" s="113" t="s">
        <v>2332</v>
      </c>
      <c r="G530" s="113" t="s">
        <v>2120</v>
      </c>
      <c r="H530" s="113" t="s">
        <v>36</v>
      </c>
      <c r="I530" s="113" t="s">
        <v>1109</v>
      </c>
      <c r="J530" s="118" t="s">
        <v>2129</v>
      </c>
      <c r="K530" s="118" t="s">
        <v>2712</v>
      </c>
      <c r="L530" s="118" t="s">
        <v>5733</v>
      </c>
      <c r="M530" s="115" t="s">
        <v>1109</v>
      </c>
      <c r="N530" s="115" t="s">
        <v>2129</v>
      </c>
      <c r="O530" s="115" t="s">
        <v>1109</v>
      </c>
      <c r="P530" s="113">
        <v>310</v>
      </c>
      <c r="Q530" s="113">
        <v>49</v>
      </c>
      <c r="R530" s="113">
        <v>55</v>
      </c>
      <c r="S530" s="113">
        <v>42</v>
      </c>
      <c r="T530" s="120">
        <v>42</v>
      </c>
      <c r="U530" s="113">
        <v>37</v>
      </c>
      <c r="V530" s="113">
        <v>85</v>
      </c>
      <c r="W530" s="129"/>
      <c r="X530" s="129"/>
      <c r="Y530" s="5"/>
      <c r="Z530" s="5"/>
      <c r="AA530" s="5"/>
      <c r="AB530" s="5"/>
      <c r="AC530" s="5"/>
      <c r="AD530" s="5"/>
      <c r="AE530" s="5"/>
    </row>
    <row r="531" spans="1:31" customFormat="1">
      <c r="A531" s="113">
        <v>432</v>
      </c>
      <c r="B531" s="113" t="s">
        <v>466</v>
      </c>
      <c r="C531" s="120" t="s">
        <v>5734</v>
      </c>
      <c r="D531" s="124">
        <v>0.25</v>
      </c>
      <c r="E531" s="124">
        <v>0.75</v>
      </c>
      <c r="F531" s="113" t="s">
        <v>2332</v>
      </c>
      <c r="G531" s="113" t="s">
        <v>2120</v>
      </c>
      <c r="H531" s="113" t="s">
        <v>36</v>
      </c>
      <c r="I531" s="113" t="s">
        <v>1109</v>
      </c>
      <c r="J531" s="118" t="s">
        <v>2129</v>
      </c>
      <c r="K531" s="118" t="s">
        <v>2712</v>
      </c>
      <c r="L531" s="118" t="s">
        <v>5733</v>
      </c>
      <c r="M531" s="115" t="s">
        <v>5733</v>
      </c>
      <c r="N531" s="115" t="s">
        <v>6399</v>
      </c>
      <c r="O531" s="115" t="s">
        <v>2128</v>
      </c>
      <c r="P531" s="113">
        <v>452</v>
      </c>
      <c r="Q531" s="113">
        <v>71</v>
      </c>
      <c r="R531" s="113">
        <v>82</v>
      </c>
      <c r="S531" s="113">
        <v>64</v>
      </c>
      <c r="T531" s="120">
        <v>64</v>
      </c>
      <c r="U531" s="113">
        <v>59</v>
      </c>
      <c r="V531" s="113">
        <v>112</v>
      </c>
      <c r="W531" s="129"/>
      <c r="X531" s="129"/>
      <c r="Y531" s="5"/>
      <c r="Z531" s="5"/>
      <c r="AA531" s="5"/>
      <c r="AB531" s="5"/>
      <c r="AC531" s="5"/>
      <c r="AD531" s="5"/>
      <c r="AE531" s="5"/>
    </row>
    <row r="532" spans="1:31" customFormat="1">
      <c r="A532" s="113">
        <v>433</v>
      </c>
      <c r="B532" s="113" t="s">
        <v>467</v>
      </c>
      <c r="C532" s="120" t="s">
        <v>5735</v>
      </c>
      <c r="D532" s="124">
        <v>0.5</v>
      </c>
      <c r="E532" s="124">
        <v>0.5</v>
      </c>
      <c r="F532" s="113" t="s">
        <v>2333</v>
      </c>
      <c r="G532" s="113" t="s">
        <v>2120</v>
      </c>
      <c r="H532" s="113" t="s">
        <v>86</v>
      </c>
      <c r="I532" s="113" t="s">
        <v>1109</v>
      </c>
      <c r="J532" s="118" t="s">
        <v>2129</v>
      </c>
      <c r="K532" s="118" t="s">
        <v>4657</v>
      </c>
      <c r="L532" s="118" t="s">
        <v>5735</v>
      </c>
      <c r="M532" s="115" t="s">
        <v>1109</v>
      </c>
      <c r="N532" s="115" t="s">
        <v>2129</v>
      </c>
      <c r="O532" s="115" t="s">
        <v>1109</v>
      </c>
      <c r="P532" s="113">
        <v>285</v>
      </c>
      <c r="Q532" s="113">
        <v>45</v>
      </c>
      <c r="R532" s="113">
        <v>30</v>
      </c>
      <c r="S532" s="113">
        <v>50</v>
      </c>
      <c r="T532" s="120">
        <v>65</v>
      </c>
      <c r="U532" s="113">
        <v>50</v>
      </c>
      <c r="V532" s="113">
        <v>45</v>
      </c>
      <c r="W532" s="129"/>
      <c r="X532" s="129"/>
      <c r="Y532" s="5"/>
      <c r="Z532" s="5"/>
      <c r="AA532" s="5"/>
      <c r="AB532" s="5"/>
      <c r="AC532" s="5"/>
      <c r="AD532" s="5"/>
      <c r="AE532" s="5"/>
    </row>
    <row r="533" spans="1:31" customFormat="1">
      <c r="A533" s="113">
        <v>434</v>
      </c>
      <c r="B533" s="113" t="s">
        <v>468</v>
      </c>
      <c r="C533" s="120" t="s">
        <v>5736</v>
      </c>
      <c r="D533" s="124">
        <v>0.5</v>
      </c>
      <c r="E533" s="124">
        <v>0.5</v>
      </c>
      <c r="F533" s="113" t="s">
        <v>2332</v>
      </c>
      <c r="G533" s="113" t="s">
        <v>2120</v>
      </c>
      <c r="H533" s="113" t="s">
        <v>15</v>
      </c>
      <c r="I533" s="113" t="s">
        <v>158</v>
      </c>
      <c r="J533" s="118" t="s">
        <v>2129</v>
      </c>
      <c r="K533" s="118" t="s">
        <v>4658</v>
      </c>
      <c r="L533" s="118" t="s">
        <v>5736</v>
      </c>
      <c r="M533" s="115" t="s">
        <v>1109</v>
      </c>
      <c r="N533" s="115" t="s">
        <v>2129</v>
      </c>
      <c r="O533" s="115" t="s">
        <v>1109</v>
      </c>
      <c r="P533" s="113">
        <v>329</v>
      </c>
      <c r="Q533" s="113">
        <v>63</v>
      </c>
      <c r="R533" s="113">
        <v>63</v>
      </c>
      <c r="S533" s="113">
        <v>47</v>
      </c>
      <c r="T533" s="120">
        <v>41</v>
      </c>
      <c r="U533" s="113">
        <v>41</v>
      </c>
      <c r="V533" s="113">
        <v>74</v>
      </c>
      <c r="W533" s="129"/>
      <c r="X533" s="129"/>
      <c r="Y533" s="5"/>
      <c r="Z533" s="5"/>
      <c r="AA533" s="5"/>
      <c r="AB533" s="5"/>
      <c r="AC533" s="5"/>
      <c r="AD533" s="5"/>
      <c r="AE533" s="5"/>
    </row>
    <row r="534" spans="1:31" customFormat="1">
      <c r="A534" s="113">
        <v>435</v>
      </c>
      <c r="B534" s="113" t="s">
        <v>469</v>
      </c>
      <c r="C534" s="120" t="s">
        <v>5737</v>
      </c>
      <c r="D534" s="124">
        <v>0.5</v>
      </c>
      <c r="E534" s="124">
        <v>0.5</v>
      </c>
      <c r="F534" s="113" t="s">
        <v>2332</v>
      </c>
      <c r="G534" s="113" t="s">
        <v>2120</v>
      </c>
      <c r="H534" s="113" t="s">
        <v>15</v>
      </c>
      <c r="I534" s="113" t="s">
        <v>158</v>
      </c>
      <c r="J534" s="118" t="s">
        <v>2129</v>
      </c>
      <c r="K534" s="118" t="s">
        <v>4658</v>
      </c>
      <c r="L534" s="118" t="s">
        <v>5736</v>
      </c>
      <c r="M534" s="115" t="s">
        <v>5736</v>
      </c>
      <c r="N534" s="115" t="s">
        <v>6399</v>
      </c>
      <c r="O534" s="115" t="s">
        <v>2128</v>
      </c>
      <c r="P534" s="113">
        <v>479</v>
      </c>
      <c r="Q534" s="113">
        <v>103</v>
      </c>
      <c r="R534" s="113">
        <v>93</v>
      </c>
      <c r="S534" s="113">
        <v>67</v>
      </c>
      <c r="T534" s="120">
        <v>71</v>
      </c>
      <c r="U534" s="113">
        <v>61</v>
      </c>
      <c r="V534" s="113">
        <v>84</v>
      </c>
      <c r="W534" s="129"/>
      <c r="X534" s="129"/>
      <c r="Y534" s="5"/>
      <c r="Z534" s="5"/>
      <c r="AA534" s="5"/>
      <c r="AB534" s="5"/>
      <c r="AC534" s="5"/>
      <c r="AD534" s="5"/>
      <c r="AE534" s="5"/>
    </row>
    <row r="535" spans="1:31" customFormat="1">
      <c r="A535" s="113">
        <v>436</v>
      </c>
      <c r="B535" s="113" t="s">
        <v>470</v>
      </c>
      <c r="C535" s="120" t="s">
        <v>5738</v>
      </c>
      <c r="D535" s="124" t="s">
        <v>1109</v>
      </c>
      <c r="E535" s="124" t="s">
        <v>1109</v>
      </c>
      <c r="F535" s="113" t="s">
        <v>2112</v>
      </c>
      <c r="G535" s="113" t="s">
        <v>2120</v>
      </c>
      <c r="H535" s="113" t="s">
        <v>106</v>
      </c>
      <c r="I535" s="113" t="s">
        <v>86</v>
      </c>
      <c r="J535" s="118" t="s">
        <v>2129</v>
      </c>
      <c r="K535" s="118" t="s">
        <v>4658</v>
      </c>
      <c r="L535" s="118" t="s">
        <v>5738</v>
      </c>
      <c r="M535" s="115" t="s">
        <v>1109</v>
      </c>
      <c r="N535" s="115" t="s">
        <v>2129</v>
      </c>
      <c r="O535" s="115" t="s">
        <v>1109</v>
      </c>
      <c r="P535" s="113">
        <v>300</v>
      </c>
      <c r="Q535" s="113">
        <v>57</v>
      </c>
      <c r="R535" s="113">
        <v>24</v>
      </c>
      <c r="S535" s="113">
        <v>86</v>
      </c>
      <c r="T535" s="120">
        <v>24</v>
      </c>
      <c r="U535" s="113">
        <v>86</v>
      </c>
      <c r="V535" s="113">
        <v>23</v>
      </c>
      <c r="W535" s="129"/>
      <c r="X535" s="129"/>
      <c r="Y535" s="5"/>
      <c r="Z535" s="5"/>
      <c r="AA535" s="5"/>
      <c r="AB535" s="5"/>
      <c r="AC535" s="5"/>
      <c r="AD535" s="5"/>
      <c r="AE535" s="5"/>
    </row>
    <row r="536" spans="1:31" customFormat="1">
      <c r="A536" s="113">
        <v>437</v>
      </c>
      <c r="B536" s="113" t="s">
        <v>471</v>
      </c>
      <c r="C536" s="120" t="s">
        <v>5739</v>
      </c>
      <c r="D536" s="124" t="s">
        <v>1109</v>
      </c>
      <c r="E536" s="124" t="s">
        <v>1109</v>
      </c>
      <c r="F536" s="113" t="s">
        <v>2112</v>
      </c>
      <c r="G536" s="113" t="s">
        <v>2120</v>
      </c>
      <c r="H536" s="113" t="s">
        <v>106</v>
      </c>
      <c r="I536" s="113" t="s">
        <v>86</v>
      </c>
      <c r="J536" s="118" t="s">
        <v>2129</v>
      </c>
      <c r="K536" s="118" t="s">
        <v>4658</v>
      </c>
      <c r="L536" s="118" t="s">
        <v>5738</v>
      </c>
      <c r="M536" s="115" t="s">
        <v>5738</v>
      </c>
      <c r="N536" s="115" t="s">
        <v>6399</v>
      </c>
      <c r="O536" s="115" t="s">
        <v>2128</v>
      </c>
      <c r="P536" s="113">
        <v>500</v>
      </c>
      <c r="Q536" s="113">
        <v>67</v>
      </c>
      <c r="R536" s="113">
        <v>89</v>
      </c>
      <c r="S536" s="113">
        <v>116</v>
      </c>
      <c r="T536" s="120">
        <v>79</v>
      </c>
      <c r="U536" s="113">
        <v>116</v>
      </c>
      <c r="V536" s="113">
        <v>33</v>
      </c>
      <c r="W536" s="129"/>
      <c r="X536" s="129"/>
      <c r="Y536" s="5"/>
      <c r="Z536" s="5"/>
      <c r="AA536" s="5"/>
      <c r="AB536" s="5"/>
      <c r="AC536" s="5"/>
      <c r="AD536" s="5"/>
      <c r="AE536" s="5"/>
    </row>
    <row r="537" spans="1:31" customFormat="1">
      <c r="A537" s="113">
        <v>438</v>
      </c>
      <c r="B537" s="113" t="s">
        <v>472</v>
      </c>
      <c r="C537" s="120" t="s">
        <v>5740</v>
      </c>
      <c r="D537" s="124">
        <v>0.5</v>
      </c>
      <c r="E537" s="124">
        <v>0.5</v>
      </c>
      <c r="F537" s="113" t="s">
        <v>2333</v>
      </c>
      <c r="G537" s="113" t="s">
        <v>2120</v>
      </c>
      <c r="H537" s="113" t="s">
        <v>98</v>
      </c>
      <c r="I537" s="113" t="s">
        <v>1109</v>
      </c>
      <c r="J537" s="118" t="s">
        <v>2129</v>
      </c>
      <c r="K537" s="118" t="s">
        <v>4657</v>
      </c>
      <c r="L537" s="118" t="s">
        <v>5740</v>
      </c>
      <c r="M537" s="115" t="s">
        <v>1109</v>
      </c>
      <c r="N537" s="115" t="s">
        <v>2129</v>
      </c>
      <c r="O537" s="115" t="s">
        <v>1109</v>
      </c>
      <c r="P537" s="113">
        <v>290</v>
      </c>
      <c r="Q537" s="113">
        <v>50</v>
      </c>
      <c r="R537" s="113">
        <v>80</v>
      </c>
      <c r="S537" s="113">
        <v>95</v>
      </c>
      <c r="T537" s="120">
        <v>10</v>
      </c>
      <c r="U537" s="113">
        <v>45</v>
      </c>
      <c r="V537" s="113">
        <v>10</v>
      </c>
      <c r="W537" s="129"/>
      <c r="X537" s="129"/>
      <c r="Y537" s="5"/>
      <c r="Z537" s="5"/>
      <c r="AA537" s="5"/>
      <c r="AB537" s="5"/>
      <c r="AC537" s="5"/>
      <c r="AD537" s="5"/>
      <c r="AE537" s="5"/>
    </row>
    <row r="538" spans="1:31" customFormat="1">
      <c r="A538" s="113">
        <v>439</v>
      </c>
      <c r="B538" s="113" t="s">
        <v>473</v>
      </c>
      <c r="C538" s="120" t="s">
        <v>5741</v>
      </c>
      <c r="D538" s="124">
        <v>0.5</v>
      </c>
      <c r="E538" s="124">
        <v>0.5</v>
      </c>
      <c r="F538" s="113" t="s">
        <v>2333</v>
      </c>
      <c r="G538" s="113" t="s">
        <v>2120</v>
      </c>
      <c r="H538" s="113" t="s">
        <v>86</v>
      </c>
      <c r="I538" s="113" t="s">
        <v>56</v>
      </c>
      <c r="J538" s="118" t="s">
        <v>2129</v>
      </c>
      <c r="K538" s="118" t="s">
        <v>4657</v>
      </c>
      <c r="L538" s="118" t="s">
        <v>5741</v>
      </c>
      <c r="M538" s="115" t="s">
        <v>1109</v>
      </c>
      <c r="N538" s="115" t="s">
        <v>2129</v>
      </c>
      <c r="O538" s="115" t="s">
        <v>1109</v>
      </c>
      <c r="P538" s="113">
        <v>310</v>
      </c>
      <c r="Q538" s="113">
        <v>20</v>
      </c>
      <c r="R538" s="113">
        <v>25</v>
      </c>
      <c r="S538" s="113">
        <v>45</v>
      </c>
      <c r="T538" s="120">
        <v>70</v>
      </c>
      <c r="U538" s="113">
        <v>90</v>
      </c>
      <c r="V538" s="113">
        <v>60</v>
      </c>
      <c r="W538" s="129"/>
      <c r="X538" s="129"/>
      <c r="Y538" s="5"/>
      <c r="Z538" s="5"/>
      <c r="AA538" s="5"/>
      <c r="AB538" s="5"/>
      <c r="AC538" s="5"/>
      <c r="AD538" s="5"/>
      <c r="AE538" s="5"/>
    </row>
    <row r="539" spans="1:31" customFormat="1">
      <c r="A539" s="113">
        <v>440</v>
      </c>
      <c r="B539" s="113" t="s">
        <v>474</v>
      </c>
      <c r="C539" s="120" t="s">
        <v>5742</v>
      </c>
      <c r="D539" s="124">
        <v>0</v>
      </c>
      <c r="E539" s="124">
        <v>1</v>
      </c>
      <c r="F539" s="113" t="s">
        <v>2333</v>
      </c>
      <c r="G539" s="113" t="s">
        <v>2120</v>
      </c>
      <c r="H539" s="113" t="s">
        <v>36</v>
      </c>
      <c r="I539" s="113" t="s">
        <v>1109</v>
      </c>
      <c r="J539" s="118" t="s">
        <v>2129</v>
      </c>
      <c r="K539" s="118" t="s">
        <v>4657</v>
      </c>
      <c r="L539" s="118" t="s">
        <v>5742</v>
      </c>
      <c r="M539" s="115" t="s">
        <v>1109</v>
      </c>
      <c r="N539" s="115" t="s">
        <v>2129</v>
      </c>
      <c r="O539" s="115" t="s">
        <v>1109</v>
      </c>
      <c r="P539" s="113">
        <v>220</v>
      </c>
      <c r="Q539" s="113">
        <v>100</v>
      </c>
      <c r="R539" s="113">
        <v>5</v>
      </c>
      <c r="S539" s="113">
        <v>5</v>
      </c>
      <c r="T539" s="120">
        <v>15</v>
      </c>
      <c r="U539" s="113">
        <v>65</v>
      </c>
      <c r="V539" s="113">
        <v>30</v>
      </c>
      <c r="W539" s="129"/>
      <c r="X539" s="129"/>
      <c r="Y539" s="5"/>
      <c r="Z539" s="5"/>
      <c r="AA539" s="5"/>
      <c r="AB539" s="5"/>
      <c r="AC539" s="5"/>
      <c r="AD539" s="5"/>
      <c r="AE539" s="5"/>
    </row>
    <row r="540" spans="1:31" customFormat="1">
      <c r="A540" s="113">
        <v>441</v>
      </c>
      <c r="B540" s="113" t="s">
        <v>475</v>
      </c>
      <c r="C540" s="120" t="s">
        <v>5743</v>
      </c>
      <c r="D540" s="124">
        <v>0.5</v>
      </c>
      <c r="E540" s="124">
        <v>0.5</v>
      </c>
      <c r="F540" s="113" t="s">
        <v>22</v>
      </c>
      <c r="G540" s="113" t="s">
        <v>2120</v>
      </c>
      <c r="H540" s="113" t="s">
        <v>36</v>
      </c>
      <c r="I540" s="113" t="s">
        <v>22</v>
      </c>
      <c r="J540" s="118" t="s">
        <v>2129</v>
      </c>
      <c r="K540" s="118" t="s">
        <v>4658</v>
      </c>
      <c r="L540" s="118" t="s">
        <v>5743</v>
      </c>
      <c r="M540" s="115" t="s">
        <v>1109</v>
      </c>
      <c r="N540" s="115" t="s">
        <v>6399</v>
      </c>
      <c r="O540" s="115" t="s">
        <v>1109</v>
      </c>
      <c r="P540" s="113">
        <v>411</v>
      </c>
      <c r="Q540" s="113">
        <v>76</v>
      </c>
      <c r="R540" s="113">
        <v>65</v>
      </c>
      <c r="S540" s="113">
        <v>45</v>
      </c>
      <c r="T540" s="120">
        <v>92</v>
      </c>
      <c r="U540" s="113">
        <v>42</v>
      </c>
      <c r="V540" s="113">
        <v>91</v>
      </c>
      <c r="W540" s="129"/>
      <c r="X540" s="129"/>
      <c r="Y540" s="5"/>
      <c r="Z540" s="5"/>
      <c r="AA540" s="5"/>
      <c r="AB540" s="5"/>
      <c r="AC540" s="5"/>
      <c r="AD540" s="5"/>
      <c r="AE540" s="5"/>
    </row>
    <row r="541" spans="1:31" customFormat="1">
      <c r="A541" s="113">
        <v>442</v>
      </c>
      <c r="B541" s="113" t="s">
        <v>476</v>
      </c>
      <c r="C541" s="120" t="s">
        <v>5744</v>
      </c>
      <c r="D541" s="124">
        <v>0.5</v>
      </c>
      <c r="E541" s="124">
        <v>0.5</v>
      </c>
      <c r="F541" s="113" t="s">
        <v>2336</v>
      </c>
      <c r="G541" s="113" t="s">
        <v>2120</v>
      </c>
      <c r="H541" s="113" t="s">
        <v>119</v>
      </c>
      <c r="I541" s="113" t="s">
        <v>158</v>
      </c>
      <c r="J541" s="118" t="s">
        <v>2129</v>
      </c>
      <c r="K541" s="118" t="s">
        <v>4657</v>
      </c>
      <c r="L541" s="118" t="s">
        <v>5744</v>
      </c>
      <c r="M541" s="115" t="s">
        <v>1109</v>
      </c>
      <c r="N541" s="115" t="s">
        <v>6399</v>
      </c>
      <c r="O541" s="115" t="s">
        <v>1109</v>
      </c>
      <c r="P541" s="113">
        <v>485</v>
      </c>
      <c r="Q541" s="113">
        <v>50</v>
      </c>
      <c r="R541" s="113">
        <v>92</v>
      </c>
      <c r="S541" s="113">
        <v>108</v>
      </c>
      <c r="T541" s="120">
        <v>92</v>
      </c>
      <c r="U541" s="113">
        <v>108</v>
      </c>
      <c r="V541" s="113">
        <v>35</v>
      </c>
      <c r="W541" s="129"/>
      <c r="X541" s="129"/>
      <c r="Y541" s="5"/>
      <c r="Z541" s="5"/>
      <c r="AA541" s="5"/>
      <c r="AB541" s="5"/>
      <c r="AC541" s="5"/>
      <c r="AD541" s="5"/>
      <c r="AE541" s="5"/>
    </row>
    <row r="542" spans="1:31" customFormat="1">
      <c r="A542" s="113">
        <v>443</v>
      </c>
      <c r="B542" s="113" t="s">
        <v>477</v>
      </c>
      <c r="C542" s="120" t="s">
        <v>5745</v>
      </c>
      <c r="D542" s="124">
        <v>0.5</v>
      </c>
      <c r="E542" s="124">
        <v>0.5</v>
      </c>
      <c r="F542" s="113" t="s">
        <v>23</v>
      </c>
      <c r="G542" s="113" t="s">
        <v>2120</v>
      </c>
      <c r="H542" s="113" t="s">
        <v>23</v>
      </c>
      <c r="I542" s="113" t="s">
        <v>49</v>
      </c>
      <c r="J542" s="118" t="s">
        <v>2129</v>
      </c>
      <c r="K542" s="118" t="s">
        <v>4657</v>
      </c>
      <c r="L542" s="118" t="s">
        <v>5745</v>
      </c>
      <c r="M542" s="115" t="s">
        <v>1109</v>
      </c>
      <c r="N542" s="115" t="s">
        <v>2129</v>
      </c>
      <c r="O542" s="115" t="s">
        <v>1109</v>
      </c>
      <c r="P542" s="113">
        <v>300</v>
      </c>
      <c r="Q542" s="113">
        <v>58</v>
      </c>
      <c r="R542" s="113">
        <v>70</v>
      </c>
      <c r="S542" s="113">
        <v>45</v>
      </c>
      <c r="T542" s="120">
        <v>40</v>
      </c>
      <c r="U542" s="113">
        <v>45</v>
      </c>
      <c r="V542" s="113">
        <v>42</v>
      </c>
      <c r="W542" s="129"/>
      <c r="X542" s="129"/>
      <c r="Y542" s="5"/>
      <c r="Z542" s="5"/>
      <c r="AA542" s="5"/>
      <c r="AB542" s="5"/>
      <c r="AC542" s="5"/>
      <c r="AD542" s="5"/>
      <c r="AE542" s="5"/>
    </row>
    <row r="543" spans="1:31" customFormat="1">
      <c r="A543" s="113">
        <v>444</v>
      </c>
      <c r="B543" s="113" t="s">
        <v>478</v>
      </c>
      <c r="C543" s="120" t="s">
        <v>5746</v>
      </c>
      <c r="D543" s="124">
        <v>0.5</v>
      </c>
      <c r="E543" s="124">
        <v>0.5</v>
      </c>
      <c r="F543" s="113" t="s">
        <v>23</v>
      </c>
      <c r="G543" s="113" t="s">
        <v>2120</v>
      </c>
      <c r="H543" s="113" t="s">
        <v>23</v>
      </c>
      <c r="I543" s="113" t="s">
        <v>49</v>
      </c>
      <c r="J543" s="118" t="s">
        <v>2129</v>
      </c>
      <c r="K543" s="118" t="s">
        <v>4657</v>
      </c>
      <c r="L543" s="118" t="s">
        <v>5745</v>
      </c>
      <c r="M543" s="115" t="s">
        <v>5745</v>
      </c>
      <c r="N543" s="115" t="s">
        <v>6398</v>
      </c>
      <c r="O543" s="115" t="s">
        <v>2128</v>
      </c>
      <c r="P543" s="113">
        <v>410</v>
      </c>
      <c r="Q543" s="113">
        <v>68</v>
      </c>
      <c r="R543" s="113">
        <v>90</v>
      </c>
      <c r="S543" s="113">
        <v>65</v>
      </c>
      <c r="T543" s="120">
        <v>50</v>
      </c>
      <c r="U543" s="113">
        <v>55</v>
      </c>
      <c r="V543" s="113">
        <v>82</v>
      </c>
      <c r="W543" s="129"/>
      <c r="X543" s="129"/>
      <c r="Y543" s="5"/>
      <c r="Z543" s="5"/>
      <c r="AA543" s="5"/>
      <c r="AB543" s="5"/>
      <c r="AC543" s="5"/>
      <c r="AD543" s="5"/>
      <c r="AE543" s="5"/>
    </row>
    <row r="544" spans="1:31" customFormat="1">
      <c r="A544" s="113">
        <v>445</v>
      </c>
      <c r="B544" s="113" t="s">
        <v>479</v>
      </c>
      <c r="C544" s="120" t="s">
        <v>5747</v>
      </c>
      <c r="D544" s="124">
        <v>0.5</v>
      </c>
      <c r="E544" s="124">
        <v>0.5</v>
      </c>
      <c r="F544" s="113" t="s">
        <v>23</v>
      </c>
      <c r="G544" s="113" t="s">
        <v>2120</v>
      </c>
      <c r="H544" s="113" t="s">
        <v>23</v>
      </c>
      <c r="I544" s="113" t="s">
        <v>49</v>
      </c>
      <c r="J544" s="118" t="s">
        <v>2129</v>
      </c>
      <c r="K544" s="118" t="s">
        <v>4657</v>
      </c>
      <c r="L544" s="118" t="s">
        <v>5745</v>
      </c>
      <c r="M544" s="115" t="s">
        <v>5746</v>
      </c>
      <c r="N544" s="115" t="s">
        <v>6399</v>
      </c>
      <c r="O544" s="115" t="s">
        <v>2128</v>
      </c>
      <c r="P544" s="113">
        <v>600</v>
      </c>
      <c r="Q544" s="113">
        <v>108</v>
      </c>
      <c r="R544" s="113">
        <v>130</v>
      </c>
      <c r="S544" s="113">
        <v>95</v>
      </c>
      <c r="T544" s="120">
        <v>80</v>
      </c>
      <c r="U544" s="113">
        <v>85</v>
      </c>
      <c r="V544" s="113">
        <v>102</v>
      </c>
      <c r="W544" s="129"/>
      <c r="X544" s="129"/>
      <c r="Y544" s="5"/>
      <c r="Z544" s="5"/>
      <c r="AA544" s="5"/>
      <c r="AB544" s="5"/>
      <c r="AC544" s="5"/>
      <c r="AD544" s="5"/>
      <c r="AE544" s="5"/>
    </row>
    <row r="545" spans="1:31" customFormat="1" hidden="1">
      <c r="A545" s="113">
        <v>445</v>
      </c>
      <c r="B545" s="113" t="s">
        <v>2961</v>
      </c>
      <c r="C545" s="120" t="s">
        <v>5748</v>
      </c>
      <c r="D545" s="124">
        <v>0.5</v>
      </c>
      <c r="E545" s="124">
        <v>0.5</v>
      </c>
      <c r="F545" s="113" t="s">
        <v>23</v>
      </c>
      <c r="G545" s="113" t="s">
        <v>2120</v>
      </c>
      <c r="H545" s="113" t="s">
        <v>23</v>
      </c>
      <c r="I545" s="113" t="s">
        <v>49</v>
      </c>
      <c r="J545" s="118" t="s">
        <v>3973</v>
      </c>
      <c r="K545" s="118" t="s">
        <v>4659</v>
      </c>
      <c r="L545" s="118" t="s">
        <v>5745</v>
      </c>
      <c r="M545" s="115" t="s">
        <v>5747</v>
      </c>
      <c r="N545" s="115" t="s">
        <v>3973</v>
      </c>
      <c r="O545" s="115" t="s">
        <v>4480</v>
      </c>
      <c r="P545" s="113">
        <v>700</v>
      </c>
      <c r="Q545" s="113">
        <v>108</v>
      </c>
      <c r="R545" s="113">
        <v>170</v>
      </c>
      <c r="S545" s="113">
        <v>115</v>
      </c>
      <c r="T545" s="120">
        <v>120</v>
      </c>
      <c r="U545" s="113">
        <v>95</v>
      </c>
      <c r="V545" s="113">
        <v>92</v>
      </c>
      <c r="W545" s="129"/>
      <c r="X545" s="129"/>
      <c r="Y545" s="5"/>
      <c r="Z545" s="5"/>
      <c r="AA545" s="5"/>
      <c r="AB545" s="5"/>
      <c r="AC545" s="5"/>
      <c r="AD545" s="5"/>
      <c r="AE545" s="5"/>
    </row>
    <row r="546" spans="1:31" customFormat="1">
      <c r="A546" s="113">
        <v>446</v>
      </c>
      <c r="B546" s="113" t="s">
        <v>480</v>
      </c>
      <c r="C546" s="120" t="s">
        <v>5749</v>
      </c>
      <c r="D546" s="124">
        <v>0.85</v>
      </c>
      <c r="E546" s="124">
        <v>0.15</v>
      </c>
      <c r="F546" s="113" t="s">
        <v>2333</v>
      </c>
      <c r="G546" s="113" t="s">
        <v>2120</v>
      </c>
      <c r="H546" s="113" t="s">
        <v>36</v>
      </c>
      <c r="I546" s="113" t="s">
        <v>1109</v>
      </c>
      <c r="J546" s="118" t="s">
        <v>2129</v>
      </c>
      <c r="K546" s="118" t="s">
        <v>4657</v>
      </c>
      <c r="L546" s="118" t="s">
        <v>5749</v>
      </c>
      <c r="M546" s="115" t="s">
        <v>1109</v>
      </c>
      <c r="N546" s="115" t="s">
        <v>2129</v>
      </c>
      <c r="O546" s="115" t="s">
        <v>1109</v>
      </c>
      <c r="P546" s="113">
        <v>390</v>
      </c>
      <c r="Q546" s="113">
        <v>135</v>
      </c>
      <c r="R546" s="113">
        <v>85</v>
      </c>
      <c r="S546" s="113">
        <v>40</v>
      </c>
      <c r="T546" s="120">
        <v>40</v>
      </c>
      <c r="U546" s="113">
        <v>85</v>
      </c>
      <c r="V546" s="113">
        <v>5</v>
      </c>
      <c r="W546" s="129"/>
      <c r="X546" s="129"/>
      <c r="Y546" s="5"/>
      <c r="Z546" s="5"/>
      <c r="AA546" s="5"/>
      <c r="AB546" s="5"/>
      <c r="AC546" s="5"/>
      <c r="AD546" s="5"/>
      <c r="AE546" s="5"/>
    </row>
    <row r="547" spans="1:31" customFormat="1">
      <c r="A547" s="113">
        <v>447</v>
      </c>
      <c r="B547" s="113" t="s">
        <v>481</v>
      </c>
      <c r="C547" s="120" t="s">
        <v>5750</v>
      </c>
      <c r="D547" s="124">
        <v>0.85</v>
      </c>
      <c r="E547" s="124">
        <v>0.15</v>
      </c>
      <c r="F547" s="113" t="s">
        <v>2333</v>
      </c>
      <c r="G547" s="113" t="s">
        <v>2120</v>
      </c>
      <c r="H547" s="113" t="s">
        <v>78</v>
      </c>
      <c r="I547" s="113" t="s">
        <v>1109</v>
      </c>
      <c r="J547" s="118" t="s">
        <v>2129</v>
      </c>
      <c r="K547" s="118" t="s">
        <v>4657</v>
      </c>
      <c r="L547" s="118" t="s">
        <v>5750</v>
      </c>
      <c r="M547" s="115" t="s">
        <v>1109</v>
      </c>
      <c r="N547" s="115" t="s">
        <v>2129</v>
      </c>
      <c r="O547" s="115" t="s">
        <v>1109</v>
      </c>
      <c r="P547" s="113">
        <v>285</v>
      </c>
      <c r="Q547" s="113">
        <v>40</v>
      </c>
      <c r="R547" s="113">
        <v>70</v>
      </c>
      <c r="S547" s="113">
        <v>40</v>
      </c>
      <c r="T547" s="120">
        <v>35</v>
      </c>
      <c r="U547" s="113">
        <v>40</v>
      </c>
      <c r="V547" s="113">
        <v>60</v>
      </c>
      <c r="W547" s="129"/>
      <c r="X547" s="129"/>
      <c r="Y547" s="5"/>
      <c r="Z547" s="5"/>
      <c r="AA547" s="5"/>
      <c r="AB547" s="5"/>
      <c r="AC547" s="5"/>
      <c r="AD547" s="5"/>
      <c r="AE547" s="5"/>
    </row>
    <row r="548" spans="1:31" customFormat="1">
      <c r="A548" s="113">
        <v>448</v>
      </c>
      <c r="B548" s="113" t="s">
        <v>482</v>
      </c>
      <c r="C548" s="120" t="s">
        <v>5751</v>
      </c>
      <c r="D548" s="124">
        <v>0.85</v>
      </c>
      <c r="E548" s="124">
        <v>0.15</v>
      </c>
      <c r="F548" s="113" t="s">
        <v>2334</v>
      </c>
      <c r="G548" s="113" t="s">
        <v>2120</v>
      </c>
      <c r="H548" s="113" t="s">
        <v>78</v>
      </c>
      <c r="I548" s="113" t="s">
        <v>106</v>
      </c>
      <c r="J548" s="118" t="s">
        <v>2129</v>
      </c>
      <c r="K548" s="118" t="s">
        <v>4657</v>
      </c>
      <c r="L548" s="118" t="s">
        <v>5750</v>
      </c>
      <c r="M548" s="115" t="s">
        <v>5750</v>
      </c>
      <c r="N548" s="115" t="s">
        <v>6399</v>
      </c>
      <c r="O548" s="115" t="s">
        <v>2128</v>
      </c>
      <c r="P548" s="113">
        <v>525</v>
      </c>
      <c r="Q548" s="113">
        <v>70</v>
      </c>
      <c r="R548" s="113">
        <v>110</v>
      </c>
      <c r="S548" s="113">
        <v>70</v>
      </c>
      <c r="T548" s="120">
        <v>115</v>
      </c>
      <c r="U548" s="113">
        <v>70</v>
      </c>
      <c r="V548" s="113">
        <v>90</v>
      </c>
      <c r="W548" s="129"/>
      <c r="X548" s="129"/>
      <c r="Y548" s="5"/>
      <c r="Z548" s="5"/>
      <c r="AA548" s="5"/>
      <c r="AB548" s="5"/>
      <c r="AC548" s="5"/>
      <c r="AD548" s="5"/>
      <c r="AE548" s="5"/>
    </row>
    <row r="549" spans="1:31" customFormat="1" hidden="1">
      <c r="A549" s="113">
        <v>448</v>
      </c>
      <c r="B549" s="113" t="s">
        <v>2963</v>
      </c>
      <c r="C549" s="120" t="s">
        <v>5752</v>
      </c>
      <c r="D549" s="124">
        <v>0.85</v>
      </c>
      <c r="E549" s="124">
        <v>0.15</v>
      </c>
      <c r="F549" s="113" t="s">
        <v>2334</v>
      </c>
      <c r="G549" s="113" t="s">
        <v>2120</v>
      </c>
      <c r="H549" s="113" t="s">
        <v>78</v>
      </c>
      <c r="I549" s="113" t="s">
        <v>106</v>
      </c>
      <c r="J549" s="118" t="s">
        <v>3973</v>
      </c>
      <c r="K549" s="118" t="s">
        <v>4659</v>
      </c>
      <c r="L549" s="118" t="s">
        <v>5750</v>
      </c>
      <c r="M549" s="115" t="s">
        <v>5751</v>
      </c>
      <c r="N549" s="115" t="s">
        <v>3973</v>
      </c>
      <c r="O549" s="115" t="s">
        <v>4480</v>
      </c>
      <c r="P549" s="113">
        <v>625</v>
      </c>
      <c r="Q549" s="113">
        <v>70</v>
      </c>
      <c r="R549" s="113">
        <v>145</v>
      </c>
      <c r="S549" s="113">
        <v>88</v>
      </c>
      <c r="T549" s="120">
        <v>140</v>
      </c>
      <c r="U549" s="113">
        <v>70</v>
      </c>
      <c r="V549" s="113">
        <v>112</v>
      </c>
      <c r="W549" s="129"/>
      <c r="X549" s="129"/>
      <c r="Y549" s="5"/>
      <c r="Z549" s="5"/>
      <c r="AA549" s="5"/>
      <c r="AB549" s="5"/>
      <c r="AC549" s="5"/>
      <c r="AD549" s="5"/>
      <c r="AE549" s="5"/>
    </row>
    <row r="550" spans="1:31" customFormat="1">
      <c r="A550" s="113">
        <v>449</v>
      </c>
      <c r="B550" s="113" t="s">
        <v>483</v>
      </c>
      <c r="C550" s="120" t="s">
        <v>5753</v>
      </c>
      <c r="D550" s="124">
        <v>0.5</v>
      </c>
      <c r="E550" s="124">
        <v>0.5</v>
      </c>
      <c r="F550" s="113" t="s">
        <v>2332</v>
      </c>
      <c r="G550" s="113" t="s">
        <v>2120</v>
      </c>
      <c r="H550" s="113" t="s">
        <v>49</v>
      </c>
      <c r="I550" s="113" t="s">
        <v>1109</v>
      </c>
      <c r="J550" s="118" t="s">
        <v>2129</v>
      </c>
      <c r="K550" s="118" t="s">
        <v>4658</v>
      </c>
      <c r="L550" s="118" t="s">
        <v>5753</v>
      </c>
      <c r="M550" s="115" t="s">
        <v>1109</v>
      </c>
      <c r="N550" s="115" t="s">
        <v>2129</v>
      </c>
      <c r="O550" s="115" t="s">
        <v>1109</v>
      </c>
      <c r="P550" s="113">
        <v>330</v>
      </c>
      <c r="Q550" s="113">
        <v>68</v>
      </c>
      <c r="R550" s="113">
        <v>72</v>
      </c>
      <c r="S550" s="113">
        <v>78</v>
      </c>
      <c r="T550" s="120">
        <v>38</v>
      </c>
      <c r="U550" s="113">
        <v>42</v>
      </c>
      <c r="V550" s="113">
        <v>32</v>
      </c>
      <c r="W550" s="129"/>
      <c r="X550" s="129"/>
      <c r="Y550" s="5"/>
      <c r="Z550" s="5"/>
      <c r="AA550" s="5"/>
      <c r="AB550" s="5"/>
      <c r="AC550" s="5"/>
      <c r="AD550" s="5"/>
      <c r="AE550" s="5"/>
    </row>
    <row r="551" spans="1:31" customFormat="1">
      <c r="A551" s="113">
        <v>450</v>
      </c>
      <c r="B551" s="113" t="s">
        <v>484</v>
      </c>
      <c r="C551" s="120" t="s">
        <v>5754</v>
      </c>
      <c r="D551" s="124">
        <v>0.5</v>
      </c>
      <c r="E551" s="124">
        <v>0.5</v>
      </c>
      <c r="F551" s="113" t="s">
        <v>2332</v>
      </c>
      <c r="G551" s="113" t="s">
        <v>2120</v>
      </c>
      <c r="H551" s="113" t="s">
        <v>49</v>
      </c>
      <c r="I551" s="113" t="s">
        <v>1109</v>
      </c>
      <c r="J551" s="118" t="s">
        <v>2129</v>
      </c>
      <c r="K551" s="118" t="s">
        <v>4658</v>
      </c>
      <c r="L551" s="118" t="s">
        <v>5753</v>
      </c>
      <c r="M551" s="115" t="s">
        <v>5753</v>
      </c>
      <c r="N551" s="115" t="s">
        <v>6399</v>
      </c>
      <c r="O551" s="115" t="s">
        <v>2128</v>
      </c>
      <c r="P551" s="113">
        <v>525</v>
      </c>
      <c r="Q551" s="113">
        <v>108</v>
      </c>
      <c r="R551" s="113">
        <v>112</v>
      </c>
      <c r="S551" s="113">
        <v>118</v>
      </c>
      <c r="T551" s="120">
        <v>68</v>
      </c>
      <c r="U551" s="113">
        <v>72</v>
      </c>
      <c r="V551" s="113">
        <v>47</v>
      </c>
      <c r="W551" s="129"/>
      <c r="X551" s="129"/>
      <c r="Y551" s="5"/>
      <c r="Z551" s="5"/>
      <c r="AA551" s="5"/>
      <c r="AB551" s="5"/>
      <c r="AC551" s="5"/>
      <c r="AD551" s="5"/>
      <c r="AE551" s="5"/>
    </row>
    <row r="552" spans="1:31" customFormat="1">
      <c r="A552" s="113">
        <v>451</v>
      </c>
      <c r="B552" s="113" t="s">
        <v>485</v>
      </c>
      <c r="C552" s="120" t="s">
        <v>5755</v>
      </c>
      <c r="D552" s="124">
        <v>0.5</v>
      </c>
      <c r="E552" s="124">
        <v>0.5</v>
      </c>
      <c r="F552" s="113" t="s">
        <v>29</v>
      </c>
      <c r="G552" s="113" t="s">
        <v>2120</v>
      </c>
      <c r="H552" s="113" t="s">
        <v>15</v>
      </c>
      <c r="I552" s="113" t="s">
        <v>29</v>
      </c>
      <c r="J552" s="118" t="s">
        <v>2129</v>
      </c>
      <c r="K552" s="118" t="s">
        <v>4658</v>
      </c>
      <c r="L552" s="118" t="s">
        <v>5755</v>
      </c>
      <c r="M552" s="115" t="s">
        <v>1109</v>
      </c>
      <c r="N552" s="115" t="s">
        <v>2129</v>
      </c>
      <c r="O552" s="115" t="s">
        <v>1109</v>
      </c>
      <c r="P552" s="113">
        <v>330</v>
      </c>
      <c r="Q552" s="113">
        <v>40</v>
      </c>
      <c r="R552" s="113">
        <v>50</v>
      </c>
      <c r="S552" s="113">
        <v>90</v>
      </c>
      <c r="T552" s="120">
        <v>30</v>
      </c>
      <c r="U552" s="113">
        <v>55</v>
      </c>
      <c r="V552" s="113">
        <v>65</v>
      </c>
      <c r="W552" s="129"/>
      <c r="X552" s="129"/>
      <c r="Y552" s="5"/>
      <c r="Z552" s="5"/>
      <c r="AA552" s="5"/>
      <c r="AB552" s="5"/>
      <c r="AC552" s="5"/>
      <c r="AD552" s="5"/>
      <c r="AE552" s="5"/>
    </row>
    <row r="553" spans="1:31" customFormat="1">
      <c r="A553" s="113">
        <v>452</v>
      </c>
      <c r="B553" s="113" t="s">
        <v>486</v>
      </c>
      <c r="C553" s="120" t="s">
        <v>5756</v>
      </c>
      <c r="D553" s="124">
        <v>0.5</v>
      </c>
      <c r="E553" s="124">
        <v>0.5</v>
      </c>
      <c r="F553" s="113" t="s">
        <v>29</v>
      </c>
      <c r="G553" s="113" t="s">
        <v>2120</v>
      </c>
      <c r="H553" s="113" t="s">
        <v>15</v>
      </c>
      <c r="I553" s="113" t="s">
        <v>158</v>
      </c>
      <c r="J553" s="118" t="s">
        <v>2129</v>
      </c>
      <c r="K553" s="118" t="s">
        <v>4658</v>
      </c>
      <c r="L553" s="118" t="s">
        <v>5755</v>
      </c>
      <c r="M553" s="115" t="s">
        <v>5755</v>
      </c>
      <c r="N553" s="115" t="s">
        <v>6399</v>
      </c>
      <c r="O553" s="115" t="s">
        <v>2128</v>
      </c>
      <c r="P553" s="113">
        <v>500</v>
      </c>
      <c r="Q553" s="113">
        <v>70</v>
      </c>
      <c r="R553" s="113">
        <v>90</v>
      </c>
      <c r="S553" s="113">
        <v>110</v>
      </c>
      <c r="T553" s="120">
        <v>60</v>
      </c>
      <c r="U553" s="113">
        <v>75</v>
      </c>
      <c r="V553" s="113">
        <v>95</v>
      </c>
      <c r="W553" s="129"/>
      <c r="X553" s="129"/>
      <c r="Y553" s="5"/>
      <c r="Z553" s="5"/>
      <c r="AA553" s="5"/>
      <c r="AB553" s="5"/>
      <c r="AC553" s="5"/>
      <c r="AD553" s="5"/>
      <c r="AE553" s="5"/>
    </row>
    <row r="554" spans="1:31" customFormat="1">
      <c r="A554" s="113">
        <v>453</v>
      </c>
      <c r="B554" s="113" t="s">
        <v>487</v>
      </c>
      <c r="C554" s="120" t="s">
        <v>5757</v>
      </c>
      <c r="D554" s="124">
        <v>0.5</v>
      </c>
      <c r="E554" s="124">
        <v>0.5</v>
      </c>
      <c r="F554" s="113" t="s">
        <v>2334</v>
      </c>
      <c r="G554" s="113" t="s">
        <v>2120</v>
      </c>
      <c r="H554" s="113" t="s">
        <v>15</v>
      </c>
      <c r="I554" s="113" t="s">
        <v>78</v>
      </c>
      <c r="J554" s="118" t="s">
        <v>2129</v>
      </c>
      <c r="K554" s="118" t="s">
        <v>4658</v>
      </c>
      <c r="L554" s="118" t="s">
        <v>5757</v>
      </c>
      <c r="M554" s="115" t="s">
        <v>1109</v>
      </c>
      <c r="N554" s="115" t="s">
        <v>2129</v>
      </c>
      <c r="O554" s="115" t="s">
        <v>1109</v>
      </c>
      <c r="P554" s="113">
        <v>300</v>
      </c>
      <c r="Q554" s="113">
        <v>48</v>
      </c>
      <c r="R554" s="113">
        <v>61</v>
      </c>
      <c r="S554" s="113">
        <v>40</v>
      </c>
      <c r="T554" s="120">
        <v>61</v>
      </c>
      <c r="U554" s="113">
        <v>40</v>
      </c>
      <c r="V554" s="113">
        <v>50</v>
      </c>
      <c r="W554" s="129"/>
      <c r="X554" s="129"/>
      <c r="Y554" s="5"/>
      <c r="Z554" s="5"/>
      <c r="AA554" s="5"/>
      <c r="AB554" s="5"/>
      <c r="AC554" s="5"/>
      <c r="AD554" s="5"/>
      <c r="AE554" s="5"/>
    </row>
    <row r="555" spans="1:31" customFormat="1">
      <c r="A555" s="113">
        <v>454</v>
      </c>
      <c r="B555" s="113" t="s">
        <v>488</v>
      </c>
      <c r="C555" s="120" t="s">
        <v>5758</v>
      </c>
      <c r="D555" s="124">
        <v>0.5</v>
      </c>
      <c r="E555" s="124">
        <v>0.5</v>
      </c>
      <c r="F555" s="113" t="s">
        <v>2334</v>
      </c>
      <c r="G555" s="113" t="s">
        <v>2120</v>
      </c>
      <c r="H555" s="113" t="s">
        <v>15</v>
      </c>
      <c r="I555" s="113" t="s">
        <v>78</v>
      </c>
      <c r="J555" s="118" t="s">
        <v>2129</v>
      </c>
      <c r="K555" s="118" t="s">
        <v>4658</v>
      </c>
      <c r="L555" s="118" t="s">
        <v>5757</v>
      </c>
      <c r="M555" s="115" t="s">
        <v>5757</v>
      </c>
      <c r="N555" s="115" t="s">
        <v>6399</v>
      </c>
      <c r="O555" s="115" t="s">
        <v>2128</v>
      </c>
      <c r="P555" s="113">
        <v>490</v>
      </c>
      <c r="Q555" s="113">
        <v>83</v>
      </c>
      <c r="R555" s="113">
        <v>106</v>
      </c>
      <c r="S555" s="113">
        <v>65</v>
      </c>
      <c r="T555" s="120">
        <v>86</v>
      </c>
      <c r="U555" s="113">
        <v>65</v>
      </c>
      <c r="V555" s="113">
        <v>85</v>
      </c>
      <c r="W555" s="129"/>
      <c r="X555" s="129"/>
      <c r="Y555" s="5"/>
      <c r="Z555" s="5"/>
      <c r="AA555" s="5"/>
      <c r="AB555" s="5"/>
      <c r="AC555" s="5"/>
      <c r="AD555" s="5"/>
      <c r="AE555" s="5"/>
    </row>
    <row r="556" spans="1:31" customFormat="1">
      <c r="A556" s="113">
        <v>455</v>
      </c>
      <c r="B556" s="113" t="s">
        <v>489</v>
      </c>
      <c r="C556" s="120" t="s">
        <v>5759</v>
      </c>
      <c r="D556" s="124">
        <v>0.5</v>
      </c>
      <c r="E556" s="124">
        <v>0.5</v>
      </c>
      <c r="F556" s="113" t="s">
        <v>14</v>
      </c>
      <c r="G556" s="113" t="s">
        <v>2120</v>
      </c>
      <c r="H556" s="113" t="s">
        <v>14</v>
      </c>
      <c r="I556" s="113" t="s">
        <v>1109</v>
      </c>
      <c r="J556" s="118" t="s">
        <v>2129</v>
      </c>
      <c r="K556" s="118" t="s">
        <v>4658</v>
      </c>
      <c r="L556" s="118" t="s">
        <v>5759</v>
      </c>
      <c r="M556" s="115" t="s">
        <v>1109</v>
      </c>
      <c r="N556" s="115" t="s">
        <v>6399</v>
      </c>
      <c r="O556" s="115" t="s">
        <v>1109</v>
      </c>
      <c r="P556" s="113">
        <v>454</v>
      </c>
      <c r="Q556" s="113">
        <v>74</v>
      </c>
      <c r="R556" s="113">
        <v>100</v>
      </c>
      <c r="S556" s="113">
        <v>72</v>
      </c>
      <c r="T556" s="120">
        <v>90</v>
      </c>
      <c r="U556" s="113">
        <v>72</v>
      </c>
      <c r="V556" s="113">
        <v>46</v>
      </c>
      <c r="W556" s="129"/>
      <c r="X556" s="129"/>
      <c r="Y556" s="5"/>
      <c r="Z556" s="5"/>
      <c r="AA556" s="5"/>
      <c r="AB556" s="5"/>
      <c r="AC556" s="5"/>
      <c r="AD556" s="5"/>
      <c r="AE556" s="5"/>
    </row>
    <row r="557" spans="1:31" customFormat="1">
      <c r="A557" s="113">
        <v>456</v>
      </c>
      <c r="B557" s="113" t="s">
        <v>490</v>
      </c>
      <c r="C557" s="120" t="s">
        <v>5760</v>
      </c>
      <c r="D557" s="124">
        <v>0.5</v>
      </c>
      <c r="E557" s="124">
        <v>0.5</v>
      </c>
      <c r="F557" s="113" t="s">
        <v>2337</v>
      </c>
      <c r="G557" s="113" t="s">
        <v>2120</v>
      </c>
      <c r="H557" s="113" t="s">
        <v>25</v>
      </c>
      <c r="I557" s="113" t="s">
        <v>1109</v>
      </c>
      <c r="J557" s="118" t="s">
        <v>2129</v>
      </c>
      <c r="K557" s="118" t="s">
        <v>4658</v>
      </c>
      <c r="L557" s="118" t="s">
        <v>5760</v>
      </c>
      <c r="M557" s="115" t="s">
        <v>1109</v>
      </c>
      <c r="N557" s="115" t="s">
        <v>2129</v>
      </c>
      <c r="O557" s="115" t="s">
        <v>1109</v>
      </c>
      <c r="P557" s="113">
        <v>330</v>
      </c>
      <c r="Q557" s="113">
        <v>49</v>
      </c>
      <c r="R557" s="113">
        <v>49</v>
      </c>
      <c r="S557" s="113">
        <v>56</v>
      </c>
      <c r="T557" s="120">
        <v>49</v>
      </c>
      <c r="U557" s="113">
        <v>61</v>
      </c>
      <c r="V557" s="113">
        <v>66</v>
      </c>
      <c r="W557" s="129"/>
      <c r="X557" s="129"/>
      <c r="Y557" s="5"/>
      <c r="Z557" s="5"/>
      <c r="AA557" s="5"/>
      <c r="AB557" s="5"/>
      <c r="AC557" s="5"/>
      <c r="AD557" s="5"/>
      <c r="AE557" s="5"/>
    </row>
    <row r="558" spans="1:31" customFormat="1">
      <c r="A558" s="113">
        <v>457</v>
      </c>
      <c r="B558" s="113" t="s">
        <v>491</v>
      </c>
      <c r="C558" s="120" t="s">
        <v>5761</v>
      </c>
      <c r="D558" s="124">
        <v>0.5</v>
      </c>
      <c r="E558" s="124">
        <v>0.5</v>
      </c>
      <c r="F558" s="113" t="s">
        <v>2337</v>
      </c>
      <c r="G558" s="113" t="s">
        <v>2120</v>
      </c>
      <c r="H558" s="113" t="s">
        <v>25</v>
      </c>
      <c r="I558" s="113" t="s">
        <v>1109</v>
      </c>
      <c r="J558" s="118" t="s">
        <v>2129</v>
      </c>
      <c r="K558" s="118" t="s">
        <v>4658</v>
      </c>
      <c r="L558" s="118" t="s">
        <v>5760</v>
      </c>
      <c r="M558" s="115" t="s">
        <v>5760</v>
      </c>
      <c r="N558" s="115" t="s">
        <v>6399</v>
      </c>
      <c r="O558" s="115" t="s">
        <v>2128</v>
      </c>
      <c r="P558" s="113">
        <v>460</v>
      </c>
      <c r="Q558" s="113">
        <v>69</v>
      </c>
      <c r="R558" s="113">
        <v>69</v>
      </c>
      <c r="S558" s="113">
        <v>76</v>
      </c>
      <c r="T558" s="120">
        <v>69</v>
      </c>
      <c r="U558" s="113">
        <v>86</v>
      </c>
      <c r="V558" s="113">
        <v>91</v>
      </c>
      <c r="W558" s="129"/>
      <c r="X558" s="129"/>
      <c r="Y558" s="5"/>
      <c r="Z558" s="5"/>
      <c r="AA558" s="5"/>
      <c r="AB558" s="5"/>
      <c r="AC558" s="5"/>
      <c r="AD558" s="5"/>
      <c r="AE558" s="5"/>
    </row>
    <row r="559" spans="1:31" customFormat="1">
      <c r="A559" s="113">
        <v>458</v>
      </c>
      <c r="B559" s="113" t="s">
        <v>492</v>
      </c>
      <c r="C559" s="120" t="s">
        <v>5762</v>
      </c>
      <c r="D559" s="124">
        <v>0.5</v>
      </c>
      <c r="E559" s="124">
        <v>0.5</v>
      </c>
      <c r="F559" s="113" t="s">
        <v>2333</v>
      </c>
      <c r="G559" s="113" t="s">
        <v>2120</v>
      </c>
      <c r="H559" s="113" t="s">
        <v>25</v>
      </c>
      <c r="I559" s="113" t="s">
        <v>22</v>
      </c>
      <c r="J559" s="118" t="s">
        <v>2129</v>
      </c>
      <c r="K559" s="118" t="s">
        <v>4657</v>
      </c>
      <c r="L559" s="118" t="s">
        <v>5762</v>
      </c>
      <c r="M559" s="115" t="s">
        <v>1109</v>
      </c>
      <c r="N559" s="115" t="s">
        <v>2129</v>
      </c>
      <c r="O559" s="115" t="s">
        <v>1109</v>
      </c>
      <c r="P559" s="113">
        <v>345</v>
      </c>
      <c r="Q559" s="113">
        <v>45</v>
      </c>
      <c r="R559" s="113">
        <v>20</v>
      </c>
      <c r="S559" s="113">
        <v>50</v>
      </c>
      <c r="T559" s="120">
        <v>60</v>
      </c>
      <c r="U559" s="113">
        <v>120</v>
      </c>
      <c r="V559" s="113">
        <v>50</v>
      </c>
      <c r="W559" s="129"/>
      <c r="X559" s="129"/>
      <c r="Y559" s="5"/>
      <c r="Z559" s="5"/>
      <c r="AA559" s="5"/>
      <c r="AB559" s="5"/>
      <c r="AC559" s="5"/>
      <c r="AD559" s="5"/>
      <c r="AE559" s="5"/>
    </row>
    <row r="560" spans="1:31" customFormat="1">
      <c r="A560" s="113">
        <v>459</v>
      </c>
      <c r="B560" s="113" t="s">
        <v>493</v>
      </c>
      <c r="C560" s="120" t="s">
        <v>5763</v>
      </c>
      <c r="D560" s="124">
        <v>0.5</v>
      </c>
      <c r="E560" s="124">
        <v>0.5</v>
      </c>
      <c r="F560" s="113" t="s">
        <v>14</v>
      </c>
      <c r="G560" s="113" t="s">
        <v>2120</v>
      </c>
      <c r="H560" s="113" t="s">
        <v>14</v>
      </c>
      <c r="I560" s="113" t="s">
        <v>113</v>
      </c>
      <c r="J560" s="118" t="s">
        <v>2129</v>
      </c>
      <c r="K560" s="118" t="s">
        <v>4658</v>
      </c>
      <c r="L560" s="118" t="s">
        <v>5763</v>
      </c>
      <c r="M560" s="115" t="s">
        <v>1109</v>
      </c>
      <c r="N560" s="115" t="s">
        <v>2129</v>
      </c>
      <c r="O560" s="115" t="s">
        <v>1109</v>
      </c>
      <c r="P560" s="113">
        <v>334</v>
      </c>
      <c r="Q560" s="113">
        <v>60</v>
      </c>
      <c r="R560" s="113">
        <v>62</v>
      </c>
      <c r="S560" s="113">
        <v>50</v>
      </c>
      <c r="T560" s="120">
        <v>62</v>
      </c>
      <c r="U560" s="113">
        <v>60</v>
      </c>
      <c r="V560" s="113">
        <v>40</v>
      </c>
      <c r="W560" s="129"/>
      <c r="X560" s="129"/>
      <c r="Y560" s="5"/>
      <c r="Z560" s="5"/>
      <c r="AA560" s="5"/>
      <c r="AB560" s="5"/>
      <c r="AC560" s="5"/>
      <c r="AD560" s="5"/>
      <c r="AE560" s="5"/>
    </row>
    <row r="561" spans="1:31" customFormat="1">
      <c r="A561" s="113">
        <v>460</v>
      </c>
      <c r="B561" s="113" t="s">
        <v>494</v>
      </c>
      <c r="C561" s="120" t="s">
        <v>5764</v>
      </c>
      <c r="D561" s="124">
        <v>0.5</v>
      </c>
      <c r="E561" s="124">
        <v>0.5</v>
      </c>
      <c r="F561" s="113" t="s">
        <v>14</v>
      </c>
      <c r="G561" s="113" t="s">
        <v>2120</v>
      </c>
      <c r="H561" s="113" t="s">
        <v>14</v>
      </c>
      <c r="I561" s="113" t="s">
        <v>113</v>
      </c>
      <c r="J561" s="118" t="s">
        <v>2129</v>
      </c>
      <c r="K561" s="118" t="s">
        <v>4658</v>
      </c>
      <c r="L561" s="118" t="s">
        <v>5763</v>
      </c>
      <c r="M561" s="115" t="s">
        <v>5763</v>
      </c>
      <c r="N561" s="115" t="s">
        <v>6399</v>
      </c>
      <c r="O561" s="115" t="s">
        <v>2128</v>
      </c>
      <c r="P561" s="113">
        <v>494</v>
      </c>
      <c r="Q561" s="113">
        <v>90</v>
      </c>
      <c r="R561" s="113">
        <v>92</v>
      </c>
      <c r="S561" s="113">
        <v>75</v>
      </c>
      <c r="T561" s="120">
        <v>92</v>
      </c>
      <c r="U561" s="113">
        <v>85</v>
      </c>
      <c r="V561" s="113">
        <v>60</v>
      </c>
      <c r="W561" s="129"/>
      <c r="X561" s="129"/>
      <c r="Y561" s="5"/>
      <c r="Z561" s="5"/>
      <c r="AA561" s="5"/>
      <c r="AB561" s="5"/>
      <c r="AC561" s="5"/>
      <c r="AD561" s="5"/>
      <c r="AE561" s="5"/>
    </row>
    <row r="562" spans="1:31" customFormat="1" hidden="1">
      <c r="A562" s="113">
        <v>460</v>
      </c>
      <c r="B562" s="113" t="s">
        <v>2965</v>
      </c>
      <c r="C562" s="120" t="s">
        <v>5765</v>
      </c>
      <c r="D562" s="124">
        <v>0.5</v>
      </c>
      <c r="E562" s="124">
        <v>0.5</v>
      </c>
      <c r="F562" s="113" t="s">
        <v>14</v>
      </c>
      <c r="G562" s="113" t="s">
        <v>2120</v>
      </c>
      <c r="H562" s="113" t="s">
        <v>14</v>
      </c>
      <c r="I562" s="113" t="s">
        <v>113</v>
      </c>
      <c r="J562" s="118" t="s">
        <v>3973</v>
      </c>
      <c r="K562" s="118" t="s">
        <v>4659</v>
      </c>
      <c r="L562" s="118" t="s">
        <v>5763</v>
      </c>
      <c r="M562" s="115" t="s">
        <v>5764</v>
      </c>
      <c r="N562" s="115" t="s">
        <v>3973</v>
      </c>
      <c r="O562" s="115" t="s">
        <v>4480</v>
      </c>
      <c r="P562" s="113">
        <v>594</v>
      </c>
      <c r="Q562" s="113">
        <v>90</v>
      </c>
      <c r="R562" s="113">
        <v>132</v>
      </c>
      <c r="S562" s="113">
        <v>105</v>
      </c>
      <c r="T562" s="120">
        <v>132</v>
      </c>
      <c r="U562" s="113">
        <v>105</v>
      </c>
      <c r="V562" s="113">
        <v>30</v>
      </c>
      <c r="W562" s="129"/>
      <c r="X562" s="129"/>
      <c r="Y562" s="5"/>
      <c r="Z562" s="5"/>
      <c r="AA562" s="5"/>
      <c r="AB562" s="5"/>
      <c r="AC562" s="5"/>
      <c r="AD562" s="5"/>
      <c r="AE562" s="5"/>
    </row>
    <row r="563" spans="1:31" customFormat="1">
      <c r="A563" s="113">
        <v>461</v>
      </c>
      <c r="B563" s="113" t="s">
        <v>495</v>
      </c>
      <c r="C563" s="120" t="s">
        <v>5766</v>
      </c>
      <c r="D563" s="124">
        <v>0.5</v>
      </c>
      <c r="E563" s="124">
        <v>0.5</v>
      </c>
      <c r="F563" s="113" t="s">
        <v>2332</v>
      </c>
      <c r="G563" s="113" t="s">
        <v>2120</v>
      </c>
      <c r="H563" s="113" t="s">
        <v>158</v>
      </c>
      <c r="I563" s="113" t="s">
        <v>113</v>
      </c>
      <c r="J563" s="118" t="s">
        <v>2129</v>
      </c>
      <c r="K563" s="118" t="s">
        <v>4658</v>
      </c>
      <c r="L563" s="118" t="s">
        <v>5483</v>
      </c>
      <c r="M563" s="115" t="s">
        <v>5483</v>
      </c>
      <c r="N563" s="115" t="s">
        <v>6399</v>
      </c>
      <c r="O563" s="115" t="s">
        <v>2130</v>
      </c>
      <c r="P563" s="113">
        <v>510</v>
      </c>
      <c r="Q563" s="113">
        <v>70</v>
      </c>
      <c r="R563" s="113">
        <v>120</v>
      </c>
      <c r="S563" s="113">
        <v>65</v>
      </c>
      <c r="T563" s="120">
        <v>45</v>
      </c>
      <c r="U563" s="113">
        <v>85</v>
      </c>
      <c r="V563" s="113">
        <v>125</v>
      </c>
      <c r="W563" s="129"/>
      <c r="X563" s="129"/>
      <c r="Y563" s="5"/>
      <c r="Z563" s="5"/>
      <c r="AA563" s="5"/>
      <c r="AB563" s="5"/>
      <c r="AC563" s="5"/>
      <c r="AD563" s="5"/>
      <c r="AE563" s="5"/>
    </row>
    <row r="564" spans="1:31" customFormat="1">
      <c r="A564" s="113">
        <v>462</v>
      </c>
      <c r="B564" s="113" t="s">
        <v>496</v>
      </c>
      <c r="C564" s="120" t="s">
        <v>5767</v>
      </c>
      <c r="D564" s="124" t="s">
        <v>1109</v>
      </c>
      <c r="E564" s="124" t="s">
        <v>1109</v>
      </c>
      <c r="F564" s="113" t="s">
        <v>2112</v>
      </c>
      <c r="G564" s="113" t="s">
        <v>2120</v>
      </c>
      <c r="H564" s="113" t="s">
        <v>46</v>
      </c>
      <c r="I564" s="113" t="s">
        <v>106</v>
      </c>
      <c r="J564" s="118" t="s">
        <v>2129</v>
      </c>
      <c r="K564" s="118" t="s">
        <v>2712</v>
      </c>
      <c r="L564" s="118" t="s">
        <v>5320</v>
      </c>
      <c r="M564" s="115" t="s">
        <v>5766</v>
      </c>
      <c r="N564" s="115" t="s">
        <v>6399</v>
      </c>
      <c r="O564" s="115" t="s">
        <v>1803</v>
      </c>
      <c r="P564" s="113">
        <v>535</v>
      </c>
      <c r="Q564" s="113">
        <v>70</v>
      </c>
      <c r="R564" s="113">
        <v>70</v>
      </c>
      <c r="S564" s="113">
        <v>115</v>
      </c>
      <c r="T564" s="120">
        <v>130</v>
      </c>
      <c r="U564" s="113">
        <v>90</v>
      </c>
      <c r="V564" s="113">
        <v>60</v>
      </c>
      <c r="W564" s="129"/>
      <c r="X564" s="129"/>
      <c r="Y564" s="5"/>
      <c r="Z564" s="5"/>
      <c r="AA564" s="5"/>
      <c r="AB564" s="5"/>
      <c r="AC564" s="5"/>
      <c r="AD564" s="5"/>
      <c r="AE564" s="5"/>
    </row>
    <row r="565" spans="1:31" customFormat="1">
      <c r="A565" s="113">
        <v>463</v>
      </c>
      <c r="B565" s="113" t="s">
        <v>497</v>
      </c>
      <c r="C565" s="120" t="s">
        <v>5768</v>
      </c>
      <c r="D565" s="124">
        <v>0.5</v>
      </c>
      <c r="E565" s="124">
        <v>0.5</v>
      </c>
      <c r="F565" s="113" t="s">
        <v>2330</v>
      </c>
      <c r="G565" s="113" t="s">
        <v>2120</v>
      </c>
      <c r="H565" s="113" t="s">
        <v>36</v>
      </c>
      <c r="I565" s="113" t="s">
        <v>1109</v>
      </c>
      <c r="J565" s="118" t="s">
        <v>2129</v>
      </c>
      <c r="K565" s="118" t="s">
        <v>4657</v>
      </c>
      <c r="L565" s="118" t="s">
        <v>5355</v>
      </c>
      <c r="M565" s="115" t="s">
        <v>5355</v>
      </c>
      <c r="N565" s="115" t="s">
        <v>6399</v>
      </c>
      <c r="O565" s="115" t="s">
        <v>2128</v>
      </c>
      <c r="P565" s="113">
        <v>515</v>
      </c>
      <c r="Q565" s="113">
        <v>110</v>
      </c>
      <c r="R565" s="113">
        <v>85</v>
      </c>
      <c r="S565" s="113">
        <v>95</v>
      </c>
      <c r="T565" s="120">
        <v>80</v>
      </c>
      <c r="U565" s="113">
        <v>95</v>
      </c>
      <c r="V565" s="113">
        <v>50</v>
      </c>
      <c r="W565" s="129"/>
      <c r="X565" s="129"/>
      <c r="Y565" s="5"/>
      <c r="Z565" s="5"/>
      <c r="AA565" s="5"/>
      <c r="AB565" s="5"/>
      <c r="AC565" s="5"/>
      <c r="AD565" s="5"/>
      <c r="AE565" s="5"/>
    </row>
    <row r="566" spans="1:31" customFormat="1">
      <c r="A566" s="113">
        <v>464</v>
      </c>
      <c r="B566" s="113" t="s">
        <v>498</v>
      </c>
      <c r="C566" s="120" t="s">
        <v>5769</v>
      </c>
      <c r="D566" s="124">
        <v>0.5</v>
      </c>
      <c r="E566" s="124">
        <v>0.5</v>
      </c>
      <c r="F566" s="113" t="s">
        <v>2332</v>
      </c>
      <c r="G566" s="113" t="s">
        <v>2120</v>
      </c>
      <c r="H566" s="113" t="s">
        <v>49</v>
      </c>
      <c r="I566" s="113" t="s">
        <v>98</v>
      </c>
      <c r="J566" s="118" t="s">
        <v>2129</v>
      </c>
      <c r="K566" s="118" t="s">
        <v>4658</v>
      </c>
      <c r="L566" s="118" t="s">
        <v>5359</v>
      </c>
      <c r="M566" s="115" t="s">
        <v>5360</v>
      </c>
      <c r="N566" s="115" t="s">
        <v>6399</v>
      </c>
      <c r="O566" s="115" t="s">
        <v>2130</v>
      </c>
      <c r="P566" s="113">
        <v>535</v>
      </c>
      <c r="Q566" s="113">
        <v>115</v>
      </c>
      <c r="R566" s="113">
        <v>140</v>
      </c>
      <c r="S566" s="113">
        <v>130</v>
      </c>
      <c r="T566" s="120">
        <v>55</v>
      </c>
      <c r="U566" s="113">
        <v>55</v>
      </c>
      <c r="V566" s="113">
        <v>40</v>
      </c>
      <c r="W566" s="129"/>
      <c r="X566" s="129"/>
      <c r="Y566" s="5"/>
      <c r="Z566" s="5"/>
      <c r="AA566" s="5"/>
      <c r="AB566" s="5"/>
      <c r="AC566" s="5"/>
      <c r="AD566" s="5"/>
      <c r="AE566" s="5"/>
    </row>
    <row r="567" spans="1:31" customFormat="1">
      <c r="A567" s="113">
        <v>465</v>
      </c>
      <c r="B567" s="113" t="s">
        <v>499</v>
      </c>
      <c r="C567" s="120" t="s">
        <v>5770</v>
      </c>
      <c r="D567" s="124">
        <v>0.5</v>
      </c>
      <c r="E567" s="124">
        <v>0.5</v>
      </c>
      <c r="F567" s="113" t="s">
        <v>14</v>
      </c>
      <c r="G567" s="113" t="s">
        <v>2120</v>
      </c>
      <c r="H567" s="113" t="s">
        <v>14</v>
      </c>
      <c r="I567" s="113" t="s">
        <v>1109</v>
      </c>
      <c r="J567" s="118" t="s">
        <v>2129</v>
      </c>
      <c r="K567" s="118" t="s">
        <v>4658</v>
      </c>
      <c r="L567" s="118" t="s">
        <v>5362</v>
      </c>
      <c r="M567" s="115" t="s">
        <v>5362</v>
      </c>
      <c r="N567" s="115" t="s">
        <v>6399</v>
      </c>
      <c r="O567" s="115" t="s">
        <v>2128</v>
      </c>
      <c r="P567" s="113">
        <v>535</v>
      </c>
      <c r="Q567" s="113">
        <v>100</v>
      </c>
      <c r="R567" s="113">
        <v>100</v>
      </c>
      <c r="S567" s="113">
        <v>125</v>
      </c>
      <c r="T567" s="120">
        <v>110</v>
      </c>
      <c r="U567" s="113">
        <v>50</v>
      </c>
      <c r="V567" s="113">
        <v>50</v>
      </c>
      <c r="W567" s="129"/>
      <c r="X567" s="129"/>
      <c r="Y567" s="5"/>
      <c r="Z567" s="5"/>
      <c r="AA567" s="5"/>
      <c r="AB567" s="5"/>
      <c r="AC567" s="5"/>
      <c r="AD567" s="5"/>
      <c r="AE567" s="5"/>
    </row>
    <row r="568" spans="1:31" customFormat="1">
      <c r="A568" s="113">
        <v>466</v>
      </c>
      <c r="B568" s="113" t="s">
        <v>500</v>
      </c>
      <c r="C568" s="120" t="s">
        <v>5771</v>
      </c>
      <c r="D568" s="124">
        <v>0.75</v>
      </c>
      <c r="E568" s="124">
        <v>0.25</v>
      </c>
      <c r="F568" s="113" t="s">
        <v>2334</v>
      </c>
      <c r="G568" s="113" t="s">
        <v>2120</v>
      </c>
      <c r="H568" s="113" t="s">
        <v>46</v>
      </c>
      <c r="I568" s="113" t="s">
        <v>1109</v>
      </c>
      <c r="J568" s="118" t="s">
        <v>2129</v>
      </c>
      <c r="K568" s="118" t="s">
        <v>4657</v>
      </c>
      <c r="L568" s="118" t="s">
        <v>5510</v>
      </c>
      <c r="M568" s="115" t="s">
        <v>5375</v>
      </c>
      <c r="N568" s="115" t="s">
        <v>6399</v>
      </c>
      <c r="O568" s="115" t="s">
        <v>2130</v>
      </c>
      <c r="P568" s="113">
        <v>540</v>
      </c>
      <c r="Q568" s="113">
        <v>75</v>
      </c>
      <c r="R568" s="113">
        <v>123</v>
      </c>
      <c r="S568" s="113">
        <v>67</v>
      </c>
      <c r="T568" s="120">
        <v>95</v>
      </c>
      <c r="U568" s="113">
        <v>85</v>
      </c>
      <c r="V568" s="113">
        <v>95</v>
      </c>
      <c r="W568" s="129"/>
      <c r="X568" s="129"/>
      <c r="Y568" s="5"/>
      <c r="Z568" s="5"/>
      <c r="AA568" s="5"/>
      <c r="AB568" s="5"/>
      <c r="AC568" s="5"/>
      <c r="AD568" s="5"/>
      <c r="AE568" s="5"/>
    </row>
    <row r="569" spans="1:31" customFormat="1">
      <c r="A569" s="113">
        <v>467</v>
      </c>
      <c r="B569" s="113" t="s">
        <v>501</v>
      </c>
      <c r="C569" s="120" t="s">
        <v>5772</v>
      </c>
      <c r="D569" s="124">
        <v>0.75</v>
      </c>
      <c r="E569" s="124">
        <v>0.25</v>
      </c>
      <c r="F569" s="113" t="s">
        <v>2334</v>
      </c>
      <c r="G569" s="113" t="s">
        <v>2120</v>
      </c>
      <c r="H569" s="113" t="s">
        <v>19</v>
      </c>
      <c r="I569" s="113" t="s">
        <v>1109</v>
      </c>
      <c r="J569" s="118" t="s">
        <v>2129</v>
      </c>
      <c r="K569" s="118" t="s">
        <v>4657</v>
      </c>
      <c r="L569" s="118" t="s">
        <v>5511</v>
      </c>
      <c r="M569" s="115" t="s">
        <v>5376</v>
      </c>
      <c r="N569" s="115" t="s">
        <v>6399</v>
      </c>
      <c r="O569" s="115" t="s">
        <v>2130</v>
      </c>
      <c r="P569" s="113">
        <v>540</v>
      </c>
      <c r="Q569" s="113">
        <v>75</v>
      </c>
      <c r="R569" s="113">
        <v>95</v>
      </c>
      <c r="S569" s="113">
        <v>67</v>
      </c>
      <c r="T569" s="120">
        <v>125</v>
      </c>
      <c r="U569" s="113">
        <v>95</v>
      </c>
      <c r="V569" s="113">
        <v>83</v>
      </c>
      <c r="W569" s="129"/>
      <c r="X569" s="129"/>
      <c r="Y569" s="5"/>
      <c r="Z569" s="5"/>
      <c r="AA569" s="5"/>
      <c r="AB569" s="5"/>
      <c r="AC569" s="5"/>
      <c r="AD569" s="5"/>
      <c r="AE569" s="5"/>
    </row>
    <row r="570" spans="1:31" customFormat="1">
      <c r="A570" s="113">
        <v>468</v>
      </c>
      <c r="B570" s="113" t="s">
        <v>502</v>
      </c>
      <c r="C570" s="120" t="s">
        <v>5773</v>
      </c>
      <c r="D570" s="124">
        <v>0.85</v>
      </c>
      <c r="E570" s="124">
        <v>0.15</v>
      </c>
      <c r="F570" s="113" t="s">
        <v>56</v>
      </c>
      <c r="G570" s="113" t="s">
        <v>2120</v>
      </c>
      <c r="H570" s="113" t="s">
        <v>56</v>
      </c>
      <c r="I570" s="113" t="s">
        <v>22</v>
      </c>
      <c r="J570" s="118" t="s">
        <v>2129</v>
      </c>
      <c r="K570" s="118" t="s">
        <v>4658</v>
      </c>
      <c r="L570" s="118" t="s">
        <v>5436</v>
      </c>
      <c r="M570" s="115" t="s">
        <v>5437</v>
      </c>
      <c r="N570" s="115" t="s">
        <v>6399</v>
      </c>
      <c r="O570" s="115" t="s">
        <v>1803</v>
      </c>
      <c r="P570" s="113">
        <v>545</v>
      </c>
      <c r="Q570" s="113">
        <v>85</v>
      </c>
      <c r="R570" s="113">
        <v>50</v>
      </c>
      <c r="S570" s="113">
        <v>95</v>
      </c>
      <c r="T570" s="120">
        <v>120</v>
      </c>
      <c r="U570" s="113">
        <v>115</v>
      </c>
      <c r="V570" s="113">
        <v>80</v>
      </c>
      <c r="W570" s="129"/>
      <c r="X570" s="129"/>
      <c r="Y570" s="5"/>
      <c r="Z570" s="5"/>
      <c r="AA570" s="5"/>
      <c r="AB570" s="5"/>
      <c r="AC570" s="5"/>
      <c r="AD570" s="5"/>
      <c r="AE570" s="5"/>
    </row>
    <row r="571" spans="1:31" customFormat="1">
      <c r="A571" s="113">
        <v>469</v>
      </c>
      <c r="B571" s="113" t="s">
        <v>2140</v>
      </c>
      <c r="C571" s="120" t="s">
        <v>5774</v>
      </c>
      <c r="D571" s="124">
        <v>0.5</v>
      </c>
      <c r="E571" s="124">
        <v>0.5</v>
      </c>
      <c r="F571" s="113" t="s">
        <v>29</v>
      </c>
      <c r="G571" s="113" t="s">
        <v>2120</v>
      </c>
      <c r="H571" s="113" t="s">
        <v>29</v>
      </c>
      <c r="I571" s="113" t="s">
        <v>22</v>
      </c>
      <c r="J571" s="118" t="s">
        <v>2129</v>
      </c>
      <c r="K571" s="118" t="s">
        <v>4657</v>
      </c>
      <c r="L571" s="118" t="s">
        <v>5455</v>
      </c>
      <c r="M571" s="115" t="s">
        <v>5455</v>
      </c>
      <c r="N571" s="115" t="s">
        <v>6399</v>
      </c>
      <c r="O571" s="115" t="s">
        <v>2128</v>
      </c>
      <c r="P571" s="113">
        <v>515</v>
      </c>
      <c r="Q571" s="113">
        <v>86</v>
      </c>
      <c r="R571" s="113">
        <v>76</v>
      </c>
      <c r="S571" s="113">
        <v>86</v>
      </c>
      <c r="T571" s="120">
        <v>116</v>
      </c>
      <c r="U571" s="113">
        <v>56</v>
      </c>
      <c r="V571" s="113">
        <v>95</v>
      </c>
      <c r="W571" s="129"/>
      <c r="X571" s="129"/>
      <c r="Y571" s="5"/>
      <c r="Z571" s="5"/>
      <c r="AA571" s="5"/>
      <c r="AB571" s="5"/>
      <c r="AC571" s="5"/>
      <c r="AD571" s="5"/>
      <c r="AE571" s="5"/>
    </row>
    <row r="572" spans="1:31" customFormat="1">
      <c r="A572" s="113">
        <v>470</v>
      </c>
      <c r="B572" s="113" t="s">
        <v>503</v>
      </c>
      <c r="C572" s="120" t="s">
        <v>5775</v>
      </c>
      <c r="D572" s="124">
        <v>0.85</v>
      </c>
      <c r="E572" s="124">
        <v>0.15</v>
      </c>
      <c r="F572" s="113" t="s">
        <v>2332</v>
      </c>
      <c r="G572" s="113" t="s">
        <v>2120</v>
      </c>
      <c r="H572" s="113" t="s">
        <v>14</v>
      </c>
      <c r="I572" s="113" t="s">
        <v>1109</v>
      </c>
      <c r="J572" s="118" t="s">
        <v>2129</v>
      </c>
      <c r="K572" s="137" t="s">
        <v>4658</v>
      </c>
      <c r="L572" s="118" t="s">
        <v>5386</v>
      </c>
      <c r="M572" s="115" t="s">
        <v>5386</v>
      </c>
      <c r="N572" s="115" t="s">
        <v>6399</v>
      </c>
      <c r="O572" s="115" t="s">
        <v>1803</v>
      </c>
      <c r="P572" s="113">
        <v>525</v>
      </c>
      <c r="Q572" s="113">
        <v>65</v>
      </c>
      <c r="R572" s="113">
        <v>110</v>
      </c>
      <c r="S572" s="113">
        <v>130</v>
      </c>
      <c r="T572" s="120">
        <v>60</v>
      </c>
      <c r="U572" s="113">
        <v>65</v>
      </c>
      <c r="V572" s="113">
        <v>95</v>
      </c>
      <c r="W572" s="129"/>
      <c r="X572" s="129"/>
      <c r="Y572" s="5"/>
      <c r="Z572" s="5"/>
      <c r="AA572" s="5"/>
      <c r="AB572" s="5"/>
      <c r="AC572" s="5"/>
      <c r="AD572" s="5"/>
      <c r="AE572" s="5"/>
    </row>
    <row r="573" spans="1:31" customFormat="1">
      <c r="A573" s="113">
        <v>471</v>
      </c>
      <c r="B573" s="113" t="s">
        <v>504</v>
      </c>
      <c r="C573" s="120" t="s">
        <v>5776</v>
      </c>
      <c r="D573" s="124">
        <v>0.85</v>
      </c>
      <c r="E573" s="124">
        <v>0.15</v>
      </c>
      <c r="F573" s="113" t="s">
        <v>2332</v>
      </c>
      <c r="G573" s="113" t="s">
        <v>2120</v>
      </c>
      <c r="H573" s="113" t="s">
        <v>113</v>
      </c>
      <c r="I573" s="113" t="s">
        <v>1109</v>
      </c>
      <c r="J573" s="118" t="s">
        <v>2129</v>
      </c>
      <c r="K573" s="137" t="s">
        <v>4658</v>
      </c>
      <c r="L573" s="118" t="s">
        <v>5386</v>
      </c>
      <c r="M573" s="115" t="s">
        <v>5386</v>
      </c>
      <c r="N573" s="115" t="s">
        <v>6399</v>
      </c>
      <c r="O573" s="115" t="s">
        <v>1803</v>
      </c>
      <c r="P573" s="113">
        <v>525</v>
      </c>
      <c r="Q573" s="113">
        <v>65</v>
      </c>
      <c r="R573" s="113">
        <v>60</v>
      </c>
      <c r="S573" s="113">
        <v>110</v>
      </c>
      <c r="T573" s="120">
        <v>130</v>
      </c>
      <c r="U573" s="113">
        <v>95</v>
      </c>
      <c r="V573" s="113">
        <v>65</v>
      </c>
      <c r="W573" s="129"/>
      <c r="X573" s="129"/>
      <c r="Y573" s="5"/>
      <c r="Z573" s="5"/>
      <c r="AA573" s="5"/>
      <c r="AB573" s="5"/>
      <c r="AC573" s="5"/>
      <c r="AD573" s="5"/>
      <c r="AE573" s="5"/>
    </row>
    <row r="574" spans="1:31" customFormat="1">
      <c r="A574" s="113">
        <v>472</v>
      </c>
      <c r="B574" s="113" t="s">
        <v>505</v>
      </c>
      <c r="C574" s="120" t="s">
        <v>5777</v>
      </c>
      <c r="D574" s="124">
        <v>0.5</v>
      </c>
      <c r="E574" s="124">
        <v>0.5</v>
      </c>
      <c r="F574" s="113" t="s">
        <v>29</v>
      </c>
      <c r="G574" s="113" t="s">
        <v>2120</v>
      </c>
      <c r="H574" s="113" t="s">
        <v>49</v>
      </c>
      <c r="I574" s="113" t="s">
        <v>22</v>
      </c>
      <c r="J574" s="118" t="s">
        <v>2129</v>
      </c>
      <c r="K574" s="118" t="s">
        <v>4657</v>
      </c>
      <c r="L574" s="118" t="s">
        <v>5471</v>
      </c>
      <c r="M574" s="115" t="s">
        <v>5471</v>
      </c>
      <c r="N574" s="115" t="s">
        <v>6399</v>
      </c>
      <c r="O574" s="115" t="s">
        <v>2130</v>
      </c>
      <c r="P574" s="113">
        <v>510</v>
      </c>
      <c r="Q574" s="113">
        <v>75</v>
      </c>
      <c r="R574" s="113">
        <v>95</v>
      </c>
      <c r="S574" s="113">
        <v>125</v>
      </c>
      <c r="T574" s="120">
        <v>45</v>
      </c>
      <c r="U574" s="113">
        <v>75</v>
      </c>
      <c r="V574" s="113">
        <v>95</v>
      </c>
      <c r="W574" s="129"/>
      <c r="X574" s="129"/>
      <c r="Y574" s="5"/>
      <c r="Z574" s="5"/>
      <c r="AA574" s="5"/>
      <c r="AB574" s="5"/>
      <c r="AC574" s="5"/>
      <c r="AD574" s="5"/>
      <c r="AE574" s="5"/>
    </row>
    <row r="575" spans="1:31" customFormat="1">
      <c r="A575" s="113">
        <v>473</v>
      </c>
      <c r="B575" s="113" t="s">
        <v>506</v>
      </c>
      <c r="C575" s="120" t="s">
        <v>5778</v>
      </c>
      <c r="D575" s="124">
        <v>0.5</v>
      </c>
      <c r="E575" s="124">
        <v>0.5</v>
      </c>
      <c r="F575" s="113" t="s">
        <v>2332</v>
      </c>
      <c r="G575" s="113" t="s">
        <v>2120</v>
      </c>
      <c r="H575" s="113" t="s">
        <v>113</v>
      </c>
      <c r="I575" s="113" t="s">
        <v>49</v>
      </c>
      <c r="J575" s="118" t="s">
        <v>2129</v>
      </c>
      <c r="K575" s="118" t="s">
        <v>2712</v>
      </c>
      <c r="L575" s="118" t="s">
        <v>5489</v>
      </c>
      <c r="M575" s="115" t="s">
        <v>5490</v>
      </c>
      <c r="N575" s="115" t="s">
        <v>6399</v>
      </c>
      <c r="O575" s="115" t="s">
        <v>2128</v>
      </c>
      <c r="P575" s="113">
        <v>530</v>
      </c>
      <c r="Q575" s="113">
        <v>110</v>
      </c>
      <c r="R575" s="113">
        <v>130</v>
      </c>
      <c r="S575" s="113">
        <v>80</v>
      </c>
      <c r="T575" s="120">
        <v>70</v>
      </c>
      <c r="U575" s="113">
        <v>60</v>
      </c>
      <c r="V575" s="113">
        <v>80</v>
      </c>
      <c r="W575" s="129"/>
      <c r="X575" s="129"/>
      <c r="Y575" s="5"/>
      <c r="Z575" s="5"/>
      <c r="AA575" s="5"/>
      <c r="AB575" s="5"/>
      <c r="AC575" s="5"/>
      <c r="AD575" s="5"/>
      <c r="AE575" s="5"/>
    </row>
    <row r="576" spans="1:31" customFormat="1">
      <c r="A576" s="113">
        <v>474</v>
      </c>
      <c r="B576" s="113" t="s">
        <v>507</v>
      </c>
      <c r="C576" s="120" t="s">
        <v>5779</v>
      </c>
      <c r="D576" s="124" t="s">
        <v>1109</v>
      </c>
      <c r="E576" s="124" t="s">
        <v>1109</v>
      </c>
      <c r="F576" s="113" t="s">
        <v>2112</v>
      </c>
      <c r="G576" s="113" t="s">
        <v>2120</v>
      </c>
      <c r="H576" s="113" t="s">
        <v>36</v>
      </c>
      <c r="I576" s="113" t="s">
        <v>1109</v>
      </c>
      <c r="J576" s="118" t="s">
        <v>2129</v>
      </c>
      <c r="K576" s="118" t="s">
        <v>4657</v>
      </c>
      <c r="L576" s="118" t="s">
        <v>5391</v>
      </c>
      <c r="M576" s="115" t="s">
        <v>5504</v>
      </c>
      <c r="N576" s="115" t="s">
        <v>6399</v>
      </c>
      <c r="O576" s="115" t="s">
        <v>2130</v>
      </c>
      <c r="P576" s="113">
        <v>535</v>
      </c>
      <c r="Q576" s="113">
        <v>85</v>
      </c>
      <c r="R576" s="113">
        <v>80</v>
      </c>
      <c r="S576" s="113">
        <v>70</v>
      </c>
      <c r="T576" s="120">
        <v>135</v>
      </c>
      <c r="U576" s="113">
        <v>75</v>
      </c>
      <c r="V576" s="113">
        <v>90</v>
      </c>
      <c r="W576" s="129"/>
      <c r="X576" s="129"/>
      <c r="Y576" s="5"/>
      <c r="Z576" s="5"/>
      <c r="AA576" s="5"/>
      <c r="AB576" s="5"/>
      <c r="AC576" s="5"/>
      <c r="AD576" s="5"/>
      <c r="AE576" s="5"/>
    </row>
    <row r="577" spans="1:31" customFormat="1">
      <c r="A577" s="113">
        <v>475</v>
      </c>
      <c r="B577" s="113" t="s">
        <v>508</v>
      </c>
      <c r="C577" s="120" t="s">
        <v>5780</v>
      </c>
      <c r="D577" s="124">
        <v>1</v>
      </c>
      <c r="E577" s="124">
        <v>0</v>
      </c>
      <c r="F577" s="113" t="s">
        <v>2334</v>
      </c>
      <c r="G577" s="113" t="s">
        <v>2120</v>
      </c>
      <c r="H577" s="113" t="s">
        <v>86</v>
      </c>
      <c r="I577" s="113" t="s">
        <v>78</v>
      </c>
      <c r="J577" s="118" t="s">
        <v>2129</v>
      </c>
      <c r="K577" s="118" t="s">
        <v>4657</v>
      </c>
      <c r="L577" s="118" t="s">
        <v>5557</v>
      </c>
      <c r="M577" s="115" t="s">
        <v>5558</v>
      </c>
      <c r="N577" s="115" t="s">
        <v>6399</v>
      </c>
      <c r="O577" s="115" t="s">
        <v>2128</v>
      </c>
      <c r="P577" s="113">
        <v>518</v>
      </c>
      <c r="Q577" s="113">
        <v>68</v>
      </c>
      <c r="R577" s="113">
        <v>125</v>
      </c>
      <c r="S577" s="113">
        <v>65</v>
      </c>
      <c r="T577" s="120">
        <v>65</v>
      </c>
      <c r="U577" s="113">
        <v>115</v>
      </c>
      <c r="V577" s="113">
        <v>80</v>
      </c>
      <c r="W577" s="129"/>
      <c r="X577" s="129"/>
      <c r="Y577" s="5"/>
      <c r="Z577" s="5"/>
      <c r="AA577" s="5"/>
      <c r="AB577" s="5"/>
      <c r="AC577" s="5"/>
      <c r="AD577" s="5"/>
      <c r="AE577" s="5"/>
    </row>
    <row r="578" spans="1:31" customFormat="1" hidden="1">
      <c r="A578" s="113">
        <v>475</v>
      </c>
      <c r="B578" s="113" t="s">
        <v>2967</v>
      </c>
      <c r="C578" s="120" t="s">
        <v>5781</v>
      </c>
      <c r="D578" s="124">
        <v>1</v>
      </c>
      <c r="E578" s="124">
        <v>0</v>
      </c>
      <c r="F578" s="113" t="s">
        <v>2334</v>
      </c>
      <c r="G578" s="113" t="s">
        <v>2120</v>
      </c>
      <c r="H578" s="113" t="s">
        <v>86</v>
      </c>
      <c r="I578" s="113" t="s">
        <v>78</v>
      </c>
      <c r="J578" s="118" t="s">
        <v>3973</v>
      </c>
      <c r="K578" s="118" t="s">
        <v>4659</v>
      </c>
      <c r="L578" s="118" t="s">
        <v>5557</v>
      </c>
      <c r="M578" s="115" t="s">
        <v>5780</v>
      </c>
      <c r="N578" s="115" t="s">
        <v>3973</v>
      </c>
      <c r="O578" s="115" t="s">
        <v>4480</v>
      </c>
      <c r="P578" s="113">
        <v>618</v>
      </c>
      <c r="Q578" s="113">
        <v>68</v>
      </c>
      <c r="R578" s="113">
        <v>165</v>
      </c>
      <c r="S578" s="113">
        <v>95</v>
      </c>
      <c r="T578" s="120">
        <v>65</v>
      </c>
      <c r="U578" s="113">
        <v>115</v>
      </c>
      <c r="V578" s="113">
        <v>110</v>
      </c>
      <c r="W578" s="129"/>
      <c r="X578" s="129"/>
      <c r="Y578" s="5"/>
      <c r="Z578" s="5"/>
      <c r="AA578" s="5"/>
      <c r="AB578" s="5"/>
      <c r="AC578" s="5"/>
      <c r="AD578" s="5"/>
      <c r="AE578" s="5"/>
    </row>
    <row r="579" spans="1:31" customFormat="1">
      <c r="A579" s="113">
        <v>476</v>
      </c>
      <c r="B579" s="113" t="s">
        <v>509</v>
      </c>
      <c r="C579" s="120" t="s">
        <v>5782</v>
      </c>
      <c r="D579" s="124">
        <v>0.5</v>
      </c>
      <c r="E579" s="124">
        <v>0.5</v>
      </c>
      <c r="F579" s="113" t="s">
        <v>2112</v>
      </c>
      <c r="G579" s="113" t="s">
        <v>2120</v>
      </c>
      <c r="H579" s="113" t="s">
        <v>98</v>
      </c>
      <c r="I579" s="113" t="s">
        <v>106</v>
      </c>
      <c r="J579" s="118" t="s">
        <v>2129</v>
      </c>
      <c r="K579" s="118" t="s">
        <v>4657</v>
      </c>
      <c r="L579" s="118" t="s">
        <v>5577</v>
      </c>
      <c r="M579" s="115" t="s">
        <v>5577</v>
      </c>
      <c r="N579" s="115" t="s">
        <v>6399</v>
      </c>
      <c r="O579" s="115" t="s">
        <v>2128</v>
      </c>
      <c r="P579" s="113">
        <v>525</v>
      </c>
      <c r="Q579" s="113">
        <v>60</v>
      </c>
      <c r="R579" s="113">
        <v>55</v>
      </c>
      <c r="S579" s="113">
        <v>145</v>
      </c>
      <c r="T579" s="120">
        <v>75</v>
      </c>
      <c r="U579" s="113">
        <v>150</v>
      </c>
      <c r="V579" s="113">
        <v>40</v>
      </c>
      <c r="W579" s="129"/>
      <c r="X579" s="129"/>
      <c r="Y579" s="5"/>
      <c r="Z579" s="5"/>
      <c r="AA579" s="5"/>
      <c r="AB579" s="5"/>
      <c r="AC579" s="5"/>
      <c r="AD579" s="5"/>
      <c r="AE579" s="5"/>
    </row>
    <row r="580" spans="1:31" customFormat="1">
      <c r="A580" s="113">
        <v>477</v>
      </c>
      <c r="B580" s="113" t="s">
        <v>510</v>
      </c>
      <c r="C580" s="120" t="s">
        <v>5783</v>
      </c>
      <c r="D580" s="124">
        <v>0.5</v>
      </c>
      <c r="E580" s="124">
        <v>0.5</v>
      </c>
      <c r="F580" s="113" t="s">
        <v>2336</v>
      </c>
      <c r="G580" s="113" t="s">
        <v>2120</v>
      </c>
      <c r="H580" s="113" t="s">
        <v>119</v>
      </c>
      <c r="I580" s="113" t="s">
        <v>1109</v>
      </c>
      <c r="J580" s="118" t="s">
        <v>2129</v>
      </c>
      <c r="K580" s="118" t="s">
        <v>4658</v>
      </c>
      <c r="L580" s="118" t="s">
        <v>5642</v>
      </c>
      <c r="M580" s="115" t="s">
        <v>5643</v>
      </c>
      <c r="N580" s="115" t="s">
        <v>6399</v>
      </c>
      <c r="O580" s="115" t="s">
        <v>2130</v>
      </c>
      <c r="P580" s="113">
        <v>525</v>
      </c>
      <c r="Q580" s="113">
        <v>45</v>
      </c>
      <c r="R580" s="113">
        <v>100</v>
      </c>
      <c r="S580" s="113">
        <v>135</v>
      </c>
      <c r="T580" s="120">
        <v>65</v>
      </c>
      <c r="U580" s="113">
        <v>135</v>
      </c>
      <c r="V580" s="113">
        <v>45</v>
      </c>
      <c r="W580" s="129"/>
      <c r="X580" s="129"/>
      <c r="Y580" s="5"/>
      <c r="Z580" s="5"/>
      <c r="AA580" s="5"/>
      <c r="AB580" s="5"/>
      <c r="AC580" s="5"/>
      <c r="AD580" s="5"/>
      <c r="AE580" s="5"/>
    </row>
    <row r="581" spans="1:31" customFormat="1">
      <c r="A581" s="113">
        <v>478</v>
      </c>
      <c r="B581" s="113" t="s">
        <v>511</v>
      </c>
      <c r="C581" s="120" t="s">
        <v>5784</v>
      </c>
      <c r="D581" s="124">
        <v>0</v>
      </c>
      <c r="E581" s="124">
        <v>1</v>
      </c>
      <c r="F581" s="113" t="s">
        <v>56</v>
      </c>
      <c r="G581" s="113" t="s">
        <v>2120</v>
      </c>
      <c r="H581" s="113" t="s">
        <v>113</v>
      </c>
      <c r="I581" s="113" t="s">
        <v>119</v>
      </c>
      <c r="J581" s="118" t="s">
        <v>2129</v>
      </c>
      <c r="K581" s="118" t="s">
        <v>4658</v>
      </c>
      <c r="L581" s="118" t="s">
        <v>5649</v>
      </c>
      <c r="M581" s="115" t="s">
        <v>5649</v>
      </c>
      <c r="N581" s="115" t="s">
        <v>6399</v>
      </c>
      <c r="O581" s="115" t="s">
        <v>1803</v>
      </c>
      <c r="P581" s="113">
        <v>480</v>
      </c>
      <c r="Q581" s="113">
        <v>70</v>
      </c>
      <c r="R581" s="113">
        <v>80</v>
      </c>
      <c r="S581" s="113">
        <v>70</v>
      </c>
      <c r="T581" s="120">
        <v>80</v>
      </c>
      <c r="U581" s="113">
        <v>70</v>
      </c>
      <c r="V581" s="113">
        <v>110</v>
      </c>
      <c r="W581" s="129"/>
      <c r="X581" s="129"/>
      <c r="Y581" s="5"/>
      <c r="Z581" s="5"/>
      <c r="AA581" s="5"/>
      <c r="AB581" s="5"/>
      <c r="AC581" s="5"/>
      <c r="AD581" s="5"/>
      <c r="AE581" s="5"/>
    </row>
    <row r="582" spans="1:31" customFormat="1">
      <c r="A582" s="113">
        <v>479</v>
      </c>
      <c r="B582" s="113" t="s">
        <v>512</v>
      </c>
      <c r="C582" s="120" t="s">
        <v>5785</v>
      </c>
      <c r="D582" s="124" t="s">
        <v>1109</v>
      </c>
      <c r="E582" s="124" t="s">
        <v>1109</v>
      </c>
      <c r="F582" s="113" t="s">
        <v>2336</v>
      </c>
      <c r="G582" s="113" t="s">
        <v>2120</v>
      </c>
      <c r="H582" s="113" t="s">
        <v>46</v>
      </c>
      <c r="I582" s="113" t="s">
        <v>119</v>
      </c>
      <c r="J582" s="118" t="s">
        <v>2129</v>
      </c>
      <c r="K582" s="118" t="s">
        <v>4657</v>
      </c>
      <c r="L582" s="118" t="s">
        <v>5785</v>
      </c>
      <c r="M582" s="115" t="s">
        <v>1109</v>
      </c>
      <c r="N582" s="115" t="s">
        <v>6399</v>
      </c>
      <c r="O582" s="115" t="s">
        <v>1109</v>
      </c>
      <c r="P582" s="113">
        <v>440</v>
      </c>
      <c r="Q582" s="113">
        <v>50</v>
      </c>
      <c r="R582" s="113">
        <v>50</v>
      </c>
      <c r="S582" s="113">
        <v>77</v>
      </c>
      <c r="T582" s="120">
        <v>95</v>
      </c>
      <c r="U582" s="113">
        <v>77</v>
      </c>
      <c r="V582" s="113">
        <v>91</v>
      </c>
      <c r="W582" s="129"/>
      <c r="X582" s="129"/>
      <c r="Y582" s="5"/>
      <c r="Z582" s="5"/>
      <c r="AA582" s="5"/>
      <c r="AB582" s="5"/>
      <c r="AC582" s="5"/>
      <c r="AD582" s="5"/>
      <c r="AE582" s="5"/>
    </row>
    <row r="583" spans="1:31" customFormat="1">
      <c r="A583" s="113">
        <v>479</v>
      </c>
      <c r="B583" s="113" t="s">
        <v>2971</v>
      </c>
      <c r="C583" s="120" t="s">
        <v>5790</v>
      </c>
      <c r="D583" s="124" t="s">
        <v>1109</v>
      </c>
      <c r="E583" s="124" t="s">
        <v>1109</v>
      </c>
      <c r="F583" s="113" t="s">
        <v>2336</v>
      </c>
      <c r="G583" s="113" t="s">
        <v>2120</v>
      </c>
      <c r="H583" s="113" t="s">
        <v>46</v>
      </c>
      <c r="I583" s="113" t="s">
        <v>25</v>
      </c>
      <c r="J583" s="118" t="s">
        <v>2129</v>
      </c>
      <c r="K583" s="118" t="s">
        <v>4657</v>
      </c>
      <c r="L583" s="118" t="s">
        <v>5785</v>
      </c>
      <c r="M583" s="115" t="s">
        <v>1109</v>
      </c>
      <c r="N583" s="115" t="s">
        <v>6399</v>
      </c>
      <c r="O583" s="115" t="s">
        <v>1109</v>
      </c>
      <c r="P583" s="113">
        <v>520</v>
      </c>
      <c r="Q583" s="113">
        <v>50</v>
      </c>
      <c r="R583" s="113">
        <v>65</v>
      </c>
      <c r="S583" s="113">
        <v>107</v>
      </c>
      <c r="T583" s="120">
        <v>105</v>
      </c>
      <c r="U583" s="113">
        <v>107</v>
      </c>
      <c r="V583" s="113">
        <v>86</v>
      </c>
      <c r="W583" s="129"/>
      <c r="X583" s="129"/>
      <c r="Y583" s="5"/>
      <c r="Z583" s="5"/>
      <c r="AA583" s="5"/>
      <c r="AB583" s="5"/>
      <c r="AC583" s="5"/>
      <c r="AD583" s="5"/>
      <c r="AE583" s="5"/>
    </row>
    <row r="584" spans="1:31" customFormat="1">
      <c r="A584" s="113">
        <v>479</v>
      </c>
      <c r="B584" s="113" t="s">
        <v>2969</v>
      </c>
      <c r="C584" s="120" t="s">
        <v>5788</v>
      </c>
      <c r="D584" s="124" t="s">
        <v>1109</v>
      </c>
      <c r="E584" s="124" t="s">
        <v>1109</v>
      </c>
      <c r="F584" s="113" t="s">
        <v>2336</v>
      </c>
      <c r="G584" s="113" t="s">
        <v>2120</v>
      </c>
      <c r="H584" s="113" t="s">
        <v>46</v>
      </c>
      <c r="I584" s="113" t="s">
        <v>19</v>
      </c>
      <c r="J584" s="118" t="s">
        <v>2129</v>
      </c>
      <c r="K584" s="118" t="s">
        <v>4657</v>
      </c>
      <c r="L584" s="118" t="s">
        <v>5785</v>
      </c>
      <c r="M584" s="115" t="s">
        <v>1109</v>
      </c>
      <c r="N584" s="115" t="s">
        <v>6399</v>
      </c>
      <c r="O584" s="115" t="s">
        <v>1109</v>
      </c>
      <c r="P584" s="113">
        <v>520</v>
      </c>
      <c r="Q584" s="113">
        <v>50</v>
      </c>
      <c r="R584" s="113">
        <v>65</v>
      </c>
      <c r="S584" s="113">
        <v>107</v>
      </c>
      <c r="T584" s="120">
        <v>105</v>
      </c>
      <c r="U584" s="113">
        <v>107</v>
      </c>
      <c r="V584" s="113">
        <v>86</v>
      </c>
      <c r="W584" s="129"/>
      <c r="X584" s="129"/>
      <c r="Y584" s="5"/>
      <c r="Z584" s="5"/>
      <c r="AA584" s="5"/>
      <c r="AB584" s="5"/>
      <c r="AC584" s="5"/>
      <c r="AD584" s="5"/>
      <c r="AE584" s="5"/>
    </row>
    <row r="585" spans="1:31" customFormat="1">
      <c r="A585" s="113">
        <v>479</v>
      </c>
      <c r="B585" s="113" t="s">
        <v>2973</v>
      </c>
      <c r="C585" s="120" t="s">
        <v>5787</v>
      </c>
      <c r="D585" s="124" t="s">
        <v>1109</v>
      </c>
      <c r="E585" s="124" t="s">
        <v>1109</v>
      </c>
      <c r="F585" s="113" t="s">
        <v>2336</v>
      </c>
      <c r="G585" s="113" t="s">
        <v>2120</v>
      </c>
      <c r="H585" s="113" t="s">
        <v>46</v>
      </c>
      <c r="I585" s="113" t="s">
        <v>113</v>
      </c>
      <c r="J585" s="118" t="s">
        <v>2129</v>
      </c>
      <c r="K585" s="118" t="s">
        <v>4657</v>
      </c>
      <c r="L585" s="118" t="s">
        <v>5785</v>
      </c>
      <c r="M585" s="115" t="s">
        <v>1109</v>
      </c>
      <c r="N585" s="115" t="s">
        <v>6399</v>
      </c>
      <c r="O585" s="115" t="s">
        <v>1109</v>
      </c>
      <c r="P585" s="113">
        <v>520</v>
      </c>
      <c r="Q585" s="113">
        <v>50</v>
      </c>
      <c r="R585" s="113">
        <v>65</v>
      </c>
      <c r="S585" s="113">
        <v>107</v>
      </c>
      <c r="T585" s="120">
        <v>105</v>
      </c>
      <c r="U585" s="113">
        <v>107</v>
      </c>
      <c r="V585" s="113">
        <v>86</v>
      </c>
      <c r="W585" s="129"/>
      <c r="X585" s="129"/>
      <c r="Y585" s="5"/>
      <c r="Z585" s="5"/>
      <c r="AA585" s="5"/>
      <c r="AB585" s="5"/>
      <c r="AC585" s="5"/>
      <c r="AD585" s="5"/>
      <c r="AE585" s="5"/>
    </row>
    <row r="586" spans="1:31" customFormat="1">
      <c r="A586" s="113">
        <v>479</v>
      </c>
      <c r="B586" s="113" t="s">
        <v>2977</v>
      </c>
      <c r="C586" s="120" t="s">
        <v>5789</v>
      </c>
      <c r="D586" s="124" t="s">
        <v>1109</v>
      </c>
      <c r="E586" s="124" t="s">
        <v>1109</v>
      </c>
      <c r="F586" s="113" t="s">
        <v>2336</v>
      </c>
      <c r="G586" s="113" t="s">
        <v>2120</v>
      </c>
      <c r="H586" s="113" t="s">
        <v>46</v>
      </c>
      <c r="I586" s="113" t="s">
        <v>14</v>
      </c>
      <c r="J586" s="118" t="s">
        <v>2129</v>
      </c>
      <c r="K586" s="118" t="s">
        <v>4657</v>
      </c>
      <c r="L586" s="118" t="s">
        <v>5785</v>
      </c>
      <c r="M586" s="115" t="s">
        <v>1109</v>
      </c>
      <c r="N586" s="115" t="s">
        <v>6399</v>
      </c>
      <c r="O586" s="115" t="s">
        <v>1109</v>
      </c>
      <c r="P586" s="113">
        <v>520</v>
      </c>
      <c r="Q586" s="113">
        <v>50</v>
      </c>
      <c r="R586" s="113">
        <v>65</v>
      </c>
      <c r="S586" s="113">
        <v>107</v>
      </c>
      <c r="T586" s="120">
        <v>105</v>
      </c>
      <c r="U586" s="113">
        <v>107</v>
      </c>
      <c r="V586" s="113">
        <v>86</v>
      </c>
      <c r="W586" s="129"/>
      <c r="X586" s="129"/>
      <c r="Y586" s="5"/>
      <c r="Z586" s="5"/>
      <c r="AA586" s="5"/>
      <c r="AB586" s="5"/>
      <c r="AC586" s="5"/>
      <c r="AD586" s="5"/>
      <c r="AE586" s="5"/>
    </row>
    <row r="587" spans="1:31" customFormat="1">
      <c r="A587" s="113">
        <v>479</v>
      </c>
      <c r="B587" s="113" t="s">
        <v>2975</v>
      </c>
      <c r="C587" s="120" t="s">
        <v>5786</v>
      </c>
      <c r="D587" s="124" t="s">
        <v>1109</v>
      </c>
      <c r="E587" s="124" t="s">
        <v>1109</v>
      </c>
      <c r="F587" s="113" t="s">
        <v>2336</v>
      </c>
      <c r="G587" s="113" t="s">
        <v>2120</v>
      </c>
      <c r="H587" s="113" t="s">
        <v>46</v>
      </c>
      <c r="I587" s="113" t="s">
        <v>22</v>
      </c>
      <c r="J587" s="118" t="s">
        <v>2129</v>
      </c>
      <c r="K587" s="118" t="s">
        <v>4657</v>
      </c>
      <c r="L587" s="118" t="s">
        <v>5785</v>
      </c>
      <c r="M587" s="115" t="s">
        <v>1109</v>
      </c>
      <c r="N587" s="115" t="s">
        <v>6399</v>
      </c>
      <c r="O587" s="115" t="s">
        <v>1109</v>
      </c>
      <c r="P587" s="113">
        <v>520</v>
      </c>
      <c r="Q587" s="113">
        <v>50</v>
      </c>
      <c r="R587" s="113">
        <v>65</v>
      </c>
      <c r="S587" s="113">
        <v>107</v>
      </c>
      <c r="T587" s="120">
        <v>105</v>
      </c>
      <c r="U587" s="113">
        <v>107</v>
      </c>
      <c r="V587" s="113">
        <v>86</v>
      </c>
      <c r="W587" s="129"/>
      <c r="X587" s="129"/>
      <c r="Y587" s="5"/>
      <c r="Z587" s="5"/>
      <c r="AA587" s="5"/>
      <c r="AB587" s="5"/>
      <c r="AC587" s="5"/>
      <c r="AD587" s="5"/>
      <c r="AE587" s="5"/>
    </row>
    <row r="588" spans="1:31" customFormat="1">
      <c r="A588" s="113">
        <v>480</v>
      </c>
      <c r="B588" s="113" t="s">
        <v>518</v>
      </c>
      <c r="C588" s="120" t="s">
        <v>5791</v>
      </c>
      <c r="D588" s="124" t="s">
        <v>1109</v>
      </c>
      <c r="E588" s="124" t="s">
        <v>1109</v>
      </c>
      <c r="F588" s="113" t="s">
        <v>2333</v>
      </c>
      <c r="G588" s="113" t="s">
        <v>2120</v>
      </c>
      <c r="H588" s="113" t="s">
        <v>86</v>
      </c>
      <c r="I588" s="113" t="s">
        <v>1109</v>
      </c>
      <c r="J588" s="118" t="s">
        <v>12</v>
      </c>
      <c r="K588" s="118" t="s">
        <v>12</v>
      </c>
      <c r="L588" s="118" t="s">
        <v>5791</v>
      </c>
      <c r="M588" s="115" t="s">
        <v>1109</v>
      </c>
      <c r="N588" s="115" t="s">
        <v>6399</v>
      </c>
      <c r="O588" s="115" t="s">
        <v>1109</v>
      </c>
      <c r="P588" s="113">
        <v>580</v>
      </c>
      <c r="Q588" s="113">
        <v>75</v>
      </c>
      <c r="R588" s="113">
        <v>75</v>
      </c>
      <c r="S588" s="113">
        <v>130</v>
      </c>
      <c r="T588" s="120">
        <v>75</v>
      </c>
      <c r="U588" s="113">
        <v>130</v>
      </c>
      <c r="V588" s="113">
        <v>95</v>
      </c>
      <c r="W588" s="129"/>
      <c r="X588" s="129"/>
      <c r="Y588" s="5"/>
      <c r="Z588" s="5"/>
      <c r="AA588" s="5"/>
      <c r="AB588" s="5"/>
      <c r="AC588" s="5"/>
      <c r="AD588" s="5"/>
      <c r="AE588" s="5"/>
    </row>
    <row r="589" spans="1:31" customFormat="1">
      <c r="A589" s="113">
        <v>481</v>
      </c>
      <c r="B589" s="113" t="s">
        <v>519</v>
      </c>
      <c r="C589" s="120" t="s">
        <v>5792</v>
      </c>
      <c r="D589" s="124" t="s">
        <v>1109</v>
      </c>
      <c r="E589" s="124" t="s">
        <v>1109</v>
      </c>
      <c r="F589" s="113" t="s">
        <v>2333</v>
      </c>
      <c r="G589" s="113" t="s">
        <v>2120</v>
      </c>
      <c r="H589" s="113" t="s">
        <v>86</v>
      </c>
      <c r="I589" s="113" t="s">
        <v>1109</v>
      </c>
      <c r="J589" s="118" t="s">
        <v>12</v>
      </c>
      <c r="K589" s="118" t="s">
        <v>12</v>
      </c>
      <c r="L589" s="118" t="s">
        <v>5792</v>
      </c>
      <c r="M589" s="115" t="s">
        <v>1109</v>
      </c>
      <c r="N589" s="115" t="s">
        <v>6399</v>
      </c>
      <c r="O589" s="115" t="s">
        <v>1109</v>
      </c>
      <c r="P589" s="113">
        <v>580</v>
      </c>
      <c r="Q589" s="113">
        <v>80</v>
      </c>
      <c r="R589" s="113">
        <v>105</v>
      </c>
      <c r="S589" s="113">
        <v>105</v>
      </c>
      <c r="T589" s="120">
        <v>105</v>
      </c>
      <c r="U589" s="113">
        <v>105</v>
      </c>
      <c r="V589" s="113">
        <v>80</v>
      </c>
      <c r="W589" s="129"/>
      <c r="X589" s="129"/>
      <c r="Y589" s="5"/>
      <c r="Z589" s="5"/>
      <c r="AA589" s="5"/>
      <c r="AB589" s="5"/>
      <c r="AC589" s="5"/>
      <c r="AD589" s="5"/>
      <c r="AE589" s="5"/>
    </row>
    <row r="590" spans="1:31" customFormat="1">
      <c r="A590" s="113">
        <v>482</v>
      </c>
      <c r="B590" s="113" t="s">
        <v>520</v>
      </c>
      <c r="C590" s="120" t="s">
        <v>5793</v>
      </c>
      <c r="D590" s="124" t="s">
        <v>1109</v>
      </c>
      <c r="E590" s="124" t="s">
        <v>1109</v>
      </c>
      <c r="F590" s="113" t="s">
        <v>2333</v>
      </c>
      <c r="G590" s="113" t="s">
        <v>2120</v>
      </c>
      <c r="H590" s="113" t="s">
        <v>86</v>
      </c>
      <c r="I590" s="113" t="s">
        <v>1109</v>
      </c>
      <c r="J590" s="118" t="s">
        <v>12</v>
      </c>
      <c r="K590" s="118" t="s">
        <v>12</v>
      </c>
      <c r="L590" s="118" t="s">
        <v>5793</v>
      </c>
      <c r="M590" s="115" t="s">
        <v>1109</v>
      </c>
      <c r="N590" s="115" t="s">
        <v>6399</v>
      </c>
      <c r="O590" s="115" t="s">
        <v>1109</v>
      </c>
      <c r="P590" s="113">
        <v>580</v>
      </c>
      <c r="Q590" s="113">
        <v>75</v>
      </c>
      <c r="R590" s="113">
        <v>125</v>
      </c>
      <c r="S590" s="113">
        <v>70</v>
      </c>
      <c r="T590" s="120">
        <v>125</v>
      </c>
      <c r="U590" s="113">
        <v>70</v>
      </c>
      <c r="V590" s="113">
        <v>115</v>
      </c>
      <c r="W590" s="129"/>
      <c r="X590" s="129"/>
      <c r="Y590" s="5"/>
      <c r="Z590" s="5"/>
      <c r="AA590" s="5"/>
      <c r="AB590" s="5"/>
      <c r="AC590" s="5"/>
      <c r="AD590" s="5"/>
      <c r="AE590" s="5"/>
    </row>
    <row r="591" spans="1:31" customFormat="1">
      <c r="A591" s="113">
        <v>483</v>
      </c>
      <c r="B591" s="113" t="s">
        <v>521</v>
      </c>
      <c r="C591" s="120" t="s">
        <v>5794</v>
      </c>
      <c r="D591" s="124" t="s">
        <v>1109</v>
      </c>
      <c r="E591" s="124" t="s">
        <v>1109</v>
      </c>
      <c r="F591" s="113" t="s">
        <v>2333</v>
      </c>
      <c r="G591" s="113" t="s">
        <v>2120</v>
      </c>
      <c r="H591" s="113" t="s">
        <v>106</v>
      </c>
      <c r="I591" s="113" t="s">
        <v>23</v>
      </c>
      <c r="J591" s="118" t="s">
        <v>12</v>
      </c>
      <c r="K591" s="118" t="s">
        <v>12</v>
      </c>
      <c r="L591" s="118" t="s">
        <v>5794</v>
      </c>
      <c r="M591" s="115" t="s">
        <v>1109</v>
      </c>
      <c r="N591" s="115" t="s">
        <v>6399</v>
      </c>
      <c r="O591" s="115" t="s">
        <v>1109</v>
      </c>
      <c r="P591" s="113">
        <v>680</v>
      </c>
      <c r="Q591" s="113">
        <v>100</v>
      </c>
      <c r="R591" s="113">
        <v>120</v>
      </c>
      <c r="S591" s="113">
        <v>120</v>
      </c>
      <c r="T591" s="120">
        <v>150</v>
      </c>
      <c r="U591" s="113">
        <v>100</v>
      </c>
      <c r="V591" s="113">
        <v>90</v>
      </c>
      <c r="W591" s="129"/>
      <c r="X591" s="129"/>
      <c r="Y591" s="5"/>
      <c r="Z591" s="5"/>
      <c r="AA591" s="5"/>
      <c r="AB591" s="5"/>
      <c r="AC591" s="5"/>
      <c r="AD591" s="5"/>
      <c r="AE591" s="5"/>
    </row>
    <row r="592" spans="1:31" customFormat="1">
      <c r="A592" s="113">
        <v>483</v>
      </c>
      <c r="B592" s="113" t="s">
        <v>4481</v>
      </c>
      <c r="C592" s="120" t="s">
        <v>5795</v>
      </c>
      <c r="D592" s="124" t="s">
        <v>1109</v>
      </c>
      <c r="E592" s="124" t="s">
        <v>1109</v>
      </c>
      <c r="F592" s="113" t="s">
        <v>2333</v>
      </c>
      <c r="G592" s="113" t="s">
        <v>2120</v>
      </c>
      <c r="H592" s="113" t="s">
        <v>106</v>
      </c>
      <c r="I592" s="113" t="s">
        <v>23</v>
      </c>
      <c r="J592" s="118" t="s">
        <v>12</v>
      </c>
      <c r="K592" s="118" t="s">
        <v>12</v>
      </c>
      <c r="L592" s="118" t="s">
        <v>5794</v>
      </c>
      <c r="M592" s="115" t="s">
        <v>1109</v>
      </c>
      <c r="N592" s="115" t="s">
        <v>6399</v>
      </c>
      <c r="O592" s="115" t="s">
        <v>1109</v>
      </c>
      <c r="P592" s="113">
        <v>680</v>
      </c>
      <c r="Q592" s="113">
        <v>100</v>
      </c>
      <c r="R592" s="113">
        <v>100</v>
      </c>
      <c r="S592" s="113">
        <v>120</v>
      </c>
      <c r="T592" s="120">
        <v>150</v>
      </c>
      <c r="U592" s="113">
        <v>120</v>
      </c>
      <c r="V592" s="113">
        <v>90</v>
      </c>
      <c r="W592" s="129"/>
      <c r="X592" s="129"/>
      <c r="Y592" s="5"/>
      <c r="Z592" s="5"/>
      <c r="AA592" s="5"/>
      <c r="AB592" s="5"/>
      <c r="AC592" s="5"/>
      <c r="AD592" s="5"/>
      <c r="AE592" s="5"/>
    </row>
    <row r="593" spans="1:31" customFormat="1">
      <c r="A593" s="113">
        <v>484</v>
      </c>
      <c r="B593" s="113" t="s">
        <v>522</v>
      </c>
      <c r="C593" s="120" t="s">
        <v>5796</v>
      </c>
      <c r="D593" s="124" t="s">
        <v>1109</v>
      </c>
      <c r="E593" s="124" t="s">
        <v>1109</v>
      </c>
      <c r="F593" s="113" t="s">
        <v>2333</v>
      </c>
      <c r="G593" s="113" t="s">
        <v>2120</v>
      </c>
      <c r="H593" s="113" t="s">
        <v>25</v>
      </c>
      <c r="I593" s="113" t="s">
        <v>23</v>
      </c>
      <c r="J593" s="118" t="s">
        <v>12</v>
      </c>
      <c r="K593" s="118" t="s">
        <v>12</v>
      </c>
      <c r="L593" s="118" t="s">
        <v>5796</v>
      </c>
      <c r="M593" s="115" t="s">
        <v>1109</v>
      </c>
      <c r="N593" s="115" t="s">
        <v>6399</v>
      </c>
      <c r="O593" s="115" t="s">
        <v>1109</v>
      </c>
      <c r="P593" s="113">
        <v>680</v>
      </c>
      <c r="Q593" s="113">
        <v>90</v>
      </c>
      <c r="R593" s="113">
        <v>120</v>
      </c>
      <c r="S593" s="113">
        <v>100</v>
      </c>
      <c r="T593" s="120">
        <v>150</v>
      </c>
      <c r="U593" s="113">
        <v>120</v>
      </c>
      <c r="V593" s="113">
        <v>100</v>
      </c>
      <c r="W593" s="129"/>
      <c r="X593" s="129"/>
      <c r="Y593" s="5"/>
      <c r="Z593" s="5"/>
      <c r="AA593" s="5"/>
      <c r="AB593" s="5"/>
      <c r="AC593" s="5"/>
      <c r="AD593" s="5"/>
      <c r="AE593" s="5"/>
    </row>
    <row r="594" spans="1:31" customFormat="1">
      <c r="A594" s="113">
        <v>484</v>
      </c>
      <c r="B594" s="113" t="s">
        <v>4482</v>
      </c>
      <c r="C594" s="120" t="s">
        <v>5797</v>
      </c>
      <c r="D594" s="124" t="s">
        <v>1109</v>
      </c>
      <c r="E594" s="124" t="s">
        <v>1109</v>
      </c>
      <c r="F594" s="113" t="s">
        <v>2333</v>
      </c>
      <c r="G594" s="113" t="s">
        <v>2120</v>
      </c>
      <c r="H594" s="113" t="s">
        <v>25</v>
      </c>
      <c r="I594" s="113" t="s">
        <v>23</v>
      </c>
      <c r="J594" s="118" t="s">
        <v>12</v>
      </c>
      <c r="K594" s="118" t="s">
        <v>12</v>
      </c>
      <c r="L594" s="118" t="s">
        <v>5796</v>
      </c>
      <c r="M594" s="115" t="s">
        <v>1109</v>
      </c>
      <c r="N594" s="115" t="s">
        <v>6399</v>
      </c>
      <c r="O594" s="115" t="s">
        <v>1109</v>
      </c>
      <c r="P594" s="113">
        <v>680</v>
      </c>
      <c r="Q594" s="113">
        <v>90</v>
      </c>
      <c r="R594" s="113">
        <v>100</v>
      </c>
      <c r="S594" s="113">
        <v>100</v>
      </c>
      <c r="T594" s="120">
        <v>150</v>
      </c>
      <c r="U594" s="113">
        <v>120</v>
      </c>
      <c r="V594" s="113">
        <v>120</v>
      </c>
      <c r="W594" s="129"/>
      <c r="X594" s="129"/>
      <c r="Y594" s="5"/>
      <c r="Z594" s="5"/>
      <c r="AA594" s="5"/>
      <c r="AB594" s="5"/>
      <c r="AC594" s="5"/>
      <c r="AD594" s="5"/>
      <c r="AE594" s="5"/>
    </row>
    <row r="595" spans="1:31" customFormat="1">
      <c r="A595" s="113">
        <v>485</v>
      </c>
      <c r="B595" s="113" t="s">
        <v>523</v>
      </c>
      <c r="C595" s="120" t="s">
        <v>5798</v>
      </c>
      <c r="D595" s="124">
        <v>0.5</v>
      </c>
      <c r="E595" s="124">
        <v>0.5</v>
      </c>
      <c r="F595" s="113" t="s">
        <v>2333</v>
      </c>
      <c r="G595" s="113" t="s">
        <v>2120</v>
      </c>
      <c r="H595" s="113" t="s">
        <v>19</v>
      </c>
      <c r="I595" s="113" t="s">
        <v>106</v>
      </c>
      <c r="J595" s="118" t="s">
        <v>12</v>
      </c>
      <c r="K595" s="118" t="s">
        <v>12</v>
      </c>
      <c r="L595" s="118" t="s">
        <v>5798</v>
      </c>
      <c r="M595" s="115" t="s">
        <v>1109</v>
      </c>
      <c r="N595" s="115" t="s">
        <v>6399</v>
      </c>
      <c r="O595" s="115" t="s">
        <v>1109</v>
      </c>
      <c r="P595" s="113">
        <v>600</v>
      </c>
      <c r="Q595" s="113">
        <v>91</v>
      </c>
      <c r="R595" s="113">
        <v>90</v>
      </c>
      <c r="S595" s="113">
        <v>106</v>
      </c>
      <c r="T595" s="120">
        <v>130</v>
      </c>
      <c r="U595" s="113">
        <v>106</v>
      </c>
      <c r="V595" s="113">
        <v>77</v>
      </c>
      <c r="W595" s="129"/>
      <c r="X595" s="129"/>
      <c r="Y595" s="5"/>
      <c r="Z595" s="5"/>
      <c r="AA595" s="5"/>
      <c r="AB595" s="5"/>
      <c r="AC595" s="5"/>
      <c r="AD595" s="5"/>
      <c r="AE595" s="5"/>
    </row>
    <row r="596" spans="1:31" customFormat="1">
      <c r="A596" s="113">
        <v>486</v>
      </c>
      <c r="B596" s="113" t="s">
        <v>524</v>
      </c>
      <c r="C596" s="120" t="s">
        <v>5799</v>
      </c>
      <c r="D596" s="124" t="s">
        <v>1109</v>
      </c>
      <c r="E596" s="124" t="s">
        <v>1109</v>
      </c>
      <c r="F596" s="113" t="s">
        <v>2333</v>
      </c>
      <c r="G596" s="113" t="s">
        <v>2120</v>
      </c>
      <c r="H596" s="113" t="s">
        <v>36</v>
      </c>
      <c r="I596" s="113" t="s">
        <v>1109</v>
      </c>
      <c r="J596" s="118" t="s">
        <v>12</v>
      </c>
      <c r="K596" s="118" t="s">
        <v>12</v>
      </c>
      <c r="L596" s="118" t="s">
        <v>5799</v>
      </c>
      <c r="M596" s="115" t="s">
        <v>1109</v>
      </c>
      <c r="N596" s="115" t="s">
        <v>6399</v>
      </c>
      <c r="O596" s="115" t="s">
        <v>1109</v>
      </c>
      <c r="P596" s="113">
        <v>670</v>
      </c>
      <c r="Q596" s="113">
        <v>110</v>
      </c>
      <c r="R596" s="113">
        <v>160</v>
      </c>
      <c r="S596" s="113">
        <v>110</v>
      </c>
      <c r="T596" s="120">
        <v>80</v>
      </c>
      <c r="U596" s="113">
        <v>110</v>
      </c>
      <c r="V596" s="113">
        <v>100</v>
      </c>
      <c r="W596" s="129"/>
      <c r="X596" s="129"/>
      <c r="Y596" s="5"/>
      <c r="Z596" s="5"/>
      <c r="AA596" s="5"/>
      <c r="AB596" s="5"/>
      <c r="AC596" s="5"/>
      <c r="AD596" s="5"/>
      <c r="AE596" s="5"/>
    </row>
    <row r="597" spans="1:31" customFormat="1">
      <c r="A597" s="113">
        <v>487</v>
      </c>
      <c r="B597" s="113" t="s">
        <v>2982</v>
      </c>
      <c r="C597" s="120" t="s">
        <v>5800</v>
      </c>
      <c r="D597" s="124" t="s">
        <v>1109</v>
      </c>
      <c r="E597" s="124" t="s">
        <v>1109</v>
      </c>
      <c r="F597" s="113" t="s">
        <v>2333</v>
      </c>
      <c r="G597" s="113" t="s">
        <v>2120</v>
      </c>
      <c r="H597" s="113" t="s">
        <v>119</v>
      </c>
      <c r="I597" s="113" t="s">
        <v>23</v>
      </c>
      <c r="J597" s="118" t="s">
        <v>12</v>
      </c>
      <c r="K597" s="118" t="s">
        <v>12</v>
      </c>
      <c r="L597" s="118" t="s">
        <v>5800</v>
      </c>
      <c r="M597" s="115" t="s">
        <v>1109</v>
      </c>
      <c r="N597" s="115" t="s">
        <v>6399</v>
      </c>
      <c r="O597" s="115" t="s">
        <v>1109</v>
      </c>
      <c r="P597" s="113">
        <v>680</v>
      </c>
      <c r="Q597" s="113">
        <v>150</v>
      </c>
      <c r="R597" s="113">
        <v>120</v>
      </c>
      <c r="S597" s="113">
        <v>100</v>
      </c>
      <c r="T597" s="120">
        <v>120</v>
      </c>
      <c r="U597" s="113">
        <v>100</v>
      </c>
      <c r="V597" s="113">
        <v>90</v>
      </c>
      <c r="W597" s="129"/>
      <c r="X597" s="129"/>
      <c r="Y597" s="5"/>
      <c r="Z597" s="5"/>
      <c r="AA597" s="5"/>
      <c r="AB597" s="5"/>
      <c r="AC597" s="5"/>
      <c r="AD597" s="5"/>
      <c r="AE597" s="5"/>
    </row>
    <row r="598" spans="1:31" customFormat="1">
      <c r="A598" s="113">
        <v>487</v>
      </c>
      <c r="B598" s="113" t="s">
        <v>2984</v>
      </c>
      <c r="C598" s="120" t="s">
        <v>5801</v>
      </c>
      <c r="D598" s="124" t="s">
        <v>1109</v>
      </c>
      <c r="E598" s="124" t="s">
        <v>1109</v>
      </c>
      <c r="F598" s="113" t="s">
        <v>2333</v>
      </c>
      <c r="G598" s="113" t="s">
        <v>2120</v>
      </c>
      <c r="H598" s="113" t="s">
        <v>119</v>
      </c>
      <c r="I598" s="113" t="s">
        <v>23</v>
      </c>
      <c r="J598" s="118" t="s">
        <v>12</v>
      </c>
      <c r="K598" s="118" t="s">
        <v>12</v>
      </c>
      <c r="L598" s="118" t="s">
        <v>5800</v>
      </c>
      <c r="M598" s="115" t="s">
        <v>1109</v>
      </c>
      <c r="N598" s="115" t="s">
        <v>6399</v>
      </c>
      <c r="O598" s="115" t="s">
        <v>1109</v>
      </c>
      <c r="P598" s="113">
        <v>680</v>
      </c>
      <c r="Q598" s="113">
        <v>150</v>
      </c>
      <c r="R598" s="113">
        <v>100</v>
      </c>
      <c r="S598" s="113">
        <v>120</v>
      </c>
      <c r="T598" s="120">
        <v>100</v>
      </c>
      <c r="U598" s="113">
        <v>120</v>
      </c>
      <c r="V598" s="113">
        <v>90</v>
      </c>
      <c r="W598" s="129"/>
      <c r="X598" s="129"/>
      <c r="Y598" s="5"/>
      <c r="Z598" s="5"/>
      <c r="AA598" s="5"/>
      <c r="AB598" s="5"/>
      <c r="AC598" s="5"/>
      <c r="AD598" s="5"/>
      <c r="AE598" s="5"/>
    </row>
    <row r="599" spans="1:31" customFormat="1">
      <c r="A599" s="113">
        <v>488</v>
      </c>
      <c r="B599" s="113" t="s">
        <v>527</v>
      </c>
      <c r="C599" s="120" t="s">
        <v>5802</v>
      </c>
      <c r="D599" s="124">
        <v>0</v>
      </c>
      <c r="E599" s="124">
        <v>1</v>
      </c>
      <c r="F599" s="113" t="s">
        <v>2333</v>
      </c>
      <c r="G599" s="113" t="s">
        <v>2120</v>
      </c>
      <c r="H599" s="113" t="s">
        <v>86</v>
      </c>
      <c r="I599" s="113" t="s">
        <v>1109</v>
      </c>
      <c r="J599" s="118" t="s">
        <v>12</v>
      </c>
      <c r="K599" s="118" t="s">
        <v>12</v>
      </c>
      <c r="L599" s="118" t="s">
        <v>5802</v>
      </c>
      <c r="M599" s="115" t="s">
        <v>1109</v>
      </c>
      <c r="N599" s="115" t="s">
        <v>6399</v>
      </c>
      <c r="O599" s="115" t="s">
        <v>1109</v>
      </c>
      <c r="P599" s="113">
        <v>600</v>
      </c>
      <c r="Q599" s="113">
        <v>120</v>
      </c>
      <c r="R599" s="113">
        <v>70</v>
      </c>
      <c r="S599" s="113">
        <v>120</v>
      </c>
      <c r="T599" s="120">
        <v>75</v>
      </c>
      <c r="U599" s="113">
        <v>130</v>
      </c>
      <c r="V599" s="113">
        <v>85</v>
      </c>
      <c r="W599" s="129"/>
      <c r="X599" s="129"/>
      <c r="Y599" s="5"/>
      <c r="Z599" s="5"/>
      <c r="AA599" s="5"/>
      <c r="AB599" s="5"/>
      <c r="AC599" s="5"/>
      <c r="AD599" s="5"/>
      <c r="AE599" s="5"/>
    </row>
    <row r="600" spans="1:31" customFormat="1">
      <c r="A600" s="113">
        <v>489</v>
      </c>
      <c r="B600" s="113" t="s">
        <v>528</v>
      </c>
      <c r="C600" s="120" t="s">
        <v>5803</v>
      </c>
      <c r="D600" s="124" t="s">
        <v>1109</v>
      </c>
      <c r="E600" s="124" t="s">
        <v>1109</v>
      </c>
      <c r="F600" s="113" t="s">
        <v>56</v>
      </c>
      <c r="G600" s="113" t="s">
        <v>2120</v>
      </c>
      <c r="H600" s="113" t="s">
        <v>25</v>
      </c>
      <c r="I600" s="113" t="s">
        <v>1109</v>
      </c>
      <c r="J600" s="118" t="s">
        <v>12</v>
      </c>
      <c r="K600" s="118" t="s">
        <v>12</v>
      </c>
      <c r="L600" s="118" t="s">
        <v>5803</v>
      </c>
      <c r="M600" s="115" t="s">
        <v>1109</v>
      </c>
      <c r="N600" s="115" t="s">
        <v>6399</v>
      </c>
      <c r="O600" s="115" t="s">
        <v>1109</v>
      </c>
      <c r="P600" s="113">
        <v>480</v>
      </c>
      <c r="Q600" s="113">
        <v>80</v>
      </c>
      <c r="R600" s="113">
        <v>80</v>
      </c>
      <c r="S600" s="113">
        <v>80</v>
      </c>
      <c r="T600" s="120">
        <v>80</v>
      </c>
      <c r="U600" s="113">
        <v>80</v>
      </c>
      <c r="V600" s="113">
        <v>80</v>
      </c>
      <c r="W600" s="129"/>
      <c r="X600" s="129"/>
      <c r="Y600" s="5"/>
      <c r="Z600" s="5"/>
      <c r="AA600" s="5"/>
      <c r="AB600" s="5"/>
      <c r="AC600" s="5"/>
      <c r="AD600" s="5"/>
      <c r="AE600" s="5"/>
    </row>
    <row r="601" spans="1:31" customFormat="1">
      <c r="A601" s="113">
        <v>490</v>
      </c>
      <c r="B601" s="113" t="s">
        <v>529</v>
      </c>
      <c r="C601" s="120" t="s">
        <v>5804</v>
      </c>
      <c r="D601" s="124" t="s">
        <v>1109</v>
      </c>
      <c r="E601" s="124" t="s">
        <v>1109</v>
      </c>
      <c r="F601" s="113" t="s">
        <v>56</v>
      </c>
      <c r="G601" s="113" t="s">
        <v>2120</v>
      </c>
      <c r="H601" s="113" t="s">
        <v>25</v>
      </c>
      <c r="I601" s="113" t="s">
        <v>1109</v>
      </c>
      <c r="J601" s="118" t="s">
        <v>12</v>
      </c>
      <c r="K601" s="118" t="s">
        <v>12</v>
      </c>
      <c r="L601" s="118" t="s">
        <v>5804</v>
      </c>
      <c r="M601" s="115" t="s">
        <v>1109</v>
      </c>
      <c r="N601" s="115" t="s">
        <v>6399</v>
      </c>
      <c r="O601" s="115" t="s">
        <v>1109</v>
      </c>
      <c r="P601" s="113">
        <v>600</v>
      </c>
      <c r="Q601" s="113">
        <v>100</v>
      </c>
      <c r="R601" s="113">
        <v>100</v>
      </c>
      <c r="S601" s="113">
        <v>100</v>
      </c>
      <c r="T601" s="120">
        <v>100</v>
      </c>
      <c r="U601" s="113">
        <v>100</v>
      </c>
      <c r="V601" s="113">
        <v>100</v>
      </c>
      <c r="W601" s="129"/>
      <c r="X601" s="129"/>
      <c r="Y601" s="5"/>
      <c r="Z601" s="5"/>
      <c r="AA601" s="5"/>
      <c r="AB601" s="5"/>
      <c r="AC601" s="5"/>
      <c r="AD601" s="5"/>
      <c r="AE601" s="5"/>
    </row>
    <row r="602" spans="1:31" customFormat="1">
      <c r="A602" s="113">
        <v>491</v>
      </c>
      <c r="B602" s="113" t="s">
        <v>530</v>
      </c>
      <c r="C602" s="120" t="s">
        <v>5805</v>
      </c>
      <c r="D602" s="124" t="s">
        <v>1109</v>
      </c>
      <c r="E602" s="124" t="s">
        <v>1109</v>
      </c>
      <c r="F602" s="113" t="s">
        <v>2333</v>
      </c>
      <c r="G602" s="113" t="s">
        <v>2120</v>
      </c>
      <c r="H602" s="113" t="s">
        <v>158</v>
      </c>
      <c r="I602" s="113" t="s">
        <v>1109</v>
      </c>
      <c r="J602" s="118" t="s">
        <v>12</v>
      </c>
      <c r="K602" s="118" t="s">
        <v>12</v>
      </c>
      <c r="L602" s="118" t="s">
        <v>5805</v>
      </c>
      <c r="M602" s="115" t="s">
        <v>1109</v>
      </c>
      <c r="N602" s="115" t="s">
        <v>6399</v>
      </c>
      <c r="O602" s="115" t="s">
        <v>1109</v>
      </c>
      <c r="P602" s="113">
        <v>600</v>
      </c>
      <c r="Q602" s="113">
        <v>70</v>
      </c>
      <c r="R602" s="113">
        <v>90</v>
      </c>
      <c r="S602" s="113">
        <v>90</v>
      </c>
      <c r="T602" s="120">
        <v>135</v>
      </c>
      <c r="U602" s="113">
        <v>90</v>
      </c>
      <c r="V602" s="113">
        <v>125</v>
      </c>
      <c r="W602" s="129"/>
      <c r="X602" s="129"/>
      <c r="Y602" s="5"/>
      <c r="Z602" s="5"/>
      <c r="AA602" s="5"/>
      <c r="AB602" s="5"/>
      <c r="AC602" s="5"/>
      <c r="AD602" s="5"/>
      <c r="AE602" s="5"/>
    </row>
    <row r="603" spans="1:31" customFormat="1">
      <c r="A603" s="113">
        <v>492</v>
      </c>
      <c r="B603" s="113" t="s">
        <v>2985</v>
      </c>
      <c r="C603" s="120" t="s">
        <v>5806</v>
      </c>
      <c r="D603" s="124" t="s">
        <v>1109</v>
      </c>
      <c r="E603" s="124" t="s">
        <v>1109</v>
      </c>
      <c r="F603" s="113" t="s">
        <v>2333</v>
      </c>
      <c r="G603" s="113" t="s">
        <v>2120</v>
      </c>
      <c r="H603" s="113" t="s">
        <v>14</v>
      </c>
      <c r="I603" s="113" t="s">
        <v>22</v>
      </c>
      <c r="J603" s="118" t="s">
        <v>12</v>
      </c>
      <c r="K603" s="118" t="s">
        <v>12</v>
      </c>
      <c r="L603" s="118" t="s">
        <v>5806</v>
      </c>
      <c r="M603" s="115" t="s">
        <v>1109</v>
      </c>
      <c r="N603" s="115" t="s">
        <v>6399</v>
      </c>
      <c r="O603" s="115" t="s">
        <v>1109</v>
      </c>
      <c r="P603" s="113">
        <v>600</v>
      </c>
      <c r="Q603" s="113">
        <v>100</v>
      </c>
      <c r="R603" s="113">
        <v>100</v>
      </c>
      <c r="S603" s="113">
        <v>100</v>
      </c>
      <c r="T603" s="120">
        <v>100</v>
      </c>
      <c r="U603" s="113">
        <v>100</v>
      </c>
      <c r="V603" s="113">
        <v>100</v>
      </c>
      <c r="W603" s="129"/>
      <c r="X603" s="129"/>
      <c r="Y603" s="5"/>
      <c r="Z603" s="5"/>
      <c r="AA603" s="5"/>
      <c r="AB603" s="5"/>
      <c r="AC603" s="5"/>
      <c r="AD603" s="5"/>
      <c r="AE603" s="5"/>
    </row>
    <row r="604" spans="1:31" customFormat="1">
      <c r="A604" s="113">
        <v>492</v>
      </c>
      <c r="B604" s="113" t="s">
        <v>2987</v>
      </c>
      <c r="C604" s="120" t="s">
        <v>5807</v>
      </c>
      <c r="D604" s="124" t="s">
        <v>1109</v>
      </c>
      <c r="E604" s="124" t="s">
        <v>1109</v>
      </c>
      <c r="F604" s="113" t="s">
        <v>2333</v>
      </c>
      <c r="G604" s="113" t="s">
        <v>2120</v>
      </c>
      <c r="H604" s="113" t="s">
        <v>14</v>
      </c>
      <c r="I604" s="113" t="s">
        <v>1109</v>
      </c>
      <c r="J604" s="118" t="s">
        <v>12</v>
      </c>
      <c r="K604" s="118" t="s">
        <v>12</v>
      </c>
      <c r="L604" s="118" t="s">
        <v>5806</v>
      </c>
      <c r="M604" s="115" t="s">
        <v>1109</v>
      </c>
      <c r="N604" s="115" t="s">
        <v>6399</v>
      </c>
      <c r="O604" s="115" t="s">
        <v>1109</v>
      </c>
      <c r="P604" s="113">
        <v>600</v>
      </c>
      <c r="Q604" s="113">
        <v>100</v>
      </c>
      <c r="R604" s="113">
        <v>103</v>
      </c>
      <c r="S604" s="113">
        <v>75</v>
      </c>
      <c r="T604" s="120">
        <v>120</v>
      </c>
      <c r="U604" s="113">
        <v>75</v>
      </c>
      <c r="V604" s="113">
        <v>127</v>
      </c>
      <c r="W604" s="129"/>
      <c r="X604" s="129"/>
      <c r="Y604" s="5"/>
      <c r="Z604" s="5"/>
      <c r="AA604" s="5"/>
      <c r="AB604" s="5"/>
      <c r="AC604" s="5"/>
      <c r="AD604" s="5"/>
      <c r="AE604" s="5"/>
    </row>
    <row r="605" spans="1:31" customFormat="1">
      <c r="A605" s="113">
        <v>493</v>
      </c>
      <c r="B605" s="113" t="s">
        <v>533</v>
      </c>
      <c r="C605" s="120" t="s">
        <v>5808</v>
      </c>
      <c r="D605" s="124" t="s">
        <v>1109</v>
      </c>
      <c r="E605" s="124" t="s">
        <v>1109</v>
      </c>
      <c r="F605" s="113" t="s">
        <v>2333</v>
      </c>
      <c r="G605" s="113" t="s">
        <v>2120</v>
      </c>
      <c r="H605" s="113" t="s">
        <v>36</v>
      </c>
      <c r="I605" s="113" t="s">
        <v>1109</v>
      </c>
      <c r="J605" s="118" t="s">
        <v>12</v>
      </c>
      <c r="K605" s="118" t="s">
        <v>12</v>
      </c>
      <c r="L605" s="118" t="s">
        <v>5808</v>
      </c>
      <c r="M605" s="115" t="s">
        <v>1109</v>
      </c>
      <c r="N605" s="115" t="s">
        <v>6399</v>
      </c>
      <c r="O605" s="115" t="s">
        <v>1109</v>
      </c>
      <c r="P605" s="113">
        <v>720</v>
      </c>
      <c r="Q605" s="113">
        <v>120</v>
      </c>
      <c r="R605" s="113">
        <v>120</v>
      </c>
      <c r="S605" s="113">
        <v>120</v>
      </c>
      <c r="T605" s="120">
        <v>120</v>
      </c>
      <c r="U605" s="113">
        <v>120</v>
      </c>
      <c r="V605" s="113">
        <v>120</v>
      </c>
      <c r="W605" s="129"/>
      <c r="X605" s="129"/>
      <c r="Y605" s="5"/>
      <c r="Z605" s="5"/>
      <c r="AA605" s="5"/>
      <c r="AB605" s="5"/>
      <c r="AC605" s="5"/>
      <c r="AD605" s="5"/>
      <c r="AE605" s="5"/>
    </row>
    <row r="606" spans="1:31" customFormat="1">
      <c r="A606" s="113">
        <v>494</v>
      </c>
      <c r="B606" s="113" t="s">
        <v>534</v>
      </c>
      <c r="C606" s="120" t="s">
        <v>5809</v>
      </c>
      <c r="D606" s="124" t="s">
        <v>1109</v>
      </c>
      <c r="E606" s="124" t="s">
        <v>1109</v>
      </c>
      <c r="F606" s="113" t="s">
        <v>2333</v>
      </c>
      <c r="G606" s="113" t="s">
        <v>2121</v>
      </c>
      <c r="H606" s="113" t="s">
        <v>86</v>
      </c>
      <c r="I606" s="113" t="s">
        <v>19</v>
      </c>
      <c r="J606" s="118" t="s">
        <v>12</v>
      </c>
      <c r="K606" s="118" t="s">
        <v>12</v>
      </c>
      <c r="L606" s="118" t="s">
        <v>5809</v>
      </c>
      <c r="M606" s="115" t="s">
        <v>1109</v>
      </c>
      <c r="N606" s="115" t="s">
        <v>6399</v>
      </c>
      <c r="O606" s="115" t="s">
        <v>1109</v>
      </c>
      <c r="P606" s="113">
        <v>600</v>
      </c>
      <c r="Q606" s="113">
        <v>100</v>
      </c>
      <c r="R606" s="113">
        <v>100</v>
      </c>
      <c r="S606" s="113">
        <v>100</v>
      </c>
      <c r="T606" s="120">
        <v>100</v>
      </c>
      <c r="U606" s="113">
        <v>100</v>
      </c>
      <c r="V606" s="113">
        <v>100</v>
      </c>
      <c r="W606" s="129"/>
      <c r="X606" s="129"/>
      <c r="Y606" s="5"/>
      <c r="Z606" s="5"/>
      <c r="AA606" s="5"/>
      <c r="AB606" s="5"/>
      <c r="AC606" s="5"/>
      <c r="AD606" s="5"/>
      <c r="AE606" s="5"/>
    </row>
    <row r="607" spans="1:31" customFormat="1">
      <c r="A607" s="113">
        <v>495</v>
      </c>
      <c r="B607" s="113" t="s">
        <v>535</v>
      </c>
      <c r="C607" s="120" t="s">
        <v>5810</v>
      </c>
      <c r="D607" s="124">
        <v>0.85</v>
      </c>
      <c r="E607" s="124">
        <v>0.15</v>
      </c>
      <c r="F607" s="113" t="s">
        <v>2332</v>
      </c>
      <c r="G607" s="113" t="s">
        <v>2121</v>
      </c>
      <c r="H607" s="113" t="s">
        <v>14</v>
      </c>
      <c r="I607" s="113" t="s">
        <v>1109</v>
      </c>
      <c r="J607" s="118" t="s">
        <v>792</v>
      </c>
      <c r="K607" s="118" t="s">
        <v>4657</v>
      </c>
      <c r="L607" s="118" t="s">
        <v>5810</v>
      </c>
      <c r="M607" s="115" t="s">
        <v>1109</v>
      </c>
      <c r="N607" s="115" t="s">
        <v>2129</v>
      </c>
      <c r="O607" s="115" t="s">
        <v>1109</v>
      </c>
      <c r="P607" s="113">
        <v>308</v>
      </c>
      <c r="Q607" s="113">
        <v>45</v>
      </c>
      <c r="R607" s="113">
        <v>45</v>
      </c>
      <c r="S607" s="113">
        <v>55</v>
      </c>
      <c r="T607" s="120">
        <v>45</v>
      </c>
      <c r="U607" s="113">
        <v>55</v>
      </c>
      <c r="V607" s="113">
        <v>63</v>
      </c>
      <c r="W607" s="129"/>
      <c r="X607" s="129"/>
      <c r="Y607" s="5"/>
      <c r="Z607" s="5"/>
      <c r="AA607" s="5"/>
      <c r="AB607" s="5"/>
      <c r="AC607" s="5"/>
      <c r="AD607" s="5"/>
      <c r="AE607" s="5"/>
    </row>
    <row r="608" spans="1:31" customFormat="1">
      <c r="A608" s="113">
        <v>496</v>
      </c>
      <c r="B608" s="113" t="s">
        <v>536</v>
      </c>
      <c r="C608" s="120" t="s">
        <v>5811</v>
      </c>
      <c r="D608" s="124">
        <v>0.85</v>
      </c>
      <c r="E608" s="124">
        <v>0.15</v>
      </c>
      <c r="F608" s="113" t="s">
        <v>2332</v>
      </c>
      <c r="G608" s="113" t="s">
        <v>2121</v>
      </c>
      <c r="H608" s="113" t="s">
        <v>14</v>
      </c>
      <c r="I608" s="113" t="s">
        <v>1109</v>
      </c>
      <c r="J608" s="118" t="s">
        <v>792</v>
      </c>
      <c r="K608" s="118" t="s">
        <v>4657</v>
      </c>
      <c r="L608" s="118" t="s">
        <v>5810</v>
      </c>
      <c r="M608" s="115" t="s">
        <v>5810</v>
      </c>
      <c r="N608" s="115" t="s">
        <v>6398</v>
      </c>
      <c r="O608" s="115" t="s">
        <v>2128</v>
      </c>
      <c r="P608" s="113">
        <v>413</v>
      </c>
      <c r="Q608" s="113">
        <v>60</v>
      </c>
      <c r="R608" s="113">
        <v>60</v>
      </c>
      <c r="S608" s="113">
        <v>75</v>
      </c>
      <c r="T608" s="120">
        <v>60</v>
      </c>
      <c r="U608" s="113">
        <v>75</v>
      </c>
      <c r="V608" s="113">
        <v>83</v>
      </c>
      <c r="W608" s="129"/>
      <c r="X608" s="129"/>
      <c r="Y608" s="5"/>
      <c r="Z608" s="5"/>
      <c r="AA608" s="5"/>
      <c r="AB608" s="5"/>
      <c r="AC608" s="5"/>
      <c r="AD608" s="5"/>
      <c r="AE608" s="5"/>
    </row>
    <row r="609" spans="1:31" customFormat="1">
      <c r="A609" s="113">
        <v>497</v>
      </c>
      <c r="B609" s="113" t="s">
        <v>537</v>
      </c>
      <c r="C609" s="120" t="s">
        <v>5812</v>
      </c>
      <c r="D609" s="124">
        <v>0.85</v>
      </c>
      <c r="E609" s="124">
        <v>0.15</v>
      </c>
      <c r="F609" s="113" t="s">
        <v>2332</v>
      </c>
      <c r="G609" s="113" t="s">
        <v>2121</v>
      </c>
      <c r="H609" s="113" t="s">
        <v>14</v>
      </c>
      <c r="I609" s="113" t="s">
        <v>1109</v>
      </c>
      <c r="J609" s="118" t="s">
        <v>792</v>
      </c>
      <c r="K609" s="118" t="s">
        <v>4657</v>
      </c>
      <c r="L609" s="118" t="s">
        <v>5810</v>
      </c>
      <c r="M609" s="115" t="s">
        <v>5811</v>
      </c>
      <c r="N609" s="115" t="s">
        <v>6399</v>
      </c>
      <c r="O609" s="115" t="s">
        <v>2128</v>
      </c>
      <c r="P609" s="113">
        <v>528</v>
      </c>
      <c r="Q609" s="113">
        <v>75</v>
      </c>
      <c r="R609" s="113">
        <v>75</v>
      </c>
      <c r="S609" s="113">
        <v>95</v>
      </c>
      <c r="T609" s="120">
        <v>75</v>
      </c>
      <c r="U609" s="113">
        <v>95</v>
      </c>
      <c r="V609" s="113">
        <v>113</v>
      </c>
      <c r="W609" s="129"/>
      <c r="X609" s="129"/>
      <c r="Y609" s="5"/>
      <c r="Z609" s="5"/>
      <c r="AA609" s="5"/>
      <c r="AB609" s="5"/>
      <c r="AC609" s="5"/>
      <c r="AD609" s="5"/>
      <c r="AE609" s="5"/>
    </row>
    <row r="610" spans="1:31" customFormat="1">
      <c r="A610" s="113">
        <v>498</v>
      </c>
      <c r="B610" s="113" t="s">
        <v>538</v>
      </c>
      <c r="C610" s="120" t="s">
        <v>5813</v>
      </c>
      <c r="D610" s="124">
        <v>0.85</v>
      </c>
      <c r="E610" s="124">
        <v>0.15</v>
      </c>
      <c r="F610" s="113" t="s">
        <v>2332</v>
      </c>
      <c r="G610" s="113" t="s">
        <v>2121</v>
      </c>
      <c r="H610" s="113" t="s">
        <v>19</v>
      </c>
      <c r="I610" s="113" t="s">
        <v>1109</v>
      </c>
      <c r="J610" s="118" t="s">
        <v>792</v>
      </c>
      <c r="K610" s="118" t="s">
        <v>4657</v>
      </c>
      <c r="L610" s="118" t="s">
        <v>5813</v>
      </c>
      <c r="M610" s="115" t="s">
        <v>1109</v>
      </c>
      <c r="N610" s="115" t="s">
        <v>2129</v>
      </c>
      <c r="O610" s="115" t="s">
        <v>1109</v>
      </c>
      <c r="P610" s="113">
        <v>308</v>
      </c>
      <c r="Q610" s="113">
        <v>65</v>
      </c>
      <c r="R610" s="113">
        <v>63</v>
      </c>
      <c r="S610" s="113">
        <v>45</v>
      </c>
      <c r="T610" s="120">
        <v>45</v>
      </c>
      <c r="U610" s="113">
        <v>45</v>
      </c>
      <c r="V610" s="113">
        <v>45</v>
      </c>
      <c r="W610" s="129"/>
      <c r="X610" s="129"/>
      <c r="Y610" s="5"/>
      <c r="Z610" s="5"/>
      <c r="AA610" s="5"/>
      <c r="AB610" s="5"/>
      <c r="AC610" s="5"/>
      <c r="AD610" s="5"/>
      <c r="AE610" s="5"/>
    </row>
    <row r="611" spans="1:31" customFormat="1">
      <c r="A611" s="113">
        <v>499</v>
      </c>
      <c r="B611" s="113" t="s">
        <v>539</v>
      </c>
      <c r="C611" s="120" t="s">
        <v>5814</v>
      </c>
      <c r="D611" s="124">
        <v>0.85</v>
      </c>
      <c r="E611" s="124">
        <v>0.15</v>
      </c>
      <c r="F611" s="113" t="s">
        <v>2332</v>
      </c>
      <c r="G611" s="113" t="s">
        <v>2121</v>
      </c>
      <c r="H611" s="113" t="s">
        <v>19</v>
      </c>
      <c r="I611" s="113" t="s">
        <v>78</v>
      </c>
      <c r="J611" s="118" t="s">
        <v>792</v>
      </c>
      <c r="K611" s="118" t="s">
        <v>4657</v>
      </c>
      <c r="L611" s="118" t="s">
        <v>5813</v>
      </c>
      <c r="M611" s="115" t="s">
        <v>5813</v>
      </c>
      <c r="N611" s="115" t="s">
        <v>6398</v>
      </c>
      <c r="O611" s="115" t="s">
        <v>2128</v>
      </c>
      <c r="P611" s="113">
        <v>418</v>
      </c>
      <c r="Q611" s="113">
        <v>90</v>
      </c>
      <c r="R611" s="113">
        <v>93</v>
      </c>
      <c r="S611" s="113">
        <v>55</v>
      </c>
      <c r="T611" s="120">
        <v>70</v>
      </c>
      <c r="U611" s="113">
        <v>55</v>
      </c>
      <c r="V611" s="113">
        <v>55</v>
      </c>
      <c r="W611" s="129"/>
      <c r="X611" s="129"/>
      <c r="Y611" s="5"/>
      <c r="Z611" s="5"/>
      <c r="AA611" s="5"/>
      <c r="AB611" s="5"/>
      <c r="AC611" s="5"/>
      <c r="AD611" s="5"/>
      <c r="AE611" s="5"/>
    </row>
    <row r="612" spans="1:31" customFormat="1">
      <c r="A612" s="113">
        <v>500</v>
      </c>
      <c r="B612" s="113" t="s">
        <v>540</v>
      </c>
      <c r="C612" s="120" t="s">
        <v>5815</v>
      </c>
      <c r="D612" s="124">
        <v>0.85</v>
      </c>
      <c r="E612" s="124">
        <v>0.15</v>
      </c>
      <c r="F612" s="113" t="s">
        <v>2332</v>
      </c>
      <c r="G612" s="113" t="s">
        <v>2121</v>
      </c>
      <c r="H612" s="113" t="s">
        <v>19</v>
      </c>
      <c r="I612" s="113" t="s">
        <v>78</v>
      </c>
      <c r="J612" s="118" t="s">
        <v>792</v>
      </c>
      <c r="K612" s="118" t="s">
        <v>4657</v>
      </c>
      <c r="L612" s="118" t="s">
        <v>5813</v>
      </c>
      <c r="M612" s="115" t="s">
        <v>5814</v>
      </c>
      <c r="N612" s="115" t="s">
        <v>6399</v>
      </c>
      <c r="O612" s="115" t="s">
        <v>2128</v>
      </c>
      <c r="P612" s="113">
        <v>528</v>
      </c>
      <c r="Q612" s="113">
        <v>110</v>
      </c>
      <c r="R612" s="113">
        <v>123</v>
      </c>
      <c r="S612" s="113">
        <v>65</v>
      </c>
      <c r="T612" s="120">
        <v>100</v>
      </c>
      <c r="U612" s="113">
        <v>65</v>
      </c>
      <c r="V612" s="113">
        <v>65</v>
      </c>
      <c r="W612" s="129"/>
      <c r="X612" s="129"/>
      <c r="Y612" s="5"/>
      <c r="Z612" s="5"/>
      <c r="AA612" s="5"/>
      <c r="AB612" s="5"/>
      <c r="AC612" s="5"/>
      <c r="AD612" s="5"/>
      <c r="AE612" s="5"/>
    </row>
    <row r="613" spans="1:31" customFormat="1">
      <c r="A613" s="113">
        <v>501</v>
      </c>
      <c r="B613" s="113" t="s">
        <v>541</v>
      </c>
      <c r="C613" s="120" t="s">
        <v>5816</v>
      </c>
      <c r="D613" s="124">
        <v>0.85</v>
      </c>
      <c r="E613" s="124">
        <v>0.15</v>
      </c>
      <c r="F613" s="113" t="s">
        <v>2332</v>
      </c>
      <c r="G613" s="113" t="s">
        <v>2121</v>
      </c>
      <c r="H613" s="113" t="s">
        <v>25</v>
      </c>
      <c r="I613" s="113" t="s">
        <v>1109</v>
      </c>
      <c r="J613" s="118" t="s">
        <v>792</v>
      </c>
      <c r="K613" s="118" t="s">
        <v>4657</v>
      </c>
      <c r="L613" s="118" t="s">
        <v>5816</v>
      </c>
      <c r="M613" s="115" t="s">
        <v>1109</v>
      </c>
      <c r="N613" s="115" t="s">
        <v>2129</v>
      </c>
      <c r="O613" s="115" t="s">
        <v>1109</v>
      </c>
      <c r="P613" s="113">
        <v>308</v>
      </c>
      <c r="Q613" s="113">
        <v>55</v>
      </c>
      <c r="R613" s="113">
        <v>55</v>
      </c>
      <c r="S613" s="113">
        <v>45</v>
      </c>
      <c r="T613" s="120">
        <v>63</v>
      </c>
      <c r="U613" s="113">
        <v>45</v>
      </c>
      <c r="V613" s="113">
        <v>45</v>
      </c>
      <c r="W613" s="129"/>
      <c r="X613" s="129"/>
      <c r="Y613" s="5"/>
      <c r="Z613" s="5"/>
      <c r="AA613" s="5"/>
      <c r="AB613" s="5"/>
      <c r="AC613" s="5"/>
      <c r="AD613" s="5"/>
      <c r="AE613" s="5"/>
    </row>
    <row r="614" spans="1:31" customFormat="1">
      <c r="A614" s="113">
        <v>502</v>
      </c>
      <c r="B614" s="113" t="s">
        <v>542</v>
      </c>
      <c r="C614" s="120" t="s">
        <v>5817</v>
      </c>
      <c r="D614" s="124">
        <v>0.85</v>
      </c>
      <c r="E614" s="124">
        <v>0.15</v>
      </c>
      <c r="F614" s="113" t="s">
        <v>2332</v>
      </c>
      <c r="G614" s="113" t="s">
        <v>2121</v>
      </c>
      <c r="H614" s="113" t="s">
        <v>25</v>
      </c>
      <c r="I614" s="113" t="s">
        <v>1109</v>
      </c>
      <c r="J614" s="118" t="s">
        <v>792</v>
      </c>
      <c r="K614" s="118" t="s">
        <v>4657</v>
      </c>
      <c r="L614" s="118" t="s">
        <v>5816</v>
      </c>
      <c r="M614" s="115" t="s">
        <v>5816</v>
      </c>
      <c r="N614" s="115" t="s">
        <v>6398</v>
      </c>
      <c r="O614" s="115" t="s">
        <v>2128</v>
      </c>
      <c r="P614" s="113">
        <v>413</v>
      </c>
      <c r="Q614" s="113">
        <v>75</v>
      </c>
      <c r="R614" s="113">
        <v>75</v>
      </c>
      <c r="S614" s="113">
        <v>60</v>
      </c>
      <c r="T614" s="120">
        <v>83</v>
      </c>
      <c r="U614" s="113">
        <v>60</v>
      </c>
      <c r="V614" s="113">
        <v>60</v>
      </c>
      <c r="W614" s="129"/>
      <c r="X614" s="129"/>
      <c r="Y614" s="5"/>
      <c r="Z614" s="5"/>
      <c r="AA614" s="5"/>
      <c r="AB614" s="5"/>
      <c r="AC614" s="5"/>
      <c r="AD614" s="5"/>
      <c r="AE614" s="5"/>
    </row>
    <row r="615" spans="1:31" customFormat="1">
      <c r="A615" s="113">
        <v>503</v>
      </c>
      <c r="B615" s="113" t="s">
        <v>543</v>
      </c>
      <c r="C615" s="120" t="s">
        <v>5818</v>
      </c>
      <c r="D615" s="124">
        <v>0.85</v>
      </c>
      <c r="E615" s="124">
        <v>0.15</v>
      </c>
      <c r="F615" s="113" t="s">
        <v>2332</v>
      </c>
      <c r="G615" s="113" t="s">
        <v>2121</v>
      </c>
      <c r="H615" s="113" t="s">
        <v>25</v>
      </c>
      <c r="I615" s="113" t="s">
        <v>1109</v>
      </c>
      <c r="J615" s="118" t="s">
        <v>792</v>
      </c>
      <c r="K615" s="118" t="s">
        <v>4657</v>
      </c>
      <c r="L615" s="118" t="s">
        <v>5816</v>
      </c>
      <c r="M615" s="115" t="s">
        <v>5817</v>
      </c>
      <c r="N615" s="115" t="s">
        <v>6399</v>
      </c>
      <c r="O615" s="115" t="s">
        <v>2128</v>
      </c>
      <c r="P615" s="113">
        <v>528</v>
      </c>
      <c r="Q615" s="113">
        <v>95</v>
      </c>
      <c r="R615" s="113">
        <v>100</v>
      </c>
      <c r="S615" s="113">
        <v>85</v>
      </c>
      <c r="T615" s="120">
        <v>108</v>
      </c>
      <c r="U615" s="113">
        <v>70</v>
      </c>
      <c r="V615" s="113">
        <v>70</v>
      </c>
      <c r="W615" s="129"/>
      <c r="X615" s="129"/>
      <c r="Y615" s="5"/>
      <c r="Z615" s="5"/>
      <c r="AA615" s="5"/>
      <c r="AB615" s="5"/>
      <c r="AC615" s="5"/>
      <c r="AD615" s="5"/>
      <c r="AE615" s="5"/>
    </row>
    <row r="616" spans="1:31" customFormat="1">
      <c r="A616" s="113">
        <v>503</v>
      </c>
      <c r="B616" s="113" t="s">
        <v>2989</v>
      </c>
      <c r="C616" s="120" t="s">
        <v>5819</v>
      </c>
      <c r="D616" s="124">
        <v>0.85</v>
      </c>
      <c r="E616" s="124">
        <v>0.15</v>
      </c>
      <c r="F616" s="113" t="s">
        <v>2332</v>
      </c>
      <c r="G616" s="113" t="s">
        <v>4319</v>
      </c>
      <c r="H616" s="113" t="s">
        <v>25</v>
      </c>
      <c r="I616" s="113" t="s">
        <v>158</v>
      </c>
      <c r="J616" s="118" t="s">
        <v>792</v>
      </c>
      <c r="K616" s="118" t="s">
        <v>4657</v>
      </c>
      <c r="L616" s="118" t="s">
        <v>5816</v>
      </c>
      <c r="M616" s="115" t="s">
        <v>5817</v>
      </c>
      <c r="N616" s="115" t="s">
        <v>6399</v>
      </c>
      <c r="O616" s="115" t="s">
        <v>2128</v>
      </c>
      <c r="P616" s="113">
        <v>528</v>
      </c>
      <c r="Q616" s="113">
        <v>90</v>
      </c>
      <c r="R616" s="113">
        <v>108</v>
      </c>
      <c r="S616" s="113">
        <v>80</v>
      </c>
      <c r="T616" s="120">
        <v>100</v>
      </c>
      <c r="U616" s="113">
        <v>65</v>
      </c>
      <c r="V616" s="113">
        <v>85</v>
      </c>
      <c r="W616" s="129"/>
      <c r="X616" s="129"/>
      <c r="Y616" s="5"/>
      <c r="Z616" s="5"/>
      <c r="AA616" s="5"/>
      <c r="AB616" s="5"/>
      <c r="AC616" s="5"/>
      <c r="AD616" s="5"/>
      <c r="AE616" s="5"/>
    </row>
    <row r="617" spans="1:31" customFormat="1">
      <c r="A617" s="113">
        <v>504</v>
      </c>
      <c r="B617" s="113" t="s">
        <v>544</v>
      </c>
      <c r="C617" s="120" t="s">
        <v>5820</v>
      </c>
      <c r="D617" s="124">
        <v>0.5</v>
      </c>
      <c r="E617" s="124">
        <v>0.5</v>
      </c>
      <c r="F617" s="113" t="s">
        <v>2332</v>
      </c>
      <c r="G617" s="113" t="s">
        <v>2121</v>
      </c>
      <c r="H617" s="113" t="s">
        <v>36</v>
      </c>
      <c r="I617" s="113" t="s">
        <v>1109</v>
      </c>
      <c r="J617" s="118" t="s">
        <v>2129</v>
      </c>
      <c r="K617" s="118" t="s">
        <v>2712</v>
      </c>
      <c r="L617" s="118" t="s">
        <v>5820</v>
      </c>
      <c r="M617" s="115" t="s">
        <v>1109</v>
      </c>
      <c r="N617" s="115" t="s">
        <v>2129</v>
      </c>
      <c r="O617" s="115" t="s">
        <v>1109</v>
      </c>
      <c r="P617" s="113">
        <v>255</v>
      </c>
      <c r="Q617" s="113">
        <v>45</v>
      </c>
      <c r="R617" s="113">
        <v>55</v>
      </c>
      <c r="S617" s="113">
        <v>39</v>
      </c>
      <c r="T617" s="120">
        <v>35</v>
      </c>
      <c r="U617" s="113">
        <v>39</v>
      </c>
      <c r="V617" s="113">
        <v>42</v>
      </c>
      <c r="W617" s="129"/>
      <c r="X617" s="129"/>
      <c r="Y617" s="5"/>
      <c r="Z617" s="5"/>
      <c r="AA617" s="5"/>
      <c r="AB617" s="5"/>
      <c r="AC617" s="5"/>
      <c r="AD617" s="5"/>
      <c r="AE617" s="5"/>
    </row>
    <row r="618" spans="1:31" customFormat="1">
      <c r="A618" s="113">
        <v>505</v>
      </c>
      <c r="B618" s="113" t="s">
        <v>545</v>
      </c>
      <c r="C618" s="120" t="s">
        <v>5821</v>
      </c>
      <c r="D618" s="124">
        <v>0.5</v>
      </c>
      <c r="E618" s="124">
        <v>0.5</v>
      </c>
      <c r="F618" s="113" t="s">
        <v>2332</v>
      </c>
      <c r="G618" s="113" t="s">
        <v>2121</v>
      </c>
      <c r="H618" s="113" t="s">
        <v>36</v>
      </c>
      <c r="I618" s="113" t="s">
        <v>1109</v>
      </c>
      <c r="J618" s="118" t="s">
        <v>2129</v>
      </c>
      <c r="K618" s="118" t="s">
        <v>2712</v>
      </c>
      <c r="L618" s="118" t="s">
        <v>5820</v>
      </c>
      <c r="M618" s="115" t="s">
        <v>5820</v>
      </c>
      <c r="N618" s="115" t="s">
        <v>6399</v>
      </c>
      <c r="O618" s="115" t="s">
        <v>2128</v>
      </c>
      <c r="P618" s="113">
        <v>420</v>
      </c>
      <c r="Q618" s="113">
        <v>60</v>
      </c>
      <c r="R618" s="113">
        <v>85</v>
      </c>
      <c r="S618" s="113">
        <v>69</v>
      </c>
      <c r="T618" s="120">
        <v>60</v>
      </c>
      <c r="U618" s="113">
        <v>69</v>
      </c>
      <c r="V618" s="113">
        <v>77</v>
      </c>
      <c r="W618" s="129"/>
      <c r="X618" s="129"/>
      <c r="Y618" s="5"/>
      <c r="Z618" s="5"/>
      <c r="AA618" s="5"/>
      <c r="AB618" s="5"/>
      <c r="AC618" s="5"/>
      <c r="AD618" s="5"/>
      <c r="AE618" s="5"/>
    </row>
    <row r="619" spans="1:31" customFormat="1">
      <c r="A619" s="113">
        <v>506</v>
      </c>
      <c r="B619" s="113" t="s">
        <v>546</v>
      </c>
      <c r="C619" s="120" t="s">
        <v>5822</v>
      </c>
      <c r="D619" s="124">
        <v>0.5</v>
      </c>
      <c r="E619" s="124">
        <v>0.5</v>
      </c>
      <c r="F619" s="113" t="s">
        <v>2332</v>
      </c>
      <c r="G619" s="113" t="s">
        <v>2121</v>
      </c>
      <c r="H619" s="113" t="s">
        <v>36</v>
      </c>
      <c r="I619" s="113" t="s">
        <v>1109</v>
      </c>
      <c r="J619" s="118" t="s">
        <v>2129</v>
      </c>
      <c r="K619" s="118" t="s">
        <v>2712</v>
      </c>
      <c r="L619" s="118" t="s">
        <v>5822</v>
      </c>
      <c r="M619" s="115" t="s">
        <v>1109</v>
      </c>
      <c r="N619" s="115" t="s">
        <v>2129</v>
      </c>
      <c r="O619" s="115" t="s">
        <v>1109</v>
      </c>
      <c r="P619" s="113">
        <v>275</v>
      </c>
      <c r="Q619" s="113">
        <v>45</v>
      </c>
      <c r="R619" s="113">
        <v>60</v>
      </c>
      <c r="S619" s="113">
        <v>45</v>
      </c>
      <c r="T619" s="120">
        <v>25</v>
      </c>
      <c r="U619" s="113">
        <v>45</v>
      </c>
      <c r="V619" s="113">
        <v>55</v>
      </c>
      <c r="W619" s="129"/>
      <c r="X619" s="129"/>
      <c r="Y619" s="5"/>
      <c r="Z619" s="5"/>
      <c r="AA619" s="5"/>
      <c r="AB619" s="5"/>
      <c r="AC619" s="5"/>
      <c r="AD619" s="5"/>
      <c r="AE619" s="5"/>
    </row>
    <row r="620" spans="1:31" customFormat="1">
      <c r="A620" s="113">
        <v>507</v>
      </c>
      <c r="B620" s="113" t="s">
        <v>547</v>
      </c>
      <c r="C620" s="120" t="s">
        <v>5823</v>
      </c>
      <c r="D620" s="124">
        <v>0.5</v>
      </c>
      <c r="E620" s="124">
        <v>0.5</v>
      </c>
      <c r="F620" s="113" t="s">
        <v>2332</v>
      </c>
      <c r="G620" s="113" t="s">
        <v>2121</v>
      </c>
      <c r="H620" s="113" t="s">
        <v>36</v>
      </c>
      <c r="I620" s="113" t="s">
        <v>1109</v>
      </c>
      <c r="J620" s="118" t="s">
        <v>2129</v>
      </c>
      <c r="K620" s="118" t="s">
        <v>2712</v>
      </c>
      <c r="L620" s="118" t="s">
        <v>5822</v>
      </c>
      <c r="M620" s="115" t="s">
        <v>5822</v>
      </c>
      <c r="N620" s="115" t="s">
        <v>6398</v>
      </c>
      <c r="O620" s="115" t="s">
        <v>2128</v>
      </c>
      <c r="P620" s="113">
        <v>370</v>
      </c>
      <c r="Q620" s="113">
        <v>65</v>
      </c>
      <c r="R620" s="113">
        <v>80</v>
      </c>
      <c r="S620" s="113">
        <v>65</v>
      </c>
      <c r="T620" s="120">
        <v>35</v>
      </c>
      <c r="U620" s="113">
        <v>65</v>
      </c>
      <c r="V620" s="113">
        <v>60</v>
      </c>
      <c r="W620" s="129"/>
      <c r="X620" s="129"/>
      <c r="Y620" s="5"/>
      <c r="Z620" s="5"/>
      <c r="AA620" s="5"/>
      <c r="AB620" s="5"/>
      <c r="AC620" s="5"/>
      <c r="AD620" s="5"/>
      <c r="AE620" s="5"/>
    </row>
    <row r="621" spans="1:31" customFormat="1">
      <c r="A621" s="113">
        <v>508</v>
      </c>
      <c r="B621" s="113" t="s">
        <v>548</v>
      </c>
      <c r="C621" s="120" t="s">
        <v>5824</v>
      </c>
      <c r="D621" s="124">
        <v>0.5</v>
      </c>
      <c r="E621" s="124">
        <v>0.5</v>
      </c>
      <c r="F621" s="113" t="s">
        <v>2332</v>
      </c>
      <c r="G621" s="113" t="s">
        <v>2121</v>
      </c>
      <c r="H621" s="113" t="s">
        <v>36</v>
      </c>
      <c r="I621" s="113" t="s">
        <v>1109</v>
      </c>
      <c r="J621" s="118" t="s">
        <v>2129</v>
      </c>
      <c r="K621" s="118" t="s">
        <v>2712</v>
      </c>
      <c r="L621" s="118" t="s">
        <v>5822</v>
      </c>
      <c r="M621" s="115" t="s">
        <v>5823</v>
      </c>
      <c r="N621" s="115" t="s">
        <v>6399</v>
      </c>
      <c r="O621" s="115" t="s">
        <v>2128</v>
      </c>
      <c r="P621" s="113">
        <v>500</v>
      </c>
      <c r="Q621" s="113">
        <v>85</v>
      </c>
      <c r="R621" s="113">
        <v>110</v>
      </c>
      <c r="S621" s="113">
        <v>90</v>
      </c>
      <c r="T621" s="120">
        <v>45</v>
      </c>
      <c r="U621" s="113">
        <v>90</v>
      </c>
      <c r="V621" s="113">
        <v>80</v>
      </c>
      <c r="W621" s="129"/>
      <c r="X621" s="129"/>
      <c r="Y621" s="5"/>
      <c r="Z621" s="5"/>
      <c r="AA621" s="5"/>
      <c r="AB621" s="5"/>
      <c r="AC621" s="5"/>
      <c r="AD621" s="5"/>
      <c r="AE621" s="5"/>
    </row>
    <row r="622" spans="1:31" customFormat="1">
      <c r="A622" s="113">
        <v>509</v>
      </c>
      <c r="B622" s="113" t="s">
        <v>549</v>
      </c>
      <c r="C622" s="120" t="s">
        <v>5825</v>
      </c>
      <c r="D622" s="124">
        <v>0.5</v>
      </c>
      <c r="E622" s="124">
        <v>0.5</v>
      </c>
      <c r="F622" s="113" t="s">
        <v>2332</v>
      </c>
      <c r="G622" s="113" t="s">
        <v>2121</v>
      </c>
      <c r="H622" s="113" t="s">
        <v>158</v>
      </c>
      <c r="I622" s="113" t="s">
        <v>1109</v>
      </c>
      <c r="J622" s="118" t="s">
        <v>2129</v>
      </c>
      <c r="K622" s="118" t="s">
        <v>2712</v>
      </c>
      <c r="L622" s="118" t="s">
        <v>5825</v>
      </c>
      <c r="M622" s="115" t="s">
        <v>1109</v>
      </c>
      <c r="N622" s="115" t="s">
        <v>2129</v>
      </c>
      <c r="O622" s="115" t="s">
        <v>1109</v>
      </c>
      <c r="P622" s="113">
        <v>281</v>
      </c>
      <c r="Q622" s="113">
        <v>41</v>
      </c>
      <c r="R622" s="113">
        <v>50</v>
      </c>
      <c r="S622" s="113">
        <v>37</v>
      </c>
      <c r="T622" s="120">
        <v>50</v>
      </c>
      <c r="U622" s="113">
        <v>37</v>
      </c>
      <c r="V622" s="113">
        <v>66</v>
      </c>
      <c r="W622" s="129"/>
      <c r="X622" s="129"/>
      <c r="Y622" s="5"/>
      <c r="Z622" s="5"/>
      <c r="AA622" s="5"/>
      <c r="AB622" s="5"/>
      <c r="AC622" s="5"/>
      <c r="AD622" s="5"/>
      <c r="AE622" s="5"/>
    </row>
    <row r="623" spans="1:31" customFormat="1">
      <c r="A623" s="113">
        <v>510</v>
      </c>
      <c r="B623" s="113" t="s">
        <v>550</v>
      </c>
      <c r="C623" s="120" t="s">
        <v>5826</v>
      </c>
      <c r="D623" s="124">
        <v>0.5</v>
      </c>
      <c r="E623" s="124">
        <v>0.5</v>
      </c>
      <c r="F623" s="113" t="s">
        <v>2332</v>
      </c>
      <c r="G623" s="113" t="s">
        <v>2121</v>
      </c>
      <c r="H623" s="113" t="s">
        <v>158</v>
      </c>
      <c r="I623" s="113" t="s">
        <v>1109</v>
      </c>
      <c r="J623" s="118" t="s">
        <v>2129</v>
      </c>
      <c r="K623" s="118" t="s">
        <v>2712</v>
      </c>
      <c r="L623" s="118" t="s">
        <v>5825</v>
      </c>
      <c r="M623" s="115" t="s">
        <v>5825</v>
      </c>
      <c r="N623" s="115" t="s">
        <v>6399</v>
      </c>
      <c r="O623" s="115" t="s">
        <v>2128</v>
      </c>
      <c r="P623" s="113">
        <v>446</v>
      </c>
      <c r="Q623" s="113">
        <v>64</v>
      </c>
      <c r="R623" s="113">
        <v>88</v>
      </c>
      <c r="S623" s="113">
        <v>50</v>
      </c>
      <c r="T623" s="120">
        <v>88</v>
      </c>
      <c r="U623" s="113">
        <v>50</v>
      </c>
      <c r="V623" s="113">
        <v>106</v>
      </c>
      <c r="W623" s="129"/>
      <c r="X623" s="129"/>
      <c r="Y623" s="5"/>
      <c r="Z623" s="5"/>
      <c r="AA623" s="5"/>
      <c r="AB623" s="5"/>
      <c r="AC623" s="5"/>
      <c r="AD623" s="5"/>
      <c r="AE623" s="5"/>
    </row>
    <row r="624" spans="1:31" customFormat="1">
      <c r="A624" s="113">
        <v>511</v>
      </c>
      <c r="B624" s="113" t="s">
        <v>551</v>
      </c>
      <c r="C624" s="120" t="s">
        <v>5827</v>
      </c>
      <c r="D624" s="124">
        <v>0.85</v>
      </c>
      <c r="E624" s="124">
        <v>0.15</v>
      </c>
      <c r="F624" s="113" t="s">
        <v>2332</v>
      </c>
      <c r="G624" s="113" t="s">
        <v>2121</v>
      </c>
      <c r="H624" s="113" t="s">
        <v>14</v>
      </c>
      <c r="I624" s="113" t="s">
        <v>1109</v>
      </c>
      <c r="J624" s="118" t="s">
        <v>2129</v>
      </c>
      <c r="K624" s="118" t="s">
        <v>2712</v>
      </c>
      <c r="L624" s="118" t="s">
        <v>5827</v>
      </c>
      <c r="M624" s="115" t="s">
        <v>1109</v>
      </c>
      <c r="N624" s="115" t="s">
        <v>2129</v>
      </c>
      <c r="O624" s="115" t="s">
        <v>1109</v>
      </c>
      <c r="P624" s="113">
        <v>316</v>
      </c>
      <c r="Q624" s="113">
        <v>50</v>
      </c>
      <c r="R624" s="113">
        <v>53</v>
      </c>
      <c r="S624" s="113">
        <v>48</v>
      </c>
      <c r="T624" s="120">
        <v>53</v>
      </c>
      <c r="U624" s="113">
        <v>48</v>
      </c>
      <c r="V624" s="113">
        <v>64</v>
      </c>
      <c r="W624" s="129"/>
      <c r="X624" s="129"/>
      <c r="Y624" s="5"/>
      <c r="Z624" s="5"/>
      <c r="AA624" s="5"/>
      <c r="AB624" s="5"/>
      <c r="AC624" s="5"/>
      <c r="AD624" s="5"/>
      <c r="AE624" s="5"/>
    </row>
    <row r="625" spans="1:31" customFormat="1">
      <c r="A625" s="113">
        <v>512</v>
      </c>
      <c r="B625" s="113" t="s">
        <v>552</v>
      </c>
      <c r="C625" s="120" t="s">
        <v>5828</v>
      </c>
      <c r="D625" s="124">
        <v>0.85</v>
      </c>
      <c r="E625" s="124">
        <v>0.15</v>
      </c>
      <c r="F625" s="113" t="s">
        <v>2332</v>
      </c>
      <c r="G625" s="113" t="s">
        <v>2121</v>
      </c>
      <c r="H625" s="113" t="s">
        <v>14</v>
      </c>
      <c r="I625" s="113" t="s">
        <v>1109</v>
      </c>
      <c r="J625" s="118" t="s">
        <v>2129</v>
      </c>
      <c r="K625" s="118" t="s">
        <v>2712</v>
      </c>
      <c r="L625" s="118" t="s">
        <v>5827</v>
      </c>
      <c r="M625" s="115" t="s">
        <v>5827</v>
      </c>
      <c r="N625" s="115" t="s">
        <v>6399</v>
      </c>
      <c r="O625" s="115" t="s">
        <v>1803</v>
      </c>
      <c r="P625" s="113">
        <v>498</v>
      </c>
      <c r="Q625" s="113">
        <v>75</v>
      </c>
      <c r="R625" s="113">
        <v>98</v>
      </c>
      <c r="S625" s="113">
        <v>63</v>
      </c>
      <c r="T625" s="120">
        <v>98</v>
      </c>
      <c r="U625" s="113">
        <v>63</v>
      </c>
      <c r="V625" s="113">
        <v>101</v>
      </c>
      <c r="W625" s="129"/>
      <c r="X625" s="129"/>
      <c r="Y625" s="5"/>
      <c r="Z625" s="5"/>
      <c r="AA625" s="5"/>
      <c r="AB625" s="5"/>
      <c r="AC625" s="5"/>
      <c r="AD625" s="5"/>
      <c r="AE625" s="5"/>
    </row>
    <row r="626" spans="1:31" customFormat="1">
      <c r="A626" s="113">
        <v>513</v>
      </c>
      <c r="B626" s="113" t="s">
        <v>553</v>
      </c>
      <c r="C626" s="120" t="s">
        <v>5829</v>
      </c>
      <c r="D626" s="124">
        <v>0.85</v>
      </c>
      <c r="E626" s="124">
        <v>0.15</v>
      </c>
      <c r="F626" s="113" t="s">
        <v>2332</v>
      </c>
      <c r="G626" s="113" t="s">
        <v>2121</v>
      </c>
      <c r="H626" s="113" t="s">
        <v>19</v>
      </c>
      <c r="I626" s="113" t="s">
        <v>1109</v>
      </c>
      <c r="J626" s="118" t="s">
        <v>2129</v>
      </c>
      <c r="K626" s="118" t="s">
        <v>2712</v>
      </c>
      <c r="L626" s="118" t="s">
        <v>5829</v>
      </c>
      <c r="M626" s="115" t="s">
        <v>1109</v>
      </c>
      <c r="N626" s="115" t="s">
        <v>2129</v>
      </c>
      <c r="O626" s="115" t="s">
        <v>1109</v>
      </c>
      <c r="P626" s="113">
        <v>316</v>
      </c>
      <c r="Q626" s="113">
        <v>50</v>
      </c>
      <c r="R626" s="113">
        <v>53</v>
      </c>
      <c r="S626" s="113">
        <v>48</v>
      </c>
      <c r="T626" s="120">
        <v>53</v>
      </c>
      <c r="U626" s="113">
        <v>48</v>
      </c>
      <c r="V626" s="113">
        <v>64</v>
      </c>
      <c r="W626" s="129"/>
      <c r="X626" s="129"/>
      <c r="Y626" s="5"/>
      <c r="Z626" s="5"/>
      <c r="AA626" s="5"/>
      <c r="AB626" s="5"/>
      <c r="AC626" s="5"/>
      <c r="AD626" s="5"/>
      <c r="AE626" s="5"/>
    </row>
    <row r="627" spans="1:31" customFormat="1">
      <c r="A627" s="113">
        <v>514</v>
      </c>
      <c r="B627" s="113" t="s">
        <v>554</v>
      </c>
      <c r="C627" s="120" t="s">
        <v>5830</v>
      </c>
      <c r="D627" s="124">
        <v>0.85</v>
      </c>
      <c r="E627" s="124">
        <v>0.15</v>
      </c>
      <c r="F627" s="113" t="s">
        <v>2332</v>
      </c>
      <c r="G627" s="113" t="s">
        <v>2121</v>
      </c>
      <c r="H627" s="113" t="s">
        <v>19</v>
      </c>
      <c r="I627" s="113" t="s">
        <v>1109</v>
      </c>
      <c r="J627" s="118" t="s">
        <v>2129</v>
      </c>
      <c r="K627" s="118" t="s">
        <v>2712</v>
      </c>
      <c r="L627" s="118" t="s">
        <v>5829</v>
      </c>
      <c r="M627" s="115" t="s">
        <v>5829</v>
      </c>
      <c r="N627" s="115" t="s">
        <v>6399</v>
      </c>
      <c r="O627" s="115" t="s">
        <v>1803</v>
      </c>
      <c r="P627" s="113">
        <v>498</v>
      </c>
      <c r="Q627" s="113">
        <v>75</v>
      </c>
      <c r="R627" s="113">
        <v>98</v>
      </c>
      <c r="S627" s="113">
        <v>63</v>
      </c>
      <c r="T627" s="120">
        <v>98</v>
      </c>
      <c r="U627" s="113">
        <v>63</v>
      </c>
      <c r="V627" s="113">
        <v>101</v>
      </c>
      <c r="W627" s="129"/>
      <c r="X627" s="129"/>
      <c r="Y627" s="5"/>
      <c r="Z627" s="5"/>
      <c r="AA627" s="5"/>
      <c r="AB627" s="5"/>
      <c r="AC627" s="5"/>
      <c r="AD627" s="5"/>
      <c r="AE627" s="5"/>
    </row>
    <row r="628" spans="1:31" customFormat="1">
      <c r="A628" s="113">
        <v>515</v>
      </c>
      <c r="B628" s="113" t="s">
        <v>555</v>
      </c>
      <c r="C628" s="120" t="s">
        <v>5831</v>
      </c>
      <c r="D628" s="124">
        <v>0.85</v>
      </c>
      <c r="E628" s="124">
        <v>0.15</v>
      </c>
      <c r="F628" s="113" t="s">
        <v>2332</v>
      </c>
      <c r="G628" s="113" t="s">
        <v>2121</v>
      </c>
      <c r="H628" s="113" t="s">
        <v>25</v>
      </c>
      <c r="I628" s="113" t="s">
        <v>1109</v>
      </c>
      <c r="J628" s="118" t="s">
        <v>2129</v>
      </c>
      <c r="K628" s="118" t="s">
        <v>2712</v>
      </c>
      <c r="L628" s="118" t="s">
        <v>5831</v>
      </c>
      <c r="M628" s="115" t="s">
        <v>1109</v>
      </c>
      <c r="N628" s="115" t="s">
        <v>2129</v>
      </c>
      <c r="O628" s="115" t="s">
        <v>1109</v>
      </c>
      <c r="P628" s="113">
        <v>316</v>
      </c>
      <c r="Q628" s="113">
        <v>50</v>
      </c>
      <c r="R628" s="113">
        <v>53</v>
      </c>
      <c r="S628" s="113">
        <v>48</v>
      </c>
      <c r="T628" s="120">
        <v>53</v>
      </c>
      <c r="U628" s="113">
        <v>48</v>
      </c>
      <c r="V628" s="113">
        <v>64</v>
      </c>
      <c r="W628" s="129"/>
      <c r="X628" s="129"/>
      <c r="Y628" s="5"/>
      <c r="Z628" s="5"/>
      <c r="AA628" s="5"/>
      <c r="AB628" s="5"/>
      <c r="AC628" s="5"/>
      <c r="AD628" s="5"/>
      <c r="AE628" s="5"/>
    </row>
    <row r="629" spans="1:31" customFormat="1">
      <c r="A629" s="113">
        <v>516</v>
      </c>
      <c r="B629" s="113" t="s">
        <v>556</v>
      </c>
      <c r="C629" s="120" t="s">
        <v>5832</v>
      </c>
      <c r="D629" s="124">
        <v>0.85</v>
      </c>
      <c r="E629" s="124">
        <v>0.15</v>
      </c>
      <c r="F629" s="113" t="s">
        <v>2332</v>
      </c>
      <c r="G629" s="113" t="s">
        <v>2121</v>
      </c>
      <c r="H629" s="113" t="s">
        <v>25</v>
      </c>
      <c r="I629" s="113" t="s">
        <v>1109</v>
      </c>
      <c r="J629" s="118" t="s">
        <v>2129</v>
      </c>
      <c r="K629" s="118" t="s">
        <v>2712</v>
      </c>
      <c r="L629" s="118" t="s">
        <v>5831</v>
      </c>
      <c r="M629" s="115" t="s">
        <v>5831</v>
      </c>
      <c r="N629" s="115" t="s">
        <v>6399</v>
      </c>
      <c r="O629" s="115" t="s">
        <v>1803</v>
      </c>
      <c r="P629" s="113">
        <v>498</v>
      </c>
      <c r="Q629" s="113">
        <v>75</v>
      </c>
      <c r="R629" s="113">
        <v>98</v>
      </c>
      <c r="S629" s="113">
        <v>63</v>
      </c>
      <c r="T629" s="120">
        <v>98</v>
      </c>
      <c r="U629" s="113">
        <v>63</v>
      </c>
      <c r="V629" s="113">
        <v>101</v>
      </c>
      <c r="W629" s="129"/>
      <c r="X629" s="129"/>
      <c r="Y629" s="5"/>
      <c r="Z629" s="5"/>
      <c r="AA629" s="5"/>
      <c r="AB629" s="5"/>
      <c r="AC629" s="5"/>
      <c r="AD629" s="5"/>
      <c r="AE629" s="5"/>
    </row>
    <row r="630" spans="1:31" customFormat="1">
      <c r="A630" s="113">
        <v>517</v>
      </c>
      <c r="B630" s="113" t="s">
        <v>557</v>
      </c>
      <c r="C630" s="120" t="s">
        <v>5833</v>
      </c>
      <c r="D630" s="124">
        <v>0.5</v>
      </c>
      <c r="E630" s="124">
        <v>0.5</v>
      </c>
      <c r="F630" s="113" t="s">
        <v>2332</v>
      </c>
      <c r="G630" s="113" t="s">
        <v>2121</v>
      </c>
      <c r="H630" s="113" t="s">
        <v>86</v>
      </c>
      <c r="I630" s="113" t="s">
        <v>1109</v>
      </c>
      <c r="J630" s="118" t="s">
        <v>2129</v>
      </c>
      <c r="K630" s="118" t="s">
        <v>4658</v>
      </c>
      <c r="L630" s="118" t="s">
        <v>5833</v>
      </c>
      <c r="M630" s="115" t="s">
        <v>1109</v>
      </c>
      <c r="N630" s="115" t="s">
        <v>2129</v>
      </c>
      <c r="O630" s="115" t="s">
        <v>1109</v>
      </c>
      <c r="P630" s="113">
        <v>292</v>
      </c>
      <c r="Q630" s="113">
        <v>76</v>
      </c>
      <c r="R630" s="113">
        <v>25</v>
      </c>
      <c r="S630" s="113">
        <v>45</v>
      </c>
      <c r="T630" s="120">
        <v>67</v>
      </c>
      <c r="U630" s="113">
        <v>55</v>
      </c>
      <c r="V630" s="113">
        <v>24</v>
      </c>
      <c r="W630" s="129"/>
      <c r="X630" s="129"/>
      <c r="Y630" s="5"/>
      <c r="Z630" s="5"/>
      <c r="AA630" s="5"/>
      <c r="AB630" s="5"/>
      <c r="AC630" s="5"/>
      <c r="AD630" s="5"/>
      <c r="AE630" s="5"/>
    </row>
    <row r="631" spans="1:31" customFormat="1">
      <c r="A631" s="113">
        <v>518</v>
      </c>
      <c r="B631" s="113" t="s">
        <v>558</v>
      </c>
      <c r="C631" s="120" t="s">
        <v>5834</v>
      </c>
      <c r="D631" s="124">
        <v>0.5</v>
      </c>
      <c r="E631" s="124">
        <v>0.5</v>
      </c>
      <c r="F631" s="113" t="s">
        <v>2332</v>
      </c>
      <c r="G631" s="113" t="s">
        <v>2121</v>
      </c>
      <c r="H631" s="113" t="s">
        <v>86</v>
      </c>
      <c r="I631" s="113" t="s">
        <v>1109</v>
      </c>
      <c r="J631" s="118" t="s">
        <v>2129</v>
      </c>
      <c r="K631" s="118" t="s">
        <v>4658</v>
      </c>
      <c r="L631" s="118" t="s">
        <v>5833</v>
      </c>
      <c r="M631" s="115" t="s">
        <v>5833</v>
      </c>
      <c r="N631" s="115" t="s">
        <v>6399</v>
      </c>
      <c r="O631" s="115" t="s">
        <v>1803</v>
      </c>
      <c r="P631" s="113">
        <v>487</v>
      </c>
      <c r="Q631" s="113">
        <v>116</v>
      </c>
      <c r="R631" s="113">
        <v>55</v>
      </c>
      <c r="S631" s="113">
        <v>85</v>
      </c>
      <c r="T631" s="120">
        <v>107</v>
      </c>
      <c r="U631" s="113">
        <v>95</v>
      </c>
      <c r="V631" s="113">
        <v>29</v>
      </c>
      <c r="W631" s="129"/>
      <c r="X631" s="129"/>
      <c r="Y631" s="5"/>
      <c r="Z631" s="5"/>
      <c r="AA631" s="5"/>
      <c r="AB631" s="5"/>
      <c r="AC631" s="5"/>
      <c r="AD631" s="5"/>
      <c r="AE631" s="5"/>
    </row>
    <row r="632" spans="1:31" customFormat="1">
      <c r="A632" s="113">
        <v>519</v>
      </c>
      <c r="B632" s="113" t="s">
        <v>559</v>
      </c>
      <c r="C632" s="120" t="s">
        <v>5835</v>
      </c>
      <c r="D632" s="124">
        <v>0.5</v>
      </c>
      <c r="E632" s="124">
        <v>0.5</v>
      </c>
      <c r="F632" s="113" t="s">
        <v>22</v>
      </c>
      <c r="G632" s="113" t="s">
        <v>2121</v>
      </c>
      <c r="H632" s="113" t="s">
        <v>36</v>
      </c>
      <c r="I632" s="113" t="s">
        <v>22</v>
      </c>
      <c r="J632" s="118" t="s">
        <v>2129</v>
      </c>
      <c r="K632" s="118" t="s">
        <v>2712</v>
      </c>
      <c r="L632" s="118" t="s">
        <v>5835</v>
      </c>
      <c r="M632" s="115" t="s">
        <v>1109</v>
      </c>
      <c r="N632" s="115" t="s">
        <v>2129</v>
      </c>
      <c r="O632" s="115" t="s">
        <v>1109</v>
      </c>
      <c r="P632" s="113">
        <v>264</v>
      </c>
      <c r="Q632" s="113">
        <v>50</v>
      </c>
      <c r="R632" s="113">
        <v>55</v>
      </c>
      <c r="S632" s="113">
        <v>50</v>
      </c>
      <c r="T632" s="120">
        <v>36</v>
      </c>
      <c r="U632" s="113">
        <v>30</v>
      </c>
      <c r="V632" s="113">
        <v>43</v>
      </c>
      <c r="W632" s="129"/>
      <c r="X632" s="129"/>
      <c r="Y632" s="5"/>
      <c r="Z632" s="5"/>
      <c r="AA632" s="5"/>
      <c r="AB632" s="5"/>
      <c r="AC632" s="5"/>
      <c r="AD632" s="5"/>
      <c r="AE632" s="5"/>
    </row>
    <row r="633" spans="1:31" customFormat="1">
      <c r="A633" s="113">
        <v>520</v>
      </c>
      <c r="B633" s="113" t="s">
        <v>560</v>
      </c>
      <c r="C633" s="120" t="s">
        <v>5836</v>
      </c>
      <c r="D633" s="124">
        <v>0.5</v>
      </c>
      <c r="E633" s="124">
        <v>0.5</v>
      </c>
      <c r="F633" s="113" t="s">
        <v>22</v>
      </c>
      <c r="G633" s="113" t="s">
        <v>2121</v>
      </c>
      <c r="H633" s="113" t="s">
        <v>36</v>
      </c>
      <c r="I633" s="113" t="s">
        <v>22</v>
      </c>
      <c r="J633" s="118" t="s">
        <v>2129</v>
      </c>
      <c r="K633" s="118" t="s">
        <v>2712</v>
      </c>
      <c r="L633" s="118" t="s">
        <v>5835</v>
      </c>
      <c r="M633" s="115" t="s">
        <v>5835</v>
      </c>
      <c r="N633" s="115" t="s">
        <v>6398</v>
      </c>
      <c r="O633" s="115" t="s">
        <v>2128</v>
      </c>
      <c r="P633" s="113">
        <v>358</v>
      </c>
      <c r="Q633" s="113">
        <v>62</v>
      </c>
      <c r="R633" s="113">
        <v>77</v>
      </c>
      <c r="S633" s="113">
        <v>62</v>
      </c>
      <c r="T633" s="120">
        <v>50</v>
      </c>
      <c r="U633" s="113">
        <v>42</v>
      </c>
      <c r="V633" s="113">
        <v>65</v>
      </c>
      <c r="W633" s="129"/>
      <c r="X633" s="129"/>
      <c r="Y633" s="5"/>
      <c r="Z633" s="5"/>
      <c r="AA633" s="5"/>
      <c r="AB633" s="5"/>
      <c r="AC633" s="5"/>
      <c r="AD633" s="5"/>
      <c r="AE633" s="5"/>
    </row>
    <row r="634" spans="1:31" customFormat="1">
      <c r="A634" s="113">
        <v>521</v>
      </c>
      <c r="B634" s="113" t="s">
        <v>561</v>
      </c>
      <c r="C634" s="120" t="s">
        <v>5837</v>
      </c>
      <c r="D634" s="124">
        <v>0.5</v>
      </c>
      <c r="E634" s="124">
        <v>0.5</v>
      </c>
      <c r="F634" s="113" t="s">
        <v>22</v>
      </c>
      <c r="G634" s="113" t="s">
        <v>2121</v>
      </c>
      <c r="H634" s="113" t="s">
        <v>36</v>
      </c>
      <c r="I634" s="113" t="s">
        <v>22</v>
      </c>
      <c r="J634" s="118" t="s">
        <v>2129</v>
      </c>
      <c r="K634" s="118" t="s">
        <v>2712</v>
      </c>
      <c r="L634" s="118" t="s">
        <v>5835</v>
      </c>
      <c r="M634" s="115" t="s">
        <v>5836</v>
      </c>
      <c r="N634" s="115" t="s">
        <v>6399</v>
      </c>
      <c r="O634" s="115" t="s">
        <v>2128</v>
      </c>
      <c r="P634" s="113">
        <v>488</v>
      </c>
      <c r="Q634" s="113">
        <v>80</v>
      </c>
      <c r="R634" s="113">
        <v>115</v>
      </c>
      <c r="S634" s="113">
        <v>80</v>
      </c>
      <c r="T634" s="120">
        <v>65</v>
      </c>
      <c r="U634" s="113">
        <v>55</v>
      </c>
      <c r="V634" s="113">
        <v>93</v>
      </c>
      <c r="W634" s="129"/>
      <c r="X634" s="129"/>
      <c r="Y634" s="5"/>
      <c r="Z634" s="5"/>
      <c r="AA634" s="5"/>
      <c r="AB634" s="5"/>
      <c r="AC634" s="5"/>
      <c r="AD634" s="5"/>
      <c r="AE634" s="5"/>
    </row>
    <row r="635" spans="1:31" customFormat="1">
      <c r="A635" s="113">
        <v>522</v>
      </c>
      <c r="B635" s="113" t="s">
        <v>562</v>
      </c>
      <c r="C635" s="120" t="s">
        <v>5838</v>
      </c>
      <c r="D635" s="124">
        <v>0.5</v>
      </c>
      <c r="E635" s="124">
        <v>0.5</v>
      </c>
      <c r="F635" s="113" t="s">
        <v>2332</v>
      </c>
      <c r="G635" s="113" t="s">
        <v>2121</v>
      </c>
      <c r="H635" s="113" t="s">
        <v>46</v>
      </c>
      <c r="I635" s="113" t="s">
        <v>1109</v>
      </c>
      <c r="J635" s="118" t="s">
        <v>2129</v>
      </c>
      <c r="K635" s="118" t="s">
        <v>2712</v>
      </c>
      <c r="L635" s="118" t="s">
        <v>5838</v>
      </c>
      <c r="M635" s="115" t="s">
        <v>1109</v>
      </c>
      <c r="N635" s="115" t="s">
        <v>2129</v>
      </c>
      <c r="O635" s="115" t="s">
        <v>1109</v>
      </c>
      <c r="P635" s="113">
        <v>295</v>
      </c>
      <c r="Q635" s="113">
        <v>45</v>
      </c>
      <c r="R635" s="113">
        <v>60</v>
      </c>
      <c r="S635" s="113">
        <v>32</v>
      </c>
      <c r="T635" s="120">
        <v>50</v>
      </c>
      <c r="U635" s="113">
        <v>32</v>
      </c>
      <c r="V635" s="113">
        <v>76</v>
      </c>
      <c r="W635" s="129"/>
      <c r="X635" s="129"/>
      <c r="Y635" s="5"/>
      <c r="Z635" s="5"/>
      <c r="AA635" s="5"/>
      <c r="AB635" s="5"/>
      <c r="AC635" s="5"/>
      <c r="AD635" s="5"/>
      <c r="AE635" s="5"/>
    </row>
    <row r="636" spans="1:31" customFormat="1">
      <c r="A636" s="113">
        <v>523</v>
      </c>
      <c r="B636" s="113" t="s">
        <v>563</v>
      </c>
      <c r="C636" s="120" t="s">
        <v>5839</v>
      </c>
      <c r="D636" s="124">
        <v>0.5</v>
      </c>
      <c r="E636" s="124">
        <v>0.5</v>
      </c>
      <c r="F636" s="113" t="s">
        <v>2332</v>
      </c>
      <c r="G636" s="113" t="s">
        <v>2121</v>
      </c>
      <c r="H636" s="113" t="s">
        <v>46</v>
      </c>
      <c r="I636" s="113" t="s">
        <v>1109</v>
      </c>
      <c r="J636" s="118" t="s">
        <v>2129</v>
      </c>
      <c r="K636" s="118" t="s">
        <v>2712</v>
      </c>
      <c r="L636" s="118" t="s">
        <v>5838</v>
      </c>
      <c r="M636" s="115" t="s">
        <v>5838</v>
      </c>
      <c r="N636" s="115" t="s">
        <v>6399</v>
      </c>
      <c r="O636" s="115" t="s">
        <v>2128</v>
      </c>
      <c r="P636" s="113">
        <v>497</v>
      </c>
      <c r="Q636" s="113">
        <v>75</v>
      </c>
      <c r="R636" s="113">
        <v>100</v>
      </c>
      <c r="S636" s="113">
        <v>63</v>
      </c>
      <c r="T636" s="120">
        <v>80</v>
      </c>
      <c r="U636" s="113">
        <v>63</v>
      </c>
      <c r="V636" s="113">
        <v>116</v>
      </c>
      <c r="W636" s="129"/>
      <c r="X636" s="129"/>
      <c r="Y636" s="5"/>
      <c r="Z636" s="5"/>
      <c r="AA636" s="5"/>
      <c r="AB636" s="5"/>
      <c r="AC636" s="5"/>
      <c r="AD636" s="5"/>
      <c r="AE636" s="5"/>
    </row>
    <row r="637" spans="1:31" customFormat="1">
      <c r="A637" s="113">
        <v>524</v>
      </c>
      <c r="B637" s="113" t="s">
        <v>564</v>
      </c>
      <c r="C637" s="120" t="s">
        <v>5840</v>
      </c>
      <c r="D637" s="124">
        <v>0.5</v>
      </c>
      <c r="E637" s="124">
        <v>0.5</v>
      </c>
      <c r="F637" s="113" t="s">
        <v>2112</v>
      </c>
      <c r="G637" s="113" t="s">
        <v>2121</v>
      </c>
      <c r="H637" s="113" t="s">
        <v>98</v>
      </c>
      <c r="I637" s="113" t="s">
        <v>1109</v>
      </c>
      <c r="J637" s="118" t="s">
        <v>2129</v>
      </c>
      <c r="K637" s="118" t="s">
        <v>2712</v>
      </c>
      <c r="L637" s="118" t="s">
        <v>5840</v>
      </c>
      <c r="M637" s="115" t="s">
        <v>1109</v>
      </c>
      <c r="N637" s="115" t="s">
        <v>2129</v>
      </c>
      <c r="O637" s="115" t="s">
        <v>1109</v>
      </c>
      <c r="P637" s="113">
        <v>280</v>
      </c>
      <c r="Q637" s="113">
        <v>55</v>
      </c>
      <c r="R637" s="113">
        <v>75</v>
      </c>
      <c r="S637" s="113">
        <v>85</v>
      </c>
      <c r="T637" s="120">
        <v>25</v>
      </c>
      <c r="U637" s="113">
        <v>25</v>
      </c>
      <c r="V637" s="113">
        <v>15</v>
      </c>
      <c r="W637" s="129"/>
      <c r="X637" s="129"/>
      <c r="Y637" s="5"/>
      <c r="Z637" s="5"/>
      <c r="AA637" s="5"/>
      <c r="AB637" s="5"/>
      <c r="AC637" s="5"/>
      <c r="AD637" s="5"/>
      <c r="AE637" s="5"/>
    </row>
    <row r="638" spans="1:31" customFormat="1">
      <c r="A638" s="113">
        <v>525</v>
      </c>
      <c r="B638" s="113" t="s">
        <v>565</v>
      </c>
      <c r="C638" s="120" t="s">
        <v>5841</v>
      </c>
      <c r="D638" s="124">
        <v>0.5</v>
      </c>
      <c r="E638" s="124">
        <v>0.5</v>
      </c>
      <c r="F638" s="113" t="s">
        <v>2112</v>
      </c>
      <c r="G638" s="113" t="s">
        <v>2121</v>
      </c>
      <c r="H638" s="113" t="s">
        <v>98</v>
      </c>
      <c r="I638" s="113" t="s">
        <v>1109</v>
      </c>
      <c r="J638" s="118" t="s">
        <v>2129</v>
      </c>
      <c r="K638" s="118" t="s">
        <v>2712</v>
      </c>
      <c r="L638" s="118" t="s">
        <v>5840</v>
      </c>
      <c r="M638" s="115" t="s">
        <v>5840</v>
      </c>
      <c r="N638" s="115" t="s">
        <v>6398</v>
      </c>
      <c r="O638" s="115" t="s">
        <v>2128</v>
      </c>
      <c r="P638" s="113">
        <v>390</v>
      </c>
      <c r="Q638" s="113">
        <v>70</v>
      </c>
      <c r="R638" s="113">
        <v>105</v>
      </c>
      <c r="S638" s="113">
        <v>105</v>
      </c>
      <c r="T638" s="120">
        <v>50</v>
      </c>
      <c r="U638" s="113">
        <v>40</v>
      </c>
      <c r="V638" s="113">
        <v>20</v>
      </c>
      <c r="W638" s="129"/>
      <c r="X638" s="129"/>
      <c r="Y638" s="5"/>
      <c r="Z638" s="5"/>
      <c r="AA638" s="5"/>
      <c r="AB638" s="5"/>
      <c r="AC638" s="5"/>
      <c r="AD638" s="5"/>
      <c r="AE638" s="5"/>
    </row>
    <row r="639" spans="1:31" customFormat="1">
      <c r="A639" s="113">
        <v>526</v>
      </c>
      <c r="B639" s="113" t="s">
        <v>566</v>
      </c>
      <c r="C639" s="120" t="s">
        <v>5842</v>
      </c>
      <c r="D639" s="124">
        <v>0.5</v>
      </c>
      <c r="E639" s="124">
        <v>0.5</v>
      </c>
      <c r="F639" s="113" t="s">
        <v>2112</v>
      </c>
      <c r="G639" s="113" t="s">
        <v>2121</v>
      </c>
      <c r="H639" s="113" t="s">
        <v>98</v>
      </c>
      <c r="I639" s="113" t="s">
        <v>1109</v>
      </c>
      <c r="J639" s="118" t="s">
        <v>2129</v>
      </c>
      <c r="K639" s="118" t="s">
        <v>2712</v>
      </c>
      <c r="L639" s="118" t="s">
        <v>5840</v>
      </c>
      <c r="M639" s="115" t="s">
        <v>5841</v>
      </c>
      <c r="N639" s="115" t="s">
        <v>6399</v>
      </c>
      <c r="O639" s="115" t="s">
        <v>2128</v>
      </c>
      <c r="P639" s="113">
        <v>515</v>
      </c>
      <c r="Q639" s="113">
        <v>85</v>
      </c>
      <c r="R639" s="113">
        <v>135</v>
      </c>
      <c r="S639" s="113">
        <v>130</v>
      </c>
      <c r="T639" s="120">
        <v>60</v>
      </c>
      <c r="U639" s="113">
        <v>80</v>
      </c>
      <c r="V639" s="113">
        <v>25</v>
      </c>
      <c r="W639" s="129"/>
      <c r="X639" s="129"/>
      <c r="Y639" s="5"/>
      <c r="Z639" s="5"/>
      <c r="AA639" s="5"/>
      <c r="AB639" s="5"/>
      <c r="AC639" s="5"/>
      <c r="AD639" s="5"/>
      <c r="AE639" s="5"/>
    </row>
    <row r="640" spans="1:31" customFormat="1">
      <c r="A640" s="113">
        <v>527</v>
      </c>
      <c r="B640" s="113" t="s">
        <v>567</v>
      </c>
      <c r="C640" s="120" t="s">
        <v>5843</v>
      </c>
      <c r="D640" s="124">
        <v>0.5</v>
      </c>
      <c r="E640" s="124">
        <v>0.5</v>
      </c>
      <c r="F640" s="113" t="s">
        <v>22</v>
      </c>
      <c r="G640" s="113" t="s">
        <v>2121</v>
      </c>
      <c r="H640" s="113" t="s">
        <v>86</v>
      </c>
      <c r="I640" s="113" t="s">
        <v>22</v>
      </c>
      <c r="J640" s="118" t="s">
        <v>2129</v>
      </c>
      <c r="K640" s="118" t="s">
        <v>2712</v>
      </c>
      <c r="L640" s="118" t="s">
        <v>5843</v>
      </c>
      <c r="M640" s="115" t="s">
        <v>1109</v>
      </c>
      <c r="N640" s="115" t="s">
        <v>2129</v>
      </c>
      <c r="O640" s="115" t="s">
        <v>1109</v>
      </c>
      <c r="P640" s="113">
        <v>323</v>
      </c>
      <c r="Q640" s="113">
        <v>65</v>
      </c>
      <c r="R640" s="113">
        <v>45</v>
      </c>
      <c r="S640" s="113">
        <v>43</v>
      </c>
      <c r="T640" s="120">
        <v>55</v>
      </c>
      <c r="U640" s="113">
        <v>43</v>
      </c>
      <c r="V640" s="113">
        <v>72</v>
      </c>
      <c r="W640" s="129"/>
      <c r="X640" s="129"/>
      <c r="Y640" s="5"/>
      <c r="Z640" s="5"/>
      <c r="AA640" s="5"/>
      <c r="AB640" s="5"/>
      <c r="AC640" s="5"/>
      <c r="AD640" s="5"/>
      <c r="AE640" s="5"/>
    </row>
    <row r="641" spans="1:31" customFormat="1">
      <c r="A641" s="113">
        <v>528</v>
      </c>
      <c r="B641" s="113" t="s">
        <v>568</v>
      </c>
      <c r="C641" s="120" t="s">
        <v>5844</v>
      </c>
      <c r="D641" s="124">
        <v>0.5</v>
      </c>
      <c r="E641" s="124">
        <v>0.5</v>
      </c>
      <c r="F641" s="113" t="s">
        <v>22</v>
      </c>
      <c r="G641" s="113" t="s">
        <v>2121</v>
      </c>
      <c r="H641" s="113" t="s">
        <v>86</v>
      </c>
      <c r="I641" s="113" t="s">
        <v>22</v>
      </c>
      <c r="J641" s="118" t="s">
        <v>2129</v>
      </c>
      <c r="K641" s="118" t="s">
        <v>2712</v>
      </c>
      <c r="L641" s="118" t="s">
        <v>5843</v>
      </c>
      <c r="M641" s="115" t="s">
        <v>5843</v>
      </c>
      <c r="N641" s="115" t="s">
        <v>6399</v>
      </c>
      <c r="O641" s="115" t="s">
        <v>2128</v>
      </c>
      <c r="P641" s="113">
        <v>425</v>
      </c>
      <c r="Q641" s="113">
        <v>67</v>
      </c>
      <c r="R641" s="113">
        <v>57</v>
      </c>
      <c r="S641" s="113">
        <v>55</v>
      </c>
      <c r="T641" s="120">
        <v>77</v>
      </c>
      <c r="U641" s="113">
        <v>55</v>
      </c>
      <c r="V641" s="113">
        <v>114</v>
      </c>
      <c r="W641" s="129"/>
      <c r="X641" s="129"/>
      <c r="Y641" s="5"/>
      <c r="Z641" s="5"/>
      <c r="AA641" s="5"/>
      <c r="AB641" s="5"/>
      <c r="AC641" s="5"/>
      <c r="AD641" s="5"/>
      <c r="AE641" s="5"/>
    </row>
    <row r="642" spans="1:31" customFormat="1">
      <c r="A642" s="113">
        <v>529</v>
      </c>
      <c r="B642" s="113" t="s">
        <v>569</v>
      </c>
      <c r="C642" s="120" t="s">
        <v>5845</v>
      </c>
      <c r="D642" s="124">
        <v>0.5</v>
      </c>
      <c r="E642" s="124">
        <v>0.5</v>
      </c>
      <c r="F642" s="113" t="s">
        <v>2332</v>
      </c>
      <c r="G642" s="113" t="s">
        <v>2121</v>
      </c>
      <c r="H642" s="113" t="s">
        <v>49</v>
      </c>
      <c r="I642" s="113" t="s">
        <v>1109</v>
      </c>
      <c r="J642" s="118" t="s">
        <v>2129</v>
      </c>
      <c r="K642" s="118" t="s">
        <v>2712</v>
      </c>
      <c r="L642" s="118" t="s">
        <v>5845</v>
      </c>
      <c r="M642" s="115" t="s">
        <v>1109</v>
      </c>
      <c r="N642" s="115" t="s">
        <v>2129</v>
      </c>
      <c r="O642" s="115" t="s">
        <v>1109</v>
      </c>
      <c r="P642" s="113">
        <v>328</v>
      </c>
      <c r="Q642" s="113">
        <v>60</v>
      </c>
      <c r="R642" s="113">
        <v>85</v>
      </c>
      <c r="S642" s="113">
        <v>40</v>
      </c>
      <c r="T642" s="120">
        <v>30</v>
      </c>
      <c r="U642" s="113">
        <v>45</v>
      </c>
      <c r="V642" s="113">
        <v>68</v>
      </c>
      <c r="W642" s="129"/>
      <c r="X642" s="129"/>
      <c r="Y642" s="5"/>
      <c r="Z642" s="5"/>
      <c r="AA642" s="5"/>
      <c r="AB642" s="5"/>
      <c r="AC642" s="5"/>
      <c r="AD642" s="5"/>
      <c r="AE642" s="5"/>
    </row>
    <row r="643" spans="1:31" customFormat="1">
      <c r="A643" s="113">
        <v>530</v>
      </c>
      <c r="B643" s="113" t="s">
        <v>570</v>
      </c>
      <c r="C643" s="120" t="s">
        <v>5846</v>
      </c>
      <c r="D643" s="124">
        <v>0.5</v>
      </c>
      <c r="E643" s="124">
        <v>0.5</v>
      </c>
      <c r="F643" s="113" t="s">
        <v>2332</v>
      </c>
      <c r="G643" s="113" t="s">
        <v>2121</v>
      </c>
      <c r="H643" s="113" t="s">
        <v>49</v>
      </c>
      <c r="I643" s="113" t="s">
        <v>106</v>
      </c>
      <c r="J643" s="118" t="s">
        <v>2129</v>
      </c>
      <c r="K643" s="118" t="s">
        <v>2712</v>
      </c>
      <c r="L643" s="118" t="s">
        <v>5845</v>
      </c>
      <c r="M643" s="115" t="s">
        <v>5845</v>
      </c>
      <c r="N643" s="115" t="s">
        <v>6399</v>
      </c>
      <c r="O643" s="115" t="s">
        <v>2128</v>
      </c>
      <c r="P643" s="113">
        <v>508</v>
      </c>
      <c r="Q643" s="113">
        <v>110</v>
      </c>
      <c r="R643" s="113">
        <v>135</v>
      </c>
      <c r="S643" s="113">
        <v>60</v>
      </c>
      <c r="T643" s="120">
        <v>50</v>
      </c>
      <c r="U643" s="113">
        <v>65</v>
      </c>
      <c r="V643" s="113">
        <v>88</v>
      </c>
      <c r="W643" s="129"/>
      <c r="X643" s="129"/>
      <c r="Y643" s="5"/>
      <c r="Z643" s="5"/>
      <c r="AA643" s="5"/>
      <c r="AB643" s="5"/>
      <c r="AC643" s="5"/>
      <c r="AD643" s="5"/>
      <c r="AE643" s="5"/>
    </row>
    <row r="644" spans="1:31" customFormat="1">
      <c r="A644" s="113">
        <v>531</v>
      </c>
      <c r="B644" s="113" t="s">
        <v>571</v>
      </c>
      <c r="C644" s="120" t="s">
        <v>5847</v>
      </c>
      <c r="D644" s="124">
        <v>0.5</v>
      </c>
      <c r="E644" s="124">
        <v>0.5</v>
      </c>
      <c r="F644" s="113" t="s">
        <v>56</v>
      </c>
      <c r="G644" s="113" t="s">
        <v>2121</v>
      </c>
      <c r="H644" s="113" t="s">
        <v>36</v>
      </c>
      <c r="I644" s="113" t="s">
        <v>1109</v>
      </c>
      <c r="J644" s="118" t="s">
        <v>2129</v>
      </c>
      <c r="K644" s="118" t="s">
        <v>4657</v>
      </c>
      <c r="L644" s="118" t="s">
        <v>5847</v>
      </c>
      <c r="M644" s="115" t="s">
        <v>1109</v>
      </c>
      <c r="N644" s="115" t="s">
        <v>6399</v>
      </c>
      <c r="O644" s="115" t="s">
        <v>1109</v>
      </c>
      <c r="P644" s="113">
        <v>445</v>
      </c>
      <c r="Q644" s="113">
        <v>103</v>
      </c>
      <c r="R644" s="113">
        <v>60</v>
      </c>
      <c r="S644" s="113">
        <v>86</v>
      </c>
      <c r="T644" s="120">
        <v>60</v>
      </c>
      <c r="U644" s="113">
        <v>86</v>
      </c>
      <c r="V644" s="113">
        <v>50</v>
      </c>
      <c r="W644" s="129"/>
      <c r="X644" s="129"/>
      <c r="Y644" s="5"/>
      <c r="Z644" s="5"/>
      <c r="AA644" s="5"/>
      <c r="AB644" s="5"/>
      <c r="AC644" s="5"/>
      <c r="AD644" s="5"/>
      <c r="AE644" s="5"/>
    </row>
    <row r="645" spans="1:31" customFormat="1" hidden="1">
      <c r="A645" s="113">
        <v>531</v>
      </c>
      <c r="B645" s="113" t="s">
        <v>2991</v>
      </c>
      <c r="C645" s="120" t="s">
        <v>5848</v>
      </c>
      <c r="D645" s="124">
        <v>0.5</v>
      </c>
      <c r="E645" s="124">
        <v>0.5</v>
      </c>
      <c r="F645" s="113" t="s">
        <v>56</v>
      </c>
      <c r="G645" s="113" t="s">
        <v>2121</v>
      </c>
      <c r="H645" s="113" t="s">
        <v>36</v>
      </c>
      <c r="I645" s="113" t="s">
        <v>56</v>
      </c>
      <c r="J645" s="118" t="s">
        <v>3973</v>
      </c>
      <c r="K645" s="118" t="s">
        <v>4659</v>
      </c>
      <c r="L645" s="118" t="s">
        <v>5847</v>
      </c>
      <c r="M645" s="115" t="s">
        <v>5847</v>
      </c>
      <c r="N645" s="115" t="s">
        <v>3973</v>
      </c>
      <c r="O645" s="115" t="s">
        <v>4480</v>
      </c>
      <c r="P645" s="113">
        <v>545</v>
      </c>
      <c r="Q645" s="113">
        <v>103</v>
      </c>
      <c r="R645" s="113">
        <v>60</v>
      </c>
      <c r="S645" s="113">
        <v>126</v>
      </c>
      <c r="T645" s="120">
        <v>80</v>
      </c>
      <c r="U645" s="113">
        <v>126</v>
      </c>
      <c r="V645" s="113">
        <v>50</v>
      </c>
      <c r="W645" s="129"/>
      <c r="X645" s="129"/>
      <c r="Y645" s="5"/>
      <c r="Z645" s="5"/>
      <c r="AA645" s="5"/>
      <c r="AB645" s="5"/>
      <c r="AC645" s="5"/>
      <c r="AD645" s="5"/>
      <c r="AE645" s="5"/>
    </row>
    <row r="646" spans="1:31" customFormat="1">
      <c r="A646" s="113">
        <v>532</v>
      </c>
      <c r="B646" s="113" t="s">
        <v>572</v>
      </c>
      <c r="C646" s="120" t="s">
        <v>5849</v>
      </c>
      <c r="D646" s="124">
        <v>0.75</v>
      </c>
      <c r="E646" s="124">
        <v>0.25</v>
      </c>
      <c r="F646" s="113" t="s">
        <v>2334</v>
      </c>
      <c r="G646" s="113" t="s">
        <v>2121</v>
      </c>
      <c r="H646" s="113" t="s">
        <v>78</v>
      </c>
      <c r="I646" s="113" t="s">
        <v>1109</v>
      </c>
      <c r="J646" s="118" t="s">
        <v>2129</v>
      </c>
      <c r="K646" s="118" t="s">
        <v>2712</v>
      </c>
      <c r="L646" s="118" t="s">
        <v>5849</v>
      </c>
      <c r="M646" s="115" t="s">
        <v>1109</v>
      </c>
      <c r="N646" s="115" t="s">
        <v>2129</v>
      </c>
      <c r="O646" s="115" t="s">
        <v>1109</v>
      </c>
      <c r="P646" s="113">
        <v>305</v>
      </c>
      <c r="Q646" s="113">
        <v>75</v>
      </c>
      <c r="R646" s="113">
        <v>80</v>
      </c>
      <c r="S646" s="113">
        <v>55</v>
      </c>
      <c r="T646" s="120">
        <v>25</v>
      </c>
      <c r="U646" s="113">
        <v>35</v>
      </c>
      <c r="V646" s="113">
        <v>35</v>
      </c>
      <c r="W646" s="129"/>
      <c r="X646" s="129"/>
      <c r="Y646" s="5"/>
      <c r="Z646" s="5"/>
      <c r="AA646" s="5"/>
      <c r="AB646" s="5"/>
      <c r="AC646" s="5"/>
      <c r="AD646" s="5"/>
      <c r="AE646" s="5"/>
    </row>
    <row r="647" spans="1:31" customFormat="1">
      <c r="A647" s="113">
        <v>533</v>
      </c>
      <c r="B647" s="113" t="s">
        <v>573</v>
      </c>
      <c r="C647" s="120" t="s">
        <v>5850</v>
      </c>
      <c r="D647" s="124">
        <v>0.75</v>
      </c>
      <c r="E647" s="124">
        <v>0.25</v>
      </c>
      <c r="F647" s="113" t="s">
        <v>2334</v>
      </c>
      <c r="G647" s="113" t="s">
        <v>2121</v>
      </c>
      <c r="H647" s="113" t="s">
        <v>78</v>
      </c>
      <c r="I647" s="113" t="s">
        <v>1109</v>
      </c>
      <c r="J647" s="118" t="s">
        <v>2129</v>
      </c>
      <c r="K647" s="118" t="s">
        <v>2712</v>
      </c>
      <c r="L647" s="118" t="s">
        <v>5849</v>
      </c>
      <c r="M647" s="115" t="s">
        <v>5849</v>
      </c>
      <c r="N647" s="115" t="s">
        <v>6398</v>
      </c>
      <c r="O647" s="115" t="s">
        <v>2128</v>
      </c>
      <c r="P647" s="113">
        <v>405</v>
      </c>
      <c r="Q647" s="113">
        <v>85</v>
      </c>
      <c r="R647" s="113">
        <v>105</v>
      </c>
      <c r="S647" s="113">
        <v>85</v>
      </c>
      <c r="T647" s="120">
        <v>40</v>
      </c>
      <c r="U647" s="113">
        <v>50</v>
      </c>
      <c r="V647" s="113">
        <v>40</v>
      </c>
      <c r="W647" s="129"/>
      <c r="X647" s="129"/>
      <c r="Y647" s="5"/>
      <c r="Z647" s="5"/>
      <c r="AA647" s="5"/>
      <c r="AB647" s="5"/>
      <c r="AC647" s="5"/>
      <c r="AD647" s="5"/>
      <c r="AE647" s="5"/>
    </row>
    <row r="648" spans="1:31" customFormat="1">
      <c r="A648" s="113">
        <v>534</v>
      </c>
      <c r="B648" s="113" t="s">
        <v>574</v>
      </c>
      <c r="C648" s="120" t="s">
        <v>5851</v>
      </c>
      <c r="D648" s="124">
        <v>0.75</v>
      </c>
      <c r="E648" s="124">
        <v>0.25</v>
      </c>
      <c r="F648" s="113" t="s">
        <v>2334</v>
      </c>
      <c r="G648" s="113" t="s">
        <v>2121</v>
      </c>
      <c r="H648" s="113" t="s">
        <v>78</v>
      </c>
      <c r="I648" s="113" t="s">
        <v>1109</v>
      </c>
      <c r="J648" s="118" t="s">
        <v>2129</v>
      </c>
      <c r="K648" s="118" t="s">
        <v>2712</v>
      </c>
      <c r="L648" s="118" t="s">
        <v>5849</v>
      </c>
      <c r="M648" s="115" t="s">
        <v>5850</v>
      </c>
      <c r="N648" s="115" t="s">
        <v>6399</v>
      </c>
      <c r="O648" s="115" t="s">
        <v>2128</v>
      </c>
      <c r="P648" s="113">
        <v>505</v>
      </c>
      <c r="Q648" s="113">
        <v>105</v>
      </c>
      <c r="R648" s="113">
        <v>140</v>
      </c>
      <c r="S648" s="113">
        <v>95</v>
      </c>
      <c r="T648" s="120">
        <v>55</v>
      </c>
      <c r="U648" s="113">
        <v>65</v>
      </c>
      <c r="V648" s="113">
        <v>45</v>
      </c>
      <c r="W648" s="129"/>
      <c r="X648" s="129"/>
      <c r="Y648" s="5"/>
      <c r="Z648" s="5"/>
      <c r="AA648" s="5"/>
      <c r="AB648" s="5"/>
      <c r="AC648" s="5"/>
      <c r="AD648" s="5"/>
      <c r="AE648" s="5"/>
    </row>
    <row r="649" spans="1:31" customFormat="1">
      <c r="A649" s="113">
        <v>535</v>
      </c>
      <c r="B649" s="113" t="s">
        <v>575</v>
      </c>
      <c r="C649" s="120" t="s">
        <v>5852</v>
      </c>
      <c r="D649" s="124">
        <v>0.5</v>
      </c>
      <c r="E649" s="124">
        <v>0.5</v>
      </c>
      <c r="F649" s="113" t="s">
        <v>2331</v>
      </c>
      <c r="G649" s="113" t="s">
        <v>2121</v>
      </c>
      <c r="H649" s="113" t="s">
        <v>25</v>
      </c>
      <c r="I649" s="113" t="s">
        <v>1109</v>
      </c>
      <c r="J649" s="118" t="s">
        <v>2129</v>
      </c>
      <c r="K649" s="118" t="s">
        <v>2712</v>
      </c>
      <c r="L649" s="118" t="s">
        <v>5852</v>
      </c>
      <c r="M649" s="115" t="s">
        <v>1109</v>
      </c>
      <c r="N649" s="115" t="s">
        <v>2129</v>
      </c>
      <c r="O649" s="115" t="s">
        <v>1109</v>
      </c>
      <c r="P649" s="113">
        <v>294</v>
      </c>
      <c r="Q649" s="113">
        <v>50</v>
      </c>
      <c r="R649" s="113">
        <v>50</v>
      </c>
      <c r="S649" s="113">
        <v>40</v>
      </c>
      <c r="T649" s="120">
        <v>50</v>
      </c>
      <c r="U649" s="113">
        <v>40</v>
      </c>
      <c r="V649" s="113">
        <v>64</v>
      </c>
      <c r="W649" s="129"/>
      <c r="X649" s="129"/>
      <c r="Y649" s="5"/>
      <c r="Z649" s="5"/>
      <c r="AA649" s="5"/>
      <c r="AB649" s="5"/>
      <c r="AC649" s="5"/>
      <c r="AD649" s="5"/>
      <c r="AE649" s="5"/>
    </row>
    <row r="650" spans="1:31" customFormat="1">
      <c r="A650" s="113">
        <v>536</v>
      </c>
      <c r="B650" s="113" t="s">
        <v>576</v>
      </c>
      <c r="C650" s="120" t="s">
        <v>5853</v>
      </c>
      <c r="D650" s="124">
        <v>0.5</v>
      </c>
      <c r="E650" s="124">
        <v>0.5</v>
      </c>
      <c r="F650" s="113" t="s">
        <v>2331</v>
      </c>
      <c r="G650" s="113" t="s">
        <v>2121</v>
      </c>
      <c r="H650" s="113" t="s">
        <v>25</v>
      </c>
      <c r="I650" s="113" t="s">
        <v>49</v>
      </c>
      <c r="J650" s="118" t="s">
        <v>2129</v>
      </c>
      <c r="K650" s="118" t="s">
        <v>2712</v>
      </c>
      <c r="L650" s="118" t="s">
        <v>5852</v>
      </c>
      <c r="M650" s="115" t="s">
        <v>5852</v>
      </c>
      <c r="N650" s="115" t="s">
        <v>6398</v>
      </c>
      <c r="O650" s="115" t="s">
        <v>2128</v>
      </c>
      <c r="P650" s="113">
        <v>384</v>
      </c>
      <c r="Q650" s="113">
        <v>75</v>
      </c>
      <c r="R650" s="113">
        <v>65</v>
      </c>
      <c r="S650" s="113">
        <v>55</v>
      </c>
      <c r="T650" s="120">
        <v>65</v>
      </c>
      <c r="U650" s="113">
        <v>55</v>
      </c>
      <c r="V650" s="113">
        <v>69</v>
      </c>
      <c r="W650" s="129"/>
      <c r="X650" s="129"/>
      <c r="Y650" s="5"/>
      <c r="Z650" s="5"/>
      <c r="AA650" s="5"/>
      <c r="AB650" s="5"/>
      <c r="AC650" s="5"/>
      <c r="AD650" s="5"/>
      <c r="AE650" s="5"/>
    </row>
    <row r="651" spans="1:31" customFormat="1">
      <c r="A651" s="113">
        <v>537</v>
      </c>
      <c r="B651" s="113" t="s">
        <v>577</v>
      </c>
      <c r="C651" s="120" t="s">
        <v>5854</v>
      </c>
      <c r="D651" s="124">
        <v>0.5</v>
      </c>
      <c r="E651" s="124">
        <v>0.5</v>
      </c>
      <c r="F651" s="113" t="s">
        <v>2331</v>
      </c>
      <c r="G651" s="113" t="s">
        <v>2121</v>
      </c>
      <c r="H651" s="113" t="s">
        <v>25</v>
      </c>
      <c r="I651" s="113" t="s">
        <v>49</v>
      </c>
      <c r="J651" s="118" t="s">
        <v>2129</v>
      </c>
      <c r="K651" s="118" t="s">
        <v>2712</v>
      </c>
      <c r="L651" s="118" t="s">
        <v>5852</v>
      </c>
      <c r="M651" s="115" t="s">
        <v>5853</v>
      </c>
      <c r="N651" s="115" t="s">
        <v>6399</v>
      </c>
      <c r="O651" s="115" t="s">
        <v>2128</v>
      </c>
      <c r="P651" s="113">
        <v>509</v>
      </c>
      <c r="Q651" s="113">
        <v>105</v>
      </c>
      <c r="R651" s="113">
        <v>95</v>
      </c>
      <c r="S651" s="113">
        <v>75</v>
      </c>
      <c r="T651" s="120">
        <v>85</v>
      </c>
      <c r="U651" s="113">
        <v>75</v>
      </c>
      <c r="V651" s="113">
        <v>74</v>
      </c>
      <c r="W651" s="129"/>
      <c r="X651" s="129"/>
      <c r="Y651" s="5"/>
      <c r="Z651" s="5"/>
      <c r="AA651" s="5"/>
      <c r="AB651" s="5"/>
      <c r="AC651" s="5"/>
      <c r="AD651" s="5"/>
      <c r="AE651" s="5"/>
    </row>
    <row r="652" spans="1:31" customFormat="1">
      <c r="A652" s="113">
        <v>538</v>
      </c>
      <c r="B652" s="113" t="s">
        <v>578</v>
      </c>
      <c r="C652" s="120" t="s">
        <v>5855</v>
      </c>
      <c r="D652" s="124">
        <v>1</v>
      </c>
      <c r="E652" s="124">
        <v>0</v>
      </c>
      <c r="F652" s="113" t="s">
        <v>2334</v>
      </c>
      <c r="G652" s="113" t="s">
        <v>2121</v>
      </c>
      <c r="H652" s="113" t="s">
        <v>78</v>
      </c>
      <c r="I652" s="113" t="s">
        <v>1109</v>
      </c>
      <c r="J652" s="118" t="s">
        <v>2129</v>
      </c>
      <c r="K652" s="118" t="s">
        <v>4658</v>
      </c>
      <c r="L652" s="118" t="s">
        <v>5855</v>
      </c>
      <c r="M652" s="115" t="s">
        <v>1109</v>
      </c>
      <c r="N652" s="115" t="s">
        <v>6399</v>
      </c>
      <c r="O652" s="115" t="s">
        <v>1109</v>
      </c>
      <c r="P652" s="113">
        <v>465</v>
      </c>
      <c r="Q652" s="113">
        <v>120</v>
      </c>
      <c r="R652" s="113">
        <v>100</v>
      </c>
      <c r="S652" s="113">
        <v>85</v>
      </c>
      <c r="T652" s="120">
        <v>30</v>
      </c>
      <c r="U652" s="113">
        <v>85</v>
      </c>
      <c r="V652" s="113">
        <v>45</v>
      </c>
      <c r="W652" s="129"/>
      <c r="X652" s="129"/>
      <c r="Y652" s="5"/>
      <c r="Z652" s="5"/>
      <c r="AA652" s="5"/>
      <c r="AB652" s="5"/>
      <c r="AC652" s="5"/>
      <c r="AD652" s="5"/>
      <c r="AE652" s="5"/>
    </row>
    <row r="653" spans="1:31" customFormat="1">
      <c r="A653" s="113">
        <v>539</v>
      </c>
      <c r="B653" s="113" t="s">
        <v>579</v>
      </c>
      <c r="C653" s="120" t="s">
        <v>5856</v>
      </c>
      <c r="D653" s="124">
        <v>1</v>
      </c>
      <c r="E653" s="124">
        <v>0</v>
      </c>
      <c r="F653" s="113" t="s">
        <v>2334</v>
      </c>
      <c r="G653" s="113" t="s">
        <v>2121</v>
      </c>
      <c r="H653" s="113" t="s">
        <v>78</v>
      </c>
      <c r="I653" s="113" t="s">
        <v>1109</v>
      </c>
      <c r="J653" s="118" t="s">
        <v>2129</v>
      </c>
      <c r="K653" s="118" t="s">
        <v>4658</v>
      </c>
      <c r="L653" s="118" t="s">
        <v>5856</v>
      </c>
      <c r="M653" s="115" t="s">
        <v>1109</v>
      </c>
      <c r="N653" s="115" t="s">
        <v>6399</v>
      </c>
      <c r="O653" s="115" t="s">
        <v>1109</v>
      </c>
      <c r="P653" s="113">
        <v>465</v>
      </c>
      <c r="Q653" s="113">
        <v>75</v>
      </c>
      <c r="R653" s="113">
        <v>125</v>
      </c>
      <c r="S653" s="113">
        <v>75</v>
      </c>
      <c r="T653" s="120">
        <v>30</v>
      </c>
      <c r="U653" s="113">
        <v>75</v>
      </c>
      <c r="V653" s="113">
        <v>85</v>
      </c>
      <c r="W653" s="129"/>
      <c r="X653" s="129"/>
      <c r="Y653" s="5"/>
      <c r="Z653" s="5"/>
      <c r="AA653" s="5"/>
      <c r="AB653" s="5"/>
      <c r="AC653" s="5"/>
      <c r="AD653" s="5"/>
      <c r="AE653" s="5"/>
    </row>
    <row r="654" spans="1:31" customFormat="1">
      <c r="A654" s="113">
        <v>540</v>
      </c>
      <c r="B654" s="113" t="s">
        <v>580</v>
      </c>
      <c r="C654" s="120" t="s">
        <v>5857</v>
      </c>
      <c r="D654" s="124">
        <v>0.5</v>
      </c>
      <c r="E654" s="124">
        <v>0.5</v>
      </c>
      <c r="F654" s="113" t="s">
        <v>29</v>
      </c>
      <c r="G654" s="113" t="s">
        <v>2121</v>
      </c>
      <c r="H654" s="113" t="s">
        <v>29</v>
      </c>
      <c r="I654" s="113" t="s">
        <v>14</v>
      </c>
      <c r="J654" s="118" t="s">
        <v>2129</v>
      </c>
      <c r="K654" s="118" t="s">
        <v>4658</v>
      </c>
      <c r="L654" s="118" t="s">
        <v>5857</v>
      </c>
      <c r="M654" s="115" t="s">
        <v>1109</v>
      </c>
      <c r="N654" s="115" t="s">
        <v>2129</v>
      </c>
      <c r="O654" s="115" t="s">
        <v>1109</v>
      </c>
      <c r="P654" s="113">
        <v>310</v>
      </c>
      <c r="Q654" s="113">
        <v>45</v>
      </c>
      <c r="R654" s="113">
        <v>53</v>
      </c>
      <c r="S654" s="113">
        <v>70</v>
      </c>
      <c r="T654" s="120">
        <v>40</v>
      </c>
      <c r="U654" s="113">
        <v>60</v>
      </c>
      <c r="V654" s="113">
        <v>42</v>
      </c>
      <c r="W654" s="129"/>
      <c r="X654" s="129"/>
      <c r="Y654" s="5"/>
      <c r="Z654" s="5"/>
      <c r="AA654" s="5"/>
      <c r="AB654" s="5"/>
      <c r="AC654" s="5"/>
      <c r="AD654" s="5"/>
      <c r="AE654" s="5"/>
    </row>
    <row r="655" spans="1:31" customFormat="1">
      <c r="A655" s="113">
        <v>541</v>
      </c>
      <c r="B655" s="113" t="s">
        <v>581</v>
      </c>
      <c r="C655" s="120" t="s">
        <v>5858</v>
      </c>
      <c r="D655" s="124">
        <v>0.5</v>
      </c>
      <c r="E655" s="124">
        <v>0.5</v>
      </c>
      <c r="F655" s="113" t="s">
        <v>29</v>
      </c>
      <c r="G655" s="113" t="s">
        <v>2121</v>
      </c>
      <c r="H655" s="113" t="s">
        <v>29</v>
      </c>
      <c r="I655" s="113" t="s">
        <v>14</v>
      </c>
      <c r="J655" s="118" t="s">
        <v>2129</v>
      </c>
      <c r="K655" s="118" t="s">
        <v>4658</v>
      </c>
      <c r="L655" s="118" t="s">
        <v>5857</v>
      </c>
      <c r="M655" s="115" t="s">
        <v>5857</v>
      </c>
      <c r="N655" s="115" t="s">
        <v>6398</v>
      </c>
      <c r="O655" s="115" t="s">
        <v>2128</v>
      </c>
      <c r="P655" s="113">
        <v>380</v>
      </c>
      <c r="Q655" s="113">
        <v>55</v>
      </c>
      <c r="R655" s="113">
        <v>63</v>
      </c>
      <c r="S655" s="113">
        <v>90</v>
      </c>
      <c r="T655" s="120">
        <v>50</v>
      </c>
      <c r="U655" s="113">
        <v>80</v>
      </c>
      <c r="V655" s="113">
        <v>42</v>
      </c>
      <c r="W655" s="129"/>
      <c r="X655" s="129"/>
      <c r="Y655" s="5"/>
      <c r="Z655" s="5"/>
      <c r="AA655" s="5"/>
      <c r="AB655" s="5"/>
      <c r="AC655" s="5"/>
      <c r="AD655" s="5"/>
      <c r="AE655" s="5"/>
    </row>
    <row r="656" spans="1:31" customFormat="1">
      <c r="A656" s="113">
        <v>542</v>
      </c>
      <c r="B656" s="113" t="s">
        <v>582</v>
      </c>
      <c r="C656" s="120" t="s">
        <v>5859</v>
      </c>
      <c r="D656" s="124">
        <v>0.5</v>
      </c>
      <c r="E656" s="124">
        <v>0.5</v>
      </c>
      <c r="F656" s="113" t="s">
        <v>29</v>
      </c>
      <c r="G656" s="113" t="s">
        <v>2121</v>
      </c>
      <c r="H656" s="113" t="s">
        <v>29</v>
      </c>
      <c r="I656" s="113" t="s">
        <v>14</v>
      </c>
      <c r="J656" s="118" t="s">
        <v>2129</v>
      </c>
      <c r="K656" s="118" t="s">
        <v>4658</v>
      </c>
      <c r="L656" s="118" t="s">
        <v>5857</v>
      </c>
      <c r="M656" s="115" t="s">
        <v>5858</v>
      </c>
      <c r="N656" s="115" t="s">
        <v>6399</v>
      </c>
      <c r="O656" s="115" t="s">
        <v>2128</v>
      </c>
      <c r="P656" s="113">
        <v>500</v>
      </c>
      <c r="Q656" s="113">
        <v>75</v>
      </c>
      <c r="R656" s="113">
        <v>103</v>
      </c>
      <c r="S656" s="113">
        <v>80</v>
      </c>
      <c r="T656" s="120">
        <v>70</v>
      </c>
      <c r="U656" s="113">
        <v>80</v>
      </c>
      <c r="V656" s="113">
        <v>92</v>
      </c>
      <c r="W656" s="129"/>
      <c r="X656" s="129"/>
      <c r="Y656" s="5"/>
      <c r="Z656" s="5"/>
      <c r="AA656" s="5"/>
      <c r="AB656" s="5"/>
      <c r="AC656" s="5"/>
      <c r="AD656" s="5"/>
      <c r="AE656" s="5"/>
    </row>
    <row r="657" spans="1:34" customFormat="1">
      <c r="A657" s="113">
        <v>543</v>
      </c>
      <c r="B657" s="113" t="s">
        <v>583</v>
      </c>
      <c r="C657" s="120" t="s">
        <v>5860</v>
      </c>
      <c r="D657" s="124">
        <v>0.5</v>
      </c>
      <c r="E657" s="124">
        <v>0.5</v>
      </c>
      <c r="F657" s="113" t="s">
        <v>29</v>
      </c>
      <c r="G657" s="113" t="s">
        <v>2121</v>
      </c>
      <c r="H657" s="113" t="s">
        <v>29</v>
      </c>
      <c r="I657" s="113" t="s">
        <v>15</v>
      </c>
      <c r="J657" s="118" t="s">
        <v>2129</v>
      </c>
      <c r="K657" s="118" t="s">
        <v>4658</v>
      </c>
      <c r="L657" s="118" t="s">
        <v>5860</v>
      </c>
      <c r="M657" s="115" t="s">
        <v>1109</v>
      </c>
      <c r="N657" s="115" t="s">
        <v>2129</v>
      </c>
      <c r="O657" s="115" t="s">
        <v>1109</v>
      </c>
      <c r="P657" s="113">
        <v>260</v>
      </c>
      <c r="Q657" s="113">
        <v>30</v>
      </c>
      <c r="R657" s="113">
        <v>45</v>
      </c>
      <c r="S657" s="113">
        <v>59</v>
      </c>
      <c r="T657" s="120">
        <v>30</v>
      </c>
      <c r="U657" s="113">
        <v>39</v>
      </c>
      <c r="V657" s="113">
        <v>57</v>
      </c>
      <c r="W657" s="129"/>
      <c r="X657" s="129"/>
      <c r="Y657" s="5"/>
      <c r="Z657" s="5"/>
      <c r="AA657" s="5"/>
      <c r="AB657" s="5"/>
      <c r="AC657" s="5"/>
      <c r="AD657" s="5"/>
      <c r="AE657" s="5"/>
    </row>
    <row r="658" spans="1:34" customFormat="1">
      <c r="A658" s="113">
        <v>544</v>
      </c>
      <c r="B658" s="113" t="s">
        <v>584</v>
      </c>
      <c r="C658" s="120" t="s">
        <v>5861</v>
      </c>
      <c r="D658" s="124">
        <v>0.5</v>
      </c>
      <c r="E658" s="124">
        <v>0.5</v>
      </c>
      <c r="F658" s="113" t="s">
        <v>29</v>
      </c>
      <c r="G658" s="113" t="s">
        <v>2121</v>
      </c>
      <c r="H658" s="113" t="s">
        <v>29</v>
      </c>
      <c r="I658" s="113" t="s">
        <v>15</v>
      </c>
      <c r="J658" s="118" t="s">
        <v>2129</v>
      </c>
      <c r="K658" s="118" t="s">
        <v>4658</v>
      </c>
      <c r="L658" s="118" t="s">
        <v>5860</v>
      </c>
      <c r="M658" s="115" t="s">
        <v>5860</v>
      </c>
      <c r="N658" s="115" t="s">
        <v>6398</v>
      </c>
      <c r="O658" s="115" t="s">
        <v>2128</v>
      </c>
      <c r="P658" s="113">
        <v>360</v>
      </c>
      <c r="Q658" s="113">
        <v>40</v>
      </c>
      <c r="R658" s="113">
        <v>55</v>
      </c>
      <c r="S658" s="113">
        <v>99</v>
      </c>
      <c r="T658" s="120">
        <v>40</v>
      </c>
      <c r="U658" s="113">
        <v>79</v>
      </c>
      <c r="V658" s="113">
        <v>47</v>
      </c>
      <c r="W658" s="129"/>
      <c r="X658" s="129"/>
      <c r="Y658" s="5"/>
      <c r="Z658" s="5"/>
      <c r="AA658" s="5"/>
      <c r="AB658" s="5"/>
      <c r="AC658" s="5"/>
      <c r="AD658" s="5"/>
      <c r="AE658" s="5"/>
    </row>
    <row r="659" spans="1:34" customFormat="1">
      <c r="A659" s="113">
        <v>545</v>
      </c>
      <c r="B659" s="113" t="s">
        <v>585</v>
      </c>
      <c r="C659" s="120" t="s">
        <v>5862</v>
      </c>
      <c r="D659" s="124">
        <v>0.5</v>
      </c>
      <c r="E659" s="124">
        <v>0.5</v>
      </c>
      <c r="F659" s="113" t="s">
        <v>29</v>
      </c>
      <c r="G659" s="113" t="s">
        <v>2121</v>
      </c>
      <c r="H659" s="113" t="s">
        <v>29</v>
      </c>
      <c r="I659" s="113" t="s">
        <v>15</v>
      </c>
      <c r="J659" s="118" t="s">
        <v>2129</v>
      </c>
      <c r="K659" s="118" t="s">
        <v>4658</v>
      </c>
      <c r="L659" s="118" t="s">
        <v>5860</v>
      </c>
      <c r="M659" s="115" t="s">
        <v>5861</v>
      </c>
      <c r="N659" s="115" t="s">
        <v>6399</v>
      </c>
      <c r="O659" s="115" t="s">
        <v>2128</v>
      </c>
      <c r="P659" s="113">
        <v>485</v>
      </c>
      <c r="Q659" s="113">
        <v>60</v>
      </c>
      <c r="R659" s="113">
        <v>100</v>
      </c>
      <c r="S659" s="113">
        <v>89</v>
      </c>
      <c r="T659" s="120">
        <v>55</v>
      </c>
      <c r="U659" s="113">
        <v>69</v>
      </c>
      <c r="V659" s="113">
        <v>112</v>
      </c>
      <c r="W659" s="129"/>
      <c r="X659" s="129"/>
      <c r="Y659" s="5"/>
      <c r="Z659" s="5"/>
      <c r="AA659" s="5"/>
      <c r="AB659" s="5"/>
      <c r="AC659" s="5"/>
      <c r="AD659" s="5"/>
      <c r="AE659" s="5"/>
    </row>
    <row r="660" spans="1:34" customFormat="1">
      <c r="A660" s="113">
        <v>546</v>
      </c>
      <c r="B660" s="113" t="s">
        <v>586</v>
      </c>
      <c r="C660" s="120" t="s">
        <v>5863</v>
      </c>
      <c r="D660" s="124">
        <v>0.5</v>
      </c>
      <c r="E660" s="124">
        <v>0.5</v>
      </c>
      <c r="F660" s="113" t="s">
        <v>56</v>
      </c>
      <c r="G660" s="113" t="s">
        <v>2121</v>
      </c>
      <c r="H660" s="113" t="s">
        <v>14</v>
      </c>
      <c r="I660" s="113" t="s">
        <v>56</v>
      </c>
      <c r="J660" s="118" t="s">
        <v>2129</v>
      </c>
      <c r="K660" s="118" t="s">
        <v>4658</v>
      </c>
      <c r="L660" s="118" t="s">
        <v>5863</v>
      </c>
      <c r="M660" s="115" t="s">
        <v>1109</v>
      </c>
      <c r="N660" s="115" t="s">
        <v>2129</v>
      </c>
      <c r="O660" s="115" t="s">
        <v>1109</v>
      </c>
      <c r="P660" s="113">
        <v>280</v>
      </c>
      <c r="Q660" s="113">
        <v>40</v>
      </c>
      <c r="R660" s="113">
        <v>27</v>
      </c>
      <c r="S660" s="113">
        <v>60</v>
      </c>
      <c r="T660" s="120">
        <v>37</v>
      </c>
      <c r="U660" s="113">
        <v>50</v>
      </c>
      <c r="V660" s="113">
        <v>66</v>
      </c>
      <c r="W660" s="129"/>
      <c r="X660" s="129"/>
      <c r="Y660" s="5"/>
      <c r="Z660" s="5"/>
      <c r="AA660" s="5"/>
      <c r="AB660" s="5"/>
      <c r="AC660" s="5"/>
      <c r="AD660" s="5"/>
      <c r="AE660" s="5"/>
    </row>
    <row r="661" spans="1:34" customFormat="1">
      <c r="A661" s="113">
        <v>547</v>
      </c>
      <c r="B661" s="113" t="s">
        <v>587</v>
      </c>
      <c r="C661" s="120" t="s">
        <v>5864</v>
      </c>
      <c r="D661" s="124">
        <v>0.5</v>
      </c>
      <c r="E661" s="124">
        <v>0.5</v>
      </c>
      <c r="F661" s="113" t="s">
        <v>56</v>
      </c>
      <c r="G661" s="113" t="s">
        <v>2121</v>
      </c>
      <c r="H661" s="113" t="s">
        <v>14</v>
      </c>
      <c r="I661" s="113" t="s">
        <v>56</v>
      </c>
      <c r="J661" s="118" t="s">
        <v>2129</v>
      </c>
      <c r="K661" s="118" t="s">
        <v>4658</v>
      </c>
      <c r="L661" s="118" t="s">
        <v>5863</v>
      </c>
      <c r="M661" s="115" t="s">
        <v>5863</v>
      </c>
      <c r="N661" s="115" t="s">
        <v>6399</v>
      </c>
      <c r="O661" s="115" t="s">
        <v>1803</v>
      </c>
      <c r="P661" s="113">
        <v>480</v>
      </c>
      <c r="Q661" s="113">
        <v>60</v>
      </c>
      <c r="R661" s="113">
        <v>67</v>
      </c>
      <c r="S661" s="113">
        <v>85</v>
      </c>
      <c r="T661" s="120">
        <v>77</v>
      </c>
      <c r="U661" s="113">
        <v>75</v>
      </c>
      <c r="V661" s="113">
        <v>116</v>
      </c>
      <c r="W661" s="129"/>
      <c r="X661" s="129"/>
      <c r="Y661" s="5"/>
      <c r="Z661" s="5"/>
      <c r="AA661" s="5"/>
      <c r="AB661" s="5"/>
      <c r="AC661" s="5"/>
      <c r="AD661" s="5"/>
      <c r="AE661" s="5"/>
    </row>
    <row r="662" spans="1:34" customFormat="1">
      <c r="A662" s="113">
        <v>548</v>
      </c>
      <c r="B662" s="113" t="s">
        <v>588</v>
      </c>
      <c r="C662" s="120" t="s">
        <v>5865</v>
      </c>
      <c r="D662" s="124">
        <v>0</v>
      </c>
      <c r="E662" s="124">
        <v>1</v>
      </c>
      <c r="F662" s="113" t="s">
        <v>14</v>
      </c>
      <c r="G662" s="113" t="s">
        <v>2121</v>
      </c>
      <c r="H662" s="113" t="s">
        <v>14</v>
      </c>
      <c r="I662" s="113" t="s">
        <v>1109</v>
      </c>
      <c r="J662" s="118" t="s">
        <v>2129</v>
      </c>
      <c r="K662" s="118" t="s">
        <v>4658</v>
      </c>
      <c r="L662" s="118" t="s">
        <v>5865</v>
      </c>
      <c r="M662" s="115" t="s">
        <v>1109</v>
      </c>
      <c r="N662" s="115" t="s">
        <v>2129</v>
      </c>
      <c r="O662" s="115" t="s">
        <v>1109</v>
      </c>
      <c r="P662" s="113">
        <v>280</v>
      </c>
      <c r="Q662" s="113">
        <v>45</v>
      </c>
      <c r="R662" s="113">
        <v>35</v>
      </c>
      <c r="S662" s="113">
        <v>50</v>
      </c>
      <c r="T662" s="120">
        <v>70</v>
      </c>
      <c r="U662" s="113">
        <v>50</v>
      </c>
      <c r="V662" s="113">
        <v>30</v>
      </c>
      <c r="W662" s="129"/>
      <c r="X662" s="129"/>
      <c r="Y662" s="5"/>
      <c r="Z662" s="5"/>
      <c r="AA662" s="5"/>
      <c r="AB662" s="5"/>
      <c r="AC662" s="5"/>
      <c r="AD662" s="5"/>
      <c r="AE662" s="5"/>
    </row>
    <row r="663" spans="1:34" customFormat="1">
      <c r="A663" s="113">
        <v>549</v>
      </c>
      <c r="B663" s="113" t="s">
        <v>589</v>
      </c>
      <c r="C663" s="120" t="s">
        <v>5866</v>
      </c>
      <c r="D663" s="124">
        <v>0</v>
      </c>
      <c r="E663" s="124">
        <v>1</v>
      </c>
      <c r="F663" s="113" t="s">
        <v>14</v>
      </c>
      <c r="G663" s="113" t="s">
        <v>2121</v>
      </c>
      <c r="H663" s="113" t="s">
        <v>14</v>
      </c>
      <c r="I663" s="113" t="s">
        <v>1109</v>
      </c>
      <c r="J663" s="118" t="s">
        <v>2129</v>
      </c>
      <c r="K663" s="118" t="s">
        <v>4658</v>
      </c>
      <c r="L663" s="118" t="s">
        <v>5865</v>
      </c>
      <c r="M663" s="115" t="s">
        <v>5865</v>
      </c>
      <c r="N663" s="115" t="s">
        <v>6399</v>
      </c>
      <c r="O663" s="115" t="s">
        <v>1803</v>
      </c>
      <c r="P663" s="113">
        <v>480</v>
      </c>
      <c r="Q663" s="113">
        <v>70</v>
      </c>
      <c r="R663" s="113">
        <v>60</v>
      </c>
      <c r="S663" s="113">
        <v>75</v>
      </c>
      <c r="T663" s="120">
        <v>110</v>
      </c>
      <c r="U663" s="113">
        <v>75</v>
      </c>
      <c r="V663" s="113">
        <v>90</v>
      </c>
      <c r="W663" s="129"/>
      <c r="X663" s="129"/>
      <c r="Y663" s="5"/>
      <c r="Z663" s="5"/>
      <c r="AA663" s="5"/>
      <c r="AB663" s="5"/>
      <c r="AC663" s="5"/>
      <c r="AD663" s="5"/>
      <c r="AE663" s="5"/>
    </row>
    <row r="664" spans="1:34" customFormat="1">
      <c r="A664" s="113">
        <v>549</v>
      </c>
      <c r="B664" s="113" t="s">
        <v>2993</v>
      </c>
      <c r="C664" s="120" t="s">
        <v>5867</v>
      </c>
      <c r="D664" s="124">
        <v>0</v>
      </c>
      <c r="E664" s="124">
        <v>1</v>
      </c>
      <c r="F664" s="113" t="s">
        <v>14</v>
      </c>
      <c r="G664" s="113" t="s">
        <v>4319</v>
      </c>
      <c r="H664" s="113" t="s">
        <v>14</v>
      </c>
      <c r="I664" s="113" t="s">
        <v>78</v>
      </c>
      <c r="J664" s="118" t="s">
        <v>2129</v>
      </c>
      <c r="K664" s="118" t="s">
        <v>4658</v>
      </c>
      <c r="L664" s="118" t="s">
        <v>5865</v>
      </c>
      <c r="M664" s="115" t="s">
        <v>5865</v>
      </c>
      <c r="N664" s="115" t="s">
        <v>6399</v>
      </c>
      <c r="O664" s="115" t="s">
        <v>1803</v>
      </c>
      <c r="P664" s="113">
        <v>480</v>
      </c>
      <c r="Q664" s="113">
        <v>70</v>
      </c>
      <c r="R664" s="113">
        <v>105</v>
      </c>
      <c r="S664" s="113">
        <v>75</v>
      </c>
      <c r="T664" s="120">
        <v>50</v>
      </c>
      <c r="U664" s="113">
        <v>75</v>
      </c>
      <c r="V664" s="113">
        <v>105</v>
      </c>
      <c r="W664" s="129"/>
      <c r="X664" s="129"/>
      <c r="Y664" s="5"/>
      <c r="Z664" s="5"/>
      <c r="AA664" s="5"/>
      <c r="AB664" s="5"/>
      <c r="AC664" s="5"/>
      <c r="AD664" s="5"/>
      <c r="AE664" s="5"/>
    </row>
    <row r="665" spans="1:34" customFormat="1">
      <c r="A665" s="113">
        <v>550</v>
      </c>
      <c r="B665" s="113" t="s">
        <v>590</v>
      </c>
      <c r="C665" s="120" t="s">
        <v>5868</v>
      </c>
      <c r="D665" s="124">
        <v>0.5</v>
      </c>
      <c r="E665" s="124">
        <v>0.5</v>
      </c>
      <c r="F665" s="113" t="s">
        <v>2337</v>
      </c>
      <c r="G665" s="113" t="s">
        <v>2121</v>
      </c>
      <c r="H665" s="113" t="s">
        <v>25</v>
      </c>
      <c r="I665" s="113" t="s">
        <v>1109</v>
      </c>
      <c r="J665" s="118" t="s">
        <v>2129</v>
      </c>
      <c r="K665" s="118" t="s">
        <v>4658</v>
      </c>
      <c r="L665" s="118" t="s">
        <v>5868</v>
      </c>
      <c r="M665" s="115" t="s">
        <v>1109</v>
      </c>
      <c r="N665" s="115" t="s">
        <v>2129</v>
      </c>
      <c r="O665" s="115" t="s">
        <v>1109</v>
      </c>
      <c r="P665" s="113">
        <v>460</v>
      </c>
      <c r="Q665" s="113">
        <v>70</v>
      </c>
      <c r="R665" s="113">
        <v>92</v>
      </c>
      <c r="S665" s="113">
        <v>65</v>
      </c>
      <c r="T665" s="120">
        <v>80</v>
      </c>
      <c r="U665" s="113">
        <v>55</v>
      </c>
      <c r="V665" s="113">
        <v>98</v>
      </c>
      <c r="W665" s="129"/>
      <c r="X665" s="129"/>
      <c r="Y665" s="5"/>
      <c r="Z665" s="5"/>
      <c r="AA665" s="5"/>
      <c r="AB665" s="5"/>
      <c r="AC665" s="5"/>
      <c r="AD665" s="5"/>
      <c r="AE665" s="5"/>
    </row>
    <row r="666" spans="1:34" customFormat="1">
      <c r="A666" s="113">
        <v>551</v>
      </c>
      <c r="B666" s="113" t="s">
        <v>591</v>
      </c>
      <c r="C666" s="120" t="s">
        <v>5869</v>
      </c>
      <c r="D666" s="124">
        <v>0.5</v>
      </c>
      <c r="E666" s="124">
        <v>0.5</v>
      </c>
      <c r="F666" s="113" t="s">
        <v>2332</v>
      </c>
      <c r="G666" s="113" t="s">
        <v>2121</v>
      </c>
      <c r="H666" s="113" t="s">
        <v>49</v>
      </c>
      <c r="I666" s="113" t="s">
        <v>158</v>
      </c>
      <c r="J666" s="118" t="s">
        <v>2129</v>
      </c>
      <c r="K666" s="118" t="s">
        <v>4658</v>
      </c>
      <c r="L666" s="118" t="s">
        <v>5869</v>
      </c>
      <c r="M666" s="115" t="s">
        <v>1109</v>
      </c>
      <c r="N666" s="115" t="s">
        <v>2129</v>
      </c>
      <c r="O666" s="115" t="s">
        <v>1109</v>
      </c>
      <c r="P666" s="113">
        <v>292</v>
      </c>
      <c r="Q666" s="113">
        <v>50</v>
      </c>
      <c r="R666" s="113">
        <v>72</v>
      </c>
      <c r="S666" s="113">
        <v>35</v>
      </c>
      <c r="T666" s="120">
        <v>35</v>
      </c>
      <c r="U666" s="113">
        <v>35</v>
      </c>
      <c r="V666" s="113">
        <v>65</v>
      </c>
      <c r="W666" s="129"/>
      <c r="X666" s="129"/>
      <c r="Y666" s="5"/>
      <c r="Z666" s="5"/>
      <c r="AA666" s="5"/>
      <c r="AB666" s="5"/>
      <c r="AC666" s="5"/>
      <c r="AD666" s="5"/>
      <c r="AE666" s="5"/>
    </row>
    <row r="667" spans="1:34" customFormat="1">
      <c r="A667" s="113">
        <v>552</v>
      </c>
      <c r="B667" s="113" t="s">
        <v>592</v>
      </c>
      <c r="C667" s="120" t="s">
        <v>5870</v>
      </c>
      <c r="D667" s="124">
        <v>0.5</v>
      </c>
      <c r="E667" s="124">
        <v>0.5</v>
      </c>
      <c r="F667" s="113" t="s">
        <v>2332</v>
      </c>
      <c r="G667" s="113" t="s">
        <v>2121</v>
      </c>
      <c r="H667" s="113" t="s">
        <v>49</v>
      </c>
      <c r="I667" s="113" t="s">
        <v>158</v>
      </c>
      <c r="J667" s="118" t="s">
        <v>2129</v>
      </c>
      <c r="K667" s="118" t="s">
        <v>4658</v>
      </c>
      <c r="L667" s="118" t="s">
        <v>5869</v>
      </c>
      <c r="M667" s="115" t="s">
        <v>5869</v>
      </c>
      <c r="N667" s="115" t="s">
        <v>6398</v>
      </c>
      <c r="O667" s="115" t="s">
        <v>2128</v>
      </c>
      <c r="P667" s="113">
        <v>351</v>
      </c>
      <c r="Q667" s="113">
        <v>60</v>
      </c>
      <c r="R667" s="113">
        <v>82</v>
      </c>
      <c r="S667" s="113">
        <v>45</v>
      </c>
      <c r="T667" s="120">
        <v>45</v>
      </c>
      <c r="U667" s="113">
        <v>45</v>
      </c>
      <c r="V667" s="113">
        <v>74</v>
      </c>
      <c r="W667" s="129"/>
      <c r="X667" s="129"/>
      <c r="Y667" s="5"/>
      <c r="Z667" s="5"/>
      <c r="AA667" s="5"/>
      <c r="AB667" s="5"/>
      <c r="AC667" s="5"/>
      <c r="AD667" s="5"/>
      <c r="AE667" s="5"/>
    </row>
    <row r="668" spans="1:34" customFormat="1">
      <c r="A668" s="113">
        <v>553</v>
      </c>
      <c r="B668" s="113" t="s">
        <v>593</v>
      </c>
      <c r="C668" s="120" t="s">
        <v>5871</v>
      </c>
      <c r="D668" s="124">
        <v>0.5</v>
      </c>
      <c r="E668" s="124">
        <v>0.5</v>
      </c>
      <c r="F668" s="113" t="s">
        <v>2332</v>
      </c>
      <c r="G668" s="113" t="s">
        <v>2121</v>
      </c>
      <c r="H668" s="113" t="s">
        <v>49</v>
      </c>
      <c r="I668" s="113" t="s">
        <v>158</v>
      </c>
      <c r="J668" s="118" t="s">
        <v>2129</v>
      </c>
      <c r="K668" s="118" t="s">
        <v>4658</v>
      </c>
      <c r="L668" s="118" t="s">
        <v>5869</v>
      </c>
      <c r="M668" s="115" t="s">
        <v>5870</v>
      </c>
      <c r="N668" s="115" t="s">
        <v>6399</v>
      </c>
      <c r="O668" s="115" t="s">
        <v>2128</v>
      </c>
      <c r="P668" s="113">
        <v>519</v>
      </c>
      <c r="Q668" s="113">
        <v>95</v>
      </c>
      <c r="R668" s="113">
        <v>117</v>
      </c>
      <c r="S668" s="113">
        <v>80</v>
      </c>
      <c r="T668" s="120">
        <v>65</v>
      </c>
      <c r="U668" s="113">
        <v>70</v>
      </c>
      <c r="V668" s="113">
        <v>92</v>
      </c>
      <c r="W668" s="129"/>
      <c r="X668" s="129"/>
      <c r="Y668" s="5"/>
      <c r="Z668" s="5"/>
      <c r="AA668" s="5"/>
      <c r="AB668" s="5"/>
      <c r="AC668" s="5"/>
      <c r="AD668" s="5"/>
      <c r="AE668" s="5"/>
    </row>
    <row r="669" spans="1:34" customFormat="1">
      <c r="A669" s="113">
        <v>554</v>
      </c>
      <c r="B669" s="113" t="s">
        <v>594</v>
      </c>
      <c r="C669" s="120" t="s">
        <v>5872</v>
      </c>
      <c r="D669" s="124">
        <v>0.5</v>
      </c>
      <c r="E669" s="124">
        <v>0.5</v>
      </c>
      <c r="F669" s="113" t="s">
        <v>2332</v>
      </c>
      <c r="G669" s="113" t="s">
        <v>2121</v>
      </c>
      <c r="H669" s="113" t="s">
        <v>19</v>
      </c>
      <c r="I669" s="113" t="s">
        <v>1109</v>
      </c>
      <c r="J669" s="118" t="s">
        <v>2129</v>
      </c>
      <c r="K669" s="118" t="s">
        <v>4658</v>
      </c>
      <c r="L669" s="118" t="s">
        <v>5872</v>
      </c>
      <c r="M669" s="115" t="s">
        <v>1109</v>
      </c>
      <c r="N669" s="115" t="s">
        <v>2129</v>
      </c>
      <c r="O669" s="115" t="s">
        <v>1109</v>
      </c>
      <c r="P669" s="113">
        <v>315</v>
      </c>
      <c r="Q669" s="113">
        <v>70</v>
      </c>
      <c r="R669" s="113">
        <v>90</v>
      </c>
      <c r="S669" s="113">
        <v>45</v>
      </c>
      <c r="T669" s="120">
        <v>15</v>
      </c>
      <c r="U669" s="113">
        <v>45</v>
      </c>
      <c r="V669" s="113">
        <v>50</v>
      </c>
      <c r="W669" s="129"/>
      <c r="X669" s="129"/>
      <c r="Y669" s="5"/>
      <c r="Z669" s="5"/>
      <c r="AA669" s="5"/>
      <c r="AB669" s="5"/>
      <c r="AC669" s="5"/>
      <c r="AD669" s="5"/>
      <c r="AE669" s="5"/>
    </row>
    <row r="670" spans="1:34" customFormat="1">
      <c r="A670" s="113">
        <v>554</v>
      </c>
      <c r="B670" s="113" t="s">
        <v>6448</v>
      </c>
      <c r="C670" s="120" t="s">
        <v>5873</v>
      </c>
      <c r="D670" s="124">
        <v>0.5</v>
      </c>
      <c r="E670" s="124">
        <v>0.5</v>
      </c>
      <c r="F670" s="113" t="s">
        <v>2332</v>
      </c>
      <c r="G670" s="113" t="s">
        <v>2703</v>
      </c>
      <c r="H670" s="113" t="s">
        <v>113</v>
      </c>
      <c r="I670" s="113" t="s">
        <v>1109</v>
      </c>
      <c r="J670" s="118" t="s">
        <v>2129</v>
      </c>
      <c r="K670" s="118" t="s">
        <v>4658</v>
      </c>
      <c r="L670" s="118" t="s">
        <v>5872</v>
      </c>
      <c r="M670" s="115" t="s">
        <v>1109</v>
      </c>
      <c r="N670" s="115" t="s">
        <v>2129</v>
      </c>
      <c r="O670" s="115" t="s">
        <v>1109</v>
      </c>
      <c r="P670" s="113">
        <v>315</v>
      </c>
      <c r="Q670" s="113">
        <v>70</v>
      </c>
      <c r="R670" s="113">
        <v>90</v>
      </c>
      <c r="S670" s="113">
        <v>45</v>
      </c>
      <c r="T670" s="120">
        <v>15</v>
      </c>
      <c r="U670" s="113">
        <v>45</v>
      </c>
      <c r="V670" s="113">
        <v>50</v>
      </c>
      <c r="W670" s="129"/>
      <c r="X670" s="129"/>
      <c r="Y670" s="5"/>
      <c r="Z670" s="5"/>
      <c r="AA670" s="5"/>
      <c r="AB670" s="5"/>
      <c r="AC670" s="5"/>
      <c r="AD670" s="5"/>
      <c r="AE670" s="5"/>
      <c r="AH670" s="5"/>
    </row>
    <row r="671" spans="1:34" customFormat="1">
      <c r="A671" s="113">
        <v>555</v>
      </c>
      <c r="B671" s="113" t="s">
        <v>2996</v>
      </c>
      <c r="C671" s="120" t="s">
        <v>5876</v>
      </c>
      <c r="D671" s="124">
        <v>0.5</v>
      </c>
      <c r="E671" s="124">
        <v>0.5</v>
      </c>
      <c r="F671" s="113" t="s">
        <v>2332</v>
      </c>
      <c r="G671" s="113" t="s">
        <v>2121</v>
      </c>
      <c r="H671" s="113" t="s">
        <v>19</v>
      </c>
      <c r="I671" s="113" t="s">
        <v>1109</v>
      </c>
      <c r="J671" s="118" t="s">
        <v>2129</v>
      </c>
      <c r="K671" s="118" t="s">
        <v>4658</v>
      </c>
      <c r="L671" s="118" t="s">
        <v>5872</v>
      </c>
      <c r="M671" s="115" t="s">
        <v>5872</v>
      </c>
      <c r="N671" s="115" t="s">
        <v>6399</v>
      </c>
      <c r="O671" s="115" t="s">
        <v>2128</v>
      </c>
      <c r="P671" s="113">
        <v>480</v>
      </c>
      <c r="Q671" s="113">
        <v>105</v>
      </c>
      <c r="R671" s="113">
        <v>140</v>
      </c>
      <c r="S671" s="113">
        <v>55</v>
      </c>
      <c r="T671" s="120">
        <v>30</v>
      </c>
      <c r="U671" s="113">
        <v>55</v>
      </c>
      <c r="V671" s="113">
        <v>95</v>
      </c>
      <c r="W671" s="129"/>
      <c r="X671" s="129"/>
      <c r="Y671" s="5"/>
      <c r="Z671" s="5"/>
      <c r="AA671" s="5"/>
      <c r="AB671" s="5"/>
      <c r="AC671" s="5"/>
      <c r="AD671" s="5"/>
      <c r="AE671" s="5"/>
    </row>
    <row r="672" spans="1:34" customFormat="1">
      <c r="A672" s="113">
        <v>555</v>
      </c>
      <c r="B672" s="113" t="s">
        <v>2998</v>
      </c>
      <c r="C672" s="120" t="s">
        <v>5877</v>
      </c>
      <c r="D672" s="124">
        <v>0.5</v>
      </c>
      <c r="E672" s="124">
        <v>0.5</v>
      </c>
      <c r="F672" s="113" t="s">
        <v>2332</v>
      </c>
      <c r="G672" s="113" t="s">
        <v>2121</v>
      </c>
      <c r="H672" s="113" t="s">
        <v>19</v>
      </c>
      <c r="I672" s="113" t="s">
        <v>1109</v>
      </c>
      <c r="J672" s="118" t="s">
        <v>2129</v>
      </c>
      <c r="K672" s="118" t="s">
        <v>4658</v>
      </c>
      <c r="L672" s="118" t="s">
        <v>5872</v>
      </c>
      <c r="M672" s="115" t="s">
        <v>5872</v>
      </c>
      <c r="N672" s="115" t="s">
        <v>6399</v>
      </c>
      <c r="O672" s="115" t="s">
        <v>1109</v>
      </c>
      <c r="P672" s="113">
        <v>540</v>
      </c>
      <c r="Q672" s="113">
        <v>105</v>
      </c>
      <c r="R672" s="113">
        <v>30</v>
      </c>
      <c r="S672" s="113">
        <v>105</v>
      </c>
      <c r="T672" s="120">
        <v>140</v>
      </c>
      <c r="U672" s="113">
        <v>105</v>
      </c>
      <c r="V672" s="113">
        <v>55</v>
      </c>
      <c r="W672" s="129"/>
      <c r="X672" s="129"/>
      <c r="Y672" s="5"/>
      <c r="Z672" s="5"/>
      <c r="AA672" s="5"/>
      <c r="AB672" s="5"/>
      <c r="AC672" s="5"/>
      <c r="AD672" s="5"/>
      <c r="AE672" s="5"/>
    </row>
    <row r="673" spans="1:34" customFormat="1">
      <c r="A673" s="113">
        <v>555</v>
      </c>
      <c r="B673" s="113" t="s">
        <v>6446</v>
      </c>
      <c r="C673" s="120" t="s">
        <v>5874</v>
      </c>
      <c r="D673" s="124">
        <v>0.5</v>
      </c>
      <c r="E673" s="124">
        <v>0.5</v>
      </c>
      <c r="F673" s="113" t="s">
        <v>2332</v>
      </c>
      <c r="G673" s="113" t="s">
        <v>2703</v>
      </c>
      <c r="H673" s="113" t="s">
        <v>113</v>
      </c>
      <c r="I673" s="113" t="s">
        <v>1109</v>
      </c>
      <c r="J673" s="118" t="s">
        <v>2129</v>
      </c>
      <c r="K673" s="118" t="s">
        <v>4658</v>
      </c>
      <c r="L673" s="118" t="s">
        <v>5872</v>
      </c>
      <c r="M673" s="113" t="s">
        <v>5873</v>
      </c>
      <c r="N673" s="115" t="s">
        <v>6399</v>
      </c>
      <c r="O673" s="115" t="s">
        <v>2128</v>
      </c>
      <c r="P673" s="113">
        <v>480</v>
      </c>
      <c r="Q673" s="113">
        <v>105</v>
      </c>
      <c r="R673" s="113">
        <v>140</v>
      </c>
      <c r="S673" s="113">
        <v>55</v>
      </c>
      <c r="T673" s="120">
        <v>30</v>
      </c>
      <c r="U673" s="113">
        <v>55</v>
      </c>
      <c r="V673" s="113">
        <v>95</v>
      </c>
      <c r="W673" s="129"/>
      <c r="X673" s="129"/>
      <c r="Y673" s="5"/>
      <c r="Z673" s="5"/>
      <c r="AA673" s="5"/>
      <c r="AB673" s="5"/>
      <c r="AC673" s="5"/>
      <c r="AD673" s="5"/>
      <c r="AE673" s="5"/>
      <c r="AH673" s="5"/>
    </row>
    <row r="674" spans="1:34" customFormat="1">
      <c r="A674" s="113">
        <v>555</v>
      </c>
      <c r="B674" s="113" t="s">
        <v>6447</v>
      </c>
      <c r="C674" s="120" t="s">
        <v>5875</v>
      </c>
      <c r="D674" s="124">
        <v>0.5</v>
      </c>
      <c r="E674" s="124">
        <v>0.5</v>
      </c>
      <c r="F674" s="113" t="s">
        <v>2332</v>
      </c>
      <c r="G674" s="113" t="s">
        <v>2703</v>
      </c>
      <c r="H674" s="113" t="s">
        <v>113</v>
      </c>
      <c r="I674" s="113" t="s">
        <v>19</v>
      </c>
      <c r="J674" s="118" t="s">
        <v>2129</v>
      </c>
      <c r="K674" s="118" t="s">
        <v>4658</v>
      </c>
      <c r="L674" s="118" t="s">
        <v>5872</v>
      </c>
      <c r="M674" s="120" t="s">
        <v>5873</v>
      </c>
      <c r="N674" s="115" t="s">
        <v>6399</v>
      </c>
      <c r="O674" s="115" t="s">
        <v>1109</v>
      </c>
      <c r="P674" s="113">
        <v>540</v>
      </c>
      <c r="Q674" s="113">
        <v>105</v>
      </c>
      <c r="R674" s="113">
        <v>160</v>
      </c>
      <c r="S674" s="113">
        <v>55</v>
      </c>
      <c r="T674" s="120">
        <v>30</v>
      </c>
      <c r="U674" s="113">
        <v>55</v>
      </c>
      <c r="V674" s="113">
        <v>135</v>
      </c>
      <c r="W674" s="129"/>
      <c r="X674" s="129"/>
      <c r="Y674" s="5"/>
      <c r="Z674" s="5"/>
      <c r="AA674" s="5"/>
      <c r="AB674" s="5"/>
      <c r="AC674" s="5"/>
      <c r="AD674" s="5"/>
      <c r="AE674" s="5"/>
      <c r="AH674" s="5"/>
    </row>
    <row r="675" spans="1:34" customFormat="1">
      <c r="A675" s="113">
        <v>556</v>
      </c>
      <c r="B675" s="113" t="s">
        <v>597</v>
      </c>
      <c r="C675" s="120" t="s">
        <v>5878</v>
      </c>
      <c r="D675" s="124">
        <v>0.5</v>
      </c>
      <c r="E675" s="124">
        <v>0.5</v>
      </c>
      <c r="F675" s="113" t="s">
        <v>14</v>
      </c>
      <c r="G675" s="113" t="s">
        <v>2121</v>
      </c>
      <c r="H675" s="113" t="s">
        <v>14</v>
      </c>
      <c r="I675" s="113" t="s">
        <v>1109</v>
      </c>
      <c r="J675" s="118" t="s">
        <v>2129</v>
      </c>
      <c r="K675" s="118" t="s">
        <v>4657</v>
      </c>
      <c r="L675" s="118" t="s">
        <v>5878</v>
      </c>
      <c r="M675" s="115" t="s">
        <v>1109</v>
      </c>
      <c r="N675" s="115" t="s">
        <v>6399</v>
      </c>
      <c r="O675" s="115" t="s">
        <v>1109</v>
      </c>
      <c r="P675" s="113">
        <v>461</v>
      </c>
      <c r="Q675" s="113">
        <v>75</v>
      </c>
      <c r="R675" s="113">
        <v>86</v>
      </c>
      <c r="S675" s="113">
        <v>67</v>
      </c>
      <c r="T675" s="120">
        <v>106</v>
      </c>
      <c r="U675" s="113">
        <v>67</v>
      </c>
      <c r="V675" s="113">
        <v>60</v>
      </c>
      <c r="W675" s="129"/>
      <c r="X675" s="129"/>
      <c r="Y675" s="5"/>
      <c r="Z675" s="5"/>
      <c r="AA675" s="5"/>
      <c r="AB675" s="5"/>
      <c r="AC675" s="5"/>
      <c r="AD675" s="5"/>
      <c r="AE675" s="5"/>
    </row>
    <row r="676" spans="1:34" customFormat="1">
      <c r="A676" s="113">
        <v>557</v>
      </c>
      <c r="B676" s="113" t="s">
        <v>598</v>
      </c>
      <c r="C676" s="120" t="s">
        <v>5879</v>
      </c>
      <c r="D676" s="124">
        <v>0.5</v>
      </c>
      <c r="E676" s="124">
        <v>0.5</v>
      </c>
      <c r="F676" s="113" t="s">
        <v>2112</v>
      </c>
      <c r="G676" s="113" t="s">
        <v>2121</v>
      </c>
      <c r="H676" s="113" t="s">
        <v>29</v>
      </c>
      <c r="I676" s="113" t="s">
        <v>98</v>
      </c>
      <c r="J676" s="118" t="s">
        <v>2129</v>
      </c>
      <c r="K676" s="118" t="s">
        <v>4658</v>
      </c>
      <c r="L676" s="118" t="s">
        <v>5879</v>
      </c>
      <c r="M676" s="115" t="s">
        <v>1109</v>
      </c>
      <c r="N676" s="115" t="s">
        <v>2129</v>
      </c>
      <c r="O676" s="115" t="s">
        <v>1109</v>
      </c>
      <c r="P676" s="113">
        <v>325</v>
      </c>
      <c r="Q676" s="113">
        <v>50</v>
      </c>
      <c r="R676" s="113">
        <v>65</v>
      </c>
      <c r="S676" s="113">
        <v>85</v>
      </c>
      <c r="T676" s="120">
        <v>35</v>
      </c>
      <c r="U676" s="113">
        <v>35</v>
      </c>
      <c r="V676" s="113">
        <v>55</v>
      </c>
      <c r="W676" s="129"/>
      <c r="X676" s="129"/>
      <c r="Y676" s="5"/>
      <c r="Z676" s="5"/>
      <c r="AA676" s="5"/>
      <c r="AB676" s="5"/>
      <c r="AC676" s="5"/>
      <c r="AD676" s="5"/>
      <c r="AE676" s="5"/>
    </row>
    <row r="677" spans="1:34" customFormat="1">
      <c r="A677" s="113">
        <v>558</v>
      </c>
      <c r="B677" s="113" t="s">
        <v>599</v>
      </c>
      <c r="C677" s="120" t="s">
        <v>5880</v>
      </c>
      <c r="D677" s="124">
        <v>0.5</v>
      </c>
      <c r="E677" s="124">
        <v>0.5</v>
      </c>
      <c r="F677" s="113" t="s">
        <v>2112</v>
      </c>
      <c r="G677" s="113" t="s">
        <v>2121</v>
      </c>
      <c r="H677" s="113" t="s">
        <v>29</v>
      </c>
      <c r="I677" s="113" t="s">
        <v>98</v>
      </c>
      <c r="J677" s="118" t="s">
        <v>2129</v>
      </c>
      <c r="K677" s="118" t="s">
        <v>4658</v>
      </c>
      <c r="L677" s="118" t="s">
        <v>5879</v>
      </c>
      <c r="M677" s="115" t="s">
        <v>5879</v>
      </c>
      <c r="N677" s="115" t="s">
        <v>6399</v>
      </c>
      <c r="O677" s="115" t="s">
        <v>2128</v>
      </c>
      <c r="P677" s="113">
        <v>485</v>
      </c>
      <c r="Q677" s="113">
        <v>70</v>
      </c>
      <c r="R677" s="113">
        <v>105</v>
      </c>
      <c r="S677" s="113">
        <v>125</v>
      </c>
      <c r="T677" s="120">
        <v>65</v>
      </c>
      <c r="U677" s="113">
        <v>75</v>
      </c>
      <c r="V677" s="113">
        <v>45</v>
      </c>
      <c r="W677" s="129"/>
      <c r="X677" s="129"/>
      <c r="Y677" s="5"/>
      <c r="Z677" s="5"/>
      <c r="AA677" s="5"/>
      <c r="AB677" s="5"/>
      <c r="AC677" s="5"/>
      <c r="AD677" s="5"/>
      <c r="AE677" s="5"/>
    </row>
    <row r="678" spans="1:34" customFormat="1">
      <c r="A678" s="113">
        <v>559</v>
      </c>
      <c r="B678" s="113" t="s">
        <v>600</v>
      </c>
      <c r="C678" s="120" t="s">
        <v>5881</v>
      </c>
      <c r="D678" s="124">
        <v>0.5</v>
      </c>
      <c r="E678" s="124">
        <v>0.5</v>
      </c>
      <c r="F678" s="113" t="s">
        <v>2332</v>
      </c>
      <c r="G678" s="113" t="s">
        <v>2121</v>
      </c>
      <c r="H678" s="113" t="s">
        <v>158</v>
      </c>
      <c r="I678" s="113" t="s">
        <v>78</v>
      </c>
      <c r="J678" s="118" t="s">
        <v>2129</v>
      </c>
      <c r="K678" s="118" t="s">
        <v>4658</v>
      </c>
      <c r="L678" s="118" t="s">
        <v>5881</v>
      </c>
      <c r="M678" s="115" t="s">
        <v>1109</v>
      </c>
      <c r="N678" s="115" t="s">
        <v>2129</v>
      </c>
      <c r="O678" s="115" t="s">
        <v>1109</v>
      </c>
      <c r="P678" s="113">
        <v>348</v>
      </c>
      <c r="Q678" s="113">
        <v>50</v>
      </c>
      <c r="R678" s="113">
        <v>75</v>
      </c>
      <c r="S678" s="113">
        <v>70</v>
      </c>
      <c r="T678" s="120">
        <v>35</v>
      </c>
      <c r="U678" s="113">
        <v>70</v>
      </c>
      <c r="V678" s="113">
        <v>48</v>
      </c>
      <c r="W678" s="129"/>
      <c r="X678" s="129"/>
      <c r="Y678" s="5"/>
      <c r="Z678" s="5"/>
      <c r="AA678" s="5"/>
      <c r="AB678" s="5"/>
      <c r="AC678" s="5"/>
      <c r="AD678" s="5"/>
      <c r="AE678" s="5"/>
    </row>
    <row r="679" spans="1:34" customFormat="1">
      <c r="A679" s="113">
        <v>560</v>
      </c>
      <c r="B679" s="113" t="s">
        <v>601</v>
      </c>
      <c r="C679" s="120" t="s">
        <v>5882</v>
      </c>
      <c r="D679" s="124">
        <v>0.5</v>
      </c>
      <c r="E679" s="124">
        <v>0.5</v>
      </c>
      <c r="F679" s="113" t="s">
        <v>2332</v>
      </c>
      <c r="G679" s="113" t="s">
        <v>2121</v>
      </c>
      <c r="H679" s="113" t="s">
        <v>158</v>
      </c>
      <c r="I679" s="113" t="s">
        <v>78</v>
      </c>
      <c r="J679" s="118" t="s">
        <v>2129</v>
      </c>
      <c r="K679" s="118" t="s">
        <v>4658</v>
      </c>
      <c r="L679" s="118" t="s">
        <v>5881</v>
      </c>
      <c r="M679" s="115" t="s">
        <v>5881</v>
      </c>
      <c r="N679" s="115" t="s">
        <v>6399</v>
      </c>
      <c r="O679" s="115" t="s">
        <v>2128</v>
      </c>
      <c r="P679" s="113">
        <v>488</v>
      </c>
      <c r="Q679" s="113">
        <v>65</v>
      </c>
      <c r="R679" s="113">
        <v>90</v>
      </c>
      <c r="S679" s="113">
        <v>115</v>
      </c>
      <c r="T679" s="120">
        <v>45</v>
      </c>
      <c r="U679" s="113">
        <v>115</v>
      </c>
      <c r="V679" s="113">
        <v>58</v>
      </c>
      <c r="W679" s="129"/>
      <c r="X679" s="129"/>
      <c r="Y679" s="5"/>
      <c r="Z679" s="5"/>
      <c r="AA679" s="5"/>
      <c r="AB679" s="5"/>
      <c r="AC679" s="5"/>
      <c r="AD679" s="5"/>
      <c r="AE679" s="5"/>
    </row>
    <row r="680" spans="1:34" customFormat="1">
      <c r="A680" s="113">
        <v>561</v>
      </c>
      <c r="B680" s="113" t="s">
        <v>602</v>
      </c>
      <c r="C680" s="120" t="s">
        <v>5883</v>
      </c>
      <c r="D680" s="124">
        <v>0.5</v>
      </c>
      <c r="E680" s="124">
        <v>0.5</v>
      </c>
      <c r="F680" s="113" t="s">
        <v>22</v>
      </c>
      <c r="G680" s="113" t="s">
        <v>2121</v>
      </c>
      <c r="H680" s="113" t="s">
        <v>86</v>
      </c>
      <c r="I680" s="113" t="s">
        <v>22</v>
      </c>
      <c r="J680" s="118" t="s">
        <v>2129</v>
      </c>
      <c r="K680" s="118" t="s">
        <v>4657</v>
      </c>
      <c r="L680" s="118" t="s">
        <v>5883</v>
      </c>
      <c r="M680" s="115" t="s">
        <v>1109</v>
      </c>
      <c r="N680" s="115" t="s">
        <v>6399</v>
      </c>
      <c r="O680" s="115" t="s">
        <v>1109</v>
      </c>
      <c r="P680" s="113">
        <v>490</v>
      </c>
      <c r="Q680" s="113">
        <v>72</v>
      </c>
      <c r="R680" s="113">
        <v>58</v>
      </c>
      <c r="S680" s="113">
        <v>80</v>
      </c>
      <c r="T680" s="120">
        <v>103</v>
      </c>
      <c r="U680" s="113">
        <v>80</v>
      </c>
      <c r="V680" s="113">
        <v>97</v>
      </c>
      <c r="W680" s="129"/>
      <c r="X680" s="129"/>
      <c r="Y680" s="5"/>
      <c r="Z680" s="5"/>
      <c r="AA680" s="5"/>
      <c r="AB680" s="5"/>
      <c r="AC680" s="5"/>
      <c r="AD680" s="5"/>
      <c r="AE680" s="5"/>
    </row>
    <row r="681" spans="1:34" customFormat="1">
      <c r="A681" s="113">
        <v>562</v>
      </c>
      <c r="B681" s="113" t="s">
        <v>603</v>
      </c>
      <c r="C681" s="120" t="s">
        <v>5884</v>
      </c>
      <c r="D681" s="124">
        <v>0.5</v>
      </c>
      <c r="E681" s="124">
        <v>0.5</v>
      </c>
      <c r="F681" s="113" t="s">
        <v>2336</v>
      </c>
      <c r="G681" s="113" t="s">
        <v>2121</v>
      </c>
      <c r="H681" s="113" t="s">
        <v>119</v>
      </c>
      <c r="I681" s="113" t="s">
        <v>1109</v>
      </c>
      <c r="J681" s="118" t="s">
        <v>2129</v>
      </c>
      <c r="K681" s="118" t="s">
        <v>4658</v>
      </c>
      <c r="L681" s="118" t="s">
        <v>5884</v>
      </c>
      <c r="M681" s="115" t="s">
        <v>1109</v>
      </c>
      <c r="N681" s="115" t="s">
        <v>2129</v>
      </c>
      <c r="O681" s="115" t="s">
        <v>1109</v>
      </c>
      <c r="P681" s="113">
        <v>303</v>
      </c>
      <c r="Q681" s="113">
        <v>38</v>
      </c>
      <c r="R681" s="113">
        <v>30</v>
      </c>
      <c r="S681" s="113">
        <v>85</v>
      </c>
      <c r="T681" s="120">
        <v>55</v>
      </c>
      <c r="U681" s="113">
        <v>65</v>
      </c>
      <c r="V681" s="113">
        <v>30</v>
      </c>
      <c r="W681" s="129"/>
      <c r="X681" s="129"/>
      <c r="Y681" s="5"/>
      <c r="Z681" s="5"/>
      <c r="AA681" s="5"/>
      <c r="AB681" s="5"/>
      <c r="AC681" s="5"/>
      <c r="AD681" s="5"/>
      <c r="AE681" s="5"/>
    </row>
    <row r="682" spans="1:34" customFormat="1">
      <c r="A682" s="113">
        <v>562</v>
      </c>
      <c r="B682" s="113" t="s">
        <v>6458</v>
      </c>
      <c r="C682" s="120" t="s">
        <v>5885</v>
      </c>
      <c r="D682" s="124">
        <v>0.5</v>
      </c>
      <c r="E682" s="124">
        <v>0.5</v>
      </c>
      <c r="F682" s="113" t="s">
        <v>2336</v>
      </c>
      <c r="G682" s="113" t="s">
        <v>2703</v>
      </c>
      <c r="H682" s="113" t="s">
        <v>49</v>
      </c>
      <c r="I682" s="113" t="s">
        <v>119</v>
      </c>
      <c r="J682" s="118" t="s">
        <v>2129</v>
      </c>
      <c r="K682" s="118" t="s">
        <v>4658</v>
      </c>
      <c r="L682" s="118" t="s">
        <v>5884</v>
      </c>
      <c r="M682" s="115" t="s">
        <v>1109</v>
      </c>
      <c r="N682" s="115" t="s">
        <v>2129</v>
      </c>
      <c r="O682" s="115" t="s">
        <v>1109</v>
      </c>
      <c r="P682" s="113">
        <v>303</v>
      </c>
      <c r="Q682" s="113">
        <v>38</v>
      </c>
      <c r="R682" s="113">
        <v>55</v>
      </c>
      <c r="S682" s="113">
        <v>85</v>
      </c>
      <c r="T682" s="120">
        <v>30</v>
      </c>
      <c r="U682" s="113">
        <v>65</v>
      </c>
      <c r="V682" s="113">
        <v>30</v>
      </c>
      <c r="W682" s="129"/>
      <c r="X682" s="129"/>
      <c r="Y682" s="5"/>
      <c r="Z682" s="5"/>
      <c r="AA682" s="5"/>
      <c r="AB682" s="5"/>
      <c r="AC682" s="5"/>
      <c r="AD682" s="5"/>
      <c r="AE682" s="5"/>
    </row>
    <row r="683" spans="1:34" customFormat="1">
      <c r="A683" s="113">
        <v>563</v>
      </c>
      <c r="B683" s="113" t="s">
        <v>604</v>
      </c>
      <c r="C683" s="120" t="s">
        <v>5886</v>
      </c>
      <c r="D683" s="124">
        <v>0.5</v>
      </c>
      <c r="E683" s="124">
        <v>0.5</v>
      </c>
      <c r="F683" s="113" t="s">
        <v>2336</v>
      </c>
      <c r="G683" s="113" t="s">
        <v>2121</v>
      </c>
      <c r="H683" s="113" t="s">
        <v>119</v>
      </c>
      <c r="I683" s="113" t="s">
        <v>1109</v>
      </c>
      <c r="J683" s="118" t="s">
        <v>2129</v>
      </c>
      <c r="K683" s="118" t="s">
        <v>4658</v>
      </c>
      <c r="L683" s="118" t="s">
        <v>5884</v>
      </c>
      <c r="M683" s="115" t="s">
        <v>5884</v>
      </c>
      <c r="N683" s="115" t="s">
        <v>6399</v>
      </c>
      <c r="O683" s="115" t="s">
        <v>2128</v>
      </c>
      <c r="P683" s="113">
        <v>483</v>
      </c>
      <c r="Q683" s="113">
        <v>58</v>
      </c>
      <c r="R683" s="113">
        <v>50</v>
      </c>
      <c r="S683" s="113">
        <v>145</v>
      </c>
      <c r="T683" s="120">
        <v>95</v>
      </c>
      <c r="U683" s="113">
        <v>105</v>
      </c>
      <c r="V683" s="113">
        <v>30</v>
      </c>
      <c r="W683" s="129"/>
      <c r="X683" s="129"/>
      <c r="Y683" s="5"/>
      <c r="Z683" s="5"/>
      <c r="AA683" s="5"/>
      <c r="AB683" s="5"/>
      <c r="AC683" s="5"/>
      <c r="AD683" s="5"/>
      <c r="AE683" s="5"/>
    </row>
    <row r="684" spans="1:34" customFormat="1">
      <c r="A684" s="113">
        <v>564</v>
      </c>
      <c r="B684" s="113" t="s">
        <v>605</v>
      </c>
      <c r="C684" s="120" t="s">
        <v>5887</v>
      </c>
      <c r="D684" s="124">
        <v>0.85</v>
      </c>
      <c r="E684" s="124">
        <v>0.15</v>
      </c>
      <c r="F684" s="113" t="s">
        <v>2335</v>
      </c>
      <c r="G684" s="113" t="s">
        <v>2121</v>
      </c>
      <c r="H684" s="113" t="s">
        <v>25</v>
      </c>
      <c r="I684" s="113" t="s">
        <v>98</v>
      </c>
      <c r="J684" s="118" t="s">
        <v>2129</v>
      </c>
      <c r="K684" s="118" t="s">
        <v>4657</v>
      </c>
      <c r="L684" s="118" t="s">
        <v>5887</v>
      </c>
      <c r="M684" s="115" t="s">
        <v>1109</v>
      </c>
      <c r="N684" s="115" t="s">
        <v>2129</v>
      </c>
      <c r="O684" s="115" t="s">
        <v>1109</v>
      </c>
      <c r="P684" s="113">
        <v>355</v>
      </c>
      <c r="Q684" s="113">
        <v>54</v>
      </c>
      <c r="R684" s="113">
        <v>78</v>
      </c>
      <c r="S684" s="113">
        <v>103</v>
      </c>
      <c r="T684" s="120">
        <v>53</v>
      </c>
      <c r="U684" s="113">
        <v>45</v>
      </c>
      <c r="V684" s="113">
        <v>22</v>
      </c>
      <c r="W684" s="129"/>
      <c r="X684" s="129"/>
      <c r="Y684" s="5"/>
      <c r="Z684" s="5"/>
      <c r="AA684" s="5"/>
      <c r="AB684" s="5"/>
      <c r="AC684" s="5"/>
      <c r="AD684" s="5"/>
      <c r="AE684" s="5"/>
    </row>
    <row r="685" spans="1:34" customFormat="1">
      <c r="A685" s="113">
        <v>565</v>
      </c>
      <c r="B685" s="113" t="s">
        <v>606</v>
      </c>
      <c r="C685" s="120" t="s">
        <v>5888</v>
      </c>
      <c r="D685" s="124">
        <v>0.85</v>
      </c>
      <c r="E685" s="124">
        <v>0.15</v>
      </c>
      <c r="F685" s="113" t="s">
        <v>2335</v>
      </c>
      <c r="G685" s="113" t="s">
        <v>2121</v>
      </c>
      <c r="H685" s="113" t="s">
        <v>25</v>
      </c>
      <c r="I685" s="113" t="s">
        <v>98</v>
      </c>
      <c r="J685" s="118" t="s">
        <v>2129</v>
      </c>
      <c r="K685" s="118" t="s">
        <v>4657</v>
      </c>
      <c r="L685" s="118" t="s">
        <v>5887</v>
      </c>
      <c r="M685" s="115" t="s">
        <v>5887</v>
      </c>
      <c r="N685" s="115" t="s">
        <v>6399</v>
      </c>
      <c r="O685" s="115" t="s">
        <v>2128</v>
      </c>
      <c r="P685" s="113">
        <v>495</v>
      </c>
      <c r="Q685" s="113">
        <v>74</v>
      </c>
      <c r="R685" s="113">
        <v>108</v>
      </c>
      <c r="S685" s="113">
        <v>133</v>
      </c>
      <c r="T685" s="120">
        <v>83</v>
      </c>
      <c r="U685" s="113">
        <v>65</v>
      </c>
      <c r="V685" s="113">
        <v>32</v>
      </c>
      <c r="W685" s="129"/>
      <c r="X685" s="129"/>
      <c r="Y685" s="5"/>
      <c r="Z685" s="5"/>
      <c r="AA685" s="5"/>
      <c r="AB685" s="5"/>
      <c r="AC685" s="5"/>
      <c r="AD685" s="5"/>
      <c r="AE685" s="5"/>
    </row>
    <row r="686" spans="1:34" customFormat="1">
      <c r="A686" s="113">
        <v>566</v>
      </c>
      <c r="B686" s="113" t="s">
        <v>607</v>
      </c>
      <c r="C686" s="120" t="s">
        <v>5889</v>
      </c>
      <c r="D686" s="124">
        <v>0.85</v>
      </c>
      <c r="E686" s="124">
        <v>0.15</v>
      </c>
      <c r="F686" s="113" t="s">
        <v>22</v>
      </c>
      <c r="G686" s="113" t="s">
        <v>2121</v>
      </c>
      <c r="H686" s="113" t="s">
        <v>98</v>
      </c>
      <c r="I686" s="113" t="s">
        <v>22</v>
      </c>
      <c r="J686" s="118" t="s">
        <v>2129</v>
      </c>
      <c r="K686" s="118" t="s">
        <v>4657</v>
      </c>
      <c r="L686" s="118" t="s">
        <v>5889</v>
      </c>
      <c r="M686" s="115" t="s">
        <v>1109</v>
      </c>
      <c r="N686" s="115" t="s">
        <v>2129</v>
      </c>
      <c r="O686" s="115" t="s">
        <v>1109</v>
      </c>
      <c r="P686" s="113">
        <v>401</v>
      </c>
      <c r="Q686" s="113">
        <v>55</v>
      </c>
      <c r="R686" s="113">
        <v>112</v>
      </c>
      <c r="S686" s="113">
        <v>45</v>
      </c>
      <c r="T686" s="120">
        <v>74</v>
      </c>
      <c r="U686" s="113">
        <v>45</v>
      </c>
      <c r="V686" s="113">
        <v>70</v>
      </c>
      <c r="W686" s="129"/>
      <c r="X686" s="129"/>
      <c r="Y686" s="5"/>
      <c r="Z686" s="5"/>
      <c r="AA686" s="5"/>
      <c r="AB686" s="5"/>
      <c r="AC686" s="5"/>
      <c r="AD686" s="5"/>
      <c r="AE686" s="5"/>
    </row>
    <row r="687" spans="1:34" customFormat="1">
      <c r="A687" s="113">
        <v>567</v>
      </c>
      <c r="B687" s="113" t="s">
        <v>608</v>
      </c>
      <c r="C687" s="120" t="s">
        <v>5890</v>
      </c>
      <c r="D687" s="124">
        <v>0.85</v>
      </c>
      <c r="E687" s="124">
        <v>0.15</v>
      </c>
      <c r="F687" s="113" t="s">
        <v>22</v>
      </c>
      <c r="G687" s="113" t="s">
        <v>2121</v>
      </c>
      <c r="H687" s="113" t="s">
        <v>98</v>
      </c>
      <c r="I687" s="113" t="s">
        <v>22</v>
      </c>
      <c r="J687" s="118" t="s">
        <v>2129</v>
      </c>
      <c r="K687" s="118" t="s">
        <v>4657</v>
      </c>
      <c r="L687" s="118" t="s">
        <v>5889</v>
      </c>
      <c r="M687" s="115" t="s">
        <v>5889</v>
      </c>
      <c r="N687" s="115" t="s">
        <v>6399</v>
      </c>
      <c r="O687" s="115" t="s">
        <v>2128</v>
      </c>
      <c r="P687" s="113">
        <v>567</v>
      </c>
      <c r="Q687" s="113">
        <v>75</v>
      </c>
      <c r="R687" s="113">
        <v>140</v>
      </c>
      <c r="S687" s="113">
        <v>65</v>
      </c>
      <c r="T687" s="120">
        <v>112</v>
      </c>
      <c r="U687" s="113">
        <v>65</v>
      </c>
      <c r="V687" s="113">
        <v>110</v>
      </c>
      <c r="W687" s="129"/>
      <c r="X687" s="129"/>
      <c r="Y687" s="5"/>
      <c r="Z687" s="5"/>
      <c r="AA687" s="5"/>
      <c r="AB687" s="5"/>
      <c r="AC687" s="5"/>
      <c r="AD687" s="5"/>
      <c r="AE687" s="5"/>
    </row>
    <row r="688" spans="1:34" customFormat="1">
      <c r="A688" s="113">
        <v>568</v>
      </c>
      <c r="B688" s="113" t="s">
        <v>609</v>
      </c>
      <c r="C688" s="120" t="s">
        <v>5891</v>
      </c>
      <c r="D688" s="124">
        <v>0.5</v>
      </c>
      <c r="E688" s="124">
        <v>0.5</v>
      </c>
      <c r="F688" s="113" t="s">
        <v>2112</v>
      </c>
      <c r="G688" s="113" t="s">
        <v>2121</v>
      </c>
      <c r="H688" s="113" t="s">
        <v>15</v>
      </c>
      <c r="I688" s="113" t="s">
        <v>1109</v>
      </c>
      <c r="J688" s="118" t="s">
        <v>2129</v>
      </c>
      <c r="K688" s="118" t="s">
        <v>4658</v>
      </c>
      <c r="L688" s="118" t="s">
        <v>5891</v>
      </c>
      <c r="M688" s="115" t="s">
        <v>1109</v>
      </c>
      <c r="N688" s="115" t="s">
        <v>2129</v>
      </c>
      <c r="O688" s="115" t="s">
        <v>1109</v>
      </c>
      <c r="P688" s="113">
        <v>329</v>
      </c>
      <c r="Q688" s="113">
        <v>50</v>
      </c>
      <c r="R688" s="113">
        <v>50</v>
      </c>
      <c r="S688" s="113">
        <v>62</v>
      </c>
      <c r="T688" s="120">
        <v>40</v>
      </c>
      <c r="U688" s="113">
        <v>62</v>
      </c>
      <c r="V688" s="113">
        <v>65</v>
      </c>
      <c r="W688" s="129"/>
      <c r="X688" s="129"/>
      <c r="Y688" s="5"/>
      <c r="Z688" s="5"/>
      <c r="AA688" s="5"/>
      <c r="AB688" s="5"/>
      <c r="AC688" s="5"/>
      <c r="AD688" s="5"/>
      <c r="AE688" s="5"/>
    </row>
    <row r="689" spans="1:31" customFormat="1">
      <c r="A689" s="113">
        <v>569</v>
      </c>
      <c r="B689" s="113" t="s">
        <v>610</v>
      </c>
      <c r="C689" s="120" t="s">
        <v>5892</v>
      </c>
      <c r="D689" s="124">
        <v>0.5</v>
      </c>
      <c r="E689" s="124">
        <v>0.5</v>
      </c>
      <c r="F689" s="113" t="s">
        <v>2112</v>
      </c>
      <c r="G689" s="113" t="s">
        <v>2121</v>
      </c>
      <c r="H689" s="113" t="s">
        <v>15</v>
      </c>
      <c r="I689" s="113" t="s">
        <v>1109</v>
      </c>
      <c r="J689" s="118" t="s">
        <v>2129</v>
      </c>
      <c r="K689" s="118" t="s">
        <v>4658</v>
      </c>
      <c r="L689" s="118" t="s">
        <v>5891</v>
      </c>
      <c r="M689" s="115" t="s">
        <v>5891</v>
      </c>
      <c r="N689" s="115" t="s">
        <v>6399</v>
      </c>
      <c r="O689" s="115" t="s">
        <v>2128</v>
      </c>
      <c r="P689" s="113">
        <v>474</v>
      </c>
      <c r="Q689" s="113">
        <v>80</v>
      </c>
      <c r="R689" s="113">
        <v>95</v>
      </c>
      <c r="S689" s="113">
        <v>82</v>
      </c>
      <c r="T689" s="120">
        <v>60</v>
      </c>
      <c r="U689" s="113">
        <v>82</v>
      </c>
      <c r="V689" s="113">
        <v>75</v>
      </c>
      <c r="W689" s="129"/>
      <c r="X689" s="129"/>
      <c r="Y689" s="5"/>
      <c r="Z689" s="5"/>
      <c r="AA689" s="5"/>
      <c r="AB689" s="5"/>
      <c r="AC689" s="5"/>
      <c r="AD689" s="5"/>
      <c r="AE689" s="5"/>
    </row>
    <row r="690" spans="1:31" customFormat="1">
      <c r="A690" s="113">
        <v>570</v>
      </c>
      <c r="B690" s="113" t="s">
        <v>611</v>
      </c>
      <c r="C690" s="120" t="s">
        <v>5893</v>
      </c>
      <c r="D690" s="124">
        <v>0.85</v>
      </c>
      <c r="E690" s="124">
        <v>0.15</v>
      </c>
      <c r="F690" s="113" t="s">
        <v>2332</v>
      </c>
      <c r="G690" s="113" t="s">
        <v>2121</v>
      </c>
      <c r="H690" s="113" t="s">
        <v>158</v>
      </c>
      <c r="I690" s="113" t="s">
        <v>1109</v>
      </c>
      <c r="J690" s="118" t="s">
        <v>2129</v>
      </c>
      <c r="K690" s="118" t="s">
        <v>4657</v>
      </c>
      <c r="L690" s="118" t="s">
        <v>5893</v>
      </c>
      <c r="M690" s="115" t="s">
        <v>1109</v>
      </c>
      <c r="N690" s="115" t="s">
        <v>2129</v>
      </c>
      <c r="O690" s="115" t="s">
        <v>1109</v>
      </c>
      <c r="P690" s="113">
        <v>330</v>
      </c>
      <c r="Q690" s="113">
        <v>40</v>
      </c>
      <c r="R690" s="113">
        <v>65</v>
      </c>
      <c r="S690" s="113">
        <v>40</v>
      </c>
      <c r="T690" s="120">
        <v>80</v>
      </c>
      <c r="U690" s="113">
        <v>40</v>
      </c>
      <c r="V690" s="113">
        <v>65</v>
      </c>
      <c r="W690" s="129"/>
      <c r="X690" s="129"/>
      <c r="Y690" s="5"/>
      <c r="Z690" s="5"/>
      <c r="AA690" s="5"/>
      <c r="AB690" s="5"/>
      <c r="AC690" s="5"/>
      <c r="AD690" s="5"/>
      <c r="AE690" s="5"/>
    </row>
    <row r="691" spans="1:31" customFormat="1">
      <c r="A691" s="113">
        <v>570</v>
      </c>
      <c r="B691" s="113" t="s">
        <v>3005</v>
      </c>
      <c r="C691" s="120" t="s">
        <v>5894</v>
      </c>
      <c r="D691" s="124">
        <v>0.85</v>
      </c>
      <c r="E691" s="124">
        <v>0.15</v>
      </c>
      <c r="F691" s="113" t="s">
        <v>2332</v>
      </c>
      <c r="G691" s="113" t="s">
        <v>4319</v>
      </c>
      <c r="H691" s="113" t="s">
        <v>36</v>
      </c>
      <c r="I691" s="113" t="s">
        <v>119</v>
      </c>
      <c r="J691" s="118" t="s">
        <v>2129</v>
      </c>
      <c r="K691" s="118" t="s">
        <v>4657</v>
      </c>
      <c r="L691" s="118" t="s">
        <v>5893</v>
      </c>
      <c r="M691" s="115" t="s">
        <v>1109</v>
      </c>
      <c r="N691" s="115" t="s">
        <v>2129</v>
      </c>
      <c r="O691" s="115" t="s">
        <v>1109</v>
      </c>
      <c r="P691" s="113">
        <v>330</v>
      </c>
      <c r="Q691" s="113">
        <v>35</v>
      </c>
      <c r="R691" s="113">
        <v>60</v>
      </c>
      <c r="S691" s="113">
        <v>40</v>
      </c>
      <c r="T691" s="120">
        <v>85</v>
      </c>
      <c r="U691" s="113">
        <v>40</v>
      </c>
      <c r="V691" s="113">
        <v>70</v>
      </c>
      <c r="W691" s="129"/>
      <c r="X691" s="129"/>
      <c r="Y691" s="5"/>
      <c r="Z691" s="5"/>
      <c r="AA691" s="5"/>
      <c r="AB691" s="5"/>
      <c r="AC691" s="5"/>
      <c r="AD691" s="5"/>
      <c r="AE691" s="5"/>
    </row>
    <row r="692" spans="1:31" customFormat="1">
      <c r="A692" s="113">
        <v>571</v>
      </c>
      <c r="B692" s="113" t="s">
        <v>612</v>
      </c>
      <c r="C692" s="120" t="s">
        <v>5895</v>
      </c>
      <c r="D692" s="124">
        <v>0.85</v>
      </c>
      <c r="E692" s="124">
        <v>0.15</v>
      </c>
      <c r="F692" s="113" t="s">
        <v>2332</v>
      </c>
      <c r="G692" s="113" t="s">
        <v>2121</v>
      </c>
      <c r="H692" s="113" t="s">
        <v>158</v>
      </c>
      <c r="I692" s="113" t="s">
        <v>1109</v>
      </c>
      <c r="J692" s="118" t="s">
        <v>2129</v>
      </c>
      <c r="K692" s="118" t="s">
        <v>4657</v>
      </c>
      <c r="L692" s="118" t="s">
        <v>5893</v>
      </c>
      <c r="M692" s="115" t="s">
        <v>5893</v>
      </c>
      <c r="N692" s="115" t="s">
        <v>6399</v>
      </c>
      <c r="O692" s="115" t="s">
        <v>2128</v>
      </c>
      <c r="P692" s="113">
        <v>510</v>
      </c>
      <c r="Q692" s="113">
        <v>60</v>
      </c>
      <c r="R692" s="113">
        <v>105</v>
      </c>
      <c r="S692" s="113">
        <v>60</v>
      </c>
      <c r="T692" s="120">
        <v>120</v>
      </c>
      <c r="U692" s="113">
        <v>60</v>
      </c>
      <c r="V692" s="113">
        <v>105</v>
      </c>
      <c r="W692" s="129"/>
      <c r="X692" s="129"/>
      <c r="Y692" s="5"/>
      <c r="Z692" s="5"/>
      <c r="AA692" s="5"/>
      <c r="AB692" s="5"/>
      <c r="AC692" s="5"/>
      <c r="AD692" s="5"/>
      <c r="AE692" s="5"/>
    </row>
    <row r="693" spans="1:31" customFormat="1">
      <c r="A693" s="113">
        <v>571</v>
      </c>
      <c r="B693" s="113" t="s">
        <v>3007</v>
      </c>
      <c r="C693" s="120" t="s">
        <v>5896</v>
      </c>
      <c r="D693" s="124">
        <v>0.85</v>
      </c>
      <c r="E693" s="124">
        <v>0.15</v>
      </c>
      <c r="F693" s="113" t="s">
        <v>2332</v>
      </c>
      <c r="G693" s="113" t="s">
        <v>4319</v>
      </c>
      <c r="H693" s="113" t="s">
        <v>36</v>
      </c>
      <c r="I693" s="113" t="s">
        <v>119</v>
      </c>
      <c r="J693" s="118" t="s">
        <v>2129</v>
      </c>
      <c r="K693" s="118" t="s">
        <v>4657</v>
      </c>
      <c r="L693" s="118" t="s">
        <v>5893</v>
      </c>
      <c r="M693" s="113" t="s">
        <v>5894</v>
      </c>
      <c r="N693" s="115" t="s">
        <v>6399</v>
      </c>
      <c r="O693" s="115" t="s">
        <v>2128</v>
      </c>
      <c r="P693" s="113">
        <v>510</v>
      </c>
      <c r="Q693" s="113">
        <v>55</v>
      </c>
      <c r="R693" s="113">
        <v>100</v>
      </c>
      <c r="S693" s="113">
        <v>60</v>
      </c>
      <c r="T693" s="120">
        <v>125</v>
      </c>
      <c r="U693" s="113">
        <v>60</v>
      </c>
      <c r="V693" s="113">
        <v>110</v>
      </c>
      <c r="W693" s="129"/>
      <c r="X693" s="129"/>
      <c r="Y693" s="5"/>
      <c r="Z693" s="5"/>
      <c r="AA693" s="5"/>
      <c r="AB693" s="5"/>
      <c r="AC693" s="5"/>
      <c r="AD693" s="5"/>
      <c r="AE693" s="5"/>
    </row>
    <row r="694" spans="1:31" customFormat="1">
      <c r="A694" s="113">
        <v>572</v>
      </c>
      <c r="B694" s="113" t="s">
        <v>613</v>
      </c>
      <c r="C694" s="120" t="s">
        <v>5897</v>
      </c>
      <c r="D694" s="124">
        <v>0.25</v>
      </c>
      <c r="E694" s="124">
        <v>0.75</v>
      </c>
      <c r="F694" s="113" t="s">
        <v>2332</v>
      </c>
      <c r="G694" s="113" t="s">
        <v>2121</v>
      </c>
      <c r="H694" s="113" t="s">
        <v>36</v>
      </c>
      <c r="I694" s="113" t="s">
        <v>1109</v>
      </c>
      <c r="J694" s="118" t="s">
        <v>2129</v>
      </c>
      <c r="K694" s="118" t="s">
        <v>4658</v>
      </c>
      <c r="L694" s="118" t="s">
        <v>5897</v>
      </c>
      <c r="M694" s="115" t="s">
        <v>1109</v>
      </c>
      <c r="N694" s="115" t="s">
        <v>2129</v>
      </c>
      <c r="O694" s="115" t="s">
        <v>1109</v>
      </c>
      <c r="P694" s="113">
        <v>300</v>
      </c>
      <c r="Q694" s="113">
        <v>55</v>
      </c>
      <c r="R694" s="113">
        <v>50</v>
      </c>
      <c r="S694" s="113">
        <v>40</v>
      </c>
      <c r="T694" s="120">
        <v>40</v>
      </c>
      <c r="U694" s="113">
        <v>40</v>
      </c>
      <c r="V694" s="113">
        <v>75</v>
      </c>
      <c r="W694" s="129"/>
      <c r="X694" s="129"/>
      <c r="Y694" s="5"/>
      <c r="Z694" s="5"/>
      <c r="AA694" s="5"/>
      <c r="AB694" s="5"/>
      <c r="AC694" s="5"/>
      <c r="AD694" s="5"/>
      <c r="AE694" s="5"/>
    </row>
    <row r="695" spans="1:31" customFormat="1">
      <c r="A695" s="113">
        <v>573</v>
      </c>
      <c r="B695" s="113" t="s">
        <v>614</v>
      </c>
      <c r="C695" s="120" t="s">
        <v>5898</v>
      </c>
      <c r="D695" s="124">
        <v>0.25</v>
      </c>
      <c r="E695" s="124">
        <v>0.75</v>
      </c>
      <c r="F695" s="113" t="s">
        <v>2332</v>
      </c>
      <c r="G695" s="113" t="s">
        <v>2121</v>
      </c>
      <c r="H695" s="113" t="s">
        <v>36</v>
      </c>
      <c r="I695" s="113" t="s">
        <v>1109</v>
      </c>
      <c r="J695" s="118" t="s">
        <v>2129</v>
      </c>
      <c r="K695" s="118" t="s">
        <v>4658</v>
      </c>
      <c r="L695" s="118" t="s">
        <v>5897</v>
      </c>
      <c r="M695" s="115" t="s">
        <v>5897</v>
      </c>
      <c r="N695" s="115" t="s">
        <v>6399</v>
      </c>
      <c r="O695" s="115" t="s">
        <v>1803</v>
      </c>
      <c r="P695" s="113">
        <v>470</v>
      </c>
      <c r="Q695" s="113">
        <v>75</v>
      </c>
      <c r="R695" s="113">
        <v>95</v>
      </c>
      <c r="S695" s="113">
        <v>60</v>
      </c>
      <c r="T695" s="120">
        <v>65</v>
      </c>
      <c r="U695" s="113">
        <v>60</v>
      </c>
      <c r="V695" s="113">
        <v>115</v>
      </c>
      <c r="W695" s="129"/>
      <c r="X695" s="129"/>
      <c r="Y695" s="5"/>
      <c r="Z695" s="5"/>
      <c r="AA695" s="5"/>
      <c r="AB695" s="5"/>
      <c r="AC695" s="5"/>
      <c r="AD695" s="5"/>
      <c r="AE695" s="5"/>
    </row>
    <row r="696" spans="1:31" customFormat="1">
      <c r="A696" s="113">
        <v>574</v>
      </c>
      <c r="B696" s="113" t="s">
        <v>615</v>
      </c>
      <c r="C696" s="120" t="s">
        <v>5899</v>
      </c>
      <c r="D696" s="124">
        <v>0.25</v>
      </c>
      <c r="E696" s="124">
        <v>0.75</v>
      </c>
      <c r="F696" s="113" t="s">
        <v>2334</v>
      </c>
      <c r="G696" s="113" t="s">
        <v>2121</v>
      </c>
      <c r="H696" s="113" t="s">
        <v>86</v>
      </c>
      <c r="I696" s="113" t="s">
        <v>1109</v>
      </c>
      <c r="J696" s="118" t="s">
        <v>2129</v>
      </c>
      <c r="K696" s="118" t="s">
        <v>4658</v>
      </c>
      <c r="L696" s="118" t="s">
        <v>5899</v>
      </c>
      <c r="M696" s="115" t="s">
        <v>1109</v>
      </c>
      <c r="N696" s="115" t="s">
        <v>2129</v>
      </c>
      <c r="O696" s="115" t="s">
        <v>1109</v>
      </c>
      <c r="P696" s="113">
        <v>290</v>
      </c>
      <c r="Q696" s="113">
        <v>45</v>
      </c>
      <c r="R696" s="113">
        <v>30</v>
      </c>
      <c r="S696" s="113">
        <v>50</v>
      </c>
      <c r="T696" s="120">
        <v>55</v>
      </c>
      <c r="U696" s="113">
        <v>65</v>
      </c>
      <c r="V696" s="113">
        <v>45</v>
      </c>
      <c r="W696" s="129"/>
      <c r="X696" s="129"/>
      <c r="Y696" s="5"/>
      <c r="Z696" s="5"/>
      <c r="AA696" s="5"/>
      <c r="AB696" s="5"/>
      <c r="AC696" s="5"/>
      <c r="AD696" s="5"/>
      <c r="AE696" s="5"/>
    </row>
    <row r="697" spans="1:31" customFormat="1">
      <c r="A697" s="113">
        <v>575</v>
      </c>
      <c r="B697" s="113" t="s">
        <v>616</v>
      </c>
      <c r="C697" s="120" t="s">
        <v>5900</v>
      </c>
      <c r="D697" s="124">
        <v>0.25</v>
      </c>
      <c r="E697" s="124">
        <v>0.75</v>
      </c>
      <c r="F697" s="113" t="s">
        <v>2334</v>
      </c>
      <c r="G697" s="113" t="s">
        <v>2121</v>
      </c>
      <c r="H697" s="113" t="s">
        <v>86</v>
      </c>
      <c r="I697" s="113" t="s">
        <v>1109</v>
      </c>
      <c r="J697" s="118" t="s">
        <v>2129</v>
      </c>
      <c r="K697" s="118" t="s">
        <v>4658</v>
      </c>
      <c r="L697" s="118" t="s">
        <v>5899</v>
      </c>
      <c r="M697" s="115" t="s">
        <v>5899</v>
      </c>
      <c r="N697" s="115" t="s">
        <v>6398</v>
      </c>
      <c r="O697" s="115" t="s">
        <v>2128</v>
      </c>
      <c r="P697" s="113">
        <v>390</v>
      </c>
      <c r="Q697" s="113">
        <v>60</v>
      </c>
      <c r="R697" s="113">
        <v>45</v>
      </c>
      <c r="S697" s="113">
        <v>70</v>
      </c>
      <c r="T697" s="120">
        <v>75</v>
      </c>
      <c r="U697" s="113">
        <v>85</v>
      </c>
      <c r="V697" s="113">
        <v>55</v>
      </c>
      <c r="W697" s="129"/>
      <c r="X697" s="129"/>
      <c r="Y697" s="5"/>
      <c r="Z697" s="5"/>
      <c r="AA697" s="5"/>
      <c r="AB697" s="5"/>
      <c r="AC697" s="5"/>
      <c r="AD697" s="5"/>
      <c r="AE697" s="5"/>
    </row>
    <row r="698" spans="1:31" customFormat="1">
      <c r="A698" s="113">
        <v>576</v>
      </c>
      <c r="B698" s="113" t="s">
        <v>617</v>
      </c>
      <c r="C698" s="120" t="s">
        <v>5901</v>
      </c>
      <c r="D698" s="124">
        <v>0.25</v>
      </c>
      <c r="E698" s="124">
        <v>0.75</v>
      </c>
      <c r="F698" s="113" t="s">
        <v>2334</v>
      </c>
      <c r="G698" s="113" t="s">
        <v>2121</v>
      </c>
      <c r="H698" s="113" t="s">
        <v>86</v>
      </c>
      <c r="I698" s="113" t="s">
        <v>1109</v>
      </c>
      <c r="J698" s="118" t="s">
        <v>2129</v>
      </c>
      <c r="K698" s="118" t="s">
        <v>4658</v>
      </c>
      <c r="L698" s="118" t="s">
        <v>5899</v>
      </c>
      <c r="M698" s="115" t="s">
        <v>5900</v>
      </c>
      <c r="N698" s="115" t="s">
        <v>6399</v>
      </c>
      <c r="O698" s="115" t="s">
        <v>2128</v>
      </c>
      <c r="P698" s="113">
        <v>490</v>
      </c>
      <c r="Q698" s="113">
        <v>70</v>
      </c>
      <c r="R698" s="113">
        <v>55</v>
      </c>
      <c r="S698" s="113">
        <v>95</v>
      </c>
      <c r="T698" s="120">
        <v>95</v>
      </c>
      <c r="U698" s="113">
        <v>110</v>
      </c>
      <c r="V698" s="113">
        <v>65</v>
      </c>
      <c r="W698" s="129"/>
      <c r="X698" s="129"/>
      <c r="Y698" s="5"/>
      <c r="Z698" s="5"/>
      <c r="AA698" s="5"/>
      <c r="AB698" s="5"/>
      <c r="AC698" s="5"/>
      <c r="AD698" s="5"/>
      <c r="AE698" s="5"/>
    </row>
    <row r="699" spans="1:31" customFormat="1">
      <c r="A699" s="113">
        <v>577</v>
      </c>
      <c r="B699" s="113" t="s">
        <v>618</v>
      </c>
      <c r="C699" s="120" t="s">
        <v>5902</v>
      </c>
      <c r="D699" s="124">
        <v>0.5</v>
      </c>
      <c r="E699" s="124">
        <v>0.5</v>
      </c>
      <c r="F699" s="113" t="s">
        <v>2336</v>
      </c>
      <c r="G699" s="113" t="s">
        <v>2121</v>
      </c>
      <c r="H699" s="113" t="s">
        <v>86</v>
      </c>
      <c r="I699" s="113" t="s">
        <v>1109</v>
      </c>
      <c r="J699" s="118" t="s">
        <v>2129</v>
      </c>
      <c r="K699" s="118" t="s">
        <v>4658</v>
      </c>
      <c r="L699" s="118" t="s">
        <v>5902</v>
      </c>
      <c r="M699" s="115" t="s">
        <v>1109</v>
      </c>
      <c r="N699" s="115" t="s">
        <v>2129</v>
      </c>
      <c r="O699" s="115" t="s">
        <v>1109</v>
      </c>
      <c r="P699" s="113">
        <v>290</v>
      </c>
      <c r="Q699" s="113">
        <v>45</v>
      </c>
      <c r="R699" s="113">
        <v>30</v>
      </c>
      <c r="S699" s="113">
        <v>40</v>
      </c>
      <c r="T699" s="120">
        <v>105</v>
      </c>
      <c r="U699" s="113">
        <v>50</v>
      </c>
      <c r="V699" s="113">
        <v>20</v>
      </c>
      <c r="W699" s="129"/>
      <c r="X699" s="129"/>
      <c r="Y699" s="5"/>
      <c r="Z699" s="5"/>
      <c r="AA699" s="5"/>
      <c r="AB699" s="5"/>
      <c r="AC699" s="5"/>
      <c r="AD699" s="5"/>
      <c r="AE699" s="5"/>
    </row>
    <row r="700" spans="1:31" customFormat="1">
      <c r="A700" s="113">
        <v>578</v>
      </c>
      <c r="B700" s="113" t="s">
        <v>619</v>
      </c>
      <c r="C700" s="120" t="s">
        <v>5903</v>
      </c>
      <c r="D700" s="124">
        <v>0.5</v>
      </c>
      <c r="E700" s="124">
        <v>0.5</v>
      </c>
      <c r="F700" s="113" t="s">
        <v>2336</v>
      </c>
      <c r="G700" s="113" t="s">
        <v>2121</v>
      </c>
      <c r="H700" s="113" t="s">
        <v>86</v>
      </c>
      <c r="I700" s="113" t="s">
        <v>1109</v>
      </c>
      <c r="J700" s="118" t="s">
        <v>2129</v>
      </c>
      <c r="K700" s="118" t="s">
        <v>4658</v>
      </c>
      <c r="L700" s="118" t="s">
        <v>5902</v>
      </c>
      <c r="M700" s="115" t="s">
        <v>5902</v>
      </c>
      <c r="N700" s="115" t="s">
        <v>6398</v>
      </c>
      <c r="O700" s="115" t="s">
        <v>2128</v>
      </c>
      <c r="P700" s="113">
        <v>370</v>
      </c>
      <c r="Q700" s="113">
        <v>65</v>
      </c>
      <c r="R700" s="113">
        <v>40</v>
      </c>
      <c r="S700" s="113">
        <v>50</v>
      </c>
      <c r="T700" s="120">
        <v>125</v>
      </c>
      <c r="U700" s="113">
        <v>60</v>
      </c>
      <c r="V700" s="113">
        <v>30</v>
      </c>
      <c r="W700" s="129"/>
      <c r="X700" s="129"/>
      <c r="Y700" s="5"/>
      <c r="Z700" s="5"/>
      <c r="AA700" s="5"/>
      <c r="AB700" s="5"/>
      <c r="AC700" s="5"/>
      <c r="AD700" s="5"/>
      <c r="AE700" s="5"/>
    </row>
    <row r="701" spans="1:31" customFormat="1">
      <c r="A701" s="113">
        <v>579</v>
      </c>
      <c r="B701" s="113" t="s">
        <v>620</v>
      </c>
      <c r="C701" s="120" t="s">
        <v>5904</v>
      </c>
      <c r="D701" s="124">
        <v>0.5</v>
      </c>
      <c r="E701" s="124">
        <v>0.5</v>
      </c>
      <c r="F701" s="113" t="s">
        <v>2336</v>
      </c>
      <c r="G701" s="113" t="s">
        <v>2121</v>
      </c>
      <c r="H701" s="113" t="s">
        <v>86</v>
      </c>
      <c r="I701" s="113" t="s">
        <v>1109</v>
      </c>
      <c r="J701" s="118" t="s">
        <v>2129</v>
      </c>
      <c r="K701" s="118" t="s">
        <v>4658</v>
      </c>
      <c r="L701" s="118" t="s">
        <v>5902</v>
      </c>
      <c r="M701" s="115" t="s">
        <v>5903</v>
      </c>
      <c r="N701" s="115" t="s">
        <v>6399</v>
      </c>
      <c r="O701" s="115" t="s">
        <v>2128</v>
      </c>
      <c r="P701" s="113">
        <v>490</v>
      </c>
      <c r="Q701" s="113">
        <v>110</v>
      </c>
      <c r="R701" s="113">
        <v>65</v>
      </c>
      <c r="S701" s="113">
        <v>75</v>
      </c>
      <c r="T701" s="120">
        <v>125</v>
      </c>
      <c r="U701" s="113">
        <v>85</v>
      </c>
      <c r="V701" s="113">
        <v>30</v>
      </c>
      <c r="W701" s="129"/>
      <c r="X701" s="129"/>
      <c r="Y701" s="5"/>
      <c r="Z701" s="5"/>
      <c r="AA701" s="5"/>
      <c r="AB701" s="5"/>
      <c r="AC701" s="5"/>
      <c r="AD701" s="5"/>
      <c r="AE701" s="5"/>
    </row>
    <row r="702" spans="1:31" customFormat="1">
      <c r="A702" s="113">
        <v>580</v>
      </c>
      <c r="B702" s="113" t="s">
        <v>621</v>
      </c>
      <c r="C702" s="120" t="s">
        <v>5905</v>
      </c>
      <c r="D702" s="124">
        <v>0.5</v>
      </c>
      <c r="E702" s="124">
        <v>0.5</v>
      </c>
      <c r="F702" s="113" t="s">
        <v>22</v>
      </c>
      <c r="G702" s="113" t="s">
        <v>2121</v>
      </c>
      <c r="H702" s="113" t="s">
        <v>25</v>
      </c>
      <c r="I702" s="113" t="s">
        <v>22</v>
      </c>
      <c r="J702" s="118" t="s">
        <v>2129</v>
      </c>
      <c r="K702" s="118" t="s">
        <v>4658</v>
      </c>
      <c r="L702" s="118" t="s">
        <v>5905</v>
      </c>
      <c r="M702" s="115" t="s">
        <v>1109</v>
      </c>
      <c r="N702" s="115" t="s">
        <v>2129</v>
      </c>
      <c r="O702" s="115" t="s">
        <v>1109</v>
      </c>
      <c r="P702" s="113">
        <v>305</v>
      </c>
      <c r="Q702" s="113">
        <v>62</v>
      </c>
      <c r="R702" s="113">
        <v>44</v>
      </c>
      <c r="S702" s="113">
        <v>50</v>
      </c>
      <c r="T702" s="120">
        <v>44</v>
      </c>
      <c r="U702" s="113">
        <v>50</v>
      </c>
      <c r="V702" s="113">
        <v>55</v>
      </c>
      <c r="W702" s="129"/>
      <c r="X702" s="129"/>
      <c r="Y702" s="5"/>
      <c r="Z702" s="5"/>
      <c r="AA702" s="5"/>
      <c r="AB702" s="5"/>
      <c r="AC702" s="5"/>
      <c r="AD702" s="5"/>
      <c r="AE702" s="5"/>
    </row>
    <row r="703" spans="1:31" customFormat="1">
      <c r="A703" s="113">
        <v>581</v>
      </c>
      <c r="B703" s="113" t="s">
        <v>622</v>
      </c>
      <c r="C703" s="120" t="s">
        <v>5906</v>
      </c>
      <c r="D703" s="124">
        <v>0.5</v>
      </c>
      <c r="E703" s="124">
        <v>0.5</v>
      </c>
      <c r="F703" s="113" t="s">
        <v>22</v>
      </c>
      <c r="G703" s="113" t="s">
        <v>2121</v>
      </c>
      <c r="H703" s="113" t="s">
        <v>25</v>
      </c>
      <c r="I703" s="113" t="s">
        <v>22</v>
      </c>
      <c r="J703" s="118" t="s">
        <v>2129</v>
      </c>
      <c r="K703" s="118" t="s">
        <v>4658</v>
      </c>
      <c r="L703" s="118" t="s">
        <v>5905</v>
      </c>
      <c r="M703" s="115" t="s">
        <v>5905</v>
      </c>
      <c r="N703" s="115" t="s">
        <v>6399</v>
      </c>
      <c r="O703" s="115" t="s">
        <v>2128</v>
      </c>
      <c r="P703" s="113">
        <v>473</v>
      </c>
      <c r="Q703" s="113">
        <v>75</v>
      </c>
      <c r="R703" s="113">
        <v>87</v>
      </c>
      <c r="S703" s="113">
        <v>63</v>
      </c>
      <c r="T703" s="120">
        <v>87</v>
      </c>
      <c r="U703" s="113">
        <v>63</v>
      </c>
      <c r="V703" s="113">
        <v>98</v>
      </c>
      <c r="W703" s="129"/>
      <c r="X703" s="129"/>
      <c r="Y703" s="5"/>
      <c r="Z703" s="5"/>
      <c r="AA703" s="5"/>
      <c r="AB703" s="5"/>
      <c r="AC703" s="5"/>
      <c r="AD703" s="5"/>
      <c r="AE703" s="5"/>
    </row>
    <row r="704" spans="1:31" customFormat="1">
      <c r="A704" s="113">
        <v>582</v>
      </c>
      <c r="B704" s="113" t="s">
        <v>623</v>
      </c>
      <c r="C704" s="120" t="s">
        <v>5907</v>
      </c>
      <c r="D704" s="124">
        <v>0.5</v>
      </c>
      <c r="E704" s="124">
        <v>0.5</v>
      </c>
      <c r="F704" s="113" t="s">
        <v>2112</v>
      </c>
      <c r="G704" s="113" t="s">
        <v>2121</v>
      </c>
      <c r="H704" s="113" t="s">
        <v>113</v>
      </c>
      <c r="I704" s="113" t="s">
        <v>1109</v>
      </c>
      <c r="J704" s="118" t="s">
        <v>2129</v>
      </c>
      <c r="K704" s="118" t="s">
        <v>2712</v>
      </c>
      <c r="L704" s="118" t="s">
        <v>5907</v>
      </c>
      <c r="M704" s="115" t="s">
        <v>1109</v>
      </c>
      <c r="N704" s="115" t="s">
        <v>2129</v>
      </c>
      <c r="O704" s="115" t="s">
        <v>1109</v>
      </c>
      <c r="P704" s="113">
        <v>305</v>
      </c>
      <c r="Q704" s="113">
        <v>36</v>
      </c>
      <c r="R704" s="113">
        <v>50</v>
      </c>
      <c r="S704" s="113">
        <v>50</v>
      </c>
      <c r="T704" s="120">
        <v>65</v>
      </c>
      <c r="U704" s="113">
        <v>60</v>
      </c>
      <c r="V704" s="113">
        <v>44</v>
      </c>
      <c r="W704" s="129"/>
      <c r="X704" s="129"/>
      <c r="Y704" s="5"/>
      <c r="Z704" s="5"/>
      <c r="AA704" s="5"/>
      <c r="AB704" s="5"/>
      <c r="AC704" s="5"/>
      <c r="AD704" s="5"/>
      <c r="AE704" s="5"/>
    </row>
    <row r="705" spans="1:31" customFormat="1">
      <c r="A705" s="113">
        <v>583</v>
      </c>
      <c r="B705" s="113" t="s">
        <v>624</v>
      </c>
      <c r="C705" s="120" t="s">
        <v>5908</v>
      </c>
      <c r="D705" s="124">
        <v>0.5</v>
      </c>
      <c r="E705" s="124">
        <v>0.5</v>
      </c>
      <c r="F705" s="113" t="s">
        <v>2112</v>
      </c>
      <c r="G705" s="113" t="s">
        <v>2121</v>
      </c>
      <c r="H705" s="113" t="s">
        <v>113</v>
      </c>
      <c r="I705" s="113" t="s">
        <v>1109</v>
      </c>
      <c r="J705" s="118" t="s">
        <v>2129</v>
      </c>
      <c r="K705" s="118" t="s">
        <v>2712</v>
      </c>
      <c r="L705" s="118" t="s">
        <v>5907</v>
      </c>
      <c r="M705" s="115" t="s">
        <v>5907</v>
      </c>
      <c r="N705" s="115" t="s">
        <v>6398</v>
      </c>
      <c r="O705" s="115" t="s">
        <v>2128</v>
      </c>
      <c r="P705" s="113">
        <v>395</v>
      </c>
      <c r="Q705" s="113">
        <v>51</v>
      </c>
      <c r="R705" s="113">
        <v>65</v>
      </c>
      <c r="S705" s="113">
        <v>65</v>
      </c>
      <c r="T705" s="120">
        <v>80</v>
      </c>
      <c r="U705" s="113">
        <v>75</v>
      </c>
      <c r="V705" s="113">
        <v>59</v>
      </c>
      <c r="W705" s="129"/>
      <c r="X705" s="129"/>
      <c r="Y705" s="5"/>
      <c r="Z705" s="5"/>
      <c r="AA705" s="5"/>
      <c r="AB705" s="5"/>
      <c r="AC705" s="5"/>
      <c r="AD705" s="5"/>
      <c r="AE705" s="5"/>
    </row>
    <row r="706" spans="1:31" customFormat="1">
      <c r="A706" s="113">
        <v>584</v>
      </c>
      <c r="B706" s="113" t="s">
        <v>625</v>
      </c>
      <c r="C706" s="120" t="s">
        <v>5909</v>
      </c>
      <c r="D706" s="124">
        <v>0.5</v>
      </c>
      <c r="E706" s="124">
        <v>0.5</v>
      </c>
      <c r="F706" s="113" t="s">
        <v>2112</v>
      </c>
      <c r="G706" s="113" t="s">
        <v>2121</v>
      </c>
      <c r="H706" s="113" t="s">
        <v>113</v>
      </c>
      <c r="I706" s="113" t="s">
        <v>1109</v>
      </c>
      <c r="J706" s="118" t="s">
        <v>2129</v>
      </c>
      <c r="K706" s="118" t="s">
        <v>2712</v>
      </c>
      <c r="L706" s="118" t="s">
        <v>5907</v>
      </c>
      <c r="M706" s="115" t="s">
        <v>5908</v>
      </c>
      <c r="N706" s="115" t="s">
        <v>6399</v>
      </c>
      <c r="O706" s="115" t="s">
        <v>2128</v>
      </c>
      <c r="P706" s="113">
        <v>535</v>
      </c>
      <c r="Q706" s="113">
        <v>71</v>
      </c>
      <c r="R706" s="113">
        <v>95</v>
      </c>
      <c r="S706" s="113">
        <v>85</v>
      </c>
      <c r="T706" s="120">
        <v>110</v>
      </c>
      <c r="U706" s="113">
        <v>95</v>
      </c>
      <c r="V706" s="113">
        <v>79</v>
      </c>
      <c r="W706" s="129"/>
      <c r="X706" s="129"/>
      <c r="Y706" s="5"/>
      <c r="Z706" s="5"/>
      <c r="AA706" s="5"/>
      <c r="AB706" s="5"/>
      <c r="AC706" s="5"/>
      <c r="AD706" s="5"/>
      <c r="AE706" s="5"/>
    </row>
    <row r="707" spans="1:31" customFormat="1">
      <c r="A707" s="113">
        <v>585</v>
      </c>
      <c r="B707" s="113" t="s">
        <v>626</v>
      </c>
      <c r="C707" s="120" t="s">
        <v>5910</v>
      </c>
      <c r="D707" s="124">
        <v>0.5</v>
      </c>
      <c r="E707" s="124">
        <v>0.5</v>
      </c>
      <c r="F707" s="113" t="s">
        <v>2332</v>
      </c>
      <c r="G707" s="113" t="s">
        <v>2121</v>
      </c>
      <c r="H707" s="113" t="s">
        <v>36</v>
      </c>
      <c r="I707" s="113" t="s">
        <v>14</v>
      </c>
      <c r="J707" s="118" t="s">
        <v>2129</v>
      </c>
      <c r="K707" s="118" t="s">
        <v>2712</v>
      </c>
      <c r="L707" s="118" t="s">
        <v>5910</v>
      </c>
      <c r="M707" s="115" t="s">
        <v>1109</v>
      </c>
      <c r="N707" s="115" t="s">
        <v>2129</v>
      </c>
      <c r="O707" s="115" t="s">
        <v>1109</v>
      </c>
      <c r="P707" s="113">
        <v>335</v>
      </c>
      <c r="Q707" s="113">
        <v>60</v>
      </c>
      <c r="R707" s="113">
        <v>60</v>
      </c>
      <c r="S707" s="113">
        <v>50</v>
      </c>
      <c r="T707" s="120">
        <v>40</v>
      </c>
      <c r="U707" s="113">
        <v>50</v>
      </c>
      <c r="V707" s="113">
        <v>75</v>
      </c>
      <c r="W707" s="129"/>
      <c r="X707" s="129"/>
      <c r="Y707" s="5"/>
      <c r="Z707" s="5"/>
      <c r="AA707" s="5"/>
      <c r="AB707" s="5"/>
      <c r="AC707" s="5"/>
      <c r="AD707" s="5"/>
      <c r="AE707" s="5"/>
    </row>
    <row r="708" spans="1:31" customFormat="1">
      <c r="A708" s="113">
        <v>586</v>
      </c>
      <c r="B708" s="113" t="s">
        <v>627</v>
      </c>
      <c r="C708" s="120" t="s">
        <v>5911</v>
      </c>
      <c r="D708" s="124">
        <v>0.5</v>
      </c>
      <c r="E708" s="124">
        <v>0.5</v>
      </c>
      <c r="F708" s="113" t="s">
        <v>2332</v>
      </c>
      <c r="G708" s="113" t="s">
        <v>2121</v>
      </c>
      <c r="H708" s="113" t="s">
        <v>36</v>
      </c>
      <c r="I708" s="113" t="s">
        <v>14</v>
      </c>
      <c r="J708" s="118" t="s">
        <v>2129</v>
      </c>
      <c r="K708" s="118" t="s">
        <v>2712</v>
      </c>
      <c r="L708" s="118" t="s">
        <v>5910</v>
      </c>
      <c r="M708" s="115" t="s">
        <v>5910</v>
      </c>
      <c r="N708" s="115" t="s">
        <v>6399</v>
      </c>
      <c r="O708" s="115" t="s">
        <v>2128</v>
      </c>
      <c r="P708" s="113">
        <v>475</v>
      </c>
      <c r="Q708" s="113">
        <v>80</v>
      </c>
      <c r="R708" s="113">
        <v>100</v>
      </c>
      <c r="S708" s="113">
        <v>70</v>
      </c>
      <c r="T708" s="120">
        <v>60</v>
      </c>
      <c r="U708" s="113">
        <v>70</v>
      </c>
      <c r="V708" s="113">
        <v>95</v>
      </c>
      <c r="W708" s="129"/>
      <c r="X708" s="129"/>
      <c r="Y708" s="5"/>
      <c r="Z708" s="5"/>
      <c r="AA708" s="5"/>
      <c r="AB708" s="5"/>
      <c r="AC708" s="5"/>
      <c r="AD708" s="5"/>
      <c r="AE708" s="5"/>
    </row>
    <row r="709" spans="1:31" customFormat="1">
      <c r="A709" s="113">
        <v>587</v>
      </c>
      <c r="B709" s="113" t="s">
        <v>628</v>
      </c>
      <c r="C709" s="120" t="s">
        <v>5912</v>
      </c>
      <c r="D709" s="124">
        <v>0.5</v>
      </c>
      <c r="E709" s="124">
        <v>0.5</v>
      </c>
      <c r="F709" s="113" t="s">
        <v>2332</v>
      </c>
      <c r="G709" s="113" t="s">
        <v>2121</v>
      </c>
      <c r="H709" s="113" t="s">
        <v>46</v>
      </c>
      <c r="I709" s="113" t="s">
        <v>22</v>
      </c>
      <c r="J709" s="118" t="s">
        <v>2129</v>
      </c>
      <c r="K709" s="118" t="s">
        <v>4658</v>
      </c>
      <c r="L709" s="118" t="s">
        <v>5912</v>
      </c>
      <c r="M709" s="115" t="s">
        <v>1109</v>
      </c>
      <c r="N709" s="115" t="s">
        <v>6399</v>
      </c>
      <c r="O709" s="115" t="s">
        <v>1109</v>
      </c>
      <c r="P709" s="113">
        <v>428</v>
      </c>
      <c r="Q709" s="113">
        <v>55</v>
      </c>
      <c r="R709" s="113">
        <v>75</v>
      </c>
      <c r="S709" s="113">
        <v>60</v>
      </c>
      <c r="T709" s="120">
        <v>75</v>
      </c>
      <c r="U709" s="113">
        <v>60</v>
      </c>
      <c r="V709" s="113">
        <v>103</v>
      </c>
      <c r="W709" s="129"/>
      <c r="X709" s="129"/>
      <c r="Y709" s="5"/>
      <c r="Z709" s="5"/>
      <c r="AA709" s="5"/>
      <c r="AB709" s="5"/>
      <c r="AC709" s="5"/>
      <c r="AD709" s="5"/>
      <c r="AE709" s="5"/>
    </row>
    <row r="710" spans="1:31" customFormat="1">
      <c r="A710" s="113">
        <v>588</v>
      </c>
      <c r="B710" s="113" t="s">
        <v>629</v>
      </c>
      <c r="C710" s="120" t="s">
        <v>5913</v>
      </c>
      <c r="D710" s="124">
        <v>0.5</v>
      </c>
      <c r="E710" s="124">
        <v>0.5</v>
      </c>
      <c r="F710" s="113" t="s">
        <v>29</v>
      </c>
      <c r="G710" s="113" t="s">
        <v>2121</v>
      </c>
      <c r="H710" s="113" t="s">
        <v>29</v>
      </c>
      <c r="I710" s="113" t="s">
        <v>1109</v>
      </c>
      <c r="J710" s="118" t="s">
        <v>2129</v>
      </c>
      <c r="K710" s="118" t="s">
        <v>4658</v>
      </c>
      <c r="L710" s="118" t="s">
        <v>5913</v>
      </c>
      <c r="M710" s="115" t="s">
        <v>1109</v>
      </c>
      <c r="N710" s="115" t="s">
        <v>2129</v>
      </c>
      <c r="O710" s="115" t="s">
        <v>1109</v>
      </c>
      <c r="P710" s="113">
        <v>315</v>
      </c>
      <c r="Q710" s="113">
        <v>50</v>
      </c>
      <c r="R710" s="113">
        <v>75</v>
      </c>
      <c r="S710" s="113">
        <v>45</v>
      </c>
      <c r="T710" s="120">
        <v>40</v>
      </c>
      <c r="U710" s="113">
        <v>45</v>
      </c>
      <c r="V710" s="113">
        <v>60</v>
      </c>
      <c r="W710" s="129"/>
      <c r="X710" s="129"/>
      <c r="Y710" s="5"/>
      <c r="Z710" s="5"/>
      <c r="AA710" s="5"/>
      <c r="AB710" s="5"/>
      <c r="AC710" s="5"/>
      <c r="AD710" s="5"/>
      <c r="AE710" s="5"/>
    </row>
    <row r="711" spans="1:31" customFormat="1">
      <c r="A711" s="113">
        <v>589</v>
      </c>
      <c r="B711" s="113" t="s">
        <v>630</v>
      </c>
      <c r="C711" s="120" t="s">
        <v>5914</v>
      </c>
      <c r="D711" s="124">
        <v>0.5</v>
      </c>
      <c r="E711" s="124">
        <v>0.5</v>
      </c>
      <c r="F711" s="113" t="s">
        <v>29</v>
      </c>
      <c r="G711" s="113" t="s">
        <v>2121</v>
      </c>
      <c r="H711" s="113" t="s">
        <v>29</v>
      </c>
      <c r="I711" s="113" t="s">
        <v>106</v>
      </c>
      <c r="J711" s="118" t="s">
        <v>2129</v>
      </c>
      <c r="K711" s="118" t="s">
        <v>4658</v>
      </c>
      <c r="L711" s="118" t="s">
        <v>5913</v>
      </c>
      <c r="M711" s="115" t="s">
        <v>5913</v>
      </c>
      <c r="N711" s="115" t="s">
        <v>6399</v>
      </c>
      <c r="O711" s="115" t="s">
        <v>2128</v>
      </c>
      <c r="P711" s="113">
        <v>495</v>
      </c>
      <c r="Q711" s="113">
        <v>70</v>
      </c>
      <c r="R711" s="113">
        <v>135</v>
      </c>
      <c r="S711" s="113">
        <v>105</v>
      </c>
      <c r="T711" s="120">
        <v>60</v>
      </c>
      <c r="U711" s="113">
        <v>105</v>
      </c>
      <c r="V711" s="113">
        <v>20</v>
      </c>
      <c r="W711" s="129"/>
      <c r="X711" s="129"/>
      <c r="Y711" s="5"/>
      <c r="Z711" s="5"/>
      <c r="AA711" s="5"/>
      <c r="AB711" s="5"/>
      <c r="AC711" s="5"/>
      <c r="AD711" s="5"/>
      <c r="AE711" s="5"/>
    </row>
    <row r="712" spans="1:31" customFormat="1">
      <c r="A712" s="113">
        <v>590</v>
      </c>
      <c r="B712" s="113" t="s">
        <v>631</v>
      </c>
      <c r="C712" s="120" t="s">
        <v>5915</v>
      </c>
      <c r="D712" s="124">
        <v>0.5</v>
      </c>
      <c r="E712" s="124">
        <v>0.5</v>
      </c>
      <c r="F712" s="113" t="s">
        <v>14</v>
      </c>
      <c r="G712" s="113" t="s">
        <v>2121</v>
      </c>
      <c r="H712" s="113" t="s">
        <v>14</v>
      </c>
      <c r="I712" s="113" t="s">
        <v>15</v>
      </c>
      <c r="J712" s="118" t="s">
        <v>2129</v>
      </c>
      <c r="K712" s="118" t="s">
        <v>4658</v>
      </c>
      <c r="L712" s="118" t="s">
        <v>5915</v>
      </c>
      <c r="M712" s="115" t="s">
        <v>1109</v>
      </c>
      <c r="N712" s="115" t="s">
        <v>2129</v>
      </c>
      <c r="O712" s="115" t="s">
        <v>1109</v>
      </c>
      <c r="P712" s="113">
        <v>294</v>
      </c>
      <c r="Q712" s="113">
        <v>69</v>
      </c>
      <c r="R712" s="113">
        <v>55</v>
      </c>
      <c r="S712" s="113">
        <v>45</v>
      </c>
      <c r="T712" s="120">
        <v>55</v>
      </c>
      <c r="U712" s="113">
        <v>55</v>
      </c>
      <c r="V712" s="113">
        <v>15</v>
      </c>
      <c r="W712" s="129"/>
      <c r="X712" s="129"/>
      <c r="Y712" s="5"/>
      <c r="Z712" s="5"/>
      <c r="AA712" s="5"/>
      <c r="AB712" s="5"/>
      <c r="AC712" s="5"/>
      <c r="AD712" s="5"/>
      <c r="AE712" s="5"/>
    </row>
    <row r="713" spans="1:31" customFormat="1">
      <c r="A713" s="113">
        <v>591</v>
      </c>
      <c r="B713" s="113" t="s">
        <v>632</v>
      </c>
      <c r="C713" s="120" t="s">
        <v>5916</v>
      </c>
      <c r="D713" s="124">
        <v>0.5</v>
      </c>
      <c r="E713" s="124">
        <v>0.5</v>
      </c>
      <c r="F713" s="113" t="s">
        <v>14</v>
      </c>
      <c r="G713" s="113" t="s">
        <v>2121</v>
      </c>
      <c r="H713" s="113" t="s">
        <v>14</v>
      </c>
      <c r="I713" s="113" t="s">
        <v>15</v>
      </c>
      <c r="J713" s="118" t="s">
        <v>2129</v>
      </c>
      <c r="K713" s="118" t="s">
        <v>4658</v>
      </c>
      <c r="L713" s="118" t="s">
        <v>5915</v>
      </c>
      <c r="M713" s="115" t="s">
        <v>5915</v>
      </c>
      <c r="N713" s="115" t="s">
        <v>6399</v>
      </c>
      <c r="O713" s="115" t="s">
        <v>2128</v>
      </c>
      <c r="P713" s="113">
        <v>464</v>
      </c>
      <c r="Q713" s="113">
        <v>114</v>
      </c>
      <c r="R713" s="113">
        <v>85</v>
      </c>
      <c r="S713" s="113">
        <v>70</v>
      </c>
      <c r="T713" s="120">
        <v>85</v>
      </c>
      <c r="U713" s="113">
        <v>80</v>
      </c>
      <c r="V713" s="113">
        <v>30</v>
      </c>
      <c r="W713" s="129"/>
      <c r="X713" s="129"/>
      <c r="Y713" s="5"/>
      <c r="Z713" s="5"/>
      <c r="AA713" s="5"/>
      <c r="AB713" s="5"/>
      <c r="AC713" s="5"/>
      <c r="AD713" s="5"/>
      <c r="AE713" s="5"/>
    </row>
    <row r="714" spans="1:31" customFormat="1">
      <c r="A714" s="113">
        <v>592</v>
      </c>
      <c r="B714" s="113" t="s">
        <v>633</v>
      </c>
      <c r="C714" s="120" t="s">
        <v>5917</v>
      </c>
      <c r="D714" s="124">
        <v>0.5</v>
      </c>
      <c r="E714" s="124">
        <v>0.5</v>
      </c>
      <c r="F714" s="113" t="s">
        <v>2336</v>
      </c>
      <c r="G714" s="113" t="s">
        <v>2121</v>
      </c>
      <c r="H714" s="113" t="s">
        <v>25</v>
      </c>
      <c r="I714" s="113" t="s">
        <v>119</v>
      </c>
      <c r="J714" s="118" t="s">
        <v>2129</v>
      </c>
      <c r="K714" s="118" t="s">
        <v>4658</v>
      </c>
      <c r="L714" s="118" t="s">
        <v>5917</v>
      </c>
      <c r="M714" s="115" t="s">
        <v>1109</v>
      </c>
      <c r="N714" s="115" t="s">
        <v>2129</v>
      </c>
      <c r="O714" s="115" t="s">
        <v>1109</v>
      </c>
      <c r="P714" s="113">
        <v>335</v>
      </c>
      <c r="Q714" s="113">
        <v>55</v>
      </c>
      <c r="R714" s="113">
        <v>40</v>
      </c>
      <c r="S714" s="113">
        <v>50</v>
      </c>
      <c r="T714" s="120">
        <v>65</v>
      </c>
      <c r="U714" s="113">
        <v>85</v>
      </c>
      <c r="V714" s="113">
        <v>40</v>
      </c>
      <c r="W714" s="129"/>
      <c r="X714" s="129"/>
      <c r="Y714" s="5"/>
      <c r="Z714" s="5"/>
      <c r="AA714" s="5"/>
      <c r="AB714" s="5"/>
      <c r="AC714" s="5"/>
      <c r="AD714" s="5"/>
      <c r="AE714" s="5"/>
    </row>
    <row r="715" spans="1:31" customFormat="1">
      <c r="A715" s="113">
        <v>593</v>
      </c>
      <c r="B715" s="113" t="s">
        <v>634</v>
      </c>
      <c r="C715" s="120" t="s">
        <v>5918</v>
      </c>
      <c r="D715" s="124">
        <v>0.5</v>
      </c>
      <c r="E715" s="124">
        <v>0.5</v>
      </c>
      <c r="F715" s="113" t="s">
        <v>2336</v>
      </c>
      <c r="G715" s="113" t="s">
        <v>2121</v>
      </c>
      <c r="H715" s="113" t="s">
        <v>25</v>
      </c>
      <c r="I715" s="113" t="s">
        <v>119</v>
      </c>
      <c r="J715" s="118" t="s">
        <v>2129</v>
      </c>
      <c r="K715" s="118" t="s">
        <v>4658</v>
      </c>
      <c r="L715" s="118" t="s">
        <v>5917</v>
      </c>
      <c r="M715" s="115" t="s">
        <v>5917</v>
      </c>
      <c r="N715" s="115" t="s">
        <v>6399</v>
      </c>
      <c r="O715" s="115" t="s">
        <v>2128</v>
      </c>
      <c r="P715" s="113">
        <v>480</v>
      </c>
      <c r="Q715" s="113">
        <v>100</v>
      </c>
      <c r="R715" s="113">
        <v>60</v>
      </c>
      <c r="S715" s="113">
        <v>70</v>
      </c>
      <c r="T715" s="120">
        <v>85</v>
      </c>
      <c r="U715" s="113">
        <v>105</v>
      </c>
      <c r="V715" s="113">
        <v>60</v>
      </c>
      <c r="W715" s="129"/>
      <c r="X715" s="129"/>
      <c r="Y715" s="5"/>
      <c r="Z715" s="5"/>
      <c r="AA715" s="5"/>
      <c r="AB715" s="5"/>
      <c r="AC715" s="5"/>
      <c r="AD715" s="5"/>
      <c r="AE715" s="5"/>
    </row>
    <row r="716" spans="1:31" customFormat="1">
      <c r="A716" s="113">
        <v>594</v>
      </c>
      <c r="B716" s="113" t="s">
        <v>635</v>
      </c>
      <c r="C716" s="120" t="s">
        <v>5919</v>
      </c>
      <c r="D716" s="124">
        <v>0.5</v>
      </c>
      <c r="E716" s="124">
        <v>0.5</v>
      </c>
      <c r="F716" s="113" t="s">
        <v>2337</v>
      </c>
      <c r="G716" s="113" t="s">
        <v>2121</v>
      </c>
      <c r="H716" s="113" t="s">
        <v>25</v>
      </c>
      <c r="I716" s="113" t="s">
        <v>1109</v>
      </c>
      <c r="J716" s="118" t="s">
        <v>2129</v>
      </c>
      <c r="K716" s="118" t="s">
        <v>4657</v>
      </c>
      <c r="L716" s="118" t="s">
        <v>5919</v>
      </c>
      <c r="M716" s="115" t="s">
        <v>1109</v>
      </c>
      <c r="N716" s="115" t="s">
        <v>6399</v>
      </c>
      <c r="O716" s="115" t="s">
        <v>1109</v>
      </c>
      <c r="P716" s="113">
        <v>470</v>
      </c>
      <c r="Q716" s="113">
        <v>165</v>
      </c>
      <c r="R716" s="113">
        <v>75</v>
      </c>
      <c r="S716" s="113">
        <v>80</v>
      </c>
      <c r="T716" s="120">
        <v>40</v>
      </c>
      <c r="U716" s="113">
        <v>45</v>
      </c>
      <c r="V716" s="113">
        <v>65</v>
      </c>
      <c r="W716" s="129"/>
      <c r="X716" s="129"/>
      <c r="Y716" s="5"/>
      <c r="Z716" s="5"/>
      <c r="AA716" s="5"/>
      <c r="AB716" s="5"/>
      <c r="AC716" s="5"/>
      <c r="AD716" s="5"/>
      <c r="AE716" s="5"/>
    </row>
    <row r="717" spans="1:31" customFormat="1">
      <c r="A717" s="113">
        <v>595</v>
      </c>
      <c r="B717" s="113" t="s">
        <v>636</v>
      </c>
      <c r="C717" s="120" t="s">
        <v>5920</v>
      </c>
      <c r="D717" s="124">
        <v>0.5</v>
      </c>
      <c r="E717" s="124">
        <v>0.5</v>
      </c>
      <c r="F717" s="113" t="s">
        <v>29</v>
      </c>
      <c r="G717" s="113" t="s">
        <v>2121</v>
      </c>
      <c r="H717" s="113" t="s">
        <v>29</v>
      </c>
      <c r="I717" s="113" t="s">
        <v>46</v>
      </c>
      <c r="J717" s="118" t="s">
        <v>2129</v>
      </c>
      <c r="K717" s="118" t="s">
        <v>4658</v>
      </c>
      <c r="L717" s="118" t="s">
        <v>5920</v>
      </c>
      <c r="M717" s="115" t="s">
        <v>1109</v>
      </c>
      <c r="N717" s="115" t="s">
        <v>2129</v>
      </c>
      <c r="O717" s="115" t="s">
        <v>1109</v>
      </c>
      <c r="P717" s="113">
        <v>319</v>
      </c>
      <c r="Q717" s="113">
        <v>50</v>
      </c>
      <c r="R717" s="113">
        <v>47</v>
      </c>
      <c r="S717" s="113">
        <v>50</v>
      </c>
      <c r="T717" s="120">
        <v>57</v>
      </c>
      <c r="U717" s="113">
        <v>50</v>
      </c>
      <c r="V717" s="113">
        <v>65</v>
      </c>
      <c r="W717" s="129"/>
      <c r="X717" s="129"/>
      <c r="Y717" s="5"/>
      <c r="Z717" s="5"/>
      <c r="AA717" s="5"/>
      <c r="AB717" s="5"/>
      <c r="AC717" s="5"/>
      <c r="AD717" s="5"/>
      <c r="AE717" s="5"/>
    </row>
    <row r="718" spans="1:31" customFormat="1">
      <c r="A718" s="113">
        <v>596</v>
      </c>
      <c r="B718" s="113" t="s">
        <v>637</v>
      </c>
      <c r="C718" s="120" t="s">
        <v>5921</v>
      </c>
      <c r="D718" s="124">
        <v>0.5</v>
      </c>
      <c r="E718" s="124">
        <v>0.5</v>
      </c>
      <c r="F718" s="113" t="s">
        <v>29</v>
      </c>
      <c r="G718" s="113" t="s">
        <v>2121</v>
      </c>
      <c r="H718" s="113" t="s">
        <v>29</v>
      </c>
      <c r="I718" s="113" t="s">
        <v>46</v>
      </c>
      <c r="J718" s="118" t="s">
        <v>2129</v>
      </c>
      <c r="K718" s="118" t="s">
        <v>4658</v>
      </c>
      <c r="L718" s="118" t="s">
        <v>5920</v>
      </c>
      <c r="M718" s="115" t="s">
        <v>5920</v>
      </c>
      <c r="N718" s="115" t="s">
        <v>6399</v>
      </c>
      <c r="O718" s="115" t="s">
        <v>2128</v>
      </c>
      <c r="P718" s="113">
        <v>472</v>
      </c>
      <c r="Q718" s="113">
        <v>70</v>
      </c>
      <c r="R718" s="113">
        <v>77</v>
      </c>
      <c r="S718" s="113">
        <v>60</v>
      </c>
      <c r="T718" s="120">
        <v>97</v>
      </c>
      <c r="U718" s="113">
        <v>60</v>
      </c>
      <c r="V718" s="113">
        <v>108</v>
      </c>
      <c r="W718" s="129"/>
      <c r="X718" s="129"/>
      <c r="Y718" s="5"/>
      <c r="Z718" s="5"/>
      <c r="AA718" s="5"/>
      <c r="AB718" s="5"/>
      <c r="AC718" s="5"/>
      <c r="AD718" s="5"/>
      <c r="AE718" s="5"/>
    </row>
    <row r="719" spans="1:31" customFormat="1">
      <c r="A719" s="113">
        <v>597</v>
      </c>
      <c r="B719" s="113" t="s">
        <v>638</v>
      </c>
      <c r="C719" s="120" t="s">
        <v>5922</v>
      </c>
      <c r="D719" s="124">
        <v>0.5</v>
      </c>
      <c r="E719" s="124">
        <v>0.5</v>
      </c>
      <c r="F719" s="113" t="s">
        <v>2112</v>
      </c>
      <c r="G719" s="113" t="s">
        <v>2121</v>
      </c>
      <c r="H719" s="113" t="s">
        <v>14</v>
      </c>
      <c r="I719" s="113" t="s">
        <v>106</v>
      </c>
      <c r="J719" s="118" t="s">
        <v>2129</v>
      </c>
      <c r="K719" s="118" t="s">
        <v>4658</v>
      </c>
      <c r="L719" s="118" t="s">
        <v>5922</v>
      </c>
      <c r="M719" s="115" t="s">
        <v>1109</v>
      </c>
      <c r="N719" s="115" t="s">
        <v>2129</v>
      </c>
      <c r="O719" s="115" t="s">
        <v>1109</v>
      </c>
      <c r="P719" s="113">
        <v>305</v>
      </c>
      <c r="Q719" s="113">
        <v>44</v>
      </c>
      <c r="R719" s="113">
        <v>50</v>
      </c>
      <c r="S719" s="113">
        <v>91</v>
      </c>
      <c r="T719" s="120">
        <v>24</v>
      </c>
      <c r="U719" s="113">
        <v>86</v>
      </c>
      <c r="V719" s="113">
        <v>10</v>
      </c>
      <c r="W719" s="129"/>
      <c r="X719" s="129"/>
      <c r="Y719" s="5"/>
      <c r="Z719" s="5"/>
      <c r="AA719" s="5"/>
      <c r="AB719" s="5"/>
      <c r="AC719" s="5"/>
      <c r="AD719" s="5"/>
      <c r="AE719" s="5"/>
    </row>
    <row r="720" spans="1:31" customFormat="1">
      <c r="A720" s="113">
        <v>598</v>
      </c>
      <c r="B720" s="113" t="s">
        <v>639</v>
      </c>
      <c r="C720" s="120" t="s">
        <v>5923</v>
      </c>
      <c r="D720" s="124">
        <v>0.5</v>
      </c>
      <c r="E720" s="124">
        <v>0.5</v>
      </c>
      <c r="F720" s="113" t="s">
        <v>2112</v>
      </c>
      <c r="G720" s="113" t="s">
        <v>2121</v>
      </c>
      <c r="H720" s="113" t="s">
        <v>14</v>
      </c>
      <c r="I720" s="113" t="s">
        <v>106</v>
      </c>
      <c r="J720" s="118" t="s">
        <v>2129</v>
      </c>
      <c r="K720" s="118" t="s">
        <v>4658</v>
      </c>
      <c r="L720" s="118" t="s">
        <v>5922</v>
      </c>
      <c r="M720" s="115" t="s">
        <v>5922</v>
      </c>
      <c r="N720" s="115" t="s">
        <v>6399</v>
      </c>
      <c r="O720" s="115" t="s">
        <v>2128</v>
      </c>
      <c r="P720" s="113">
        <v>489</v>
      </c>
      <c r="Q720" s="113">
        <v>74</v>
      </c>
      <c r="R720" s="113">
        <v>94</v>
      </c>
      <c r="S720" s="113">
        <v>131</v>
      </c>
      <c r="T720" s="120">
        <v>54</v>
      </c>
      <c r="U720" s="113">
        <v>116</v>
      </c>
      <c r="V720" s="113">
        <v>20</v>
      </c>
      <c r="W720" s="129"/>
      <c r="X720" s="129"/>
      <c r="Y720" s="5"/>
      <c r="Z720" s="5"/>
      <c r="AA720" s="5"/>
      <c r="AB720" s="5"/>
      <c r="AC720" s="5"/>
      <c r="AD720" s="5"/>
      <c r="AE720" s="5"/>
    </row>
    <row r="721" spans="1:31" customFormat="1">
      <c r="A721" s="113">
        <v>599</v>
      </c>
      <c r="B721" s="113" t="s">
        <v>640</v>
      </c>
      <c r="C721" s="120" t="s">
        <v>5924</v>
      </c>
      <c r="D721" s="124" t="s">
        <v>1109</v>
      </c>
      <c r="E721" s="124" t="s">
        <v>1109</v>
      </c>
      <c r="F721" s="113" t="s">
        <v>2112</v>
      </c>
      <c r="G721" s="113" t="s">
        <v>2121</v>
      </c>
      <c r="H721" s="113" t="s">
        <v>106</v>
      </c>
      <c r="I721" s="113" t="s">
        <v>1109</v>
      </c>
      <c r="J721" s="118" t="s">
        <v>2129</v>
      </c>
      <c r="K721" s="118" t="s">
        <v>4658</v>
      </c>
      <c r="L721" s="118" t="s">
        <v>5924</v>
      </c>
      <c r="M721" s="115" t="s">
        <v>1109</v>
      </c>
      <c r="N721" s="115" t="s">
        <v>2129</v>
      </c>
      <c r="O721" s="115" t="s">
        <v>1109</v>
      </c>
      <c r="P721" s="113">
        <v>300</v>
      </c>
      <c r="Q721" s="113">
        <v>40</v>
      </c>
      <c r="R721" s="113">
        <v>55</v>
      </c>
      <c r="S721" s="113">
        <v>70</v>
      </c>
      <c r="T721" s="120">
        <v>45</v>
      </c>
      <c r="U721" s="113">
        <v>60</v>
      </c>
      <c r="V721" s="113">
        <v>30</v>
      </c>
      <c r="W721" s="129"/>
      <c r="X721" s="129"/>
      <c r="Y721" s="5"/>
      <c r="Z721" s="5"/>
      <c r="AA721" s="5"/>
      <c r="AB721" s="5"/>
      <c r="AC721" s="5"/>
      <c r="AD721" s="5"/>
      <c r="AE721" s="5"/>
    </row>
    <row r="722" spans="1:31" customFormat="1">
      <c r="A722" s="113">
        <v>600</v>
      </c>
      <c r="B722" s="113" t="s">
        <v>641</v>
      </c>
      <c r="C722" s="120" t="s">
        <v>5925</v>
      </c>
      <c r="D722" s="124" t="s">
        <v>1109</v>
      </c>
      <c r="E722" s="124" t="s">
        <v>1109</v>
      </c>
      <c r="F722" s="113" t="s">
        <v>2112</v>
      </c>
      <c r="G722" s="113" t="s">
        <v>2121</v>
      </c>
      <c r="H722" s="113" t="s">
        <v>106</v>
      </c>
      <c r="I722" s="113" t="s">
        <v>1109</v>
      </c>
      <c r="J722" s="118" t="s">
        <v>2129</v>
      </c>
      <c r="K722" s="118" t="s">
        <v>4658</v>
      </c>
      <c r="L722" s="118" t="s">
        <v>5924</v>
      </c>
      <c r="M722" s="115" t="s">
        <v>5924</v>
      </c>
      <c r="N722" s="115" t="s">
        <v>6398</v>
      </c>
      <c r="O722" s="115" t="s">
        <v>2128</v>
      </c>
      <c r="P722" s="113">
        <v>440</v>
      </c>
      <c r="Q722" s="113">
        <v>60</v>
      </c>
      <c r="R722" s="113">
        <v>80</v>
      </c>
      <c r="S722" s="113">
        <v>95</v>
      </c>
      <c r="T722" s="120">
        <v>70</v>
      </c>
      <c r="U722" s="113">
        <v>85</v>
      </c>
      <c r="V722" s="113">
        <v>50</v>
      </c>
      <c r="W722" s="129"/>
      <c r="X722" s="129"/>
      <c r="Y722" s="5"/>
      <c r="Z722" s="5"/>
      <c r="AA722" s="5"/>
      <c r="AB722" s="5"/>
      <c r="AC722" s="5"/>
      <c r="AD722" s="5"/>
      <c r="AE722" s="5"/>
    </row>
    <row r="723" spans="1:31" customFormat="1">
      <c r="A723" s="113">
        <v>601</v>
      </c>
      <c r="B723" s="113" t="s">
        <v>642</v>
      </c>
      <c r="C723" s="120" t="s">
        <v>5926</v>
      </c>
      <c r="D723" s="124" t="s">
        <v>1109</v>
      </c>
      <c r="E723" s="124" t="s">
        <v>1109</v>
      </c>
      <c r="F723" s="113" t="s">
        <v>2112</v>
      </c>
      <c r="G723" s="113" t="s">
        <v>2121</v>
      </c>
      <c r="H723" s="113" t="s">
        <v>106</v>
      </c>
      <c r="I723" s="113" t="s">
        <v>1109</v>
      </c>
      <c r="J723" s="118" t="s">
        <v>2129</v>
      </c>
      <c r="K723" s="118" t="s">
        <v>4658</v>
      </c>
      <c r="L723" s="118" t="s">
        <v>5924</v>
      </c>
      <c r="M723" s="115" t="s">
        <v>5925</v>
      </c>
      <c r="N723" s="115" t="s">
        <v>6399</v>
      </c>
      <c r="O723" s="115" t="s">
        <v>2128</v>
      </c>
      <c r="P723" s="113">
        <v>520</v>
      </c>
      <c r="Q723" s="113">
        <v>60</v>
      </c>
      <c r="R723" s="113">
        <v>100</v>
      </c>
      <c r="S723" s="113">
        <v>115</v>
      </c>
      <c r="T723" s="120">
        <v>70</v>
      </c>
      <c r="U723" s="113">
        <v>85</v>
      </c>
      <c r="V723" s="113">
        <v>90</v>
      </c>
      <c r="W723" s="129"/>
      <c r="X723" s="129"/>
      <c r="Y723" s="5"/>
      <c r="Z723" s="5"/>
      <c r="AA723" s="5"/>
      <c r="AB723" s="5"/>
      <c r="AC723" s="5"/>
      <c r="AD723" s="5"/>
      <c r="AE723" s="5"/>
    </row>
    <row r="724" spans="1:31" customFormat="1">
      <c r="A724" s="113">
        <v>602</v>
      </c>
      <c r="B724" s="113" t="s">
        <v>643</v>
      </c>
      <c r="C724" s="120" t="s">
        <v>5927</v>
      </c>
      <c r="D724" s="124">
        <v>0.5</v>
      </c>
      <c r="E724" s="124">
        <v>0.5</v>
      </c>
      <c r="F724" s="113" t="s">
        <v>2336</v>
      </c>
      <c r="G724" s="113" t="s">
        <v>2121</v>
      </c>
      <c r="H724" s="113" t="s">
        <v>46</v>
      </c>
      <c r="I724" s="113" t="s">
        <v>1109</v>
      </c>
      <c r="J724" s="118" t="s">
        <v>2129</v>
      </c>
      <c r="K724" s="118" t="s">
        <v>4657</v>
      </c>
      <c r="L724" s="118" t="s">
        <v>5927</v>
      </c>
      <c r="M724" s="115" t="s">
        <v>1109</v>
      </c>
      <c r="N724" s="115" t="s">
        <v>2129</v>
      </c>
      <c r="O724" s="115" t="s">
        <v>1109</v>
      </c>
      <c r="P724" s="113">
        <v>275</v>
      </c>
      <c r="Q724" s="113">
        <v>35</v>
      </c>
      <c r="R724" s="113">
        <v>55</v>
      </c>
      <c r="S724" s="113">
        <v>40</v>
      </c>
      <c r="T724" s="120">
        <v>45</v>
      </c>
      <c r="U724" s="113">
        <v>40</v>
      </c>
      <c r="V724" s="113">
        <v>60</v>
      </c>
      <c r="W724" s="129"/>
      <c r="X724" s="129"/>
      <c r="Y724" s="5"/>
      <c r="Z724" s="5"/>
      <c r="AA724" s="5"/>
      <c r="AB724" s="5"/>
      <c r="AC724" s="5"/>
      <c r="AD724" s="5"/>
      <c r="AE724" s="5"/>
    </row>
    <row r="725" spans="1:31" customFormat="1">
      <c r="A725" s="113">
        <v>603</v>
      </c>
      <c r="B725" s="113" t="s">
        <v>644</v>
      </c>
      <c r="C725" s="120" t="s">
        <v>5928</v>
      </c>
      <c r="D725" s="124">
        <v>0.5</v>
      </c>
      <c r="E725" s="124">
        <v>0.5</v>
      </c>
      <c r="F725" s="113" t="s">
        <v>2336</v>
      </c>
      <c r="G725" s="113" t="s">
        <v>2121</v>
      </c>
      <c r="H725" s="113" t="s">
        <v>46</v>
      </c>
      <c r="I725" s="113" t="s">
        <v>1109</v>
      </c>
      <c r="J725" s="118" t="s">
        <v>2129</v>
      </c>
      <c r="K725" s="118" t="s">
        <v>4657</v>
      </c>
      <c r="L725" s="118" t="s">
        <v>5927</v>
      </c>
      <c r="M725" s="115" t="s">
        <v>5927</v>
      </c>
      <c r="N725" s="115" t="s">
        <v>6398</v>
      </c>
      <c r="O725" s="115" t="s">
        <v>2128</v>
      </c>
      <c r="P725" s="113">
        <v>405</v>
      </c>
      <c r="Q725" s="113">
        <v>65</v>
      </c>
      <c r="R725" s="113">
        <v>85</v>
      </c>
      <c r="S725" s="113">
        <v>70</v>
      </c>
      <c r="T725" s="120">
        <v>75</v>
      </c>
      <c r="U725" s="113">
        <v>70</v>
      </c>
      <c r="V725" s="113">
        <v>40</v>
      </c>
      <c r="W725" s="129"/>
      <c r="X725" s="129"/>
      <c r="Y725" s="5"/>
      <c r="Z725" s="5"/>
      <c r="AA725" s="5"/>
      <c r="AB725" s="5"/>
      <c r="AC725" s="5"/>
      <c r="AD725" s="5"/>
      <c r="AE725" s="5"/>
    </row>
    <row r="726" spans="1:31" customFormat="1">
      <c r="A726" s="113">
        <v>604</v>
      </c>
      <c r="B726" s="113" t="s">
        <v>645</v>
      </c>
      <c r="C726" s="120" t="s">
        <v>5929</v>
      </c>
      <c r="D726" s="124">
        <v>0.5</v>
      </c>
      <c r="E726" s="124">
        <v>0.5</v>
      </c>
      <c r="F726" s="113" t="s">
        <v>2336</v>
      </c>
      <c r="G726" s="113" t="s">
        <v>2121</v>
      </c>
      <c r="H726" s="113" t="s">
        <v>46</v>
      </c>
      <c r="I726" s="113" t="s">
        <v>1109</v>
      </c>
      <c r="J726" s="118" t="s">
        <v>2129</v>
      </c>
      <c r="K726" s="118" t="s">
        <v>4657</v>
      </c>
      <c r="L726" s="118" t="s">
        <v>5927</v>
      </c>
      <c r="M726" s="115" t="s">
        <v>5928</v>
      </c>
      <c r="N726" s="115" t="s">
        <v>6399</v>
      </c>
      <c r="O726" s="115" t="s">
        <v>1803</v>
      </c>
      <c r="P726" s="113">
        <v>515</v>
      </c>
      <c r="Q726" s="113">
        <v>85</v>
      </c>
      <c r="R726" s="113">
        <v>115</v>
      </c>
      <c r="S726" s="113">
        <v>80</v>
      </c>
      <c r="T726" s="120">
        <v>105</v>
      </c>
      <c r="U726" s="113">
        <v>80</v>
      </c>
      <c r="V726" s="113">
        <v>50</v>
      </c>
      <c r="W726" s="129"/>
      <c r="X726" s="129"/>
      <c r="Y726" s="5"/>
      <c r="Z726" s="5"/>
      <c r="AA726" s="5"/>
      <c r="AB726" s="5"/>
      <c r="AC726" s="5"/>
      <c r="AD726" s="5"/>
      <c r="AE726" s="5"/>
    </row>
    <row r="727" spans="1:31" customFormat="1">
      <c r="A727" s="113">
        <v>605</v>
      </c>
      <c r="B727" s="113" t="s">
        <v>646</v>
      </c>
      <c r="C727" s="120" t="s">
        <v>5930</v>
      </c>
      <c r="D727" s="124">
        <v>0.5</v>
      </c>
      <c r="E727" s="124">
        <v>0.5</v>
      </c>
      <c r="F727" s="113" t="s">
        <v>2334</v>
      </c>
      <c r="G727" s="113" t="s">
        <v>2121</v>
      </c>
      <c r="H727" s="113" t="s">
        <v>86</v>
      </c>
      <c r="I727" s="113" t="s">
        <v>1109</v>
      </c>
      <c r="J727" s="118" t="s">
        <v>2129</v>
      </c>
      <c r="K727" s="118" t="s">
        <v>4658</v>
      </c>
      <c r="L727" s="118" t="s">
        <v>5930</v>
      </c>
      <c r="M727" s="115" t="s">
        <v>1109</v>
      </c>
      <c r="N727" s="115" t="s">
        <v>2129</v>
      </c>
      <c r="O727" s="115" t="s">
        <v>1109</v>
      </c>
      <c r="P727" s="113">
        <v>335</v>
      </c>
      <c r="Q727" s="113">
        <v>55</v>
      </c>
      <c r="R727" s="113">
        <v>55</v>
      </c>
      <c r="S727" s="113">
        <v>55</v>
      </c>
      <c r="T727" s="120">
        <v>85</v>
      </c>
      <c r="U727" s="113">
        <v>55</v>
      </c>
      <c r="V727" s="113">
        <v>30</v>
      </c>
      <c r="W727" s="129"/>
      <c r="X727" s="129"/>
      <c r="Y727" s="5"/>
      <c r="Z727" s="5"/>
      <c r="AA727" s="5"/>
      <c r="AB727" s="5"/>
      <c r="AC727" s="5"/>
      <c r="AD727" s="5"/>
      <c r="AE727" s="5"/>
    </row>
    <row r="728" spans="1:31" customFormat="1">
      <c r="A728" s="113">
        <v>606</v>
      </c>
      <c r="B728" s="113" t="s">
        <v>647</v>
      </c>
      <c r="C728" s="120" t="s">
        <v>5931</v>
      </c>
      <c r="D728" s="124">
        <v>0.5</v>
      </c>
      <c r="E728" s="124">
        <v>0.5</v>
      </c>
      <c r="F728" s="113" t="s">
        <v>2334</v>
      </c>
      <c r="G728" s="113" t="s">
        <v>2121</v>
      </c>
      <c r="H728" s="113" t="s">
        <v>86</v>
      </c>
      <c r="I728" s="113" t="s">
        <v>1109</v>
      </c>
      <c r="J728" s="118" t="s">
        <v>2129</v>
      </c>
      <c r="K728" s="118" t="s">
        <v>4658</v>
      </c>
      <c r="L728" s="118" t="s">
        <v>5930</v>
      </c>
      <c r="M728" s="115" t="s">
        <v>5930</v>
      </c>
      <c r="N728" s="115" t="s">
        <v>6399</v>
      </c>
      <c r="O728" s="115" t="s">
        <v>2128</v>
      </c>
      <c r="P728" s="113">
        <v>485</v>
      </c>
      <c r="Q728" s="113">
        <v>75</v>
      </c>
      <c r="R728" s="113">
        <v>75</v>
      </c>
      <c r="S728" s="113">
        <v>75</v>
      </c>
      <c r="T728" s="120">
        <v>125</v>
      </c>
      <c r="U728" s="113">
        <v>95</v>
      </c>
      <c r="V728" s="113">
        <v>40</v>
      </c>
      <c r="W728" s="129"/>
      <c r="X728" s="129"/>
      <c r="Y728" s="5"/>
      <c r="Z728" s="5"/>
      <c r="AA728" s="5"/>
      <c r="AB728" s="5"/>
      <c r="AC728" s="5"/>
      <c r="AD728" s="5"/>
      <c r="AE728" s="5"/>
    </row>
    <row r="729" spans="1:31" customFormat="1">
      <c r="A729" s="113">
        <v>607</v>
      </c>
      <c r="B729" s="113" t="s">
        <v>648</v>
      </c>
      <c r="C729" s="120" t="s">
        <v>5932</v>
      </c>
      <c r="D729" s="124">
        <v>0.5</v>
      </c>
      <c r="E729" s="124">
        <v>0.5</v>
      </c>
      <c r="F729" s="113" t="s">
        <v>2336</v>
      </c>
      <c r="G729" s="113" t="s">
        <v>2121</v>
      </c>
      <c r="H729" s="113" t="s">
        <v>119</v>
      </c>
      <c r="I729" s="113" t="s">
        <v>19</v>
      </c>
      <c r="J729" s="118" t="s">
        <v>2129</v>
      </c>
      <c r="K729" s="118" t="s">
        <v>4658</v>
      </c>
      <c r="L729" s="118" t="s">
        <v>5932</v>
      </c>
      <c r="M729" s="115" t="s">
        <v>1109</v>
      </c>
      <c r="N729" s="115" t="s">
        <v>2129</v>
      </c>
      <c r="O729" s="115" t="s">
        <v>1109</v>
      </c>
      <c r="P729" s="113">
        <v>275</v>
      </c>
      <c r="Q729" s="113">
        <v>50</v>
      </c>
      <c r="R729" s="113">
        <v>30</v>
      </c>
      <c r="S729" s="113">
        <v>55</v>
      </c>
      <c r="T729" s="120">
        <v>65</v>
      </c>
      <c r="U729" s="113">
        <v>55</v>
      </c>
      <c r="V729" s="113">
        <v>20</v>
      </c>
      <c r="W729" s="129"/>
      <c r="X729" s="129"/>
      <c r="Y729" s="5"/>
      <c r="Z729" s="5"/>
      <c r="AA729" s="5"/>
      <c r="AB729" s="5"/>
      <c r="AC729" s="5"/>
      <c r="AD729" s="5"/>
      <c r="AE729" s="5"/>
    </row>
    <row r="730" spans="1:31" customFormat="1">
      <c r="A730" s="113">
        <v>608</v>
      </c>
      <c r="B730" s="113" t="s">
        <v>649</v>
      </c>
      <c r="C730" s="120" t="s">
        <v>5933</v>
      </c>
      <c r="D730" s="124">
        <v>0.5</v>
      </c>
      <c r="E730" s="124">
        <v>0.5</v>
      </c>
      <c r="F730" s="113" t="s">
        <v>2336</v>
      </c>
      <c r="G730" s="113" t="s">
        <v>2121</v>
      </c>
      <c r="H730" s="113" t="s">
        <v>119</v>
      </c>
      <c r="I730" s="113" t="s">
        <v>19</v>
      </c>
      <c r="J730" s="118" t="s">
        <v>2129</v>
      </c>
      <c r="K730" s="118" t="s">
        <v>4658</v>
      </c>
      <c r="L730" s="118" t="s">
        <v>5932</v>
      </c>
      <c r="M730" s="115" t="s">
        <v>5932</v>
      </c>
      <c r="N730" s="115" t="s">
        <v>6398</v>
      </c>
      <c r="O730" s="115" t="s">
        <v>2128</v>
      </c>
      <c r="P730" s="113">
        <v>370</v>
      </c>
      <c r="Q730" s="113">
        <v>60</v>
      </c>
      <c r="R730" s="113">
        <v>40</v>
      </c>
      <c r="S730" s="113">
        <v>60</v>
      </c>
      <c r="T730" s="120">
        <v>95</v>
      </c>
      <c r="U730" s="113">
        <v>60</v>
      </c>
      <c r="V730" s="113">
        <v>55</v>
      </c>
      <c r="W730" s="129"/>
      <c r="X730" s="129"/>
      <c r="Y730" s="5"/>
      <c r="Z730" s="5"/>
      <c r="AA730" s="5"/>
      <c r="AB730" s="5"/>
      <c r="AC730" s="5"/>
      <c r="AD730" s="5"/>
      <c r="AE730" s="5"/>
    </row>
    <row r="731" spans="1:31" customFormat="1">
      <c r="A731" s="113">
        <v>609</v>
      </c>
      <c r="B731" s="113" t="s">
        <v>650</v>
      </c>
      <c r="C731" s="120" t="s">
        <v>5934</v>
      </c>
      <c r="D731" s="124">
        <v>0.5</v>
      </c>
      <c r="E731" s="124">
        <v>0.5</v>
      </c>
      <c r="F731" s="113" t="s">
        <v>2336</v>
      </c>
      <c r="G731" s="113" t="s">
        <v>2121</v>
      </c>
      <c r="H731" s="113" t="s">
        <v>119</v>
      </c>
      <c r="I731" s="113" t="s">
        <v>19</v>
      </c>
      <c r="J731" s="118" t="s">
        <v>2129</v>
      </c>
      <c r="K731" s="118" t="s">
        <v>4658</v>
      </c>
      <c r="L731" s="118" t="s">
        <v>5932</v>
      </c>
      <c r="M731" s="115" t="s">
        <v>5933</v>
      </c>
      <c r="N731" s="115" t="s">
        <v>6399</v>
      </c>
      <c r="O731" s="115" t="s">
        <v>1803</v>
      </c>
      <c r="P731" s="113">
        <v>520</v>
      </c>
      <c r="Q731" s="113">
        <v>60</v>
      </c>
      <c r="R731" s="113">
        <v>55</v>
      </c>
      <c r="S731" s="113">
        <v>90</v>
      </c>
      <c r="T731" s="120">
        <v>145</v>
      </c>
      <c r="U731" s="113">
        <v>90</v>
      </c>
      <c r="V731" s="113">
        <v>80</v>
      </c>
      <c r="W731" s="129"/>
      <c r="X731" s="129"/>
      <c r="Y731" s="5"/>
      <c r="Z731" s="5"/>
      <c r="AA731" s="5"/>
      <c r="AB731" s="5"/>
      <c r="AC731" s="5"/>
      <c r="AD731" s="5"/>
      <c r="AE731" s="5"/>
    </row>
    <row r="732" spans="1:31" customFormat="1">
      <c r="A732" s="113">
        <v>610</v>
      </c>
      <c r="B732" s="113" t="s">
        <v>651</v>
      </c>
      <c r="C732" s="120" t="s">
        <v>5935</v>
      </c>
      <c r="D732" s="124">
        <v>0.5</v>
      </c>
      <c r="E732" s="124">
        <v>0.5</v>
      </c>
      <c r="F732" s="113" t="s">
        <v>23</v>
      </c>
      <c r="G732" s="113" t="s">
        <v>2121</v>
      </c>
      <c r="H732" s="113" t="s">
        <v>23</v>
      </c>
      <c r="I732" s="113" t="s">
        <v>1109</v>
      </c>
      <c r="J732" s="118" t="s">
        <v>2129</v>
      </c>
      <c r="K732" s="118" t="s">
        <v>4657</v>
      </c>
      <c r="L732" s="118" t="s">
        <v>5935</v>
      </c>
      <c r="M732" s="115" t="s">
        <v>1109</v>
      </c>
      <c r="N732" s="115" t="s">
        <v>2129</v>
      </c>
      <c r="O732" s="115" t="s">
        <v>1109</v>
      </c>
      <c r="P732" s="113">
        <v>320</v>
      </c>
      <c r="Q732" s="113">
        <v>46</v>
      </c>
      <c r="R732" s="113">
        <v>87</v>
      </c>
      <c r="S732" s="113">
        <v>60</v>
      </c>
      <c r="T732" s="120">
        <v>30</v>
      </c>
      <c r="U732" s="113">
        <v>40</v>
      </c>
      <c r="V732" s="113">
        <v>57</v>
      </c>
      <c r="W732" s="129"/>
      <c r="X732" s="129"/>
      <c r="Y732" s="5"/>
      <c r="Z732" s="5"/>
      <c r="AA732" s="5"/>
      <c r="AB732" s="5"/>
      <c r="AC732" s="5"/>
      <c r="AD732" s="5"/>
      <c r="AE732" s="5"/>
    </row>
    <row r="733" spans="1:31" customFormat="1">
      <c r="A733" s="113">
        <v>611</v>
      </c>
      <c r="B733" s="113" t="s">
        <v>652</v>
      </c>
      <c r="C733" s="120" t="s">
        <v>5936</v>
      </c>
      <c r="D733" s="124">
        <v>0.5</v>
      </c>
      <c r="E733" s="124">
        <v>0.5</v>
      </c>
      <c r="F733" s="113" t="s">
        <v>23</v>
      </c>
      <c r="G733" s="113" t="s">
        <v>2121</v>
      </c>
      <c r="H733" s="113" t="s">
        <v>23</v>
      </c>
      <c r="I733" s="113" t="s">
        <v>1109</v>
      </c>
      <c r="J733" s="118" t="s">
        <v>2129</v>
      </c>
      <c r="K733" s="118" t="s">
        <v>4657</v>
      </c>
      <c r="L733" s="118" t="s">
        <v>5935</v>
      </c>
      <c r="M733" s="115" t="s">
        <v>5935</v>
      </c>
      <c r="N733" s="115" t="s">
        <v>6398</v>
      </c>
      <c r="O733" s="115" t="s">
        <v>2128</v>
      </c>
      <c r="P733" s="113">
        <v>410</v>
      </c>
      <c r="Q733" s="113">
        <v>66</v>
      </c>
      <c r="R733" s="113">
        <v>117</v>
      </c>
      <c r="S733" s="113">
        <v>70</v>
      </c>
      <c r="T733" s="120">
        <v>40</v>
      </c>
      <c r="U733" s="113">
        <v>50</v>
      </c>
      <c r="V733" s="113">
        <v>67</v>
      </c>
      <c r="W733" s="129"/>
      <c r="X733" s="129"/>
      <c r="Y733" s="5"/>
      <c r="Z733" s="5"/>
      <c r="AA733" s="5"/>
      <c r="AB733" s="5"/>
      <c r="AC733" s="5"/>
      <c r="AD733" s="5"/>
      <c r="AE733" s="5"/>
    </row>
    <row r="734" spans="1:31" customFormat="1">
      <c r="A734" s="113">
        <v>612</v>
      </c>
      <c r="B734" s="113" t="s">
        <v>653</v>
      </c>
      <c r="C734" s="120" t="s">
        <v>5937</v>
      </c>
      <c r="D734" s="124">
        <v>0.5</v>
      </c>
      <c r="E734" s="124">
        <v>0.5</v>
      </c>
      <c r="F734" s="113" t="s">
        <v>23</v>
      </c>
      <c r="G734" s="113" t="s">
        <v>2121</v>
      </c>
      <c r="H734" s="113" t="s">
        <v>23</v>
      </c>
      <c r="I734" s="113" t="s">
        <v>1109</v>
      </c>
      <c r="J734" s="118" t="s">
        <v>2129</v>
      </c>
      <c r="K734" s="118" t="s">
        <v>4657</v>
      </c>
      <c r="L734" s="118" t="s">
        <v>5935</v>
      </c>
      <c r="M734" s="115" t="s">
        <v>5936</v>
      </c>
      <c r="N734" s="115" t="s">
        <v>6399</v>
      </c>
      <c r="O734" s="115" t="s">
        <v>2128</v>
      </c>
      <c r="P734" s="113">
        <v>540</v>
      </c>
      <c r="Q734" s="113">
        <v>76</v>
      </c>
      <c r="R734" s="113">
        <v>147</v>
      </c>
      <c r="S734" s="113">
        <v>90</v>
      </c>
      <c r="T734" s="120">
        <v>60</v>
      </c>
      <c r="U734" s="113">
        <v>70</v>
      </c>
      <c r="V734" s="113">
        <v>97</v>
      </c>
      <c r="W734" s="129"/>
      <c r="X734" s="129"/>
      <c r="Y734" s="5"/>
      <c r="Z734" s="5"/>
      <c r="AA734" s="5"/>
      <c r="AB734" s="5"/>
      <c r="AC734" s="5"/>
      <c r="AD734" s="5"/>
      <c r="AE734" s="5"/>
    </row>
    <row r="735" spans="1:31" customFormat="1">
      <c r="A735" s="113">
        <v>613</v>
      </c>
      <c r="B735" s="113" t="s">
        <v>654</v>
      </c>
      <c r="C735" s="120" t="s">
        <v>5938</v>
      </c>
      <c r="D735" s="124">
        <v>0.5</v>
      </c>
      <c r="E735" s="124">
        <v>0.5</v>
      </c>
      <c r="F735" s="113" t="s">
        <v>2332</v>
      </c>
      <c r="G735" s="113" t="s">
        <v>2121</v>
      </c>
      <c r="H735" s="113" t="s">
        <v>113</v>
      </c>
      <c r="I735" s="113" t="s">
        <v>1109</v>
      </c>
      <c r="J735" s="118" t="s">
        <v>2129</v>
      </c>
      <c r="K735" s="118" t="s">
        <v>4658</v>
      </c>
      <c r="L735" s="118" t="s">
        <v>5938</v>
      </c>
      <c r="M735" s="115" t="s">
        <v>1109</v>
      </c>
      <c r="N735" s="115" t="s">
        <v>2129</v>
      </c>
      <c r="O735" s="115" t="s">
        <v>1109</v>
      </c>
      <c r="P735" s="113">
        <v>305</v>
      </c>
      <c r="Q735" s="113">
        <v>55</v>
      </c>
      <c r="R735" s="113">
        <v>70</v>
      </c>
      <c r="S735" s="113">
        <v>40</v>
      </c>
      <c r="T735" s="120">
        <v>60</v>
      </c>
      <c r="U735" s="113">
        <v>40</v>
      </c>
      <c r="V735" s="113">
        <v>40</v>
      </c>
      <c r="W735" s="129"/>
      <c r="X735" s="129"/>
      <c r="Y735" s="5"/>
      <c r="Z735" s="5"/>
      <c r="AA735" s="5"/>
      <c r="AB735" s="5"/>
      <c r="AC735" s="5"/>
      <c r="AD735" s="5"/>
      <c r="AE735" s="5"/>
    </row>
    <row r="736" spans="1:31" customFormat="1">
      <c r="A736" s="113">
        <v>614</v>
      </c>
      <c r="B736" s="113" t="s">
        <v>655</v>
      </c>
      <c r="C736" s="120" t="s">
        <v>5939</v>
      </c>
      <c r="D736" s="124">
        <v>0.5</v>
      </c>
      <c r="E736" s="124">
        <v>0.5</v>
      </c>
      <c r="F736" s="113" t="s">
        <v>2332</v>
      </c>
      <c r="G736" s="113" t="s">
        <v>2121</v>
      </c>
      <c r="H736" s="113" t="s">
        <v>113</v>
      </c>
      <c r="I736" s="113" t="s">
        <v>1109</v>
      </c>
      <c r="J736" s="118" t="s">
        <v>2129</v>
      </c>
      <c r="K736" s="118" t="s">
        <v>4658</v>
      </c>
      <c r="L736" s="118" t="s">
        <v>5938</v>
      </c>
      <c r="M736" s="115" t="s">
        <v>5938</v>
      </c>
      <c r="N736" s="115" t="s">
        <v>6399</v>
      </c>
      <c r="O736" s="115" t="s">
        <v>2128</v>
      </c>
      <c r="P736" s="113">
        <v>505</v>
      </c>
      <c r="Q736" s="113">
        <v>95</v>
      </c>
      <c r="R736" s="113">
        <v>130</v>
      </c>
      <c r="S736" s="113">
        <v>80</v>
      </c>
      <c r="T736" s="120">
        <v>70</v>
      </c>
      <c r="U736" s="113">
        <v>80</v>
      </c>
      <c r="V736" s="113">
        <v>50</v>
      </c>
      <c r="W736" s="129"/>
      <c r="X736" s="129"/>
      <c r="Y736" s="5"/>
      <c r="Z736" s="5"/>
      <c r="AA736" s="5"/>
      <c r="AB736" s="5"/>
      <c r="AC736" s="5"/>
      <c r="AD736" s="5"/>
      <c r="AE736" s="5"/>
    </row>
    <row r="737" spans="1:34" customFormat="1">
      <c r="A737" s="113">
        <v>615</v>
      </c>
      <c r="B737" s="113" t="s">
        <v>656</v>
      </c>
      <c r="C737" s="120" t="s">
        <v>5940</v>
      </c>
      <c r="D737" s="124" t="s">
        <v>1109</v>
      </c>
      <c r="E737" s="124" t="s">
        <v>1109</v>
      </c>
      <c r="F737" s="113" t="s">
        <v>2112</v>
      </c>
      <c r="G737" s="113" t="s">
        <v>2121</v>
      </c>
      <c r="H737" s="113" t="s">
        <v>113</v>
      </c>
      <c r="I737" s="113" t="s">
        <v>1109</v>
      </c>
      <c r="J737" s="118" t="s">
        <v>2129</v>
      </c>
      <c r="K737" s="118" t="s">
        <v>4657</v>
      </c>
      <c r="L737" s="118" t="s">
        <v>5940</v>
      </c>
      <c r="M737" s="115" t="s">
        <v>1109</v>
      </c>
      <c r="N737" s="115" t="s">
        <v>6399</v>
      </c>
      <c r="O737" s="115" t="s">
        <v>1109</v>
      </c>
      <c r="P737" s="113">
        <v>515</v>
      </c>
      <c r="Q737" s="113">
        <v>80</v>
      </c>
      <c r="R737" s="113">
        <v>50</v>
      </c>
      <c r="S737" s="113">
        <v>50</v>
      </c>
      <c r="T737" s="120">
        <v>95</v>
      </c>
      <c r="U737" s="113">
        <v>135</v>
      </c>
      <c r="V737" s="113">
        <v>105</v>
      </c>
      <c r="W737" s="129"/>
      <c r="X737" s="129"/>
      <c r="Y737" s="5"/>
      <c r="Z737" s="5"/>
      <c r="AA737" s="5"/>
      <c r="AB737" s="5"/>
      <c r="AC737" s="5"/>
      <c r="AD737" s="5"/>
      <c r="AE737" s="5"/>
    </row>
    <row r="738" spans="1:34" customFormat="1">
      <c r="A738" s="113">
        <v>616</v>
      </c>
      <c r="B738" s="113" t="s">
        <v>657</v>
      </c>
      <c r="C738" s="120" t="s">
        <v>5941</v>
      </c>
      <c r="D738" s="124">
        <v>0.5</v>
      </c>
      <c r="E738" s="124">
        <v>0.5</v>
      </c>
      <c r="F738" s="113" t="s">
        <v>29</v>
      </c>
      <c r="G738" s="113" t="s">
        <v>2121</v>
      </c>
      <c r="H738" s="113" t="s">
        <v>29</v>
      </c>
      <c r="I738" s="113" t="s">
        <v>1109</v>
      </c>
      <c r="J738" s="118" t="s">
        <v>2129</v>
      </c>
      <c r="K738" s="118" t="s">
        <v>4658</v>
      </c>
      <c r="L738" s="118" t="s">
        <v>5941</v>
      </c>
      <c r="M738" s="115" t="s">
        <v>1109</v>
      </c>
      <c r="N738" s="115" t="s">
        <v>2129</v>
      </c>
      <c r="O738" s="115" t="s">
        <v>1109</v>
      </c>
      <c r="P738" s="113">
        <v>305</v>
      </c>
      <c r="Q738" s="113">
        <v>50</v>
      </c>
      <c r="R738" s="113">
        <v>40</v>
      </c>
      <c r="S738" s="113">
        <v>85</v>
      </c>
      <c r="T738" s="120">
        <v>40</v>
      </c>
      <c r="U738" s="113">
        <v>65</v>
      </c>
      <c r="V738" s="113">
        <v>25</v>
      </c>
      <c r="W738" s="129"/>
      <c r="X738" s="129"/>
      <c r="Y738" s="5"/>
      <c r="Z738" s="5"/>
      <c r="AA738" s="5"/>
      <c r="AB738" s="5"/>
      <c r="AC738" s="5"/>
      <c r="AD738" s="5"/>
      <c r="AE738" s="5"/>
    </row>
    <row r="739" spans="1:34" customFormat="1">
      <c r="A739" s="113">
        <v>617</v>
      </c>
      <c r="B739" s="113" t="s">
        <v>658</v>
      </c>
      <c r="C739" s="120" t="s">
        <v>5942</v>
      </c>
      <c r="D739" s="124">
        <v>0.5</v>
      </c>
      <c r="E739" s="124">
        <v>0.5</v>
      </c>
      <c r="F739" s="113" t="s">
        <v>29</v>
      </c>
      <c r="G739" s="113" t="s">
        <v>2121</v>
      </c>
      <c r="H739" s="113" t="s">
        <v>29</v>
      </c>
      <c r="I739" s="113" t="s">
        <v>1109</v>
      </c>
      <c r="J739" s="118" t="s">
        <v>2129</v>
      </c>
      <c r="K739" s="118" t="s">
        <v>4658</v>
      </c>
      <c r="L739" s="118" t="s">
        <v>5941</v>
      </c>
      <c r="M739" s="115" t="s">
        <v>5941</v>
      </c>
      <c r="N739" s="115" t="s">
        <v>6399</v>
      </c>
      <c r="O739" s="115" t="s">
        <v>2128</v>
      </c>
      <c r="P739" s="113">
        <v>495</v>
      </c>
      <c r="Q739" s="113">
        <v>80</v>
      </c>
      <c r="R739" s="113">
        <v>70</v>
      </c>
      <c r="S739" s="113">
        <v>40</v>
      </c>
      <c r="T739" s="120">
        <v>100</v>
      </c>
      <c r="U739" s="113">
        <v>60</v>
      </c>
      <c r="V739" s="113">
        <v>145</v>
      </c>
      <c r="W739" s="129"/>
      <c r="X739" s="129"/>
      <c r="Y739" s="5"/>
      <c r="Z739" s="5"/>
      <c r="AA739" s="5"/>
      <c r="AB739" s="5"/>
      <c r="AC739" s="5"/>
      <c r="AD739" s="5"/>
      <c r="AE739" s="5"/>
    </row>
    <row r="740" spans="1:34" customFormat="1">
      <c r="A740" s="113">
        <v>618</v>
      </c>
      <c r="B740" s="113" t="s">
        <v>659</v>
      </c>
      <c r="C740" s="120" t="s">
        <v>5943</v>
      </c>
      <c r="D740" s="124">
        <v>0.5</v>
      </c>
      <c r="E740" s="124">
        <v>0.5</v>
      </c>
      <c r="F740" s="113" t="s">
        <v>2336</v>
      </c>
      <c r="G740" s="113" t="s">
        <v>2121</v>
      </c>
      <c r="H740" s="113" t="s">
        <v>49</v>
      </c>
      <c r="I740" s="113" t="s">
        <v>46</v>
      </c>
      <c r="J740" s="118" t="s">
        <v>2129</v>
      </c>
      <c r="K740" s="118" t="s">
        <v>4658</v>
      </c>
      <c r="L740" s="118" t="s">
        <v>5943</v>
      </c>
      <c r="M740" s="115" t="s">
        <v>1109</v>
      </c>
      <c r="N740" s="115" t="s">
        <v>6399</v>
      </c>
      <c r="O740" s="115" t="s">
        <v>1109</v>
      </c>
      <c r="P740" s="113">
        <v>471</v>
      </c>
      <c r="Q740" s="113">
        <v>109</v>
      </c>
      <c r="R740" s="113">
        <v>66</v>
      </c>
      <c r="S740" s="113">
        <v>84</v>
      </c>
      <c r="T740" s="120">
        <v>81</v>
      </c>
      <c r="U740" s="113">
        <v>99</v>
      </c>
      <c r="V740" s="113">
        <v>32</v>
      </c>
      <c r="W740" s="129"/>
      <c r="X740" s="129"/>
      <c r="Y740" s="5"/>
      <c r="Z740" s="5"/>
      <c r="AA740" s="5"/>
      <c r="AB740" s="5"/>
      <c r="AC740" s="5"/>
      <c r="AD740" s="5"/>
      <c r="AE740" s="5"/>
    </row>
    <row r="741" spans="1:34" customFormat="1">
      <c r="A741" s="113">
        <v>618</v>
      </c>
      <c r="B741" s="113" t="s">
        <v>6456</v>
      </c>
      <c r="C741" s="120" t="s">
        <v>5944</v>
      </c>
      <c r="D741" s="124">
        <v>0.5</v>
      </c>
      <c r="E741" s="124">
        <v>0.5</v>
      </c>
      <c r="F741" s="113" t="s">
        <v>2336</v>
      </c>
      <c r="G741" s="113" t="s">
        <v>2703</v>
      </c>
      <c r="H741" s="113" t="s">
        <v>49</v>
      </c>
      <c r="I741" s="113" t="s">
        <v>106</v>
      </c>
      <c r="J741" s="118" t="s">
        <v>2129</v>
      </c>
      <c r="K741" s="118" t="s">
        <v>4658</v>
      </c>
      <c r="L741" s="118" t="s">
        <v>5943</v>
      </c>
      <c r="M741" s="115" t="s">
        <v>1109</v>
      </c>
      <c r="N741" s="115" t="s">
        <v>6399</v>
      </c>
      <c r="O741" s="115" t="s">
        <v>1109</v>
      </c>
      <c r="P741" s="113">
        <v>471</v>
      </c>
      <c r="Q741" s="113">
        <v>109</v>
      </c>
      <c r="R741" s="113">
        <v>81</v>
      </c>
      <c r="S741" s="113">
        <v>99</v>
      </c>
      <c r="T741" s="120">
        <v>66</v>
      </c>
      <c r="U741" s="113">
        <v>84</v>
      </c>
      <c r="V741" s="113">
        <v>32</v>
      </c>
      <c r="W741" s="129"/>
      <c r="X741" s="129"/>
      <c r="Y741" s="5"/>
      <c r="Z741" s="5"/>
      <c r="AA741" s="5"/>
      <c r="AB741" s="5"/>
      <c r="AC741" s="5"/>
      <c r="AD741" s="5"/>
      <c r="AE741" s="5"/>
      <c r="AH741" s="5"/>
    </row>
    <row r="742" spans="1:34" customFormat="1">
      <c r="A742" s="113">
        <v>619</v>
      </c>
      <c r="B742" s="113" t="s">
        <v>660</v>
      </c>
      <c r="C742" s="120" t="s">
        <v>5945</v>
      </c>
      <c r="D742" s="124">
        <v>0.5</v>
      </c>
      <c r="E742" s="124">
        <v>0.5</v>
      </c>
      <c r="F742" s="113" t="s">
        <v>2334</v>
      </c>
      <c r="G742" s="113" t="s">
        <v>2121</v>
      </c>
      <c r="H742" s="113" t="s">
        <v>78</v>
      </c>
      <c r="I742" s="113" t="s">
        <v>1109</v>
      </c>
      <c r="J742" s="118" t="s">
        <v>2129</v>
      </c>
      <c r="K742" s="118" t="s">
        <v>4658</v>
      </c>
      <c r="L742" s="118" t="s">
        <v>5945</v>
      </c>
      <c r="M742" s="115" t="s">
        <v>1109</v>
      </c>
      <c r="N742" s="115" t="s">
        <v>2129</v>
      </c>
      <c r="O742" s="115" t="s">
        <v>1109</v>
      </c>
      <c r="P742" s="113">
        <v>350</v>
      </c>
      <c r="Q742" s="113">
        <v>45</v>
      </c>
      <c r="R742" s="113">
        <v>85</v>
      </c>
      <c r="S742" s="113">
        <v>50</v>
      </c>
      <c r="T742" s="120">
        <v>55</v>
      </c>
      <c r="U742" s="113">
        <v>50</v>
      </c>
      <c r="V742" s="113">
        <v>65</v>
      </c>
      <c r="W742" s="129"/>
      <c r="X742" s="129"/>
      <c r="Y742" s="5"/>
      <c r="Z742" s="5"/>
      <c r="AA742" s="5"/>
      <c r="AB742" s="5"/>
      <c r="AC742" s="5"/>
      <c r="AD742" s="5"/>
      <c r="AE742" s="5"/>
    </row>
    <row r="743" spans="1:34" customFormat="1">
      <c r="A743" s="113">
        <v>620</v>
      </c>
      <c r="B743" s="113" t="s">
        <v>661</v>
      </c>
      <c r="C743" s="120" t="s">
        <v>5946</v>
      </c>
      <c r="D743" s="124">
        <v>0.5</v>
      </c>
      <c r="E743" s="124">
        <v>0.5</v>
      </c>
      <c r="F743" s="113" t="s">
        <v>2334</v>
      </c>
      <c r="G743" s="113" t="s">
        <v>2121</v>
      </c>
      <c r="H743" s="113" t="s">
        <v>78</v>
      </c>
      <c r="I743" s="113" t="s">
        <v>1109</v>
      </c>
      <c r="J743" s="118" t="s">
        <v>2129</v>
      </c>
      <c r="K743" s="118" t="s">
        <v>4658</v>
      </c>
      <c r="L743" s="118" t="s">
        <v>5945</v>
      </c>
      <c r="M743" s="115" t="s">
        <v>5945</v>
      </c>
      <c r="N743" s="115" t="s">
        <v>6399</v>
      </c>
      <c r="O743" s="115" t="s">
        <v>2128</v>
      </c>
      <c r="P743" s="113">
        <v>510</v>
      </c>
      <c r="Q743" s="113">
        <v>65</v>
      </c>
      <c r="R743" s="113">
        <v>125</v>
      </c>
      <c r="S743" s="113">
        <v>60</v>
      </c>
      <c r="T743" s="120">
        <v>95</v>
      </c>
      <c r="U743" s="113">
        <v>60</v>
      </c>
      <c r="V743" s="113">
        <v>105</v>
      </c>
      <c r="W743" s="129"/>
      <c r="X743" s="129"/>
      <c r="Y743" s="5"/>
      <c r="Z743" s="5"/>
      <c r="AA743" s="5"/>
      <c r="AB743" s="5"/>
      <c r="AC743" s="5"/>
      <c r="AD743" s="5"/>
      <c r="AE743" s="5"/>
    </row>
    <row r="744" spans="1:34" customFormat="1">
      <c r="A744" s="113">
        <v>621</v>
      </c>
      <c r="B744" s="113" t="s">
        <v>662</v>
      </c>
      <c r="C744" s="120" t="s">
        <v>5947</v>
      </c>
      <c r="D744" s="124">
        <v>0.5</v>
      </c>
      <c r="E744" s="124">
        <v>0.5</v>
      </c>
      <c r="F744" s="113" t="s">
        <v>23</v>
      </c>
      <c r="G744" s="113" t="s">
        <v>2121</v>
      </c>
      <c r="H744" s="113" t="s">
        <v>23</v>
      </c>
      <c r="I744" s="113" t="s">
        <v>1109</v>
      </c>
      <c r="J744" s="118" t="s">
        <v>2129</v>
      </c>
      <c r="K744" s="118" t="s">
        <v>4657</v>
      </c>
      <c r="L744" s="118" t="s">
        <v>5947</v>
      </c>
      <c r="M744" s="115" t="s">
        <v>1109</v>
      </c>
      <c r="N744" s="115" t="s">
        <v>6399</v>
      </c>
      <c r="O744" s="115" t="s">
        <v>1109</v>
      </c>
      <c r="P744" s="113">
        <v>485</v>
      </c>
      <c r="Q744" s="113">
        <v>77</v>
      </c>
      <c r="R744" s="113">
        <v>120</v>
      </c>
      <c r="S744" s="113">
        <v>90</v>
      </c>
      <c r="T744" s="120">
        <v>60</v>
      </c>
      <c r="U744" s="113">
        <v>90</v>
      </c>
      <c r="V744" s="113">
        <v>48</v>
      </c>
      <c r="W744" s="129"/>
      <c r="X744" s="129"/>
      <c r="Y744" s="5"/>
      <c r="Z744" s="5"/>
      <c r="AA744" s="5"/>
      <c r="AB744" s="5"/>
      <c r="AC744" s="5"/>
      <c r="AD744" s="5"/>
      <c r="AE744" s="5"/>
    </row>
    <row r="745" spans="1:34" customFormat="1">
      <c r="A745" s="113">
        <v>622</v>
      </c>
      <c r="B745" s="113" t="s">
        <v>663</v>
      </c>
      <c r="C745" s="120" t="s">
        <v>5948</v>
      </c>
      <c r="D745" s="124" t="s">
        <v>1109</v>
      </c>
      <c r="E745" s="124" t="s">
        <v>1109</v>
      </c>
      <c r="F745" s="113" t="s">
        <v>2112</v>
      </c>
      <c r="G745" s="113" t="s">
        <v>2121</v>
      </c>
      <c r="H745" s="113" t="s">
        <v>49</v>
      </c>
      <c r="I745" s="113" t="s">
        <v>119</v>
      </c>
      <c r="J745" s="118" t="s">
        <v>2129</v>
      </c>
      <c r="K745" s="118" t="s">
        <v>4658</v>
      </c>
      <c r="L745" s="118" t="s">
        <v>5948</v>
      </c>
      <c r="M745" s="115" t="s">
        <v>1109</v>
      </c>
      <c r="N745" s="115" t="s">
        <v>2129</v>
      </c>
      <c r="O745" s="115" t="s">
        <v>1109</v>
      </c>
      <c r="P745" s="113">
        <v>303</v>
      </c>
      <c r="Q745" s="113">
        <v>59</v>
      </c>
      <c r="R745" s="113">
        <v>74</v>
      </c>
      <c r="S745" s="113">
        <v>50</v>
      </c>
      <c r="T745" s="120">
        <v>35</v>
      </c>
      <c r="U745" s="113">
        <v>50</v>
      </c>
      <c r="V745" s="113">
        <v>35</v>
      </c>
      <c r="W745" s="129"/>
      <c r="X745" s="129"/>
      <c r="Y745" s="5"/>
      <c r="Z745" s="5"/>
      <c r="AA745" s="5"/>
      <c r="AB745" s="5"/>
      <c r="AC745" s="5"/>
      <c r="AD745" s="5"/>
      <c r="AE745" s="5"/>
    </row>
    <row r="746" spans="1:34" customFormat="1">
      <c r="A746" s="113">
        <v>623</v>
      </c>
      <c r="B746" s="113" t="s">
        <v>664</v>
      </c>
      <c r="C746" s="120" t="s">
        <v>5949</v>
      </c>
      <c r="D746" s="124" t="s">
        <v>1109</v>
      </c>
      <c r="E746" s="124" t="s">
        <v>1109</v>
      </c>
      <c r="F746" s="113" t="s">
        <v>2112</v>
      </c>
      <c r="G746" s="113" t="s">
        <v>2121</v>
      </c>
      <c r="H746" s="113" t="s">
        <v>49</v>
      </c>
      <c r="I746" s="113" t="s">
        <v>119</v>
      </c>
      <c r="J746" s="118" t="s">
        <v>2129</v>
      </c>
      <c r="K746" s="118" t="s">
        <v>4658</v>
      </c>
      <c r="L746" s="118" t="s">
        <v>5948</v>
      </c>
      <c r="M746" s="115" t="s">
        <v>5948</v>
      </c>
      <c r="N746" s="115" t="s">
        <v>6399</v>
      </c>
      <c r="O746" s="115" t="s">
        <v>2128</v>
      </c>
      <c r="P746" s="113">
        <v>483</v>
      </c>
      <c r="Q746" s="113">
        <v>89</v>
      </c>
      <c r="R746" s="113">
        <v>124</v>
      </c>
      <c r="S746" s="113">
        <v>80</v>
      </c>
      <c r="T746" s="120">
        <v>55</v>
      </c>
      <c r="U746" s="113">
        <v>80</v>
      </c>
      <c r="V746" s="113">
        <v>55</v>
      </c>
      <c r="W746" s="129"/>
      <c r="X746" s="129"/>
      <c r="Y746" s="5"/>
      <c r="Z746" s="5"/>
      <c r="AA746" s="5"/>
      <c r="AB746" s="5"/>
      <c r="AC746" s="5"/>
      <c r="AD746" s="5"/>
      <c r="AE746" s="5"/>
    </row>
    <row r="747" spans="1:34" customFormat="1">
      <c r="A747" s="113">
        <v>624</v>
      </c>
      <c r="B747" s="113" t="s">
        <v>665</v>
      </c>
      <c r="C747" s="120" t="s">
        <v>5950</v>
      </c>
      <c r="D747" s="124">
        <v>0.5</v>
      </c>
      <c r="E747" s="124">
        <v>0.5</v>
      </c>
      <c r="F747" s="113" t="s">
        <v>2334</v>
      </c>
      <c r="G747" s="113" t="s">
        <v>2121</v>
      </c>
      <c r="H747" s="113" t="s">
        <v>158</v>
      </c>
      <c r="I747" s="113" t="s">
        <v>106</v>
      </c>
      <c r="J747" s="118" t="s">
        <v>2129</v>
      </c>
      <c r="K747" s="118" t="s">
        <v>4658</v>
      </c>
      <c r="L747" s="118" t="s">
        <v>5950</v>
      </c>
      <c r="M747" s="115" t="s">
        <v>1109</v>
      </c>
      <c r="N747" s="115" t="s">
        <v>2129</v>
      </c>
      <c r="O747" s="115" t="s">
        <v>1109</v>
      </c>
      <c r="P747" s="113">
        <v>340</v>
      </c>
      <c r="Q747" s="113">
        <v>45</v>
      </c>
      <c r="R747" s="113">
        <v>85</v>
      </c>
      <c r="S747" s="113">
        <v>70</v>
      </c>
      <c r="T747" s="120">
        <v>40</v>
      </c>
      <c r="U747" s="113">
        <v>40</v>
      </c>
      <c r="V747" s="113">
        <v>60</v>
      </c>
      <c r="W747" s="129"/>
      <c r="X747" s="129"/>
      <c r="Y747" s="5"/>
      <c r="Z747" s="5"/>
      <c r="AA747" s="5"/>
      <c r="AB747" s="5"/>
      <c r="AC747" s="5"/>
      <c r="AD747" s="5"/>
      <c r="AE747" s="5"/>
    </row>
    <row r="748" spans="1:34" customFormat="1">
      <c r="A748" s="113">
        <v>625</v>
      </c>
      <c r="B748" s="113" t="s">
        <v>666</v>
      </c>
      <c r="C748" s="120" t="s">
        <v>5951</v>
      </c>
      <c r="D748" s="124">
        <v>0.5</v>
      </c>
      <c r="E748" s="124">
        <v>0.5</v>
      </c>
      <c r="F748" s="113" t="s">
        <v>2334</v>
      </c>
      <c r="G748" s="113" t="s">
        <v>2121</v>
      </c>
      <c r="H748" s="113" t="s">
        <v>158</v>
      </c>
      <c r="I748" s="113" t="s">
        <v>106</v>
      </c>
      <c r="J748" s="118" t="s">
        <v>2129</v>
      </c>
      <c r="K748" s="118" t="s">
        <v>4658</v>
      </c>
      <c r="L748" s="118" t="s">
        <v>5950</v>
      </c>
      <c r="M748" s="115" t="s">
        <v>5950</v>
      </c>
      <c r="N748" s="115" t="s">
        <v>6398</v>
      </c>
      <c r="O748" s="115" t="s">
        <v>2128</v>
      </c>
      <c r="P748" s="113">
        <v>490</v>
      </c>
      <c r="Q748" s="113">
        <v>65</v>
      </c>
      <c r="R748" s="113">
        <v>125</v>
      </c>
      <c r="S748" s="113">
        <v>100</v>
      </c>
      <c r="T748" s="120">
        <v>60</v>
      </c>
      <c r="U748" s="113">
        <v>70</v>
      </c>
      <c r="V748" s="113">
        <v>70</v>
      </c>
      <c r="W748" s="129"/>
      <c r="X748" s="129"/>
      <c r="Y748" s="5"/>
      <c r="Z748" s="5"/>
      <c r="AA748" s="5"/>
      <c r="AB748" s="5"/>
      <c r="AC748" s="5"/>
      <c r="AD748" s="5"/>
      <c r="AE748" s="5"/>
    </row>
    <row r="749" spans="1:34" customFormat="1">
      <c r="A749" s="113">
        <v>626</v>
      </c>
      <c r="B749" s="113" t="s">
        <v>667</v>
      </c>
      <c r="C749" s="120" t="s">
        <v>5952</v>
      </c>
      <c r="D749" s="124">
        <v>0.5</v>
      </c>
      <c r="E749" s="124">
        <v>0.5</v>
      </c>
      <c r="F749" s="113" t="s">
        <v>2332</v>
      </c>
      <c r="G749" s="113" t="s">
        <v>2121</v>
      </c>
      <c r="H749" s="113" t="s">
        <v>36</v>
      </c>
      <c r="I749" s="113" t="s">
        <v>1109</v>
      </c>
      <c r="J749" s="118" t="s">
        <v>2129</v>
      </c>
      <c r="K749" s="118" t="s">
        <v>4657</v>
      </c>
      <c r="L749" s="118" t="s">
        <v>5952</v>
      </c>
      <c r="M749" s="115" t="s">
        <v>1109</v>
      </c>
      <c r="N749" s="115" t="s">
        <v>6399</v>
      </c>
      <c r="O749" s="115" t="s">
        <v>1109</v>
      </c>
      <c r="P749" s="113">
        <v>490</v>
      </c>
      <c r="Q749" s="113">
        <v>95</v>
      </c>
      <c r="R749" s="113">
        <v>110</v>
      </c>
      <c r="S749" s="113">
        <v>95</v>
      </c>
      <c r="T749" s="120">
        <v>40</v>
      </c>
      <c r="U749" s="113">
        <v>95</v>
      </c>
      <c r="V749" s="113">
        <v>55</v>
      </c>
      <c r="W749" s="129"/>
      <c r="X749" s="129"/>
      <c r="Y749" s="5"/>
      <c r="Z749" s="5"/>
      <c r="AA749" s="5"/>
      <c r="AB749" s="5"/>
      <c r="AC749" s="5"/>
      <c r="AD749" s="5"/>
      <c r="AE749" s="5"/>
    </row>
    <row r="750" spans="1:34" customFormat="1">
      <c r="A750" s="113">
        <v>627</v>
      </c>
      <c r="B750" s="113" t="s">
        <v>668</v>
      </c>
      <c r="C750" s="120" t="s">
        <v>5953</v>
      </c>
      <c r="D750" s="124">
        <v>1</v>
      </c>
      <c r="E750" s="124">
        <v>0</v>
      </c>
      <c r="F750" s="113" t="s">
        <v>22</v>
      </c>
      <c r="G750" s="113" t="s">
        <v>2121</v>
      </c>
      <c r="H750" s="113" t="s">
        <v>36</v>
      </c>
      <c r="I750" s="113" t="s">
        <v>22</v>
      </c>
      <c r="J750" s="118" t="s">
        <v>2129</v>
      </c>
      <c r="K750" s="118" t="s">
        <v>4658</v>
      </c>
      <c r="L750" s="118" t="s">
        <v>5953</v>
      </c>
      <c r="M750" s="115" t="s">
        <v>1109</v>
      </c>
      <c r="N750" s="115" t="s">
        <v>2129</v>
      </c>
      <c r="O750" s="115" t="s">
        <v>1109</v>
      </c>
      <c r="P750" s="113">
        <v>350</v>
      </c>
      <c r="Q750" s="113">
        <v>70</v>
      </c>
      <c r="R750" s="113">
        <v>83</v>
      </c>
      <c r="S750" s="113">
        <v>50</v>
      </c>
      <c r="T750" s="120">
        <v>37</v>
      </c>
      <c r="U750" s="113">
        <v>50</v>
      </c>
      <c r="V750" s="113">
        <v>60</v>
      </c>
      <c r="W750" s="129"/>
      <c r="X750" s="129"/>
      <c r="Y750" s="5"/>
      <c r="Z750" s="5"/>
      <c r="AA750" s="5"/>
      <c r="AB750" s="5"/>
      <c r="AC750" s="5"/>
      <c r="AD750" s="5"/>
      <c r="AE750" s="5"/>
    </row>
    <row r="751" spans="1:34" customFormat="1">
      <c r="A751" s="113">
        <v>628</v>
      </c>
      <c r="B751" s="113" t="s">
        <v>669</v>
      </c>
      <c r="C751" s="120" t="s">
        <v>5954</v>
      </c>
      <c r="D751" s="124">
        <v>1</v>
      </c>
      <c r="E751" s="124">
        <v>0</v>
      </c>
      <c r="F751" s="113" t="s">
        <v>22</v>
      </c>
      <c r="G751" s="113" t="s">
        <v>2121</v>
      </c>
      <c r="H751" s="113" t="s">
        <v>36</v>
      </c>
      <c r="I751" s="113" t="s">
        <v>22</v>
      </c>
      <c r="J751" s="118" t="s">
        <v>2129</v>
      </c>
      <c r="K751" s="118" t="s">
        <v>4658</v>
      </c>
      <c r="L751" s="118" t="s">
        <v>5953</v>
      </c>
      <c r="M751" s="115" t="s">
        <v>5953</v>
      </c>
      <c r="N751" s="115" t="s">
        <v>6399</v>
      </c>
      <c r="O751" s="115" t="s">
        <v>2128</v>
      </c>
      <c r="P751" s="113">
        <v>510</v>
      </c>
      <c r="Q751" s="113">
        <v>100</v>
      </c>
      <c r="R751" s="113">
        <v>123</v>
      </c>
      <c r="S751" s="113">
        <v>75</v>
      </c>
      <c r="T751" s="120">
        <v>57</v>
      </c>
      <c r="U751" s="113">
        <v>75</v>
      </c>
      <c r="V751" s="113">
        <v>80</v>
      </c>
      <c r="W751" s="129"/>
      <c r="X751" s="129"/>
      <c r="Y751" s="5"/>
      <c r="Z751" s="5"/>
      <c r="AA751" s="5"/>
      <c r="AB751" s="5"/>
      <c r="AC751" s="5"/>
      <c r="AD751" s="5"/>
      <c r="AE751" s="5"/>
    </row>
    <row r="752" spans="1:34" customFormat="1">
      <c r="A752" s="113">
        <v>628</v>
      </c>
      <c r="B752" s="113" t="s">
        <v>3011</v>
      </c>
      <c r="C752" s="120" t="s">
        <v>5955</v>
      </c>
      <c r="D752" s="124">
        <v>1</v>
      </c>
      <c r="E752" s="124">
        <v>0</v>
      </c>
      <c r="F752" s="113" t="s">
        <v>22</v>
      </c>
      <c r="G752" s="113" t="s">
        <v>4319</v>
      </c>
      <c r="H752" s="113" t="s">
        <v>86</v>
      </c>
      <c r="I752" s="113" t="s">
        <v>22</v>
      </c>
      <c r="J752" s="118" t="s">
        <v>2129</v>
      </c>
      <c r="K752" s="118" t="s">
        <v>4658</v>
      </c>
      <c r="L752" s="118" t="s">
        <v>5953</v>
      </c>
      <c r="M752" s="115" t="s">
        <v>5953</v>
      </c>
      <c r="N752" s="115" t="s">
        <v>6399</v>
      </c>
      <c r="O752" s="115" t="s">
        <v>2128</v>
      </c>
      <c r="P752" s="113">
        <v>510</v>
      </c>
      <c r="Q752" s="113">
        <v>110</v>
      </c>
      <c r="R752" s="113">
        <v>83</v>
      </c>
      <c r="S752" s="113">
        <v>70</v>
      </c>
      <c r="T752" s="120">
        <v>112</v>
      </c>
      <c r="U752" s="113">
        <v>70</v>
      </c>
      <c r="V752" s="113">
        <v>65</v>
      </c>
      <c r="W752" s="129"/>
      <c r="X752" s="129"/>
      <c r="Y752" s="5"/>
      <c r="Z752" s="5"/>
      <c r="AA752" s="5"/>
      <c r="AB752" s="5"/>
      <c r="AC752" s="5"/>
      <c r="AD752" s="5"/>
      <c r="AE752" s="5"/>
    </row>
    <row r="753" spans="1:31" customFormat="1">
      <c r="A753" s="113">
        <v>629</v>
      </c>
      <c r="B753" s="113" t="s">
        <v>670</v>
      </c>
      <c r="C753" s="120" t="s">
        <v>5956</v>
      </c>
      <c r="D753" s="124">
        <v>0</v>
      </c>
      <c r="E753" s="124">
        <v>1</v>
      </c>
      <c r="F753" s="113" t="s">
        <v>22</v>
      </c>
      <c r="G753" s="113" t="s">
        <v>2121</v>
      </c>
      <c r="H753" s="113" t="s">
        <v>158</v>
      </c>
      <c r="I753" s="113" t="s">
        <v>22</v>
      </c>
      <c r="J753" s="118" t="s">
        <v>2129</v>
      </c>
      <c r="K753" s="118" t="s">
        <v>4658</v>
      </c>
      <c r="L753" s="118" t="s">
        <v>5956</v>
      </c>
      <c r="M753" s="115" t="s">
        <v>1109</v>
      </c>
      <c r="N753" s="115" t="s">
        <v>2129</v>
      </c>
      <c r="O753" s="115" t="s">
        <v>1109</v>
      </c>
      <c r="P753" s="113">
        <v>370</v>
      </c>
      <c r="Q753" s="113">
        <v>70</v>
      </c>
      <c r="R753" s="113">
        <v>55</v>
      </c>
      <c r="S753" s="113">
        <v>75</v>
      </c>
      <c r="T753" s="120">
        <v>45</v>
      </c>
      <c r="U753" s="113">
        <v>65</v>
      </c>
      <c r="V753" s="113">
        <v>60</v>
      </c>
      <c r="W753" s="129"/>
      <c r="X753" s="129"/>
      <c r="Y753" s="5"/>
      <c r="Z753" s="5"/>
      <c r="AA753" s="5"/>
      <c r="AB753" s="5"/>
      <c r="AC753" s="5"/>
      <c r="AD753" s="5"/>
      <c r="AE753" s="5"/>
    </row>
    <row r="754" spans="1:31" customFormat="1">
      <c r="A754" s="113">
        <v>630</v>
      </c>
      <c r="B754" s="113" t="s">
        <v>671</v>
      </c>
      <c r="C754" s="120" t="s">
        <v>5957</v>
      </c>
      <c r="D754" s="124">
        <v>0</v>
      </c>
      <c r="E754" s="124">
        <v>1</v>
      </c>
      <c r="F754" s="113" t="s">
        <v>22</v>
      </c>
      <c r="G754" s="113" t="s">
        <v>2121</v>
      </c>
      <c r="H754" s="113" t="s">
        <v>158</v>
      </c>
      <c r="I754" s="113" t="s">
        <v>22</v>
      </c>
      <c r="J754" s="118" t="s">
        <v>2129</v>
      </c>
      <c r="K754" s="118" t="s">
        <v>4658</v>
      </c>
      <c r="L754" s="118" t="s">
        <v>5956</v>
      </c>
      <c r="M754" s="115" t="s">
        <v>5956</v>
      </c>
      <c r="N754" s="115" t="s">
        <v>6399</v>
      </c>
      <c r="O754" s="115" t="s">
        <v>2128</v>
      </c>
      <c r="P754" s="113">
        <v>510</v>
      </c>
      <c r="Q754" s="113">
        <v>110</v>
      </c>
      <c r="R754" s="113">
        <v>65</v>
      </c>
      <c r="S754" s="113">
        <v>105</v>
      </c>
      <c r="T754" s="120">
        <v>55</v>
      </c>
      <c r="U754" s="113">
        <v>95</v>
      </c>
      <c r="V754" s="113">
        <v>80</v>
      </c>
      <c r="W754" s="129"/>
      <c r="X754" s="129"/>
      <c r="Y754" s="5"/>
      <c r="Z754" s="5"/>
      <c r="AA754" s="5"/>
      <c r="AB754" s="5"/>
      <c r="AC754" s="5"/>
      <c r="AD754" s="5"/>
      <c r="AE754" s="5"/>
    </row>
    <row r="755" spans="1:31" customFormat="1">
      <c r="A755" s="113">
        <v>631</v>
      </c>
      <c r="B755" s="113" t="s">
        <v>672</v>
      </c>
      <c r="C755" s="120" t="s">
        <v>5958</v>
      </c>
      <c r="D755" s="124">
        <v>0.5</v>
      </c>
      <c r="E755" s="124">
        <v>0.5</v>
      </c>
      <c r="F755" s="113" t="s">
        <v>2332</v>
      </c>
      <c r="G755" s="113" t="s">
        <v>2121</v>
      </c>
      <c r="H755" s="113" t="s">
        <v>19</v>
      </c>
      <c r="I755" s="113" t="s">
        <v>1109</v>
      </c>
      <c r="J755" s="118" t="s">
        <v>2129</v>
      </c>
      <c r="K755" s="118" t="s">
        <v>4658</v>
      </c>
      <c r="L755" s="118" t="s">
        <v>5958</v>
      </c>
      <c r="M755" s="115" t="s">
        <v>1109</v>
      </c>
      <c r="N755" s="115" t="s">
        <v>6399</v>
      </c>
      <c r="O755" s="115" t="s">
        <v>1109</v>
      </c>
      <c r="P755" s="113">
        <v>484</v>
      </c>
      <c r="Q755" s="113">
        <v>85</v>
      </c>
      <c r="R755" s="113">
        <v>97</v>
      </c>
      <c r="S755" s="113">
        <v>66</v>
      </c>
      <c r="T755" s="120">
        <v>105</v>
      </c>
      <c r="U755" s="113">
        <v>66</v>
      </c>
      <c r="V755" s="113">
        <v>65</v>
      </c>
      <c r="W755" s="129"/>
      <c r="X755" s="129"/>
      <c r="Y755" s="5"/>
      <c r="Z755" s="5"/>
      <c r="AA755" s="5"/>
      <c r="AB755" s="5"/>
      <c r="AC755" s="5"/>
      <c r="AD755" s="5"/>
      <c r="AE755" s="5"/>
    </row>
    <row r="756" spans="1:31" customFormat="1">
      <c r="A756" s="113">
        <v>632</v>
      </c>
      <c r="B756" s="113" t="s">
        <v>673</v>
      </c>
      <c r="C756" s="120" t="s">
        <v>5959</v>
      </c>
      <c r="D756" s="124">
        <v>0.5</v>
      </c>
      <c r="E756" s="124">
        <v>0.5</v>
      </c>
      <c r="F756" s="113" t="s">
        <v>29</v>
      </c>
      <c r="G756" s="113" t="s">
        <v>2121</v>
      </c>
      <c r="H756" s="113" t="s">
        <v>29</v>
      </c>
      <c r="I756" s="113" t="s">
        <v>106</v>
      </c>
      <c r="J756" s="118" t="s">
        <v>2129</v>
      </c>
      <c r="K756" s="118" t="s">
        <v>4658</v>
      </c>
      <c r="L756" s="118" t="s">
        <v>5959</v>
      </c>
      <c r="M756" s="115" t="s">
        <v>1109</v>
      </c>
      <c r="N756" s="115" t="s">
        <v>6399</v>
      </c>
      <c r="O756" s="115" t="s">
        <v>1109</v>
      </c>
      <c r="P756" s="113">
        <v>484</v>
      </c>
      <c r="Q756" s="113">
        <v>58</v>
      </c>
      <c r="R756" s="113">
        <v>109</v>
      </c>
      <c r="S756" s="113">
        <v>112</v>
      </c>
      <c r="T756" s="120">
        <v>48</v>
      </c>
      <c r="U756" s="113">
        <v>48</v>
      </c>
      <c r="V756" s="113">
        <v>109</v>
      </c>
      <c r="W756" s="129"/>
      <c r="X756" s="129"/>
      <c r="Y756" s="5"/>
      <c r="Z756" s="5"/>
      <c r="AA756" s="5"/>
      <c r="AB756" s="5"/>
      <c r="AC756" s="5"/>
      <c r="AD756" s="5"/>
      <c r="AE756" s="5"/>
    </row>
    <row r="757" spans="1:31" customFormat="1">
      <c r="A757" s="113">
        <v>633</v>
      </c>
      <c r="B757" s="113" t="s">
        <v>674</v>
      </c>
      <c r="C757" s="120" t="s">
        <v>5960</v>
      </c>
      <c r="D757" s="124">
        <v>0.5</v>
      </c>
      <c r="E757" s="124">
        <v>0.5</v>
      </c>
      <c r="F757" s="113" t="s">
        <v>23</v>
      </c>
      <c r="G757" s="113" t="s">
        <v>2121</v>
      </c>
      <c r="H757" s="113" t="s">
        <v>158</v>
      </c>
      <c r="I757" s="113" t="s">
        <v>23</v>
      </c>
      <c r="J757" s="118" t="s">
        <v>2129</v>
      </c>
      <c r="K757" s="118" t="s">
        <v>4657</v>
      </c>
      <c r="L757" s="118" t="s">
        <v>5960</v>
      </c>
      <c r="M757" s="115" t="s">
        <v>1109</v>
      </c>
      <c r="N757" s="115" t="s">
        <v>2129</v>
      </c>
      <c r="O757" s="115" t="s">
        <v>1109</v>
      </c>
      <c r="P757" s="113">
        <v>300</v>
      </c>
      <c r="Q757" s="113">
        <v>52</v>
      </c>
      <c r="R757" s="113">
        <v>65</v>
      </c>
      <c r="S757" s="113">
        <v>50</v>
      </c>
      <c r="T757" s="120">
        <v>45</v>
      </c>
      <c r="U757" s="113">
        <v>50</v>
      </c>
      <c r="V757" s="113">
        <v>38</v>
      </c>
      <c r="W757" s="129"/>
      <c r="X757" s="129"/>
      <c r="Y757" s="5"/>
      <c r="Z757" s="5"/>
      <c r="AA757" s="5"/>
      <c r="AB757" s="5"/>
      <c r="AC757" s="5"/>
      <c r="AD757" s="5"/>
      <c r="AE757" s="5"/>
    </row>
    <row r="758" spans="1:31" customFormat="1">
      <c r="A758" s="113">
        <v>634</v>
      </c>
      <c r="B758" s="113" t="s">
        <v>675</v>
      </c>
      <c r="C758" s="120" t="s">
        <v>5961</v>
      </c>
      <c r="D758" s="124">
        <v>0.5</v>
      </c>
      <c r="E758" s="124">
        <v>0.5</v>
      </c>
      <c r="F758" s="113" t="s">
        <v>23</v>
      </c>
      <c r="G758" s="113" t="s">
        <v>2121</v>
      </c>
      <c r="H758" s="113" t="s">
        <v>158</v>
      </c>
      <c r="I758" s="113" t="s">
        <v>23</v>
      </c>
      <c r="J758" s="118" t="s">
        <v>2129</v>
      </c>
      <c r="K758" s="118" t="s">
        <v>4657</v>
      </c>
      <c r="L758" s="118" t="s">
        <v>5960</v>
      </c>
      <c r="M758" s="115" t="s">
        <v>5960</v>
      </c>
      <c r="N758" s="115" t="s">
        <v>6398</v>
      </c>
      <c r="O758" s="115" t="s">
        <v>2128</v>
      </c>
      <c r="P758" s="113">
        <v>420</v>
      </c>
      <c r="Q758" s="113">
        <v>72</v>
      </c>
      <c r="R758" s="113">
        <v>85</v>
      </c>
      <c r="S758" s="113">
        <v>70</v>
      </c>
      <c r="T758" s="120">
        <v>65</v>
      </c>
      <c r="U758" s="113">
        <v>70</v>
      </c>
      <c r="V758" s="113">
        <v>58</v>
      </c>
      <c r="W758" s="129"/>
      <c r="X758" s="129"/>
      <c r="Y758" s="5"/>
      <c r="Z758" s="5"/>
      <c r="AA758" s="5"/>
      <c r="AB758" s="5"/>
      <c r="AC758" s="5"/>
      <c r="AD758" s="5"/>
      <c r="AE758" s="5"/>
    </row>
    <row r="759" spans="1:31" customFormat="1">
      <c r="A759" s="113">
        <v>635</v>
      </c>
      <c r="B759" s="113" t="s">
        <v>676</v>
      </c>
      <c r="C759" s="120" t="s">
        <v>5962</v>
      </c>
      <c r="D759" s="124">
        <v>0.5</v>
      </c>
      <c r="E759" s="124">
        <v>0.5</v>
      </c>
      <c r="F759" s="113" t="s">
        <v>23</v>
      </c>
      <c r="G759" s="113" t="s">
        <v>2121</v>
      </c>
      <c r="H759" s="113" t="s">
        <v>158</v>
      </c>
      <c r="I759" s="113" t="s">
        <v>23</v>
      </c>
      <c r="J759" s="118" t="s">
        <v>2129</v>
      </c>
      <c r="K759" s="118" t="s">
        <v>4657</v>
      </c>
      <c r="L759" s="118" t="s">
        <v>5960</v>
      </c>
      <c r="M759" s="115" t="s">
        <v>5961</v>
      </c>
      <c r="N759" s="115" t="s">
        <v>6399</v>
      </c>
      <c r="O759" s="115" t="s">
        <v>2128</v>
      </c>
      <c r="P759" s="113">
        <v>600</v>
      </c>
      <c r="Q759" s="113">
        <v>92</v>
      </c>
      <c r="R759" s="113">
        <v>105</v>
      </c>
      <c r="S759" s="113">
        <v>90</v>
      </c>
      <c r="T759" s="120">
        <v>125</v>
      </c>
      <c r="U759" s="113">
        <v>90</v>
      </c>
      <c r="V759" s="113">
        <v>98</v>
      </c>
      <c r="W759" s="129"/>
      <c r="X759" s="129"/>
      <c r="Y759" s="5"/>
      <c r="Z759" s="5"/>
      <c r="AA759" s="5"/>
      <c r="AB759" s="5"/>
      <c r="AC759" s="5"/>
      <c r="AD759" s="5"/>
      <c r="AE759" s="5"/>
    </row>
    <row r="760" spans="1:31" customFormat="1">
      <c r="A760" s="113">
        <v>636</v>
      </c>
      <c r="B760" s="113" t="s">
        <v>677</v>
      </c>
      <c r="C760" s="120" t="s">
        <v>5963</v>
      </c>
      <c r="D760" s="124">
        <v>0.5</v>
      </c>
      <c r="E760" s="124">
        <v>0.5</v>
      </c>
      <c r="F760" s="113" t="s">
        <v>29</v>
      </c>
      <c r="G760" s="113" t="s">
        <v>2121</v>
      </c>
      <c r="H760" s="113" t="s">
        <v>29</v>
      </c>
      <c r="I760" s="113" t="s">
        <v>19</v>
      </c>
      <c r="J760" s="118" t="s">
        <v>2129</v>
      </c>
      <c r="K760" s="118" t="s">
        <v>4657</v>
      </c>
      <c r="L760" s="118" t="s">
        <v>5963</v>
      </c>
      <c r="M760" s="115" t="s">
        <v>1109</v>
      </c>
      <c r="N760" s="115" t="s">
        <v>2129</v>
      </c>
      <c r="O760" s="115" t="s">
        <v>1109</v>
      </c>
      <c r="P760" s="113">
        <v>360</v>
      </c>
      <c r="Q760" s="113">
        <v>55</v>
      </c>
      <c r="R760" s="113">
        <v>85</v>
      </c>
      <c r="S760" s="113">
        <v>55</v>
      </c>
      <c r="T760" s="120">
        <v>50</v>
      </c>
      <c r="U760" s="113">
        <v>55</v>
      </c>
      <c r="V760" s="113">
        <v>60</v>
      </c>
      <c r="W760" s="129"/>
      <c r="X760" s="129"/>
      <c r="Y760" s="5"/>
      <c r="Z760" s="5"/>
      <c r="AA760" s="5"/>
      <c r="AB760" s="5"/>
      <c r="AC760" s="5"/>
      <c r="AD760" s="5"/>
      <c r="AE760" s="5"/>
    </row>
    <row r="761" spans="1:31" customFormat="1">
      <c r="A761" s="113">
        <v>637</v>
      </c>
      <c r="B761" s="113" t="s">
        <v>678</v>
      </c>
      <c r="C761" s="120" t="s">
        <v>5964</v>
      </c>
      <c r="D761" s="124">
        <v>0.5</v>
      </c>
      <c r="E761" s="124">
        <v>0.5</v>
      </c>
      <c r="F761" s="113" t="s">
        <v>29</v>
      </c>
      <c r="G761" s="113" t="s">
        <v>2121</v>
      </c>
      <c r="H761" s="113" t="s">
        <v>29</v>
      </c>
      <c r="I761" s="113" t="s">
        <v>19</v>
      </c>
      <c r="J761" s="118" t="s">
        <v>2129</v>
      </c>
      <c r="K761" s="118" t="s">
        <v>4657</v>
      </c>
      <c r="L761" s="118" t="s">
        <v>5963</v>
      </c>
      <c r="M761" s="115" t="s">
        <v>5963</v>
      </c>
      <c r="N761" s="115" t="s">
        <v>6399</v>
      </c>
      <c r="O761" s="115" t="s">
        <v>2128</v>
      </c>
      <c r="P761" s="113">
        <v>550</v>
      </c>
      <c r="Q761" s="113">
        <v>85</v>
      </c>
      <c r="R761" s="113">
        <v>60</v>
      </c>
      <c r="S761" s="113">
        <v>65</v>
      </c>
      <c r="T761" s="120">
        <v>135</v>
      </c>
      <c r="U761" s="113">
        <v>105</v>
      </c>
      <c r="V761" s="113">
        <v>100</v>
      </c>
      <c r="W761" s="129"/>
      <c r="X761" s="129"/>
      <c r="Y761" s="5"/>
      <c r="Z761" s="5"/>
      <c r="AA761" s="5"/>
      <c r="AB761" s="5"/>
      <c r="AC761" s="5"/>
      <c r="AD761" s="5"/>
      <c r="AE761" s="5"/>
    </row>
    <row r="762" spans="1:31" customFormat="1">
      <c r="A762" s="113">
        <v>638</v>
      </c>
      <c r="B762" s="113" t="s">
        <v>679</v>
      </c>
      <c r="C762" s="120" t="s">
        <v>5965</v>
      </c>
      <c r="D762" s="124" t="s">
        <v>1109</v>
      </c>
      <c r="E762" s="124" t="s">
        <v>1109</v>
      </c>
      <c r="F762" s="113" t="s">
        <v>2333</v>
      </c>
      <c r="G762" s="113" t="s">
        <v>2121</v>
      </c>
      <c r="H762" s="113" t="s">
        <v>106</v>
      </c>
      <c r="I762" s="113" t="s">
        <v>78</v>
      </c>
      <c r="J762" s="118" t="s">
        <v>12</v>
      </c>
      <c r="K762" s="118" t="s">
        <v>12</v>
      </c>
      <c r="L762" s="118" t="s">
        <v>5965</v>
      </c>
      <c r="M762" s="115" t="s">
        <v>1109</v>
      </c>
      <c r="N762" s="115" t="s">
        <v>6399</v>
      </c>
      <c r="O762" s="115" t="s">
        <v>1109</v>
      </c>
      <c r="P762" s="113">
        <v>580</v>
      </c>
      <c r="Q762" s="113">
        <v>91</v>
      </c>
      <c r="R762" s="113">
        <v>90</v>
      </c>
      <c r="S762" s="113">
        <v>129</v>
      </c>
      <c r="T762" s="120">
        <v>90</v>
      </c>
      <c r="U762" s="113">
        <v>72</v>
      </c>
      <c r="V762" s="113">
        <v>108</v>
      </c>
      <c r="W762" s="129"/>
      <c r="X762" s="129"/>
      <c r="Y762" s="5"/>
      <c r="Z762" s="5"/>
      <c r="AA762" s="5"/>
      <c r="AB762" s="5"/>
      <c r="AC762" s="5"/>
      <c r="AD762" s="5"/>
      <c r="AE762" s="5"/>
    </row>
    <row r="763" spans="1:31" customFormat="1">
      <c r="A763" s="113">
        <v>639</v>
      </c>
      <c r="B763" s="113" t="s">
        <v>680</v>
      </c>
      <c r="C763" s="120" t="s">
        <v>5966</v>
      </c>
      <c r="D763" s="124" t="s">
        <v>1109</v>
      </c>
      <c r="E763" s="124" t="s">
        <v>1109</v>
      </c>
      <c r="F763" s="113" t="s">
        <v>2333</v>
      </c>
      <c r="G763" s="113" t="s">
        <v>2121</v>
      </c>
      <c r="H763" s="113" t="s">
        <v>98</v>
      </c>
      <c r="I763" s="113" t="s">
        <v>78</v>
      </c>
      <c r="J763" s="118" t="s">
        <v>12</v>
      </c>
      <c r="K763" s="118" t="s">
        <v>12</v>
      </c>
      <c r="L763" s="118" t="s">
        <v>5966</v>
      </c>
      <c r="M763" s="115" t="s">
        <v>1109</v>
      </c>
      <c r="N763" s="115" t="s">
        <v>6399</v>
      </c>
      <c r="O763" s="115" t="s">
        <v>1109</v>
      </c>
      <c r="P763" s="113">
        <v>580</v>
      </c>
      <c r="Q763" s="113">
        <v>91</v>
      </c>
      <c r="R763" s="113">
        <v>129</v>
      </c>
      <c r="S763" s="113">
        <v>90</v>
      </c>
      <c r="T763" s="120">
        <v>72</v>
      </c>
      <c r="U763" s="113">
        <v>90</v>
      </c>
      <c r="V763" s="113">
        <v>108</v>
      </c>
      <c r="W763" s="129"/>
      <c r="X763" s="129"/>
      <c r="Y763" s="5"/>
      <c r="Z763" s="5"/>
      <c r="AA763" s="5"/>
      <c r="AB763" s="5"/>
      <c r="AC763" s="5"/>
      <c r="AD763" s="5"/>
      <c r="AE763" s="5"/>
    </row>
    <row r="764" spans="1:31" customFormat="1">
      <c r="A764" s="113">
        <v>640</v>
      </c>
      <c r="B764" s="113" t="s">
        <v>681</v>
      </c>
      <c r="C764" s="120" t="s">
        <v>5967</v>
      </c>
      <c r="D764" s="124" t="s">
        <v>1109</v>
      </c>
      <c r="E764" s="124" t="s">
        <v>1109</v>
      </c>
      <c r="F764" s="113" t="s">
        <v>2333</v>
      </c>
      <c r="G764" s="113" t="s">
        <v>2121</v>
      </c>
      <c r="H764" s="113" t="s">
        <v>14</v>
      </c>
      <c r="I764" s="113" t="s">
        <v>78</v>
      </c>
      <c r="J764" s="118" t="s">
        <v>12</v>
      </c>
      <c r="K764" s="118" t="s">
        <v>12</v>
      </c>
      <c r="L764" s="118" t="s">
        <v>5967</v>
      </c>
      <c r="M764" s="115" t="s">
        <v>1109</v>
      </c>
      <c r="N764" s="115" t="s">
        <v>6399</v>
      </c>
      <c r="O764" s="115" t="s">
        <v>1109</v>
      </c>
      <c r="P764" s="113">
        <v>580</v>
      </c>
      <c r="Q764" s="113">
        <v>91</v>
      </c>
      <c r="R764" s="113">
        <v>90</v>
      </c>
      <c r="S764" s="113">
        <v>72</v>
      </c>
      <c r="T764" s="120">
        <v>90</v>
      </c>
      <c r="U764" s="113">
        <v>129</v>
      </c>
      <c r="V764" s="113">
        <v>108</v>
      </c>
      <c r="W764" s="129"/>
      <c r="X764" s="129"/>
      <c r="Y764" s="5"/>
      <c r="Z764" s="5"/>
      <c r="AA764" s="5"/>
      <c r="AB764" s="5"/>
      <c r="AC764" s="5"/>
      <c r="AD764" s="5"/>
      <c r="AE764" s="5"/>
    </row>
    <row r="765" spans="1:31" customFormat="1">
      <c r="A765" s="113">
        <v>641</v>
      </c>
      <c r="B765" s="113" t="s">
        <v>3012</v>
      </c>
      <c r="C765" s="120" t="s">
        <v>5968</v>
      </c>
      <c r="D765" s="124">
        <v>1</v>
      </c>
      <c r="E765" s="124" t="s">
        <v>1109</v>
      </c>
      <c r="F765" s="113" t="s">
        <v>2333</v>
      </c>
      <c r="G765" s="113" t="s">
        <v>2121</v>
      </c>
      <c r="H765" s="113" t="s">
        <v>22</v>
      </c>
      <c r="I765" s="113" t="s">
        <v>1109</v>
      </c>
      <c r="J765" s="118" t="s">
        <v>12</v>
      </c>
      <c r="K765" s="118" t="s">
        <v>12</v>
      </c>
      <c r="L765" s="118" t="s">
        <v>5968</v>
      </c>
      <c r="M765" s="115" t="s">
        <v>1109</v>
      </c>
      <c r="N765" s="115" t="s">
        <v>6399</v>
      </c>
      <c r="O765" s="115" t="s">
        <v>1109</v>
      </c>
      <c r="P765" s="113">
        <v>580</v>
      </c>
      <c r="Q765" s="113">
        <v>79</v>
      </c>
      <c r="R765" s="113">
        <v>115</v>
      </c>
      <c r="S765" s="113">
        <v>70</v>
      </c>
      <c r="T765" s="120">
        <v>125</v>
      </c>
      <c r="U765" s="113">
        <v>80</v>
      </c>
      <c r="V765" s="113">
        <v>111</v>
      </c>
      <c r="W765" s="129"/>
      <c r="X765" s="129"/>
      <c r="Y765" s="5"/>
      <c r="Z765" s="5"/>
      <c r="AA765" s="5"/>
      <c r="AB765" s="5"/>
      <c r="AC765" s="5"/>
      <c r="AD765" s="5"/>
      <c r="AE765" s="5"/>
    </row>
    <row r="766" spans="1:31" customFormat="1">
      <c r="A766" s="113">
        <v>641</v>
      </c>
      <c r="B766" s="113" t="s">
        <v>3014</v>
      </c>
      <c r="C766" s="120" t="s">
        <v>5969</v>
      </c>
      <c r="D766" s="124">
        <v>1</v>
      </c>
      <c r="E766" s="124" t="s">
        <v>1109</v>
      </c>
      <c r="F766" s="113" t="s">
        <v>2333</v>
      </c>
      <c r="G766" s="113" t="s">
        <v>2121</v>
      </c>
      <c r="H766" s="113" t="s">
        <v>22</v>
      </c>
      <c r="I766" s="113" t="s">
        <v>1109</v>
      </c>
      <c r="J766" s="118" t="s">
        <v>12</v>
      </c>
      <c r="K766" s="118" t="s">
        <v>12</v>
      </c>
      <c r="L766" s="118" t="s">
        <v>5968</v>
      </c>
      <c r="M766" s="115" t="s">
        <v>1109</v>
      </c>
      <c r="N766" s="115" t="s">
        <v>6399</v>
      </c>
      <c r="O766" s="115" t="s">
        <v>1109</v>
      </c>
      <c r="P766" s="113">
        <v>580</v>
      </c>
      <c r="Q766" s="113">
        <v>79</v>
      </c>
      <c r="R766" s="113">
        <v>100</v>
      </c>
      <c r="S766" s="113">
        <v>80</v>
      </c>
      <c r="T766" s="120">
        <v>110</v>
      </c>
      <c r="U766" s="113">
        <v>90</v>
      </c>
      <c r="V766" s="113">
        <v>121</v>
      </c>
      <c r="W766" s="129"/>
      <c r="X766" s="129"/>
      <c r="Y766" s="5"/>
      <c r="Z766" s="5"/>
      <c r="AA766" s="5"/>
      <c r="AB766" s="5"/>
      <c r="AC766" s="5"/>
      <c r="AD766" s="5"/>
      <c r="AE766" s="5"/>
    </row>
    <row r="767" spans="1:31" customFormat="1">
      <c r="A767" s="113">
        <v>642</v>
      </c>
      <c r="B767" s="113" t="s">
        <v>3015</v>
      </c>
      <c r="C767" s="120" t="s">
        <v>5970</v>
      </c>
      <c r="D767" s="124">
        <v>1</v>
      </c>
      <c r="E767" s="124" t="s">
        <v>1109</v>
      </c>
      <c r="F767" s="113" t="s">
        <v>2333</v>
      </c>
      <c r="G767" s="113" t="s">
        <v>2121</v>
      </c>
      <c r="H767" s="113" t="s">
        <v>46</v>
      </c>
      <c r="I767" s="113" t="s">
        <v>22</v>
      </c>
      <c r="J767" s="118" t="s">
        <v>12</v>
      </c>
      <c r="K767" s="118" t="s">
        <v>12</v>
      </c>
      <c r="L767" s="118" t="s">
        <v>5970</v>
      </c>
      <c r="M767" s="115" t="s">
        <v>1109</v>
      </c>
      <c r="N767" s="115" t="s">
        <v>6399</v>
      </c>
      <c r="O767" s="115" t="s">
        <v>1109</v>
      </c>
      <c r="P767" s="113">
        <v>580</v>
      </c>
      <c r="Q767" s="113">
        <v>79</v>
      </c>
      <c r="R767" s="113">
        <v>115</v>
      </c>
      <c r="S767" s="113">
        <v>70</v>
      </c>
      <c r="T767" s="120">
        <v>125</v>
      </c>
      <c r="U767" s="113">
        <v>80</v>
      </c>
      <c r="V767" s="113">
        <v>111</v>
      </c>
      <c r="W767" s="129"/>
      <c r="X767" s="129"/>
      <c r="Y767" s="5"/>
      <c r="Z767" s="5"/>
      <c r="AA767" s="5"/>
      <c r="AB767" s="5"/>
      <c r="AC767" s="5"/>
      <c r="AD767" s="5"/>
      <c r="AE767" s="5"/>
    </row>
    <row r="768" spans="1:31" customFormat="1">
      <c r="A768" s="113">
        <v>642</v>
      </c>
      <c r="B768" s="113" t="s">
        <v>3017</v>
      </c>
      <c r="C768" s="120" t="s">
        <v>5971</v>
      </c>
      <c r="D768" s="124">
        <v>1</v>
      </c>
      <c r="E768" s="124" t="s">
        <v>1109</v>
      </c>
      <c r="F768" s="113" t="s">
        <v>2333</v>
      </c>
      <c r="G768" s="113" t="s">
        <v>2121</v>
      </c>
      <c r="H768" s="113" t="s">
        <v>46</v>
      </c>
      <c r="I768" s="113" t="s">
        <v>22</v>
      </c>
      <c r="J768" s="118" t="s">
        <v>12</v>
      </c>
      <c r="K768" s="118" t="s">
        <v>12</v>
      </c>
      <c r="L768" s="118" t="s">
        <v>5970</v>
      </c>
      <c r="M768" s="115" t="s">
        <v>1109</v>
      </c>
      <c r="N768" s="115" t="s">
        <v>6399</v>
      </c>
      <c r="O768" s="115" t="s">
        <v>1109</v>
      </c>
      <c r="P768" s="113">
        <v>580</v>
      </c>
      <c r="Q768" s="113">
        <v>79</v>
      </c>
      <c r="R768" s="113">
        <v>105</v>
      </c>
      <c r="S768" s="113">
        <v>70</v>
      </c>
      <c r="T768" s="120">
        <v>145</v>
      </c>
      <c r="U768" s="113">
        <v>80</v>
      </c>
      <c r="V768" s="113">
        <v>101</v>
      </c>
      <c r="W768" s="129"/>
      <c r="X768" s="129"/>
      <c r="Y768" s="5"/>
      <c r="Z768" s="5"/>
      <c r="AA768" s="5"/>
      <c r="AB768" s="5"/>
      <c r="AC768" s="5"/>
      <c r="AD768" s="5"/>
      <c r="AE768" s="5"/>
    </row>
    <row r="769" spans="1:36" customFormat="1">
      <c r="A769" s="113">
        <v>643</v>
      </c>
      <c r="B769" s="113" t="s">
        <v>686</v>
      </c>
      <c r="C769" s="120" t="s">
        <v>5972</v>
      </c>
      <c r="D769" s="124" t="s">
        <v>1109</v>
      </c>
      <c r="E769" s="124" t="s">
        <v>1109</v>
      </c>
      <c r="F769" s="113" t="s">
        <v>2333</v>
      </c>
      <c r="G769" s="113" t="s">
        <v>2121</v>
      </c>
      <c r="H769" s="113" t="s">
        <v>23</v>
      </c>
      <c r="I769" s="113" t="s">
        <v>19</v>
      </c>
      <c r="J769" s="118" t="s">
        <v>12</v>
      </c>
      <c r="K769" s="118" t="s">
        <v>12</v>
      </c>
      <c r="L769" s="118" t="s">
        <v>5972</v>
      </c>
      <c r="M769" s="115" t="s">
        <v>1109</v>
      </c>
      <c r="N769" s="115" t="s">
        <v>6399</v>
      </c>
      <c r="O769" s="115" t="s">
        <v>1109</v>
      </c>
      <c r="P769" s="113">
        <v>680</v>
      </c>
      <c r="Q769" s="113">
        <v>100</v>
      </c>
      <c r="R769" s="113">
        <v>120</v>
      </c>
      <c r="S769" s="113">
        <v>100</v>
      </c>
      <c r="T769" s="120">
        <v>150</v>
      </c>
      <c r="U769" s="113">
        <v>120</v>
      </c>
      <c r="V769" s="113">
        <v>90</v>
      </c>
      <c r="W769" s="129"/>
      <c r="X769" s="129"/>
      <c r="Y769" s="5"/>
      <c r="Z769" s="5"/>
      <c r="AA769" s="5"/>
      <c r="AB769" s="5"/>
      <c r="AC769" s="5"/>
      <c r="AD769" s="5"/>
      <c r="AE769" s="5"/>
    </row>
    <row r="770" spans="1:36" customFormat="1">
      <c r="A770" s="113">
        <v>644</v>
      </c>
      <c r="B770" s="113" t="s">
        <v>687</v>
      </c>
      <c r="C770" s="120" t="s">
        <v>5973</v>
      </c>
      <c r="D770" s="124" t="s">
        <v>1109</v>
      </c>
      <c r="E770" s="124" t="s">
        <v>1109</v>
      </c>
      <c r="F770" s="113" t="s">
        <v>2333</v>
      </c>
      <c r="G770" s="113" t="s">
        <v>2121</v>
      </c>
      <c r="H770" s="113" t="s">
        <v>23</v>
      </c>
      <c r="I770" s="113" t="s">
        <v>46</v>
      </c>
      <c r="J770" s="118" t="s">
        <v>12</v>
      </c>
      <c r="K770" s="118" t="s">
        <v>12</v>
      </c>
      <c r="L770" s="118" t="s">
        <v>5973</v>
      </c>
      <c r="M770" s="115" t="s">
        <v>1109</v>
      </c>
      <c r="N770" s="115" t="s">
        <v>6399</v>
      </c>
      <c r="O770" s="115" t="s">
        <v>1109</v>
      </c>
      <c r="P770" s="113">
        <v>680</v>
      </c>
      <c r="Q770" s="113">
        <v>100</v>
      </c>
      <c r="R770" s="113">
        <v>150</v>
      </c>
      <c r="S770" s="113">
        <v>120</v>
      </c>
      <c r="T770" s="120">
        <v>120</v>
      </c>
      <c r="U770" s="113">
        <v>100</v>
      </c>
      <c r="V770" s="113">
        <v>90</v>
      </c>
      <c r="W770" s="129"/>
      <c r="X770" s="129"/>
      <c r="Y770" s="5"/>
      <c r="Z770" s="5"/>
      <c r="AA770" s="5"/>
      <c r="AB770" s="5"/>
      <c r="AC770" s="5"/>
      <c r="AD770" s="5"/>
      <c r="AE770" s="5"/>
    </row>
    <row r="771" spans="1:36" customFormat="1">
      <c r="A771" s="113">
        <v>645</v>
      </c>
      <c r="B771" s="113" t="s">
        <v>3018</v>
      </c>
      <c r="C771" s="120" t="s">
        <v>5974</v>
      </c>
      <c r="D771" s="124">
        <v>1</v>
      </c>
      <c r="E771" s="124" t="s">
        <v>1109</v>
      </c>
      <c r="F771" s="113" t="s">
        <v>2333</v>
      </c>
      <c r="G771" s="113" t="s">
        <v>2121</v>
      </c>
      <c r="H771" s="113" t="s">
        <v>49</v>
      </c>
      <c r="I771" s="113" t="s">
        <v>22</v>
      </c>
      <c r="J771" s="118" t="s">
        <v>12</v>
      </c>
      <c r="K771" s="118" t="s">
        <v>12</v>
      </c>
      <c r="L771" s="118" t="s">
        <v>5974</v>
      </c>
      <c r="M771" s="115" t="s">
        <v>1109</v>
      </c>
      <c r="N771" s="115" t="s">
        <v>6399</v>
      </c>
      <c r="O771" s="115" t="s">
        <v>1109</v>
      </c>
      <c r="P771" s="113">
        <v>600</v>
      </c>
      <c r="Q771" s="113">
        <v>89</v>
      </c>
      <c r="R771" s="113">
        <v>125</v>
      </c>
      <c r="S771" s="113">
        <v>90</v>
      </c>
      <c r="T771" s="120">
        <v>115</v>
      </c>
      <c r="U771" s="113">
        <v>80</v>
      </c>
      <c r="V771" s="113">
        <v>101</v>
      </c>
      <c r="W771" s="129"/>
      <c r="X771" s="129"/>
      <c r="Y771" s="5"/>
      <c r="Z771" s="5"/>
      <c r="AA771" s="5"/>
      <c r="AB771" s="5"/>
      <c r="AC771" s="5"/>
      <c r="AD771" s="5"/>
      <c r="AE771" s="5"/>
    </row>
    <row r="772" spans="1:36" customFormat="1">
      <c r="A772" s="113">
        <v>645</v>
      </c>
      <c r="B772" s="113" t="s">
        <v>3020</v>
      </c>
      <c r="C772" s="120" t="s">
        <v>5975</v>
      </c>
      <c r="D772" s="124">
        <v>1</v>
      </c>
      <c r="E772" s="124" t="s">
        <v>1109</v>
      </c>
      <c r="F772" s="113" t="s">
        <v>2333</v>
      </c>
      <c r="G772" s="113" t="s">
        <v>2121</v>
      </c>
      <c r="H772" s="113" t="s">
        <v>49</v>
      </c>
      <c r="I772" s="113" t="s">
        <v>22</v>
      </c>
      <c r="J772" s="118" t="s">
        <v>12</v>
      </c>
      <c r="K772" s="118" t="s">
        <v>12</v>
      </c>
      <c r="L772" s="118" t="s">
        <v>5974</v>
      </c>
      <c r="M772" s="115" t="s">
        <v>1109</v>
      </c>
      <c r="N772" s="115" t="s">
        <v>6399</v>
      </c>
      <c r="O772" s="115" t="s">
        <v>1109</v>
      </c>
      <c r="P772" s="113">
        <v>600</v>
      </c>
      <c r="Q772" s="113">
        <v>89</v>
      </c>
      <c r="R772" s="113">
        <v>145</v>
      </c>
      <c r="S772" s="113">
        <v>90</v>
      </c>
      <c r="T772" s="120">
        <v>105</v>
      </c>
      <c r="U772" s="113">
        <v>80</v>
      </c>
      <c r="V772" s="113">
        <v>91</v>
      </c>
      <c r="W772" s="129"/>
      <c r="X772" s="129"/>
      <c r="Y772" s="5"/>
      <c r="Z772" s="5"/>
      <c r="AA772" s="5"/>
      <c r="AB772" s="5"/>
      <c r="AC772" s="5"/>
      <c r="AD772" s="5"/>
      <c r="AE772" s="5"/>
      <c r="AI772" s="119"/>
      <c r="AJ772" s="119"/>
    </row>
    <row r="773" spans="1:36" s="119" customFormat="1">
      <c r="A773" s="113">
        <v>646</v>
      </c>
      <c r="B773" s="113" t="s">
        <v>690</v>
      </c>
      <c r="C773" s="120" t="s">
        <v>5976</v>
      </c>
      <c r="D773" s="124" t="s">
        <v>1109</v>
      </c>
      <c r="E773" s="124" t="s">
        <v>1109</v>
      </c>
      <c r="F773" s="113" t="s">
        <v>2333</v>
      </c>
      <c r="G773" s="113" t="s">
        <v>2121</v>
      </c>
      <c r="H773" s="113" t="s">
        <v>23</v>
      </c>
      <c r="I773" s="113" t="s">
        <v>113</v>
      </c>
      <c r="J773" s="118" t="s">
        <v>12</v>
      </c>
      <c r="K773" s="118" t="s">
        <v>12</v>
      </c>
      <c r="L773" s="118" t="s">
        <v>5976</v>
      </c>
      <c r="M773" s="115" t="s">
        <v>1109</v>
      </c>
      <c r="N773" s="115" t="s">
        <v>6399</v>
      </c>
      <c r="O773" s="115" t="s">
        <v>1109</v>
      </c>
      <c r="P773" s="113">
        <v>660</v>
      </c>
      <c r="Q773" s="113">
        <v>125</v>
      </c>
      <c r="R773" s="113">
        <v>130</v>
      </c>
      <c r="S773" s="113">
        <v>90</v>
      </c>
      <c r="T773" s="120">
        <v>130</v>
      </c>
      <c r="U773" s="113">
        <v>90</v>
      </c>
      <c r="V773" s="113">
        <v>95</v>
      </c>
      <c r="W773" s="129"/>
      <c r="X773" s="129"/>
      <c r="Y773" s="5"/>
      <c r="Z773" s="5"/>
      <c r="AA773" s="5"/>
      <c r="AB773" s="5"/>
      <c r="AC773" s="5"/>
      <c r="AD773" s="5"/>
      <c r="AE773" s="5"/>
      <c r="AF773"/>
      <c r="AG773"/>
      <c r="AH773"/>
    </row>
    <row r="774" spans="1:36" s="119" customFormat="1">
      <c r="A774" s="113">
        <v>646</v>
      </c>
      <c r="B774" s="113" t="s">
        <v>3024</v>
      </c>
      <c r="C774" s="120" t="s">
        <v>5978</v>
      </c>
      <c r="D774" s="124" t="s">
        <v>1109</v>
      </c>
      <c r="E774" s="124" t="s">
        <v>1109</v>
      </c>
      <c r="F774" s="113" t="s">
        <v>2333</v>
      </c>
      <c r="G774" s="113" t="s">
        <v>2121</v>
      </c>
      <c r="H774" s="113" t="s">
        <v>23</v>
      </c>
      <c r="I774" s="113" t="s">
        <v>113</v>
      </c>
      <c r="J774" s="118" t="s">
        <v>12</v>
      </c>
      <c r="K774" s="118" t="s">
        <v>12</v>
      </c>
      <c r="L774" s="118" t="s">
        <v>5976</v>
      </c>
      <c r="M774" s="115" t="s">
        <v>1109</v>
      </c>
      <c r="N774" s="115" t="s">
        <v>6399</v>
      </c>
      <c r="O774" s="115" t="s">
        <v>1109</v>
      </c>
      <c r="P774" s="113">
        <v>700</v>
      </c>
      <c r="Q774" s="113">
        <v>125</v>
      </c>
      <c r="R774" s="113">
        <v>120</v>
      </c>
      <c r="S774" s="113">
        <v>90</v>
      </c>
      <c r="T774" s="120">
        <v>170</v>
      </c>
      <c r="U774" s="113">
        <v>100</v>
      </c>
      <c r="V774" s="113">
        <v>95</v>
      </c>
      <c r="W774" s="129"/>
      <c r="X774" s="129"/>
      <c r="Y774" s="5"/>
      <c r="Z774" s="5"/>
      <c r="AA774" s="5"/>
      <c r="AB774" s="5"/>
      <c r="AC774" s="5"/>
      <c r="AD774" s="5"/>
      <c r="AE774" s="5"/>
      <c r="AF774"/>
      <c r="AG774"/>
      <c r="AH774"/>
    </row>
    <row r="775" spans="1:36" s="119" customFormat="1">
      <c r="A775" s="113">
        <v>646</v>
      </c>
      <c r="B775" s="120" t="s">
        <v>3022</v>
      </c>
      <c r="C775" s="120" t="s">
        <v>5977</v>
      </c>
      <c r="D775" s="124" t="s">
        <v>1109</v>
      </c>
      <c r="E775" s="124" t="s">
        <v>1109</v>
      </c>
      <c r="F775" s="113" t="s">
        <v>2333</v>
      </c>
      <c r="G775" s="113" t="s">
        <v>2121</v>
      </c>
      <c r="H775" s="113" t="s">
        <v>23</v>
      </c>
      <c r="I775" s="113" t="s">
        <v>113</v>
      </c>
      <c r="J775" s="118" t="s">
        <v>12</v>
      </c>
      <c r="K775" s="118" t="s">
        <v>12</v>
      </c>
      <c r="L775" s="118" t="s">
        <v>5976</v>
      </c>
      <c r="M775" s="115" t="s">
        <v>1109</v>
      </c>
      <c r="N775" s="115" t="s">
        <v>6399</v>
      </c>
      <c r="O775" s="115" t="s">
        <v>1109</v>
      </c>
      <c r="P775" s="113">
        <v>700</v>
      </c>
      <c r="Q775" s="113">
        <v>125</v>
      </c>
      <c r="R775" s="113">
        <v>170</v>
      </c>
      <c r="S775" s="113">
        <v>100</v>
      </c>
      <c r="T775" s="120">
        <v>120</v>
      </c>
      <c r="U775" s="113">
        <v>90</v>
      </c>
      <c r="V775" s="113">
        <v>95</v>
      </c>
      <c r="W775" s="129"/>
      <c r="X775" s="129"/>
      <c r="Y775" s="5"/>
      <c r="Z775" s="5"/>
      <c r="AA775" s="5"/>
      <c r="AB775" s="5"/>
      <c r="AC775" s="5"/>
      <c r="AD775" s="5"/>
      <c r="AE775" s="5"/>
      <c r="AF775"/>
      <c r="AG775"/>
      <c r="AH775"/>
    </row>
    <row r="776" spans="1:36" s="119" customFormat="1">
      <c r="A776" s="113">
        <v>647</v>
      </c>
      <c r="B776" s="113" t="s">
        <v>2123</v>
      </c>
      <c r="C776" s="120" t="s">
        <v>5979</v>
      </c>
      <c r="D776" s="124" t="s">
        <v>1109</v>
      </c>
      <c r="E776" s="124" t="s">
        <v>1109</v>
      </c>
      <c r="F776" s="113" t="s">
        <v>2333</v>
      </c>
      <c r="G776" s="113" t="s">
        <v>2121</v>
      </c>
      <c r="H776" s="113" t="s">
        <v>25</v>
      </c>
      <c r="I776" s="113" t="s">
        <v>78</v>
      </c>
      <c r="J776" s="118" t="s">
        <v>12</v>
      </c>
      <c r="K776" s="118" t="s">
        <v>12</v>
      </c>
      <c r="L776" s="118" t="s">
        <v>5979</v>
      </c>
      <c r="M776" s="115" t="s">
        <v>1109</v>
      </c>
      <c r="N776" s="115" t="s">
        <v>6399</v>
      </c>
      <c r="O776" s="115" t="s">
        <v>1109</v>
      </c>
      <c r="P776" s="113">
        <v>580</v>
      </c>
      <c r="Q776" s="113">
        <v>91</v>
      </c>
      <c r="R776" s="113">
        <v>72</v>
      </c>
      <c r="S776" s="113">
        <v>90</v>
      </c>
      <c r="T776" s="120">
        <v>129</v>
      </c>
      <c r="U776" s="113">
        <v>90</v>
      </c>
      <c r="V776" s="113">
        <v>108</v>
      </c>
      <c r="W776" s="133"/>
      <c r="X776" s="133"/>
      <c r="Y776" s="8"/>
      <c r="Z776" s="8"/>
      <c r="AA776" s="8"/>
      <c r="AB776" s="8"/>
      <c r="AC776" s="8"/>
      <c r="AD776" s="8"/>
      <c r="AE776" s="8"/>
    </row>
    <row r="777" spans="1:36" s="119" customFormat="1">
      <c r="A777" s="113">
        <v>647</v>
      </c>
      <c r="B777" s="113" t="s">
        <v>3969</v>
      </c>
      <c r="C777" s="120" t="s">
        <v>5980</v>
      </c>
      <c r="D777" s="124" t="s">
        <v>1109</v>
      </c>
      <c r="E777" s="124" t="s">
        <v>1109</v>
      </c>
      <c r="F777" s="113" t="s">
        <v>2333</v>
      </c>
      <c r="G777" s="113" t="s">
        <v>2121</v>
      </c>
      <c r="H777" s="113" t="s">
        <v>25</v>
      </c>
      <c r="I777" s="113" t="s">
        <v>78</v>
      </c>
      <c r="J777" s="118" t="s">
        <v>12</v>
      </c>
      <c r="K777" s="118" t="s">
        <v>12</v>
      </c>
      <c r="L777" s="118" t="s">
        <v>5979</v>
      </c>
      <c r="M777" s="115" t="s">
        <v>1109</v>
      </c>
      <c r="N777" s="115" t="s">
        <v>6399</v>
      </c>
      <c r="O777" s="115" t="s">
        <v>1109</v>
      </c>
      <c r="P777" s="113">
        <v>580</v>
      </c>
      <c r="Q777" s="113">
        <v>91</v>
      </c>
      <c r="R777" s="113">
        <v>72</v>
      </c>
      <c r="S777" s="113">
        <v>90</v>
      </c>
      <c r="T777" s="120">
        <v>129</v>
      </c>
      <c r="U777" s="113">
        <v>90</v>
      </c>
      <c r="V777" s="113">
        <v>108</v>
      </c>
      <c r="W777" s="133"/>
      <c r="X777" s="133"/>
      <c r="Y777" s="8"/>
      <c r="Z777" s="8"/>
      <c r="AA777" s="8"/>
      <c r="AB777" s="8"/>
      <c r="AC777" s="8"/>
      <c r="AD777" s="8"/>
      <c r="AE777" s="8"/>
      <c r="AI777" s="5"/>
      <c r="AJ777" s="5"/>
    </row>
    <row r="778" spans="1:36">
      <c r="A778" s="113">
        <v>648</v>
      </c>
      <c r="B778" s="113" t="s">
        <v>3025</v>
      </c>
      <c r="C778" s="120" t="s">
        <v>5981</v>
      </c>
      <c r="D778" s="124" t="s">
        <v>1109</v>
      </c>
      <c r="E778" s="124" t="s">
        <v>1109</v>
      </c>
      <c r="F778" s="113" t="s">
        <v>2333</v>
      </c>
      <c r="G778" s="113" t="s">
        <v>2121</v>
      </c>
      <c r="H778" s="113" t="s">
        <v>36</v>
      </c>
      <c r="I778" s="113" t="s">
        <v>86</v>
      </c>
      <c r="J778" s="118" t="s">
        <v>12</v>
      </c>
      <c r="K778" s="118" t="s">
        <v>12</v>
      </c>
      <c r="L778" s="118" t="s">
        <v>5981</v>
      </c>
      <c r="M778" s="115" t="s">
        <v>1109</v>
      </c>
      <c r="N778" s="115" t="s">
        <v>6399</v>
      </c>
      <c r="O778" s="115" t="s">
        <v>1109</v>
      </c>
      <c r="P778" s="113">
        <v>600</v>
      </c>
      <c r="Q778" s="113">
        <v>100</v>
      </c>
      <c r="R778" s="113">
        <v>77</v>
      </c>
      <c r="S778" s="113">
        <v>77</v>
      </c>
      <c r="T778" s="120">
        <v>128</v>
      </c>
      <c r="U778" s="113">
        <v>128</v>
      </c>
      <c r="V778" s="113">
        <v>90</v>
      </c>
      <c r="W778" s="133"/>
      <c r="X778" s="133"/>
      <c r="Y778" s="8"/>
      <c r="Z778" s="8"/>
      <c r="AA778" s="8"/>
      <c r="AB778" s="8"/>
      <c r="AC778" s="8"/>
      <c r="AD778" s="8"/>
      <c r="AE778" s="8"/>
      <c r="AF778" s="119"/>
      <c r="AG778" s="119"/>
      <c r="AH778" s="119"/>
    </row>
    <row r="779" spans="1:36">
      <c r="A779" s="113">
        <v>648</v>
      </c>
      <c r="B779" s="113" t="s">
        <v>3027</v>
      </c>
      <c r="C779" s="120" t="s">
        <v>5982</v>
      </c>
      <c r="D779" s="124" t="s">
        <v>1109</v>
      </c>
      <c r="E779" s="124" t="s">
        <v>1109</v>
      </c>
      <c r="F779" s="113" t="s">
        <v>2333</v>
      </c>
      <c r="G779" s="113" t="s">
        <v>2121</v>
      </c>
      <c r="H779" s="113" t="s">
        <v>36</v>
      </c>
      <c r="I779" s="113" t="s">
        <v>78</v>
      </c>
      <c r="J779" s="118" t="s">
        <v>12</v>
      </c>
      <c r="K779" s="118" t="s">
        <v>12</v>
      </c>
      <c r="L779" s="118" t="s">
        <v>5981</v>
      </c>
      <c r="M779" s="115" t="s">
        <v>1109</v>
      </c>
      <c r="N779" s="115" t="s">
        <v>6399</v>
      </c>
      <c r="O779" s="115" t="s">
        <v>1109</v>
      </c>
      <c r="P779" s="113">
        <v>600</v>
      </c>
      <c r="Q779" s="113">
        <v>100</v>
      </c>
      <c r="R779" s="113">
        <v>128</v>
      </c>
      <c r="S779" s="113">
        <v>90</v>
      </c>
      <c r="T779" s="120">
        <v>77</v>
      </c>
      <c r="U779" s="113">
        <v>77</v>
      </c>
      <c r="V779" s="113">
        <v>128</v>
      </c>
      <c r="W779" s="133"/>
      <c r="X779" s="133"/>
      <c r="Y779" s="8"/>
      <c r="Z779" s="8"/>
      <c r="AA779" s="8"/>
      <c r="AB779" s="8"/>
      <c r="AC779" s="8"/>
      <c r="AD779" s="8"/>
      <c r="AE779" s="8"/>
      <c r="AF779" s="119"/>
      <c r="AG779" s="119"/>
      <c r="AH779" s="119"/>
    </row>
    <row r="780" spans="1:36">
      <c r="A780" s="113">
        <v>649</v>
      </c>
      <c r="B780" s="113" t="s">
        <v>697</v>
      </c>
      <c r="C780" s="120" t="s">
        <v>5983</v>
      </c>
      <c r="D780" s="124" t="s">
        <v>1109</v>
      </c>
      <c r="E780" s="124" t="s">
        <v>1109</v>
      </c>
      <c r="F780" s="113" t="s">
        <v>2333</v>
      </c>
      <c r="G780" s="113" t="s">
        <v>2121</v>
      </c>
      <c r="H780" s="113" t="s">
        <v>29</v>
      </c>
      <c r="I780" s="113" t="s">
        <v>106</v>
      </c>
      <c r="J780" s="118" t="s">
        <v>12</v>
      </c>
      <c r="K780" s="118" t="s">
        <v>12</v>
      </c>
      <c r="L780" s="118" t="s">
        <v>5983</v>
      </c>
      <c r="M780" s="115" t="s">
        <v>1109</v>
      </c>
      <c r="N780" s="115" t="s">
        <v>6399</v>
      </c>
      <c r="O780" s="115" t="s">
        <v>1109</v>
      </c>
      <c r="P780" s="113">
        <v>600</v>
      </c>
      <c r="Q780" s="113">
        <v>71</v>
      </c>
      <c r="R780" s="113">
        <v>120</v>
      </c>
      <c r="S780" s="113">
        <v>95</v>
      </c>
      <c r="T780" s="120">
        <v>120</v>
      </c>
      <c r="U780" s="113">
        <v>95</v>
      </c>
      <c r="V780" s="113">
        <v>99</v>
      </c>
      <c r="W780" s="133"/>
      <c r="X780" s="133"/>
      <c r="Y780" s="8"/>
      <c r="Z780" s="8"/>
      <c r="AA780" s="8"/>
      <c r="AB780" s="8"/>
      <c r="AC780" s="8"/>
      <c r="AD780" s="8"/>
      <c r="AE780" s="8"/>
      <c r="AF780" s="119"/>
      <c r="AG780" s="119"/>
      <c r="AH780" s="119"/>
    </row>
    <row r="781" spans="1:36">
      <c r="A781" s="113">
        <v>650</v>
      </c>
      <c r="B781" s="113" t="s">
        <v>698</v>
      </c>
      <c r="C781" s="120" t="s">
        <v>5984</v>
      </c>
      <c r="D781" s="124">
        <v>0.85</v>
      </c>
      <c r="E781" s="124">
        <v>0.15</v>
      </c>
      <c r="F781" s="113" t="s">
        <v>2332</v>
      </c>
      <c r="G781" s="113" t="s">
        <v>2707</v>
      </c>
      <c r="H781" s="113" t="s">
        <v>14</v>
      </c>
      <c r="I781" s="113" t="s">
        <v>1109</v>
      </c>
      <c r="J781" s="118" t="s">
        <v>792</v>
      </c>
      <c r="K781" s="118" t="s">
        <v>4657</v>
      </c>
      <c r="L781" s="118" t="s">
        <v>5984</v>
      </c>
      <c r="M781" s="115" t="s">
        <v>1109</v>
      </c>
      <c r="N781" s="115" t="s">
        <v>2129</v>
      </c>
      <c r="O781" s="115" t="s">
        <v>1109</v>
      </c>
      <c r="P781" s="113">
        <v>313</v>
      </c>
      <c r="Q781" s="113">
        <v>56</v>
      </c>
      <c r="R781" s="113">
        <v>61</v>
      </c>
      <c r="S781" s="113">
        <v>65</v>
      </c>
      <c r="T781" s="120">
        <v>48</v>
      </c>
      <c r="U781" s="113">
        <v>45</v>
      </c>
      <c r="V781" s="113">
        <v>38</v>
      </c>
    </row>
    <row r="782" spans="1:36">
      <c r="A782" s="113">
        <v>651</v>
      </c>
      <c r="B782" s="113" t="s">
        <v>699</v>
      </c>
      <c r="C782" s="120" t="s">
        <v>5985</v>
      </c>
      <c r="D782" s="124">
        <v>0.85</v>
      </c>
      <c r="E782" s="124">
        <v>0.15</v>
      </c>
      <c r="F782" s="113" t="s">
        <v>2332</v>
      </c>
      <c r="G782" s="113" t="s">
        <v>2707</v>
      </c>
      <c r="H782" s="113" t="s">
        <v>14</v>
      </c>
      <c r="I782" s="113" t="s">
        <v>1109</v>
      </c>
      <c r="J782" s="118" t="s">
        <v>792</v>
      </c>
      <c r="K782" s="118" t="s">
        <v>4657</v>
      </c>
      <c r="L782" s="118" t="s">
        <v>5984</v>
      </c>
      <c r="M782" s="115" t="s">
        <v>5984</v>
      </c>
      <c r="N782" s="115" t="s">
        <v>6398</v>
      </c>
      <c r="O782" s="115" t="s">
        <v>2128</v>
      </c>
      <c r="P782" s="113">
        <v>405</v>
      </c>
      <c r="Q782" s="113">
        <v>61</v>
      </c>
      <c r="R782" s="113">
        <v>78</v>
      </c>
      <c r="S782" s="113">
        <v>95</v>
      </c>
      <c r="T782" s="120">
        <v>56</v>
      </c>
      <c r="U782" s="113">
        <v>58</v>
      </c>
      <c r="V782" s="113">
        <v>57</v>
      </c>
    </row>
    <row r="783" spans="1:36">
      <c r="A783" s="113">
        <v>652</v>
      </c>
      <c r="B783" s="113" t="s">
        <v>700</v>
      </c>
      <c r="C783" s="120" t="s">
        <v>5986</v>
      </c>
      <c r="D783" s="124">
        <v>0.85</v>
      </c>
      <c r="E783" s="124">
        <v>0.15</v>
      </c>
      <c r="F783" s="113" t="s">
        <v>2332</v>
      </c>
      <c r="G783" s="113" t="s">
        <v>2707</v>
      </c>
      <c r="H783" s="113" t="s">
        <v>14</v>
      </c>
      <c r="I783" s="113" t="s">
        <v>78</v>
      </c>
      <c r="J783" s="118" t="s">
        <v>792</v>
      </c>
      <c r="K783" s="118" t="s">
        <v>4657</v>
      </c>
      <c r="L783" s="118" t="s">
        <v>5984</v>
      </c>
      <c r="M783" s="115" t="s">
        <v>5985</v>
      </c>
      <c r="N783" s="115" t="s">
        <v>6399</v>
      </c>
      <c r="O783" s="115" t="s">
        <v>2128</v>
      </c>
      <c r="P783" s="113">
        <v>530</v>
      </c>
      <c r="Q783" s="113">
        <v>88</v>
      </c>
      <c r="R783" s="113">
        <v>107</v>
      </c>
      <c r="S783" s="113">
        <v>122</v>
      </c>
      <c r="T783" s="120">
        <v>74</v>
      </c>
      <c r="U783" s="113">
        <v>75</v>
      </c>
      <c r="V783" s="113">
        <v>64</v>
      </c>
    </row>
    <row r="784" spans="1:36">
      <c r="A784" s="113">
        <v>653</v>
      </c>
      <c r="B784" s="113" t="s">
        <v>701</v>
      </c>
      <c r="C784" s="120" t="s">
        <v>5987</v>
      </c>
      <c r="D784" s="124">
        <v>0.85</v>
      </c>
      <c r="E784" s="124">
        <v>0.15</v>
      </c>
      <c r="F784" s="113" t="s">
        <v>2332</v>
      </c>
      <c r="G784" s="113" t="s">
        <v>2707</v>
      </c>
      <c r="H784" s="113" t="s">
        <v>19</v>
      </c>
      <c r="I784" s="113" t="s">
        <v>1109</v>
      </c>
      <c r="J784" s="118" t="s">
        <v>792</v>
      </c>
      <c r="K784" s="118" t="s">
        <v>4657</v>
      </c>
      <c r="L784" s="118" t="s">
        <v>5987</v>
      </c>
      <c r="M784" s="115" t="s">
        <v>1109</v>
      </c>
      <c r="N784" s="115" t="s">
        <v>2129</v>
      </c>
      <c r="O784" s="115" t="s">
        <v>1109</v>
      </c>
      <c r="P784" s="113">
        <v>307</v>
      </c>
      <c r="Q784" s="113">
        <v>40</v>
      </c>
      <c r="R784" s="113">
        <v>45</v>
      </c>
      <c r="S784" s="113">
        <v>40</v>
      </c>
      <c r="T784" s="120">
        <v>62</v>
      </c>
      <c r="U784" s="113">
        <v>60</v>
      </c>
      <c r="V784" s="113">
        <v>60</v>
      </c>
    </row>
    <row r="785" spans="1:22">
      <c r="A785" s="113">
        <v>654</v>
      </c>
      <c r="B785" s="113" t="s">
        <v>702</v>
      </c>
      <c r="C785" s="120" t="s">
        <v>5988</v>
      </c>
      <c r="D785" s="124">
        <v>0.85</v>
      </c>
      <c r="E785" s="124">
        <v>0.15</v>
      </c>
      <c r="F785" s="113" t="s">
        <v>2332</v>
      </c>
      <c r="G785" s="113" t="s">
        <v>2707</v>
      </c>
      <c r="H785" s="113" t="s">
        <v>19</v>
      </c>
      <c r="I785" s="113" t="s">
        <v>1109</v>
      </c>
      <c r="J785" s="118" t="s">
        <v>792</v>
      </c>
      <c r="K785" s="118" t="s">
        <v>4657</v>
      </c>
      <c r="L785" s="118" t="s">
        <v>5987</v>
      </c>
      <c r="M785" s="115" t="s">
        <v>5987</v>
      </c>
      <c r="N785" s="115" t="s">
        <v>6398</v>
      </c>
      <c r="O785" s="115" t="s">
        <v>2128</v>
      </c>
      <c r="P785" s="113">
        <v>409</v>
      </c>
      <c r="Q785" s="113">
        <v>59</v>
      </c>
      <c r="R785" s="113">
        <v>59</v>
      </c>
      <c r="S785" s="113">
        <v>58</v>
      </c>
      <c r="T785" s="120">
        <v>90</v>
      </c>
      <c r="U785" s="113">
        <v>70</v>
      </c>
      <c r="V785" s="113">
        <v>73</v>
      </c>
    </row>
    <row r="786" spans="1:22">
      <c r="A786" s="113">
        <v>655</v>
      </c>
      <c r="B786" s="113" t="s">
        <v>703</v>
      </c>
      <c r="C786" s="120" t="s">
        <v>5989</v>
      </c>
      <c r="D786" s="124">
        <v>0.85</v>
      </c>
      <c r="E786" s="124">
        <v>0.15</v>
      </c>
      <c r="F786" s="113" t="s">
        <v>2332</v>
      </c>
      <c r="G786" s="113" t="s">
        <v>2707</v>
      </c>
      <c r="H786" s="113" t="s">
        <v>19</v>
      </c>
      <c r="I786" s="113" t="s">
        <v>86</v>
      </c>
      <c r="J786" s="118" t="s">
        <v>792</v>
      </c>
      <c r="K786" s="118" t="s">
        <v>4657</v>
      </c>
      <c r="L786" s="118" t="s">
        <v>5987</v>
      </c>
      <c r="M786" s="115" t="s">
        <v>5988</v>
      </c>
      <c r="N786" s="115" t="s">
        <v>6399</v>
      </c>
      <c r="O786" s="115" t="s">
        <v>2128</v>
      </c>
      <c r="P786" s="113">
        <v>534</v>
      </c>
      <c r="Q786" s="113">
        <v>75</v>
      </c>
      <c r="R786" s="113">
        <v>69</v>
      </c>
      <c r="S786" s="113">
        <v>72</v>
      </c>
      <c r="T786" s="120">
        <v>114</v>
      </c>
      <c r="U786" s="113">
        <v>100</v>
      </c>
      <c r="V786" s="113">
        <v>104</v>
      </c>
    </row>
    <row r="787" spans="1:22">
      <c r="A787" s="113">
        <v>656</v>
      </c>
      <c r="B787" s="113" t="s">
        <v>704</v>
      </c>
      <c r="C787" s="120" t="s">
        <v>5990</v>
      </c>
      <c r="D787" s="124">
        <v>0.85</v>
      </c>
      <c r="E787" s="124">
        <v>0.15</v>
      </c>
      <c r="F787" s="113" t="s">
        <v>2331</v>
      </c>
      <c r="G787" s="113" t="s">
        <v>2707</v>
      </c>
      <c r="H787" s="113" t="s">
        <v>25</v>
      </c>
      <c r="I787" s="113" t="s">
        <v>1109</v>
      </c>
      <c r="J787" s="118" t="s">
        <v>792</v>
      </c>
      <c r="K787" s="118" t="s">
        <v>4657</v>
      </c>
      <c r="L787" s="118" t="s">
        <v>5990</v>
      </c>
      <c r="M787" s="115" t="s">
        <v>1109</v>
      </c>
      <c r="N787" s="115" t="s">
        <v>2129</v>
      </c>
      <c r="O787" s="115" t="s">
        <v>1109</v>
      </c>
      <c r="P787" s="113">
        <v>314</v>
      </c>
      <c r="Q787" s="113">
        <v>41</v>
      </c>
      <c r="R787" s="113">
        <v>56</v>
      </c>
      <c r="S787" s="113">
        <v>40</v>
      </c>
      <c r="T787" s="120">
        <v>62</v>
      </c>
      <c r="U787" s="113">
        <v>44</v>
      </c>
      <c r="V787" s="113">
        <v>71</v>
      </c>
    </row>
    <row r="788" spans="1:22">
      <c r="A788" s="113">
        <v>657</v>
      </c>
      <c r="B788" s="113" t="s">
        <v>705</v>
      </c>
      <c r="C788" s="120" t="s">
        <v>5991</v>
      </c>
      <c r="D788" s="124">
        <v>0.85</v>
      </c>
      <c r="E788" s="124">
        <v>0.15</v>
      </c>
      <c r="F788" s="113" t="s">
        <v>2331</v>
      </c>
      <c r="G788" s="113" t="s">
        <v>2707</v>
      </c>
      <c r="H788" s="113" t="s">
        <v>25</v>
      </c>
      <c r="I788" s="113" t="s">
        <v>1109</v>
      </c>
      <c r="J788" s="118" t="s">
        <v>792</v>
      </c>
      <c r="K788" s="118" t="s">
        <v>4657</v>
      </c>
      <c r="L788" s="118" t="s">
        <v>5990</v>
      </c>
      <c r="M788" s="115" t="s">
        <v>5990</v>
      </c>
      <c r="N788" s="115" t="s">
        <v>6398</v>
      </c>
      <c r="O788" s="115" t="s">
        <v>2128</v>
      </c>
      <c r="P788" s="113">
        <v>405</v>
      </c>
      <c r="Q788" s="113">
        <v>54</v>
      </c>
      <c r="R788" s="113">
        <v>63</v>
      </c>
      <c r="S788" s="113">
        <v>52</v>
      </c>
      <c r="T788" s="120">
        <v>83</v>
      </c>
      <c r="U788" s="113">
        <v>56</v>
      </c>
      <c r="V788" s="113">
        <v>97</v>
      </c>
    </row>
    <row r="789" spans="1:22">
      <c r="A789" s="113">
        <v>658</v>
      </c>
      <c r="B789" s="113" t="s">
        <v>706</v>
      </c>
      <c r="C789" s="120" t="s">
        <v>5992</v>
      </c>
      <c r="D789" s="124">
        <v>0.85</v>
      </c>
      <c r="E789" s="124">
        <v>0.15</v>
      </c>
      <c r="F789" s="113" t="s">
        <v>2331</v>
      </c>
      <c r="G789" s="113" t="s">
        <v>2707</v>
      </c>
      <c r="H789" s="113" t="s">
        <v>25</v>
      </c>
      <c r="I789" s="113" t="s">
        <v>158</v>
      </c>
      <c r="J789" s="118" t="s">
        <v>792</v>
      </c>
      <c r="K789" s="118" t="s">
        <v>4657</v>
      </c>
      <c r="L789" s="118" t="s">
        <v>5990</v>
      </c>
      <c r="M789" s="115" t="s">
        <v>5991</v>
      </c>
      <c r="N789" s="115" t="s">
        <v>6399</v>
      </c>
      <c r="O789" s="115" t="s">
        <v>2128</v>
      </c>
      <c r="P789" s="113">
        <v>530</v>
      </c>
      <c r="Q789" s="113">
        <v>72</v>
      </c>
      <c r="R789" s="113">
        <v>95</v>
      </c>
      <c r="S789" s="113">
        <v>67</v>
      </c>
      <c r="T789" s="120">
        <v>103</v>
      </c>
      <c r="U789" s="113">
        <v>71</v>
      </c>
      <c r="V789" s="113">
        <v>122</v>
      </c>
    </row>
    <row r="790" spans="1:22" hidden="1">
      <c r="A790" s="113">
        <v>658</v>
      </c>
      <c r="B790" s="113" t="s">
        <v>3029</v>
      </c>
      <c r="C790" s="120" t="s">
        <v>5993</v>
      </c>
      <c r="D790" s="124">
        <v>0.85</v>
      </c>
      <c r="E790" s="124">
        <v>0.15</v>
      </c>
      <c r="F790" s="113" t="s">
        <v>2331</v>
      </c>
      <c r="G790" s="113" t="s">
        <v>2707</v>
      </c>
      <c r="H790" s="113" t="s">
        <v>25</v>
      </c>
      <c r="I790" s="113" t="s">
        <v>158</v>
      </c>
      <c r="J790" s="118" t="s">
        <v>814</v>
      </c>
      <c r="K790" s="118" t="s">
        <v>4659</v>
      </c>
      <c r="L790" s="118" t="s">
        <v>5990</v>
      </c>
      <c r="M790" s="115" t="s">
        <v>5992</v>
      </c>
      <c r="N790" s="115" t="s">
        <v>814</v>
      </c>
      <c r="O790" s="115" t="s">
        <v>2130</v>
      </c>
      <c r="P790" s="113">
        <v>640</v>
      </c>
      <c r="Q790" s="113">
        <v>72</v>
      </c>
      <c r="R790" s="113">
        <v>145</v>
      </c>
      <c r="S790" s="113">
        <v>67</v>
      </c>
      <c r="T790" s="120">
        <v>153</v>
      </c>
      <c r="U790" s="113">
        <v>71</v>
      </c>
      <c r="V790" s="113">
        <v>132</v>
      </c>
    </row>
    <row r="791" spans="1:22">
      <c r="A791" s="113">
        <v>659</v>
      </c>
      <c r="B791" s="113" t="s">
        <v>707</v>
      </c>
      <c r="C791" s="120" t="s">
        <v>5994</v>
      </c>
      <c r="D791" s="124">
        <v>0.5</v>
      </c>
      <c r="E791" s="124">
        <v>0.5</v>
      </c>
      <c r="F791" s="113" t="s">
        <v>2332</v>
      </c>
      <c r="G791" s="113" t="s">
        <v>2707</v>
      </c>
      <c r="H791" s="113" t="s">
        <v>36</v>
      </c>
      <c r="I791" s="113" t="s">
        <v>1109</v>
      </c>
      <c r="J791" s="118" t="s">
        <v>2129</v>
      </c>
      <c r="K791" s="118" t="s">
        <v>2712</v>
      </c>
      <c r="L791" s="118" t="s">
        <v>5994</v>
      </c>
      <c r="M791" s="115" t="s">
        <v>1109</v>
      </c>
      <c r="N791" s="115" t="s">
        <v>2129</v>
      </c>
      <c r="O791" s="115" t="s">
        <v>1109</v>
      </c>
      <c r="P791" s="113">
        <v>237</v>
      </c>
      <c r="Q791" s="113">
        <v>38</v>
      </c>
      <c r="R791" s="113">
        <v>36</v>
      </c>
      <c r="S791" s="113">
        <v>38</v>
      </c>
      <c r="T791" s="120">
        <v>32</v>
      </c>
      <c r="U791" s="113">
        <v>36</v>
      </c>
      <c r="V791" s="113">
        <v>57</v>
      </c>
    </row>
    <row r="792" spans="1:22">
      <c r="A792" s="113">
        <v>660</v>
      </c>
      <c r="B792" s="113" t="s">
        <v>708</v>
      </c>
      <c r="C792" s="120" t="s">
        <v>5995</v>
      </c>
      <c r="D792" s="124">
        <v>0.5</v>
      </c>
      <c r="E792" s="124">
        <v>0.5</v>
      </c>
      <c r="F792" s="113" t="s">
        <v>2332</v>
      </c>
      <c r="G792" s="113" t="s">
        <v>2707</v>
      </c>
      <c r="H792" s="113" t="s">
        <v>36</v>
      </c>
      <c r="I792" s="113" t="s">
        <v>49</v>
      </c>
      <c r="J792" s="118" t="s">
        <v>2129</v>
      </c>
      <c r="K792" s="118" t="s">
        <v>2712</v>
      </c>
      <c r="L792" s="118" t="s">
        <v>5994</v>
      </c>
      <c r="M792" s="115" t="s">
        <v>5994</v>
      </c>
      <c r="N792" s="115" t="s">
        <v>6399</v>
      </c>
      <c r="O792" s="115" t="s">
        <v>2128</v>
      </c>
      <c r="P792" s="113">
        <v>423</v>
      </c>
      <c r="Q792" s="113">
        <v>85</v>
      </c>
      <c r="R792" s="113">
        <v>56</v>
      </c>
      <c r="S792" s="113">
        <v>77</v>
      </c>
      <c r="T792" s="120">
        <v>50</v>
      </c>
      <c r="U792" s="113">
        <v>77</v>
      </c>
      <c r="V792" s="113">
        <v>78</v>
      </c>
    </row>
    <row r="793" spans="1:22">
      <c r="A793" s="113">
        <v>661</v>
      </c>
      <c r="B793" s="113" t="s">
        <v>709</v>
      </c>
      <c r="C793" s="120" t="s">
        <v>5996</v>
      </c>
      <c r="D793" s="124">
        <v>0.5</v>
      </c>
      <c r="E793" s="124">
        <v>0.5</v>
      </c>
      <c r="F793" s="113" t="s">
        <v>22</v>
      </c>
      <c r="G793" s="113" t="s">
        <v>2707</v>
      </c>
      <c r="H793" s="113" t="s">
        <v>36</v>
      </c>
      <c r="I793" s="113" t="s">
        <v>22</v>
      </c>
      <c r="J793" s="118" t="s">
        <v>2129</v>
      </c>
      <c r="K793" s="118" t="s">
        <v>2712</v>
      </c>
      <c r="L793" s="118" t="s">
        <v>5996</v>
      </c>
      <c r="M793" s="115" t="s">
        <v>1109</v>
      </c>
      <c r="N793" s="115" t="s">
        <v>2129</v>
      </c>
      <c r="O793" s="115" t="s">
        <v>1109</v>
      </c>
      <c r="P793" s="113">
        <v>278</v>
      </c>
      <c r="Q793" s="113">
        <v>45</v>
      </c>
      <c r="R793" s="113">
        <v>50</v>
      </c>
      <c r="S793" s="113">
        <v>43</v>
      </c>
      <c r="T793" s="120">
        <v>40</v>
      </c>
      <c r="U793" s="113">
        <v>38</v>
      </c>
      <c r="V793" s="113">
        <v>62</v>
      </c>
    </row>
    <row r="794" spans="1:22">
      <c r="A794" s="113">
        <v>662</v>
      </c>
      <c r="B794" s="113" t="s">
        <v>710</v>
      </c>
      <c r="C794" s="120" t="s">
        <v>5997</v>
      </c>
      <c r="D794" s="124">
        <v>0.5</v>
      </c>
      <c r="E794" s="124">
        <v>0.5</v>
      </c>
      <c r="F794" s="113" t="s">
        <v>22</v>
      </c>
      <c r="G794" s="113" t="s">
        <v>2707</v>
      </c>
      <c r="H794" s="113" t="s">
        <v>19</v>
      </c>
      <c r="I794" s="113" t="s">
        <v>22</v>
      </c>
      <c r="J794" s="118" t="s">
        <v>2129</v>
      </c>
      <c r="K794" s="118" t="s">
        <v>2712</v>
      </c>
      <c r="L794" s="118" t="s">
        <v>5996</v>
      </c>
      <c r="M794" s="115" t="s">
        <v>5996</v>
      </c>
      <c r="N794" s="115" t="s">
        <v>6398</v>
      </c>
      <c r="O794" s="115" t="s">
        <v>2128</v>
      </c>
      <c r="P794" s="113">
        <v>382</v>
      </c>
      <c r="Q794" s="113">
        <v>62</v>
      </c>
      <c r="R794" s="113">
        <v>73</v>
      </c>
      <c r="S794" s="113">
        <v>55</v>
      </c>
      <c r="T794" s="120">
        <v>56</v>
      </c>
      <c r="U794" s="113">
        <v>52</v>
      </c>
      <c r="V794" s="113">
        <v>84</v>
      </c>
    </row>
    <row r="795" spans="1:22">
      <c r="A795" s="113">
        <v>663</v>
      </c>
      <c r="B795" s="113" t="s">
        <v>711</v>
      </c>
      <c r="C795" s="120" t="s">
        <v>5998</v>
      </c>
      <c r="D795" s="124">
        <v>0.5</v>
      </c>
      <c r="E795" s="124">
        <v>0.5</v>
      </c>
      <c r="F795" s="113" t="s">
        <v>22</v>
      </c>
      <c r="G795" s="113" t="s">
        <v>2707</v>
      </c>
      <c r="H795" s="113" t="s">
        <v>19</v>
      </c>
      <c r="I795" s="113" t="s">
        <v>22</v>
      </c>
      <c r="J795" s="118" t="s">
        <v>2129</v>
      </c>
      <c r="K795" s="118" t="s">
        <v>2712</v>
      </c>
      <c r="L795" s="118" t="s">
        <v>5996</v>
      </c>
      <c r="M795" s="115" t="s">
        <v>5997</v>
      </c>
      <c r="N795" s="115" t="s">
        <v>6399</v>
      </c>
      <c r="O795" s="115" t="s">
        <v>2128</v>
      </c>
      <c r="P795" s="113">
        <v>499</v>
      </c>
      <c r="Q795" s="113">
        <v>78</v>
      </c>
      <c r="R795" s="113">
        <v>81</v>
      </c>
      <c r="S795" s="113">
        <v>71</v>
      </c>
      <c r="T795" s="120">
        <v>74</v>
      </c>
      <c r="U795" s="113">
        <v>69</v>
      </c>
      <c r="V795" s="113">
        <v>126</v>
      </c>
    </row>
    <row r="796" spans="1:22">
      <c r="A796" s="113">
        <v>664</v>
      </c>
      <c r="B796" s="113" t="s">
        <v>712</v>
      </c>
      <c r="C796" s="120" t="s">
        <v>5999</v>
      </c>
      <c r="D796" s="124">
        <v>0.5</v>
      </c>
      <c r="E796" s="124">
        <v>0.5</v>
      </c>
      <c r="F796" s="113" t="s">
        <v>29</v>
      </c>
      <c r="G796" s="113" t="s">
        <v>2707</v>
      </c>
      <c r="H796" s="113" t="s">
        <v>29</v>
      </c>
      <c r="I796" s="113" t="s">
        <v>1109</v>
      </c>
      <c r="J796" s="118" t="s">
        <v>2129</v>
      </c>
      <c r="K796" s="118" t="s">
        <v>2712</v>
      </c>
      <c r="L796" s="118" t="s">
        <v>5999</v>
      </c>
      <c r="M796" s="115" t="s">
        <v>1109</v>
      </c>
      <c r="N796" s="115" t="s">
        <v>2129</v>
      </c>
      <c r="O796" s="115" t="s">
        <v>1109</v>
      </c>
      <c r="P796" s="113">
        <v>200</v>
      </c>
      <c r="Q796" s="113">
        <v>38</v>
      </c>
      <c r="R796" s="113">
        <v>35</v>
      </c>
      <c r="S796" s="113">
        <v>40</v>
      </c>
      <c r="T796" s="120">
        <v>27</v>
      </c>
      <c r="U796" s="113">
        <v>25</v>
      </c>
      <c r="V796" s="113">
        <v>35</v>
      </c>
    </row>
    <row r="797" spans="1:22">
      <c r="A797" s="113">
        <v>665</v>
      </c>
      <c r="B797" s="113" t="s">
        <v>713</v>
      </c>
      <c r="C797" s="120" t="s">
        <v>6000</v>
      </c>
      <c r="D797" s="124">
        <v>0.5</v>
      </c>
      <c r="E797" s="124">
        <v>0.5</v>
      </c>
      <c r="F797" s="113" t="s">
        <v>29</v>
      </c>
      <c r="G797" s="113" t="s">
        <v>2707</v>
      </c>
      <c r="H797" s="113" t="s">
        <v>29</v>
      </c>
      <c r="I797" s="113" t="s">
        <v>1109</v>
      </c>
      <c r="J797" s="118" t="s">
        <v>2129</v>
      </c>
      <c r="K797" s="118" t="s">
        <v>2712</v>
      </c>
      <c r="L797" s="118" t="s">
        <v>5999</v>
      </c>
      <c r="M797" s="115" t="s">
        <v>5999</v>
      </c>
      <c r="N797" s="115" t="s">
        <v>6398</v>
      </c>
      <c r="O797" s="115" t="s">
        <v>2128</v>
      </c>
      <c r="P797" s="113">
        <v>213</v>
      </c>
      <c r="Q797" s="113">
        <v>45</v>
      </c>
      <c r="R797" s="113">
        <v>22</v>
      </c>
      <c r="S797" s="113">
        <v>60</v>
      </c>
      <c r="T797" s="120">
        <v>27</v>
      </c>
      <c r="U797" s="113">
        <v>30</v>
      </c>
      <c r="V797" s="113">
        <v>29</v>
      </c>
    </row>
    <row r="798" spans="1:22">
      <c r="A798" s="113">
        <v>666</v>
      </c>
      <c r="B798" s="113" t="s">
        <v>714</v>
      </c>
      <c r="C798" s="120" t="s">
        <v>6001</v>
      </c>
      <c r="D798" s="124">
        <v>0.5</v>
      </c>
      <c r="E798" s="124">
        <v>0.5</v>
      </c>
      <c r="F798" s="113" t="s">
        <v>29</v>
      </c>
      <c r="G798" s="113" t="s">
        <v>2707</v>
      </c>
      <c r="H798" s="113" t="s">
        <v>29</v>
      </c>
      <c r="I798" s="113" t="s">
        <v>22</v>
      </c>
      <c r="J798" s="118" t="s">
        <v>2129</v>
      </c>
      <c r="K798" s="118" t="s">
        <v>2712</v>
      </c>
      <c r="L798" s="118" t="s">
        <v>5999</v>
      </c>
      <c r="M798" s="115" t="s">
        <v>6000</v>
      </c>
      <c r="N798" s="115" t="s">
        <v>6399</v>
      </c>
      <c r="O798" s="115" t="s">
        <v>2128</v>
      </c>
      <c r="P798" s="113">
        <v>411</v>
      </c>
      <c r="Q798" s="113">
        <v>80</v>
      </c>
      <c r="R798" s="113">
        <v>52</v>
      </c>
      <c r="S798" s="113">
        <v>50</v>
      </c>
      <c r="T798" s="120">
        <v>90</v>
      </c>
      <c r="U798" s="113">
        <v>50</v>
      </c>
      <c r="V798" s="113">
        <v>89</v>
      </c>
    </row>
    <row r="799" spans="1:22">
      <c r="A799" s="113">
        <v>667</v>
      </c>
      <c r="B799" s="113" t="s">
        <v>715</v>
      </c>
      <c r="C799" s="120" t="s">
        <v>6002</v>
      </c>
      <c r="D799" s="124">
        <v>0.15</v>
      </c>
      <c r="E799" s="124">
        <v>0.85</v>
      </c>
      <c r="F799" s="113" t="s">
        <v>2332</v>
      </c>
      <c r="G799" s="113" t="s">
        <v>2707</v>
      </c>
      <c r="H799" s="113" t="s">
        <v>19</v>
      </c>
      <c r="I799" s="113" t="s">
        <v>36</v>
      </c>
      <c r="J799" s="118" t="s">
        <v>2129</v>
      </c>
      <c r="K799" s="118" t="s">
        <v>4658</v>
      </c>
      <c r="L799" s="118" t="s">
        <v>6002</v>
      </c>
      <c r="M799" s="115" t="s">
        <v>1109</v>
      </c>
      <c r="N799" s="115" t="s">
        <v>2129</v>
      </c>
      <c r="O799" s="115" t="s">
        <v>1109</v>
      </c>
      <c r="P799" s="113">
        <v>369</v>
      </c>
      <c r="Q799" s="113">
        <v>62</v>
      </c>
      <c r="R799" s="113">
        <v>50</v>
      </c>
      <c r="S799" s="113">
        <v>58</v>
      </c>
      <c r="T799" s="120">
        <v>73</v>
      </c>
      <c r="U799" s="113">
        <v>54</v>
      </c>
      <c r="V799" s="113">
        <v>72</v>
      </c>
    </row>
    <row r="800" spans="1:22">
      <c r="A800" s="113">
        <v>668</v>
      </c>
      <c r="B800" s="113" t="s">
        <v>716</v>
      </c>
      <c r="C800" s="120" t="s">
        <v>6003</v>
      </c>
      <c r="D800" s="124">
        <v>0.15</v>
      </c>
      <c r="E800" s="124">
        <v>0.85</v>
      </c>
      <c r="F800" s="113" t="s">
        <v>2332</v>
      </c>
      <c r="G800" s="113" t="s">
        <v>2707</v>
      </c>
      <c r="H800" s="113" t="s">
        <v>19</v>
      </c>
      <c r="I800" s="113" t="s">
        <v>36</v>
      </c>
      <c r="J800" s="118" t="s">
        <v>2129</v>
      </c>
      <c r="K800" s="118" t="s">
        <v>4658</v>
      </c>
      <c r="L800" s="118" t="s">
        <v>6002</v>
      </c>
      <c r="M800" s="115" t="s">
        <v>6002</v>
      </c>
      <c r="N800" s="115" t="s">
        <v>6399</v>
      </c>
      <c r="O800" s="115" t="s">
        <v>2128</v>
      </c>
      <c r="P800" s="113">
        <v>507</v>
      </c>
      <c r="Q800" s="113">
        <v>86</v>
      </c>
      <c r="R800" s="113">
        <v>68</v>
      </c>
      <c r="S800" s="113">
        <v>72</v>
      </c>
      <c r="T800" s="120">
        <v>109</v>
      </c>
      <c r="U800" s="113">
        <v>66</v>
      </c>
      <c r="V800" s="113">
        <v>106</v>
      </c>
    </row>
    <row r="801" spans="1:22">
      <c r="A801" s="113">
        <v>669</v>
      </c>
      <c r="B801" s="113" t="s">
        <v>2272</v>
      </c>
      <c r="C801" s="120" t="s">
        <v>6004</v>
      </c>
      <c r="D801" s="124">
        <v>0</v>
      </c>
      <c r="E801" s="124">
        <v>1</v>
      </c>
      <c r="F801" s="113" t="s">
        <v>56</v>
      </c>
      <c r="G801" s="113" t="s">
        <v>2707</v>
      </c>
      <c r="H801" s="113" t="s">
        <v>56</v>
      </c>
      <c r="I801" s="113" t="s">
        <v>1109</v>
      </c>
      <c r="J801" s="118" t="s">
        <v>2129</v>
      </c>
      <c r="K801" s="118" t="s">
        <v>2712</v>
      </c>
      <c r="L801" s="118" t="s">
        <v>6004</v>
      </c>
      <c r="M801" s="115" t="s">
        <v>1109</v>
      </c>
      <c r="N801" s="115" t="s">
        <v>2129</v>
      </c>
      <c r="O801" s="115" t="s">
        <v>1109</v>
      </c>
      <c r="P801" s="113">
        <v>303</v>
      </c>
      <c r="Q801" s="113">
        <v>44</v>
      </c>
      <c r="R801" s="113">
        <v>38</v>
      </c>
      <c r="S801" s="113">
        <v>39</v>
      </c>
      <c r="T801" s="120">
        <v>61</v>
      </c>
      <c r="U801" s="113">
        <v>79</v>
      </c>
      <c r="V801" s="113">
        <v>42</v>
      </c>
    </row>
    <row r="802" spans="1:22">
      <c r="A802" s="113">
        <v>670</v>
      </c>
      <c r="B802" s="113" t="s">
        <v>718</v>
      </c>
      <c r="C802" s="120" t="s">
        <v>6005</v>
      </c>
      <c r="D802" s="124">
        <v>0</v>
      </c>
      <c r="E802" s="124">
        <v>1</v>
      </c>
      <c r="F802" s="113" t="s">
        <v>56</v>
      </c>
      <c r="G802" s="113" t="s">
        <v>2707</v>
      </c>
      <c r="H802" s="113" t="s">
        <v>56</v>
      </c>
      <c r="I802" s="113" t="s">
        <v>1109</v>
      </c>
      <c r="J802" s="118" t="s">
        <v>2129</v>
      </c>
      <c r="K802" s="118" t="s">
        <v>2712</v>
      </c>
      <c r="L802" s="118" t="s">
        <v>6004</v>
      </c>
      <c r="M802" s="115" t="s">
        <v>6004</v>
      </c>
      <c r="N802" s="115" t="s">
        <v>6398</v>
      </c>
      <c r="O802" s="115" t="s">
        <v>2128</v>
      </c>
      <c r="P802" s="113">
        <v>371</v>
      </c>
      <c r="Q802" s="113">
        <v>54</v>
      </c>
      <c r="R802" s="113">
        <v>45</v>
      </c>
      <c r="S802" s="113">
        <v>47</v>
      </c>
      <c r="T802" s="120">
        <v>75</v>
      </c>
      <c r="U802" s="113">
        <v>98</v>
      </c>
      <c r="V802" s="113">
        <v>52</v>
      </c>
    </row>
    <row r="803" spans="1:22">
      <c r="A803" s="113">
        <v>671</v>
      </c>
      <c r="B803" s="113" t="s">
        <v>719</v>
      </c>
      <c r="C803" s="120" t="s">
        <v>6006</v>
      </c>
      <c r="D803" s="124">
        <v>0</v>
      </c>
      <c r="E803" s="124">
        <v>1</v>
      </c>
      <c r="F803" s="113" t="s">
        <v>56</v>
      </c>
      <c r="G803" s="113" t="s">
        <v>2707</v>
      </c>
      <c r="H803" s="113" t="s">
        <v>56</v>
      </c>
      <c r="I803" s="113" t="s">
        <v>1109</v>
      </c>
      <c r="J803" s="118" t="s">
        <v>2129</v>
      </c>
      <c r="K803" s="118" t="s">
        <v>2712</v>
      </c>
      <c r="L803" s="118" t="s">
        <v>6004</v>
      </c>
      <c r="M803" s="115" t="s">
        <v>6005</v>
      </c>
      <c r="N803" s="115" t="s">
        <v>6399</v>
      </c>
      <c r="O803" s="115" t="s">
        <v>2128</v>
      </c>
      <c r="P803" s="113">
        <v>552</v>
      </c>
      <c r="Q803" s="113">
        <v>78</v>
      </c>
      <c r="R803" s="113">
        <v>65</v>
      </c>
      <c r="S803" s="113">
        <v>68</v>
      </c>
      <c r="T803" s="120">
        <v>112</v>
      </c>
      <c r="U803" s="113">
        <v>154</v>
      </c>
      <c r="V803" s="113">
        <v>75</v>
      </c>
    </row>
    <row r="804" spans="1:22">
      <c r="A804" s="113">
        <v>672</v>
      </c>
      <c r="B804" s="113" t="s">
        <v>720</v>
      </c>
      <c r="C804" s="120" t="s">
        <v>6007</v>
      </c>
      <c r="D804" s="124">
        <v>0.5</v>
      </c>
      <c r="E804" s="124">
        <v>0.5</v>
      </c>
      <c r="F804" s="113" t="s">
        <v>2332</v>
      </c>
      <c r="G804" s="113" t="s">
        <v>2707</v>
      </c>
      <c r="H804" s="113" t="s">
        <v>14</v>
      </c>
      <c r="I804" s="113" t="s">
        <v>1109</v>
      </c>
      <c r="J804" s="118" t="s">
        <v>2129</v>
      </c>
      <c r="K804" s="118" t="s">
        <v>2712</v>
      </c>
      <c r="L804" s="118" t="s">
        <v>6007</v>
      </c>
      <c r="M804" s="115" t="s">
        <v>1109</v>
      </c>
      <c r="N804" s="115" t="s">
        <v>2129</v>
      </c>
      <c r="O804" s="115" t="s">
        <v>1109</v>
      </c>
      <c r="P804" s="113">
        <v>350</v>
      </c>
      <c r="Q804" s="113">
        <v>66</v>
      </c>
      <c r="R804" s="113">
        <v>65</v>
      </c>
      <c r="S804" s="113">
        <v>48</v>
      </c>
      <c r="T804" s="120">
        <v>62</v>
      </c>
      <c r="U804" s="113">
        <v>57</v>
      </c>
      <c r="V804" s="113">
        <v>52</v>
      </c>
    </row>
    <row r="805" spans="1:22">
      <c r="A805" s="113">
        <v>673</v>
      </c>
      <c r="B805" s="113" t="s">
        <v>721</v>
      </c>
      <c r="C805" s="120" t="s">
        <v>6008</v>
      </c>
      <c r="D805" s="124">
        <v>0.5</v>
      </c>
      <c r="E805" s="124">
        <v>0.5</v>
      </c>
      <c r="F805" s="113" t="s">
        <v>2332</v>
      </c>
      <c r="G805" s="113" t="s">
        <v>2707</v>
      </c>
      <c r="H805" s="113" t="s">
        <v>14</v>
      </c>
      <c r="I805" s="113" t="s">
        <v>1109</v>
      </c>
      <c r="J805" s="118" t="s">
        <v>2129</v>
      </c>
      <c r="K805" s="118" t="s">
        <v>2712</v>
      </c>
      <c r="L805" s="118" t="s">
        <v>6007</v>
      </c>
      <c r="M805" s="115" t="s">
        <v>6007</v>
      </c>
      <c r="N805" s="115" t="s">
        <v>6399</v>
      </c>
      <c r="O805" s="115" t="s">
        <v>2128</v>
      </c>
      <c r="P805" s="113">
        <v>531</v>
      </c>
      <c r="Q805" s="113">
        <v>123</v>
      </c>
      <c r="R805" s="113">
        <v>100</v>
      </c>
      <c r="S805" s="113">
        <v>62</v>
      </c>
      <c r="T805" s="120">
        <v>97</v>
      </c>
      <c r="U805" s="113">
        <v>81</v>
      </c>
      <c r="V805" s="113">
        <v>68</v>
      </c>
    </row>
    <row r="806" spans="1:22">
      <c r="A806" s="113">
        <v>674</v>
      </c>
      <c r="B806" s="113" t="s">
        <v>722</v>
      </c>
      <c r="C806" s="120" t="s">
        <v>6009</v>
      </c>
      <c r="D806" s="124">
        <v>0.5</v>
      </c>
      <c r="E806" s="124">
        <v>0.5</v>
      </c>
      <c r="F806" s="113" t="s">
        <v>2332</v>
      </c>
      <c r="G806" s="113" t="s">
        <v>2707</v>
      </c>
      <c r="H806" s="113" t="s">
        <v>78</v>
      </c>
      <c r="I806" s="113" t="s">
        <v>1109</v>
      </c>
      <c r="J806" s="118" t="s">
        <v>2129</v>
      </c>
      <c r="K806" s="118" t="s">
        <v>4658</v>
      </c>
      <c r="L806" s="118" t="s">
        <v>6009</v>
      </c>
      <c r="M806" s="115" t="s">
        <v>1109</v>
      </c>
      <c r="N806" s="115" t="s">
        <v>2129</v>
      </c>
      <c r="O806" s="115" t="s">
        <v>1109</v>
      </c>
      <c r="P806" s="113">
        <v>348</v>
      </c>
      <c r="Q806" s="113">
        <v>67</v>
      </c>
      <c r="R806" s="113">
        <v>82</v>
      </c>
      <c r="S806" s="113">
        <v>62</v>
      </c>
      <c r="T806" s="120">
        <v>46</v>
      </c>
      <c r="U806" s="113">
        <v>48</v>
      </c>
      <c r="V806" s="113">
        <v>43</v>
      </c>
    </row>
    <row r="807" spans="1:22">
      <c r="A807" s="113">
        <v>675</v>
      </c>
      <c r="B807" s="113" t="s">
        <v>723</v>
      </c>
      <c r="C807" s="120" t="s">
        <v>6010</v>
      </c>
      <c r="D807" s="124">
        <v>0.5</v>
      </c>
      <c r="E807" s="124">
        <v>0.5</v>
      </c>
      <c r="F807" s="113" t="s">
        <v>2332</v>
      </c>
      <c r="G807" s="113" t="s">
        <v>2707</v>
      </c>
      <c r="H807" s="113" t="s">
        <v>78</v>
      </c>
      <c r="I807" s="113" t="s">
        <v>158</v>
      </c>
      <c r="J807" s="118" t="s">
        <v>2129</v>
      </c>
      <c r="K807" s="118" t="s">
        <v>4658</v>
      </c>
      <c r="L807" s="118" t="s">
        <v>6009</v>
      </c>
      <c r="M807" s="115" t="s">
        <v>6009</v>
      </c>
      <c r="N807" s="115" t="s">
        <v>6399</v>
      </c>
      <c r="O807" s="115" t="s">
        <v>2128</v>
      </c>
      <c r="P807" s="113">
        <v>495</v>
      </c>
      <c r="Q807" s="113">
        <v>95</v>
      </c>
      <c r="R807" s="113">
        <v>124</v>
      </c>
      <c r="S807" s="113">
        <v>78</v>
      </c>
      <c r="T807" s="120">
        <v>69</v>
      </c>
      <c r="U807" s="113">
        <v>71</v>
      </c>
      <c r="V807" s="113">
        <v>58</v>
      </c>
    </row>
    <row r="808" spans="1:22">
      <c r="A808" s="113">
        <v>676</v>
      </c>
      <c r="B808" s="113" t="s">
        <v>724</v>
      </c>
      <c r="C808" s="120" t="s">
        <v>6011</v>
      </c>
      <c r="D808" s="124">
        <v>0.5</v>
      </c>
      <c r="E808" s="124">
        <v>0.5</v>
      </c>
      <c r="F808" s="113" t="s">
        <v>2332</v>
      </c>
      <c r="G808" s="113" t="s">
        <v>2707</v>
      </c>
      <c r="H808" s="113" t="s">
        <v>36</v>
      </c>
      <c r="I808" s="113" t="s">
        <v>1109</v>
      </c>
      <c r="J808" s="118" t="s">
        <v>2129</v>
      </c>
      <c r="K808" s="118" t="s">
        <v>4658</v>
      </c>
      <c r="L808" s="118" t="s">
        <v>6011</v>
      </c>
      <c r="M808" s="115" t="s">
        <v>1109</v>
      </c>
      <c r="N808" s="115" t="s">
        <v>6399</v>
      </c>
      <c r="O808" s="115" t="s">
        <v>1109</v>
      </c>
      <c r="P808" s="113">
        <v>472</v>
      </c>
      <c r="Q808" s="113">
        <v>75</v>
      </c>
      <c r="R808" s="113">
        <v>80</v>
      </c>
      <c r="S808" s="113">
        <v>60</v>
      </c>
      <c r="T808" s="120">
        <v>65</v>
      </c>
      <c r="U808" s="113">
        <v>90</v>
      </c>
      <c r="V808" s="113">
        <v>102</v>
      </c>
    </row>
    <row r="809" spans="1:22">
      <c r="A809" s="113">
        <v>677</v>
      </c>
      <c r="B809" s="113" t="s">
        <v>725</v>
      </c>
      <c r="C809" s="120" t="s">
        <v>6012</v>
      </c>
      <c r="D809" s="124">
        <v>0.5</v>
      </c>
      <c r="E809" s="124">
        <v>0.5</v>
      </c>
      <c r="F809" s="113" t="s">
        <v>2332</v>
      </c>
      <c r="G809" s="113" t="s">
        <v>2707</v>
      </c>
      <c r="H809" s="113" t="s">
        <v>86</v>
      </c>
      <c r="I809" s="113" t="s">
        <v>1109</v>
      </c>
      <c r="J809" s="118" t="s">
        <v>2129</v>
      </c>
      <c r="K809" s="118" t="s">
        <v>4658</v>
      </c>
      <c r="L809" s="118" t="s">
        <v>6012</v>
      </c>
      <c r="M809" s="115" t="s">
        <v>1109</v>
      </c>
      <c r="N809" s="115" t="s">
        <v>2129</v>
      </c>
      <c r="O809" s="115" t="s">
        <v>1109</v>
      </c>
      <c r="P809" s="113">
        <v>355</v>
      </c>
      <c r="Q809" s="113">
        <v>62</v>
      </c>
      <c r="R809" s="113">
        <v>48</v>
      </c>
      <c r="S809" s="113">
        <v>54</v>
      </c>
      <c r="T809" s="120">
        <v>63</v>
      </c>
      <c r="U809" s="113">
        <v>60</v>
      </c>
      <c r="V809" s="113">
        <v>68</v>
      </c>
    </row>
    <row r="810" spans="1:22">
      <c r="A810" s="113">
        <v>678</v>
      </c>
      <c r="B810" s="113" t="s">
        <v>6461</v>
      </c>
      <c r="C810" s="120" t="s">
        <v>6013</v>
      </c>
      <c r="D810" s="124">
        <v>1</v>
      </c>
      <c r="E810" s="132" t="s">
        <v>1109</v>
      </c>
      <c r="F810" s="113" t="s">
        <v>2332</v>
      </c>
      <c r="G810" s="113" t="s">
        <v>2707</v>
      </c>
      <c r="H810" s="113" t="s">
        <v>86</v>
      </c>
      <c r="I810" s="113" t="s">
        <v>1109</v>
      </c>
      <c r="J810" s="118" t="s">
        <v>2129</v>
      </c>
      <c r="K810" s="118" t="s">
        <v>4658</v>
      </c>
      <c r="L810" s="118" t="s">
        <v>6012</v>
      </c>
      <c r="M810" s="115" t="s">
        <v>6012</v>
      </c>
      <c r="N810" s="115" t="s">
        <v>6399</v>
      </c>
      <c r="O810" s="115" t="s">
        <v>2128</v>
      </c>
      <c r="P810" s="113">
        <v>466</v>
      </c>
      <c r="Q810" s="113">
        <v>74</v>
      </c>
      <c r="R810" s="113">
        <v>48</v>
      </c>
      <c r="S810" s="113">
        <v>76</v>
      </c>
      <c r="T810" s="120">
        <v>83</v>
      </c>
      <c r="U810" s="113">
        <v>81</v>
      </c>
      <c r="V810" s="113">
        <v>104</v>
      </c>
    </row>
    <row r="811" spans="1:22">
      <c r="A811" s="113">
        <v>678</v>
      </c>
      <c r="B811" s="113" t="s">
        <v>6462</v>
      </c>
      <c r="C811" s="120" t="s">
        <v>6463</v>
      </c>
      <c r="D811" s="132" t="s">
        <v>1109</v>
      </c>
      <c r="E811" s="124">
        <v>1</v>
      </c>
      <c r="F811" s="113" t="s">
        <v>2332</v>
      </c>
      <c r="G811" s="113" t="s">
        <v>2707</v>
      </c>
      <c r="H811" s="113" t="s">
        <v>86</v>
      </c>
      <c r="I811" s="113" t="s">
        <v>1109</v>
      </c>
      <c r="J811" s="118" t="s">
        <v>2129</v>
      </c>
      <c r="K811" s="118" t="s">
        <v>4658</v>
      </c>
      <c r="L811" s="118" t="s">
        <v>6012</v>
      </c>
      <c r="M811" s="115" t="s">
        <v>6012</v>
      </c>
      <c r="N811" s="115" t="s">
        <v>6399</v>
      </c>
      <c r="O811" s="115" t="s">
        <v>2128</v>
      </c>
      <c r="P811" s="113">
        <v>466</v>
      </c>
      <c r="Q811" s="113">
        <v>74</v>
      </c>
      <c r="R811" s="113">
        <v>48</v>
      </c>
      <c r="S811" s="113">
        <v>76</v>
      </c>
      <c r="T811" s="120">
        <v>83</v>
      </c>
      <c r="U811" s="113">
        <v>81</v>
      </c>
      <c r="V811" s="113">
        <v>104</v>
      </c>
    </row>
    <row r="812" spans="1:22">
      <c r="A812" s="113">
        <v>679</v>
      </c>
      <c r="B812" s="113" t="s">
        <v>728</v>
      </c>
      <c r="C812" s="120" t="s">
        <v>6014</v>
      </c>
      <c r="D812" s="124">
        <v>0.5</v>
      </c>
      <c r="E812" s="124">
        <v>0.5</v>
      </c>
      <c r="F812" s="113" t="s">
        <v>2112</v>
      </c>
      <c r="G812" s="113" t="s">
        <v>2707</v>
      </c>
      <c r="H812" s="113" t="s">
        <v>106</v>
      </c>
      <c r="I812" s="113" t="s">
        <v>119</v>
      </c>
      <c r="J812" s="118" t="s">
        <v>2129</v>
      </c>
      <c r="K812" s="118" t="s">
        <v>4658</v>
      </c>
      <c r="L812" s="118" t="s">
        <v>6014</v>
      </c>
      <c r="M812" s="115" t="s">
        <v>1109</v>
      </c>
      <c r="N812" s="115" t="s">
        <v>2129</v>
      </c>
      <c r="O812" s="115" t="s">
        <v>1109</v>
      </c>
      <c r="P812" s="113">
        <v>325</v>
      </c>
      <c r="Q812" s="113">
        <v>45</v>
      </c>
      <c r="R812" s="113">
        <v>80</v>
      </c>
      <c r="S812" s="113">
        <v>100</v>
      </c>
      <c r="T812" s="120">
        <v>35</v>
      </c>
      <c r="U812" s="113">
        <v>37</v>
      </c>
      <c r="V812" s="113">
        <v>28</v>
      </c>
    </row>
    <row r="813" spans="1:22">
      <c r="A813" s="113">
        <v>680</v>
      </c>
      <c r="B813" s="113" t="s">
        <v>729</v>
      </c>
      <c r="C813" s="120" t="s">
        <v>6015</v>
      </c>
      <c r="D813" s="124">
        <v>0.5</v>
      </c>
      <c r="E813" s="124">
        <v>0.5</v>
      </c>
      <c r="F813" s="113" t="s">
        <v>2112</v>
      </c>
      <c r="G813" s="113" t="s">
        <v>2707</v>
      </c>
      <c r="H813" s="113" t="s">
        <v>106</v>
      </c>
      <c r="I813" s="113" t="s">
        <v>119</v>
      </c>
      <c r="J813" s="118" t="s">
        <v>2129</v>
      </c>
      <c r="K813" s="118" t="s">
        <v>4658</v>
      </c>
      <c r="L813" s="118" t="s">
        <v>6014</v>
      </c>
      <c r="M813" s="115" t="s">
        <v>6014</v>
      </c>
      <c r="N813" s="115" t="s">
        <v>6398</v>
      </c>
      <c r="O813" s="115" t="s">
        <v>2128</v>
      </c>
      <c r="P813" s="113">
        <v>448</v>
      </c>
      <c r="Q813" s="113">
        <v>59</v>
      </c>
      <c r="R813" s="113">
        <v>110</v>
      </c>
      <c r="S813" s="113">
        <v>150</v>
      </c>
      <c r="T813" s="120">
        <v>45</v>
      </c>
      <c r="U813" s="113">
        <v>49</v>
      </c>
      <c r="V813" s="113">
        <v>35</v>
      </c>
    </row>
    <row r="814" spans="1:22">
      <c r="A814" s="113">
        <v>681</v>
      </c>
      <c r="B814" s="120" t="s">
        <v>6419</v>
      </c>
      <c r="C814" s="120" t="s">
        <v>6016</v>
      </c>
      <c r="D814" s="124">
        <v>0.5</v>
      </c>
      <c r="E814" s="124">
        <v>0.5</v>
      </c>
      <c r="F814" s="113" t="s">
        <v>2112</v>
      </c>
      <c r="G814" s="113" t="s">
        <v>2707</v>
      </c>
      <c r="H814" s="113" t="s">
        <v>106</v>
      </c>
      <c r="I814" s="113" t="s">
        <v>119</v>
      </c>
      <c r="J814" s="118" t="s">
        <v>2129</v>
      </c>
      <c r="K814" s="118" t="s">
        <v>4658</v>
      </c>
      <c r="L814" s="118" t="s">
        <v>6014</v>
      </c>
      <c r="M814" s="115" t="s">
        <v>6015</v>
      </c>
      <c r="N814" s="115" t="s">
        <v>6399</v>
      </c>
      <c r="O814" s="115" t="s">
        <v>2128</v>
      </c>
      <c r="P814" s="113">
        <v>500</v>
      </c>
      <c r="Q814" s="113">
        <v>60</v>
      </c>
      <c r="R814" s="113">
        <v>140</v>
      </c>
      <c r="S814" s="113">
        <v>50</v>
      </c>
      <c r="T814" s="120">
        <v>140</v>
      </c>
      <c r="U814" s="113">
        <v>50</v>
      </c>
      <c r="V814" s="113">
        <v>60</v>
      </c>
    </row>
    <row r="815" spans="1:22">
      <c r="A815" s="113">
        <v>681</v>
      </c>
      <c r="B815" s="113" t="s">
        <v>6420</v>
      </c>
      <c r="C815" s="120" t="s">
        <v>6017</v>
      </c>
      <c r="D815" s="124">
        <v>0.5</v>
      </c>
      <c r="E815" s="124">
        <v>0.5</v>
      </c>
      <c r="F815" s="113" t="s">
        <v>2112</v>
      </c>
      <c r="G815" s="113" t="s">
        <v>2707</v>
      </c>
      <c r="H815" s="113" t="s">
        <v>106</v>
      </c>
      <c r="I815" s="113" t="s">
        <v>119</v>
      </c>
      <c r="J815" s="118" t="s">
        <v>2129</v>
      </c>
      <c r="K815" s="118" t="s">
        <v>4658</v>
      </c>
      <c r="L815" s="118" t="s">
        <v>6014</v>
      </c>
      <c r="M815" s="115" t="s">
        <v>6015</v>
      </c>
      <c r="N815" s="115" t="s">
        <v>6399</v>
      </c>
      <c r="O815" s="115" t="s">
        <v>1109</v>
      </c>
      <c r="P815" s="113">
        <v>500</v>
      </c>
      <c r="Q815" s="113">
        <v>60</v>
      </c>
      <c r="R815" s="113">
        <v>50</v>
      </c>
      <c r="S815" s="113">
        <v>140</v>
      </c>
      <c r="T815" s="120">
        <v>50</v>
      </c>
      <c r="U815" s="113">
        <v>140</v>
      </c>
      <c r="V815" s="113">
        <v>60</v>
      </c>
    </row>
    <row r="816" spans="1:22">
      <c r="A816" s="113">
        <v>682</v>
      </c>
      <c r="B816" s="113" t="s">
        <v>732</v>
      </c>
      <c r="C816" s="120" t="s">
        <v>6018</v>
      </c>
      <c r="D816" s="124">
        <v>0.5</v>
      </c>
      <c r="E816" s="124">
        <v>0.5</v>
      </c>
      <c r="F816" s="113" t="s">
        <v>56</v>
      </c>
      <c r="G816" s="113" t="s">
        <v>2707</v>
      </c>
      <c r="H816" s="113" t="s">
        <v>56</v>
      </c>
      <c r="I816" s="113" t="s">
        <v>1109</v>
      </c>
      <c r="J816" s="118" t="s">
        <v>2129</v>
      </c>
      <c r="K816" s="118" t="s">
        <v>4658</v>
      </c>
      <c r="L816" s="118" t="s">
        <v>6018</v>
      </c>
      <c r="M816" s="115" t="s">
        <v>1109</v>
      </c>
      <c r="N816" s="115" t="s">
        <v>2129</v>
      </c>
      <c r="O816" s="115" t="s">
        <v>1109</v>
      </c>
      <c r="P816" s="113">
        <v>341</v>
      </c>
      <c r="Q816" s="113">
        <v>78</v>
      </c>
      <c r="R816" s="113">
        <v>52</v>
      </c>
      <c r="S816" s="113">
        <v>60</v>
      </c>
      <c r="T816" s="120">
        <v>63</v>
      </c>
      <c r="U816" s="113">
        <v>65</v>
      </c>
      <c r="V816" s="113">
        <v>23</v>
      </c>
    </row>
    <row r="817" spans="1:22">
      <c r="A817" s="113">
        <v>683</v>
      </c>
      <c r="B817" s="113" t="s">
        <v>733</v>
      </c>
      <c r="C817" s="120" t="s">
        <v>6019</v>
      </c>
      <c r="D817" s="124">
        <v>0.5</v>
      </c>
      <c r="E817" s="124">
        <v>0.5</v>
      </c>
      <c r="F817" s="113" t="s">
        <v>56</v>
      </c>
      <c r="G817" s="113" t="s">
        <v>2707</v>
      </c>
      <c r="H817" s="113" t="s">
        <v>56</v>
      </c>
      <c r="I817" s="113" t="s">
        <v>1109</v>
      </c>
      <c r="J817" s="118" t="s">
        <v>2129</v>
      </c>
      <c r="K817" s="118" t="s">
        <v>4658</v>
      </c>
      <c r="L817" s="118" t="s">
        <v>6018</v>
      </c>
      <c r="M817" s="115" t="s">
        <v>6018</v>
      </c>
      <c r="N817" s="115" t="s">
        <v>6399</v>
      </c>
      <c r="O817" s="115" t="s">
        <v>2130</v>
      </c>
      <c r="P817" s="113">
        <v>462</v>
      </c>
      <c r="Q817" s="113">
        <v>101</v>
      </c>
      <c r="R817" s="113">
        <v>72</v>
      </c>
      <c r="S817" s="113">
        <v>72</v>
      </c>
      <c r="T817" s="120">
        <v>99</v>
      </c>
      <c r="U817" s="113">
        <v>89</v>
      </c>
      <c r="V817" s="113">
        <v>29</v>
      </c>
    </row>
    <row r="818" spans="1:22">
      <c r="A818" s="113">
        <v>684</v>
      </c>
      <c r="B818" s="113" t="s">
        <v>734</v>
      </c>
      <c r="C818" s="120" t="s">
        <v>6020</v>
      </c>
      <c r="D818" s="124">
        <v>0.5</v>
      </c>
      <c r="E818" s="124">
        <v>0.5</v>
      </c>
      <c r="F818" s="113" t="s">
        <v>56</v>
      </c>
      <c r="G818" s="113" t="s">
        <v>2707</v>
      </c>
      <c r="H818" s="113" t="s">
        <v>56</v>
      </c>
      <c r="I818" s="113" t="s">
        <v>1109</v>
      </c>
      <c r="J818" s="118" t="s">
        <v>2129</v>
      </c>
      <c r="K818" s="118" t="s">
        <v>4658</v>
      </c>
      <c r="L818" s="118" t="s">
        <v>6020</v>
      </c>
      <c r="M818" s="115" t="s">
        <v>1109</v>
      </c>
      <c r="N818" s="115" t="s">
        <v>2129</v>
      </c>
      <c r="O818" s="115" t="s">
        <v>1109</v>
      </c>
      <c r="P818" s="113">
        <v>341</v>
      </c>
      <c r="Q818" s="113">
        <v>62</v>
      </c>
      <c r="R818" s="113">
        <v>48</v>
      </c>
      <c r="S818" s="113">
        <v>66</v>
      </c>
      <c r="T818" s="120">
        <v>59</v>
      </c>
      <c r="U818" s="113">
        <v>57</v>
      </c>
      <c r="V818" s="113">
        <v>49</v>
      </c>
    </row>
    <row r="819" spans="1:22">
      <c r="A819" s="113">
        <v>685</v>
      </c>
      <c r="B819" s="113" t="s">
        <v>735</v>
      </c>
      <c r="C819" s="120" t="s">
        <v>6021</v>
      </c>
      <c r="D819" s="124">
        <v>0.5</v>
      </c>
      <c r="E819" s="124">
        <v>0.5</v>
      </c>
      <c r="F819" s="113" t="s">
        <v>56</v>
      </c>
      <c r="G819" s="113" t="s">
        <v>2707</v>
      </c>
      <c r="H819" s="113" t="s">
        <v>56</v>
      </c>
      <c r="I819" s="113" t="s">
        <v>1109</v>
      </c>
      <c r="J819" s="118" t="s">
        <v>2129</v>
      </c>
      <c r="K819" s="118" t="s">
        <v>4658</v>
      </c>
      <c r="L819" s="118" t="s">
        <v>6020</v>
      </c>
      <c r="M819" s="115" t="s">
        <v>6020</v>
      </c>
      <c r="N819" s="115" t="s">
        <v>6399</v>
      </c>
      <c r="O819" s="115" t="s">
        <v>2130</v>
      </c>
      <c r="P819" s="113">
        <v>480</v>
      </c>
      <c r="Q819" s="113">
        <v>82</v>
      </c>
      <c r="R819" s="113">
        <v>80</v>
      </c>
      <c r="S819" s="113">
        <v>86</v>
      </c>
      <c r="T819" s="120">
        <v>85</v>
      </c>
      <c r="U819" s="113">
        <v>75</v>
      </c>
      <c r="V819" s="113">
        <v>72</v>
      </c>
    </row>
    <row r="820" spans="1:22">
      <c r="A820" s="113">
        <v>686</v>
      </c>
      <c r="B820" s="113" t="s">
        <v>736</v>
      </c>
      <c r="C820" s="120" t="s">
        <v>6022</v>
      </c>
      <c r="D820" s="124">
        <v>0.5</v>
      </c>
      <c r="E820" s="124">
        <v>0.5</v>
      </c>
      <c r="F820" s="113" t="s">
        <v>2331</v>
      </c>
      <c r="G820" s="113" t="s">
        <v>2707</v>
      </c>
      <c r="H820" s="113" t="s">
        <v>158</v>
      </c>
      <c r="I820" s="113" t="s">
        <v>86</v>
      </c>
      <c r="J820" s="118" t="s">
        <v>2129</v>
      </c>
      <c r="K820" s="118" t="s">
        <v>4658</v>
      </c>
      <c r="L820" s="118" t="s">
        <v>6022</v>
      </c>
      <c r="M820" s="115" t="s">
        <v>1109</v>
      </c>
      <c r="N820" s="115" t="s">
        <v>2129</v>
      </c>
      <c r="O820" s="115" t="s">
        <v>1109</v>
      </c>
      <c r="P820" s="113">
        <v>288</v>
      </c>
      <c r="Q820" s="113">
        <v>53</v>
      </c>
      <c r="R820" s="113">
        <v>54</v>
      </c>
      <c r="S820" s="113">
        <v>53</v>
      </c>
      <c r="T820" s="120">
        <v>37</v>
      </c>
      <c r="U820" s="113">
        <v>46</v>
      </c>
      <c r="V820" s="113">
        <v>45</v>
      </c>
    </row>
    <row r="821" spans="1:22">
      <c r="A821" s="113">
        <v>687</v>
      </c>
      <c r="B821" s="113" t="s">
        <v>737</v>
      </c>
      <c r="C821" s="120" t="s">
        <v>6023</v>
      </c>
      <c r="D821" s="124">
        <v>0.5</v>
      </c>
      <c r="E821" s="124">
        <v>0.5</v>
      </c>
      <c r="F821" s="113" t="s">
        <v>2331</v>
      </c>
      <c r="G821" s="113" t="s">
        <v>2707</v>
      </c>
      <c r="H821" s="113" t="s">
        <v>158</v>
      </c>
      <c r="I821" s="113" t="s">
        <v>86</v>
      </c>
      <c r="J821" s="118" t="s">
        <v>2129</v>
      </c>
      <c r="K821" s="118" t="s">
        <v>4658</v>
      </c>
      <c r="L821" s="118" t="s">
        <v>6022</v>
      </c>
      <c r="M821" s="115" t="s">
        <v>6022</v>
      </c>
      <c r="N821" s="115" t="s">
        <v>6399</v>
      </c>
      <c r="O821" s="115" t="s">
        <v>2128</v>
      </c>
      <c r="P821" s="113">
        <v>482</v>
      </c>
      <c r="Q821" s="113">
        <v>86</v>
      </c>
      <c r="R821" s="113">
        <v>92</v>
      </c>
      <c r="S821" s="113">
        <v>88</v>
      </c>
      <c r="T821" s="120">
        <v>68</v>
      </c>
      <c r="U821" s="113">
        <v>75</v>
      </c>
      <c r="V821" s="113">
        <v>73</v>
      </c>
    </row>
    <row r="822" spans="1:22">
      <c r="A822" s="113">
        <v>688</v>
      </c>
      <c r="B822" s="113" t="s">
        <v>738</v>
      </c>
      <c r="C822" s="120" t="s">
        <v>6024</v>
      </c>
      <c r="D822" s="124">
        <v>0.5</v>
      </c>
      <c r="E822" s="124">
        <v>0.5</v>
      </c>
      <c r="F822" s="113" t="s">
        <v>2337</v>
      </c>
      <c r="G822" s="113" t="s">
        <v>2707</v>
      </c>
      <c r="H822" s="113" t="s">
        <v>98</v>
      </c>
      <c r="I822" s="113" t="s">
        <v>25</v>
      </c>
      <c r="J822" s="118" t="s">
        <v>2129</v>
      </c>
      <c r="K822" s="118" t="s">
        <v>4658</v>
      </c>
      <c r="L822" s="118" t="s">
        <v>6024</v>
      </c>
      <c r="M822" s="115" t="s">
        <v>1109</v>
      </c>
      <c r="N822" s="115" t="s">
        <v>2129</v>
      </c>
      <c r="O822" s="115" t="s">
        <v>1109</v>
      </c>
      <c r="P822" s="113">
        <v>306</v>
      </c>
      <c r="Q822" s="113">
        <v>42</v>
      </c>
      <c r="R822" s="113">
        <v>52</v>
      </c>
      <c r="S822" s="113">
        <v>67</v>
      </c>
      <c r="T822" s="120">
        <v>39</v>
      </c>
      <c r="U822" s="113">
        <v>56</v>
      </c>
      <c r="V822" s="113">
        <v>50</v>
      </c>
    </row>
    <row r="823" spans="1:22">
      <c r="A823" s="113">
        <v>689</v>
      </c>
      <c r="B823" s="113" t="s">
        <v>739</v>
      </c>
      <c r="C823" s="120" t="s">
        <v>6025</v>
      </c>
      <c r="D823" s="124">
        <v>0.5</v>
      </c>
      <c r="E823" s="124">
        <v>0.5</v>
      </c>
      <c r="F823" s="113" t="s">
        <v>2337</v>
      </c>
      <c r="G823" s="113" t="s">
        <v>2707</v>
      </c>
      <c r="H823" s="113" t="s">
        <v>98</v>
      </c>
      <c r="I823" s="113" t="s">
        <v>25</v>
      </c>
      <c r="J823" s="118" t="s">
        <v>2129</v>
      </c>
      <c r="K823" s="118" t="s">
        <v>4658</v>
      </c>
      <c r="L823" s="118" t="s">
        <v>6024</v>
      </c>
      <c r="M823" s="115" t="s">
        <v>6024</v>
      </c>
      <c r="N823" s="115" t="s">
        <v>6399</v>
      </c>
      <c r="O823" s="115" t="s">
        <v>2128</v>
      </c>
      <c r="P823" s="113">
        <v>500</v>
      </c>
      <c r="Q823" s="113">
        <v>72</v>
      </c>
      <c r="R823" s="113">
        <v>105</v>
      </c>
      <c r="S823" s="113">
        <v>115</v>
      </c>
      <c r="T823" s="120">
        <v>54</v>
      </c>
      <c r="U823" s="113">
        <v>86</v>
      </c>
      <c r="V823" s="113">
        <v>68</v>
      </c>
    </row>
    <row r="824" spans="1:22">
      <c r="A824" s="113">
        <v>690</v>
      </c>
      <c r="B824" s="113" t="s">
        <v>740</v>
      </c>
      <c r="C824" s="120" t="s">
        <v>6026</v>
      </c>
      <c r="D824" s="124">
        <v>0.5</v>
      </c>
      <c r="E824" s="124">
        <v>0.5</v>
      </c>
      <c r="F824" s="113" t="s">
        <v>23</v>
      </c>
      <c r="G824" s="113" t="s">
        <v>2707</v>
      </c>
      <c r="H824" s="113" t="s">
        <v>15</v>
      </c>
      <c r="I824" s="113" t="s">
        <v>25</v>
      </c>
      <c r="J824" s="118" t="s">
        <v>2129</v>
      </c>
      <c r="K824" s="118" t="s">
        <v>4658</v>
      </c>
      <c r="L824" s="118" t="s">
        <v>6026</v>
      </c>
      <c r="M824" s="115" t="s">
        <v>1109</v>
      </c>
      <c r="N824" s="115" t="s">
        <v>2129</v>
      </c>
      <c r="O824" s="115" t="s">
        <v>1109</v>
      </c>
      <c r="P824" s="113">
        <v>320</v>
      </c>
      <c r="Q824" s="113">
        <v>50</v>
      </c>
      <c r="R824" s="113">
        <v>60</v>
      </c>
      <c r="S824" s="113">
        <v>60</v>
      </c>
      <c r="T824" s="120">
        <v>60</v>
      </c>
      <c r="U824" s="113">
        <v>60</v>
      </c>
      <c r="V824" s="113">
        <v>30</v>
      </c>
    </row>
    <row r="825" spans="1:22">
      <c r="A825" s="113">
        <v>691</v>
      </c>
      <c r="B825" s="113" t="s">
        <v>741</v>
      </c>
      <c r="C825" s="120" t="s">
        <v>6027</v>
      </c>
      <c r="D825" s="124">
        <v>0.5</v>
      </c>
      <c r="E825" s="124">
        <v>0.5</v>
      </c>
      <c r="F825" s="113" t="s">
        <v>23</v>
      </c>
      <c r="G825" s="113" t="s">
        <v>2707</v>
      </c>
      <c r="H825" s="113" t="s">
        <v>15</v>
      </c>
      <c r="I825" s="113" t="s">
        <v>23</v>
      </c>
      <c r="J825" s="118" t="s">
        <v>2129</v>
      </c>
      <c r="K825" s="118" t="s">
        <v>4658</v>
      </c>
      <c r="L825" s="118" t="s">
        <v>6026</v>
      </c>
      <c r="M825" s="115" t="s">
        <v>6026</v>
      </c>
      <c r="N825" s="115" t="s">
        <v>6399</v>
      </c>
      <c r="O825" s="115" t="s">
        <v>2128</v>
      </c>
      <c r="P825" s="113">
        <v>494</v>
      </c>
      <c r="Q825" s="113">
        <v>65</v>
      </c>
      <c r="R825" s="113">
        <v>75</v>
      </c>
      <c r="S825" s="113">
        <v>90</v>
      </c>
      <c r="T825" s="120">
        <v>97</v>
      </c>
      <c r="U825" s="113">
        <v>123</v>
      </c>
      <c r="V825" s="113">
        <v>44</v>
      </c>
    </row>
    <row r="826" spans="1:22">
      <c r="A826" s="113">
        <v>692</v>
      </c>
      <c r="B826" s="113" t="s">
        <v>742</v>
      </c>
      <c r="C826" s="120" t="s">
        <v>6028</v>
      </c>
      <c r="D826" s="124">
        <v>0.5</v>
      </c>
      <c r="E826" s="124">
        <v>0.5</v>
      </c>
      <c r="F826" s="113" t="s">
        <v>2337</v>
      </c>
      <c r="G826" s="113" t="s">
        <v>2707</v>
      </c>
      <c r="H826" s="113" t="s">
        <v>25</v>
      </c>
      <c r="I826" s="113" t="s">
        <v>1109</v>
      </c>
      <c r="J826" s="118" t="s">
        <v>2129</v>
      </c>
      <c r="K826" s="118" t="s">
        <v>4658</v>
      </c>
      <c r="L826" s="118" t="s">
        <v>6028</v>
      </c>
      <c r="M826" s="115" t="s">
        <v>1109</v>
      </c>
      <c r="N826" s="115" t="s">
        <v>2129</v>
      </c>
      <c r="O826" s="115" t="s">
        <v>1109</v>
      </c>
      <c r="P826" s="113">
        <v>330</v>
      </c>
      <c r="Q826" s="113">
        <v>50</v>
      </c>
      <c r="R826" s="113">
        <v>53</v>
      </c>
      <c r="S826" s="113">
        <v>62</v>
      </c>
      <c r="T826" s="120">
        <v>58</v>
      </c>
      <c r="U826" s="113">
        <v>63</v>
      </c>
      <c r="V826" s="113">
        <v>44</v>
      </c>
    </row>
    <row r="827" spans="1:22">
      <c r="A827" s="113">
        <v>693</v>
      </c>
      <c r="B827" s="113" t="s">
        <v>743</v>
      </c>
      <c r="C827" s="120" t="s">
        <v>6029</v>
      </c>
      <c r="D827" s="124">
        <v>0.5</v>
      </c>
      <c r="E827" s="124">
        <v>0.5</v>
      </c>
      <c r="F827" s="113" t="s">
        <v>2337</v>
      </c>
      <c r="G827" s="113" t="s">
        <v>2707</v>
      </c>
      <c r="H827" s="113" t="s">
        <v>25</v>
      </c>
      <c r="I827" s="113" t="s">
        <v>1109</v>
      </c>
      <c r="J827" s="118" t="s">
        <v>2129</v>
      </c>
      <c r="K827" s="118" t="s">
        <v>4658</v>
      </c>
      <c r="L827" s="118" t="s">
        <v>6028</v>
      </c>
      <c r="M827" s="115" t="s">
        <v>6028</v>
      </c>
      <c r="N827" s="115" t="s">
        <v>6399</v>
      </c>
      <c r="O827" s="115" t="s">
        <v>2128</v>
      </c>
      <c r="P827" s="113">
        <v>500</v>
      </c>
      <c r="Q827" s="113">
        <v>71</v>
      </c>
      <c r="R827" s="113">
        <v>73</v>
      </c>
      <c r="S827" s="113">
        <v>88</v>
      </c>
      <c r="T827" s="120">
        <v>120</v>
      </c>
      <c r="U827" s="113">
        <v>89</v>
      </c>
      <c r="V827" s="113">
        <v>59</v>
      </c>
    </row>
    <row r="828" spans="1:22">
      <c r="A828" s="113">
        <v>694</v>
      </c>
      <c r="B828" s="113" t="s">
        <v>744</v>
      </c>
      <c r="C828" s="120" t="s">
        <v>6030</v>
      </c>
      <c r="D828" s="124">
        <v>0.5</v>
      </c>
      <c r="E828" s="124">
        <v>0.5</v>
      </c>
      <c r="F828" s="113" t="s">
        <v>23</v>
      </c>
      <c r="G828" s="113" t="s">
        <v>2707</v>
      </c>
      <c r="H828" s="113" t="s">
        <v>46</v>
      </c>
      <c r="I828" s="113" t="s">
        <v>36</v>
      </c>
      <c r="J828" s="118" t="s">
        <v>2129</v>
      </c>
      <c r="K828" s="118" t="s">
        <v>4658</v>
      </c>
      <c r="L828" s="118" t="s">
        <v>6030</v>
      </c>
      <c r="M828" s="115" t="s">
        <v>1109</v>
      </c>
      <c r="N828" s="115" t="s">
        <v>2129</v>
      </c>
      <c r="O828" s="115" t="s">
        <v>1109</v>
      </c>
      <c r="P828" s="113">
        <v>289</v>
      </c>
      <c r="Q828" s="113">
        <v>44</v>
      </c>
      <c r="R828" s="113">
        <v>38</v>
      </c>
      <c r="S828" s="113">
        <v>33</v>
      </c>
      <c r="T828" s="120">
        <v>61</v>
      </c>
      <c r="U828" s="113">
        <v>43</v>
      </c>
      <c r="V828" s="113">
        <v>70</v>
      </c>
    </row>
    <row r="829" spans="1:22">
      <c r="A829" s="113">
        <v>695</v>
      </c>
      <c r="B829" s="113" t="s">
        <v>745</v>
      </c>
      <c r="C829" s="120" t="s">
        <v>6031</v>
      </c>
      <c r="D829" s="124">
        <v>0.5</v>
      </c>
      <c r="E829" s="124">
        <v>0.5</v>
      </c>
      <c r="F829" s="113" t="s">
        <v>23</v>
      </c>
      <c r="G829" s="113" t="s">
        <v>2707</v>
      </c>
      <c r="H829" s="113" t="s">
        <v>46</v>
      </c>
      <c r="I829" s="113" t="s">
        <v>36</v>
      </c>
      <c r="J829" s="118" t="s">
        <v>2129</v>
      </c>
      <c r="K829" s="118" t="s">
        <v>4658</v>
      </c>
      <c r="L829" s="118" t="s">
        <v>6030</v>
      </c>
      <c r="M829" s="115" t="s">
        <v>6030</v>
      </c>
      <c r="N829" s="115" t="s">
        <v>6399</v>
      </c>
      <c r="O829" s="115" t="s">
        <v>2128</v>
      </c>
      <c r="P829" s="113">
        <v>481</v>
      </c>
      <c r="Q829" s="113">
        <v>62</v>
      </c>
      <c r="R829" s="113">
        <v>55</v>
      </c>
      <c r="S829" s="113">
        <v>52</v>
      </c>
      <c r="T829" s="120">
        <v>109</v>
      </c>
      <c r="U829" s="113">
        <v>94</v>
      </c>
      <c r="V829" s="113">
        <v>109</v>
      </c>
    </row>
    <row r="830" spans="1:22">
      <c r="A830" s="113">
        <v>696</v>
      </c>
      <c r="B830" s="113" t="s">
        <v>746</v>
      </c>
      <c r="C830" s="120" t="s">
        <v>6032</v>
      </c>
      <c r="D830" s="124">
        <v>0.85</v>
      </c>
      <c r="E830" s="124">
        <v>0.15</v>
      </c>
      <c r="F830" s="113" t="s">
        <v>23</v>
      </c>
      <c r="G830" s="113" t="s">
        <v>2707</v>
      </c>
      <c r="H830" s="113" t="s">
        <v>98</v>
      </c>
      <c r="I830" s="113" t="s">
        <v>23</v>
      </c>
      <c r="J830" s="118" t="s">
        <v>2129</v>
      </c>
      <c r="K830" s="118" t="s">
        <v>4657</v>
      </c>
      <c r="L830" s="118" t="s">
        <v>6032</v>
      </c>
      <c r="M830" s="115" t="s">
        <v>1109</v>
      </c>
      <c r="N830" s="115" t="s">
        <v>2129</v>
      </c>
      <c r="O830" s="115" t="s">
        <v>1109</v>
      </c>
      <c r="P830" s="113">
        <v>362</v>
      </c>
      <c r="Q830" s="113">
        <v>58</v>
      </c>
      <c r="R830" s="113">
        <v>89</v>
      </c>
      <c r="S830" s="113">
        <v>77</v>
      </c>
      <c r="T830" s="120">
        <v>45</v>
      </c>
      <c r="U830" s="113">
        <v>45</v>
      </c>
      <c r="V830" s="113">
        <v>48</v>
      </c>
    </row>
    <row r="831" spans="1:22">
      <c r="A831" s="113">
        <v>697</v>
      </c>
      <c r="B831" s="113" t="s">
        <v>747</v>
      </c>
      <c r="C831" s="120" t="s">
        <v>6033</v>
      </c>
      <c r="D831" s="124">
        <v>0.85</v>
      </c>
      <c r="E831" s="124">
        <v>0.15</v>
      </c>
      <c r="F831" s="113" t="s">
        <v>23</v>
      </c>
      <c r="G831" s="113" t="s">
        <v>2707</v>
      </c>
      <c r="H831" s="113" t="s">
        <v>98</v>
      </c>
      <c r="I831" s="113" t="s">
        <v>23</v>
      </c>
      <c r="J831" s="118" t="s">
        <v>2129</v>
      </c>
      <c r="K831" s="118" t="s">
        <v>4657</v>
      </c>
      <c r="L831" s="118" t="s">
        <v>6032</v>
      </c>
      <c r="M831" s="115" t="s">
        <v>6032</v>
      </c>
      <c r="N831" s="115" t="s">
        <v>6399</v>
      </c>
      <c r="O831" s="115" t="s">
        <v>2128</v>
      </c>
      <c r="P831" s="113">
        <v>521</v>
      </c>
      <c r="Q831" s="113">
        <v>82</v>
      </c>
      <c r="R831" s="113">
        <v>121</v>
      </c>
      <c r="S831" s="113">
        <v>119</v>
      </c>
      <c r="T831" s="120">
        <v>69</v>
      </c>
      <c r="U831" s="113">
        <v>59</v>
      </c>
      <c r="V831" s="113">
        <v>71</v>
      </c>
    </row>
    <row r="832" spans="1:22">
      <c r="A832" s="113">
        <v>698</v>
      </c>
      <c r="B832" s="113" t="s">
        <v>748</v>
      </c>
      <c r="C832" s="120" t="s">
        <v>6034</v>
      </c>
      <c r="D832" s="124">
        <v>0.85</v>
      </c>
      <c r="E832" s="124">
        <v>0.15</v>
      </c>
      <c r="F832" s="113" t="s">
        <v>2330</v>
      </c>
      <c r="G832" s="113" t="s">
        <v>2707</v>
      </c>
      <c r="H832" s="113" t="s">
        <v>98</v>
      </c>
      <c r="I832" s="113" t="s">
        <v>113</v>
      </c>
      <c r="J832" s="118" t="s">
        <v>2129</v>
      </c>
      <c r="K832" s="118" t="s">
        <v>4657</v>
      </c>
      <c r="L832" s="118" t="s">
        <v>6034</v>
      </c>
      <c r="M832" s="115" t="s">
        <v>1109</v>
      </c>
      <c r="N832" s="115" t="s">
        <v>2129</v>
      </c>
      <c r="O832" s="115" t="s">
        <v>1109</v>
      </c>
      <c r="P832" s="113">
        <v>362</v>
      </c>
      <c r="Q832" s="113">
        <v>77</v>
      </c>
      <c r="R832" s="113">
        <v>59</v>
      </c>
      <c r="S832" s="113">
        <v>50</v>
      </c>
      <c r="T832" s="120">
        <v>67</v>
      </c>
      <c r="U832" s="113">
        <v>63</v>
      </c>
      <c r="V832" s="113">
        <v>46</v>
      </c>
    </row>
    <row r="833" spans="1:22">
      <c r="A833" s="113">
        <v>699</v>
      </c>
      <c r="B833" s="113" t="s">
        <v>749</v>
      </c>
      <c r="C833" s="120" t="s">
        <v>6035</v>
      </c>
      <c r="D833" s="124">
        <v>0.85</v>
      </c>
      <c r="E833" s="124">
        <v>0.15</v>
      </c>
      <c r="F833" s="113" t="s">
        <v>2330</v>
      </c>
      <c r="G833" s="113" t="s">
        <v>2707</v>
      </c>
      <c r="H833" s="113" t="s">
        <v>98</v>
      </c>
      <c r="I833" s="113" t="s">
        <v>113</v>
      </c>
      <c r="J833" s="118" t="s">
        <v>2129</v>
      </c>
      <c r="K833" s="118" t="s">
        <v>4657</v>
      </c>
      <c r="L833" s="118" t="s">
        <v>6034</v>
      </c>
      <c r="M833" s="115" t="s">
        <v>6034</v>
      </c>
      <c r="N833" s="115" t="s">
        <v>6399</v>
      </c>
      <c r="O833" s="115" t="s">
        <v>2128</v>
      </c>
      <c r="P833" s="113">
        <v>521</v>
      </c>
      <c r="Q833" s="113">
        <v>123</v>
      </c>
      <c r="R833" s="113">
        <v>77</v>
      </c>
      <c r="S833" s="113">
        <v>72</v>
      </c>
      <c r="T833" s="120">
        <v>99</v>
      </c>
      <c r="U833" s="113">
        <v>92</v>
      </c>
      <c r="V833" s="113">
        <v>58</v>
      </c>
    </row>
    <row r="834" spans="1:22">
      <c r="A834" s="113">
        <v>700</v>
      </c>
      <c r="B834" s="113" t="s">
        <v>750</v>
      </c>
      <c r="C834" s="120" t="s">
        <v>6036</v>
      </c>
      <c r="D834" s="124">
        <v>0.85</v>
      </c>
      <c r="E834" s="124">
        <v>0.15</v>
      </c>
      <c r="F834" s="113" t="s">
        <v>2332</v>
      </c>
      <c r="G834" s="113" t="s">
        <v>2707</v>
      </c>
      <c r="H834" s="113" t="s">
        <v>56</v>
      </c>
      <c r="I834" s="113" t="s">
        <v>1109</v>
      </c>
      <c r="J834" s="118" t="s">
        <v>2129</v>
      </c>
      <c r="K834" s="137" t="s">
        <v>4658</v>
      </c>
      <c r="L834" s="118" t="s">
        <v>5386</v>
      </c>
      <c r="M834" s="115" t="s">
        <v>5386</v>
      </c>
      <c r="N834" s="115" t="s">
        <v>6399</v>
      </c>
      <c r="O834" s="115" t="s">
        <v>2130</v>
      </c>
      <c r="P834" s="113">
        <v>525</v>
      </c>
      <c r="Q834" s="113">
        <v>95</v>
      </c>
      <c r="R834" s="113">
        <v>65</v>
      </c>
      <c r="S834" s="113">
        <v>65</v>
      </c>
      <c r="T834" s="120">
        <v>110</v>
      </c>
      <c r="U834" s="113">
        <v>130</v>
      </c>
      <c r="V834" s="113">
        <v>60</v>
      </c>
    </row>
    <row r="835" spans="1:22">
      <c r="A835" s="113">
        <v>701</v>
      </c>
      <c r="B835" s="113" t="s">
        <v>751</v>
      </c>
      <c r="C835" s="120" t="s">
        <v>6037</v>
      </c>
      <c r="D835" s="124">
        <v>0.5</v>
      </c>
      <c r="E835" s="124">
        <v>0.5</v>
      </c>
      <c r="F835" s="113" t="s">
        <v>22</v>
      </c>
      <c r="G835" s="113" t="s">
        <v>2707</v>
      </c>
      <c r="H835" s="113" t="s">
        <v>78</v>
      </c>
      <c r="I835" s="113" t="s">
        <v>22</v>
      </c>
      <c r="J835" s="118" t="s">
        <v>2129</v>
      </c>
      <c r="K835" s="118" t="s">
        <v>4657</v>
      </c>
      <c r="L835" s="118" t="s">
        <v>6037</v>
      </c>
      <c r="M835" s="115" t="s">
        <v>1109</v>
      </c>
      <c r="N835" s="115" t="s">
        <v>6399</v>
      </c>
      <c r="O835" s="115" t="s">
        <v>1109</v>
      </c>
      <c r="P835" s="113">
        <v>500</v>
      </c>
      <c r="Q835" s="113">
        <v>78</v>
      </c>
      <c r="R835" s="113">
        <v>92</v>
      </c>
      <c r="S835" s="113">
        <v>75</v>
      </c>
      <c r="T835" s="120">
        <v>74</v>
      </c>
      <c r="U835" s="113">
        <v>63</v>
      </c>
      <c r="V835" s="113">
        <v>118</v>
      </c>
    </row>
    <row r="836" spans="1:22">
      <c r="A836" s="113">
        <v>702</v>
      </c>
      <c r="B836" s="113" t="s">
        <v>752</v>
      </c>
      <c r="C836" s="120" t="s">
        <v>6038</v>
      </c>
      <c r="D836" s="124">
        <v>0.5</v>
      </c>
      <c r="E836" s="124">
        <v>0.5</v>
      </c>
      <c r="F836" s="113" t="s">
        <v>2332</v>
      </c>
      <c r="G836" s="113" t="s">
        <v>2707</v>
      </c>
      <c r="H836" s="113" t="s">
        <v>46</v>
      </c>
      <c r="I836" s="113" t="s">
        <v>56</v>
      </c>
      <c r="J836" s="118" t="s">
        <v>2129</v>
      </c>
      <c r="K836" s="118" t="s">
        <v>4658</v>
      </c>
      <c r="L836" s="118" t="s">
        <v>6038</v>
      </c>
      <c r="M836" s="115" t="s">
        <v>1109</v>
      </c>
      <c r="N836" s="115" t="s">
        <v>6399</v>
      </c>
      <c r="O836" s="115" t="s">
        <v>1109</v>
      </c>
      <c r="P836" s="113">
        <v>431</v>
      </c>
      <c r="Q836" s="113">
        <v>67</v>
      </c>
      <c r="R836" s="113">
        <v>58</v>
      </c>
      <c r="S836" s="113">
        <v>57</v>
      </c>
      <c r="T836" s="120">
        <v>81</v>
      </c>
      <c r="U836" s="113">
        <v>67</v>
      </c>
      <c r="V836" s="113">
        <v>101</v>
      </c>
    </row>
    <row r="837" spans="1:22">
      <c r="A837" s="113">
        <v>703</v>
      </c>
      <c r="B837" s="113" t="s">
        <v>753</v>
      </c>
      <c r="C837" s="120" t="s">
        <v>6039</v>
      </c>
      <c r="D837" s="124" t="s">
        <v>1109</v>
      </c>
      <c r="E837" s="124" t="s">
        <v>1109</v>
      </c>
      <c r="F837" s="113" t="s">
        <v>2112</v>
      </c>
      <c r="G837" s="113" t="s">
        <v>2707</v>
      </c>
      <c r="H837" s="113" t="s">
        <v>98</v>
      </c>
      <c r="I837" s="113" t="s">
        <v>56</v>
      </c>
      <c r="J837" s="118" t="s">
        <v>2129</v>
      </c>
      <c r="K837" s="118" t="s">
        <v>4657</v>
      </c>
      <c r="L837" s="118" t="s">
        <v>6039</v>
      </c>
      <c r="M837" s="115" t="s">
        <v>1109</v>
      </c>
      <c r="N837" s="115" t="s">
        <v>6399</v>
      </c>
      <c r="O837" s="115" t="s">
        <v>1109</v>
      </c>
      <c r="P837" s="113">
        <v>500</v>
      </c>
      <c r="Q837" s="113">
        <v>50</v>
      </c>
      <c r="R837" s="113">
        <v>50</v>
      </c>
      <c r="S837" s="113">
        <v>150</v>
      </c>
      <c r="T837" s="120">
        <v>50</v>
      </c>
      <c r="U837" s="113">
        <v>150</v>
      </c>
      <c r="V837" s="113">
        <v>50</v>
      </c>
    </row>
    <row r="838" spans="1:22">
      <c r="A838" s="113">
        <v>704</v>
      </c>
      <c r="B838" s="113" t="s">
        <v>754</v>
      </c>
      <c r="C838" s="120" t="s">
        <v>6040</v>
      </c>
      <c r="D838" s="124">
        <v>0.5</v>
      </c>
      <c r="E838" s="124">
        <v>0.5</v>
      </c>
      <c r="F838" s="113" t="s">
        <v>23</v>
      </c>
      <c r="G838" s="113" t="s">
        <v>2707</v>
      </c>
      <c r="H838" s="113" t="s">
        <v>23</v>
      </c>
      <c r="I838" s="113" t="s">
        <v>1109</v>
      </c>
      <c r="J838" s="118" t="s">
        <v>2129</v>
      </c>
      <c r="K838" s="118" t="s">
        <v>4657</v>
      </c>
      <c r="L838" s="118" t="s">
        <v>6040</v>
      </c>
      <c r="M838" s="115" t="s">
        <v>1109</v>
      </c>
      <c r="N838" s="115" t="s">
        <v>2129</v>
      </c>
      <c r="O838" s="115" t="s">
        <v>1109</v>
      </c>
      <c r="P838" s="113">
        <v>300</v>
      </c>
      <c r="Q838" s="113">
        <v>45</v>
      </c>
      <c r="R838" s="113">
        <v>50</v>
      </c>
      <c r="S838" s="113">
        <v>35</v>
      </c>
      <c r="T838" s="120">
        <v>55</v>
      </c>
      <c r="U838" s="113">
        <v>75</v>
      </c>
      <c r="V838" s="113">
        <v>40</v>
      </c>
    </row>
    <row r="839" spans="1:22">
      <c r="A839" s="113">
        <v>705</v>
      </c>
      <c r="B839" s="113" t="s">
        <v>755</v>
      </c>
      <c r="C839" s="120" t="s">
        <v>6041</v>
      </c>
      <c r="D839" s="124">
        <v>0.5</v>
      </c>
      <c r="E839" s="124">
        <v>0.5</v>
      </c>
      <c r="F839" s="113" t="s">
        <v>23</v>
      </c>
      <c r="G839" s="113" t="s">
        <v>2707</v>
      </c>
      <c r="H839" s="113" t="s">
        <v>23</v>
      </c>
      <c r="I839" s="113" t="s">
        <v>1109</v>
      </c>
      <c r="J839" s="118" t="s">
        <v>2129</v>
      </c>
      <c r="K839" s="118" t="s">
        <v>4657</v>
      </c>
      <c r="L839" s="118" t="s">
        <v>6040</v>
      </c>
      <c r="M839" s="115" t="s">
        <v>6040</v>
      </c>
      <c r="N839" s="115" t="s">
        <v>6398</v>
      </c>
      <c r="O839" s="115" t="s">
        <v>2128</v>
      </c>
      <c r="P839" s="113">
        <v>452</v>
      </c>
      <c r="Q839" s="113">
        <v>68</v>
      </c>
      <c r="R839" s="113">
        <v>75</v>
      </c>
      <c r="S839" s="113">
        <v>53</v>
      </c>
      <c r="T839" s="120">
        <v>83</v>
      </c>
      <c r="U839" s="113">
        <v>113</v>
      </c>
      <c r="V839" s="113">
        <v>60</v>
      </c>
    </row>
    <row r="840" spans="1:22">
      <c r="A840" s="113">
        <v>705</v>
      </c>
      <c r="B840" s="113" t="s">
        <v>3034</v>
      </c>
      <c r="C840" s="120" t="s">
        <v>6042</v>
      </c>
      <c r="D840" s="124">
        <v>0.5</v>
      </c>
      <c r="E840" s="124">
        <v>0.5</v>
      </c>
      <c r="F840" s="113" t="s">
        <v>23</v>
      </c>
      <c r="G840" s="113" t="s">
        <v>4319</v>
      </c>
      <c r="H840" s="113" t="s">
        <v>106</v>
      </c>
      <c r="I840" s="113" t="s">
        <v>23</v>
      </c>
      <c r="J840" s="118" t="s">
        <v>2129</v>
      </c>
      <c r="K840" s="118" t="s">
        <v>4657</v>
      </c>
      <c r="L840" s="118" t="s">
        <v>6040</v>
      </c>
      <c r="M840" s="115" t="s">
        <v>6040</v>
      </c>
      <c r="N840" s="115" t="s">
        <v>6398</v>
      </c>
      <c r="O840" s="115" t="s">
        <v>2128</v>
      </c>
      <c r="P840" s="113">
        <v>452</v>
      </c>
      <c r="Q840" s="113">
        <v>58</v>
      </c>
      <c r="R840" s="113">
        <v>75</v>
      </c>
      <c r="S840" s="113">
        <v>83</v>
      </c>
      <c r="T840" s="120">
        <v>83</v>
      </c>
      <c r="U840" s="113">
        <v>113</v>
      </c>
      <c r="V840" s="113">
        <v>40</v>
      </c>
    </row>
    <row r="841" spans="1:22">
      <c r="A841" s="113">
        <v>706</v>
      </c>
      <c r="B841" s="113" t="s">
        <v>756</v>
      </c>
      <c r="C841" s="120" t="s">
        <v>6043</v>
      </c>
      <c r="D841" s="124">
        <v>0.5</v>
      </c>
      <c r="E841" s="124">
        <v>0.5</v>
      </c>
      <c r="F841" s="113" t="s">
        <v>23</v>
      </c>
      <c r="G841" s="113" t="s">
        <v>2707</v>
      </c>
      <c r="H841" s="113" t="s">
        <v>23</v>
      </c>
      <c r="I841" s="113" t="s">
        <v>1109</v>
      </c>
      <c r="J841" s="118" t="s">
        <v>2129</v>
      </c>
      <c r="K841" s="118" t="s">
        <v>4657</v>
      </c>
      <c r="L841" s="118" t="s">
        <v>6040</v>
      </c>
      <c r="M841" s="115" t="s">
        <v>6041</v>
      </c>
      <c r="N841" s="115" t="s">
        <v>6399</v>
      </c>
      <c r="O841" s="115" t="s">
        <v>2128</v>
      </c>
      <c r="P841" s="113">
        <v>600</v>
      </c>
      <c r="Q841" s="113">
        <v>90</v>
      </c>
      <c r="R841" s="113">
        <v>100</v>
      </c>
      <c r="S841" s="113">
        <v>70</v>
      </c>
      <c r="T841" s="120">
        <v>110</v>
      </c>
      <c r="U841" s="113">
        <v>150</v>
      </c>
      <c r="V841" s="113">
        <v>80</v>
      </c>
    </row>
    <row r="842" spans="1:22">
      <c r="A842" s="113">
        <v>706</v>
      </c>
      <c r="B842" s="113" t="s">
        <v>3036</v>
      </c>
      <c r="C842" s="120" t="s">
        <v>6044</v>
      </c>
      <c r="D842" s="124">
        <v>0.5</v>
      </c>
      <c r="E842" s="124">
        <v>0.5</v>
      </c>
      <c r="F842" s="113" t="s">
        <v>23</v>
      </c>
      <c r="G842" s="113" t="s">
        <v>4319</v>
      </c>
      <c r="H842" s="113" t="s">
        <v>106</v>
      </c>
      <c r="I842" s="113" t="s">
        <v>23</v>
      </c>
      <c r="J842" s="118" t="s">
        <v>2129</v>
      </c>
      <c r="K842" s="118" t="s">
        <v>4657</v>
      </c>
      <c r="L842" s="118" t="s">
        <v>6040</v>
      </c>
      <c r="M842" s="115" t="s">
        <v>6042</v>
      </c>
      <c r="N842" s="115" t="s">
        <v>6399</v>
      </c>
      <c r="O842" s="115" t="s">
        <v>2128</v>
      </c>
      <c r="P842" s="113">
        <v>600</v>
      </c>
      <c r="Q842" s="113">
        <v>80</v>
      </c>
      <c r="R842" s="113">
        <v>100</v>
      </c>
      <c r="S842" s="113">
        <v>100</v>
      </c>
      <c r="T842" s="120">
        <v>110</v>
      </c>
      <c r="U842" s="113">
        <v>150</v>
      </c>
      <c r="V842" s="113">
        <v>60</v>
      </c>
    </row>
    <row r="843" spans="1:22">
      <c r="A843" s="113">
        <v>707</v>
      </c>
      <c r="B843" s="113" t="s">
        <v>757</v>
      </c>
      <c r="C843" s="120" t="s">
        <v>6045</v>
      </c>
      <c r="D843" s="124">
        <v>0.5</v>
      </c>
      <c r="E843" s="124">
        <v>0.5</v>
      </c>
      <c r="F843" s="113" t="s">
        <v>2112</v>
      </c>
      <c r="G843" s="113" t="s">
        <v>2707</v>
      </c>
      <c r="H843" s="113" t="s">
        <v>106</v>
      </c>
      <c r="I843" s="113" t="s">
        <v>56</v>
      </c>
      <c r="J843" s="118" t="s">
        <v>2129</v>
      </c>
      <c r="K843" s="118" t="s">
        <v>4658</v>
      </c>
      <c r="L843" s="118" t="s">
        <v>6045</v>
      </c>
      <c r="M843" s="115" t="s">
        <v>1109</v>
      </c>
      <c r="N843" s="115" t="s">
        <v>6399</v>
      </c>
      <c r="O843" s="115" t="s">
        <v>1109</v>
      </c>
      <c r="P843" s="113">
        <v>470</v>
      </c>
      <c r="Q843" s="113">
        <v>57</v>
      </c>
      <c r="R843" s="113">
        <v>80</v>
      </c>
      <c r="S843" s="113">
        <v>91</v>
      </c>
      <c r="T843" s="120">
        <v>80</v>
      </c>
      <c r="U843" s="113">
        <v>87</v>
      </c>
      <c r="V843" s="113">
        <v>75</v>
      </c>
    </row>
    <row r="844" spans="1:22">
      <c r="A844" s="113">
        <v>708</v>
      </c>
      <c r="B844" s="113" t="s">
        <v>758</v>
      </c>
      <c r="C844" s="120" t="s">
        <v>6046</v>
      </c>
      <c r="D844" s="124">
        <v>0.5</v>
      </c>
      <c r="E844" s="124">
        <v>0.5</v>
      </c>
      <c r="F844" s="113" t="s">
        <v>2336</v>
      </c>
      <c r="G844" s="113" t="s">
        <v>2707</v>
      </c>
      <c r="H844" s="113" t="s">
        <v>119</v>
      </c>
      <c r="I844" s="113" t="s">
        <v>14</v>
      </c>
      <c r="J844" s="118" t="s">
        <v>2129</v>
      </c>
      <c r="K844" s="118" t="s">
        <v>4658</v>
      </c>
      <c r="L844" s="118" t="s">
        <v>6046</v>
      </c>
      <c r="M844" s="115" t="s">
        <v>1109</v>
      </c>
      <c r="N844" s="115" t="s">
        <v>2129</v>
      </c>
      <c r="O844" s="115" t="s">
        <v>1109</v>
      </c>
      <c r="P844" s="113">
        <v>309</v>
      </c>
      <c r="Q844" s="113">
        <v>43</v>
      </c>
      <c r="R844" s="113">
        <v>70</v>
      </c>
      <c r="S844" s="113">
        <v>48</v>
      </c>
      <c r="T844" s="120">
        <v>50</v>
      </c>
      <c r="U844" s="113">
        <v>60</v>
      </c>
      <c r="V844" s="113">
        <v>38</v>
      </c>
    </row>
    <row r="845" spans="1:22">
      <c r="A845" s="113">
        <v>709</v>
      </c>
      <c r="B845" s="113" t="s">
        <v>759</v>
      </c>
      <c r="C845" s="120" t="s">
        <v>6047</v>
      </c>
      <c r="D845" s="124">
        <v>0.5</v>
      </c>
      <c r="E845" s="124">
        <v>0.5</v>
      </c>
      <c r="F845" s="113" t="s">
        <v>2336</v>
      </c>
      <c r="G845" s="113" t="s">
        <v>2707</v>
      </c>
      <c r="H845" s="113" t="s">
        <v>119</v>
      </c>
      <c r="I845" s="113" t="s">
        <v>14</v>
      </c>
      <c r="J845" s="118" t="s">
        <v>2129</v>
      </c>
      <c r="K845" s="118" t="s">
        <v>4658</v>
      </c>
      <c r="L845" s="118" t="s">
        <v>6046</v>
      </c>
      <c r="M845" s="115" t="s">
        <v>6046</v>
      </c>
      <c r="N845" s="115" t="s">
        <v>6399</v>
      </c>
      <c r="O845" s="115" t="s">
        <v>2128</v>
      </c>
      <c r="P845" s="113">
        <v>474</v>
      </c>
      <c r="Q845" s="113">
        <v>85</v>
      </c>
      <c r="R845" s="113">
        <v>110</v>
      </c>
      <c r="S845" s="113">
        <v>76</v>
      </c>
      <c r="T845" s="120">
        <v>65</v>
      </c>
      <c r="U845" s="113">
        <v>82</v>
      </c>
      <c r="V845" s="113">
        <v>56</v>
      </c>
    </row>
    <row r="846" spans="1:22">
      <c r="A846" s="113">
        <v>710</v>
      </c>
      <c r="B846" s="120" t="s">
        <v>3038</v>
      </c>
      <c r="C846" s="120" t="s">
        <v>6048</v>
      </c>
      <c r="D846" s="124">
        <v>0.5</v>
      </c>
      <c r="E846" s="124">
        <v>0.5</v>
      </c>
      <c r="F846" s="113" t="s">
        <v>2336</v>
      </c>
      <c r="G846" s="113" t="s">
        <v>2707</v>
      </c>
      <c r="H846" s="113" t="s">
        <v>14</v>
      </c>
      <c r="I846" s="113" t="s">
        <v>119</v>
      </c>
      <c r="J846" s="118" t="s">
        <v>2129</v>
      </c>
      <c r="K846" s="118" t="s">
        <v>4658</v>
      </c>
      <c r="L846" s="118" t="s">
        <v>6048</v>
      </c>
      <c r="M846" s="115" t="s">
        <v>1109</v>
      </c>
      <c r="N846" s="115" t="s">
        <v>2129</v>
      </c>
      <c r="O846" s="115" t="s">
        <v>1109</v>
      </c>
      <c r="P846" s="113">
        <v>335</v>
      </c>
      <c r="Q846" s="113">
        <v>49</v>
      </c>
      <c r="R846" s="113">
        <v>66</v>
      </c>
      <c r="S846" s="113">
        <v>70</v>
      </c>
      <c r="T846" s="120">
        <v>44</v>
      </c>
      <c r="U846" s="113">
        <v>55</v>
      </c>
      <c r="V846" s="113">
        <v>51</v>
      </c>
    </row>
    <row r="847" spans="1:22">
      <c r="A847" s="113">
        <v>710</v>
      </c>
      <c r="B847" s="120" t="s">
        <v>3037</v>
      </c>
      <c r="C847" s="120" t="s">
        <v>6049</v>
      </c>
      <c r="D847" s="124">
        <v>0.5</v>
      </c>
      <c r="E847" s="124">
        <v>0.5</v>
      </c>
      <c r="F847" s="113" t="s">
        <v>2336</v>
      </c>
      <c r="G847" s="113" t="s">
        <v>2707</v>
      </c>
      <c r="H847" s="113" t="s">
        <v>14</v>
      </c>
      <c r="I847" s="113" t="s">
        <v>119</v>
      </c>
      <c r="J847" s="118" t="s">
        <v>2129</v>
      </c>
      <c r="K847" s="118" t="s">
        <v>4658</v>
      </c>
      <c r="L847" s="118" t="s">
        <v>6049</v>
      </c>
      <c r="M847" s="115" t="s">
        <v>1109</v>
      </c>
      <c r="N847" s="115" t="s">
        <v>2129</v>
      </c>
      <c r="O847" s="115" t="s">
        <v>1109</v>
      </c>
      <c r="P847" s="113">
        <v>335</v>
      </c>
      <c r="Q847" s="113">
        <v>44</v>
      </c>
      <c r="R847" s="113">
        <v>66</v>
      </c>
      <c r="S847" s="113">
        <v>70</v>
      </c>
      <c r="T847" s="120">
        <v>44</v>
      </c>
      <c r="U847" s="113">
        <v>55</v>
      </c>
      <c r="V847" s="113">
        <v>56</v>
      </c>
    </row>
    <row r="848" spans="1:22">
      <c r="A848" s="113">
        <v>710</v>
      </c>
      <c r="B848" s="120" t="s">
        <v>3039</v>
      </c>
      <c r="C848" s="120" t="s">
        <v>6050</v>
      </c>
      <c r="D848" s="124">
        <v>0.5</v>
      </c>
      <c r="E848" s="124">
        <v>0.5</v>
      </c>
      <c r="F848" s="113" t="s">
        <v>2336</v>
      </c>
      <c r="G848" s="113" t="s">
        <v>2707</v>
      </c>
      <c r="H848" s="113" t="s">
        <v>14</v>
      </c>
      <c r="I848" s="113" t="s">
        <v>119</v>
      </c>
      <c r="J848" s="118" t="s">
        <v>2129</v>
      </c>
      <c r="K848" s="118" t="s">
        <v>4658</v>
      </c>
      <c r="L848" s="118" t="s">
        <v>6050</v>
      </c>
      <c r="M848" s="115" t="s">
        <v>1109</v>
      </c>
      <c r="N848" s="115" t="s">
        <v>2129</v>
      </c>
      <c r="O848" s="115" t="s">
        <v>1109</v>
      </c>
      <c r="P848" s="113">
        <v>335</v>
      </c>
      <c r="Q848" s="113">
        <v>54</v>
      </c>
      <c r="R848" s="113">
        <v>66</v>
      </c>
      <c r="S848" s="113">
        <v>70</v>
      </c>
      <c r="T848" s="120">
        <v>44</v>
      </c>
      <c r="U848" s="113">
        <v>55</v>
      </c>
      <c r="V848" s="113">
        <v>46</v>
      </c>
    </row>
    <row r="849" spans="1:22">
      <c r="A849" s="113">
        <v>710</v>
      </c>
      <c r="B849" s="120" t="s">
        <v>3040</v>
      </c>
      <c r="C849" s="120" t="s">
        <v>6051</v>
      </c>
      <c r="D849" s="124">
        <v>0.5</v>
      </c>
      <c r="E849" s="124">
        <v>0.5</v>
      </c>
      <c r="F849" s="113" t="s">
        <v>2336</v>
      </c>
      <c r="G849" s="113" t="s">
        <v>2707</v>
      </c>
      <c r="H849" s="113" t="s">
        <v>14</v>
      </c>
      <c r="I849" s="113" t="s">
        <v>119</v>
      </c>
      <c r="J849" s="118" t="s">
        <v>2129</v>
      </c>
      <c r="K849" s="118" t="s">
        <v>4658</v>
      </c>
      <c r="L849" s="118" t="s">
        <v>6051</v>
      </c>
      <c r="M849" s="115" t="s">
        <v>1109</v>
      </c>
      <c r="N849" s="115" t="s">
        <v>2129</v>
      </c>
      <c r="O849" s="115" t="s">
        <v>1109</v>
      </c>
      <c r="P849" s="113">
        <v>335</v>
      </c>
      <c r="Q849" s="113">
        <v>59</v>
      </c>
      <c r="R849" s="113">
        <v>66</v>
      </c>
      <c r="S849" s="113">
        <v>70</v>
      </c>
      <c r="T849" s="120">
        <v>44</v>
      </c>
      <c r="U849" s="113">
        <v>55</v>
      </c>
      <c r="V849" s="113">
        <v>41</v>
      </c>
    </row>
    <row r="850" spans="1:22">
      <c r="A850" s="113">
        <v>711</v>
      </c>
      <c r="B850" s="120" t="s">
        <v>3042</v>
      </c>
      <c r="C850" s="120" t="s">
        <v>6052</v>
      </c>
      <c r="D850" s="124">
        <v>0.5</v>
      </c>
      <c r="E850" s="124">
        <v>0.5</v>
      </c>
      <c r="F850" s="113" t="s">
        <v>2336</v>
      </c>
      <c r="G850" s="113" t="s">
        <v>2707</v>
      </c>
      <c r="H850" s="113" t="s">
        <v>14</v>
      </c>
      <c r="I850" s="113" t="s">
        <v>119</v>
      </c>
      <c r="J850" s="118" t="s">
        <v>2129</v>
      </c>
      <c r="K850" s="118" t="s">
        <v>4658</v>
      </c>
      <c r="L850" s="118" t="s">
        <v>6048</v>
      </c>
      <c r="M850" s="115" t="s">
        <v>6048</v>
      </c>
      <c r="N850" s="115" t="s">
        <v>6399</v>
      </c>
      <c r="O850" s="115" t="s">
        <v>2128</v>
      </c>
      <c r="P850" s="113">
        <v>494</v>
      </c>
      <c r="Q850" s="113">
        <v>65</v>
      </c>
      <c r="R850" s="113">
        <v>90</v>
      </c>
      <c r="S850" s="113">
        <v>122</v>
      </c>
      <c r="T850" s="120">
        <v>58</v>
      </c>
      <c r="U850" s="113">
        <v>75</v>
      </c>
      <c r="V850" s="113">
        <v>84</v>
      </c>
    </row>
    <row r="851" spans="1:22">
      <c r="A851" s="113">
        <v>711</v>
      </c>
      <c r="B851" s="120" t="s">
        <v>3041</v>
      </c>
      <c r="C851" s="120" t="s">
        <v>6053</v>
      </c>
      <c r="D851" s="124">
        <v>0.5</v>
      </c>
      <c r="E851" s="124">
        <v>0.5</v>
      </c>
      <c r="F851" s="113" t="s">
        <v>2336</v>
      </c>
      <c r="G851" s="113" t="s">
        <v>2707</v>
      </c>
      <c r="H851" s="113" t="s">
        <v>14</v>
      </c>
      <c r="I851" s="113" t="s">
        <v>119</v>
      </c>
      <c r="J851" s="118" t="s">
        <v>2129</v>
      </c>
      <c r="K851" s="118" t="s">
        <v>4658</v>
      </c>
      <c r="L851" s="118" t="s">
        <v>6049</v>
      </c>
      <c r="M851" s="115" t="s">
        <v>6049</v>
      </c>
      <c r="N851" s="115" t="s">
        <v>6399</v>
      </c>
      <c r="O851" s="115" t="s">
        <v>2128</v>
      </c>
      <c r="P851" s="113">
        <v>494</v>
      </c>
      <c r="Q851" s="113">
        <v>55</v>
      </c>
      <c r="R851" s="113">
        <v>85</v>
      </c>
      <c r="S851" s="113">
        <v>122</v>
      </c>
      <c r="T851" s="120">
        <v>58</v>
      </c>
      <c r="U851" s="113">
        <v>75</v>
      </c>
      <c r="V851" s="113">
        <v>99</v>
      </c>
    </row>
    <row r="852" spans="1:22">
      <c r="A852" s="113">
        <v>711</v>
      </c>
      <c r="B852" s="120" t="s">
        <v>3043</v>
      </c>
      <c r="C852" s="120" t="s">
        <v>6054</v>
      </c>
      <c r="D852" s="124">
        <v>0.5</v>
      </c>
      <c r="E852" s="124">
        <v>0.5</v>
      </c>
      <c r="F852" s="113" t="s">
        <v>2336</v>
      </c>
      <c r="G852" s="113" t="s">
        <v>2707</v>
      </c>
      <c r="H852" s="113" t="s">
        <v>14</v>
      </c>
      <c r="I852" s="113" t="s">
        <v>119</v>
      </c>
      <c r="J852" s="118" t="s">
        <v>2129</v>
      </c>
      <c r="K852" s="118" t="s">
        <v>4658</v>
      </c>
      <c r="L852" s="118" t="s">
        <v>6050</v>
      </c>
      <c r="M852" s="115" t="s">
        <v>6050</v>
      </c>
      <c r="N852" s="115" t="s">
        <v>6399</v>
      </c>
      <c r="O852" s="115" t="s">
        <v>2128</v>
      </c>
      <c r="P852" s="113">
        <v>494</v>
      </c>
      <c r="Q852" s="113">
        <v>75</v>
      </c>
      <c r="R852" s="113">
        <v>95</v>
      </c>
      <c r="S852" s="113">
        <v>122</v>
      </c>
      <c r="T852" s="120">
        <v>58</v>
      </c>
      <c r="U852" s="113">
        <v>75</v>
      </c>
      <c r="V852" s="113">
        <v>69</v>
      </c>
    </row>
    <row r="853" spans="1:22">
      <c r="A853" s="113">
        <v>711</v>
      </c>
      <c r="B853" s="120" t="s">
        <v>3044</v>
      </c>
      <c r="C853" s="120" t="s">
        <v>6055</v>
      </c>
      <c r="D853" s="124">
        <v>0.5</v>
      </c>
      <c r="E853" s="124">
        <v>0.5</v>
      </c>
      <c r="F853" s="113" t="s">
        <v>2336</v>
      </c>
      <c r="G853" s="113" t="s">
        <v>2707</v>
      </c>
      <c r="H853" s="113" t="s">
        <v>14</v>
      </c>
      <c r="I853" s="113" t="s">
        <v>119</v>
      </c>
      <c r="J853" s="118" t="s">
        <v>2129</v>
      </c>
      <c r="K853" s="118" t="s">
        <v>4658</v>
      </c>
      <c r="L853" s="118" t="s">
        <v>6051</v>
      </c>
      <c r="M853" s="115" t="s">
        <v>6051</v>
      </c>
      <c r="N853" s="115" t="s">
        <v>6399</v>
      </c>
      <c r="O853" s="115" t="s">
        <v>2128</v>
      </c>
      <c r="P853" s="113">
        <v>494</v>
      </c>
      <c r="Q853" s="113">
        <v>85</v>
      </c>
      <c r="R853" s="113">
        <v>100</v>
      </c>
      <c r="S853" s="113">
        <v>122</v>
      </c>
      <c r="T853" s="120">
        <v>58</v>
      </c>
      <c r="U853" s="113">
        <v>75</v>
      </c>
      <c r="V853" s="113">
        <v>54</v>
      </c>
    </row>
    <row r="854" spans="1:22">
      <c r="A854" s="113">
        <v>712</v>
      </c>
      <c r="B854" s="113" t="s">
        <v>760</v>
      </c>
      <c r="C854" s="120" t="s">
        <v>6056</v>
      </c>
      <c r="D854" s="124">
        <v>0.5</v>
      </c>
      <c r="E854" s="124">
        <v>0.5</v>
      </c>
      <c r="F854" s="113" t="s">
        <v>2112</v>
      </c>
      <c r="G854" s="113" t="s">
        <v>2707</v>
      </c>
      <c r="H854" s="113" t="s">
        <v>113</v>
      </c>
      <c r="I854" s="113" t="s">
        <v>1109</v>
      </c>
      <c r="J854" s="118" t="s">
        <v>2129</v>
      </c>
      <c r="K854" s="118" t="s">
        <v>4658</v>
      </c>
      <c r="L854" s="118" t="s">
        <v>6056</v>
      </c>
      <c r="M854" s="115" t="s">
        <v>1109</v>
      </c>
      <c r="N854" s="115" t="s">
        <v>2129</v>
      </c>
      <c r="O854" s="115" t="s">
        <v>1109</v>
      </c>
      <c r="P854" s="113">
        <v>304</v>
      </c>
      <c r="Q854" s="113">
        <v>55</v>
      </c>
      <c r="R854" s="113">
        <v>69</v>
      </c>
      <c r="S854" s="113">
        <v>85</v>
      </c>
      <c r="T854" s="120">
        <v>32</v>
      </c>
      <c r="U854" s="113">
        <v>35</v>
      </c>
      <c r="V854" s="113">
        <v>28</v>
      </c>
    </row>
    <row r="855" spans="1:22">
      <c r="A855" s="113">
        <v>713</v>
      </c>
      <c r="B855" s="113" t="s">
        <v>761</v>
      </c>
      <c r="C855" s="120" t="s">
        <v>6057</v>
      </c>
      <c r="D855" s="124">
        <v>0.5</v>
      </c>
      <c r="E855" s="124">
        <v>0.5</v>
      </c>
      <c r="F855" s="113" t="s">
        <v>2112</v>
      </c>
      <c r="G855" s="113" t="s">
        <v>2707</v>
      </c>
      <c r="H855" s="113" t="s">
        <v>113</v>
      </c>
      <c r="I855" s="113" t="s">
        <v>1109</v>
      </c>
      <c r="J855" s="118" t="s">
        <v>2129</v>
      </c>
      <c r="K855" s="118" t="s">
        <v>4658</v>
      </c>
      <c r="L855" s="118" t="s">
        <v>6056</v>
      </c>
      <c r="M855" s="115" t="s">
        <v>6056</v>
      </c>
      <c r="N855" s="115" t="s">
        <v>6399</v>
      </c>
      <c r="O855" s="115" t="s">
        <v>2128</v>
      </c>
      <c r="P855" s="113">
        <v>514</v>
      </c>
      <c r="Q855" s="113">
        <v>95</v>
      </c>
      <c r="R855" s="113">
        <v>117</v>
      </c>
      <c r="S855" s="113">
        <v>184</v>
      </c>
      <c r="T855" s="120">
        <v>44</v>
      </c>
      <c r="U855" s="113">
        <v>46</v>
      </c>
      <c r="V855" s="113">
        <v>28</v>
      </c>
    </row>
    <row r="856" spans="1:22">
      <c r="A856" s="113">
        <v>713</v>
      </c>
      <c r="B856" s="113" t="s">
        <v>3046</v>
      </c>
      <c r="C856" s="120" t="s">
        <v>6058</v>
      </c>
      <c r="D856" s="124">
        <v>0.5</v>
      </c>
      <c r="E856" s="124">
        <v>0.5</v>
      </c>
      <c r="F856" s="113" t="s">
        <v>2112</v>
      </c>
      <c r="G856" s="113" t="s">
        <v>4319</v>
      </c>
      <c r="H856" s="113" t="s">
        <v>113</v>
      </c>
      <c r="I856" s="113" t="s">
        <v>98</v>
      </c>
      <c r="J856" s="118" t="s">
        <v>2129</v>
      </c>
      <c r="K856" s="118" t="s">
        <v>4658</v>
      </c>
      <c r="L856" s="118" t="s">
        <v>6056</v>
      </c>
      <c r="M856" s="115" t="s">
        <v>6056</v>
      </c>
      <c r="N856" s="115" t="s">
        <v>6399</v>
      </c>
      <c r="O856" s="115" t="s">
        <v>2128</v>
      </c>
      <c r="P856" s="113">
        <v>514</v>
      </c>
      <c r="Q856" s="113">
        <v>95</v>
      </c>
      <c r="R856" s="113">
        <v>127</v>
      </c>
      <c r="S856" s="113">
        <v>184</v>
      </c>
      <c r="T856" s="120">
        <v>34</v>
      </c>
      <c r="U856" s="113">
        <v>36</v>
      </c>
      <c r="V856" s="113">
        <v>38</v>
      </c>
    </row>
    <row r="857" spans="1:22">
      <c r="A857" s="113">
        <v>714</v>
      </c>
      <c r="B857" s="113" t="s">
        <v>762</v>
      </c>
      <c r="C857" s="120" t="s">
        <v>6059</v>
      </c>
      <c r="D857" s="124">
        <v>0.5</v>
      </c>
      <c r="E857" s="124">
        <v>0.5</v>
      </c>
      <c r="F857" s="113" t="s">
        <v>22</v>
      </c>
      <c r="G857" s="113" t="s">
        <v>2707</v>
      </c>
      <c r="H857" s="113" t="s">
        <v>22</v>
      </c>
      <c r="I857" s="113" t="s">
        <v>23</v>
      </c>
      <c r="J857" s="118" t="s">
        <v>2129</v>
      </c>
      <c r="K857" s="118" t="s">
        <v>4657</v>
      </c>
      <c r="L857" s="118" t="s">
        <v>6059</v>
      </c>
      <c r="M857" s="115" t="s">
        <v>1109</v>
      </c>
      <c r="N857" s="115" t="s">
        <v>2129</v>
      </c>
      <c r="O857" s="115" t="s">
        <v>1109</v>
      </c>
      <c r="P857" s="113">
        <v>245</v>
      </c>
      <c r="Q857" s="113">
        <v>40</v>
      </c>
      <c r="R857" s="113">
        <v>30</v>
      </c>
      <c r="S857" s="113">
        <v>35</v>
      </c>
      <c r="T857" s="120">
        <v>45</v>
      </c>
      <c r="U857" s="113">
        <v>40</v>
      </c>
      <c r="V857" s="113">
        <v>55</v>
      </c>
    </row>
    <row r="858" spans="1:22">
      <c r="A858" s="113">
        <v>715</v>
      </c>
      <c r="B858" s="113" t="s">
        <v>763</v>
      </c>
      <c r="C858" s="120" t="s">
        <v>6060</v>
      </c>
      <c r="D858" s="124">
        <v>0.5</v>
      </c>
      <c r="E858" s="124">
        <v>0.5</v>
      </c>
      <c r="F858" s="113" t="s">
        <v>22</v>
      </c>
      <c r="G858" s="113" t="s">
        <v>2707</v>
      </c>
      <c r="H858" s="113" t="s">
        <v>22</v>
      </c>
      <c r="I858" s="113" t="s">
        <v>23</v>
      </c>
      <c r="J858" s="118" t="s">
        <v>2129</v>
      </c>
      <c r="K858" s="118" t="s">
        <v>4657</v>
      </c>
      <c r="L858" s="118" t="s">
        <v>6059</v>
      </c>
      <c r="M858" s="115" t="s">
        <v>6059</v>
      </c>
      <c r="N858" s="115" t="s">
        <v>6399</v>
      </c>
      <c r="O858" s="115" t="s">
        <v>2128</v>
      </c>
      <c r="P858" s="113">
        <v>535</v>
      </c>
      <c r="Q858" s="113">
        <v>85</v>
      </c>
      <c r="R858" s="113">
        <v>70</v>
      </c>
      <c r="S858" s="113">
        <v>80</v>
      </c>
      <c r="T858" s="120">
        <v>97</v>
      </c>
      <c r="U858" s="113">
        <v>80</v>
      </c>
      <c r="V858" s="113">
        <v>123</v>
      </c>
    </row>
    <row r="859" spans="1:22">
      <c r="A859" s="113">
        <v>716</v>
      </c>
      <c r="B859" s="113" t="s">
        <v>764</v>
      </c>
      <c r="C859" s="120" t="s">
        <v>6061</v>
      </c>
      <c r="D859" s="124" t="s">
        <v>1109</v>
      </c>
      <c r="E859" s="124" t="s">
        <v>1109</v>
      </c>
      <c r="F859" s="113" t="s">
        <v>2333</v>
      </c>
      <c r="G859" s="113" t="s">
        <v>2707</v>
      </c>
      <c r="H859" s="113" t="s">
        <v>56</v>
      </c>
      <c r="I859" s="113" t="s">
        <v>1109</v>
      </c>
      <c r="J859" s="118" t="s">
        <v>12</v>
      </c>
      <c r="K859" s="118" t="s">
        <v>12</v>
      </c>
      <c r="L859" s="118" t="s">
        <v>6061</v>
      </c>
      <c r="M859" s="115" t="s">
        <v>1109</v>
      </c>
      <c r="N859" s="115" t="s">
        <v>6399</v>
      </c>
      <c r="O859" s="115" t="s">
        <v>1109</v>
      </c>
      <c r="P859" s="113">
        <v>680</v>
      </c>
      <c r="Q859" s="113">
        <v>126</v>
      </c>
      <c r="R859" s="113">
        <v>131</v>
      </c>
      <c r="S859" s="113">
        <v>95</v>
      </c>
      <c r="T859" s="120">
        <v>131</v>
      </c>
      <c r="U859" s="113">
        <v>98</v>
      </c>
      <c r="V859" s="113">
        <v>99</v>
      </c>
    </row>
    <row r="860" spans="1:22">
      <c r="A860" s="113">
        <v>717</v>
      </c>
      <c r="B860" s="113" t="s">
        <v>765</v>
      </c>
      <c r="C860" s="120" t="s">
        <v>6062</v>
      </c>
      <c r="D860" s="124" t="s">
        <v>1109</v>
      </c>
      <c r="E860" s="124" t="s">
        <v>1109</v>
      </c>
      <c r="F860" s="113" t="s">
        <v>2333</v>
      </c>
      <c r="G860" s="113" t="s">
        <v>2707</v>
      </c>
      <c r="H860" s="113" t="s">
        <v>158</v>
      </c>
      <c r="I860" s="113" t="s">
        <v>22</v>
      </c>
      <c r="J860" s="118" t="s">
        <v>12</v>
      </c>
      <c r="K860" s="118" t="s">
        <v>12</v>
      </c>
      <c r="L860" s="118" t="s">
        <v>6062</v>
      </c>
      <c r="M860" s="115" t="s">
        <v>1109</v>
      </c>
      <c r="N860" s="115" t="s">
        <v>6399</v>
      </c>
      <c r="O860" s="115" t="s">
        <v>1109</v>
      </c>
      <c r="P860" s="113">
        <v>680</v>
      </c>
      <c r="Q860" s="113">
        <v>126</v>
      </c>
      <c r="R860" s="113">
        <v>131</v>
      </c>
      <c r="S860" s="113">
        <v>95</v>
      </c>
      <c r="T860" s="120">
        <v>131</v>
      </c>
      <c r="U860" s="113">
        <v>98</v>
      </c>
      <c r="V860" s="113">
        <v>99</v>
      </c>
    </row>
    <row r="861" spans="1:22" ht="15" customHeight="1">
      <c r="A861" s="113">
        <v>718</v>
      </c>
      <c r="B861" s="113" t="s">
        <v>2747</v>
      </c>
      <c r="C861" s="120" t="s">
        <v>6063</v>
      </c>
      <c r="D861" s="124" t="s">
        <v>1109</v>
      </c>
      <c r="E861" s="124" t="s">
        <v>1109</v>
      </c>
      <c r="F861" s="113" t="s">
        <v>2333</v>
      </c>
      <c r="G861" s="113" t="s">
        <v>2707</v>
      </c>
      <c r="H861" s="113" t="s">
        <v>23</v>
      </c>
      <c r="I861" s="113" t="s">
        <v>49</v>
      </c>
      <c r="J861" s="118" t="s">
        <v>12</v>
      </c>
      <c r="K861" s="118" t="s">
        <v>12</v>
      </c>
      <c r="L861" s="118" t="s">
        <v>6063</v>
      </c>
      <c r="M861" s="115" t="s">
        <v>1109</v>
      </c>
      <c r="N861" s="115" t="s">
        <v>6399</v>
      </c>
      <c r="O861" s="115" t="s">
        <v>1109</v>
      </c>
      <c r="P861" s="113">
        <v>486</v>
      </c>
      <c r="Q861" s="113">
        <v>54</v>
      </c>
      <c r="R861" s="113">
        <v>100</v>
      </c>
      <c r="S861" s="113">
        <v>71</v>
      </c>
      <c r="T861" s="120">
        <v>61</v>
      </c>
      <c r="U861" s="113">
        <v>85</v>
      </c>
      <c r="V861" s="113">
        <v>115</v>
      </c>
    </row>
    <row r="862" spans="1:22">
      <c r="A862" s="113">
        <v>718</v>
      </c>
      <c r="B862" s="113" t="s">
        <v>2746</v>
      </c>
      <c r="C862" s="120" t="s">
        <v>6064</v>
      </c>
      <c r="D862" s="124" t="s">
        <v>1109</v>
      </c>
      <c r="E862" s="124" t="s">
        <v>1109</v>
      </c>
      <c r="F862" s="113" t="s">
        <v>2333</v>
      </c>
      <c r="G862" s="113" t="s">
        <v>2707</v>
      </c>
      <c r="H862" s="113" t="s">
        <v>23</v>
      </c>
      <c r="I862" s="113" t="s">
        <v>49</v>
      </c>
      <c r="J862" s="118" t="s">
        <v>12</v>
      </c>
      <c r="K862" s="118" t="s">
        <v>12</v>
      </c>
      <c r="L862" s="118" t="s">
        <v>6063</v>
      </c>
      <c r="M862" s="115" t="s">
        <v>1109</v>
      </c>
      <c r="N862" s="115" t="s">
        <v>6399</v>
      </c>
      <c r="O862" s="115" t="s">
        <v>1109</v>
      </c>
      <c r="P862" s="113">
        <v>600</v>
      </c>
      <c r="Q862" s="113">
        <v>108</v>
      </c>
      <c r="R862" s="113">
        <v>100</v>
      </c>
      <c r="S862" s="113">
        <v>121</v>
      </c>
      <c r="T862" s="120">
        <v>81</v>
      </c>
      <c r="U862" s="113">
        <v>95</v>
      </c>
      <c r="V862" s="113">
        <v>95</v>
      </c>
    </row>
    <row r="863" spans="1:22">
      <c r="A863" s="113">
        <v>718</v>
      </c>
      <c r="B863" s="113" t="s">
        <v>2748</v>
      </c>
      <c r="C863" s="120" t="s">
        <v>6065</v>
      </c>
      <c r="D863" s="124" t="s">
        <v>1109</v>
      </c>
      <c r="E863" s="124" t="s">
        <v>1109</v>
      </c>
      <c r="F863" s="113" t="s">
        <v>2333</v>
      </c>
      <c r="G863" s="113" t="s">
        <v>2707</v>
      </c>
      <c r="H863" s="113" t="s">
        <v>23</v>
      </c>
      <c r="I863" s="113" t="s">
        <v>49</v>
      </c>
      <c r="J863" s="118" t="s">
        <v>12</v>
      </c>
      <c r="K863" s="118" t="s">
        <v>12</v>
      </c>
      <c r="L863" s="118" t="s">
        <v>6063</v>
      </c>
      <c r="M863" s="115" t="s">
        <v>1109</v>
      </c>
      <c r="N863" s="115" t="s">
        <v>6399</v>
      </c>
      <c r="O863" s="115" t="s">
        <v>1109</v>
      </c>
      <c r="P863" s="113">
        <v>708</v>
      </c>
      <c r="Q863" s="113">
        <v>216</v>
      </c>
      <c r="R863" s="113">
        <v>100</v>
      </c>
      <c r="S863" s="113">
        <v>121</v>
      </c>
      <c r="T863" s="120">
        <v>91</v>
      </c>
      <c r="U863" s="113">
        <v>95</v>
      </c>
      <c r="V863" s="113">
        <v>85</v>
      </c>
    </row>
    <row r="864" spans="1:22">
      <c r="A864" s="113">
        <v>719</v>
      </c>
      <c r="B864" s="113" t="s">
        <v>766</v>
      </c>
      <c r="C864" s="120" t="s">
        <v>6066</v>
      </c>
      <c r="D864" s="124" t="s">
        <v>1109</v>
      </c>
      <c r="E864" s="124" t="s">
        <v>1109</v>
      </c>
      <c r="F864" s="113" t="s">
        <v>2333</v>
      </c>
      <c r="G864" s="113" t="s">
        <v>2707</v>
      </c>
      <c r="H864" s="113" t="s">
        <v>98</v>
      </c>
      <c r="I864" s="113" t="s">
        <v>56</v>
      </c>
      <c r="J864" s="118" t="s">
        <v>12</v>
      </c>
      <c r="K864" s="118" t="s">
        <v>12</v>
      </c>
      <c r="L864" s="118" t="s">
        <v>6066</v>
      </c>
      <c r="M864" s="115" t="s">
        <v>1109</v>
      </c>
      <c r="N864" s="115" t="s">
        <v>6399</v>
      </c>
      <c r="O864" s="115" t="s">
        <v>1109</v>
      </c>
      <c r="P864" s="113">
        <v>600</v>
      </c>
      <c r="Q864" s="113">
        <v>50</v>
      </c>
      <c r="R864" s="113">
        <v>100</v>
      </c>
      <c r="S864" s="113">
        <v>150</v>
      </c>
      <c r="T864" s="120">
        <v>100</v>
      </c>
      <c r="U864" s="113">
        <v>150</v>
      </c>
      <c r="V864" s="113">
        <v>50</v>
      </c>
    </row>
    <row r="865" spans="1:34" ht="15" hidden="1" customHeight="1">
      <c r="A865" s="113">
        <v>719</v>
      </c>
      <c r="B865" s="113" t="s">
        <v>2749</v>
      </c>
      <c r="C865" s="120" t="s">
        <v>6067</v>
      </c>
      <c r="D865" s="132" t="s">
        <v>1109</v>
      </c>
      <c r="E865" s="132" t="s">
        <v>1109</v>
      </c>
      <c r="F865" s="113" t="s">
        <v>2333</v>
      </c>
      <c r="G865" s="113" t="s">
        <v>2707</v>
      </c>
      <c r="H865" s="113" t="s">
        <v>56</v>
      </c>
      <c r="I865" s="113" t="s">
        <v>98</v>
      </c>
      <c r="J865" s="118" t="s">
        <v>3973</v>
      </c>
      <c r="K865" s="118" t="s">
        <v>4659</v>
      </c>
      <c r="L865" s="118" t="s">
        <v>6066</v>
      </c>
      <c r="M865" s="115" t="s">
        <v>6066</v>
      </c>
      <c r="N865" s="115" t="s">
        <v>3973</v>
      </c>
      <c r="O865" s="115" t="s">
        <v>4480</v>
      </c>
      <c r="P865" s="113">
        <v>700</v>
      </c>
      <c r="Q865" s="113">
        <v>50</v>
      </c>
      <c r="R865" s="113">
        <v>160</v>
      </c>
      <c r="S865" s="113">
        <v>110</v>
      </c>
      <c r="T865" s="120">
        <v>160</v>
      </c>
      <c r="U865" s="113">
        <v>110</v>
      </c>
      <c r="V865" s="113">
        <v>110</v>
      </c>
    </row>
    <row r="866" spans="1:34" ht="15" customHeight="1">
      <c r="A866" s="113">
        <v>720</v>
      </c>
      <c r="B866" s="113" t="s">
        <v>2289</v>
      </c>
      <c r="C866" s="120" t="s">
        <v>6068</v>
      </c>
      <c r="D866" s="124" t="s">
        <v>1109</v>
      </c>
      <c r="E866" s="124" t="s">
        <v>1109</v>
      </c>
      <c r="F866" s="113" t="s">
        <v>2333</v>
      </c>
      <c r="G866" s="113" t="s">
        <v>2707</v>
      </c>
      <c r="H866" s="113" t="s">
        <v>86</v>
      </c>
      <c r="I866" s="113" t="s">
        <v>119</v>
      </c>
      <c r="J866" s="118" t="s">
        <v>12</v>
      </c>
      <c r="K866" s="118" t="s">
        <v>12</v>
      </c>
      <c r="L866" s="118" t="s">
        <v>6068</v>
      </c>
      <c r="M866" s="115" t="s">
        <v>1109</v>
      </c>
      <c r="N866" s="115" t="s">
        <v>6399</v>
      </c>
      <c r="O866" s="115" t="s">
        <v>1109</v>
      </c>
      <c r="P866" s="113">
        <v>600</v>
      </c>
      <c r="Q866" s="113">
        <v>80</v>
      </c>
      <c r="R866" s="113">
        <v>110</v>
      </c>
      <c r="S866" s="113">
        <v>60</v>
      </c>
      <c r="T866" s="120">
        <v>150</v>
      </c>
      <c r="U866" s="113">
        <v>130</v>
      </c>
      <c r="V866" s="113">
        <v>70</v>
      </c>
    </row>
    <row r="867" spans="1:34" ht="15" customHeight="1">
      <c r="A867" s="113">
        <v>720</v>
      </c>
      <c r="B867" s="113" t="s">
        <v>2751</v>
      </c>
      <c r="C867" s="120" t="s">
        <v>6069</v>
      </c>
      <c r="D867" s="124" t="s">
        <v>1109</v>
      </c>
      <c r="E867" s="124" t="s">
        <v>1109</v>
      </c>
      <c r="F867" s="113" t="s">
        <v>2333</v>
      </c>
      <c r="G867" s="113" t="s">
        <v>2707</v>
      </c>
      <c r="H867" s="113" t="s">
        <v>86</v>
      </c>
      <c r="I867" s="113" t="s">
        <v>158</v>
      </c>
      <c r="J867" s="118" t="s">
        <v>12</v>
      </c>
      <c r="K867" s="118" t="s">
        <v>12</v>
      </c>
      <c r="L867" s="118" t="s">
        <v>6068</v>
      </c>
      <c r="M867" s="115" t="s">
        <v>1109</v>
      </c>
      <c r="N867" s="115" t="s">
        <v>6399</v>
      </c>
      <c r="O867" s="115" t="s">
        <v>1109</v>
      </c>
      <c r="P867" s="113">
        <v>680</v>
      </c>
      <c r="Q867" s="113">
        <v>80</v>
      </c>
      <c r="R867" s="113">
        <v>160</v>
      </c>
      <c r="S867" s="113">
        <v>60</v>
      </c>
      <c r="T867" s="120">
        <v>170</v>
      </c>
      <c r="U867" s="113">
        <v>130</v>
      </c>
      <c r="V867" s="113">
        <v>80</v>
      </c>
    </row>
    <row r="868" spans="1:34" ht="15" customHeight="1">
      <c r="A868" s="113">
        <v>721</v>
      </c>
      <c r="B868" s="113" t="s">
        <v>767</v>
      </c>
      <c r="C868" s="120" t="s">
        <v>6070</v>
      </c>
      <c r="D868" s="124" t="s">
        <v>1109</v>
      </c>
      <c r="E868" s="124" t="s">
        <v>1109</v>
      </c>
      <c r="F868" s="113" t="s">
        <v>2333</v>
      </c>
      <c r="G868" s="113" t="s">
        <v>2707</v>
      </c>
      <c r="H868" s="113" t="s">
        <v>19</v>
      </c>
      <c r="I868" s="113" t="s">
        <v>25</v>
      </c>
      <c r="J868" s="118" t="s">
        <v>12</v>
      </c>
      <c r="K868" s="118" t="s">
        <v>12</v>
      </c>
      <c r="L868" s="118" t="s">
        <v>6070</v>
      </c>
      <c r="M868" s="115" t="s">
        <v>1109</v>
      </c>
      <c r="N868" s="115" t="s">
        <v>6399</v>
      </c>
      <c r="O868" s="115" t="s">
        <v>1109</v>
      </c>
      <c r="P868" s="113">
        <v>600</v>
      </c>
      <c r="Q868" s="113">
        <v>80</v>
      </c>
      <c r="R868" s="113">
        <v>110</v>
      </c>
      <c r="S868" s="113">
        <v>120</v>
      </c>
      <c r="T868" s="120">
        <v>130</v>
      </c>
      <c r="U868" s="113">
        <v>90</v>
      </c>
      <c r="V868" s="113">
        <v>70</v>
      </c>
    </row>
    <row r="869" spans="1:34" ht="15" customHeight="1">
      <c r="A869" s="113">
        <v>722</v>
      </c>
      <c r="B869" s="113" t="s">
        <v>2147</v>
      </c>
      <c r="C869" s="120" t="s">
        <v>6071</v>
      </c>
      <c r="D869" s="124">
        <v>0.85</v>
      </c>
      <c r="E869" s="124">
        <v>0.15</v>
      </c>
      <c r="F869" s="113" t="s">
        <v>22</v>
      </c>
      <c r="G869" s="113" t="s">
        <v>2702</v>
      </c>
      <c r="H869" s="113" t="s">
        <v>14</v>
      </c>
      <c r="I869" s="113" t="s">
        <v>22</v>
      </c>
      <c r="J869" s="118" t="s">
        <v>792</v>
      </c>
      <c r="K869" s="118" t="s">
        <v>4657</v>
      </c>
      <c r="L869" s="118" t="s">
        <v>6071</v>
      </c>
      <c r="M869" s="115" t="s">
        <v>1109</v>
      </c>
      <c r="N869" s="115" t="s">
        <v>2129</v>
      </c>
      <c r="O869" s="115" t="s">
        <v>1109</v>
      </c>
      <c r="P869" s="113">
        <v>320</v>
      </c>
      <c r="Q869" s="113">
        <v>68</v>
      </c>
      <c r="R869" s="113">
        <v>55</v>
      </c>
      <c r="S869" s="113">
        <v>55</v>
      </c>
      <c r="T869" s="120">
        <v>50</v>
      </c>
      <c r="U869" s="113">
        <v>50</v>
      </c>
      <c r="V869" s="113">
        <v>42</v>
      </c>
    </row>
    <row r="870" spans="1:34" ht="15" customHeight="1">
      <c r="A870" s="113">
        <v>723</v>
      </c>
      <c r="B870" s="113" t="s">
        <v>2148</v>
      </c>
      <c r="C870" s="120" t="s">
        <v>6072</v>
      </c>
      <c r="D870" s="124">
        <v>0.85</v>
      </c>
      <c r="E870" s="124">
        <v>0.15</v>
      </c>
      <c r="F870" s="113" t="s">
        <v>22</v>
      </c>
      <c r="G870" s="113" t="s">
        <v>2702</v>
      </c>
      <c r="H870" s="113" t="s">
        <v>14</v>
      </c>
      <c r="I870" s="113" t="s">
        <v>22</v>
      </c>
      <c r="J870" s="118" t="s">
        <v>792</v>
      </c>
      <c r="K870" s="118" t="s">
        <v>4657</v>
      </c>
      <c r="L870" s="118" t="s">
        <v>6071</v>
      </c>
      <c r="M870" s="115" t="s">
        <v>6071</v>
      </c>
      <c r="N870" s="115" t="s">
        <v>6398</v>
      </c>
      <c r="O870" s="115" t="s">
        <v>2128</v>
      </c>
      <c r="P870" s="113">
        <v>420</v>
      </c>
      <c r="Q870" s="113">
        <v>78</v>
      </c>
      <c r="R870" s="113">
        <v>75</v>
      </c>
      <c r="S870" s="113">
        <v>75</v>
      </c>
      <c r="T870" s="120">
        <v>70</v>
      </c>
      <c r="U870" s="113">
        <v>70</v>
      </c>
      <c r="V870" s="113">
        <v>52</v>
      </c>
    </row>
    <row r="871" spans="1:34" ht="15" customHeight="1">
      <c r="A871" s="113">
        <v>724</v>
      </c>
      <c r="B871" s="113" t="s">
        <v>2149</v>
      </c>
      <c r="C871" s="120" t="s">
        <v>6073</v>
      </c>
      <c r="D871" s="124">
        <v>0.85</v>
      </c>
      <c r="E871" s="124">
        <v>0.15</v>
      </c>
      <c r="F871" s="113" t="s">
        <v>22</v>
      </c>
      <c r="G871" s="113" t="s">
        <v>2702</v>
      </c>
      <c r="H871" s="113" t="s">
        <v>14</v>
      </c>
      <c r="I871" s="113" t="s">
        <v>119</v>
      </c>
      <c r="J871" s="118" t="s">
        <v>792</v>
      </c>
      <c r="K871" s="118" t="s">
        <v>4657</v>
      </c>
      <c r="L871" s="118" t="s">
        <v>6071</v>
      </c>
      <c r="M871" s="115" t="s">
        <v>6072</v>
      </c>
      <c r="N871" s="115" t="s">
        <v>6399</v>
      </c>
      <c r="O871" s="115" t="s">
        <v>2128</v>
      </c>
      <c r="P871" s="113">
        <v>530</v>
      </c>
      <c r="Q871" s="113">
        <v>78</v>
      </c>
      <c r="R871" s="113">
        <v>107</v>
      </c>
      <c r="S871" s="113">
        <v>75</v>
      </c>
      <c r="T871" s="120">
        <v>100</v>
      </c>
      <c r="U871" s="113">
        <v>100</v>
      </c>
      <c r="V871" s="113">
        <v>70</v>
      </c>
    </row>
    <row r="872" spans="1:34" ht="15" customHeight="1">
      <c r="A872" s="113">
        <v>724</v>
      </c>
      <c r="B872" s="113" t="s">
        <v>2752</v>
      </c>
      <c r="C872" s="120" t="s">
        <v>6074</v>
      </c>
      <c r="D872" s="124">
        <v>0.85</v>
      </c>
      <c r="E872" s="124">
        <v>0.15</v>
      </c>
      <c r="F872" s="113" t="s">
        <v>22</v>
      </c>
      <c r="G872" s="113" t="s">
        <v>4319</v>
      </c>
      <c r="H872" s="113" t="s">
        <v>14</v>
      </c>
      <c r="I872" s="113" t="s">
        <v>78</v>
      </c>
      <c r="J872" s="118" t="s">
        <v>792</v>
      </c>
      <c r="K872" s="118" t="s">
        <v>4657</v>
      </c>
      <c r="L872" s="118" t="s">
        <v>6071</v>
      </c>
      <c r="M872" s="115" t="s">
        <v>6072</v>
      </c>
      <c r="N872" s="115" t="s">
        <v>6399</v>
      </c>
      <c r="O872" s="115" t="s">
        <v>2128</v>
      </c>
      <c r="P872" s="113">
        <v>530</v>
      </c>
      <c r="Q872" s="113">
        <v>88</v>
      </c>
      <c r="R872" s="113">
        <v>112</v>
      </c>
      <c r="S872" s="113">
        <v>80</v>
      </c>
      <c r="T872" s="120">
        <v>95</v>
      </c>
      <c r="U872" s="113">
        <v>95</v>
      </c>
      <c r="V872" s="113">
        <v>60</v>
      </c>
    </row>
    <row r="873" spans="1:34" ht="15" customHeight="1">
      <c r="A873" s="113">
        <v>725</v>
      </c>
      <c r="B873" s="113" t="s">
        <v>2150</v>
      </c>
      <c r="C873" s="120" t="s">
        <v>6075</v>
      </c>
      <c r="D873" s="124">
        <v>0.85</v>
      </c>
      <c r="E873" s="124">
        <v>0.15</v>
      </c>
      <c r="F873" s="113" t="s">
        <v>2332</v>
      </c>
      <c r="G873" s="113" t="s">
        <v>2702</v>
      </c>
      <c r="H873" s="113" t="s">
        <v>19</v>
      </c>
      <c r="I873" s="113" t="s">
        <v>1109</v>
      </c>
      <c r="J873" s="118" t="s">
        <v>792</v>
      </c>
      <c r="K873" s="118" t="s">
        <v>4657</v>
      </c>
      <c r="L873" s="118" t="s">
        <v>6075</v>
      </c>
      <c r="M873" s="115" t="s">
        <v>1109</v>
      </c>
      <c r="N873" s="115" t="s">
        <v>2129</v>
      </c>
      <c r="O873" s="115" t="s">
        <v>1109</v>
      </c>
      <c r="P873" s="113">
        <v>320</v>
      </c>
      <c r="Q873" s="113">
        <v>45</v>
      </c>
      <c r="R873" s="113">
        <v>65</v>
      </c>
      <c r="S873" s="113">
        <v>40</v>
      </c>
      <c r="T873" s="120">
        <v>60</v>
      </c>
      <c r="U873" s="113">
        <v>40</v>
      </c>
      <c r="V873" s="113">
        <v>70</v>
      </c>
    </row>
    <row r="874" spans="1:34" ht="15" customHeight="1">
      <c r="A874" s="113">
        <v>726</v>
      </c>
      <c r="B874" s="113" t="s">
        <v>2151</v>
      </c>
      <c r="C874" s="120" t="s">
        <v>6076</v>
      </c>
      <c r="D874" s="124">
        <v>0.85</v>
      </c>
      <c r="E874" s="124">
        <v>0.15</v>
      </c>
      <c r="F874" s="113" t="s">
        <v>2332</v>
      </c>
      <c r="G874" s="113" t="s">
        <v>2702</v>
      </c>
      <c r="H874" s="113" t="s">
        <v>19</v>
      </c>
      <c r="I874" s="113" t="s">
        <v>1109</v>
      </c>
      <c r="J874" s="118" t="s">
        <v>792</v>
      </c>
      <c r="K874" s="118" t="s">
        <v>4657</v>
      </c>
      <c r="L874" s="118" t="s">
        <v>6075</v>
      </c>
      <c r="M874" s="115" t="s">
        <v>6075</v>
      </c>
      <c r="N874" s="115" t="s">
        <v>6398</v>
      </c>
      <c r="O874" s="115" t="s">
        <v>2128</v>
      </c>
      <c r="P874" s="113">
        <v>420</v>
      </c>
      <c r="Q874" s="113">
        <v>65</v>
      </c>
      <c r="R874" s="113">
        <v>85</v>
      </c>
      <c r="S874" s="113">
        <v>50</v>
      </c>
      <c r="T874" s="120">
        <v>80</v>
      </c>
      <c r="U874" s="113">
        <v>50</v>
      </c>
      <c r="V874" s="113">
        <v>90</v>
      </c>
    </row>
    <row r="875" spans="1:34" ht="15" customHeight="1">
      <c r="A875" s="113">
        <v>727</v>
      </c>
      <c r="B875" s="113" t="s">
        <v>2152</v>
      </c>
      <c r="C875" s="120" t="s">
        <v>6077</v>
      </c>
      <c r="D875" s="124">
        <v>0.85</v>
      </c>
      <c r="E875" s="124">
        <v>0.15</v>
      </c>
      <c r="F875" s="113" t="s">
        <v>2332</v>
      </c>
      <c r="G875" s="113" t="s">
        <v>2702</v>
      </c>
      <c r="H875" s="113" t="s">
        <v>19</v>
      </c>
      <c r="I875" s="113" t="s">
        <v>158</v>
      </c>
      <c r="J875" s="118" t="s">
        <v>792</v>
      </c>
      <c r="K875" s="118" t="s">
        <v>4657</v>
      </c>
      <c r="L875" s="118" t="s">
        <v>6075</v>
      </c>
      <c r="M875" s="115" t="s">
        <v>6076</v>
      </c>
      <c r="N875" s="115" t="s">
        <v>6399</v>
      </c>
      <c r="O875" s="115" t="s">
        <v>2128</v>
      </c>
      <c r="P875" s="113">
        <v>530</v>
      </c>
      <c r="Q875" s="113">
        <v>95</v>
      </c>
      <c r="R875" s="113">
        <v>115</v>
      </c>
      <c r="S875" s="113">
        <v>90</v>
      </c>
      <c r="T875" s="120">
        <v>80</v>
      </c>
      <c r="U875" s="113">
        <v>90</v>
      </c>
      <c r="V875" s="113">
        <v>60</v>
      </c>
    </row>
    <row r="876" spans="1:34" ht="15" customHeight="1">
      <c r="A876" s="113">
        <v>728</v>
      </c>
      <c r="B876" s="113" t="s">
        <v>2153</v>
      </c>
      <c r="C876" s="120" t="s">
        <v>6078</v>
      </c>
      <c r="D876" s="124">
        <v>0.85</v>
      </c>
      <c r="E876" s="124">
        <v>0.15</v>
      </c>
      <c r="F876" s="113" t="s">
        <v>2331</v>
      </c>
      <c r="G876" s="113" t="s">
        <v>2702</v>
      </c>
      <c r="H876" s="113" t="s">
        <v>25</v>
      </c>
      <c r="I876" s="113" t="s">
        <v>1109</v>
      </c>
      <c r="J876" s="118" t="s">
        <v>792</v>
      </c>
      <c r="K876" s="118" t="s">
        <v>4657</v>
      </c>
      <c r="L876" s="118" t="s">
        <v>6078</v>
      </c>
      <c r="M876" s="115" t="s">
        <v>1109</v>
      </c>
      <c r="N876" s="115" t="s">
        <v>2129</v>
      </c>
      <c r="O876" s="115" t="s">
        <v>1109</v>
      </c>
      <c r="P876" s="113">
        <v>320</v>
      </c>
      <c r="Q876" s="113">
        <v>50</v>
      </c>
      <c r="R876" s="113">
        <v>54</v>
      </c>
      <c r="S876" s="113">
        <v>54</v>
      </c>
      <c r="T876" s="120">
        <v>66</v>
      </c>
      <c r="U876" s="113">
        <v>56</v>
      </c>
      <c r="V876" s="113">
        <v>40</v>
      </c>
    </row>
    <row r="877" spans="1:34" ht="15" customHeight="1">
      <c r="A877" s="113">
        <v>729</v>
      </c>
      <c r="B877" s="113" t="s">
        <v>2154</v>
      </c>
      <c r="C877" s="120" t="s">
        <v>6079</v>
      </c>
      <c r="D877" s="124">
        <v>0.85</v>
      </c>
      <c r="E877" s="124">
        <v>0.15</v>
      </c>
      <c r="F877" s="113" t="s">
        <v>2331</v>
      </c>
      <c r="G877" s="113" t="s">
        <v>2702</v>
      </c>
      <c r="H877" s="113" t="s">
        <v>25</v>
      </c>
      <c r="I877" s="113" t="s">
        <v>1109</v>
      </c>
      <c r="J877" s="118" t="s">
        <v>792</v>
      </c>
      <c r="K877" s="118" t="s">
        <v>4657</v>
      </c>
      <c r="L877" s="118" t="s">
        <v>6078</v>
      </c>
      <c r="M877" s="113" t="s">
        <v>6078</v>
      </c>
      <c r="N877" s="113" t="s">
        <v>6398</v>
      </c>
      <c r="O877" s="115" t="s">
        <v>2128</v>
      </c>
      <c r="P877" s="113">
        <v>420</v>
      </c>
      <c r="Q877" s="113">
        <v>60</v>
      </c>
      <c r="R877" s="113">
        <v>69</v>
      </c>
      <c r="S877" s="113">
        <v>69</v>
      </c>
      <c r="T877" s="120">
        <v>91</v>
      </c>
      <c r="U877" s="113">
        <v>81</v>
      </c>
      <c r="V877" s="113">
        <v>50</v>
      </c>
    </row>
    <row r="878" spans="1:34" ht="15" customHeight="1">
      <c r="A878" s="113">
        <v>730</v>
      </c>
      <c r="B878" s="113" t="s">
        <v>2155</v>
      </c>
      <c r="C878" s="120" t="s">
        <v>6080</v>
      </c>
      <c r="D878" s="124">
        <v>0.85</v>
      </c>
      <c r="E878" s="124">
        <v>0.15</v>
      </c>
      <c r="F878" s="113" t="s">
        <v>2331</v>
      </c>
      <c r="G878" s="113" t="s">
        <v>2702</v>
      </c>
      <c r="H878" s="113" t="s">
        <v>25</v>
      </c>
      <c r="I878" s="113" t="s">
        <v>56</v>
      </c>
      <c r="J878" s="118" t="s">
        <v>792</v>
      </c>
      <c r="K878" s="118" t="s">
        <v>4657</v>
      </c>
      <c r="L878" s="118" t="s">
        <v>6078</v>
      </c>
      <c r="M878" s="113" t="s">
        <v>6079</v>
      </c>
      <c r="N878" s="115" t="s">
        <v>6399</v>
      </c>
      <c r="O878" s="115" t="s">
        <v>2128</v>
      </c>
      <c r="P878" s="113">
        <v>530</v>
      </c>
      <c r="Q878" s="113">
        <v>80</v>
      </c>
      <c r="R878" s="113">
        <v>74</v>
      </c>
      <c r="S878" s="113">
        <v>74</v>
      </c>
      <c r="T878" s="120">
        <v>126</v>
      </c>
      <c r="U878" s="113">
        <v>116</v>
      </c>
      <c r="V878" s="113">
        <v>60</v>
      </c>
    </row>
    <row r="879" spans="1:34" ht="15" customHeight="1">
      <c r="A879" s="113">
        <v>731</v>
      </c>
      <c r="B879" s="113" t="s">
        <v>2172</v>
      </c>
      <c r="C879" s="120" t="s">
        <v>6081</v>
      </c>
      <c r="D879" s="124">
        <v>0.5</v>
      </c>
      <c r="E879" s="124">
        <v>0.5</v>
      </c>
      <c r="F879" s="113" t="s">
        <v>22</v>
      </c>
      <c r="G879" s="113" t="s">
        <v>2702</v>
      </c>
      <c r="H879" s="113" t="s">
        <v>36</v>
      </c>
      <c r="I879" s="113" t="s">
        <v>22</v>
      </c>
      <c r="J879" s="118" t="s">
        <v>2129</v>
      </c>
      <c r="K879" s="118" t="s">
        <v>2712</v>
      </c>
      <c r="L879" s="118" t="s">
        <v>6081</v>
      </c>
      <c r="M879" s="115" t="s">
        <v>1109</v>
      </c>
      <c r="N879" s="115" t="s">
        <v>2129</v>
      </c>
      <c r="O879" s="115" t="s">
        <v>1109</v>
      </c>
      <c r="P879" s="113">
        <v>265</v>
      </c>
      <c r="Q879" s="113">
        <v>35</v>
      </c>
      <c r="R879" s="113">
        <v>75</v>
      </c>
      <c r="S879" s="113">
        <v>30</v>
      </c>
      <c r="T879" s="120">
        <v>30</v>
      </c>
      <c r="U879" s="113">
        <v>30</v>
      </c>
      <c r="V879" s="113">
        <v>65</v>
      </c>
      <c r="AH879"/>
    </row>
    <row r="880" spans="1:34" ht="15" customHeight="1">
      <c r="A880" s="113">
        <v>732</v>
      </c>
      <c r="B880" s="113" t="s">
        <v>2173</v>
      </c>
      <c r="C880" s="120" t="s">
        <v>6082</v>
      </c>
      <c r="D880" s="124">
        <v>0.5</v>
      </c>
      <c r="E880" s="124">
        <v>0.5</v>
      </c>
      <c r="F880" s="113" t="s">
        <v>22</v>
      </c>
      <c r="G880" s="113" t="s">
        <v>2702</v>
      </c>
      <c r="H880" s="113" t="s">
        <v>36</v>
      </c>
      <c r="I880" s="113" t="s">
        <v>22</v>
      </c>
      <c r="J880" s="118" t="s">
        <v>2129</v>
      </c>
      <c r="K880" s="118" t="s">
        <v>2712</v>
      </c>
      <c r="L880" s="118" t="s">
        <v>6081</v>
      </c>
      <c r="M880" s="115" t="s">
        <v>6081</v>
      </c>
      <c r="N880" s="115" t="s">
        <v>6398</v>
      </c>
      <c r="O880" s="115" t="s">
        <v>2128</v>
      </c>
      <c r="P880" s="113">
        <v>355</v>
      </c>
      <c r="Q880" s="113">
        <v>55</v>
      </c>
      <c r="R880" s="113">
        <v>85</v>
      </c>
      <c r="S880" s="113">
        <v>50</v>
      </c>
      <c r="T880" s="120">
        <v>40</v>
      </c>
      <c r="U880" s="113">
        <v>50</v>
      </c>
      <c r="V880" s="113">
        <v>75</v>
      </c>
      <c r="AH880"/>
    </row>
    <row r="881" spans="1:34" ht="15" customHeight="1">
      <c r="A881" s="113">
        <v>733</v>
      </c>
      <c r="B881" s="113" t="s">
        <v>2174</v>
      </c>
      <c r="C881" s="120" t="s">
        <v>6083</v>
      </c>
      <c r="D881" s="124">
        <v>0.5</v>
      </c>
      <c r="E881" s="124">
        <v>0.5</v>
      </c>
      <c r="F881" s="113" t="s">
        <v>22</v>
      </c>
      <c r="G881" s="113" t="s">
        <v>2702</v>
      </c>
      <c r="H881" s="113" t="s">
        <v>36</v>
      </c>
      <c r="I881" s="113" t="s">
        <v>22</v>
      </c>
      <c r="J881" s="118" t="s">
        <v>2129</v>
      </c>
      <c r="K881" s="118" t="s">
        <v>2712</v>
      </c>
      <c r="L881" s="118" t="s">
        <v>6081</v>
      </c>
      <c r="M881" s="115" t="s">
        <v>6082</v>
      </c>
      <c r="N881" s="115" t="s">
        <v>6399</v>
      </c>
      <c r="O881" s="115" t="s">
        <v>2128</v>
      </c>
      <c r="P881" s="113">
        <v>485</v>
      </c>
      <c r="Q881" s="113">
        <v>80</v>
      </c>
      <c r="R881" s="113">
        <v>120</v>
      </c>
      <c r="S881" s="113">
        <v>75</v>
      </c>
      <c r="T881" s="120">
        <v>75</v>
      </c>
      <c r="U881" s="113">
        <v>75</v>
      </c>
      <c r="V881" s="113">
        <v>60</v>
      </c>
    </row>
    <row r="882" spans="1:34" ht="15" customHeight="1">
      <c r="A882" s="113">
        <v>734</v>
      </c>
      <c r="B882" s="113" t="s">
        <v>2175</v>
      </c>
      <c r="C882" s="120" t="s">
        <v>6084</v>
      </c>
      <c r="D882" s="124">
        <v>0.5</v>
      </c>
      <c r="E882" s="124">
        <v>0.5</v>
      </c>
      <c r="F882" s="113" t="s">
        <v>2332</v>
      </c>
      <c r="G882" s="113" t="s">
        <v>2702</v>
      </c>
      <c r="H882" s="113" t="s">
        <v>36</v>
      </c>
      <c r="I882" s="113" t="s">
        <v>1109</v>
      </c>
      <c r="J882" s="118" t="s">
        <v>2129</v>
      </c>
      <c r="K882" s="118" t="s">
        <v>2712</v>
      </c>
      <c r="L882" s="118" t="s">
        <v>6084</v>
      </c>
      <c r="M882" s="115" t="s">
        <v>1109</v>
      </c>
      <c r="N882" s="115" t="s">
        <v>2129</v>
      </c>
      <c r="O882" s="115" t="s">
        <v>1109</v>
      </c>
      <c r="P882" s="113">
        <v>253</v>
      </c>
      <c r="Q882" s="113">
        <v>48</v>
      </c>
      <c r="R882" s="113">
        <v>70</v>
      </c>
      <c r="S882" s="113">
        <v>30</v>
      </c>
      <c r="T882" s="120">
        <v>30</v>
      </c>
      <c r="U882" s="113">
        <v>30</v>
      </c>
      <c r="V882" s="113">
        <v>45</v>
      </c>
      <c r="AH882"/>
    </row>
    <row r="883" spans="1:34" ht="15" customHeight="1">
      <c r="A883" s="113">
        <v>735</v>
      </c>
      <c r="B883" s="113" t="s">
        <v>2176</v>
      </c>
      <c r="C883" s="120" t="s">
        <v>6085</v>
      </c>
      <c r="D883" s="124">
        <v>0.5</v>
      </c>
      <c r="E883" s="124">
        <v>0.5</v>
      </c>
      <c r="F883" s="113" t="s">
        <v>2332</v>
      </c>
      <c r="G883" s="113" t="s">
        <v>2702</v>
      </c>
      <c r="H883" s="113" t="s">
        <v>36</v>
      </c>
      <c r="I883" s="113" t="s">
        <v>1109</v>
      </c>
      <c r="J883" s="118" t="s">
        <v>2129</v>
      </c>
      <c r="K883" s="118" t="s">
        <v>2712</v>
      </c>
      <c r="L883" s="118" t="s">
        <v>6084</v>
      </c>
      <c r="M883" s="115" t="s">
        <v>6084</v>
      </c>
      <c r="N883" s="115" t="s">
        <v>6399</v>
      </c>
      <c r="O883" s="115" t="s">
        <v>2128</v>
      </c>
      <c r="P883" s="113">
        <v>418</v>
      </c>
      <c r="Q883" s="113">
        <v>88</v>
      </c>
      <c r="R883" s="113">
        <v>110</v>
      </c>
      <c r="S883" s="113">
        <v>60</v>
      </c>
      <c r="T883" s="120">
        <v>55</v>
      </c>
      <c r="U883" s="113">
        <v>60</v>
      </c>
      <c r="V883" s="113">
        <v>45</v>
      </c>
    </row>
    <row r="884" spans="1:34" ht="15" customHeight="1">
      <c r="A884" s="113">
        <v>736</v>
      </c>
      <c r="B884" s="113" t="s">
        <v>2177</v>
      </c>
      <c r="C884" s="120" t="s">
        <v>6086</v>
      </c>
      <c r="D884" s="124">
        <v>0.5</v>
      </c>
      <c r="E884" s="124">
        <v>0.5</v>
      </c>
      <c r="F884" s="113" t="s">
        <v>29</v>
      </c>
      <c r="G884" s="113" t="s">
        <v>2702</v>
      </c>
      <c r="H884" s="113" t="s">
        <v>29</v>
      </c>
      <c r="I884" s="113" t="s">
        <v>1109</v>
      </c>
      <c r="J884" s="118" t="s">
        <v>2129</v>
      </c>
      <c r="K884" s="118" t="s">
        <v>2712</v>
      </c>
      <c r="L884" s="118" t="s">
        <v>6086</v>
      </c>
      <c r="M884" s="115" t="s">
        <v>1109</v>
      </c>
      <c r="N884" s="115" t="s">
        <v>2129</v>
      </c>
      <c r="O884" s="115" t="s">
        <v>1109</v>
      </c>
      <c r="P884" s="113">
        <v>300</v>
      </c>
      <c r="Q884" s="113">
        <v>47</v>
      </c>
      <c r="R884" s="113">
        <v>62</v>
      </c>
      <c r="S884" s="113">
        <v>45</v>
      </c>
      <c r="T884" s="120">
        <v>55</v>
      </c>
      <c r="U884" s="113">
        <v>45</v>
      </c>
      <c r="V884" s="113">
        <v>46</v>
      </c>
    </row>
    <row r="885" spans="1:34" ht="15" customHeight="1">
      <c r="A885" s="113">
        <v>737</v>
      </c>
      <c r="B885" s="113" t="s">
        <v>2178</v>
      </c>
      <c r="C885" s="120" t="s">
        <v>6087</v>
      </c>
      <c r="D885" s="124">
        <v>0.5</v>
      </c>
      <c r="E885" s="124">
        <v>0.5</v>
      </c>
      <c r="F885" s="113" t="s">
        <v>29</v>
      </c>
      <c r="G885" s="113" t="s">
        <v>2702</v>
      </c>
      <c r="H885" s="113" t="s">
        <v>29</v>
      </c>
      <c r="I885" s="113" t="s">
        <v>46</v>
      </c>
      <c r="J885" s="118" t="s">
        <v>2129</v>
      </c>
      <c r="K885" s="118" t="s">
        <v>2712</v>
      </c>
      <c r="L885" s="118" t="s">
        <v>6086</v>
      </c>
      <c r="M885" s="115" t="s">
        <v>6086</v>
      </c>
      <c r="N885" s="115" t="s">
        <v>6398</v>
      </c>
      <c r="O885" s="115" t="s">
        <v>2128</v>
      </c>
      <c r="P885" s="113">
        <v>400</v>
      </c>
      <c r="Q885" s="113">
        <v>57</v>
      </c>
      <c r="R885" s="113">
        <v>82</v>
      </c>
      <c r="S885" s="113">
        <v>95</v>
      </c>
      <c r="T885" s="120">
        <v>55</v>
      </c>
      <c r="U885" s="113">
        <v>75</v>
      </c>
      <c r="V885" s="113">
        <v>36</v>
      </c>
    </row>
    <row r="886" spans="1:34" ht="15" customHeight="1">
      <c r="A886" s="113">
        <v>738</v>
      </c>
      <c r="B886" s="113" t="s">
        <v>2179</v>
      </c>
      <c r="C886" s="120" t="s">
        <v>6088</v>
      </c>
      <c r="D886" s="124">
        <v>0.5</v>
      </c>
      <c r="E886" s="124">
        <v>0.5</v>
      </c>
      <c r="F886" s="113" t="s">
        <v>29</v>
      </c>
      <c r="G886" s="113" t="s">
        <v>2702</v>
      </c>
      <c r="H886" s="113" t="s">
        <v>29</v>
      </c>
      <c r="I886" s="113" t="s">
        <v>46</v>
      </c>
      <c r="J886" s="118" t="s">
        <v>2129</v>
      </c>
      <c r="K886" s="118" t="s">
        <v>2712</v>
      </c>
      <c r="L886" s="118" t="s">
        <v>6086</v>
      </c>
      <c r="M886" s="115" t="s">
        <v>6087</v>
      </c>
      <c r="N886" s="115" t="s">
        <v>6399</v>
      </c>
      <c r="O886" s="115" t="s">
        <v>2128</v>
      </c>
      <c r="P886" s="113">
        <v>500</v>
      </c>
      <c r="Q886" s="113">
        <v>77</v>
      </c>
      <c r="R886" s="113">
        <v>70</v>
      </c>
      <c r="S886" s="113">
        <v>90</v>
      </c>
      <c r="T886" s="120">
        <v>145</v>
      </c>
      <c r="U886" s="113">
        <v>75</v>
      </c>
      <c r="V886" s="113">
        <v>43</v>
      </c>
    </row>
    <row r="887" spans="1:34" ht="15" customHeight="1">
      <c r="A887" s="113">
        <v>739</v>
      </c>
      <c r="B887" s="113" t="s">
        <v>2180</v>
      </c>
      <c r="C887" s="120" t="s">
        <v>6089</v>
      </c>
      <c r="D887" s="124">
        <v>0.5</v>
      </c>
      <c r="E887" s="124">
        <v>0.5</v>
      </c>
      <c r="F887" s="113" t="s">
        <v>2335</v>
      </c>
      <c r="G887" s="113" t="s">
        <v>2702</v>
      </c>
      <c r="H887" s="113" t="s">
        <v>78</v>
      </c>
      <c r="I887" s="113" t="s">
        <v>1109</v>
      </c>
      <c r="J887" s="118" t="s">
        <v>2129</v>
      </c>
      <c r="K887" s="118" t="s">
        <v>2712</v>
      </c>
      <c r="L887" s="118" t="s">
        <v>6089</v>
      </c>
      <c r="M887" s="115" t="s">
        <v>1109</v>
      </c>
      <c r="N887" s="115" t="s">
        <v>2129</v>
      </c>
      <c r="O887" s="115" t="s">
        <v>1109</v>
      </c>
      <c r="P887" s="113">
        <v>338</v>
      </c>
      <c r="Q887" s="113">
        <v>47</v>
      </c>
      <c r="R887" s="113">
        <v>82</v>
      </c>
      <c r="S887" s="113">
        <v>57</v>
      </c>
      <c r="T887" s="120">
        <v>42</v>
      </c>
      <c r="U887" s="113">
        <v>47</v>
      </c>
      <c r="V887" s="113">
        <v>63</v>
      </c>
      <c r="AH887"/>
    </row>
    <row r="888" spans="1:34" ht="15" customHeight="1">
      <c r="A888" s="113">
        <v>740</v>
      </c>
      <c r="B888" s="113" t="s">
        <v>2181</v>
      </c>
      <c r="C888" s="120" t="s">
        <v>6090</v>
      </c>
      <c r="D888" s="124">
        <v>0.5</v>
      </c>
      <c r="E888" s="124">
        <v>0.5</v>
      </c>
      <c r="F888" s="113" t="s">
        <v>2335</v>
      </c>
      <c r="G888" s="113" t="s">
        <v>2702</v>
      </c>
      <c r="H888" s="113" t="s">
        <v>78</v>
      </c>
      <c r="I888" s="113" t="s">
        <v>113</v>
      </c>
      <c r="J888" s="118" t="s">
        <v>2129</v>
      </c>
      <c r="K888" s="118" t="s">
        <v>2712</v>
      </c>
      <c r="L888" s="118" t="s">
        <v>6089</v>
      </c>
      <c r="M888" s="115" t="s">
        <v>6089</v>
      </c>
      <c r="N888" s="115" t="s">
        <v>6399</v>
      </c>
      <c r="O888" s="115" t="s">
        <v>2128</v>
      </c>
      <c r="P888" s="113">
        <v>478</v>
      </c>
      <c r="Q888" s="113">
        <v>97</v>
      </c>
      <c r="R888" s="113">
        <v>132</v>
      </c>
      <c r="S888" s="113">
        <v>77</v>
      </c>
      <c r="T888" s="120">
        <v>62</v>
      </c>
      <c r="U888" s="113">
        <v>67</v>
      </c>
      <c r="V888" s="113">
        <v>43</v>
      </c>
    </row>
    <row r="889" spans="1:34" ht="15" customHeight="1">
      <c r="A889" s="113">
        <v>741</v>
      </c>
      <c r="B889" s="120" t="s">
        <v>4321</v>
      </c>
      <c r="C889" s="120" t="s">
        <v>6091</v>
      </c>
      <c r="D889" s="124">
        <v>0.25</v>
      </c>
      <c r="E889" s="124">
        <v>0.75</v>
      </c>
      <c r="F889" s="113" t="s">
        <v>22</v>
      </c>
      <c r="G889" s="113" t="s">
        <v>2702</v>
      </c>
      <c r="H889" s="113" t="s">
        <v>19</v>
      </c>
      <c r="I889" s="113" t="s">
        <v>22</v>
      </c>
      <c r="J889" s="118" t="s">
        <v>2129</v>
      </c>
      <c r="K889" s="118" t="s">
        <v>4658</v>
      </c>
      <c r="L889" s="118" t="s">
        <v>6091</v>
      </c>
      <c r="M889" s="115" t="s">
        <v>1109</v>
      </c>
      <c r="N889" s="115" t="s">
        <v>6399</v>
      </c>
      <c r="O889" s="115" t="s">
        <v>1109</v>
      </c>
      <c r="P889" s="113">
        <v>476</v>
      </c>
      <c r="Q889" s="113">
        <v>75</v>
      </c>
      <c r="R889" s="113">
        <v>70</v>
      </c>
      <c r="S889" s="113">
        <v>70</v>
      </c>
      <c r="T889" s="120">
        <v>98</v>
      </c>
      <c r="U889" s="113">
        <v>70</v>
      </c>
      <c r="V889" s="113">
        <v>93</v>
      </c>
    </row>
    <row r="890" spans="1:34" ht="15" customHeight="1">
      <c r="A890" s="113">
        <v>741</v>
      </c>
      <c r="B890" s="113" t="s">
        <v>4322</v>
      </c>
      <c r="C890" s="120" t="s">
        <v>6093</v>
      </c>
      <c r="D890" s="124">
        <v>0.25</v>
      </c>
      <c r="E890" s="124">
        <v>0.75</v>
      </c>
      <c r="F890" s="113" t="s">
        <v>22</v>
      </c>
      <c r="G890" s="113" t="s">
        <v>2702</v>
      </c>
      <c r="H890" s="113" t="s">
        <v>46</v>
      </c>
      <c r="I890" s="113" t="s">
        <v>22</v>
      </c>
      <c r="J890" s="118" t="s">
        <v>2129</v>
      </c>
      <c r="K890" s="118" t="s">
        <v>4658</v>
      </c>
      <c r="L890" s="118" t="s">
        <v>6091</v>
      </c>
      <c r="M890" s="115" t="s">
        <v>1109</v>
      </c>
      <c r="N890" s="115" t="s">
        <v>6399</v>
      </c>
      <c r="O890" s="115" t="s">
        <v>1109</v>
      </c>
      <c r="P890" s="113">
        <v>476</v>
      </c>
      <c r="Q890" s="113">
        <v>75</v>
      </c>
      <c r="R890" s="113">
        <v>70</v>
      </c>
      <c r="S890" s="113">
        <v>70</v>
      </c>
      <c r="T890" s="120">
        <v>98</v>
      </c>
      <c r="U890" s="113">
        <v>70</v>
      </c>
      <c r="V890" s="113">
        <v>93</v>
      </c>
    </row>
    <row r="891" spans="1:34" ht="15" customHeight="1">
      <c r="A891" s="113">
        <v>741</v>
      </c>
      <c r="B891" s="113" t="s">
        <v>4323</v>
      </c>
      <c r="C891" s="120" t="s">
        <v>6092</v>
      </c>
      <c r="D891" s="124">
        <v>0.25</v>
      </c>
      <c r="E891" s="124">
        <v>0.75</v>
      </c>
      <c r="F891" s="113" t="s">
        <v>22</v>
      </c>
      <c r="G891" s="113" t="s">
        <v>2702</v>
      </c>
      <c r="H891" s="113" t="s">
        <v>86</v>
      </c>
      <c r="I891" s="113" t="s">
        <v>22</v>
      </c>
      <c r="J891" s="118" t="s">
        <v>2129</v>
      </c>
      <c r="K891" s="118" t="s">
        <v>4658</v>
      </c>
      <c r="L891" s="118" t="s">
        <v>6091</v>
      </c>
      <c r="M891" s="115" t="s">
        <v>1109</v>
      </c>
      <c r="N891" s="115" t="s">
        <v>6399</v>
      </c>
      <c r="O891" s="115" t="s">
        <v>1109</v>
      </c>
      <c r="P891" s="113">
        <v>476</v>
      </c>
      <c r="Q891" s="113">
        <v>75</v>
      </c>
      <c r="R891" s="113">
        <v>70</v>
      </c>
      <c r="S891" s="113">
        <v>70</v>
      </c>
      <c r="T891" s="120">
        <v>98</v>
      </c>
      <c r="U891" s="113">
        <v>70</v>
      </c>
      <c r="V891" s="113">
        <v>93</v>
      </c>
    </row>
    <row r="892" spans="1:34" ht="15" customHeight="1">
      <c r="A892" s="113">
        <v>741</v>
      </c>
      <c r="B892" s="113" t="s">
        <v>4324</v>
      </c>
      <c r="C892" s="120" t="s">
        <v>6094</v>
      </c>
      <c r="D892" s="124">
        <v>0.25</v>
      </c>
      <c r="E892" s="124">
        <v>0.75</v>
      </c>
      <c r="F892" s="113" t="s">
        <v>22</v>
      </c>
      <c r="G892" s="113" t="s">
        <v>2702</v>
      </c>
      <c r="H892" s="113" t="s">
        <v>119</v>
      </c>
      <c r="I892" s="113" t="s">
        <v>22</v>
      </c>
      <c r="J892" s="118" t="s">
        <v>2129</v>
      </c>
      <c r="K892" s="118" t="s">
        <v>4658</v>
      </c>
      <c r="L892" s="118" t="s">
        <v>6091</v>
      </c>
      <c r="M892" s="115" t="s">
        <v>1109</v>
      </c>
      <c r="N892" s="115" t="s">
        <v>6399</v>
      </c>
      <c r="O892" s="115" t="s">
        <v>1109</v>
      </c>
      <c r="P892" s="113">
        <v>476</v>
      </c>
      <c r="Q892" s="113">
        <v>75</v>
      </c>
      <c r="R892" s="113">
        <v>70</v>
      </c>
      <c r="S892" s="113">
        <v>70</v>
      </c>
      <c r="T892" s="120">
        <v>98</v>
      </c>
      <c r="U892" s="113">
        <v>70</v>
      </c>
      <c r="V892" s="113">
        <v>93</v>
      </c>
    </row>
    <row r="893" spans="1:34" ht="15" customHeight="1">
      <c r="A893" s="113">
        <v>742</v>
      </c>
      <c r="B893" s="113" t="s">
        <v>2182</v>
      </c>
      <c r="C893" s="120" t="s">
        <v>6095</v>
      </c>
      <c r="D893" s="124">
        <v>0.5</v>
      </c>
      <c r="E893" s="124">
        <v>0.5</v>
      </c>
      <c r="F893" s="113" t="s">
        <v>29</v>
      </c>
      <c r="G893" s="113" t="s">
        <v>2702</v>
      </c>
      <c r="H893" s="113" t="s">
        <v>29</v>
      </c>
      <c r="I893" s="113" t="s">
        <v>56</v>
      </c>
      <c r="J893" s="118" t="s">
        <v>2129</v>
      </c>
      <c r="K893" s="118" t="s">
        <v>4658</v>
      </c>
      <c r="L893" s="118" t="s">
        <v>6095</v>
      </c>
      <c r="M893" s="115" t="s">
        <v>1109</v>
      </c>
      <c r="N893" s="115" t="s">
        <v>2129</v>
      </c>
      <c r="O893" s="115" t="s">
        <v>1109</v>
      </c>
      <c r="P893" s="113">
        <v>304</v>
      </c>
      <c r="Q893" s="113">
        <v>40</v>
      </c>
      <c r="R893" s="113">
        <v>45</v>
      </c>
      <c r="S893" s="113">
        <v>40</v>
      </c>
      <c r="T893" s="120">
        <v>55</v>
      </c>
      <c r="U893" s="113">
        <v>40</v>
      </c>
      <c r="V893" s="113">
        <v>84</v>
      </c>
    </row>
    <row r="894" spans="1:34" ht="15" customHeight="1">
      <c r="A894" s="113">
        <v>743</v>
      </c>
      <c r="B894" s="113" t="s">
        <v>2183</v>
      </c>
      <c r="C894" s="120" t="s">
        <v>6096</v>
      </c>
      <c r="D894" s="124">
        <v>0.5</v>
      </c>
      <c r="E894" s="124">
        <v>0.5</v>
      </c>
      <c r="F894" s="113" t="s">
        <v>29</v>
      </c>
      <c r="G894" s="113" t="s">
        <v>2702</v>
      </c>
      <c r="H894" s="113" t="s">
        <v>29</v>
      </c>
      <c r="I894" s="113" t="s">
        <v>56</v>
      </c>
      <c r="J894" s="118" t="s">
        <v>2129</v>
      </c>
      <c r="K894" s="118" t="s">
        <v>4658</v>
      </c>
      <c r="L894" s="118" t="s">
        <v>6095</v>
      </c>
      <c r="M894" s="115" t="s">
        <v>6095</v>
      </c>
      <c r="N894" s="115" t="s">
        <v>6399</v>
      </c>
      <c r="O894" s="115" t="s">
        <v>2128</v>
      </c>
      <c r="P894" s="113">
        <v>464</v>
      </c>
      <c r="Q894" s="113">
        <v>60</v>
      </c>
      <c r="R894" s="113">
        <v>55</v>
      </c>
      <c r="S894" s="113">
        <v>60</v>
      </c>
      <c r="T894" s="120">
        <v>95</v>
      </c>
      <c r="U894" s="113">
        <v>70</v>
      </c>
      <c r="V894" s="113">
        <v>124</v>
      </c>
    </row>
    <row r="895" spans="1:34" ht="15" customHeight="1">
      <c r="A895" s="113">
        <v>744</v>
      </c>
      <c r="B895" s="113" t="s">
        <v>2184</v>
      </c>
      <c r="C895" s="120" t="s">
        <v>6097</v>
      </c>
      <c r="D895" s="124">
        <v>0.5</v>
      </c>
      <c r="E895" s="124">
        <v>0.5</v>
      </c>
      <c r="F895" s="113" t="s">
        <v>2332</v>
      </c>
      <c r="G895" s="113" t="s">
        <v>2702</v>
      </c>
      <c r="H895" s="113" t="s">
        <v>98</v>
      </c>
      <c r="I895" s="113" t="s">
        <v>1109</v>
      </c>
      <c r="J895" s="118" t="s">
        <v>2129</v>
      </c>
      <c r="K895" s="118" t="s">
        <v>4657</v>
      </c>
      <c r="L895" s="118" t="s">
        <v>6097</v>
      </c>
      <c r="M895" s="115" t="s">
        <v>1109</v>
      </c>
      <c r="N895" s="115" t="s">
        <v>2129</v>
      </c>
      <c r="O895" s="115" t="s">
        <v>1109</v>
      </c>
      <c r="P895" s="113">
        <v>280</v>
      </c>
      <c r="Q895" s="113">
        <v>45</v>
      </c>
      <c r="R895" s="113">
        <v>65</v>
      </c>
      <c r="S895" s="113">
        <v>40</v>
      </c>
      <c r="T895" s="120">
        <v>30</v>
      </c>
      <c r="U895" s="113">
        <v>40</v>
      </c>
      <c r="V895" s="113">
        <v>60</v>
      </c>
      <c r="AH895"/>
    </row>
    <row r="896" spans="1:34" ht="15" customHeight="1">
      <c r="A896" s="113">
        <v>745</v>
      </c>
      <c r="B896" s="113" t="s">
        <v>2753</v>
      </c>
      <c r="C896" s="120" t="s">
        <v>6099</v>
      </c>
      <c r="D896" s="124">
        <v>0.5</v>
      </c>
      <c r="E896" s="124">
        <v>0.5</v>
      </c>
      <c r="F896" s="113" t="s">
        <v>2332</v>
      </c>
      <c r="G896" s="113" t="s">
        <v>2702</v>
      </c>
      <c r="H896" s="113" t="s">
        <v>98</v>
      </c>
      <c r="I896" s="113" t="s">
        <v>1109</v>
      </c>
      <c r="J896" s="118" t="s">
        <v>2129</v>
      </c>
      <c r="K896" s="118" t="s">
        <v>4657</v>
      </c>
      <c r="L896" s="118" t="s">
        <v>6097</v>
      </c>
      <c r="M896" s="115" t="s">
        <v>6097</v>
      </c>
      <c r="N896" s="115" t="s">
        <v>6399</v>
      </c>
      <c r="O896" s="115" t="s">
        <v>2128</v>
      </c>
      <c r="P896" s="113">
        <v>487</v>
      </c>
      <c r="Q896" s="113">
        <v>75</v>
      </c>
      <c r="R896" s="113">
        <v>115</v>
      </c>
      <c r="S896" s="113">
        <v>65</v>
      </c>
      <c r="T896" s="120">
        <v>55</v>
      </c>
      <c r="U896" s="113">
        <v>65</v>
      </c>
      <c r="V896" s="113">
        <v>112</v>
      </c>
    </row>
    <row r="897" spans="1:34" ht="15" customHeight="1">
      <c r="A897" s="113">
        <v>745</v>
      </c>
      <c r="B897" s="113" t="s">
        <v>2754</v>
      </c>
      <c r="C897" s="120" t="s">
        <v>6100</v>
      </c>
      <c r="D897" s="124">
        <v>0.5</v>
      </c>
      <c r="E897" s="124">
        <v>0.5</v>
      </c>
      <c r="F897" s="113" t="s">
        <v>2332</v>
      </c>
      <c r="G897" s="113" t="s">
        <v>2702</v>
      </c>
      <c r="H897" s="113" t="s">
        <v>98</v>
      </c>
      <c r="I897" s="113" t="s">
        <v>1109</v>
      </c>
      <c r="J897" s="118" t="s">
        <v>2129</v>
      </c>
      <c r="K897" s="118" t="s">
        <v>4657</v>
      </c>
      <c r="L897" s="118" t="s">
        <v>6097</v>
      </c>
      <c r="M897" s="115" t="s">
        <v>6097</v>
      </c>
      <c r="N897" s="115" t="s">
        <v>6399</v>
      </c>
      <c r="O897" s="115" t="s">
        <v>2128</v>
      </c>
      <c r="P897" s="113">
        <v>487</v>
      </c>
      <c r="Q897" s="113">
        <v>85</v>
      </c>
      <c r="R897" s="113">
        <v>115</v>
      </c>
      <c r="S897" s="113">
        <v>75</v>
      </c>
      <c r="T897" s="120">
        <v>55</v>
      </c>
      <c r="U897" s="113">
        <v>75</v>
      </c>
      <c r="V897" s="113">
        <v>82</v>
      </c>
    </row>
    <row r="898" spans="1:34" ht="15" customHeight="1">
      <c r="A898" s="113">
        <v>745</v>
      </c>
      <c r="B898" s="113" t="s">
        <v>2755</v>
      </c>
      <c r="C898" s="120" t="s">
        <v>6098</v>
      </c>
      <c r="D898" s="124">
        <v>0.5</v>
      </c>
      <c r="E898" s="124">
        <v>0.5</v>
      </c>
      <c r="F898" s="113" t="s">
        <v>2332</v>
      </c>
      <c r="G898" s="113" t="s">
        <v>2702</v>
      </c>
      <c r="H898" s="113" t="s">
        <v>98</v>
      </c>
      <c r="I898" s="113" t="s">
        <v>1109</v>
      </c>
      <c r="J898" s="118" t="s">
        <v>2129</v>
      </c>
      <c r="K898" s="118" t="s">
        <v>4657</v>
      </c>
      <c r="L898" s="118" t="s">
        <v>6097</v>
      </c>
      <c r="M898" s="115" t="s">
        <v>6097</v>
      </c>
      <c r="N898" s="115" t="s">
        <v>6399</v>
      </c>
      <c r="O898" s="115" t="s">
        <v>2128</v>
      </c>
      <c r="P898" s="113">
        <v>487</v>
      </c>
      <c r="Q898" s="113">
        <v>75</v>
      </c>
      <c r="R898" s="113">
        <v>117</v>
      </c>
      <c r="S898" s="113">
        <v>65</v>
      </c>
      <c r="T898" s="120">
        <v>55</v>
      </c>
      <c r="U898" s="113">
        <v>65</v>
      </c>
      <c r="V898" s="113">
        <v>110</v>
      </c>
    </row>
    <row r="899" spans="1:34" ht="15" customHeight="1">
      <c r="A899" s="113">
        <v>746</v>
      </c>
      <c r="B899" s="113" t="s">
        <v>2186</v>
      </c>
      <c r="C899" s="120" t="s">
        <v>6101</v>
      </c>
      <c r="D899" s="124">
        <v>0.5</v>
      </c>
      <c r="E899" s="124">
        <v>0.5</v>
      </c>
      <c r="F899" s="113" t="s">
        <v>2337</v>
      </c>
      <c r="G899" s="113" t="s">
        <v>2702</v>
      </c>
      <c r="H899" s="113" t="s">
        <v>25</v>
      </c>
      <c r="I899" s="113" t="s">
        <v>1109</v>
      </c>
      <c r="J899" s="118" t="s">
        <v>2129</v>
      </c>
      <c r="K899" s="118" t="s">
        <v>4658</v>
      </c>
      <c r="L899" s="118" t="s">
        <v>6101</v>
      </c>
      <c r="M899" s="115" t="s">
        <v>1109</v>
      </c>
      <c r="N899" s="115" t="s">
        <v>6399</v>
      </c>
      <c r="O899" s="115" t="s">
        <v>1109</v>
      </c>
      <c r="P899" s="113">
        <v>175</v>
      </c>
      <c r="Q899" s="113">
        <v>45</v>
      </c>
      <c r="R899" s="113">
        <v>20</v>
      </c>
      <c r="S899" s="113">
        <v>20</v>
      </c>
      <c r="T899" s="120">
        <v>25</v>
      </c>
      <c r="U899" s="113">
        <v>25</v>
      </c>
      <c r="V899" s="113">
        <v>40</v>
      </c>
      <c r="AH899"/>
    </row>
    <row r="900" spans="1:34" ht="15" customHeight="1">
      <c r="A900" s="113">
        <v>746</v>
      </c>
      <c r="B900" s="113" t="s">
        <v>2757</v>
      </c>
      <c r="C900" s="120" t="s">
        <v>6102</v>
      </c>
      <c r="D900" s="124">
        <v>0.5</v>
      </c>
      <c r="E900" s="124">
        <v>0.5</v>
      </c>
      <c r="F900" s="113" t="s">
        <v>2337</v>
      </c>
      <c r="G900" s="113" t="s">
        <v>2702</v>
      </c>
      <c r="H900" s="113" t="s">
        <v>25</v>
      </c>
      <c r="I900" s="113" t="s">
        <v>1109</v>
      </c>
      <c r="J900" s="118" t="s">
        <v>2129</v>
      </c>
      <c r="K900" s="118" t="s">
        <v>4658</v>
      </c>
      <c r="L900" s="118" t="s">
        <v>6101</v>
      </c>
      <c r="M900" s="115" t="s">
        <v>1109</v>
      </c>
      <c r="N900" s="115" t="s">
        <v>6399</v>
      </c>
      <c r="O900" s="115" t="s">
        <v>1109</v>
      </c>
      <c r="P900" s="113">
        <v>620</v>
      </c>
      <c r="Q900" s="113">
        <v>45</v>
      </c>
      <c r="R900" s="113">
        <v>140</v>
      </c>
      <c r="S900" s="113">
        <v>130</v>
      </c>
      <c r="T900" s="120">
        <v>140</v>
      </c>
      <c r="U900" s="113">
        <v>135</v>
      </c>
      <c r="V900" s="113">
        <v>30</v>
      </c>
    </row>
    <row r="901" spans="1:34" ht="15" customHeight="1">
      <c r="A901" s="113">
        <v>747</v>
      </c>
      <c r="B901" s="113" t="s">
        <v>2187</v>
      </c>
      <c r="C901" s="120" t="s">
        <v>6103</v>
      </c>
      <c r="D901" s="124">
        <v>0.5</v>
      </c>
      <c r="E901" s="124">
        <v>0.5</v>
      </c>
      <c r="F901" s="113" t="s">
        <v>2337</v>
      </c>
      <c r="G901" s="113" t="s">
        <v>2702</v>
      </c>
      <c r="H901" s="113" t="s">
        <v>15</v>
      </c>
      <c r="I901" s="113" t="s">
        <v>25</v>
      </c>
      <c r="J901" s="118" t="s">
        <v>2129</v>
      </c>
      <c r="K901" s="118" t="s">
        <v>4658</v>
      </c>
      <c r="L901" s="118" t="s">
        <v>6103</v>
      </c>
      <c r="M901" s="115" t="s">
        <v>1109</v>
      </c>
      <c r="N901" s="115" t="s">
        <v>2129</v>
      </c>
      <c r="O901" s="115" t="s">
        <v>1109</v>
      </c>
      <c r="P901" s="113">
        <v>305</v>
      </c>
      <c r="Q901" s="113">
        <v>50</v>
      </c>
      <c r="R901" s="113">
        <v>53</v>
      </c>
      <c r="S901" s="113">
        <v>62</v>
      </c>
      <c r="T901" s="120">
        <v>43</v>
      </c>
      <c r="U901" s="113">
        <v>52</v>
      </c>
      <c r="V901" s="113">
        <v>45</v>
      </c>
      <c r="AH901"/>
    </row>
    <row r="902" spans="1:34" ht="15" customHeight="1">
      <c r="A902" s="113">
        <v>748</v>
      </c>
      <c r="B902" s="113" t="s">
        <v>2188</v>
      </c>
      <c r="C902" s="120" t="s">
        <v>6104</v>
      </c>
      <c r="D902" s="124">
        <v>0.5</v>
      </c>
      <c r="E902" s="124">
        <v>0.5</v>
      </c>
      <c r="F902" s="113" t="s">
        <v>2337</v>
      </c>
      <c r="G902" s="113" t="s">
        <v>2702</v>
      </c>
      <c r="H902" s="113" t="s">
        <v>15</v>
      </c>
      <c r="I902" s="113" t="s">
        <v>25</v>
      </c>
      <c r="J902" s="118" t="s">
        <v>2129</v>
      </c>
      <c r="K902" s="118" t="s">
        <v>4658</v>
      </c>
      <c r="L902" s="118" t="s">
        <v>6103</v>
      </c>
      <c r="M902" s="115" t="s">
        <v>6103</v>
      </c>
      <c r="N902" s="115" t="s">
        <v>6399</v>
      </c>
      <c r="O902" s="115" t="s">
        <v>2128</v>
      </c>
      <c r="P902" s="113">
        <v>495</v>
      </c>
      <c r="Q902" s="113">
        <v>50</v>
      </c>
      <c r="R902" s="113">
        <v>63</v>
      </c>
      <c r="S902" s="113">
        <v>152</v>
      </c>
      <c r="T902" s="120">
        <v>53</v>
      </c>
      <c r="U902" s="113">
        <v>142</v>
      </c>
      <c r="V902" s="113">
        <v>35</v>
      </c>
    </row>
    <row r="903" spans="1:34" ht="15" customHeight="1">
      <c r="A903" s="113">
        <v>749</v>
      </c>
      <c r="B903" s="113" t="s">
        <v>2189</v>
      </c>
      <c r="C903" s="120" t="s">
        <v>6105</v>
      </c>
      <c r="D903" s="124">
        <v>0.5</v>
      </c>
      <c r="E903" s="124">
        <v>0.5</v>
      </c>
      <c r="F903" s="113" t="s">
        <v>2332</v>
      </c>
      <c r="G903" s="113" t="s">
        <v>2702</v>
      </c>
      <c r="H903" s="113" t="s">
        <v>49</v>
      </c>
      <c r="I903" s="113" t="s">
        <v>1109</v>
      </c>
      <c r="J903" s="118" t="s">
        <v>2129</v>
      </c>
      <c r="K903" s="118" t="s">
        <v>4658</v>
      </c>
      <c r="L903" s="118" t="s">
        <v>6105</v>
      </c>
      <c r="M903" s="115" t="s">
        <v>1109</v>
      </c>
      <c r="N903" s="115" t="s">
        <v>2129</v>
      </c>
      <c r="O903" s="115" t="s">
        <v>1109</v>
      </c>
      <c r="P903" s="113">
        <v>385</v>
      </c>
      <c r="Q903" s="113">
        <v>70</v>
      </c>
      <c r="R903" s="113">
        <v>100</v>
      </c>
      <c r="S903" s="113">
        <v>70</v>
      </c>
      <c r="T903" s="120">
        <v>45</v>
      </c>
      <c r="U903" s="113">
        <v>55</v>
      </c>
      <c r="V903" s="113">
        <v>45</v>
      </c>
    </row>
    <row r="904" spans="1:34" ht="15" customHeight="1">
      <c r="A904" s="113">
        <v>750</v>
      </c>
      <c r="B904" s="113" t="s">
        <v>2190</v>
      </c>
      <c r="C904" s="120" t="s">
        <v>6106</v>
      </c>
      <c r="D904" s="124">
        <v>0.5</v>
      </c>
      <c r="E904" s="124">
        <v>0.5</v>
      </c>
      <c r="F904" s="113" t="s">
        <v>2332</v>
      </c>
      <c r="G904" s="113" t="s">
        <v>2702</v>
      </c>
      <c r="H904" s="113" t="s">
        <v>49</v>
      </c>
      <c r="I904" s="113" t="s">
        <v>1109</v>
      </c>
      <c r="J904" s="118" t="s">
        <v>2129</v>
      </c>
      <c r="K904" s="118" t="s">
        <v>4658</v>
      </c>
      <c r="L904" s="118" t="s">
        <v>6105</v>
      </c>
      <c r="M904" s="115" t="s">
        <v>6105</v>
      </c>
      <c r="N904" s="115" t="s">
        <v>6399</v>
      </c>
      <c r="O904" s="115" t="s">
        <v>2128</v>
      </c>
      <c r="P904" s="113">
        <v>500</v>
      </c>
      <c r="Q904" s="113">
        <v>100</v>
      </c>
      <c r="R904" s="113">
        <v>125</v>
      </c>
      <c r="S904" s="113">
        <v>100</v>
      </c>
      <c r="T904" s="120">
        <v>55</v>
      </c>
      <c r="U904" s="113">
        <v>85</v>
      </c>
      <c r="V904" s="113">
        <v>35</v>
      </c>
    </row>
    <row r="905" spans="1:34" ht="15" customHeight="1">
      <c r="A905" s="113">
        <v>751</v>
      </c>
      <c r="B905" s="113" t="s">
        <v>2191</v>
      </c>
      <c r="C905" s="120" t="s">
        <v>6107</v>
      </c>
      <c r="D905" s="124">
        <v>0.5</v>
      </c>
      <c r="E905" s="124">
        <v>0.5</v>
      </c>
      <c r="F905" s="113" t="s">
        <v>29</v>
      </c>
      <c r="G905" s="113" t="s">
        <v>2702</v>
      </c>
      <c r="H905" s="113" t="s">
        <v>25</v>
      </c>
      <c r="I905" s="113" t="s">
        <v>29</v>
      </c>
      <c r="J905" s="118" t="s">
        <v>2129</v>
      </c>
      <c r="K905" s="118" t="s">
        <v>4658</v>
      </c>
      <c r="L905" s="118" t="s">
        <v>6107</v>
      </c>
      <c r="M905" s="115" t="s">
        <v>1109</v>
      </c>
      <c r="N905" s="115" t="s">
        <v>2129</v>
      </c>
      <c r="O905" s="115" t="s">
        <v>1109</v>
      </c>
      <c r="P905" s="113">
        <v>269</v>
      </c>
      <c r="Q905" s="113">
        <v>38</v>
      </c>
      <c r="R905" s="113">
        <v>40</v>
      </c>
      <c r="S905" s="113">
        <v>52</v>
      </c>
      <c r="T905" s="120">
        <v>40</v>
      </c>
      <c r="U905" s="113">
        <v>72</v>
      </c>
      <c r="V905" s="113">
        <v>27</v>
      </c>
      <c r="AH905"/>
    </row>
    <row r="906" spans="1:34" ht="15" customHeight="1">
      <c r="A906" s="113">
        <v>752</v>
      </c>
      <c r="B906" s="113" t="s">
        <v>2192</v>
      </c>
      <c r="C906" s="120" t="s">
        <v>6108</v>
      </c>
      <c r="D906" s="124">
        <v>0.5</v>
      </c>
      <c r="E906" s="124">
        <v>0.5</v>
      </c>
      <c r="F906" s="113" t="s">
        <v>29</v>
      </c>
      <c r="G906" s="113" t="s">
        <v>2702</v>
      </c>
      <c r="H906" s="113" t="s">
        <v>25</v>
      </c>
      <c r="I906" s="113" t="s">
        <v>29</v>
      </c>
      <c r="J906" s="118" t="s">
        <v>2129</v>
      </c>
      <c r="K906" s="118" t="s">
        <v>4658</v>
      </c>
      <c r="L906" s="118" t="s">
        <v>6107</v>
      </c>
      <c r="M906" s="115" t="s">
        <v>6107</v>
      </c>
      <c r="N906" s="115" t="s">
        <v>6399</v>
      </c>
      <c r="O906" s="115" t="s">
        <v>2128</v>
      </c>
      <c r="P906" s="113">
        <v>454</v>
      </c>
      <c r="Q906" s="113">
        <v>68</v>
      </c>
      <c r="R906" s="113">
        <v>70</v>
      </c>
      <c r="S906" s="113">
        <v>92</v>
      </c>
      <c r="T906" s="120">
        <v>50</v>
      </c>
      <c r="U906" s="113">
        <v>132</v>
      </c>
      <c r="V906" s="113">
        <v>42</v>
      </c>
    </row>
    <row r="907" spans="1:34" ht="15" customHeight="1">
      <c r="A907" s="113">
        <v>753</v>
      </c>
      <c r="B907" s="113" t="s">
        <v>2193</v>
      </c>
      <c r="C907" s="120" t="s">
        <v>6109</v>
      </c>
      <c r="D907" s="124">
        <v>0.5</v>
      </c>
      <c r="E907" s="124">
        <v>0.5</v>
      </c>
      <c r="F907" s="113" t="s">
        <v>14</v>
      </c>
      <c r="G907" s="113" t="s">
        <v>2702</v>
      </c>
      <c r="H907" s="113" t="s">
        <v>14</v>
      </c>
      <c r="I907" s="113" t="s">
        <v>1109</v>
      </c>
      <c r="J907" s="118" t="s">
        <v>2129</v>
      </c>
      <c r="K907" s="118" t="s">
        <v>4658</v>
      </c>
      <c r="L907" s="118" t="s">
        <v>6109</v>
      </c>
      <c r="M907" s="115" t="s">
        <v>1109</v>
      </c>
      <c r="N907" s="115" t="s">
        <v>2129</v>
      </c>
      <c r="O907" s="115" t="s">
        <v>1109</v>
      </c>
      <c r="P907" s="113">
        <v>250</v>
      </c>
      <c r="Q907" s="113">
        <v>40</v>
      </c>
      <c r="R907" s="113">
        <v>55</v>
      </c>
      <c r="S907" s="113">
        <v>35</v>
      </c>
      <c r="T907" s="120">
        <v>50</v>
      </c>
      <c r="U907" s="113">
        <v>35</v>
      </c>
      <c r="V907" s="113">
        <v>35</v>
      </c>
      <c r="AH907"/>
    </row>
    <row r="908" spans="1:34" ht="15" customHeight="1">
      <c r="A908" s="113">
        <v>754</v>
      </c>
      <c r="B908" s="113" t="s">
        <v>2194</v>
      </c>
      <c r="C908" s="120" t="s">
        <v>6110</v>
      </c>
      <c r="D908" s="124">
        <v>0.5</v>
      </c>
      <c r="E908" s="124">
        <v>0.5</v>
      </c>
      <c r="F908" s="113" t="s">
        <v>14</v>
      </c>
      <c r="G908" s="113" t="s">
        <v>2702</v>
      </c>
      <c r="H908" s="113" t="s">
        <v>14</v>
      </c>
      <c r="I908" s="113" t="s">
        <v>1109</v>
      </c>
      <c r="J908" s="118" t="s">
        <v>2129</v>
      </c>
      <c r="K908" s="118" t="s">
        <v>4658</v>
      </c>
      <c r="L908" s="118" t="s">
        <v>6109</v>
      </c>
      <c r="M908" s="115" t="s">
        <v>6109</v>
      </c>
      <c r="N908" s="115" t="s">
        <v>6399</v>
      </c>
      <c r="O908" s="115" t="s">
        <v>2128</v>
      </c>
      <c r="P908" s="113">
        <v>480</v>
      </c>
      <c r="Q908" s="113">
        <v>70</v>
      </c>
      <c r="R908" s="113">
        <v>105</v>
      </c>
      <c r="S908" s="113">
        <v>90</v>
      </c>
      <c r="T908" s="120">
        <v>80</v>
      </c>
      <c r="U908" s="113">
        <v>90</v>
      </c>
      <c r="V908" s="113">
        <v>45</v>
      </c>
    </row>
    <row r="909" spans="1:34" ht="15" customHeight="1">
      <c r="A909" s="113">
        <v>755</v>
      </c>
      <c r="B909" s="113" t="s">
        <v>2195</v>
      </c>
      <c r="C909" s="120" t="s">
        <v>6111</v>
      </c>
      <c r="D909" s="124">
        <v>0.5</v>
      </c>
      <c r="E909" s="124">
        <v>0.5</v>
      </c>
      <c r="F909" s="113" t="s">
        <v>14</v>
      </c>
      <c r="G909" s="113" t="s">
        <v>2702</v>
      </c>
      <c r="H909" s="113" t="s">
        <v>14</v>
      </c>
      <c r="I909" s="113" t="s">
        <v>56</v>
      </c>
      <c r="J909" s="118" t="s">
        <v>2129</v>
      </c>
      <c r="K909" s="118" t="s">
        <v>4658</v>
      </c>
      <c r="L909" s="118" t="s">
        <v>6111</v>
      </c>
      <c r="M909" s="115" t="s">
        <v>1109</v>
      </c>
      <c r="N909" s="115" t="s">
        <v>2129</v>
      </c>
      <c r="O909" s="115" t="s">
        <v>1109</v>
      </c>
      <c r="P909" s="113">
        <v>285</v>
      </c>
      <c r="Q909" s="113">
        <v>40</v>
      </c>
      <c r="R909" s="113">
        <v>35</v>
      </c>
      <c r="S909" s="113">
        <v>55</v>
      </c>
      <c r="T909" s="120">
        <v>65</v>
      </c>
      <c r="U909" s="113">
        <v>75</v>
      </c>
      <c r="V909" s="113">
        <v>15</v>
      </c>
      <c r="AH909"/>
    </row>
    <row r="910" spans="1:34" ht="15" customHeight="1">
      <c r="A910" s="113">
        <v>756</v>
      </c>
      <c r="B910" s="113" t="s">
        <v>2196</v>
      </c>
      <c r="C910" s="120" t="s">
        <v>6112</v>
      </c>
      <c r="D910" s="124">
        <v>0.5</v>
      </c>
      <c r="E910" s="124">
        <v>0.5</v>
      </c>
      <c r="F910" s="113" t="s">
        <v>14</v>
      </c>
      <c r="G910" s="113" t="s">
        <v>2702</v>
      </c>
      <c r="H910" s="113" t="s">
        <v>14</v>
      </c>
      <c r="I910" s="113" t="s">
        <v>56</v>
      </c>
      <c r="J910" s="118" t="s">
        <v>2129</v>
      </c>
      <c r="K910" s="118" t="s">
        <v>4658</v>
      </c>
      <c r="L910" s="118" t="s">
        <v>6111</v>
      </c>
      <c r="M910" s="115" t="s">
        <v>6111</v>
      </c>
      <c r="N910" s="115" t="s">
        <v>6399</v>
      </c>
      <c r="O910" s="115" t="s">
        <v>2128</v>
      </c>
      <c r="P910" s="113">
        <v>405</v>
      </c>
      <c r="Q910" s="113">
        <v>60</v>
      </c>
      <c r="R910" s="113">
        <v>45</v>
      </c>
      <c r="S910" s="113">
        <v>80</v>
      </c>
      <c r="T910" s="120">
        <v>90</v>
      </c>
      <c r="U910" s="113">
        <v>100</v>
      </c>
      <c r="V910" s="113">
        <v>30</v>
      </c>
    </row>
    <row r="911" spans="1:34" ht="15" customHeight="1">
      <c r="A911" s="113">
        <v>757</v>
      </c>
      <c r="B911" s="113" t="s">
        <v>2156</v>
      </c>
      <c r="C911" s="120" t="s">
        <v>6113</v>
      </c>
      <c r="D911" s="124">
        <v>0.85</v>
      </c>
      <c r="E911" s="124">
        <v>0.15</v>
      </c>
      <c r="F911" s="113" t="s">
        <v>23</v>
      </c>
      <c r="G911" s="113" t="s">
        <v>2702</v>
      </c>
      <c r="H911" s="113" t="s">
        <v>15</v>
      </c>
      <c r="I911" s="113" t="s">
        <v>19</v>
      </c>
      <c r="J911" s="118" t="s">
        <v>2129</v>
      </c>
      <c r="K911" s="118" t="s">
        <v>4657</v>
      </c>
      <c r="L911" s="118" t="s">
        <v>6113</v>
      </c>
      <c r="M911" s="115" t="s">
        <v>1109</v>
      </c>
      <c r="N911" s="115" t="s">
        <v>2129</v>
      </c>
      <c r="O911" s="115" t="s">
        <v>1109</v>
      </c>
      <c r="P911" s="113">
        <v>320</v>
      </c>
      <c r="Q911" s="113">
        <v>48</v>
      </c>
      <c r="R911" s="113">
        <v>44</v>
      </c>
      <c r="S911" s="113">
        <v>40</v>
      </c>
      <c r="T911" s="120">
        <v>71</v>
      </c>
      <c r="U911" s="113">
        <v>40</v>
      </c>
      <c r="V911" s="113">
        <v>77</v>
      </c>
    </row>
    <row r="912" spans="1:34" ht="15" customHeight="1">
      <c r="A912" s="113">
        <v>758</v>
      </c>
      <c r="B912" s="113" t="s">
        <v>2273</v>
      </c>
      <c r="C912" s="120" t="s">
        <v>6114</v>
      </c>
      <c r="D912" s="124">
        <v>0</v>
      </c>
      <c r="E912" s="124">
        <v>1</v>
      </c>
      <c r="F912" s="113" t="s">
        <v>23</v>
      </c>
      <c r="G912" s="113" t="s">
        <v>2702</v>
      </c>
      <c r="H912" s="113" t="s">
        <v>15</v>
      </c>
      <c r="I912" s="113" t="s">
        <v>19</v>
      </c>
      <c r="J912" s="118" t="s">
        <v>2129</v>
      </c>
      <c r="K912" s="118" t="s">
        <v>4657</v>
      </c>
      <c r="L912" s="118" t="s">
        <v>6113</v>
      </c>
      <c r="M912" s="115" t="s">
        <v>6113</v>
      </c>
      <c r="N912" s="115" t="s">
        <v>6399</v>
      </c>
      <c r="O912" s="115" t="s">
        <v>2128</v>
      </c>
      <c r="P912" s="113">
        <v>480</v>
      </c>
      <c r="Q912" s="113">
        <v>68</v>
      </c>
      <c r="R912" s="113">
        <v>64</v>
      </c>
      <c r="S912" s="113">
        <v>60</v>
      </c>
      <c r="T912" s="120">
        <v>111</v>
      </c>
      <c r="U912" s="113">
        <v>60</v>
      </c>
      <c r="V912" s="113">
        <v>117</v>
      </c>
    </row>
    <row r="913" spans="1:34" ht="15" customHeight="1">
      <c r="A913" s="113">
        <v>759</v>
      </c>
      <c r="B913" s="113" t="s">
        <v>2197</v>
      </c>
      <c r="C913" s="120" t="s">
        <v>6115</v>
      </c>
      <c r="D913" s="124">
        <v>0.5</v>
      </c>
      <c r="E913" s="124">
        <v>0.5</v>
      </c>
      <c r="F913" s="113" t="s">
        <v>2332</v>
      </c>
      <c r="G913" s="113" t="s">
        <v>2702</v>
      </c>
      <c r="H913" s="113" t="s">
        <v>36</v>
      </c>
      <c r="I913" s="113" t="s">
        <v>78</v>
      </c>
      <c r="J913" s="118" t="s">
        <v>2129</v>
      </c>
      <c r="K913" s="118" t="s">
        <v>4658</v>
      </c>
      <c r="L913" s="118" t="s">
        <v>6115</v>
      </c>
      <c r="M913" s="115" t="s">
        <v>1109</v>
      </c>
      <c r="N913" s="115" t="s">
        <v>2129</v>
      </c>
      <c r="O913" s="115" t="s">
        <v>1109</v>
      </c>
      <c r="P913" s="113">
        <v>340</v>
      </c>
      <c r="Q913" s="113">
        <v>70</v>
      </c>
      <c r="R913" s="113">
        <v>75</v>
      </c>
      <c r="S913" s="113">
        <v>50</v>
      </c>
      <c r="T913" s="120">
        <v>45</v>
      </c>
      <c r="U913" s="113">
        <v>50</v>
      </c>
      <c r="V913" s="113">
        <v>50</v>
      </c>
    </row>
    <row r="914" spans="1:34" ht="15" customHeight="1">
      <c r="A914" s="113">
        <v>760</v>
      </c>
      <c r="B914" s="113" t="s">
        <v>2198</v>
      </c>
      <c r="C914" s="120" t="s">
        <v>6116</v>
      </c>
      <c r="D914" s="124">
        <v>0.5</v>
      </c>
      <c r="E914" s="124">
        <v>0.5</v>
      </c>
      <c r="F914" s="113" t="s">
        <v>2332</v>
      </c>
      <c r="G914" s="113" t="s">
        <v>2702</v>
      </c>
      <c r="H914" s="113" t="s">
        <v>36</v>
      </c>
      <c r="I914" s="113" t="s">
        <v>78</v>
      </c>
      <c r="J914" s="118" t="s">
        <v>2129</v>
      </c>
      <c r="K914" s="118" t="s">
        <v>4658</v>
      </c>
      <c r="L914" s="118" t="s">
        <v>6115</v>
      </c>
      <c r="M914" s="115" t="s">
        <v>6115</v>
      </c>
      <c r="N914" s="115" t="s">
        <v>6399</v>
      </c>
      <c r="O914" s="115" t="s">
        <v>2128</v>
      </c>
      <c r="P914" s="113">
        <v>500</v>
      </c>
      <c r="Q914" s="113">
        <v>120</v>
      </c>
      <c r="R914" s="113">
        <v>125</v>
      </c>
      <c r="S914" s="113">
        <v>80</v>
      </c>
      <c r="T914" s="120">
        <v>55</v>
      </c>
      <c r="U914" s="113">
        <v>60</v>
      </c>
      <c r="V914" s="113">
        <v>60</v>
      </c>
    </row>
    <row r="915" spans="1:34" ht="15" customHeight="1">
      <c r="A915" s="113">
        <v>761</v>
      </c>
      <c r="B915" s="113" t="s">
        <v>2274</v>
      </c>
      <c r="C915" s="120" t="s">
        <v>6117</v>
      </c>
      <c r="D915" s="124">
        <v>0</v>
      </c>
      <c r="E915" s="124">
        <v>1</v>
      </c>
      <c r="F915" s="113" t="s">
        <v>14</v>
      </c>
      <c r="G915" s="113" t="s">
        <v>2702</v>
      </c>
      <c r="H915" s="113" t="s">
        <v>14</v>
      </c>
      <c r="I915" s="113" t="s">
        <v>1109</v>
      </c>
      <c r="J915" s="118" t="s">
        <v>2129</v>
      </c>
      <c r="K915" s="118" t="s">
        <v>4658</v>
      </c>
      <c r="L915" s="118" t="s">
        <v>6117</v>
      </c>
      <c r="M915" s="115" t="s">
        <v>1109</v>
      </c>
      <c r="N915" s="115" t="s">
        <v>2129</v>
      </c>
      <c r="O915" s="115" t="s">
        <v>1109</v>
      </c>
      <c r="P915" s="113">
        <v>210</v>
      </c>
      <c r="Q915" s="113">
        <v>42</v>
      </c>
      <c r="R915" s="113">
        <v>30</v>
      </c>
      <c r="S915" s="113">
        <v>38</v>
      </c>
      <c r="T915" s="120">
        <v>30</v>
      </c>
      <c r="U915" s="113">
        <v>38</v>
      </c>
      <c r="V915" s="113">
        <v>32</v>
      </c>
      <c r="AH915"/>
    </row>
    <row r="916" spans="1:34" ht="15" customHeight="1">
      <c r="A916" s="113">
        <v>762</v>
      </c>
      <c r="B916" s="113" t="s">
        <v>2275</v>
      </c>
      <c r="C916" s="120" t="s">
        <v>6118</v>
      </c>
      <c r="D916" s="124">
        <v>0</v>
      </c>
      <c r="E916" s="124">
        <v>1</v>
      </c>
      <c r="F916" s="113" t="s">
        <v>14</v>
      </c>
      <c r="G916" s="113" t="s">
        <v>2702</v>
      </c>
      <c r="H916" s="113" t="s">
        <v>14</v>
      </c>
      <c r="I916" s="113" t="s">
        <v>1109</v>
      </c>
      <c r="J916" s="118" t="s">
        <v>2129</v>
      </c>
      <c r="K916" s="118" t="s">
        <v>4658</v>
      </c>
      <c r="L916" s="118" t="s">
        <v>6117</v>
      </c>
      <c r="M916" s="115" t="s">
        <v>6117</v>
      </c>
      <c r="N916" s="115" t="s">
        <v>6398</v>
      </c>
      <c r="O916" s="115" t="s">
        <v>2128</v>
      </c>
      <c r="P916" s="113">
        <v>290</v>
      </c>
      <c r="Q916" s="113">
        <v>52</v>
      </c>
      <c r="R916" s="113">
        <v>40</v>
      </c>
      <c r="S916" s="113">
        <v>48</v>
      </c>
      <c r="T916" s="120">
        <v>40</v>
      </c>
      <c r="U916" s="113">
        <v>48</v>
      </c>
      <c r="V916" s="113">
        <v>62</v>
      </c>
      <c r="AH916"/>
    </row>
    <row r="917" spans="1:34" ht="15" customHeight="1">
      <c r="A917" s="113">
        <v>763</v>
      </c>
      <c r="B917" s="113" t="s">
        <v>2276</v>
      </c>
      <c r="C917" s="120" t="s">
        <v>6119</v>
      </c>
      <c r="D917" s="124">
        <v>0</v>
      </c>
      <c r="E917" s="124">
        <v>1</v>
      </c>
      <c r="F917" s="113" t="s">
        <v>14</v>
      </c>
      <c r="G917" s="113" t="s">
        <v>2702</v>
      </c>
      <c r="H917" s="113" t="s">
        <v>14</v>
      </c>
      <c r="I917" s="113" t="s">
        <v>1109</v>
      </c>
      <c r="J917" s="118" t="s">
        <v>2129</v>
      </c>
      <c r="K917" s="118" t="s">
        <v>4658</v>
      </c>
      <c r="L917" s="118" t="s">
        <v>6117</v>
      </c>
      <c r="M917" s="115" t="s">
        <v>6118</v>
      </c>
      <c r="N917" s="115" t="s">
        <v>6399</v>
      </c>
      <c r="O917" s="115" t="s">
        <v>2128</v>
      </c>
      <c r="P917" s="113">
        <v>510</v>
      </c>
      <c r="Q917" s="113">
        <v>72</v>
      </c>
      <c r="R917" s="113">
        <v>120</v>
      </c>
      <c r="S917" s="113">
        <v>98</v>
      </c>
      <c r="T917" s="120">
        <v>50</v>
      </c>
      <c r="U917" s="113">
        <v>98</v>
      </c>
      <c r="V917" s="113">
        <v>72</v>
      </c>
    </row>
    <row r="918" spans="1:34" ht="15" customHeight="1">
      <c r="A918" s="113">
        <v>764</v>
      </c>
      <c r="B918" s="113" t="s">
        <v>2269</v>
      </c>
      <c r="C918" s="120" t="s">
        <v>6120</v>
      </c>
      <c r="D918" s="124">
        <v>0.25</v>
      </c>
      <c r="E918" s="124">
        <v>0.75</v>
      </c>
      <c r="F918" s="113" t="s">
        <v>14</v>
      </c>
      <c r="G918" s="113" t="s">
        <v>2702</v>
      </c>
      <c r="H918" s="113" t="s">
        <v>56</v>
      </c>
      <c r="I918" s="113" t="s">
        <v>1109</v>
      </c>
      <c r="J918" s="118" t="s">
        <v>2129</v>
      </c>
      <c r="K918" s="118" t="s">
        <v>4658</v>
      </c>
      <c r="L918" s="118" t="s">
        <v>6120</v>
      </c>
      <c r="M918" s="115" t="s">
        <v>1109</v>
      </c>
      <c r="N918" s="115" t="s">
        <v>6399</v>
      </c>
      <c r="O918" s="115" t="s">
        <v>1109</v>
      </c>
      <c r="P918" s="113">
        <v>485</v>
      </c>
      <c r="Q918" s="113">
        <v>51</v>
      </c>
      <c r="R918" s="113">
        <v>52</v>
      </c>
      <c r="S918" s="113">
        <v>90</v>
      </c>
      <c r="T918" s="120">
        <v>82</v>
      </c>
      <c r="U918" s="113">
        <v>110</v>
      </c>
      <c r="V918" s="113">
        <v>100</v>
      </c>
    </row>
    <row r="919" spans="1:34" ht="15" customHeight="1">
      <c r="A919" s="113">
        <v>765</v>
      </c>
      <c r="B919" s="113" t="s">
        <v>2199</v>
      </c>
      <c r="C919" s="120" t="s">
        <v>6121</v>
      </c>
      <c r="D919" s="124">
        <v>0.5</v>
      </c>
      <c r="E919" s="124">
        <v>0.5</v>
      </c>
      <c r="F919" s="113" t="s">
        <v>2332</v>
      </c>
      <c r="G919" s="113" t="s">
        <v>2702</v>
      </c>
      <c r="H919" s="113" t="s">
        <v>36</v>
      </c>
      <c r="I919" s="113" t="s">
        <v>86</v>
      </c>
      <c r="J919" s="118" t="s">
        <v>2129</v>
      </c>
      <c r="K919" s="118" t="s">
        <v>4658</v>
      </c>
      <c r="L919" s="118" t="s">
        <v>6121</v>
      </c>
      <c r="M919" s="115" t="s">
        <v>1109</v>
      </c>
      <c r="N919" s="115" t="s">
        <v>6399</v>
      </c>
      <c r="O919" s="115" t="s">
        <v>1109</v>
      </c>
      <c r="P919" s="113">
        <v>490</v>
      </c>
      <c r="Q919" s="113">
        <v>90</v>
      </c>
      <c r="R919" s="113">
        <v>60</v>
      </c>
      <c r="S919" s="113">
        <v>80</v>
      </c>
      <c r="T919" s="120">
        <v>90</v>
      </c>
      <c r="U919" s="113">
        <v>110</v>
      </c>
      <c r="V919" s="113">
        <v>60</v>
      </c>
    </row>
    <row r="920" spans="1:34" ht="15" customHeight="1">
      <c r="A920" s="113">
        <v>766</v>
      </c>
      <c r="B920" s="113" t="s">
        <v>2200</v>
      </c>
      <c r="C920" s="120" t="s">
        <v>6122</v>
      </c>
      <c r="D920" s="124">
        <v>0.5</v>
      </c>
      <c r="E920" s="124">
        <v>0.5</v>
      </c>
      <c r="F920" s="113" t="s">
        <v>2332</v>
      </c>
      <c r="G920" s="113" t="s">
        <v>2702</v>
      </c>
      <c r="H920" s="113" t="s">
        <v>78</v>
      </c>
      <c r="I920" s="113" t="s">
        <v>1109</v>
      </c>
      <c r="J920" s="118" t="s">
        <v>2129</v>
      </c>
      <c r="K920" s="118" t="s">
        <v>4658</v>
      </c>
      <c r="L920" s="118" t="s">
        <v>6122</v>
      </c>
      <c r="M920" s="115" t="s">
        <v>1109</v>
      </c>
      <c r="N920" s="115" t="s">
        <v>6399</v>
      </c>
      <c r="O920" s="115" t="s">
        <v>1109</v>
      </c>
      <c r="P920" s="113">
        <v>490</v>
      </c>
      <c r="Q920" s="113">
        <v>100</v>
      </c>
      <c r="R920" s="113">
        <v>120</v>
      </c>
      <c r="S920" s="113">
        <v>90</v>
      </c>
      <c r="T920" s="120">
        <v>40</v>
      </c>
      <c r="U920" s="113">
        <v>60</v>
      </c>
      <c r="V920" s="113">
        <v>80</v>
      </c>
    </row>
    <row r="921" spans="1:34" ht="15" customHeight="1">
      <c r="A921" s="113">
        <v>767</v>
      </c>
      <c r="B921" s="113" t="s">
        <v>2201</v>
      </c>
      <c r="C921" s="120" t="s">
        <v>6123</v>
      </c>
      <c r="D921" s="124">
        <v>0.5</v>
      </c>
      <c r="E921" s="124">
        <v>0.5</v>
      </c>
      <c r="F921" s="113" t="s">
        <v>29</v>
      </c>
      <c r="G921" s="113" t="s">
        <v>2702</v>
      </c>
      <c r="H921" s="113" t="s">
        <v>29</v>
      </c>
      <c r="I921" s="113" t="s">
        <v>25</v>
      </c>
      <c r="J921" s="118" t="s">
        <v>2129</v>
      </c>
      <c r="K921" s="118" t="s">
        <v>4657</v>
      </c>
      <c r="L921" s="118" t="s">
        <v>6123</v>
      </c>
      <c r="M921" s="115" t="s">
        <v>1109</v>
      </c>
      <c r="N921" s="115" t="s">
        <v>2129</v>
      </c>
      <c r="O921" s="115" t="s">
        <v>1109</v>
      </c>
      <c r="P921" s="113">
        <v>230</v>
      </c>
      <c r="Q921" s="113">
        <v>25</v>
      </c>
      <c r="R921" s="113">
        <v>35</v>
      </c>
      <c r="S921" s="113">
        <v>40</v>
      </c>
      <c r="T921" s="120">
        <v>20</v>
      </c>
      <c r="U921" s="113">
        <v>30</v>
      </c>
      <c r="V921" s="113">
        <v>80</v>
      </c>
      <c r="AH921"/>
    </row>
    <row r="922" spans="1:34" ht="15" customHeight="1">
      <c r="A922" s="113">
        <v>768</v>
      </c>
      <c r="B922" s="113" t="s">
        <v>2202</v>
      </c>
      <c r="C922" s="120" t="s">
        <v>6124</v>
      </c>
      <c r="D922" s="124">
        <v>0.5</v>
      </c>
      <c r="E922" s="124">
        <v>0.5</v>
      </c>
      <c r="F922" s="113" t="s">
        <v>29</v>
      </c>
      <c r="G922" s="113" t="s">
        <v>2702</v>
      </c>
      <c r="H922" s="113" t="s">
        <v>29</v>
      </c>
      <c r="I922" s="113" t="s">
        <v>25</v>
      </c>
      <c r="J922" s="118" t="s">
        <v>2129</v>
      </c>
      <c r="K922" s="118" t="s">
        <v>4657</v>
      </c>
      <c r="L922" s="118" t="s">
        <v>6123</v>
      </c>
      <c r="M922" s="115" t="s">
        <v>6123</v>
      </c>
      <c r="N922" s="115" t="s">
        <v>6399</v>
      </c>
      <c r="O922" s="115" t="s">
        <v>2128</v>
      </c>
      <c r="P922" s="113">
        <v>530</v>
      </c>
      <c r="Q922" s="113">
        <v>75</v>
      </c>
      <c r="R922" s="113">
        <v>125</v>
      </c>
      <c r="S922" s="113">
        <v>140</v>
      </c>
      <c r="T922" s="120">
        <v>60</v>
      </c>
      <c r="U922" s="113">
        <v>90</v>
      </c>
      <c r="V922" s="113">
        <v>40</v>
      </c>
    </row>
    <row r="923" spans="1:34" ht="15" customHeight="1">
      <c r="A923" s="113">
        <v>769</v>
      </c>
      <c r="B923" s="113" t="s">
        <v>2203</v>
      </c>
      <c r="C923" s="120" t="s">
        <v>6125</v>
      </c>
      <c r="D923" s="124">
        <v>0.5</v>
      </c>
      <c r="E923" s="124">
        <v>0.5</v>
      </c>
      <c r="F923" s="113" t="s">
        <v>2336</v>
      </c>
      <c r="G923" s="113" t="s">
        <v>2702</v>
      </c>
      <c r="H923" s="113" t="s">
        <v>119</v>
      </c>
      <c r="I923" s="113" t="s">
        <v>49</v>
      </c>
      <c r="J923" s="118" t="s">
        <v>2129</v>
      </c>
      <c r="K923" s="118" t="s">
        <v>4658</v>
      </c>
      <c r="L923" s="118" t="s">
        <v>6125</v>
      </c>
      <c r="M923" s="115" t="s">
        <v>1109</v>
      </c>
      <c r="N923" s="115" t="s">
        <v>2129</v>
      </c>
      <c r="O923" s="115" t="s">
        <v>1109</v>
      </c>
      <c r="P923" s="113">
        <v>320</v>
      </c>
      <c r="Q923" s="113">
        <v>55</v>
      </c>
      <c r="R923" s="113">
        <v>55</v>
      </c>
      <c r="S923" s="113">
        <v>80</v>
      </c>
      <c r="T923" s="120">
        <v>70</v>
      </c>
      <c r="U923" s="113">
        <v>45</v>
      </c>
      <c r="V923" s="113">
        <v>15</v>
      </c>
    </row>
    <row r="924" spans="1:34" ht="15" customHeight="1">
      <c r="A924" s="113">
        <v>770</v>
      </c>
      <c r="B924" s="113" t="s">
        <v>2204</v>
      </c>
      <c r="C924" s="120" t="s">
        <v>6126</v>
      </c>
      <c r="D924" s="124">
        <v>0.5</v>
      </c>
      <c r="E924" s="124">
        <v>0.5</v>
      </c>
      <c r="F924" s="113" t="s">
        <v>2336</v>
      </c>
      <c r="G924" s="113" t="s">
        <v>2702</v>
      </c>
      <c r="H924" s="113" t="s">
        <v>119</v>
      </c>
      <c r="I924" s="113" t="s">
        <v>49</v>
      </c>
      <c r="J924" s="118" t="s">
        <v>2129</v>
      </c>
      <c r="K924" s="118" t="s">
        <v>4658</v>
      </c>
      <c r="L924" s="118" t="s">
        <v>6125</v>
      </c>
      <c r="M924" s="115" t="s">
        <v>6125</v>
      </c>
      <c r="N924" s="115" t="s">
        <v>6399</v>
      </c>
      <c r="O924" s="115" t="s">
        <v>2128</v>
      </c>
      <c r="P924" s="113">
        <v>480</v>
      </c>
      <c r="Q924" s="113">
        <v>85</v>
      </c>
      <c r="R924" s="113">
        <v>75</v>
      </c>
      <c r="S924" s="113">
        <v>110</v>
      </c>
      <c r="T924" s="120">
        <v>100</v>
      </c>
      <c r="U924" s="113">
        <v>75</v>
      </c>
      <c r="V924" s="113">
        <v>35</v>
      </c>
    </row>
    <row r="925" spans="1:34" ht="15" customHeight="1">
      <c r="A925" s="113">
        <v>771</v>
      </c>
      <c r="B925" s="113" t="s">
        <v>2205</v>
      </c>
      <c r="C925" s="120" t="s">
        <v>6127</v>
      </c>
      <c r="D925" s="124">
        <v>0.5</v>
      </c>
      <c r="E925" s="124">
        <v>0.5</v>
      </c>
      <c r="F925" s="113" t="s">
        <v>2337</v>
      </c>
      <c r="G925" s="113" t="s">
        <v>2702</v>
      </c>
      <c r="H925" s="113" t="s">
        <v>25</v>
      </c>
      <c r="I925" s="113" t="s">
        <v>1109</v>
      </c>
      <c r="J925" s="118" t="s">
        <v>2129</v>
      </c>
      <c r="K925" s="118" t="s">
        <v>4658</v>
      </c>
      <c r="L925" s="118" t="s">
        <v>6127</v>
      </c>
      <c r="M925" s="115" t="s">
        <v>1109</v>
      </c>
      <c r="N925" s="115" t="s">
        <v>6399</v>
      </c>
      <c r="O925" s="115" t="s">
        <v>1109</v>
      </c>
      <c r="P925" s="113">
        <v>410</v>
      </c>
      <c r="Q925" s="113">
        <v>55</v>
      </c>
      <c r="R925" s="113">
        <v>60</v>
      </c>
      <c r="S925" s="113">
        <v>130</v>
      </c>
      <c r="T925" s="120">
        <v>30</v>
      </c>
      <c r="U925" s="113">
        <v>130</v>
      </c>
      <c r="V925" s="113">
        <v>5</v>
      </c>
    </row>
    <row r="926" spans="1:34" ht="15" customHeight="1">
      <c r="A926" s="113">
        <v>772</v>
      </c>
      <c r="B926" s="113" t="s">
        <v>4325</v>
      </c>
      <c r="C926" s="120" t="s">
        <v>6128</v>
      </c>
      <c r="D926" s="124" t="s">
        <v>1109</v>
      </c>
      <c r="E926" s="124" t="s">
        <v>1109</v>
      </c>
      <c r="F926" s="113" t="s">
        <v>2333</v>
      </c>
      <c r="G926" s="113" t="s">
        <v>2702</v>
      </c>
      <c r="H926" s="113" t="s">
        <v>36</v>
      </c>
      <c r="I926" s="113" t="s">
        <v>1109</v>
      </c>
      <c r="J926" s="118" t="s">
        <v>2129</v>
      </c>
      <c r="K926" s="118" t="s">
        <v>4657</v>
      </c>
      <c r="L926" s="118" t="s">
        <v>6128</v>
      </c>
      <c r="M926" s="115" t="s">
        <v>1109</v>
      </c>
      <c r="N926" s="115" t="s">
        <v>2129</v>
      </c>
      <c r="O926" s="115" t="s">
        <v>1109</v>
      </c>
      <c r="P926" s="113">
        <v>534</v>
      </c>
      <c r="Q926" s="113">
        <v>95</v>
      </c>
      <c r="R926" s="113">
        <v>95</v>
      </c>
      <c r="S926" s="113">
        <v>95</v>
      </c>
      <c r="T926" s="120">
        <v>95</v>
      </c>
      <c r="U926" s="113">
        <v>95</v>
      </c>
      <c r="V926" s="113">
        <v>59</v>
      </c>
    </row>
    <row r="927" spans="1:34" ht="15" customHeight="1">
      <c r="A927" s="113">
        <v>773</v>
      </c>
      <c r="B927" s="113" t="s">
        <v>2291</v>
      </c>
      <c r="C927" s="120" t="s">
        <v>6129</v>
      </c>
      <c r="D927" s="124" t="s">
        <v>1109</v>
      </c>
      <c r="E927" s="124" t="s">
        <v>1109</v>
      </c>
      <c r="F927" s="113" t="s">
        <v>2333</v>
      </c>
      <c r="G927" s="113" t="s">
        <v>2702</v>
      </c>
      <c r="H927" s="113" t="s">
        <v>36</v>
      </c>
      <c r="I927" s="113" t="s">
        <v>1109</v>
      </c>
      <c r="J927" s="118" t="s">
        <v>2129</v>
      </c>
      <c r="K927" s="118" t="s">
        <v>4657</v>
      </c>
      <c r="L927" s="118" t="s">
        <v>6128</v>
      </c>
      <c r="M927" s="115" t="s">
        <v>6128</v>
      </c>
      <c r="N927" s="115" t="s">
        <v>6399</v>
      </c>
      <c r="O927" s="115" t="s">
        <v>2128</v>
      </c>
      <c r="P927" s="113">
        <v>570</v>
      </c>
      <c r="Q927" s="113">
        <v>95</v>
      </c>
      <c r="R927" s="113">
        <v>95</v>
      </c>
      <c r="S927" s="113">
        <v>95</v>
      </c>
      <c r="T927" s="120">
        <v>95</v>
      </c>
      <c r="U927" s="113">
        <v>95</v>
      </c>
      <c r="V927" s="113">
        <v>95</v>
      </c>
    </row>
    <row r="928" spans="1:34" ht="15" customHeight="1">
      <c r="A928" s="113">
        <v>774</v>
      </c>
      <c r="B928" s="113" t="s">
        <v>2758</v>
      </c>
      <c r="C928" s="120" t="s">
        <v>6131</v>
      </c>
      <c r="D928" s="132" t="s">
        <v>1109</v>
      </c>
      <c r="E928" s="132" t="s">
        <v>1109</v>
      </c>
      <c r="F928" s="113" t="s">
        <v>2112</v>
      </c>
      <c r="G928" s="113" t="s">
        <v>2702</v>
      </c>
      <c r="H928" s="113" t="s">
        <v>98</v>
      </c>
      <c r="I928" s="113" t="s">
        <v>22</v>
      </c>
      <c r="J928" s="118" t="s">
        <v>2129</v>
      </c>
      <c r="K928" s="118" t="s">
        <v>4658</v>
      </c>
      <c r="L928" s="118" t="s">
        <v>6131</v>
      </c>
      <c r="M928" s="115" t="s">
        <v>1109</v>
      </c>
      <c r="N928" s="115" t="s">
        <v>6399</v>
      </c>
      <c r="O928" s="115" t="s">
        <v>1109</v>
      </c>
      <c r="P928" s="113">
        <v>440</v>
      </c>
      <c r="Q928" s="113">
        <v>60</v>
      </c>
      <c r="R928" s="113">
        <v>60</v>
      </c>
      <c r="S928" s="113">
        <v>100</v>
      </c>
      <c r="T928" s="120">
        <v>60</v>
      </c>
      <c r="U928" s="113">
        <v>100</v>
      </c>
      <c r="V928" s="113">
        <v>60</v>
      </c>
    </row>
    <row r="929" spans="1:34" ht="15" customHeight="1">
      <c r="A929" s="113">
        <v>774</v>
      </c>
      <c r="B929" s="113" t="s">
        <v>2759</v>
      </c>
      <c r="C929" s="120" t="s">
        <v>6130</v>
      </c>
      <c r="D929" s="132" t="s">
        <v>1109</v>
      </c>
      <c r="E929" s="132" t="s">
        <v>1109</v>
      </c>
      <c r="F929" s="113" t="s">
        <v>2112</v>
      </c>
      <c r="G929" s="113" t="s">
        <v>2702</v>
      </c>
      <c r="H929" s="113" t="s">
        <v>98</v>
      </c>
      <c r="I929" s="113" t="s">
        <v>22</v>
      </c>
      <c r="J929" s="118" t="s">
        <v>2129</v>
      </c>
      <c r="K929" s="118" t="s">
        <v>4658</v>
      </c>
      <c r="L929" s="118" t="s">
        <v>6131</v>
      </c>
      <c r="M929" s="115" t="s">
        <v>1109</v>
      </c>
      <c r="N929" s="115" t="s">
        <v>6399</v>
      </c>
      <c r="O929" s="115" t="s">
        <v>1109</v>
      </c>
      <c r="P929" s="113">
        <v>500</v>
      </c>
      <c r="Q929" s="113">
        <v>60</v>
      </c>
      <c r="R929" s="113">
        <v>100</v>
      </c>
      <c r="S929" s="113">
        <v>60</v>
      </c>
      <c r="T929" s="120">
        <v>100</v>
      </c>
      <c r="U929" s="113">
        <v>60</v>
      </c>
      <c r="V929" s="113">
        <v>120</v>
      </c>
    </row>
    <row r="930" spans="1:34" ht="15" customHeight="1">
      <c r="A930" s="113">
        <v>775</v>
      </c>
      <c r="B930" s="113" t="s">
        <v>2206</v>
      </c>
      <c r="C930" s="120" t="s">
        <v>6132</v>
      </c>
      <c r="D930" s="124">
        <v>0.5</v>
      </c>
      <c r="E930" s="124">
        <v>0.5</v>
      </c>
      <c r="F930" s="113" t="s">
        <v>2332</v>
      </c>
      <c r="G930" s="113" t="s">
        <v>2702</v>
      </c>
      <c r="H930" s="113" t="s">
        <v>36</v>
      </c>
      <c r="I930" s="113" t="s">
        <v>1109</v>
      </c>
      <c r="J930" s="118" t="s">
        <v>2129</v>
      </c>
      <c r="K930" s="118" t="s">
        <v>4658</v>
      </c>
      <c r="L930" s="118" t="s">
        <v>6132</v>
      </c>
      <c r="M930" s="115" t="s">
        <v>1109</v>
      </c>
      <c r="N930" s="115" t="s">
        <v>6399</v>
      </c>
      <c r="O930" s="115" t="s">
        <v>1109</v>
      </c>
      <c r="P930" s="113">
        <v>480</v>
      </c>
      <c r="Q930" s="113">
        <v>65</v>
      </c>
      <c r="R930" s="113">
        <v>115</v>
      </c>
      <c r="S930" s="113">
        <v>65</v>
      </c>
      <c r="T930" s="120">
        <v>75</v>
      </c>
      <c r="U930" s="113">
        <v>95</v>
      </c>
      <c r="V930" s="113">
        <v>65</v>
      </c>
    </row>
    <row r="931" spans="1:34" ht="15" customHeight="1">
      <c r="A931" s="113">
        <v>776</v>
      </c>
      <c r="B931" s="113" t="s">
        <v>2207</v>
      </c>
      <c r="C931" s="120" t="s">
        <v>6133</v>
      </c>
      <c r="D931" s="124">
        <v>0.5</v>
      </c>
      <c r="E931" s="124">
        <v>0.5</v>
      </c>
      <c r="F931" s="113" t="s">
        <v>23</v>
      </c>
      <c r="G931" s="113" t="s">
        <v>2702</v>
      </c>
      <c r="H931" s="113" t="s">
        <v>19</v>
      </c>
      <c r="I931" s="113" t="s">
        <v>23</v>
      </c>
      <c r="J931" s="118" t="s">
        <v>2129</v>
      </c>
      <c r="K931" s="118" t="s">
        <v>4658</v>
      </c>
      <c r="L931" s="118" t="s">
        <v>6133</v>
      </c>
      <c r="M931" s="115" t="s">
        <v>1109</v>
      </c>
      <c r="N931" s="115" t="s">
        <v>6399</v>
      </c>
      <c r="O931" s="115" t="s">
        <v>1109</v>
      </c>
      <c r="P931" s="113">
        <v>485</v>
      </c>
      <c r="Q931" s="113">
        <v>60</v>
      </c>
      <c r="R931" s="113">
        <v>78</v>
      </c>
      <c r="S931" s="113">
        <v>135</v>
      </c>
      <c r="T931" s="120">
        <v>91</v>
      </c>
      <c r="U931" s="113">
        <v>85</v>
      </c>
      <c r="V931" s="113">
        <v>36</v>
      </c>
    </row>
    <row r="932" spans="1:34" ht="15" customHeight="1">
      <c r="A932" s="113">
        <v>777</v>
      </c>
      <c r="B932" s="113" t="s">
        <v>2208</v>
      </c>
      <c r="C932" s="120" t="s">
        <v>6134</v>
      </c>
      <c r="D932" s="124">
        <v>0.5</v>
      </c>
      <c r="E932" s="124">
        <v>0.5</v>
      </c>
      <c r="F932" s="113" t="s">
        <v>56</v>
      </c>
      <c r="G932" s="113" t="s">
        <v>2702</v>
      </c>
      <c r="H932" s="113" t="s">
        <v>46</v>
      </c>
      <c r="I932" s="113" t="s">
        <v>106</v>
      </c>
      <c r="J932" s="118" t="s">
        <v>2129</v>
      </c>
      <c r="K932" s="118" t="s">
        <v>4658</v>
      </c>
      <c r="L932" s="118" t="s">
        <v>6134</v>
      </c>
      <c r="M932" s="115" t="s">
        <v>1109</v>
      </c>
      <c r="N932" s="115" t="s">
        <v>6399</v>
      </c>
      <c r="O932" s="115" t="s">
        <v>1109</v>
      </c>
      <c r="P932" s="113">
        <v>435</v>
      </c>
      <c r="Q932" s="113">
        <v>65</v>
      </c>
      <c r="R932" s="113">
        <v>98</v>
      </c>
      <c r="S932" s="113">
        <v>63</v>
      </c>
      <c r="T932" s="120">
        <v>40</v>
      </c>
      <c r="U932" s="113">
        <v>73</v>
      </c>
      <c r="V932" s="113">
        <v>96</v>
      </c>
    </row>
    <row r="933" spans="1:34" ht="15" customHeight="1">
      <c r="A933" s="113">
        <v>778</v>
      </c>
      <c r="B933" s="113" t="s">
        <v>2209</v>
      </c>
      <c r="C933" s="120" t="s">
        <v>6135</v>
      </c>
      <c r="D933" s="124">
        <v>0.5</v>
      </c>
      <c r="E933" s="124">
        <v>0.5</v>
      </c>
      <c r="F933" s="113" t="s">
        <v>2336</v>
      </c>
      <c r="G933" s="113" t="s">
        <v>2702</v>
      </c>
      <c r="H933" s="113" t="s">
        <v>119</v>
      </c>
      <c r="I933" s="113" t="s">
        <v>56</v>
      </c>
      <c r="J933" s="118" t="s">
        <v>2129</v>
      </c>
      <c r="K933" s="118" t="s">
        <v>4657</v>
      </c>
      <c r="L933" s="118" t="s">
        <v>6135</v>
      </c>
      <c r="M933" s="115" t="s">
        <v>1109</v>
      </c>
      <c r="N933" s="115" t="s">
        <v>6399</v>
      </c>
      <c r="O933" s="115" t="s">
        <v>1109</v>
      </c>
      <c r="P933" s="113">
        <v>476</v>
      </c>
      <c r="Q933" s="113">
        <v>55</v>
      </c>
      <c r="R933" s="113">
        <v>90</v>
      </c>
      <c r="S933" s="113">
        <v>80</v>
      </c>
      <c r="T933" s="120">
        <v>50</v>
      </c>
      <c r="U933" s="113">
        <v>105</v>
      </c>
      <c r="V933" s="113">
        <v>96</v>
      </c>
    </row>
    <row r="934" spans="1:34" ht="15" customHeight="1">
      <c r="A934" s="113">
        <v>779</v>
      </c>
      <c r="B934" s="113" t="s">
        <v>2210</v>
      </c>
      <c r="C934" s="120" t="s">
        <v>6136</v>
      </c>
      <c r="D934" s="124">
        <v>0.5</v>
      </c>
      <c r="E934" s="124">
        <v>0.5</v>
      </c>
      <c r="F934" s="113" t="s">
        <v>2337</v>
      </c>
      <c r="G934" s="113" t="s">
        <v>2702</v>
      </c>
      <c r="H934" s="113" t="s">
        <v>25</v>
      </c>
      <c r="I934" s="113" t="s">
        <v>86</v>
      </c>
      <c r="J934" s="118" t="s">
        <v>2129</v>
      </c>
      <c r="K934" s="118" t="s">
        <v>4658</v>
      </c>
      <c r="L934" s="118" t="s">
        <v>6136</v>
      </c>
      <c r="M934" s="115" t="s">
        <v>1109</v>
      </c>
      <c r="N934" s="115" t="s">
        <v>6399</v>
      </c>
      <c r="O934" s="115" t="s">
        <v>1109</v>
      </c>
      <c r="P934" s="113">
        <v>475</v>
      </c>
      <c r="Q934" s="113">
        <v>68</v>
      </c>
      <c r="R934" s="113">
        <v>105</v>
      </c>
      <c r="S934" s="113">
        <v>70</v>
      </c>
      <c r="T934" s="120">
        <v>70</v>
      </c>
      <c r="U934" s="113">
        <v>70</v>
      </c>
      <c r="V934" s="113">
        <v>92</v>
      </c>
    </row>
    <row r="935" spans="1:34" ht="15" customHeight="1">
      <c r="A935" s="113">
        <v>780</v>
      </c>
      <c r="B935" s="113" t="s">
        <v>2211</v>
      </c>
      <c r="C935" s="120" t="s">
        <v>6137</v>
      </c>
      <c r="D935" s="124">
        <v>0.5</v>
      </c>
      <c r="E935" s="124">
        <v>0.5</v>
      </c>
      <c r="F935" s="113" t="s">
        <v>23</v>
      </c>
      <c r="G935" s="113" t="s">
        <v>2702</v>
      </c>
      <c r="H935" s="113" t="s">
        <v>36</v>
      </c>
      <c r="I935" s="113" t="s">
        <v>23</v>
      </c>
      <c r="J935" s="118" t="s">
        <v>2129</v>
      </c>
      <c r="K935" s="118" t="s">
        <v>4657</v>
      </c>
      <c r="L935" s="118" t="s">
        <v>6137</v>
      </c>
      <c r="M935" s="115" t="s">
        <v>1109</v>
      </c>
      <c r="N935" s="115" t="s">
        <v>6399</v>
      </c>
      <c r="O935" s="115" t="s">
        <v>1109</v>
      </c>
      <c r="P935" s="113">
        <v>485</v>
      </c>
      <c r="Q935" s="113">
        <v>78</v>
      </c>
      <c r="R935" s="113">
        <v>60</v>
      </c>
      <c r="S935" s="113">
        <v>85</v>
      </c>
      <c r="T935" s="120">
        <v>135</v>
      </c>
      <c r="U935" s="113">
        <v>91</v>
      </c>
      <c r="V935" s="113">
        <v>36</v>
      </c>
    </row>
    <row r="936" spans="1:34">
      <c r="A936" s="113">
        <v>781</v>
      </c>
      <c r="B936" s="113" t="s">
        <v>2283</v>
      </c>
      <c r="C936" s="120" t="s">
        <v>6138</v>
      </c>
      <c r="D936" s="124" t="s">
        <v>1109</v>
      </c>
      <c r="E936" s="124" t="s">
        <v>1109</v>
      </c>
      <c r="F936" s="113" t="s">
        <v>2112</v>
      </c>
      <c r="G936" s="113" t="s">
        <v>2702</v>
      </c>
      <c r="H936" s="113" t="s">
        <v>119</v>
      </c>
      <c r="I936" s="113" t="s">
        <v>14</v>
      </c>
      <c r="J936" s="118" t="s">
        <v>2129</v>
      </c>
      <c r="K936" s="118" t="s">
        <v>4657</v>
      </c>
      <c r="L936" s="118" t="s">
        <v>6138</v>
      </c>
      <c r="M936" s="115" t="s">
        <v>1109</v>
      </c>
      <c r="N936" s="115" t="s">
        <v>6399</v>
      </c>
      <c r="O936" s="115" t="s">
        <v>1109</v>
      </c>
      <c r="P936" s="113">
        <v>517</v>
      </c>
      <c r="Q936" s="113">
        <v>70</v>
      </c>
      <c r="R936" s="113">
        <v>131</v>
      </c>
      <c r="S936" s="113">
        <v>100</v>
      </c>
      <c r="T936" s="120">
        <v>86</v>
      </c>
      <c r="U936" s="113">
        <v>90</v>
      </c>
      <c r="V936" s="113">
        <v>40</v>
      </c>
    </row>
    <row r="937" spans="1:34">
      <c r="A937" s="113">
        <v>782</v>
      </c>
      <c r="B937" s="113" t="s">
        <v>2212</v>
      </c>
      <c r="C937" s="120" t="s">
        <v>6139</v>
      </c>
      <c r="D937" s="124">
        <v>0.5</v>
      </c>
      <c r="E937" s="124">
        <v>0.5</v>
      </c>
      <c r="F937" s="113" t="s">
        <v>23</v>
      </c>
      <c r="G937" s="113" t="s">
        <v>2702</v>
      </c>
      <c r="H937" s="113" t="s">
        <v>23</v>
      </c>
      <c r="I937" s="113" t="s">
        <v>1109</v>
      </c>
      <c r="J937" s="118" t="s">
        <v>2129</v>
      </c>
      <c r="K937" s="118" t="s">
        <v>4657</v>
      </c>
      <c r="L937" s="118" t="s">
        <v>6139</v>
      </c>
      <c r="M937" s="115" t="s">
        <v>1109</v>
      </c>
      <c r="N937" s="115" t="s">
        <v>2129</v>
      </c>
      <c r="O937" s="115" t="s">
        <v>1109</v>
      </c>
      <c r="P937" s="113">
        <v>300</v>
      </c>
      <c r="Q937" s="113">
        <v>45</v>
      </c>
      <c r="R937" s="113">
        <v>55</v>
      </c>
      <c r="S937" s="113">
        <v>65</v>
      </c>
      <c r="T937" s="120">
        <v>45</v>
      </c>
      <c r="U937" s="113">
        <v>45</v>
      </c>
      <c r="V937" s="113">
        <v>45</v>
      </c>
    </row>
    <row r="938" spans="1:34">
      <c r="A938" s="113">
        <v>783</v>
      </c>
      <c r="B938" s="113" t="s">
        <v>2213</v>
      </c>
      <c r="C938" s="120" t="s">
        <v>6140</v>
      </c>
      <c r="D938" s="124">
        <v>0.5</v>
      </c>
      <c r="E938" s="124">
        <v>0.5</v>
      </c>
      <c r="F938" s="113" t="s">
        <v>23</v>
      </c>
      <c r="G938" s="113" t="s">
        <v>2702</v>
      </c>
      <c r="H938" s="113" t="s">
        <v>23</v>
      </c>
      <c r="I938" s="113" t="s">
        <v>78</v>
      </c>
      <c r="J938" s="118" t="s">
        <v>2129</v>
      </c>
      <c r="K938" s="118" t="s">
        <v>4657</v>
      </c>
      <c r="L938" s="118" t="s">
        <v>6139</v>
      </c>
      <c r="M938" s="115" t="s">
        <v>6139</v>
      </c>
      <c r="N938" s="115" t="s">
        <v>6398</v>
      </c>
      <c r="O938" s="115" t="s">
        <v>2128</v>
      </c>
      <c r="P938" s="113">
        <v>420</v>
      </c>
      <c r="Q938" s="113">
        <v>55</v>
      </c>
      <c r="R938" s="113">
        <v>75</v>
      </c>
      <c r="S938" s="113">
        <v>90</v>
      </c>
      <c r="T938" s="120">
        <v>65</v>
      </c>
      <c r="U938" s="113">
        <v>70</v>
      </c>
      <c r="V938" s="113">
        <v>65</v>
      </c>
    </row>
    <row r="939" spans="1:34">
      <c r="A939" s="113">
        <v>784</v>
      </c>
      <c r="B939" s="113" t="s">
        <v>2214</v>
      </c>
      <c r="C939" s="120" t="s">
        <v>6141</v>
      </c>
      <c r="D939" s="124">
        <v>0.5</v>
      </c>
      <c r="E939" s="124">
        <v>0.5</v>
      </c>
      <c r="F939" s="113" t="s">
        <v>23</v>
      </c>
      <c r="G939" s="113" t="s">
        <v>2702</v>
      </c>
      <c r="H939" s="113" t="s">
        <v>23</v>
      </c>
      <c r="I939" s="113" t="s">
        <v>78</v>
      </c>
      <c r="J939" s="118" t="s">
        <v>2129</v>
      </c>
      <c r="K939" s="118" t="s">
        <v>4657</v>
      </c>
      <c r="L939" s="118" t="s">
        <v>6139</v>
      </c>
      <c r="M939" s="115" t="s">
        <v>6140</v>
      </c>
      <c r="N939" s="115" t="s">
        <v>6399</v>
      </c>
      <c r="O939" s="115" t="s">
        <v>2128</v>
      </c>
      <c r="P939" s="113">
        <v>600</v>
      </c>
      <c r="Q939" s="113">
        <v>75</v>
      </c>
      <c r="R939" s="113">
        <v>110</v>
      </c>
      <c r="S939" s="113">
        <v>125</v>
      </c>
      <c r="T939" s="120">
        <v>100</v>
      </c>
      <c r="U939" s="113">
        <v>105</v>
      </c>
      <c r="V939" s="113">
        <v>85</v>
      </c>
    </row>
    <row r="940" spans="1:34">
      <c r="A940" s="113">
        <v>785</v>
      </c>
      <c r="B940" s="113" t="s">
        <v>2292</v>
      </c>
      <c r="C940" s="120" t="s">
        <v>6142</v>
      </c>
      <c r="D940" s="124" t="s">
        <v>1109</v>
      </c>
      <c r="E940" s="124" t="s">
        <v>1109</v>
      </c>
      <c r="F940" s="113" t="s">
        <v>2333</v>
      </c>
      <c r="G940" s="113" t="s">
        <v>2702</v>
      </c>
      <c r="H940" s="113" t="s">
        <v>46</v>
      </c>
      <c r="I940" s="113" t="s">
        <v>56</v>
      </c>
      <c r="J940" s="118" t="s">
        <v>12</v>
      </c>
      <c r="K940" s="118" t="s">
        <v>12</v>
      </c>
      <c r="L940" s="118" t="s">
        <v>6142</v>
      </c>
      <c r="M940" s="115" t="s">
        <v>1109</v>
      </c>
      <c r="N940" s="115" t="s">
        <v>6399</v>
      </c>
      <c r="O940" s="115" t="s">
        <v>1109</v>
      </c>
      <c r="P940" s="113">
        <v>570</v>
      </c>
      <c r="Q940" s="113">
        <v>70</v>
      </c>
      <c r="R940" s="113">
        <v>115</v>
      </c>
      <c r="S940" s="113">
        <v>85</v>
      </c>
      <c r="T940" s="120">
        <v>95</v>
      </c>
      <c r="U940" s="113">
        <v>75</v>
      </c>
      <c r="V940" s="113">
        <v>130</v>
      </c>
    </row>
    <row r="941" spans="1:34">
      <c r="A941" s="113">
        <v>786</v>
      </c>
      <c r="B941" s="113" t="s">
        <v>2293</v>
      </c>
      <c r="C941" s="120" t="s">
        <v>6143</v>
      </c>
      <c r="D941" s="124" t="s">
        <v>1109</v>
      </c>
      <c r="E941" s="124" t="s">
        <v>1109</v>
      </c>
      <c r="F941" s="113" t="s">
        <v>2333</v>
      </c>
      <c r="G941" s="113" t="s">
        <v>2702</v>
      </c>
      <c r="H941" s="113" t="s">
        <v>86</v>
      </c>
      <c r="I941" s="113" t="s">
        <v>56</v>
      </c>
      <c r="J941" s="118" t="s">
        <v>12</v>
      </c>
      <c r="K941" s="118" t="s">
        <v>12</v>
      </c>
      <c r="L941" s="118" t="s">
        <v>6143</v>
      </c>
      <c r="M941" s="115" t="s">
        <v>1109</v>
      </c>
      <c r="N941" s="115" t="s">
        <v>6399</v>
      </c>
      <c r="O941" s="115" t="s">
        <v>1109</v>
      </c>
      <c r="P941" s="113">
        <v>570</v>
      </c>
      <c r="Q941" s="113">
        <v>70</v>
      </c>
      <c r="R941" s="113">
        <v>85</v>
      </c>
      <c r="S941" s="113">
        <v>75</v>
      </c>
      <c r="T941" s="120">
        <v>130</v>
      </c>
      <c r="U941" s="113">
        <v>115</v>
      </c>
      <c r="V941" s="113">
        <v>95</v>
      </c>
    </row>
    <row r="942" spans="1:34">
      <c r="A942" s="113">
        <v>787</v>
      </c>
      <c r="B942" s="113" t="s">
        <v>2294</v>
      </c>
      <c r="C942" s="120" t="s">
        <v>6144</v>
      </c>
      <c r="D942" s="124" t="s">
        <v>1109</v>
      </c>
      <c r="E942" s="124" t="s">
        <v>1109</v>
      </c>
      <c r="F942" s="113" t="s">
        <v>2333</v>
      </c>
      <c r="G942" s="113" t="s">
        <v>2702</v>
      </c>
      <c r="H942" s="113" t="s">
        <v>14</v>
      </c>
      <c r="I942" s="113" t="s">
        <v>56</v>
      </c>
      <c r="J942" s="118" t="s">
        <v>12</v>
      </c>
      <c r="K942" s="118" t="s">
        <v>12</v>
      </c>
      <c r="L942" s="118" t="s">
        <v>6144</v>
      </c>
      <c r="M942" s="115" t="s">
        <v>1109</v>
      </c>
      <c r="N942" s="115" t="s">
        <v>6399</v>
      </c>
      <c r="O942" s="115" t="s">
        <v>1109</v>
      </c>
      <c r="P942" s="113">
        <v>570</v>
      </c>
      <c r="Q942" s="113">
        <v>70</v>
      </c>
      <c r="R942" s="113">
        <v>130</v>
      </c>
      <c r="S942" s="113">
        <v>115</v>
      </c>
      <c r="T942" s="120">
        <v>85</v>
      </c>
      <c r="U942" s="113">
        <v>95</v>
      </c>
      <c r="V942" s="113">
        <v>75</v>
      </c>
    </row>
    <row r="943" spans="1:34">
      <c r="A943" s="113">
        <v>788</v>
      </c>
      <c r="B943" s="113" t="s">
        <v>2295</v>
      </c>
      <c r="C943" s="120" t="s">
        <v>6145</v>
      </c>
      <c r="D943" s="124" t="s">
        <v>1109</v>
      </c>
      <c r="E943" s="124" t="s">
        <v>1109</v>
      </c>
      <c r="F943" s="113" t="s">
        <v>2333</v>
      </c>
      <c r="G943" s="113" t="s">
        <v>2702</v>
      </c>
      <c r="H943" s="113" t="s">
        <v>25</v>
      </c>
      <c r="I943" s="113" t="s">
        <v>56</v>
      </c>
      <c r="J943" s="118" t="s">
        <v>12</v>
      </c>
      <c r="K943" s="118" t="s">
        <v>12</v>
      </c>
      <c r="L943" s="118" t="s">
        <v>6145</v>
      </c>
      <c r="M943" s="115" t="s">
        <v>1109</v>
      </c>
      <c r="N943" s="115" t="s">
        <v>6399</v>
      </c>
      <c r="O943" s="115" t="s">
        <v>1109</v>
      </c>
      <c r="P943" s="113">
        <v>570</v>
      </c>
      <c r="Q943" s="113">
        <v>70</v>
      </c>
      <c r="R943" s="113">
        <v>75</v>
      </c>
      <c r="S943" s="113">
        <v>115</v>
      </c>
      <c r="T943" s="120">
        <v>95</v>
      </c>
      <c r="U943" s="113">
        <v>130</v>
      </c>
      <c r="V943" s="113">
        <v>85</v>
      </c>
    </row>
    <row r="944" spans="1:34">
      <c r="A944" s="113">
        <v>789</v>
      </c>
      <c r="B944" s="113" t="s">
        <v>2296</v>
      </c>
      <c r="C944" s="120" t="s">
        <v>6146</v>
      </c>
      <c r="D944" s="124" t="s">
        <v>1109</v>
      </c>
      <c r="E944" s="124" t="s">
        <v>1109</v>
      </c>
      <c r="F944" s="113" t="s">
        <v>2333</v>
      </c>
      <c r="G944" s="113" t="s">
        <v>2702</v>
      </c>
      <c r="H944" s="113" t="s">
        <v>86</v>
      </c>
      <c r="I944" s="113" t="s">
        <v>1109</v>
      </c>
      <c r="J944" s="118" t="s">
        <v>12</v>
      </c>
      <c r="K944" s="118" t="s">
        <v>12</v>
      </c>
      <c r="L944" s="118" t="s">
        <v>6146</v>
      </c>
      <c r="M944" s="115" t="s">
        <v>1109</v>
      </c>
      <c r="N944" s="115" t="s">
        <v>2129</v>
      </c>
      <c r="O944" s="115" t="s">
        <v>1109</v>
      </c>
      <c r="P944" s="113">
        <v>200</v>
      </c>
      <c r="Q944" s="113">
        <v>43</v>
      </c>
      <c r="R944" s="113">
        <v>29</v>
      </c>
      <c r="S944" s="113">
        <v>31</v>
      </c>
      <c r="T944" s="120">
        <v>29</v>
      </c>
      <c r="U944" s="113">
        <v>31</v>
      </c>
      <c r="V944" s="113">
        <v>37</v>
      </c>
      <c r="AH944"/>
    </row>
    <row r="945" spans="1:22">
      <c r="A945" s="113">
        <v>790</v>
      </c>
      <c r="B945" s="113" t="s">
        <v>2297</v>
      </c>
      <c r="C945" s="120" t="s">
        <v>6147</v>
      </c>
      <c r="D945" s="124" t="s">
        <v>1109</v>
      </c>
      <c r="E945" s="124" t="s">
        <v>1109</v>
      </c>
      <c r="F945" s="113" t="s">
        <v>2333</v>
      </c>
      <c r="G945" s="113" t="s">
        <v>2702</v>
      </c>
      <c r="H945" s="113" t="s">
        <v>86</v>
      </c>
      <c r="I945" s="113" t="s">
        <v>1109</v>
      </c>
      <c r="J945" s="118" t="s">
        <v>12</v>
      </c>
      <c r="K945" s="118" t="s">
        <v>12</v>
      </c>
      <c r="L945" s="118" t="s">
        <v>6146</v>
      </c>
      <c r="M945" s="115" t="s">
        <v>6146</v>
      </c>
      <c r="N945" s="115" t="s">
        <v>6398</v>
      </c>
      <c r="O945" s="115" t="s">
        <v>1109</v>
      </c>
      <c r="P945" s="113">
        <v>400</v>
      </c>
      <c r="Q945" s="113">
        <v>43</v>
      </c>
      <c r="R945" s="113">
        <v>29</v>
      </c>
      <c r="S945" s="113">
        <v>131</v>
      </c>
      <c r="T945" s="120">
        <v>29</v>
      </c>
      <c r="U945" s="113">
        <v>131</v>
      </c>
      <c r="V945" s="113">
        <v>37</v>
      </c>
    </row>
    <row r="946" spans="1:22">
      <c r="A946" s="113">
        <v>791</v>
      </c>
      <c r="B946" s="113" t="s">
        <v>2298</v>
      </c>
      <c r="C946" s="120" t="s">
        <v>6148</v>
      </c>
      <c r="D946" s="124" t="s">
        <v>1109</v>
      </c>
      <c r="E946" s="124" t="s">
        <v>1109</v>
      </c>
      <c r="F946" s="113" t="s">
        <v>2333</v>
      </c>
      <c r="G946" s="113" t="s">
        <v>2702</v>
      </c>
      <c r="H946" s="113" t="s">
        <v>86</v>
      </c>
      <c r="I946" s="113" t="s">
        <v>106</v>
      </c>
      <c r="J946" s="118" t="s">
        <v>12</v>
      </c>
      <c r="K946" s="118" t="s">
        <v>12</v>
      </c>
      <c r="L946" s="118" t="s">
        <v>6148</v>
      </c>
      <c r="M946" s="115" t="s">
        <v>6147</v>
      </c>
      <c r="N946" s="115" t="s">
        <v>6399</v>
      </c>
      <c r="O946" s="115" t="s">
        <v>2128</v>
      </c>
      <c r="P946" s="113">
        <v>680</v>
      </c>
      <c r="Q946" s="113">
        <v>137</v>
      </c>
      <c r="R946" s="113">
        <v>137</v>
      </c>
      <c r="S946" s="113">
        <v>107</v>
      </c>
      <c r="T946" s="120">
        <v>113</v>
      </c>
      <c r="U946" s="113">
        <v>89</v>
      </c>
      <c r="V946" s="113">
        <v>97</v>
      </c>
    </row>
    <row r="947" spans="1:22">
      <c r="A947" s="113">
        <v>792</v>
      </c>
      <c r="B947" s="113" t="s">
        <v>2299</v>
      </c>
      <c r="C947" s="120" t="s">
        <v>6149</v>
      </c>
      <c r="D947" s="124" t="s">
        <v>1109</v>
      </c>
      <c r="E947" s="124" t="s">
        <v>1109</v>
      </c>
      <c r="F947" s="113" t="s">
        <v>2333</v>
      </c>
      <c r="G947" s="113" t="s">
        <v>2702</v>
      </c>
      <c r="H947" s="113" t="s">
        <v>86</v>
      </c>
      <c r="I947" s="113" t="s">
        <v>119</v>
      </c>
      <c r="J947" s="118" t="s">
        <v>12</v>
      </c>
      <c r="K947" s="118" t="s">
        <v>12</v>
      </c>
      <c r="L947" s="118" t="s">
        <v>6149</v>
      </c>
      <c r="M947" s="115" t="s">
        <v>6147</v>
      </c>
      <c r="N947" s="115" t="s">
        <v>6399</v>
      </c>
      <c r="O947" s="115" t="s">
        <v>2128</v>
      </c>
      <c r="P947" s="113">
        <v>680</v>
      </c>
      <c r="Q947" s="113">
        <v>137</v>
      </c>
      <c r="R947" s="113">
        <v>113</v>
      </c>
      <c r="S947" s="113">
        <v>89</v>
      </c>
      <c r="T947" s="120">
        <v>137</v>
      </c>
      <c r="U947" s="113">
        <v>107</v>
      </c>
      <c r="V947" s="113">
        <v>97</v>
      </c>
    </row>
    <row r="948" spans="1:22" hidden="1">
      <c r="A948" s="113">
        <v>793</v>
      </c>
      <c r="B948" s="113" t="s">
        <v>2300</v>
      </c>
      <c r="C948" s="120" t="s">
        <v>6150</v>
      </c>
      <c r="D948" s="124" t="s">
        <v>1109</v>
      </c>
      <c r="E948" s="124" t="s">
        <v>1109</v>
      </c>
      <c r="F948" s="113" t="s">
        <v>2333</v>
      </c>
      <c r="G948" s="113" t="s">
        <v>2702</v>
      </c>
      <c r="H948" s="113" t="s">
        <v>98</v>
      </c>
      <c r="I948" s="113" t="s">
        <v>15</v>
      </c>
      <c r="J948" s="118" t="s">
        <v>4483</v>
      </c>
      <c r="K948" s="118" t="s">
        <v>12</v>
      </c>
      <c r="L948" s="118" t="s">
        <v>6150</v>
      </c>
      <c r="M948" s="115" t="s">
        <v>1109</v>
      </c>
      <c r="N948" s="115" t="s">
        <v>6399</v>
      </c>
      <c r="O948" s="115" t="s">
        <v>1109</v>
      </c>
      <c r="P948" s="113">
        <v>570</v>
      </c>
      <c r="Q948" s="113">
        <v>109</v>
      </c>
      <c r="R948" s="113">
        <v>53</v>
      </c>
      <c r="S948" s="113">
        <v>47</v>
      </c>
      <c r="T948" s="120">
        <v>127</v>
      </c>
      <c r="U948" s="113">
        <v>131</v>
      </c>
      <c r="V948" s="113">
        <v>103</v>
      </c>
    </row>
    <row r="949" spans="1:22" hidden="1">
      <c r="A949" s="113">
        <v>794</v>
      </c>
      <c r="B949" s="113" t="s">
        <v>2301</v>
      </c>
      <c r="C949" s="120" t="s">
        <v>6151</v>
      </c>
      <c r="D949" s="124" t="s">
        <v>1109</v>
      </c>
      <c r="E949" s="124" t="s">
        <v>1109</v>
      </c>
      <c r="F949" s="113" t="s">
        <v>2333</v>
      </c>
      <c r="G949" s="113" t="s">
        <v>2702</v>
      </c>
      <c r="H949" s="113" t="s">
        <v>29</v>
      </c>
      <c r="I949" s="113" t="s">
        <v>78</v>
      </c>
      <c r="J949" s="118" t="s">
        <v>4483</v>
      </c>
      <c r="K949" s="118" t="s">
        <v>12</v>
      </c>
      <c r="L949" s="118" t="s">
        <v>6151</v>
      </c>
      <c r="M949" s="115" t="s">
        <v>1109</v>
      </c>
      <c r="N949" s="115" t="s">
        <v>6399</v>
      </c>
      <c r="O949" s="115" t="s">
        <v>1109</v>
      </c>
      <c r="P949" s="113">
        <v>570</v>
      </c>
      <c r="Q949" s="113">
        <v>107</v>
      </c>
      <c r="R949" s="113">
        <v>139</v>
      </c>
      <c r="S949" s="113">
        <v>139</v>
      </c>
      <c r="T949" s="120">
        <v>53</v>
      </c>
      <c r="U949" s="113">
        <v>53</v>
      </c>
      <c r="V949" s="113">
        <v>79</v>
      </c>
    </row>
    <row r="950" spans="1:22" hidden="1">
      <c r="A950" s="113">
        <v>795</v>
      </c>
      <c r="B950" s="113" t="s">
        <v>2302</v>
      </c>
      <c r="C950" s="120" t="s">
        <v>6152</v>
      </c>
      <c r="D950" s="124" t="s">
        <v>1109</v>
      </c>
      <c r="E950" s="124" t="s">
        <v>1109</v>
      </c>
      <c r="F950" s="113" t="s">
        <v>2333</v>
      </c>
      <c r="G950" s="113" t="s">
        <v>2702</v>
      </c>
      <c r="H950" s="113" t="s">
        <v>29</v>
      </c>
      <c r="I950" s="113" t="s">
        <v>78</v>
      </c>
      <c r="J950" s="118" t="s">
        <v>4483</v>
      </c>
      <c r="K950" s="118" t="s">
        <v>12</v>
      </c>
      <c r="L950" s="118" t="s">
        <v>6152</v>
      </c>
      <c r="M950" s="115" t="s">
        <v>1109</v>
      </c>
      <c r="N950" s="115" t="s">
        <v>6399</v>
      </c>
      <c r="O950" s="115" t="s">
        <v>1109</v>
      </c>
      <c r="P950" s="113">
        <v>570</v>
      </c>
      <c r="Q950" s="113">
        <v>71</v>
      </c>
      <c r="R950" s="113">
        <v>137</v>
      </c>
      <c r="S950" s="113">
        <v>37</v>
      </c>
      <c r="T950" s="120">
        <v>137</v>
      </c>
      <c r="U950" s="113">
        <v>37</v>
      </c>
      <c r="V950" s="113">
        <v>151</v>
      </c>
    </row>
    <row r="951" spans="1:22" hidden="1">
      <c r="A951" s="113">
        <v>796</v>
      </c>
      <c r="B951" s="113" t="s">
        <v>2303</v>
      </c>
      <c r="C951" s="120" t="s">
        <v>6153</v>
      </c>
      <c r="D951" s="124" t="s">
        <v>1109</v>
      </c>
      <c r="E951" s="124" t="s">
        <v>1109</v>
      </c>
      <c r="F951" s="113" t="s">
        <v>2333</v>
      </c>
      <c r="G951" s="113" t="s">
        <v>2702</v>
      </c>
      <c r="H951" s="113" t="s">
        <v>46</v>
      </c>
      <c r="I951" s="113" t="s">
        <v>1109</v>
      </c>
      <c r="J951" s="118" t="s">
        <v>4483</v>
      </c>
      <c r="K951" s="118" t="s">
        <v>12</v>
      </c>
      <c r="L951" s="118" t="s">
        <v>6153</v>
      </c>
      <c r="M951" s="115" t="s">
        <v>1109</v>
      </c>
      <c r="N951" s="115" t="s">
        <v>6399</v>
      </c>
      <c r="O951" s="115" t="s">
        <v>1109</v>
      </c>
      <c r="P951" s="113">
        <v>570</v>
      </c>
      <c r="Q951" s="113">
        <v>83</v>
      </c>
      <c r="R951" s="113">
        <v>89</v>
      </c>
      <c r="S951" s="113">
        <v>71</v>
      </c>
      <c r="T951" s="120">
        <v>173</v>
      </c>
      <c r="U951" s="113">
        <v>71</v>
      </c>
      <c r="V951" s="113">
        <v>83</v>
      </c>
    </row>
    <row r="952" spans="1:22" hidden="1">
      <c r="A952" s="113">
        <v>797</v>
      </c>
      <c r="B952" s="113" t="s">
        <v>2304</v>
      </c>
      <c r="C952" s="120" t="s">
        <v>6154</v>
      </c>
      <c r="D952" s="124" t="s">
        <v>1109</v>
      </c>
      <c r="E952" s="124" t="s">
        <v>1109</v>
      </c>
      <c r="F952" s="113" t="s">
        <v>2333</v>
      </c>
      <c r="G952" s="113" t="s">
        <v>2702</v>
      </c>
      <c r="H952" s="113" t="s">
        <v>106</v>
      </c>
      <c r="I952" s="113" t="s">
        <v>22</v>
      </c>
      <c r="J952" s="118" t="s">
        <v>4483</v>
      </c>
      <c r="K952" s="118" t="s">
        <v>12</v>
      </c>
      <c r="L952" s="118" t="s">
        <v>6154</v>
      </c>
      <c r="M952" s="115" t="s">
        <v>1109</v>
      </c>
      <c r="N952" s="115" t="s">
        <v>6399</v>
      </c>
      <c r="O952" s="115" t="s">
        <v>1109</v>
      </c>
      <c r="P952" s="113">
        <v>570</v>
      </c>
      <c r="Q952" s="113">
        <v>97</v>
      </c>
      <c r="R952" s="113">
        <v>101</v>
      </c>
      <c r="S952" s="113">
        <v>103</v>
      </c>
      <c r="T952" s="120">
        <v>107</v>
      </c>
      <c r="U952" s="113">
        <v>101</v>
      </c>
      <c r="V952" s="113">
        <v>61</v>
      </c>
    </row>
    <row r="953" spans="1:22" hidden="1">
      <c r="A953" s="113">
        <v>798</v>
      </c>
      <c r="B953" s="113" t="s">
        <v>2305</v>
      </c>
      <c r="C953" s="120" t="s">
        <v>6155</v>
      </c>
      <c r="D953" s="124" t="s">
        <v>1109</v>
      </c>
      <c r="E953" s="124" t="s">
        <v>1109</v>
      </c>
      <c r="F953" s="113" t="s">
        <v>2333</v>
      </c>
      <c r="G953" s="113" t="s">
        <v>2702</v>
      </c>
      <c r="H953" s="113" t="s">
        <v>14</v>
      </c>
      <c r="I953" s="113" t="s">
        <v>106</v>
      </c>
      <c r="J953" s="118" t="s">
        <v>4483</v>
      </c>
      <c r="K953" s="118" t="s">
        <v>12</v>
      </c>
      <c r="L953" s="118" t="s">
        <v>6155</v>
      </c>
      <c r="M953" s="115" t="s">
        <v>1109</v>
      </c>
      <c r="N953" s="115" t="s">
        <v>6399</v>
      </c>
      <c r="O953" s="115" t="s">
        <v>1109</v>
      </c>
      <c r="P953" s="113">
        <v>570</v>
      </c>
      <c r="Q953" s="113">
        <v>59</v>
      </c>
      <c r="R953" s="113">
        <v>181</v>
      </c>
      <c r="S953" s="113">
        <v>131</v>
      </c>
      <c r="T953" s="120">
        <v>59</v>
      </c>
      <c r="U953" s="113">
        <v>31</v>
      </c>
      <c r="V953" s="113">
        <v>109</v>
      </c>
    </row>
    <row r="954" spans="1:22" hidden="1">
      <c r="A954" s="113">
        <v>799</v>
      </c>
      <c r="B954" s="113" t="s">
        <v>2306</v>
      </c>
      <c r="C954" s="120" t="s">
        <v>6156</v>
      </c>
      <c r="D954" s="124" t="s">
        <v>1109</v>
      </c>
      <c r="E954" s="124" t="s">
        <v>1109</v>
      </c>
      <c r="F954" s="113" t="s">
        <v>2333</v>
      </c>
      <c r="G954" s="113" t="s">
        <v>2702</v>
      </c>
      <c r="H954" s="113" t="s">
        <v>158</v>
      </c>
      <c r="I954" s="113" t="s">
        <v>23</v>
      </c>
      <c r="J954" s="118" t="s">
        <v>4483</v>
      </c>
      <c r="K954" s="118" t="s">
        <v>12</v>
      </c>
      <c r="L954" s="118" t="s">
        <v>6156</v>
      </c>
      <c r="M954" s="115" t="s">
        <v>1109</v>
      </c>
      <c r="N954" s="115" t="s">
        <v>6399</v>
      </c>
      <c r="O954" s="115" t="s">
        <v>1109</v>
      </c>
      <c r="P954" s="113">
        <v>570</v>
      </c>
      <c r="Q954" s="113">
        <v>223</v>
      </c>
      <c r="R954" s="113">
        <v>101</v>
      </c>
      <c r="S954" s="113">
        <v>53</v>
      </c>
      <c r="T954" s="120">
        <v>97</v>
      </c>
      <c r="U954" s="113">
        <v>53</v>
      </c>
      <c r="V954" s="113">
        <v>43</v>
      </c>
    </row>
    <row r="955" spans="1:22" hidden="1">
      <c r="A955" s="113">
        <v>800</v>
      </c>
      <c r="B955" s="113" t="s">
        <v>2307</v>
      </c>
      <c r="C955" s="120" t="s">
        <v>6157</v>
      </c>
      <c r="D955" s="124" t="s">
        <v>1109</v>
      </c>
      <c r="E955" s="124" t="s">
        <v>1109</v>
      </c>
      <c r="F955" s="113" t="s">
        <v>2333</v>
      </c>
      <c r="G955" s="113" t="s">
        <v>2702</v>
      </c>
      <c r="H955" s="113" t="s">
        <v>86</v>
      </c>
      <c r="I955" s="113" t="s">
        <v>1109</v>
      </c>
      <c r="J955" s="118" t="s">
        <v>4483</v>
      </c>
      <c r="K955" s="118" t="s">
        <v>12</v>
      </c>
      <c r="L955" s="118" t="s">
        <v>6157</v>
      </c>
      <c r="M955" s="115" t="s">
        <v>1109</v>
      </c>
      <c r="N955" s="115" t="s">
        <v>6399</v>
      </c>
      <c r="O955" s="115" t="s">
        <v>1109</v>
      </c>
      <c r="P955" s="113">
        <v>600</v>
      </c>
      <c r="Q955" s="113">
        <v>97</v>
      </c>
      <c r="R955" s="113">
        <v>107</v>
      </c>
      <c r="S955" s="113">
        <v>101</v>
      </c>
      <c r="T955" s="120">
        <v>127</v>
      </c>
      <c r="U955" s="113">
        <v>89</v>
      </c>
      <c r="V955" s="113">
        <v>79</v>
      </c>
    </row>
    <row r="956" spans="1:22" hidden="1">
      <c r="A956" s="113">
        <v>800</v>
      </c>
      <c r="B956" s="113" t="s">
        <v>2760</v>
      </c>
      <c r="C956" s="120" t="s">
        <v>6159</v>
      </c>
      <c r="D956" s="124" t="s">
        <v>1109</v>
      </c>
      <c r="E956" s="124" t="s">
        <v>1109</v>
      </c>
      <c r="F956" s="113" t="s">
        <v>2333</v>
      </c>
      <c r="G956" s="113" t="s">
        <v>2702</v>
      </c>
      <c r="H956" s="113" t="s">
        <v>86</v>
      </c>
      <c r="I956" s="113" t="s">
        <v>106</v>
      </c>
      <c r="J956" s="118" t="s">
        <v>4483</v>
      </c>
      <c r="K956" s="118" t="s">
        <v>12</v>
      </c>
      <c r="L956" s="118" t="s">
        <v>6157</v>
      </c>
      <c r="M956" s="115" t="s">
        <v>1109</v>
      </c>
      <c r="N956" s="115" t="s">
        <v>6399</v>
      </c>
      <c r="O956" s="115" t="s">
        <v>1109</v>
      </c>
      <c r="P956" s="113">
        <v>680</v>
      </c>
      <c r="Q956" s="113">
        <v>97</v>
      </c>
      <c r="R956" s="113">
        <v>157</v>
      </c>
      <c r="S956" s="113">
        <v>127</v>
      </c>
      <c r="T956" s="120">
        <v>113</v>
      </c>
      <c r="U956" s="113">
        <v>109</v>
      </c>
      <c r="V956" s="113">
        <v>77</v>
      </c>
    </row>
    <row r="957" spans="1:22" hidden="1">
      <c r="A957" s="113">
        <v>800</v>
      </c>
      <c r="B957" s="113" t="s">
        <v>2761</v>
      </c>
      <c r="C957" s="120" t="s">
        <v>6158</v>
      </c>
      <c r="D957" s="124" t="s">
        <v>1109</v>
      </c>
      <c r="E957" s="124" t="s">
        <v>1109</v>
      </c>
      <c r="F957" s="113" t="s">
        <v>2333</v>
      </c>
      <c r="G957" s="113" t="s">
        <v>2702</v>
      </c>
      <c r="H957" s="113" t="s">
        <v>86</v>
      </c>
      <c r="I957" s="113" t="s">
        <v>119</v>
      </c>
      <c r="J957" s="118" t="s">
        <v>4483</v>
      </c>
      <c r="K957" s="118" t="s">
        <v>12</v>
      </c>
      <c r="L957" s="118" t="s">
        <v>6157</v>
      </c>
      <c r="M957" s="115" t="s">
        <v>1109</v>
      </c>
      <c r="N957" s="115" t="s">
        <v>6399</v>
      </c>
      <c r="O957" s="115" t="s">
        <v>1109</v>
      </c>
      <c r="P957" s="113">
        <v>680</v>
      </c>
      <c r="Q957" s="113">
        <v>97</v>
      </c>
      <c r="R957" s="113">
        <v>113</v>
      </c>
      <c r="S957" s="113">
        <v>109</v>
      </c>
      <c r="T957" s="120">
        <v>157</v>
      </c>
      <c r="U957" s="113">
        <v>127</v>
      </c>
      <c r="V957" s="113">
        <v>77</v>
      </c>
    </row>
    <row r="958" spans="1:22" hidden="1">
      <c r="A958" s="113">
        <v>800</v>
      </c>
      <c r="B958" s="113" t="s">
        <v>2762</v>
      </c>
      <c r="C958" s="120" t="s">
        <v>6160</v>
      </c>
      <c r="D958" s="124" t="s">
        <v>1109</v>
      </c>
      <c r="E958" s="124" t="s">
        <v>1109</v>
      </c>
      <c r="F958" s="113" t="s">
        <v>2333</v>
      </c>
      <c r="G958" s="113" t="s">
        <v>2702</v>
      </c>
      <c r="H958" s="113" t="s">
        <v>86</v>
      </c>
      <c r="I958" s="113" t="s">
        <v>23</v>
      </c>
      <c r="J958" s="118" t="s">
        <v>4483</v>
      </c>
      <c r="K958" s="118" t="s">
        <v>12</v>
      </c>
      <c r="L958" s="118" t="s">
        <v>6157</v>
      </c>
      <c r="M958" s="115" t="s">
        <v>1109</v>
      </c>
      <c r="N958" s="115" t="s">
        <v>6399</v>
      </c>
      <c r="O958" s="115" t="s">
        <v>1109</v>
      </c>
      <c r="P958" s="113">
        <v>754</v>
      </c>
      <c r="Q958" s="113">
        <v>97</v>
      </c>
      <c r="R958" s="113">
        <v>167</v>
      </c>
      <c r="S958" s="113">
        <v>97</v>
      </c>
      <c r="T958" s="120">
        <v>167</v>
      </c>
      <c r="U958" s="113">
        <v>97</v>
      </c>
      <c r="V958" s="113">
        <v>129</v>
      </c>
    </row>
    <row r="959" spans="1:22">
      <c r="A959" s="113">
        <v>801</v>
      </c>
      <c r="B959" s="113" t="s">
        <v>2308</v>
      </c>
      <c r="C959" s="120" t="s">
        <v>6161</v>
      </c>
      <c r="D959" s="124" t="s">
        <v>1109</v>
      </c>
      <c r="E959" s="124" t="s">
        <v>1109</v>
      </c>
      <c r="F959" s="113" t="s">
        <v>2333</v>
      </c>
      <c r="G959" s="113" t="s">
        <v>2702</v>
      </c>
      <c r="H959" s="113" t="s">
        <v>106</v>
      </c>
      <c r="I959" s="113" t="s">
        <v>56</v>
      </c>
      <c r="J959" s="118" t="s">
        <v>12</v>
      </c>
      <c r="K959" s="118" t="s">
        <v>12</v>
      </c>
      <c r="L959" s="118" t="s">
        <v>6161</v>
      </c>
      <c r="M959" s="115" t="s">
        <v>1109</v>
      </c>
      <c r="N959" s="115" t="s">
        <v>6399</v>
      </c>
      <c r="O959" s="115" t="s">
        <v>1109</v>
      </c>
      <c r="P959" s="113">
        <v>600</v>
      </c>
      <c r="Q959" s="113">
        <v>80</v>
      </c>
      <c r="R959" s="113">
        <v>95</v>
      </c>
      <c r="S959" s="113">
        <v>115</v>
      </c>
      <c r="T959" s="120">
        <v>130</v>
      </c>
      <c r="U959" s="113">
        <v>115</v>
      </c>
      <c r="V959" s="113">
        <v>65</v>
      </c>
    </row>
    <row r="960" spans="1:22">
      <c r="A960" s="113">
        <v>802</v>
      </c>
      <c r="B960" s="113" t="s">
        <v>2309</v>
      </c>
      <c r="C960" s="120" t="s">
        <v>6162</v>
      </c>
      <c r="D960" s="124" t="s">
        <v>1109</v>
      </c>
      <c r="E960" s="124" t="s">
        <v>1109</v>
      </c>
      <c r="F960" s="113" t="s">
        <v>2333</v>
      </c>
      <c r="G960" s="113" t="s">
        <v>2702</v>
      </c>
      <c r="H960" s="113" t="s">
        <v>78</v>
      </c>
      <c r="I960" s="113" t="s">
        <v>119</v>
      </c>
      <c r="J960" s="118" t="s">
        <v>12</v>
      </c>
      <c r="K960" s="118" t="s">
        <v>12</v>
      </c>
      <c r="L960" s="118" t="s">
        <v>6162</v>
      </c>
      <c r="M960" s="115" t="s">
        <v>1109</v>
      </c>
      <c r="N960" s="115" t="s">
        <v>6399</v>
      </c>
      <c r="O960" s="115" t="s">
        <v>1109</v>
      </c>
      <c r="P960" s="113">
        <v>600</v>
      </c>
      <c r="Q960" s="113">
        <v>90</v>
      </c>
      <c r="R960" s="113">
        <v>125</v>
      </c>
      <c r="S960" s="113">
        <v>80</v>
      </c>
      <c r="T960" s="120">
        <v>90</v>
      </c>
      <c r="U960" s="113">
        <v>90</v>
      </c>
      <c r="V960" s="113">
        <v>125</v>
      </c>
    </row>
    <row r="961" spans="1:34" hidden="1">
      <c r="A961" s="113">
        <v>803</v>
      </c>
      <c r="B961" s="113" t="s">
        <v>2310</v>
      </c>
      <c r="C961" s="120" t="s">
        <v>6163</v>
      </c>
      <c r="D961" s="124" t="s">
        <v>1109</v>
      </c>
      <c r="E961" s="124" t="s">
        <v>1109</v>
      </c>
      <c r="F961" s="113" t="s">
        <v>2333</v>
      </c>
      <c r="G961" s="113" t="s">
        <v>2702</v>
      </c>
      <c r="H961" s="113" t="s">
        <v>15</v>
      </c>
      <c r="I961" s="113" t="s">
        <v>1109</v>
      </c>
      <c r="J961" s="118" t="s">
        <v>4483</v>
      </c>
      <c r="K961" s="118" t="s">
        <v>12</v>
      </c>
      <c r="L961" s="118" t="s">
        <v>6163</v>
      </c>
      <c r="M961" s="115" t="s">
        <v>1109</v>
      </c>
      <c r="N961" s="115" t="s">
        <v>2129</v>
      </c>
      <c r="O961" s="115" t="s">
        <v>1109</v>
      </c>
      <c r="P961" s="113">
        <v>420</v>
      </c>
      <c r="Q961" s="113">
        <v>67</v>
      </c>
      <c r="R961" s="113">
        <v>73</v>
      </c>
      <c r="S961" s="113">
        <v>67</v>
      </c>
      <c r="T961" s="120">
        <v>73</v>
      </c>
      <c r="U961" s="113">
        <v>67</v>
      </c>
      <c r="V961" s="113">
        <v>73</v>
      </c>
    </row>
    <row r="962" spans="1:34" hidden="1">
      <c r="A962" s="113">
        <v>804</v>
      </c>
      <c r="B962" s="113" t="s">
        <v>2311</v>
      </c>
      <c r="C962" s="120" t="s">
        <v>6164</v>
      </c>
      <c r="D962" s="124" t="s">
        <v>1109</v>
      </c>
      <c r="E962" s="124" t="s">
        <v>1109</v>
      </c>
      <c r="F962" s="113" t="s">
        <v>2333</v>
      </c>
      <c r="G962" s="113" t="s">
        <v>2702</v>
      </c>
      <c r="H962" s="113" t="s">
        <v>15</v>
      </c>
      <c r="I962" s="113" t="s">
        <v>23</v>
      </c>
      <c r="J962" s="118" t="s">
        <v>4483</v>
      </c>
      <c r="K962" s="118" t="s">
        <v>12</v>
      </c>
      <c r="L962" s="118" t="s">
        <v>6164</v>
      </c>
      <c r="M962" s="115" t="s">
        <v>6163</v>
      </c>
      <c r="N962" s="115" t="s">
        <v>6399</v>
      </c>
      <c r="O962" s="115" t="s">
        <v>2128</v>
      </c>
      <c r="P962" s="113">
        <v>540</v>
      </c>
      <c r="Q962" s="113">
        <v>73</v>
      </c>
      <c r="R962" s="113">
        <v>73</v>
      </c>
      <c r="S962" s="113">
        <v>73</v>
      </c>
      <c r="T962" s="120">
        <v>127</v>
      </c>
      <c r="U962" s="113">
        <v>73</v>
      </c>
      <c r="V962" s="113">
        <v>121</v>
      </c>
    </row>
    <row r="963" spans="1:34" hidden="1">
      <c r="A963" s="113">
        <v>805</v>
      </c>
      <c r="B963" s="113" t="s">
        <v>2312</v>
      </c>
      <c r="C963" s="120" t="s">
        <v>6165</v>
      </c>
      <c r="D963" s="124" t="s">
        <v>1109</v>
      </c>
      <c r="E963" s="124" t="s">
        <v>1109</v>
      </c>
      <c r="F963" s="113" t="s">
        <v>2333</v>
      </c>
      <c r="G963" s="113" t="s">
        <v>2702</v>
      </c>
      <c r="H963" s="113" t="s">
        <v>98</v>
      </c>
      <c r="I963" s="113" t="s">
        <v>106</v>
      </c>
      <c r="J963" s="118" t="s">
        <v>4483</v>
      </c>
      <c r="K963" s="118" t="s">
        <v>12</v>
      </c>
      <c r="L963" s="118" t="s">
        <v>6165</v>
      </c>
      <c r="M963" s="115" t="s">
        <v>1109</v>
      </c>
      <c r="N963" s="115" t="s">
        <v>6399</v>
      </c>
      <c r="O963" s="115" t="s">
        <v>1109</v>
      </c>
      <c r="P963" s="113">
        <v>570</v>
      </c>
      <c r="Q963" s="113">
        <v>61</v>
      </c>
      <c r="R963" s="113">
        <v>131</v>
      </c>
      <c r="S963" s="113">
        <v>211</v>
      </c>
      <c r="T963" s="120">
        <v>53</v>
      </c>
      <c r="U963" s="113">
        <v>101</v>
      </c>
      <c r="V963" s="113">
        <v>13</v>
      </c>
    </row>
    <row r="964" spans="1:34" ht="15" hidden="1" customHeight="1">
      <c r="A964" s="113">
        <v>806</v>
      </c>
      <c r="B964" s="113" t="s">
        <v>2313</v>
      </c>
      <c r="C964" s="120" t="s">
        <v>6166</v>
      </c>
      <c r="D964" s="124" t="s">
        <v>1109</v>
      </c>
      <c r="E964" s="124" t="s">
        <v>1109</v>
      </c>
      <c r="F964" s="113" t="s">
        <v>2333</v>
      </c>
      <c r="G964" s="113" t="s">
        <v>2702</v>
      </c>
      <c r="H964" s="113" t="s">
        <v>19</v>
      </c>
      <c r="I964" s="113" t="s">
        <v>119</v>
      </c>
      <c r="J964" s="118" t="s">
        <v>4483</v>
      </c>
      <c r="K964" s="118" t="s">
        <v>12</v>
      </c>
      <c r="L964" s="118" t="s">
        <v>6166</v>
      </c>
      <c r="M964" s="115" t="s">
        <v>1109</v>
      </c>
      <c r="N964" s="115" t="s">
        <v>6399</v>
      </c>
      <c r="O964" s="115" t="s">
        <v>1109</v>
      </c>
      <c r="P964" s="113">
        <v>570</v>
      </c>
      <c r="Q964" s="113">
        <v>53</v>
      </c>
      <c r="R964" s="113">
        <v>127</v>
      </c>
      <c r="S964" s="113">
        <v>53</v>
      </c>
      <c r="T964" s="120">
        <v>151</v>
      </c>
      <c r="U964" s="113">
        <v>79</v>
      </c>
      <c r="V964" s="113">
        <v>107</v>
      </c>
    </row>
    <row r="965" spans="1:34" ht="15" customHeight="1">
      <c r="A965" s="113">
        <v>807</v>
      </c>
      <c r="B965" s="113" t="s">
        <v>2314</v>
      </c>
      <c r="C965" s="120" t="s">
        <v>6167</v>
      </c>
      <c r="D965" s="124" t="s">
        <v>1109</v>
      </c>
      <c r="E965" s="124" t="s">
        <v>1109</v>
      </c>
      <c r="F965" s="113" t="s">
        <v>2333</v>
      </c>
      <c r="G965" s="113" t="s">
        <v>2702</v>
      </c>
      <c r="H965" s="113" t="s">
        <v>46</v>
      </c>
      <c r="I965" s="113" t="s">
        <v>1109</v>
      </c>
      <c r="J965" s="118" t="s">
        <v>12</v>
      </c>
      <c r="K965" s="118" t="s">
        <v>12</v>
      </c>
      <c r="L965" s="118" t="s">
        <v>6167</v>
      </c>
      <c r="M965" s="115" t="s">
        <v>1109</v>
      </c>
      <c r="N965" s="115" t="s">
        <v>6399</v>
      </c>
      <c r="O965" s="115" t="s">
        <v>1109</v>
      </c>
      <c r="P965" s="113">
        <v>600</v>
      </c>
      <c r="Q965" s="113">
        <v>88</v>
      </c>
      <c r="R965" s="113">
        <v>112</v>
      </c>
      <c r="S965" s="113">
        <v>75</v>
      </c>
      <c r="T965" s="120">
        <v>102</v>
      </c>
      <c r="U965" s="113">
        <v>80</v>
      </c>
      <c r="V965" s="113">
        <v>143</v>
      </c>
    </row>
    <row r="966" spans="1:34" ht="15" customHeight="1">
      <c r="A966" s="113">
        <v>808</v>
      </c>
      <c r="B966" s="113" t="s">
        <v>2315</v>
      </c>
      <c r="C966" s="120" t="s">
        <v>6168</v>
      </c>
      <c r="D966" s="124" t="s">
        <v>1109</v>
      </c>
      <c r="E966" s="124" t="s">
        <v>1109</v>
      </c>
      <c r="F966" s="113" t="s">
        <v>2333</v>
      </c>
      <c r="G966" s="113" t="s">
        <v>2702</v>
      </c>
      <c r="H966" s="113" t="s">
        <v>106</v>
      </c>
      <c r="I966" s="113" t="s">
        <v>1109</v>
      </c>
      <c r="J966" s="118" t="s">
        <v>12</v>
      </c>
      <c r="K966" s="118" t="s">
        <v>12</v>
      </c>
      <c r="L966" s="118" t="s">
        <v>6168</v>
      </c>
      <c r="M966" s="115" t="s">
        <v>1109</v>
      </c>
      <c r="N966" s="115" t="s">
        <v>2129</v>
      </c>
      <c r="O966" s="115" t="s">
        <v>1109</v>
      </c>
      <c r="P966" s="113">
        <v>300</v>
      </c>
      <c r="Q966" s="113">
        <v>46</v>
      </c>
      <c r="R966" s="113">
        <v>65</v>
      </c>
      <c r="S966" s="113">
        <v>65</v>
      </c>
      <c r="T966" s="120">
        <v>55</v>
      </c>
      <c r="U966" s="113">
        <v>35</v>
      </c>
      <c r="V966" s="113">
        <v>34</v>
      </c>
    </row>
    <row r="967" spans="1:34" ht="15" customHeight="1">
      <c r="A967" s="113">
        <v>809</v>
      </c>
      <c r="B967" s="113" t="s">
        <v>2316</v>
      </c>
      <c r="C967" s="120" t="s">
        <v>6169</v>
      </c>
      <c r="D967" s="124" t="s">
        <v>1109</v>
      </c>
      <c r="E967" s="124" t="s">
        <v>1109</v>
      </c>
      <c r="F967" s="113" t="s">
        <v>2333</v>
      </c>
      <c r="G967" s="113" t="s">
        <v>2702</v>
      </c>
      <c r="H967" s="113" t="s">
        <v>106</v>
      </c>
      <c r="I967" s="113" t="s">
        <v>1109</v>
      </c>
      <c r="J967" s="118" t="s">
        <v>12</v>
      </c>
      <c r="K967" s="118" t="s">
        <v>12</v>
      </c>
      <c r="L967" s="118" t="s">
        <v>6168</v>
      </c>
      <c r="M967" s="120" t="s">
        <v>6168</v>
      </c>
      <c r="N967" s="115" t="s">
        <v>6399</v>
      </c>
      <c r="O967" s="115" t="s">
        <v>2128</v>
      </c>
      <c r="P967" s="113">
        <v>600</v>
      </c>
      <c r="Q967" s="113">
        <v>135</v>
      </c>
      <c r="R967" s="113">
        <v>143</v>
      </c>
      <c r="S967" s="113">
        <v>143</v>
      </c>
      <c r="T967" s="120">
        <v>80</v>
      </c>
      <c r="U967" s="113">
        <v>65</v>
      </c>
      <c r="V967" s="113">
        <v>34</v>
      </c>
    </row>
    <row r="968" spans="1:34" ht="15" customHeight="1">
      <c r="A968" s="113">
        <v>810</v>
      </c>
      <c r="B968" s="113" t="s">
        <v>2157</v>
      </c>
      <c r="C968" s="120" t="s">
        <v>6170</v>
      </c>
      <c r="D968" s="124">
        <v>0.85</v>
      </c>
      <c r="E968" s="124">
        <v>0.15</v>
      </c>
      <c r="F968" s="113" t="s">
        <v>14</v>
      </c>
      <c r="G968" s="113" t="s">
        <v>2703</v>
      </c>
      <c r="H968" s="113" t="s">
        <v>14</v>
      </c>
      <c r="I968" s="113" t="s">
        <v>1109</v>
      </c>
      <c r="J968" s="118" t="s">
        <v>792</v>
      </c>
      <c r="K968" s="118" t="s">
        <v>4657</v>
      </c>
      <c r="L968" s="118" t="s">
        <v>6170</v>
      </c>
      <c r="M968" s="115" t="s">
        <v>1109</v>
      </c>
      <c r="N968" s="115" t="s">
        <v>2129</v>
      </c>
      <c r="O968" s="115" t="s">
        <v>1109</v>
      </c>
      <c r="P968" s="113">
        <v>310</v>
      </c>
      <c r="Q968" s="113">
        <v>50</v>
      </c>
      <c r="R968" s="113">
        <v>65</v>
      </c>
      <c r="S968" s="113">
        <v>50</v>
      </c>
      <c r="T968" s="120">
        <v>40</v>
      </c>
      <c r="U968" s="113">
        <v>40</v>
      </c>
      <c r="V968" s="113">
        <v>65</v>
      </c>
      <c r="AH968"/>
    </row>
    <row r="969" spans="1:34" ht="15" customHeight="1">
      <c r="A969" s="113">
        <v>811</v>
      </c>
      <c r="B969" s="113" t="s">
        <v>2158</v>
      </c>
      <c r="C969" s="120" t="s">
        <v>6171</v>
      </c>
      <c r="D969" s="124">
        <v>0.85</v>
      </c>
      <c r="E969" s="124">
        <v>0.15</v>
      </c>
      <c r="F969" s="113" t="s">
        <v>14</v>
      </c>
      <c r="G969" s="113" t="s">
        <v>2703</v>
      </c>
      <c r="H969" s="113" t="s">
        <v>14</v>
      </c>
      <c r="I969" s="113" t="s">
        <v>1109</v>
      </c>
      <c r="J969" s="118" t="s">
        <v>792</v>
      </c>
      <c r="K969" s="118" t="s">
        <v>4657</v>
      </c>
      <c r="L969" s="118" t="s">
        <v>6170</v>
      </c>
      <c r="M969" s="115" t="s">
        <v>6170</v>
      </c>
      <c r="N969" s="115" t="s">
        <v>6398</v>
      </c>
      <c r="O969" s="115" t="s">
        <v>2128</v>
      </c>
      <c r="P969" s="113">
        <v>420</v>
      </c>
      <c r="Q969" s="113">
        <v>70</v>
      </c>
      <c r="R969" s="113">
        <v>85</v>
      </c>
      <c r="S969" s="113">
        <v>70</v>
      </c>
      <c r="T969" s="120">
        <v>55</v>
      </c>
      <c r="U969" s="113">
        <v>60</v>
      </c>
      <c r="V969" s="113">
        <v>80</v>
      </c>
    </row>
    <row r="970" spans="1:34" ht="15" customHeight="1">
      <c r="A970" s="113">
        <v>812</v>
      </c>
      <c r="B970" s="113" t="s">
        <v>2159</v>
      </c>
      <c r="C970" s="120" t="s">
        <v>6172</v>
      </c>
      <c r="D970" s="124">
        <v>0.85</v>
      </c>
      <c r="E970" s="124">
        <v>0.15</v>
      </c>
      <c r="F970" s="113" t="s">
        <v>14</v>
      </c>
      <c r="G970" s="113" t="s">
        <v>2703</v>
      </c>
      <c r="H970" s="113" t="s">
        <v>14</v>
      </c>
      <c r="I970" s="113" t="s">
        <v>1109</v>
      </c>
      <c r="J970" s="118" t="s">
        <v>792</v>
      </c>
      <c r="K970" s="118" t="s">
        <v>4657</v>
      </c>
      <c r="L970" s="118" t="s">
        <v>6170</v>
      </c>
      <c r="M970" s="115" t="s">
        <v>6171</v>
      </c>
      <c r="N970" s="115" t="s">
        <v>6399</v>
      </c>
      <c r="O970" s="115" t="s">
        <v>2128</v>
      </c>
      <c r="P970" s="113">
        <v>530</v>
      </c>
      <c r="Q970" s="113">
        <v>100</v>
      </c>
      <c r="R970" s="113">
        <v>125</v>
      </c>
      <c r="S970" s="113">
        <v>90</v>
      </c>
      <c r="T970" s="120">
        <v>60</v>
      </c>
      <c r="U970" s="113">
        <v>70</v>
      </c>
      <c r="V970" s="113">
        <v>85</v>
      </c>
    </row>
    <row r="971" spans="1:34" ht="15" customHeight="1">
      <c r="A971" s="113">
        <v>813</v>
      </c>
      <c r="B971" s="113" t="s">
        <v>2160</v>
      </c>
      <c r="C971" s="120" t="s">
        <v>6173</v>
      </c>
      <c r="D971" s="124">
        <v>0.85</v>
      </c>
      <c r="E971" s="124">
        <v>0.15</v>
      </c>
      <c r="F971" s="113" t="s">
        <v>2332</v>
      </c>
      <c r="G971" s="113" t="s">
        <v>2703</v>
      </c>
      <c r="H971" s="113" t="s">
        <v>19</v>
      </c>
      <c r="I971" s="113" t="s">
        <v>1109</v>
      </c>
      <c r="J971" s="118" t="s">
        <v>792</v>
      </c>
      <c r="K971" s="118" t="s">
        <v>4657</v>
      </c>
      <c r="L971" s="118" t="s">
        <v>6173</v>
      </c>
      <c r="M971" s="115" t="s">
        <v>1109</v>
      </c>
      <c r="N971" s="115" t="s">
        <v>2129</v>
      </c>
      <c r="O971" s="115" t="s">
        <v>1109</v>
      </c>
      <c r="P971" s="113">
        <v>310</v>
      </c>
      <c r="Q971" s="113">
        <v>50</v>
      </c>
      <c r="R971" s="113">
        <v>71</v>
      </c>
      <c r="S971" s="113">
        <v>40</v>
      </c>
      <c r="T971" s="120">
        <v>40</v>
      </c>
      <c r="U971" s="113">
        <v>40</v>
      </c>
      <c r="V971" s="113">
        <v>69</v>
      </c>
    </row>
    <row r="972" spans="1:34" ht="15" customHeight="1">
      <c r="A972" s="113">
        <v>814</v>
      </c>
      <c r="B972" s="113" t="s">
        <v>2161</v>
      </c>
      <c r="C972" s="120" t="s">
        <v>6174</v>
      </c>
      <c r="D972" s="124">
        <v>0.85</v>
      </c>
      <c r="E972" s="124">
        <v>0.15</v>
      </c>
      <c r="F972" s="113" t="s">
        <v>2332</v>
      </c>
      <c r="G972" s="113" t="s">
        <v>2703</v>
      </c>
      <c r="H972" s="113" t="s">
        <v>19</v>
      </c>
      <c r="I972" s="113" t="s">
        <v>1109</v>
      </c>
      <c r="J972" s="118" t="s">
        <v>792</v>
      </c>
      <c r="K972" s="118" t="s">
        <v>4657</v>
      </c>
      <c r="L972" s="118" t="s">
        <v>6173</v>
      </c>
      <c r="M972" s="115" t="s">
        <v>6173</v>
      </c>
      <c r="N972" s="115" t="s">
        <v>6398</v>
      </c>
      <c r="O972" s="115" t="s">
        <v>2128</v>
      </c>
      <c r="P972" s="113">
        <v>420</v>
      </c>
      <c r="Q972" s="113">
        <v>65</v>
      </c>
      <c r="R972" s="113">
        <v>86</v>
      </c>
      <c r="S972" s="113">
        <v>60</v>
      </c>
      <c r="T972" s="120">
        <v>55</v>
      </c>
      <c r="U972" s="113">
        <v>60</v>
      </c>
      <c r="V972" s="113">
        <v>94</v>
      </c>
    </row>
    <row r="973" spans="1:34" ht="15" customHeight="1">
      <c r="A973" s="113">
        <v>815</v>
      </c>
      <c r="B973" s="113" t="s">
        <v>2162</v>
      </c>
      <c r="C973" s="120" t="s">
        <v>6175</v>
      </c>
      <c r="D973" s="124">
        <v>0.85</v>
      </c>
      <c r="E973" s="124">
        <v>0.15</v>
      </c>
      <c r="F973" s="113" t="s">
        <v>2332</v>
      </c>
      <c r="G973" s="113" t="s">
        <v>2703</v>
      </c>
      <c r="H973" s="113" t="s">
        <v>19</v>
      </c>
      <c r="I973" s="113" t="s">
        <v>1109</v>
      </c>
      <c r="J973" s="118" t="s">
        <v>792</v>
      </c>
      <c r="K973" s="118" t="s">
        <v>4657</v>
      </c>
      <c r="L973" s="118" t="s">
        <v>6173</v>
      </c>
      <c r="M973" s="115" t="s">
        <v>6174</v>
      </c>
      <c r="N973" s="115" t="s">
        <v>6399</v>
      </c>
      <c r="O973" s="115" t="s">
        <v>2128</v>
      </c>
      <c r="P973" s="113">
        <v>530</v>
      </c>
      <c r="Q973" s="113">
        <v>80</v>
      </c>
      <c r="R973" s="113">
        <v>116</v>
      </c>
      <c r="S973" s="113">
        <v>75</v>
      </c>
      <c r="T973" s="120">
        <v>65</v>
      </c>
      <c r="U973" s="113">
        <v>75</v>
      </c>
      <c r="V973" s="113">
        <v>119</v>
      </c>
    </row>
    <row r="974" spans="1:34" ht="15" customHeight="1">
      <c r="A974" s="113">
        <v>816</v>
      </c>
      <c r="B974" s="113" t="s">
        <v>2163</v>
      </c>
      <c r="C974" s="120" t="s">
        <v>6176</v>
      </c>
      <c r="D974" s="124">
        <v>0.85</v>
      </c>
      <c r="E974" s="124">
        <v>0.15</v>
      </c>
      <c r="F974" s="113" t="s">
        <v>2331</v>
      </c>
      <c r="G974" s="113" t="s">
        <v>2703</v>
      </c>
      <c r="H974" s="113" t="s">
        <v>25</v>
      </c>
      <c r="I974" s="113" t="s">
        <v>1109</v>
      </c>
      <c r="J974" s="118" t="s">
        <v>792</v>
      </c>
      <c r="K974" s="118" t="s">
        <v>4657</v>
      </c>
      <c r="L974" s="118" t="s">
        <v>6176</v>
      </c>
      <c r="M974" s="115" t="s">
        <v>1109</v>
      </c>
      <c r="N974" s="115" t="s">
        <v>2129</v>
      </c>
      <c r="O974" s="115" t="s">
        <v>1109</v>
      </c>
      <c r="P974" s="113">
        <v>310</v>
      </c>
      <c r="Q974" s="113">
        <v>50</v>
      </c>
      <c r="R974" s="113">
        <v>40</v>
      </c>
      <c r="S974" s="113">
        <v>40</v>
      </c>
      <c r="T974" s="120">
        <v>70</v>
      </c>
      <c r="U974" s="113">
        <v>40</v>
      </c>
      <c r="V974" s="113">
        <v>70</v>
      </c>
    </row>
    <row r="975" spans="1:34" ht="15" customHeight="1">
      <c r="A975" s="113">
        <v>817</v>
      </c>
      <c r="B975" s="113" t="s">
        <v>2164</v>
      </c>
      <c r="C975" s="120" t="s">
        <v>6177</v>
      </c>
      <c r="D975" s="124">
        <v>0.85</v>
      </c>
      <c r="E975" s="124">
        <v>0.15</v>
      </c>
      <c r="F975" s="113" t="s">
        <v>2331</v>
      </c>
      <c r="G975" s="113" t="s">
        <v>2703</v>
      </c>
      <c r="H975" s="113" t="s">
        <v>25</v>
      </c>
      <c r="I975" s="113" t="s">
        <v>1109</v>
      </c>
      <c r="J975" s="118" t="s">
        <v>792</v>
      </c>
      <c r="K975" s="118" t="s">
        <v>4657</v>
      </c>
      <c r="L975" s="118" t="s">
        <v>6176</v>
      </c>
      <c r="M975" s="115" t="s">
        <v>6176</v>
      </c>
      <c r="N975" s="115" t="s">
        <v>6398</v>
      </c>
      <c r="O975" s="115" t="s">
        <v>2128</v>
      </c>
      <c r="P975" s="113">
        <v>420</v>
      </c>
      <c r="Q975" s="113">
        <v>65</v>
      </c>
      <c r="R975" s="113">
        <v>60</v>
      </c>
      <c r="S975" s="113">
        <v>55</v>
      </c>
      <c r="T975" s="120">
        <v>95</v>
      </c>
      <c r="U975" s="113">
        <v>55</v>
      </c>
      <c r="V975" s="113">
        <v>90</v>
      </c>
    </row>
    <row r="976" spans="1:34" ht="15" customHeight="1">
      <c r="A976" s="113">
        <v>818</v>
      </c>
      <c r="B976" s="113" t="s">
        <v>2165</v>
      </c>
      <c r="C976" s="120" t="s">
        <v>6178</v>
      </c>
      <c r="D976" s="124">
        <v>0.85</v>
      </c>
      <c r="E976" s="124">
        <v>0.15</v>
      </c>
      <c r="F976" s="113" t="s">
        <v>2331</v>
      </c>
      <c r="G976" s="113" t="s">
        <v>2703</v>
      </c>
      <c r="H976" s="113" t="s">
        <v>25</v>
      </c>
      <c r="I976" s="113" t="s">
        <v>1109</v>
      </c>
      <c r="J976" s="118" t="s">
        <v>792</v>
      </c>
      <c r="K976" s="118" t="s">
        <v>4657</v>
      </c>
      <c r="L976" s="118" t="s">
        <v>6176</v>
      </c>
      <c r="M976" s="115" t="s">
        <v>6177</v>
      </c>
      <c r="N976" s="115" t="s">
        <v>6399</v>
      </c>
      <c r="O976" s="115" t="s">
        <v>2128</v>
      </c>
      <c r="P976" s="113">
        <v>530</v>
      </c>
      <c r="Q976" s="113">
        <v>70</v>
      </c>
      <c r="R976" s="113">
        <v>85</v>
      </c>
      <c r="S976" s="113">
        <v>65</v>
      </c>
      <c r="T976" s="120">
        <v>125</v>
      </c>
      <c r="U976" s="113">
        <v>65</v>
      </c>
      <c r="V976" s="113">
        <v>120</v>
      </c>
    </row>
    <row r="977" spans="1:34" ht="15" customHeight="1">
      <c r="A977" s="113">
        <v>819</v>
      </c>
      <c r="B977" s="113" t="s">
        <v>2215</v>
      </c>
      <c r="C977" s="120" t="s">
        <v>6179</v>
      </c>
      <c r="D977" s="124">
        <v>0.5</v>
      </c>
      <c r="E977" s="124">
        <v>0.5</v>
      </c>
      <c r="F977" s="113" t="s">
        <v>2332</v>
      </c>
      <c r="G977" s="113" t="s">
        <v>2703</v>
      </c>
      <c r="H977" s="113" t="s">
        <v>36</v>
      </c>
      <c r="I977" s="113" t="s">
        <v>1109</v>
      </c>
      <c r="J977" s="118" t="s">
        <v>2129</v>
      </c>
      <c r="K977" s="118" t="s">
        <v>2712</v>
      </c>
      <c r="L977" s="118" t="s">
        <v>6179</v>
      </c>
      <c r="M977" s="115" t="s">
        <v>1109</v>
      </c>
      <c r="N977" s="115" t="s">
        <v>2129</v>
      </c>
      <c r="O977" s="115" t="s">
        <v>1109</v>
      </c>
      <c r="P977" s="113">
        <v>275</v>
      </c>
      <c r="Q977" s="113">
        <v>70</v>
      </c>
      <c r="R977" s="113">
        <v>55</v>
      </c>
      <c r="S977" s="113">
        <v>55</v>
      </c>
      <c r="T977" s="120">
        <v>35</v>
      </c>
      <c r="U977" s="113">
        <v>35</v>
      </c>
      <c r="V977" s="113">
        <v>25</v>
      </c>
      <c r="AH977"/>
    </row>
    <row r="978" spans="1:34" ht="15" customHeight="1">
      <c r="A978" s="113">
        <v>820</v>
      </c>
      <c r="B978" s="113" t="s">
        <v>2216</v>
      </c>
      <c r="C978" s="120" t="s">
        <v>6180</v>
      </c>
      <c r="D978" s="124">
        <v>0.5</v>
      </c>
      <c r="E978" s="124">
        <v>0.5</v>
      </c>
      <c r="F978" s="113" t="s">
        <v>2332</v>
      </c>
      <c r="G978" s="113" t="s">
        <v>2703</v>
      </c>
      <c r="H978" s="113" t="s">
        <v>36</v>
      </c>
      <c r="I978" s="113" t="s">
        <v>1109</v>
      </c>
      <c r="J978" s="118" t="s">
        <v>2129</v>
      </c>
      <c r="K978" s="118" t="s">
        <v>2712</v>
      </c>
      <c r="L978" s="118" t="s">
        <v>6179</v>
      </c>
      <c r="M978" s="115" t="s">
        <v>6179</v>
      </c>
      <c r="N978" s="115" t="s">
        <v>6399</v>
      </c>
      <c r="O978" s="115" t="s">
        <v>2128</v>
      </c>
      <c r="P978" s="113">
        <v>460</v>
      </c>
      <c r="Q978" s="113">
        <v>120</v>
      </c>
      <c r="R978" s="113">
        <v>95</v>
      </c>
      <c r="S978" s="113">
        <v>95</v>
      </c>
      <c r="T978" s="120">
        <v>55</v>
      </c>
      <c r="U978" s="113">
        <v>75</v>
      </c>
      <c r="V978" s="113">
        <v>20</v>
      </c>
    </row>
    <row r="979" spans="1:34" ht="15" customHeight="1">
      <c r="A979" s="113">
        <v>821</v>
      </c>
      <c r="B979" s="113" t="s">
        <v>2217</v>
      </c>
      <c r="C979" s="120" t="s">
        <v>6181</v>
      </c>
      <c r="D979" s="124">
        <v>0.5</v>
      </c>
      <c r="E979" s="124">
        <v>0.5</v>
      </c>
      <c r="F979" s="113" t="s">
        <v>22</v>
      </c>
      <c r="G979" s="113" t="s">
        <v>2703</v>
      </c>
      <c r="H979" s="113" t="s">
        <v>22</v>
      </c>
      <c r="I979" s="113" t="s">
        <v>1109</v>
      </c>
      <c r="J979" s="118" t="s">
        <v>2129</v>
      </c>
      <c r="K979" s="118" t="s">
        <v>2712</v>
      </c>
      <c r="L979" s="118" t="s">
        <v>6181</v>
      </c>
      <c r="M979" s="115" t="s">
        <v>1109</v>
      </c>
      <c r="N979" s="115" t="s">
        <v>2129</v>
      </c>
      <c r="O979" s="115" t="s">
        <v>1109</v>
      </c>
      <c r="P979" s="113">
        <v>245</v>
      </c>
      <c r="Q979" s="113">
        <v>38</v>
      </c>
      <c r="R979" s="113">
        <v>47</v>
      </c>
      <c r="S979" s="113">
        <v>35</v>
      </c>
      <c r="T979" s="120">
        <v>33</v>
      </c>
      <c r="U979" s="113">
        <v>35</v>
      </c>
      <c r="V979" s="113">
        <v>57</v>
      </c>
      <c r="AH979"/>
    </row>
    <row r="980" spans="1:34" ht="15" customHeight="1">
      <c r="A980" s="113">
        <v>822</v>
      </c>
      <c r="B980" s="113" t="s">
        <v>2218</v>
      </c>
      <c r="C980" s="120" t="s">
        <v>6182</v>
      </c>
      <c r="D980" s="124">
        <v>0.5</v>
      </c>
      <c r="E980" s="124">
        <v>0.5</v>
      </c>
      <c r="F980" s="113" t="s">
        <v>22</v>
      </c>
      <c r="G980" s="113" t="s">
        <v>2703</v>
      </c>
      <c r="H980" s="113" t="s">
        <v>22</v>
      </c>
      <c r="I980" s="113" t="s">
        <v>1109</v>
      </c>
      <c r="J980" s="118" t="s">
        <v>2129</v>
      </c>
      <c r="K980" s="118" t="s">
        <v>2712</v>
      </c>
      <c r="L980" s="118" t="s">
        <v>6181</v>
      </c>
      <c r="M980" s="115" t="s">
        <v>6181</v>
      </c>
      <c r="N980" s="115" t="s">
        <v>6398</v>
      </c>
      <c r="O980" s="115" t="s">
        <v>2128</v>
      </c>
      <c r="P980" s="113">
        <v>365</v>
      </c>
      <c r="Q980" s="113">
        <v>68</v>
      </c>
      <c r="R980" s="113">
        <v>67</v>
      </c>
      <c r="S980" s="113">
        <v>55</v>
      </c>
      <c r="T980" s="120">
        <v>43</v>
      </c>
      <c r="U980" s="113">
        <v>55</v>
      </c>
      <c r="V980" s="113">
        <v>77</v>
      </c>
    </row>
    <row r="981" spans="1:34" ht="15" customHeight="1">
      <c r="A981" s="113">
        <v>823</v>
      </c>
      <c r="B981" s="113" t="s">
        <v>2219</v>
      </c>
      <c r="C981" s="120" t="s">
        <v>6183</v>
      </c>
      <c r="D981" s="124">
        <v>0.5</v>
      </c>
      <c r="E981" s="124">
        <v>0.5</v>
      </c>
      <c r="F981" s="113" t="s">
        <v>22</v>
      </c>
      <c r="G981" s="113" t="s">
        <v>2703</v>
      </c>
      <c r="H981" s="113" t="s">
        <v>22</v>
      </c>
      <c r="I981" s="113" t="s">
        <v>106</v>
      </c>
      <c r="J981" s="118" t="s">
        <v>2129</v>
      </c>
      <c r="K981" s="118" t="s">
        <v>2712</v>
      </c>
      <c r="L981" s="118" t="s">
        <v>6181</v>
      </c>
      <c r="M981" s="115" t="s">
        <v>6182</v>
      </c>
      <c r="N981" s="115" t="s">
        <v>6399</v>
      </c>
      <c r="O981" s="115" t="s">
        <v>2128</v>
      </c>
      <c r="P981" s="113">
        <v>495</v>
      </c>
      <c r="Q981" s="113">
        <v>98</v>
      </c>
      <c r="R981" s="113">
        <v>87</v>
      </c>
      <c r="S981" s="113">
        <v>105</v>
      </c>
      <c r="T981" s="120">
        <v>53</v>
      </c>
      <c r="U981" s="113">
        <v>85</v>
      </c>
      <c r="V981" s="113">
        <v>67</v>
      </c>
    </row>
    <row r="982" spans="1:34" ht="15" customHeight="1">
      <c r="A982" s="113">
        <v>824</v>
      </c>
      <c r="B982" s="113" t="s">
        <v>2220</v>
      </c>
      <c r="C982" s="120" t="s">
        <v>6184</v>
      </c>
      <c r="D982" s="124">
        <v>0.5</v>
      </c>
      <c r="E982" s="124">
        <v>0.5</v>
      </c>
      <c r="F982" s="113" t="s">
        <v>29</v>
      </c>
      <c r="G982" s="113" t="s">
        <v>2703</v>
      </c>
      <c r="H982" s="113" t="s">
        <v>29</v>
      </c>
      <c r="I982" s="113" t="s">
        <v>1109</v>
      </c>
      <c r="J982" s="118" t="s">
        <v>2129</v>
      </c>
      <c r="K982" s="118" t="s">
        <v>2712</v>
      </c>
      <c r="L982" s="118" t="s">
        <v>6184</v>
      </c>
      <c r="M982" s="115" t="s">
        <v>1109</v>
      </c>
      <c r="N982" s="115" t="s">
        <v>2129</v>
      </c>
      <c r="O982" s="115" t="s">
        <v>1109</v>
      </c>
      <c r="P982" s="113">
        <v>180</v>
      </c>
      <c r="Q982" s="113">
        <v>25</v>
      </c>
      <c r="R982" s="113">
        <v>20</v>
      </c>
      <c r="S982" s="113">
        <v>20</v>
      </c>
      <c r="T982" s="120">
        <v>25</v>
      </c>
      <c r="U982" s="113">
        <v>45</v>
      </c>
      <c r="V982" s="113">
        <v>45</v>
      </c>
      <c r="AH982"/>
    </row>
    <row r="983" spans="1:34" ht="15" customHeight="1">
      <c r="A983" s="113">
        <v>825</v>
      </c>
      <c r="B983" s="113" t="s">
        <v>2221</v>
      </c>
      <c r="C983" s="120" t="s">
        <v>6185</v>
      </c>
      <c r="D983" s="124">
        <v>0.5</v>
      </c>
      <c r="E983" s="124">
        <v>0.5</v>
      </c>
      <c r="F983" s="113" t="s">
        <v>29</v>
      </c>
      <c r="G983" s="113" t="s">
        <v>2703</v>
      </c>
      <c r="H983" s="113" t="s">
        <v>29</v>
      </c>
      <c r="I983" s="113" t="s">
        <v>86</v>
      </c>
      <c r="J983" s="118" t="s">
        <v>2129</v>
      </c>
      <c r="K983" s="118" t="s">
        <v>2712</v>
      </c>
      <c r="L983" s="118" t="s">
        <v>6184</v>
      </c>
      <c r="M983" s="115" t="s">
        <v>6184</v>
      </c>
      <c r="N983" s="115" t="s">
        <v>6398</v>
      </c>
      <c r="O983" s="115" t="s">
        <v>2128</v>
      </c>
      <c r="P983" s="113">
        <v>335</v>
      </c>
      <c r="Q983" s="113">
        <v>50</v>
      </c>
      <c r="R983" s="113">
        <v>35</v>
      </c>
      <c r="S983" s="113">
        <v>80</v>
      </c>
      <c r="T983" s="120">
        <v>50</v>
      </c>
      <c r="U983" s="113">
        <v>90</v>
      </c>
      <c r="V983" s="113">
        <v>30</v>
      </c>
    </row>
    <row r="984" spans="1:34" ht="15" customHeight="1">
      <c r="A984" s="113">
        <v>826</v>
      </c>
      <c r="B984" s="113" t="s">
        <v>2222</v>
      </c>
      <c r="C984" s="120" t="s">
        <v>6186</v>
      </c>
      <c r="D984" s="124">
        <v>0.5</v>
      </c>
      <c r="E984" s="124">
        <v>0.5</v>
      </c>
      <c r="F984" s="113" t="s">
        <v>29</v>
      </c>
      <c r="G984" s="113" t="s">
        <v>2703</v>
      </c>
      <c r="H984" s="113" t="s">
        <v>29</v>
      </c>
      <c r="I984" s="113" t="s">
        <v>86</v>
      </c>
      <c r="J984" s="118" t="s">
        <v>2129</v>
      </c>
      <c r="K984" s="118" t="s">
        <v>2712</v>
      </c>
      <c r="L984" s="118" t="s">
        <v>6184</v>
      </c>
      <c r="M984" s="115" t="s">
        <v>6185</v>
      </c>
      <c r="N984" s="115" t="s">
        <v>6399</v>
      </c>
      <c r="O984" s="115" t="s">
        <v>2128</v>
      </c>
      <c r="P984" s="113">
        <v>505</v>
      </c>
      <c r="Q984" s="113">
        <v>60</v>
      </c>
      <c r="R984" s="113">
        <v>45</v>
      </c>
      <c r="S984" s="113">
        <v>110</v>
      </c>
      <c r="T984" s="120">
        <v>80</v>
      </c>
      <c r="U984" s="113">
        <v>120</v>
      </c>
      <c r="V984" s="113">
        <v>90</v>
      </c>
    </row>
    <row r="985" spans="1:34" ht="15" customHeight="1">
      <c r="A985" s="113">
        <v>827</v>
      </c>
      <c r="B985" s="113" t="s">
        <v>2223</v>
      </c>
      <c r="C985" s="120" t="s">
        <v>6187</v>
      </c>
      <c r="D985" s="124">
        <v>0.5</v>
      </c>
      <c r="E985" s="124">
        <v>0.5</v>
      </c>
      <c r="F985" s="113" t="s">
        <v>2332</v>
      </c>
      <c r="G985" s="113" t="s">
        <v>2703</v>
      </c>
      <c r="H985" s="113" t="s">
        <v>158</v>
      </c>
      <c r="I985" s="113" t="s">
        <v>1109</v>
      </c>
      <c r="J985" s="118" t="s">
        <v>2129</v>
      </c>
      <c r="K985" s="118" t="s">
        <v>2712</v>
      </c>
      <c r="L985" s="118" t="s">
        <v>6187</v>
      </c>
      <c r="M985" s="115" t="s">
        <v>1109</v>
      </c>
      <c r="N985" s="115" t="s">
        <v>2129</v>
      </c>
      <c r="O985" s="115" t="s">
        <v>1109</v>
      </c>
      <c r="P985" s="113">
        <v>245</v>
      </c>
      <c r="Q985" s="113">
        <v>40</v>
      </c>
      <c r="R985" s="113">
        <v>28</v>
      </c>
      <c r="S985" s="113">
        <v>28</v>
      </c>
      <c r="T985" s="120">
        <v>47</v>
      </c>
      <c r="U985" s="113">
        <v>52</v>
      </c>
      <c r="V985" s="113">
        <v>50</v>
      </c>
      <c r="AH985"/>
    </row>
    <row r="986" spans="1:34" ht="15" customHeight="1">
      <c r="A986" s="113">
        <v>828</v>
      </c>
      <c r="B986" s="113" t="s">
        <v>2224</v>
      </c>
      <c r="C986" s="120" t="s">
        <v>6188</v>
      </c>
      <c r="D986" s="124">
        <v>0.5</v>
      </c>
      <c r="E986" s="124">
        <v>0.5</v>
      </c>
      <c r="F986" s="113" t="s">
        <v>2332</v>
      </c>
      <c r="G986" s="113" t="s">
        <v>2703</v>
      </c>
      <c r="H986" s="113" t="s">
        <v>158</v>
      </c>
      <c r="I986" s="113" t="s">
        <v>1109</v>
      </c>
      <c r="J986" s="118" t="s">
        <v>2129</v>
      </c>
      <c r="K986" s="118" t="s">
        <v>2712</v>
      </c>
      <c r="L986" s="118" t="s">
        <v>6187</v>
      </c>
      <c r="M986" s="115" t="s">
        <v>6187</v>
      </c>
      <c r="N986" s="115" t="s">
        <v>6399</v>
      </c>
      <c r="O986" s="115" t="s">
        <v>2128</v>
      </c>
      <c r="P986" s="113">
        <v>455</v>
      </c>
      <c r="Q986" s="113">
        <v>70</v>
      </c>
      <c r="R986" s="113">
        <v>58</v>
      </c>
      <c r="S986" s="113">
        <v>58</v>
      </c>
      <c r="T986" s="120">
        <v>87</v>
      </c>
      <c r="U986" s="113">
        <v>92</v>
      </c>
      <c r="V986" s="113">
        <v>90</v>
      </c>
    </row>
    <row r="987" spans="1:34" ht="15" customHeight="1">
      <c r="A987" s="113">
        <v>829</v>
      </c>
      <c r="B987" s="113" t="s">
        <v>2225</v>
      </c>
      <c r="C987" s="120" t="s">
        <v>6189</v>
      </c>
      <c r="D987" s="124">
        <v>0.5</v>
      </c>
      <c r="E987" s="124">
        <v>0.5</v>
      </c>
      <c r="F987" s="113" t="s">
        <v>14</v>
      </c>
      <c r="G987" s="113" t="s">
        <v>2703</v>
      </c>
      <c r="H987" s="113" t="s">
        <v>14</v>
      </c>
      <c r="I987" s="113" t="s">
        <v>1109</v>
      </c>
      <c r="J987" s="118" t="s">
        <v>2129</v>
      </c>
      <c r="K987" s="118" t="s">
        <v>2712</v>
      </c>
      <c r="L987" s="118" t="s">
        <v>6189</v>
      </c>
      <c r="M987" s="115" t="s">
        <v>1109</v>
      </c>
      <c r="N987" s="115" t="s">
        <v>2129</v>
      </c>
      <c r="O987" s="115" t="s">
        <v>1109</v>
      </c>
      <c r="P987" s="113">
        <v>250</v>
      </c>
      <c r="Q987" s="113">
        <v>40</v>
      </c>
      <c r="R987" s="113">
        <v>40</v>
      </c>
      <c r="S987" s="113">
        <v>60</v>
      </c>
      <c r="T987" s="120">
        <v>40</v>
      </c>
      <c r="U987" s="113">
        <v>60</v>
      </c>
      <c r="V987" s="113">
        <v>10</v>
      </c>
      <c r="AH987"/>
    </row>
    <row r="988" spans="1:34" ht="15" customHeight="1">
      <c r="A988" s="113">
        <v>830</v>
      </c>
      <c r="B988" s="113" t="s">
        <v>2226</v>
      </c>
      <c r="C988" s="120" t="s">
        <v>6190</v>
      </c>
      <c r="D988" s="124">
        <v>0.5</v>
      </c>
      <c r="E988" s="124">
        <v>0.5</v>
      </c>
      <c r="F988" s="113" t="s">
        <v>14</v>
      </c>
      <c r="G988" s="113" t="s">
        <v>2703</v>
      </c>
      <c r="H988" s="113" t="s">
        <v>14</v>
      </c>
      <c r="I988" s="113" t="s">
        <v>1109</v>
      </c>
      <c r="J988" s="118" t="s">
        <v>2129</v>
      </c>
      <c r="K988" s="118" t="s">
        <v>2712</v>
      </c>
      <c r="L988" s="118" t="s">
        <v>6189</v>
      </c>
      <c r="M988" s="115" t="s">
        <v>6189</v>
      </c>
      <c r="N988" s="115" t="s">
        <v>6399</v>
      </c>
      <c r="O988" s="115" t="s">
        <v>2128</v>
      </c>
      <c r="P988" s="113">
        <v>460</v>
      </c>
      <c r="Q988" s="113">
        <v>60</v>
      </c>
      <c r="R988" s="113">
        <v>50</v>
      </c>
      <c r="S988" s="113">
        <v>90</v>
      </c>
      <c r="T988" s="120">
        <v>80</v>
      </c>
      <c r="U988" s="113">
        <v>120</v>
      </c>
      <c r="V988" s="113">
        <v>60</v>
      </c>
    </row>
    <row r="989" spans="1:34" ht="15" customHeight="1">
      <c r="A989" s="113">
        <v>831</v>
      </c>
      <c r="B989" s="113" t="s">
        <v>2227</v>
      </c>
      <c r="C989" s="120" t="s">
        <v>6191</v>
      </c>
      <c r="D989" s="124">
        <v>0.5</v>
      </c>
      <c r="E989" s="124">
        <v>0.5</v>
      </c>
      <c r="F989" s="113" t="s">
        <v>2332</v>
      </c>
      <c r="G989" s="113" t="s">
        <v>2703</v>
      </c>
      <c r="H989" s="113" t="s">
        <v>36</v>
      </c>
      <c r="I989" s="113" t="s">
        <v>1109</v>
      </c>
      <c r="J989" s="118" t="s">
        <v>2129</v>
      </c>
      <c r="K989" s="118" t="s">
        <v>2712</v>
      </c>
      <c r="L989" s="118" t="s">
        <v>6191</v>
      </c>
      <c r="M989" s="115" t="s">
        <v>1109</v>
      </c>
      <c r="N989" s="115" t="s">
        <v>2129</v>
      </c>
      <c r="O989" s="115" t="s">
        <v>1109</v>
      </c>
      <c r="P989" s="113">
        <v>270</v>
      </c>
      <c r="Q989" s="113">
        <v>42</v>
      </c>
      <c r="R989" s="113">
        <v>40</v>
      </c>
      <c r="S989" s="113">
        <v>55</v>
      </c>
      <c r="T989" s="120">
        <v>40</v>
      </c>
      <c r="U989" s="113">
        <v>45</v>
      </c>
      <c r="V989" s="113">
        <v>48</v>
      </c>
      <c r="AH989"/>
    </row>
    <row r="990" spans="1:34" ht="15" customHeight="1">
      <c r="A990" s="113">
        <v>832</v>
      </c>
      <c r="B990" s="113" t="s">
        <v>2228</v>
      </c>
      <c r="C990" s="120" t="s">
        <v>6192</v>
      </c>
      <c r="D990" s="124">
        <v>0.5</v>
      </c>
      <c r="E990" s="124">
        <v>0.5</v>
      </c>
      <c r="F990" s="113" t="s">
        <v>2332</v>
      </c>
      <c r="G990" s="113" t="s">
        <v>2703</v>
      </c>
      <c r="H990" s="113" t="s">
        <v>36</v>
      </c>
      <c r="I990" s="113" t="s">
        <v>1109</v>
      </c>
      <c r="J990" s="118" t="s">
        <v>2129</v>
      </c>
      <c r="K990" s="118" t="s">
        <v>2712</v>
      </c>
      <c r="L990" s="118" t="s">
        <v>6191</v>
      </c>
      <c r="M990" s="115" t="s">
        <v>6191</v>
      </c>
      <c r="N990" s="115" t="s">
        <v>6399</v>
      </c>
      <c r="O990" s="115" t="s">
        <v>2128</v>
      </c>
      <c r="P990" s="113">
        <v>490</v>
      </c>
      <c r="Q990" s="113">
        <v>72</v>
      </c>
      <c r="R990" s="113">
        <v>80</v>
      </c>
      <c r="S990" s="113">
        <v>100</v>
      </c>
      <c r="T990" s="120">
        <v>60</v>
      </c>
      <c r="U990" s="113">
        <v>90</v>
      </c>
      <c r="V990" s="113">
        <v>88</v>
      </c>
    </row>
    <row r="991" spans="1:34" ht="15" customHeight="1">
      <c r="A991" s="113">
        <v>833</v>
      </c>
      <c r="B991" s="113" t="s">
        <v>2229</v>
      </c>
      <c r="C991" s="120" t="s">
        <v>6193</v>
      </c>
      <c r="D991" s="124">
        <v>0.5</v>
      </c>
      <c r="E991" s="124">
        <v>0.5</v>
      </c>
      <c r="F991" s="113" t="s">
        <v>2331</v>
      </c>
      <c r="G991" s="113" t="s">
        <v>2703</v>
      </c>
      <c r="H991" s="113" t="s">
        <v>25</v>
      </c>
      <c r="I991" s="113" t="s">
        <v>1109</v>
      </c>
      <c r="J991" s="118" t="s">
        <v>2129</v>
      </c>
      <c r="K991" s="118" t="s">
        <v>4658</v>
      </c>
      <c r="L991" s="118" t="s">
        <v>6193</v>
      </c>
      <c r="M991" s="115" t="s">
        <v>1109</v>
      </c>
      <c r="N991" s="115" t="s">
        <v>2129</v>
      </c>
      <c r="O991" s="115" t="s">
        <v>1109</v>
      </c>
      <c r="P991" s="113">
        <v>284</v>
      </c>
      <c r="Q991" s="113">
        <v>50</v>
      </c>
      <c r="R991" s="113">
        <v>64</v>
      </c>
      <c r="S991" s="113">
        <v>50</v>
      </c>
      <c r="T991" s="120">
        <v>38</v>
      </c>
      <c r="U991" s="113">
        <v>38</v>
      </c>
      <c r="V991" s="113">
        <v>44</v>
      </c>
      <c r="AH991"/>
    </row>
    <row r="992" spans="1:34" ht="15" customHeight="1">
      <c r="A992" s="113">
        <v>834</v>
      </c>
      <c r="B992" s="113" t="s">
        <v>2230</v>
      </c>
      <c r="C992" s="120" t="s">
        <v>6194</v>
      </c>
      <c r="D992" s="124">
        <v>0.5</v>
      </c>
      <c r="E992" s="124">
        <v>0.5</v>
      </c>
      <c r="F992" s="113" t="s">
        <v>2331</v>
      </c>
      <c r="G992" s="113" t="s">
        <v>2703</v>
      </c>
      <c r="H992" s="113" t="s">
        <v>25</v>
      </c>
      <c r="I992" s="113" t="s">
        <v>98</v>
      </c>
      <c r="J992" s="118" t="s">
        <v>2129</v>
      </c>
      <c r="K992" s="118" t="s">
        <v>4658</v>
      </c>
      <c r="L992" s="118" t="s">
        <v>6193</v>
      </c>
      <c r="M992" s="115" t="s">
        <v>6193</v>
      </c>
      <c r="N992" s="115" t="s">
        <v>6399</v>
      </c>
      <c r="O992" s="115" t="s">
        <v>2128</v>
      </c>
      <c r="P992" s="113">
        <v>485</v>
      </c>
      <c r="Q992" s="113">
        <v>90</v>
      </c>
      <c r="R992" s="113">
        <v>115</v>
      </c>
      <c r="S992" s="113">
        <v>90</v>
      </c>
      <c r="T992" s="120">
        <v>48</v>
      </c>
      <c r="U992" s="113">
        <v>68</v>
      </c>
      <c r="V992" s="113">
        <v>74</v>
      </c>
    </row>
    <row r="993" spans="1:34" ht="15" customHeight="1">
      <c r="A993" s="113">
        <v>835</v>
      </c>
      <c r="B993" s="113" t="s">
        <v>2231</v>
      </c>
      <c r="C993" s="120" t="s">
        <v>6195</v>
      </c>
      <c r="D993" s="124">
        <v>0.5</v>
      </c>
      <c r="E993" s="124">
        <v>0.5</v>
      </c>
      <c r="F993" s="113" t="s">
        <v>2332</v>
      </c>
      <c r="G993" s="113" t="s">
        <v>2703</v>
      </c>
      <c r="H993" s="113" t="s">
        <v>46</v>
      </c>
      <c r="I993" s="113" t="s">
        <v>1109</v>
      </c>
      <c r="J993" s="118" t="s">
        <v>2129</v>
      </c>
      <c r="K993" s="118" t="s">
        <v>2712</v>
      </c>
      <c r="L993" s="118" t="s">
        <v>6195</v>
      </c>
      <c r="M993" s="115" t="s">
        <v>1109</v>
      </c>
      <c r="N993" s="115" t="s">
        <v>2129</v>
      </c>
      <c r="O993" s="115" t="s">
        <v>1109</v>
      </c>
      <c r="P993" s="113">
        <v>270</v>
      </c>
      <c r="Q993" s="113">
        <v>59</v>
      </c>
      <c r="R993" s="113">
        <v>45</v>
      </c>
      <c r="S993" s="113">
        <v>50</v>
      </c>
      <c r="T993" s="120">
        <v>40</v>
      </c>
      <c r="U993" s="113">
        <v>50</v>
      </c>
      <c r="V993" s="113">
        <v>26</v>
      </c>
      <c r="AH993"/>
    </row>
    <row r="994" spans="1:34" ht="15" customHeight="1">
      <c r="A994" s="113">
        <v>836</v>
      </c>
      <c r="B994" s="113" t="s">
        <v>2232</v>
      </c>
      <c r="C994" s="120" t="s">
        <v>6196</v>
      </c>
      <c r="D994" s="124">
        <v>0.5</v>
      </c>
      <c r="E994" s="124">
        <v>0.5</v>
      </c>
      <c r="F994" s="113" t="s">
        <v>2332</v>
      </c>
      <c r="G994" s="113" t="s">
        <v>2703</v>
      </c>
      <c r="H994" s="113" t="s">
        <v>46</v>
      </c>
      <c r="I994" s="113" t="s">
        <v>1109</v>
      </c>
      <c r="J994" s="118" t="s">
        <v>2129</v>
      </c>
      <c r="K994" s="118" t="s">
        <v>2712</v>
      </c>
      <c r="L994" s="118" t="s">
        <v>6195</v>
      </c>
      <c r="M994" s="115" t="s">
        <v>6195</v>
      </c>
      <c r="N994" s="115" t="s">
        <v>6399</v>
      </c>
      <c r="O994" s="115" t="s">
        <v>2128</v>
      </c>
      <c r="P994" s="113">
        <v>490</v>
      </c>
      <c r="Q994" s="113">
        <v>69</v>
      </c>
      <c r="R994" s="113">
        <v>90</v>
      </c>
      <c r="S994" s="113">
        <v>60</v>
      </c>
      <c r="T994" s="120">
        <v>90</v>
      </c>
      <c r="U994" s="113">
        <v>60</v>
      </c>
      <c r="V994" s="113">
        <v>121</v>
      </c>
    </row>
    <row r="995" spans="1:34" ht="15" customHeight="1">
      <c r="A995" s="113">
        <v>837</v>
      </c>
      <c r="B995" s="113" t="s">
        <v>2233</v>
      </c>
      <c r="C995" s="120" t="s">
        <v>6197</v>
      </c>
      <c r="D995" s="124">
        <v>0.5</v>
      </c>
      <c r="E995" s="124">
        <v>0.5</v>
      </c>
      <c r="F995" s="113" t="s">
        <v>2112</v>
      </c>
      <c r="G995" s="113" t="s">
        <v>2703</v>
      </c>
      <c r="H995" s="113" t="s">
        <v>98</v>
      </c>
      <c r="I995" s="113" t="s">
        <v>1109</v>
      </c>
      <c r="J995" s="118" t="s">
        <v>2129</v>
      </c>
      <c r="K995" s="118" t="s">
        <v>2712</v>
      </c>
      <c r="L995" s="118" t="s">
        <v>6197</v>
      </c>
      <c r="M995" s="115" t="s">
        <v>1109</v>
      </c>
      <c r="N995" s="115" t="s">
        <v>2129</v>
      </c>
      <c r="O995" s="115" t="s">
        <v>1109</v>
      </c>
      <c r="P995" s="113">
        <v>240</v>
      </c>
      <c r="Q995" s="113">
        <v>30</v>
      </c>
      <c r="R995" s="113">
        <v>40</v>
      </c>
      <c r="S995" s="113">
        <v>50</v>
      </c>
      <c r="T995" s="120">
        <v>40</v>
      </c>
      <c r="U995" s="113">
        <v>50</v>
      </c>
      <c r="V995" s="113">
        <v>30</v>
      </c>
      <c r="AH995"/>
    </row>
    <row r="996" spans="1:34" ht="15" customHeight="1">
      <c r="A996" s="113">
        <v>838</v>
      </c>
      <c r="B996" s="113" t="s">
        <v>2234</v>
      </c>
      <c r="C996" s="120" t="s">
        <v>6198</v>
      </c>
      <c r="D996" s="124">
        <v>0.5</v>
      </c>
      <c r="E996" s="124">
        <v>0.5</v>
      </c>
      <c r="F996" s="113" t="s">
        <v>2112</v>
      </c>
      <c r="G996" s="113" t="s">
        <v>2703</v>
      </c>
      <c r="H996" s="113" t="s">
        <v>98</v>
      </c>
      <c r="I996" s="113" t="s">
        <v>19</v>
      </c>
      <c r="J996" s="118" t="s">
        <v>2129</v>
      </c>
      <c r="K996" s="118" t="s">
        <v>2712</v>
      </c>
      <c r="L996" s="118" t="s">
        <v>6197</v>
      </c>
      <c r="M996" s="115" t="s">
        <v>6197</v>
      </c>
      <c r="N996" s="115" t="s">
        <v>6398</v>
      </c>
      <c r="O996" s="115" t="s">
        <v>2128</v>
      </c>
      <c r="P996" s="113">
        <v>410</v>
      </c>
      <c r="Q996" s="113">
        <v>80</v>
      </c>
      <c r="R996" s="113">
        <v>60</v>
      </c>
      <c r="S996" s="113">
        <v>90</v>
      </c>
      <c r="T996" s="120">
        <v>60</v>
      </c>
      <c r="U996" s="113">
        <v>70</v>
      </c>
      <c r="V996" s="113">
        <v>50</v>
      </c>
    </row>
    <row r="997" spans="1:34" ht="15" customHeight="1">
      <c r="A997" s="113">
        <v>839</v>
      </c>
      <c r="B997" s="113" t="s">
        <v>2235</v>
      </c>
      <c r="C997" s="120" t="s">
        <v>6199</v>
      </c>
      <c r="D997" s="124">
        <v>0.5</v>
      </c>
      <c r="E997" s="124">
        <v>0.5</v>
      </c>
      <c r="F997" s="113" t="s">
        <v>2112</v>
      </c>
      <c r="G997" s="113" t="s">
        <v>2703</v>
      </c>
      <c r="H997" s="113" t="s">
        <v>98</v>
      </c>
      <c r="I997" s="113" t="s">
        <v>19</v>
      </c>
      <c r="J997" s="118" t="s">
        <v>2129</v>
      </c>
      <c r="K997" s="118" t="s">
        <v>2712</v>
      </c>
      <c r="L997" s="118" t="s">
        <v>6197</v>
      </c>
      <c r="M997" s="115" t="s">
        <v>6198</v>
      </c>
      <c r="N997" s="115" t="s">
        <v>6399</v>
      </c>
      <c r="O997" s="115" t="s">
        <v>2128</v>
      </c>
      <c r="P997" s="113">
        <v>510</v>
      </c>
      <c r="Q997" s="113">
        <v>110</v>
      </c>
      <c r="R997" s="113">
        <v>80</v>
      </c>
      <c r="S997" s="113">
        <v>120</v>
      </c>
      <c r="T997" s="120">
        <v>80</v>
      </c>
      <c r="U997" s="113">
        <v>90</v>
      </c>
      <c r="V997" s="113">
        <v>30</v>
      </c>
    </row>
    <row r="998" spans="1:34" ht="15" customHeight="1">
      <c r="A998" s="113">
        <v>840</v>
      </c>
      <c r="B998" s="113" t="s">
        <v>2236</v>
      </c>
      <c r="C998" s="120" t="s">
        <v>6200</v>
      </c>
      <c r="D998" s="124">
        <v>0.5</v>
      </c>
      <c r="E998" s="124">
        <v>0.5</v>
      </c>
      <c r="F998" s="113" t="s">
        <v>23</v>
      </c>
      <c r="G998" s="113" t="s">
        <v>2703</v>
      </c>
      <c r="H998" s="113" t="s">
        <v>14</v>
      </c>
      <c r="I998" s="113" t="s">
        <v>23</v>
      </c>
      <c r="J998" s="118" t="s">
        <v>2129</v>
      </c>
      <c r="K998" s="118" t="s">
        <v>4658</v>
      </c>
      <c r="L998" s="118" t="s">
        <v>6200</v>
      </c>
      <c r="M998" s="115" t="s">
        <v>1109</v>
      </c>
      <c r="N998" s="115" t="s">
        <v>2129</v>
      </c>
      <c r="O998" s="115" t="s">
        <v>1109</v>
      </c>
      <c r="P998" s="113">
        <v>260</v>
      </c>
      <c r="Q998" s="113">
        <v>40</v>
      </c>
      <c r="R998" s="113">
        <v>40</v>
      </c>
      <c r="S998" s="113">
        <v>80</v>
      </c>
      <c r="T998" s="120">
        <v>40</v>
      </c>
      <c r="U998" s="113">
        <v>40</v>
      </c>
      <c r="V998" s="113">
        <v>20</v>
      </c>
      <c r="AH998"/>
    </row>
    <row r="999" spans="1:34" ht="15" customHeight="1">
      <c r="A999" s="113">
        <v>841</v>
      </c>
      <c r="B999" s="113" t="s">
        <v>2237</v>
      </c>
      <c r="C999" s="120" t="s">
        <v>6201</v>
      </c>
      <c r="D999" s="124">
        <v>0.5</v>
      </c>
      <c r="E999" s="124">
        <v>0.5</v>
      </c>
      <c r="F999" s="113" t="s">
        <v>23</v>
      </c>
      <c r="G999" s="113" t="s">
        <v>2703</v>
      </c>
      <c r="H999" s="113" t="s">
        <v>14</v>
      </c>
      <c r="I999" s="113" t="s">
        <v>23</v>
      </c>
      <c r="J999" s="118" t="s">
        <v>2129</v>
      </c>
      <c r="K999" s="118" t="s">
        <v>4658</v>
      </c>
      <c r="L999" s="118" t="s">
        <v>6200</v>
      </c>
      <c r="M999" s="115" t="s">
        <v>6200</v>
      </c>
      <c r="N999" s="115" t="s">
        <v>6399</v>
      </c>
      <c r="O999" s="115" t="s">
        <v>2130</v>
      </c>
      <c r="P999" s="113">
        <v>485</v>
      </c>
      <c r="Q999" s="113">
        <v>70</v>
      </c>
      <c r="R999" s="113">
        <v>110</v>
      </c>
      <c r="S999" s="113">
        <v>80</v>
      </c>
      <c r="T999" s="120">
        <v>95</v>
      </c>
      <c r="U999" s="113">
        <v>60</v>
      </c>
      <c r="V999" s="113">
        <v>70</v>
      </c>
    </row>
    <row r="1000" spans="1:34" ht="15" customHeight="1">
      <c r="A1000" s="113">
        <v>842</v>
      </c>
      <c r="B1000" s="113" t="s">
        <v>2238</v>
      </c>
      <c r="C1000" s="120" t="s">
        <v>6202</v>
      </c>
      <c r="D1000" s="124">
        <v>0.5</v>
      </c>
      <c r="E1000" s="124">
        <v>0.5</v>
      </c>
      <c r="F1000" s="113" t="s">
        <v>23</v>
      </c>
      <c r="G1000" s="113" t="s">
        <v>2703</v>
      </c>
      <c r="H1000" s="113" t="s">
        <v>14</v>
      </c>
      <c r="I1000" s="113" t="s">
        <v>23</v>
      </c>
      <c r="J1000" s="118" t="s">
        <v>2129</v>
      </c>
      <c r="K1000" s="118" t="s">
        <v>4658</v>
      </c>
      <c r="L1000" s="118" t="s">
        <v>6200</v>
      </c>
      <c r="M1000" s="115" t="s">
        <v>6200</v>
      </c>
      <c r="N1000" s="115" t="s">
        <v>6399</v>
      </c>
      <c r="O1000" s="115" t="s">
        <v>2130</v>
      </c>
      <c r="P1000" s="113">
        <v>485</v>
      </c>
      <c r="Q1000" s="113">
        <v>110</v>
      </c>
      <c r="R1000" s="113">
        <v>85</v>
      </c>
      <c r="S1000" s="113">
        <v>80</v>
      </c>
      <c r="T1000" s="120">
        <v>100</v>
      </c>
      <c r="U1000" s="113">
        <v>80</v>
      </c>
      <c r="V1000" s="113">
        <v>30</v>
      </c>
    </row>
    <row r="1001" spans="1:34" ht="15" customHeight="1">
      <c r="A1001" s="113">
        <v>843</v>
      </c>
      <c r="B1001" s="113" t="s">
        <v>2239</v>
      </c>
      <c r="C1001" s="120" t="s">
        <v>6203</v>
      </c>
      <c r="D1001" s="124">
        <v>0.5</v>
      </c>
      <c r="E1001" s="124">
        <v>0.5</v>
      </c>
      <c r="F1001" s="113" t="s">
        <v>2332</v>
      </c>
      <c r="G1001" s="113" t="s">
        <v>2703</v>
      </c>
      <c r="H1001" s="113" t="s">
        <v>49</v>
      </c>
      <c r="I1001" s="113" t="s">
        <v>1109</v>
      </c>
      <c r="J1001" s="118" t="s">
        <v>2129</v>
      </c>
      <c r="K1001" s="118" t="s">
        <v>4658</v>
      </c>
      <c r="L1001" s="118" t="s">
        <v>6203</v>
      </c>
      <c r="M1001" s="115" t="s">
        <v>1109</v>
      </c>
      <c r="N1001" s="115" t="s">
        <v>2129</v>
      </c>
      <c r="O1001" s="115" t="s">
        <v>1109</v>
      </c>
      <c r="P1001" s="113">
        <v>315</v>
      </c>
      <c r="Q1001" s="113">
        <v>52</v>
      </c>
      <c r="R1001" s="113">
        <v>57</v>
      </c>
      <c r="S1001" s="113">
        <v>75</v>
      </c>
      <c r="T1001" s="120">
        <v>35</v>
      </c>
      <c r="U1001" s="113">
        <v>50</v>
      </c>
      <c r="V1001" s="113">
        <v>46</v>
      </c>
    </row>
    <row r="1002" spans="1:34" ht="15" customHeight="1">
      <c r="A1002" s="113">
        <v>844</v>
      </c>
      <c r="B1002" s="113" t="s">
        <v>2240</v>
      </c>
      <c r="C1002" s="120" t="s">
        <v>6204</v>
      </c>
      <c r="D1002" s="124">
        <v>0.5</v>
      </c>
      <c r="E1002" s="124">
        <v>0.5</v>
      </c>
      <c r="F1002" s="113" t="s">
        <v>2332</v>
      </c>
      <c r="G1002" s="113" t="s">
        <v>2703</v>
      </c>
      <c r="H1002" s="113" t="s">
        <v>49</v>
      </c>
      <c r="I1002" s="113" t="s">
        <v>1109</v>
      </c>
      <c r="J1002" s="118" t="s">
        <v>2129</v>
      </c>
      <c r="K1002" s="118" t="s">
        <v>4658</v>
      </c>
      <c r="L1002" s="118" t="s">
        <v>6203</v>
      </c>
      <c r="M1002" s="115" t="s">
        <v>6203</v>
      </c>
      <c r="N1002" s="115" t="s">
        <v>6399</v>
      </c>
      <c r="O1002" s="115" t="s">
        <v>2128</v>
      </c>
      <c r="P1002" s="113">
        <v>510</v>
      </c>
      <c r="Q1002" s="113">
        <v>72</v>
      </c>
      <c r="R1002" s="113">
        <v>107</v>
      </c>
      <c r="S1002" s="113">
        <v>125</v>
      </c>
      <c r="T1002" s="120">
        <v>65</v>
      </c>
      <c r="U1002" s="113">
        <v>70</v>
      </c>
      <c r="V1002" s="113">
        <v>71</v>
      </c>
    </row>
    <row r="1003" spans="1:34" ht="15" customHeight="1">
      <c r="A1003" s="113">
        <v>845</v>
      </c>
      <c r="B1003" s="113" t="s">
        <v>2241</v>
      </c>
      <c r="C1003" s="120" t="s">
        <v>6205</v>
      </c>
      <c r="D1003" s="124">
        <v>0.5</v>
      </c>
      <c r="E1003" s="124">
        <v>0.5</v>
      </c>
      <c r="F1003" s="113" t="s">
        <v>22</v>
      </c>
      <c r="G1003" s="113" t="s">
        <v>2703</v>
      </c>
      <c r="H1003" s="113" t="s">
        <v>22</v>
      </c>
      <c r="I1003" s="113" t="s">
        <v>25</v>
      </c>
      <c r="J1003" s="118" t="s">
        <v>2129</v>
      </c>
      <c r="K1003" s="118" t="s">
        <v>4657</v>
      </c>
      <c r="L1003" s="118" t="s">
        <v>6205</v>
      </c>
      <c r="M1003" s="115" t="s">
        <v>1109</v>
      </c>
      <c r="N1003" s="115" t="s">
        <v>6399</v>
      </c>
      <c r="O1003" s="115" t="s">
        <v>1109</v>
      </c>
      <c r="P1003" s="113">
        <v>475</v>
      </c>
      <c r="Q1003" s="113">
        <v>70</v>
      </c>
      <c r="R1003" s="113">
        <v>85</v>
      </c>
      <c r="S1003" s="113">
        <v>55</v>
      </c>
      <c r="T1003" s="120">
        <v>85</v>
      </c>
      <c r="U1003" s="113">
        <v>95</v>
      </c>
      <c r="V1003" s="113">
        <v>85</v>
      </c>
    </row>
    <row r="1004" spans="1:34" ht="15" customHeight="1">
      <c r="A1004" s="113">
        <v>846</v>
      </c>
      <c r="B1004" s="113" t="s">
        <v>2242</v>
      </c>
      <c r="C1004" s="120" t="s">
        <v>6206</v>
      </c>
      <c r="D1004" s="124">
        <v>0.5</v>
      </c>
      <c r="E1004" s="124">
        <v>0.5</v>
      </c>
      <c r="F1004" s="113" t="s">
        <v>2335</v>
      </c>
      <c r="G1004" s="113" t="s">
        <v>2703</v>
      </c>
      <c r="H1004" s="113" t="s">
        <v>25</v>
      </c>
      <c r="I1004" s="113" t="s">
        <v>1109</v>
      </c>
      <c r="J1004" s="118" t="s">
        <v>2129</v>
      </c>
      <c r="K1004" s="118" t="s">
        <v>2712</v>
      </c>
      <c r="L1004" s="118" t="s">
        <v>6206</v>
      </c>
      <c r="M1004" s="115" t="s">
        <v>1109</v>
      </c>
      <c r="N1004" s="115" t="s">
        <v>2129</v>
      </c>
      <c r="O1004" s="115" t="s">
        <v>1109</v>
      </c>
      <c r="P1004" s="113">
        <v>280</v>
      </c>
      <c r="Q1004" s="113">
        <v>41</v>
      </c>
      <c r="R1004" s="113">
        <v>63</v>
      </c>
      <c r="S1004" s="113">
        <v>40</v>
      </c>
      <c r="T1004" s="120">
        <v>40</v>
      </c>
      <c r="U1004" s="113">
        <v>30</v>
      </c>
      <c r="V1004" s="113">
        <v>66</v>
      </c>
    </row>
    <row r="1005" spans="1:34" ht="15" customHeight="1">
      <c r="A1005" s="113">
        <v>847</v>
      </c>
      <c r="B1005" s="113" t="s">
        <v>2243</v>
      </c>
      <c r="C1005" s="120" t="s">
        <v>6207</v>
      </c>
      <c r="D1005" s="124">
        <v>0.5</v>
      </c>
      <c r="E1005" s="124">
        <v>0.5</v>
      </c>
      <c r="F1005" s="113" t="s">
        <v>2335</v>
      </c>
      <c r="G1005" s="113" t="s">
        <v>2703</v>
      </c>
      <c r="H1005" s="113" t="s">
        <v>25</v>
      </c>
      <c r="I1005" s="113" t="s">
        <v>1109</v>
      </c>
      <c r="J1005" s="118" t="s">
        <v>2129</v>
      </c>
      <c r="K1005" s="118" t="s">
        <v>2712</v>
      </c>
      <c r="L1005" s="118" t="s">
        <v>6206</v>
      </c>
      <c r="M1005" s="115" t="s">
        <v>6206</v>
      </c>
      <c r="N1005" s="115" t="s">
        <v>6399</v>
      </c>
      <c r="O1005" s="115" t="s">
        <v>2128</v>
      </c>
      <c r="P1005" s="113">
        <v>490</v>
      </c>
      <c r="Q1005" s="113">
        <v>61</v>
      </c>
      <c r="R1005" s="113">
        <v>123</v>
      </c>
      <c r="S1005" s="113">
        <v>60</v>
      </c>
      <c r="T1005" s="120">
        <v>60</v>
      </c>
      <c r="U1005" s="113">
        <v>50</v>
      </c>
      <c r="V1005" s="113">
        <v>136</v>
      </c>
    </row>
    <row r="1006" spans="1:34" ht="15" customHeight="1">
      <c r="A1006" s="113">
        <v>848</v>
      </c>
      <c r="B1006" s="113" t="s">
        <v>2267</v>
      </c>
      <c r="C1006" s="120" t="s">
        <v>6208</v>
      </c>
      <c r="D1006" s="124">
        <v>0.5</v>
      </c>
      <c r="E1006" s="124">
        <v>0.5</v>
      </c>
      <c r="F1006" s="113" t="s">
        <v>2333</v>
      </c>
      <c r="G1006" s="113" t="s">
        <v>2703</v>
      </c>
      <c r="H1006" s="113" t="s">
        <v>46</v>
      </c>
      <c r="I1006" s="113" t="s">
        <v>15</v>
      </c>
      <c r="J1006" s="118" t="s">
        <v>2129</v>
      </c>
      <c r="K1006" s="118" t="s">
        <v>4657</v>
      </c>
      <c r="L1006" s="118" t="s">
        <v>6208</v>
      </c>
      <c r="M1006" s="115" t="s">
        <v>1109</v>
      </c>
      <c r="N1006" s="115" t="s">
        <v>2129</v>
      </c>
      <c r="O1006" s="115" t="s">
        <v>1109</v>
      </c>
      <c r="P1006" s="113">
        <v>242</v>
      </c>
      <c r="Q1006" s="113">
        <v>40</v>
      </c>
      <c r="R1006" s="113">
        <v>38</v>
      </c>
      <c r="S1006" s="113">
        <v>35</v>
      </c>
      <c r="T1006" s="120">
        <v>54</v>
      </c>
      <c r="U1006" s="113">
        <v>35</v>
      </c>
      <c r="V1006" s="113">
        <v>40</v>
      </c>
      <c r="AH1006"/>
    </row>
    <row r="1007" spans="1:34" ht="15" customHeight="1">
      <c r="A1007" s="113">
        <v>849</v>
      </c>
      <c r="B1007" s="113" t="s">
        <v>2763</v>
      </c>
      <c r="C1007" s="120" t="s">
        <v>6209</v>
      </c>
      <c r="D1007" s="124">
        <v>0.5</v>
      </c>
      <c r="E1007" s="124">
        <v>0.5</v>
      </c>
      <c r="F1007" s="113" t="s">
        <v>2334</v>
      </c>
      <c r="G1007" s="113" t="s">
        <v>2703</v>
      </c>
      <c r="H1007" s="113" t="s">
        <v>46</v>
      </c>
      <c r="I1007" s="113" t="s">
        <v>15</v>
      </c>
      <c r="J1007" s="118" t="s">
        <v>2129</v>
      </c>
      <c r="K1007" s="118" t="s">
        <v>4657</v>
      </c>
      <c r="L1007" s="118" t="s">
        <v>6208</v>
      </c>
      <c r="M1007" s="115" t="s">
        <v>6208</v>
      </c>
      <c r="N1007" s="115" t="s">
        <v>6399</v>
      </c>
      <c r="O1007" s="115" t="s">
        <v>2128</v>
      </c>
      <c r="P1007" s="113">
        <v>502</v>
      </c>
      <c r="Q1007" s="113">
        <v>75</v>
      </c>
      <c r="R1007" s="113">
        <v>98</v>
      </c>
      <c r="S1007" s="113">
        <v>70</v>
      </c>
      <c r="T1007" s="120">
        <v>114</v>
      </c>
      <c r="U1007" s="113">
        <v>70</v>
      </c>
      <c r="V1007" s="113">
        <v>75</v>
      </c>
    </row>
    <row r="1008" spans="1:34" ht="15" customHeight="1">
      <c r="A1008" s="113">
        <v>849</v>
      </c>
      <c r="B1008" s="113" t="s">
        <v>2764</v>
      </c>
      <c r="C1008" s="120" t="s">
        <v>6210</v>
      </c>
      <c r="D1008" s="124">
        <v>0.5</v>
      </c>
      <c r="E1008" s="124">
        <v>0.5</v>
      </c>
      <c r="F1008" s="113" t="s">
        <v>2334</v>
      </c>
      <c r="G1008" s="113" t="s">
        <v>2703</v>
      </c>
      <c r="H1008" s="113" t="s">
        <v>46</v>
      </c>
      <c r="I1008" s="113" t="s">
        <v>15</v>
      </c>
      <c r="J1008" s="118" t="s">
        <v>2129</v>
      </c>
      <c r="K1008" s="118" t="s">
        <v>4657</v>
      </c>
      <c r="L1008" s="118" t="s">
        <v>6208</v>
      </c>
      <c r="M1008" s="115" t="s">
        <v>6208</v>
      </c>
      <c r="N1008" s="115" t="s">
        <v>6399</v>
      </c>
      <c r="O1008" s="115" t="s">
        <v>2128</v>
      </c>
      <c r="P1008" s="113">
        <v>502</v>
      </c>
      <c r="Q1008" s="113">
        <v>75</v>
      </c>
      <c r="R1008" s="113">
        <v>98</v>
      </c>
      <c r="S1008" s="113">
        <v>70</v>
      </c>
      <c r="T1008" s="120">
        <v>114</v>
      </c>
      <c r="U1008" s="113">
        <v>70</v>
      </c>
      <c r="V1008" s="113">
        <v>75</v>
      </c>
    </row>
    <row r="1009" spans="1:34" ht="15" customHeight="1">
      <c r="A1009" s="113">
        <v>850</v>
      </c>
      <c r="B1009" s="113" t="s">
        <v>2245</v>
      </c>
      <c r="C1009" s="120" t="s">
        <v>6211</v>
      </c>
      <c r="D1009" s="124">
        <v>0.5</v>
      </c>
      <c r="E1009" s="124">
        <v>0.5</v>
      </c>
      <c r="F1009" s="113" t="s">
        <v>29</v>
      </c>
      <c r="G1009" s="113" t="s">
        <v>2703</v>
      </c>
      <c r="H1009" s="113" t="s">
        <v>19</v>
      </c>
      <c r="I1009" s="113" t="s">
        <v>29</v>
      </c>
      <c r="J1009" s="118" t="s">
        <v>2129</v>
      </c>
      <c r="K1009" s="118" t="s">
        <v>4658</v>
      </c>
      <c r="L1009" s="118" t="s">
        <v>6211</v>
      </c>
      <c r="M1009" s="115" t="s">
        <v>1109</v>
      </c>
      <c r="N1009" s="115" t="s">
        <v>2129</v>
      </c>
      <c r="O1009" s="115" t="s">
        <v>1109</v>
      </c>
      <c r="P1009" s="113">
        <v>305</v>
      </c>
      <c r="Q1009" s="113">
        <v>50</v>
      </c>
      <c r="R1009" s="113">
        <v>65</v>
      </c>
      <c r="S1009" s="113">
        <v>45</v>
      </c>
      <c r="T1009" s="120">
        <v>50</v>
      </c>
      <c r="U1009" s="113">
        <v>50</v>
      </c>
      <c r="V1009" s="113">
        <v>45</v>
      </c>
    </row>
    <row r="1010" spans="1:34" ht="15" customHeight="1">
      <c r="A1010" s="113">
        <v>851</v>
      </c>
      <c r="B1010" s="113" t="s">
        <v>2246</v>
      </c>
      <c r="C1010" s="120" t="s">
        <v>6212</v>
      </c>
      <c r="D1010" s="124">
        <v>0.5</v>
      </c>
      <c r="E1010" s="124">
        <v>0.5</v>
      </c>
      <c r="F1010" s="113" t="s">
        <v>29</v>
      </c>
      <c r="G1010" s="113" t="s">
        <v>2703</v>
      </c>
      <c r="H1010" s="113" t="s">
        <v>19</v>
      </c>
      <c r="I1010" s="113" t="s">
        <v>29</v>
      </c>
      <c r="J1010" s="118" t="s">
        <v>2129</v>
      </c>
      <c r="K1010" s="118" t="s">
        <v>4658</v>
      </c>
      <c r="L1010" s="118" t="s">
        <v>6211</v>
      </c>
      <c r="M1010" s="115" t="s">
        <v>6211</v>
      </c>
      <c r="N1010" s="115" t="s">
        <v>6399</v>
      </c>
      <c r="O1010" s="115" t="s">
        <v>2128</v>
      </c>
      <c r="P1010" s="113">
        <v>525</v>
      </c>
      <c r="Q1010" s="113">
        <v>100</v>
      </c>
      <c r="R1010" s="113">
        <v>115</v>
      </c>
      <c r="S1010" s="113">
        <v>65</v>
      </c>
      <c r="T1010" s="120">
        <v>90</v>
      </c>
      <c r="U1010" s="113">
        <v>90</v>
      </c>
      <c r="V1010" s="113">
        <v>65</v>
      </c>
    </row>
    <row r="1011" spans="1:34" ht="15" customHeight="1">
      <c r="A1011" s="113">
        <v>852</v>
      </c>
      <c r="B1011" s="113" t="s">
        <v>2247</v>
      </c>
      <c r="C1011" s="120" t="s">
        <v>6213</v>
      </c>
      <c r="D1011" s="124">
        <v>0.5</v>
      </c>
      <c r="E1011" s="124">
        <v>0.5</v>
      </c>
      <c r="F1011" s="113" t="s">
        <v>2334</v>
      </c>
      <c r="G1011" s="113" t="s">
        <v>2703</v>
      </c>
      <c r="H1011" s="113" t="s">
        <v>78</v>
      </c>
      <c r="I1011" s="113" t="s">
        <v>1109</v>
      </c>
      <c r="J1011" s="118" t="s">
        <v>2129</v>
      </c>
      <c r="K1011" s="118" t="s">
        <v>4658</v>
      </c>
      <c r="L1011" s="118" t="s">
        <v>6213</v>
      </c>
      <c r="M1011" s="115" t="s">
        <v>1109</v>
      </c>
      <c r="N1011" s="115" t="s">
        <v>2129</v>
      </c>
      <c r="O1011" s="115" t="s">
        <v>1109</v>
      </c>
      <c r="P1011" s="113">
        <v>310</v>
      </c>
      <c r="Q1011" s="113">
        <v>50</v>
      </c>
      <c r="R1011" s="113">
        <v>68</v>
      </c>
      <c r="S1011" s="113">
        <v>60</v>
      </c>
      <c r="T1011" s="120">
        <v>50</v>
      </c>
      <c r="U1011" s="113">
        <v>50</v>
      </c>
      <c r="V1011" s="113">
        <v>32</v>
      </c>
    </row>
    <row r="1012" spans="1:34" ht="15" customHeight="1">
      <c r="A1012" s="113">
        <v>853</v>
      </c>
      <c r="B1012" s="113" t="s">
        <v>2248</v>
      </c>
      <c r="C1012" s="120" t="s">
        <v>6214</v>
      </c>
      <c r="D1012" s="124">
        <v>0.5</v>
      </c>
      <c r="E1012" s="124">
        <v>0.5</v>
      </c>
      <c r="F1012" s="113" t="s">
        <v>2334</v>
      </c>
      <c r="G1012" s="113" t="s">
        <v>2703</v>
      </c>
      <c r="H1012" s="113" t="s">
        <v>78</v>
      </c>
      <c r="I1012" s="113" t="s">
        <v>1109</v>
      </c>
      <c r="J1012" s="118" t="s">
        <v>2129</v>
      </c>
      <c r="K1012" s="118" t="s">
        <v>4658</v>
      </c>
      <c r="L1012" s="118" t="s">
        <v>6213</v>
      </c>
      <c r="M1012" s="115" t="s">
        <v>6213</v>
      </c>
      <c r="N1012" s="115" t="s">
        <v>6399</v>
      </c>
      <c r="O1012" s="115" t="s">
        <v>2128</v>
      </c>
      <c r="P1012" s="113">
        <v>480</v>
      </c>
      <c r="Q1012" s="113">
        <v>80</v>
      </c>
      <c r="R1012" s="113">
        <v>118</v>
      </c>
      <c r="S1012" s="113">
        <v>90</v>
      </c>
      <c r="T1012" s="120">
        <v>70</v>
      </c>
      <c r="U1012" s="113">
        <v>80</v>
      </c>
      <c r="V1012" s="113">
        <v>42</v>
      </c>
    </row>
    <row r="1013" spans="1:34" ht="15" customHeight="1">
      <c r="A1013" s="113">
        <v>854</v>
      </c>
      <c r="B1013" s="113" t="s">
        <v>2284</v>
      </c>
      <c r="C1013" s="120" t="s">
        <v>6215</v>
      </c>
      <c r="D1013" s="124" t="s">
        <v>1109</v>
      </c>
      <c r="E1013" s="124" t="s">
        <v>1109</v>
      </c>
      <c r="F1013" s="113" t="s">
        <v>2336</v>
      </c>
      <c r="G1013" s="113" t="s">
        <v>2703</v>
      </c>
      <c r="H1013" s="113" t="s">
        <v>119</v>
      </c>
      <c r="I1013" s="113" t="s">
        <v>1109</v>
      </c>
      <c r="J1013" s="118" t="s">
        <v>2129</v>
      </c>
      <c r="K1013" s="118" t="s">
        <v>4658</v>
      </c>
      <c r="L1013" s="118" t="s">
        <v>6215</v>
      </c>
      <c r="M1013" s="115" t="s">
        <v>1109</v>
      </c>
      <c r="N1013" s="115" t="s">
        <v>2129</v>
      </c>
      <c r="O1013" s="115" t="s">
        <v>1109</v>
      </c>
      <c r="P1013" s="113">
        <v>308</v>
      </c>
      <c r="Q1013" s="113">
        <v>40</v>
      </c>
      <c r="R1013" s="113">
        <v>45</v>
      </c>
      <c r="S1013" s="113">
        <v>45</v>
      </c>
      <c r="T1013" s="120">
        <v>74</v>
      </c>
      <c r="U1013" s="113">
        <v>54</v>
      </c>
      <c r="V1013" s="113">
        <v>50</v>
      </c>
      <c r="AH1013"/>
    </row>
    <row r="1014" spans="1:34" ht="15" customHeight="1">
      <c r="A1014" s="113">
        <v>855</v>
      </c>
      <c r="B1014" s="113" t="s">
        <v>2285</v>
      </c>
      <c r="C1014" s="120" t="s">
        <v>6216</v>
      </c>
      <c r="D1014" s="124" t="s">
        <v>1109</v>
      </c>
      <c r="E1014" s="124" t="s">
        <v>1109</v>
      </c>
      <c r="F1014" s="113" t="s">
        <v>2336</v>
      </c>
      <c r="G1014" s="113" t="s">
        <v>2703</v>
      </c>
      <c r="H1014" s="113" t="s">
        <v>119</v>
      </c>
      <c r="I1014" s="113" t="s">
        <v>1109</v>
      </c>
      <c r="J1014" s="118" t="s">
        <v>2129</v>
      </c>
      <c r="K1014" s="118" t="s">
        <v>4658</v>
      </c>
      <c r="L1014" s="118" t="s">
        <v>6215</v>
      </c>
      <c r="M1014" s="115" t="s">
        <v>6215</v>
      </c>
      <c r="N1014" s="115" t="s">
        <v>6399</v>
      </c>
      <c r="O1014" s="115" t="s">
        <v>2128</v>
      </c>
      <c r="P1014" s="113">
        <v>508</v>
      </c>
      <c r="Q1014" s="113">
        <v>60</v>
      </c>
      <c r="R1014" s="113">
        <v>65</v>
      </c>
      <c r="S1014" s="113">
        <v>65</v>
      </c>
      <c r="T1014" s="120">
        <v>134</v>
      </c>
      <c r="U1014" s="113">
        <v>114</v>
      </c>
      <c r="V1014" s="113">
        <v>70</v>
      </c>
    </row>
    <row r="1015" spans="1:34" ht="15" customHeight="1">
      <c r="A1015" s="113">
        <v>856</v>
      </c>
      <c r="B1015" s="113" t="s">
        <v>2277</v>
      </c>
      <c r="C1015" s="120" t="s">
        <v>6217</v>
      </c>
      <c r="D1015" s="124">
        <v>0</v>
      </c>
      <c r="E1015" s="124">
        <v>1</v>
      </c>
      <c r="F1015" s="113" t="s">
        <v>56</v>
      </c>
      <c r="G1015" s="113" t="s">
        <v>2703</v>
      </c>
      <c r="H1015" s="113" t="s">
        <v>86</v>
      </c>
      <c r="I1015" s="113" t="s">
        <v>1109</v>
      </c>
      <c r="J1015" s="118" t="s">
        <v>2129</v>
      </c>
      <c r="K1015" s="118" t="s">
        <v>4658</v>
      </c>
      <c r="L1015" s="118" t="s">
        <v>6217</v>
      </c>
      <c r="M1015" s="115" t="s">
        <v>1109</v>
      </c>
      <c r="N1015" s="115" t="s">
        <v>2129</v>
      </c>
      <c r="O1015" s="115" t="s">
        <v>1109</v>
      </c>
      <c r="P1015" s="113">
        <v>265</v>
      </c>
      <c r="Q1015" s="113">
        <v>42</v>
      </c>
      <c r="R1015" s="113">
        <v>30</v>
      </c>
      <c r="S1015" s="113">
        <v>45</v>
      </c>
      <c r="T1015" s="120">
        <v>56</v>
      </c>
      <c r="U1015" s="113">
        <v>53</v>
      </c>
      <c r="V1015" s="113">
        <v>39</v>
      </c>
      <c r="AH1015"/>
    </row>
    <row r="1016" spans="1:34" ht="15" customHeight="1">
      <c r="A1016" s="113">
        <v>857</v>
      </c>
      <c r="B1016" s="113" t="s">
        <v>2278</v>
      </c>
      <c r="C1016" s="120" t="s">
        <v>6218</v>
      </c>
      <c r="D1016" s="124">
        <v>0</v>
      </c>
      <c r="E1016" s="124">
        <v>1</v>
      </c>
      <c r="F1016" s="113" t="s">
        <v>56</v>
      </c>
      <c r="G1016" s="113" t="s">
        <v>2703</v>
      </c>
      <c r="H1016" s="113" t="s">
        <v>86</v>
      </c>
      <c r="I1016" s="113" t="s">
        <v>1109</v>
      </c>
      <c r="J1016" s="118" t="s">
        <v>2129</v>
      </c>
      <c r="K1016" s="118" t="s">
        <v>4658</v>
      </c>
      <c r="L1016" s="118" t="s">
        <v>6217</v>
      </c>
      <c r="M1016" s="115" t="s">
        <v>6217</v>
      </c>
      <c r="N1016" s="115" t="s">
        <v>6398</v>
      </c>
      <c r="O1016" s="115" t="s">
        <v>2128</v>
      </c>
      <c r="P1016" s="113">
        <v>370</v>
      </c>
      <c r="Q1016" s="113">
        <v>57</v>
      </c>
      <c r="R1016" s="113">
        <v>40</v>
      </c>
      <c r="S1016" s="113">
        <v>65</v>
      </c>
      <c r="T1016" s="120">
        <v>86</v>
      </c>
      <c r="U1016" s="113">
        <v>73</v>
      </c>
      <c r="V1016" s="113">
        <v>49</v>
      </c>
    </row>
    <row r="1017" spans="1:34" ht="15" customHeight="1">
      <c r="A1017" s="113">
        <v>858</v>
      </c>
      <c r="B1017" s="113" t="s">
        <v>2279</v>
      </c>
      <c r="C1017" s="120" t="s">
        <v>6219</v>
      </c>
      <c r="D1017" s="124">
        <v>0</v>
      </c>
      <c r="E1017" s="124">
        <v>1</v>
      </c>
      <c r="F1017" s="113" t="s">
        <v>56</v>
      </c>
      <c r="G1017" s="113" t="s">
        <v>2703</v>
      </c>
      <c r="H1017" s="113" t="s">
        <v>86</v>
      </c>
      <c r="I1017" s="113" t="s">
        <v>56</v>
      </c>
      <c r="J1017" s="118" t="s">
        <v>2129</v>
      </c>
      <c r="K1017" s="118" t="s">
        <v>4658</v>
      </c>
      <c r="L1017" s="118" t="s">
        <v>6217</v>
      </c>
      <c r="M1017" s="115" t="s">
        <v>6218</v>
      </c>
      <c r="N1017" s="115" t="s">
        <v>6399</v>
      </c>
      <c r="O1017" s="115" t="s">
        <v>2128</v>
      </c>
      <c r="P1017" s="113">
        <v>510</v>
      </c>
      <c r="Q1017" s="113">
        <v>57</v>
      </c>
      <c r="R1017" s="113">
        <v>90</v>
      </c>
      <c r="S1017" s="113">
        <v>95</v>
      </c>
      <c r="T1017" s="120">
        <v>136</v>
      </c>
      <c r="U1017" s="113">
        <v>103</v>
      </c>
      <c r="V1017" s="113">
        <v>29</v>
      </c>
    </row>
    <row r="1018" spans="1:34" ht="15" customHeight="1">
      <c r="A1018" s="113">
        <v>859</v>
      </c>
      <c r="B1018" s="113" t="s">
        <v>2144</v>
      </c>
      <c r="C1018" s="120" t="s">
        <v>6220</v>
      </c>
      <c r="D1018" s="124">
        <v>1</v>
      </c>
      <c r="E1018" s="124">
        <v>0</v>
      </c>
      <c r="F1018" s="113" t="s">
        <v>56</v>
      </c>
      <c r="G1018" s="113" t="s">
        <v>2703</v>
      </c>
      <c r="H1018" s="113" t="s">
        <v>158</v>
      </c>
      <c r="I1018" s="113" t="s">
        <v>56</v>
      </c>
      <c r="J1018" s="118" t="s">
        <v>2129</v>
      </c>
      <c r="K1018" s="118" t="s">
        <v>4658</v>
      </c>
      <c r="L1018" s="118" t="s">
        <v>6220</v>
      </c>
      <c r="M1018" s="115" t="s">
        <v>1109</v>
      </c>
      <c r="N1018" s="115" t="s">
        <v>2129</v>
      </c>
      <c r="O1018" s="115" t="s">
        <v>1109</v>
      </c>
      <c r="P1018" s="113">
        <v>265</v>
      </c>
      <c r="Q1018" s="113">
        <v>45</v>
      </c>
      <c r="R1018" s="113">
        <v>45</v>
      </c>
      <c r="S1018" s="113">
        <v>30</v>
      </c>
      <c r="T1018" s="120">
        <v>55</v>
      </c>
      <c r="U1018" s="113">
        <v>40</v>
      </c>
      <c r="V1018" s="113">
        <v>50</v>
      </c>
      <c r="AH1018"/>
    </row>
    <row r="1019" spans="1:34" ht="15" customHeight="1">
      <c r="A1019" s="113">
        <v>860</v>
      </c>
      <c r="B1019" s="113" t="s">
        <v>2145</v>
      </c>
      <c r="C1019" s="120" t="s">
        <v>6221</v>
      </c>
      <c r="D1019" s="124">
        <v>1</v>
      </c>
      <c r="E1019" s="124">
        <v>0</v>
      </c>
      <c r="F1019" s="113" t="s">
        <v>56</v>
      </c>
      <c r="G1019" s="113" t="s">
        <v>2703</v>
      </c>
      <c r="H1019" s="113" t="s">
        <v>158</v>
      </c>
      <c r="I1019" s="113" t="s">
        <v>56</v>
      </c>
      <c r="J1019" s="118" t="s">
        <v>2129</v>
      </c>
      <c r="K1019" s="118" t="s">
        <v>4658</v>
      </c>
      <c r="L1019" s="118" t="s">
        <v>6220</v>
      </c>
      <c r="M1019" s="115" t="s">
        <v>6220</v>
      </c>
      <c r="N1019" s="115" t="s">
        <v>6398</v>
      </c>
      <c r="O1019" s="115" t="s">
        <v>2128</v>
      </c>
      <c r="P1019" s="113">
        <v>370</v>
      </c>
      <c r="Q1019" s="113">
        <v>65</v>
      </c>
      <c r="R1019" s="113">
        <v>60</v>
      </c>
      <c r="S1019" s="113">
        <v>45</v>
      </c>
      <c r="T1019" s="120">
        <v>75</v>
      </c>
      <c r="U1019" s="113">
        <v>55</v>
      </c>
      <c r="V1019" s="113">
        <v>70</v>
      </c>
    </row>
    <row r="1020" spans="1:34" ht="15" customHeight="1">
      <c r="A1020" s="113">
        <v>861</v>
      </c>
      <c r="B1020" s="113" t="s">
        <v>2146</v>
      </c>
      <c r="C1020" s="120" t="s">
        <v>6222</v>
      </c>
      <c r="D1020" s="124">
        <v>1</v>
      </c>
      <c r="E1020" s="124">
        <v>0</v>
      </c>
      <c r="F1020" s="113" t="s">
        <v>56</v>
      </c>
      <c r="G1020" s="113" t="s">
        <v>2703</v>
      </c>
      <c r="H1020" s="113" t="s">
        <v>158</v>
      </c>
      <c r="I1020" s="113" t="s">
        <v>56</v>
      </c>
      <c r="J1020" s="118" t="s">
        <v>2129</v>
      </c>
      <c r="K1020" s="118" t="s">
        <v>4658</v>
      </c>
      <c r="L1020" s="118" t="s">
        <v>6220</v>
      </c>
      <c r="M1020" s="115" t="s">
        <v>6221</v>
      </c>
      <c r="N1020" s="115" t="s">
        <v>6399</v>
      </c>
      <c r="O1020" s="115" t="s">
        <v>2128</v>
      </c>
      <c r="P1020" s="113">
        <v>510</v>
      </c>
      <c r="Q1020" s="113">
        <v>95</v>
      </c>
      <c r="R1020" s="113">
        <v>120</v>
      </c>
      <c r="S1020" s="113">
        <v>65</v>
      </c>
      <c r="T1020" s="120">
        <v>95</v>
      </c>
      <c r="U1020" s="113">
        <v>75</v>
      </c>
      <c r="V1020" s="113">
        <v>60</v>
      </c>
    </row>
    <row r="1021" spans="1:34" ht="15" customHeight="1">
      <c r="A1021" s="113">
        <v>862</v>
      </c>
      <c r="B1021" s="113" t="s">
        <v>2249</v>
      </c>
      <c r="C1021" s="120" t="s">
        <v>6223</v>
      </c>
      <c r="D1021" s="124">
        <v>0.5</v>
      </c>
      <c r="E1021" s="124">
        <v>0.5</v>
      </c>
      <c r="F1021" s="113" t="s">
        <v>2332</v>
      </c>
      <c r="G1021" s="113" t="s">
        <v>2703</v>
      </c>
      <c r="H1021" s="113" t="s">
        <v>158</v>
      </c>
      <c r="I1021" s="113" t="s">
        <v>36</v>
      </c>
      <c r="J1021" s="118" t="s">
        <v>2129</v>
      </c>
      <c r="K1021" s="118" t="s">
        <v>2712</v>
      </c>
      <c r="L1021" s="118" t="s">
        <v>5538</v>
      </c>
      <c r="M1021" s="120" t="s">
        <v>5541</v>
      </c>
      <c r="N1021" s="115" t="s">
        <v>6399</v>
      </c>
      <c r="O1021" s="115" t="s">
        <v>2128</v>
      </c>
      <c r="P1021" s="113">
        <v>520</v>
      </c>
      <c r="Q1021" s="113">
        <v>93</v>
      </c>
      <c r="R1021" s="113">
        <v>90</v>
      </c>
      <c r="S1021" s="113">
        <v>101</v>
      </c>
      <c r="T1021" s="120">
        <v>60</v>
      </c>
      <c r="U1021" s="113">
        <v>81</v>
      </c>
      <c r="V1021" s="113">
        <v>95</v>
      </c>
    </row>
    <row r="1022" spans="1:34" ht="15" customHeight="1">
      <c r="A1022" s="113">
        <v>863</v>
      </c>
      <c r="B1022" s="113" t="s">
        <v>2250</v>
      </c>
      <c r="C1022" s="120" t="s">
        <v>6224</v>
      </c>
      <c r="D1022" s="124">
        <v>0.5</v>
      </c>
      <c r="E1022" s="124">
        <v>0.5</v>
      </c>
      <c r="F1022" s="113" t="s">
        <v>2332</v>
      </c>
      <c r="G1022" s="113" t="s">
        <v>2703</v>
      </c>
      <c r="H1022" s="113" t="s">
        <v>106</v>
      </c>
      <c r="I1022" s="113" t="s">
        <v>1109</v>
      </c>
      <c r="J1022" s="118" t="s">
        <v>2129</v>
      </c>
      <c r="K1022" s="118" t="s">
        <v>2712</v>
      </c>
      <c r="L1022" s="118" t="s">
        <v>5277</v>
      </c>
      <c r="M1022" s="120" t="s">
        <v>5279</v>
      </c>
      <c r="N1022" s="115" t="s">
        <v>6399</v>
      </c>
      <c r="O1022" s="115" t="s">
        <v>2128</v>
      </c>
      <c r="P1022" s="113">
        <v>440</v>
      </c>
      <c r="Q1022" s="113">
        <v>70</v>
      </c>
      <c r="R1022" s="113">
        <v>110</v>
      </c>
      <c r="S1022" s="113">
        <v>100</v>
      </c>
      <c r="T1022" s="120">
        <v>50</v>
      </c>
      <c r="U1022" s="113">
        <v>60</v>
      </c>
      <c r="V1022" s="113">
        <v>50</v>
      </c>
    </row>
    <row r="1023" spans="1:34" ht="15" customHeight="1">
      <c r="A1023" s="113">
        <v>864</v>
      </c>
      <c r="B1023" s="113" t="s">
        <v>2270</v>
      </c>
      <c r="C1023" s="120" t="s">
        <v>6225</v>
      </c>
      <c r="D1023" s="124">
        <v>0.25</v>
      </c>
      <c r="E1023" s="124">
        <v>0.75</v>
      </c>
      <c r="F1023" s="113" t="s">
        <v>2337</v>
      </c>
      <c r="G1023" s="113" t="s">
        <v>2703</v>
      </c>
      <c r="H1023" s="113" t="s">
        <v>119</v>
      </c>
      <c r="I1023" s="113" t="s">
        <v>1109</v>
      </c>
      <c r="J1023" s="118" t="s">
        <v>2129</v>
      </c>
      <c r="K1023" s="118" t="s">
        <v>4657</v>
      </c>
      <c r="L1023" s="118" t="s">
        <v>5491</v>
      </c>
      <c r="M1023" s="120" t="s">
        <v>5492</v>
      </c>
      <c r="N1023" s="115" t="s">
        <v>6399</v>
      </c>
      <c r="O1023" s="115" t="s">
        <v>2128</v>
      </c>
      <c r="P1023" s="113">
        <v>510</v>
      </c>
      <c r="Q1023" s="113">
        <v>60</v>
      </c>
      <c r="R1023" s="113">
        <v>95</v>
      </c>
      <c r="S1023" s="113">
        <v>50</v>
      </c>
      <c r="T1023" s="120">
        <v>145</v>
      </c>
      <c r="U1023" s="113">
        <v>130</v>
      </c>
      <c r="V1023" s="113">
        <v>30</v>
      </c>
    </row>
    <row r="1024" spans="1:34" ht="15" customHeight="1">
      <c r="A1024" s="113">
        <v>865</v>
      </c>
      <c r="B1024" s="113" t="s">
        <v>2251</v>
      </c>
      <c r="C1024" s="120" t="s">
        <v>6226</v>
      </c>
      <c r="D1024" s="124">
        <v>0.5</v>
      </c>
      <c r="E1024" s="124">
        <v>0.5</v>
      </c>
      <c r="F1024" s="113" t="s">
        <v>22</v>
      </c>
      <c r="G1024" s="113" t="s">
        <v>2703</v>
      </c>
      <c r="H1024" s="113" t="s">
        <v>78</v>
      </c>
      <c r="I1024" s="113" t="s">
        <v>1109</v>
      </c>
      <c r="J1024" s="118" t="s">
        <v>2129</v>
      </c>
      <c r="K1024" s="118" t="s">
        <v>4658</v>
      </c>
      <c r="L1024" s="118" t="s">
        <v>5322</v>
      </c>
      <c r="M1024" s="120" t="s">
        <v>5323</v>
      </c>
      <c r="N1024" s="115" t="s">
        <v>6399</v>
      </c>
      <c r="O1024" s="115" t="s">
        <v>2128</v>
      </c>
      <c r="P1024" s="113">
        <v>507</v>
      </c>
      <c r="Q1024" s="113">
        <v>62</v>
      </c>
      <c r="R1024" s="113">
        <v>135</v>
      </c>
      <c r="S1024" s="113">
        <v>95</v>
      </c>
      <c r="T1024" s="120">
        <v>68</v>
      </c>
      <c r="U1024" s="113">
        <v>82</v>
      </c>
      <c r="V1024" s="113">
        <v>65</v>
      </c>
    </row>
    <row r="1025" spans="1:34" ht="15" customHeight="1">
      <c r="A1025" s="113">
        <v>866</v>
      </c>
      <c r="B1025" s="113" t="s">
        <v>2252</v>
      </c>
      <c r="C1025" s="120" t="s">
        <v>6227</v>
      </c>
      <c r="D1025" s="124">
        <v>0.5</v>
      </c>
      <c r="E1025" s="124">
        <v>0.5</v>
      </c>
      <c r="F1025" s="113" t="s">
        <v>2334</v>
      </c>
      <c r="G1025" s="113" t="s">
        <v>2703</v>
      </c>
      <c r="H1025" s="113" t="s">
        <v>113</v>
      </c>
      <c r="I1025" s="113" t="s">
        <v>86</v>
      </c>
      <c r="J1025" s="118" t="s">
        <v>2129</v>
      </c>
      <c r="K1025" s="118" t="s">
        <v>4657</v>
      </c>
      <c r="L1025" s="118" t="s">
        <v>5741</v>
      </c>
      <c r="M1025" s="120" t="s">
        <v>5372</v>
      </c>
      <c r="N1025" s="115" t="s">
        <v>6399</v>
      </c>
      <c r="O1025" s="115" t="s">
        <v>2128</v>
      </c>
      <c r="P1025" s="113">
        <v>520</v>
      </c>
      <c r="Q1025" s="113">
        <v>80</v>
      </c>
      <c r="R1025" s="113">
        <v>85</v>
      </c>
      <c r="S1025" s="113">
        <v>75</v>
      </c>
      <c r="T1025" s="120">
        <v>110</v>
      </c>
      <c r="U1025" s="113">
        <v>100</v>
      </c>
      <c r="V1025" s="113">
        <v>70</v>
      </c>
    </row>
    <row r="1026" spans="1:34" ht="15" customHeight="1">
      <c r="A1026" s="113">
        <v>867</v>
      </c>
      <c r="B1026" s="113" t="s">
        <v>2253</v>
      </c>
      <c r="C1026" s="120" t="s">
        <v>6228</v>
      </c>
      <c r="D1026" s="124">
        <v>0.5</v>
      </c>
      <c r="E1026" s="124">
        <v>0.5</v>
      </c>
      <c r="F1026" s="113" t="s">
        <v>2336</v>
      </c>
      <c r="G1026" s="113" t="s">
        <v>2703</v>
      </c>
      <c r="H1026" s="113" t="s">
        <v>49</v>
      </c>
      <c r="I1026" s="113" t="s">
        <v>119</v>
      </c>
      <c r="J1026" s="118" t="s">
        <v>2129</v>
      </c>
      <c r="K1026" s="118" t="s">
        <v>4658</v>
      </c>
      <c r="L1026" s="118" t="s">
        <v>5884</v>
      </c>
      <c r="M1026" s="120" t="s">
        <v>5885</v>
      </c>
      <c r="N1026" s="115" t="s">
        <v>6399</v>
      </c>
      <c r="O1026" s="115" t="s">
        <v>2128</v>
      </c>
      <c r="P1026" s="113">
        <v>483</v>
      </c>
      <c r="Q1026" s="113">
        <v>58</v>
      </c>
      <c r="R1026" s="113">
        <v>95</v>
      </c>
      <c r="S1026" s="113">
        <v>145</v>
      </c>
      <c r="T1026" s="120">
        <v>50</v>
      </c>
      <c r="U1026" s="113">
        <v>105</v>
      </c>
      <c r="V1026" s="113">
        <v>30</v>
      </c>
    </row>
    <row r="1027" spans="1:34" ht="15" customHeight="1">
      <c r="A1027" s="113">
        <v>868</v>
      </c>
      <c r="B1027" s="113" t="s">
        <v>2280</v>
      </c>
      <c r="C1027" s="120" t="s">
        <v>6229</v>
      </c>
      <c r="D1027" s="124">
        <v>0</v>
      </c>
      <c r="E1027" s="124">
        <v>1</v>
      </c>
      <c r="F1027" s="113" t="s">
        <v>2336</v>
      </c>
      <c r="G1027" s="113" t="s">
        <v>2703</v>
      </c>
      <c r="H1027" s="113" t="s">
        <v>56</v>
      </c>
      <c r="I1027" s="113" t="s">
        <v>1109</v>
      </c>
      <c r="J1027" s="118" t="s">
        <v>2129</v>
      </c>
      <c r="K1027" s="118" t="s">
        <v>4658</v>
      </c>
      <c r="L1027" s="118" t="s">
        <v>6229</v>
      </c>
      <c r="M1027" s="115" t="s">
        <v>1109</v>
      </c>
      <c r="N1027" s="115" t="s">
        <v>2129</v>
      </c>
      <c r="O1027" s="115" t="s">
        <v>1109</v>
      </c>
      <c r="P1027" s="113">
        <v>270</v>
      </c>
      <c r="Q1027" s="113">
        <v>45</v>
      </c>
      <c r="R1027" s="113">
        <v>40</v>
      </c>
      <c r="S1027" s="113">
        <v>40</v>
      </c>
      <c r="T1027" s="120">
        <v>50</v>
      </c>
      <c r="U1027" s="113">
        <v>61</v>
      </c>
      <c r="V1027" s="113">
        <v>34</v>
      </c>
      <c r="AH1027"/>
    </row>
    <row r="1028" spans="1:34" ht="15" customHeight="1">
      <c r="A1028" s="113">
        <v>869</v>
      </c>
      <c r="B1028" s="113" t="s">
        <v>2281</v>
      </c>
      <c r="C1028" s="120" t="s">
        <v>6230</v>
      </c>
      <c r="D1028" s="124">
        <v>0</v>
      </c>
      <c r="E1028" s="124">
        <v>1</v>
      </c>
      <c r="F1028" s="113" t="s">
        <v>2336</v>
      </c>
      <c r="G1028" s="113" t="s">
        <v>2703</v>
      </c>
      <c r="H1028" s="113" t="s">
        <v>56</v>
      </c>
      <c r="I1028" s="113" t="s">
        <v>1109</v>
      </c>
      <c r="J1028" s="118" t="s">
        <v>2129</v>
      </c>
      <c r="K1028" s="118" t="s">
        <v>4658</v>
      </c>
      <c r="L1028" s="118" t="s">
        <v>6229</v>
      </c>
      <c r="M1028" s="115" t="s">
        <v>6229</v>
      </c>
      <c r="N1028" s="115" t="s">
        <v>6399</v>
      </c>
      <c r="O1028" s="115" t="s">
        <v>2128</v>
      </c>
      <c r="P1028" s="113">
        <v>495</v>
      </c>
      <c r="Q1028" s="113">
        <v>65</v>
      </c>
      <c r="R1028" s="113">
        <v>60</v>
      </c>
      <c r="S1028" s="113">
        <v>75</v>
      </c>
      <c r="T1028" s="120">
        <v>110</v>
      </c>
      <c r="U1028" s="113">
        <v>121</v>
      </c>
      <c r="V1028" s="113">
        <v>64</v>
      </c>
    </row>
    <row r="1029" spans="1:34" ht="15" customHeight="1">
      <c r="A1029" s="113">
        <v>870</v>
      </c>
      <c r="B1029" s="113" t="s">
        <v>2286</v>
      </c>
      <c r="C1029" s="120" t="s">
        <v>6231</v>
      </c>
      <c r="D1029" s="124" t="s">
        <v>1109</v>
      </c>
      <c r="E1029" s="124" t="s">
        <v>1109</v>
      </c>
      <c r="F1029" s="113" t="s">
        <v>2112</v>
      </c>
      <c r="G1029" s="113" t="s">
        <v>2703</v>
      </c>
      <c r="H1029" s="113" t="s">
        <v>78</v>
      </c>
      <c r="I1029" s="113" t="s">
        <v>1109</v>
      </c>
      <c r="J1029" s="118" t="s">
        <v>2129</v>
      </c>
      <c r="K1029" s="118" t="s">
        <v>4657</v>
      </c>
      <c r="L1029" s="118" t="s">
        <v>6231</v>
      </c>
      <c r="M1029" s="115" t="s">
        <v>1109</v>
      </c>
      <c r="N1029" s="115" t="s">
        <v>6399</v>
      </c>
      <c r="O1029" s="115" t="s">
        <v>1109</v>
      </c>
      <c r="P1029" s="113">
        <v>470</v>
      </c>
      <c r="Q1029" s="113">
        <v>65</v>
      </c>
      <c r="R1029" s="113">
        <v>100</v>
      </c>
      <c r="S1029" s="113">
        <v>100</v>
      </c>
      <c r="T1029" s="120">
        <v>70</v>
      </c>
      <c r="U1029" s="113">
        <v>60</v>
      </c>
      <c r="V1029" s="113">
        <v>75</v>
      </c>
    </row>
    <row r="1030" spans="1:34" ht="15" customHeight="1">
      <c r="A1030" s="113">
        <v>871</v>
      </c>
      <c r="B1030" s="113" t="s">
        <v>2254</v>
      </c>
      <c r="C1030" s="120" t="s">
        <v>6232</v>
      </c>
      <c r="D1030" s="124">
        <v>0.5</v>
      </c>
      <c r="E1030" s="124">
        <v>0.5</v>
      </c>
      <c r="F1030" s="113" t="s">
        <v>2336</v>
      </c>
      <c r="G1030" s="113" t="s">
        <v>2703</v>
      </c>
      <c r="H1030" s="113" t="s">
        <v>46</v>
      </c>
      <c r="I1030" s="113" t="s">
        <v>1109</v>
      </c>
      <c r="J1030" s="118" t="s">
        <v>2129</v>
      </c>
      <c r="K1030" s="118" t="s">
        <v>4657</v>
      </c>
      <c r="L1030" s="118" t="s">
        <v>6232</v>
      </c>
      <c r="M1030" s="115" t="s">
        <v>1109</v>
      </c>
      <c r="N1030" s="115" t="s">
        <v>6399</v>
      </c>
      <c r="O1030" s="115" t="s">
        <v>1109</v>
      </c>
      <c r="P1030" s="113">
        <v>435</v>
      </c>
      <c r="Q1030" s="113">
        <v>48</v>
      </c>
      <c r="R1030" s="113">
        <v>101</v>
      </c>
      <c r="S1030" s="113">
        <v>95</v>
      </c>
      <c r="T1030" s="120">
        <v>91</v>
      </c>
      <c r="U1030" s="113">
        <v>85</v>
      </c>
      <c r="V1030" s="113">
        <v>15</v>
      </c>
    </row>
    <row r="1031" spans="1:34" ht="15" customHeight="1">
      <c r="A1031" s="113">
        <v>872</v>
      </c>
      <c r="B1031" s="113" t="s">
        <v>2255</v>
      </c>
      <c r="C1031" s="120" t="s">
        <v>6233</v>
      </c>
      <c r="D1031" s="124">
        <v>0.5</v>
      </c>
      <c r="E1031" s="124">
        <v>0.5</v>
      </c>
      <c r="F1031" s="113" t="s">
        <v>29</v>
      </c>
      <c r="G1031" s="113" t="s">
        <v>2703</v>
      </c>
      <c r="H1031" s="113" t="s">
        <v>113</v>
      </c>
      <c r="I1031" s="113" t="s">
        <v>29</v>
      </c>
      <c r="J1031" s="118" t="s">
        <v>2129</v>
      </c>
      <c r="K1031" s="118" t="s">
        <v>4658</v>
      </c>
      <c r="L1031" s="118" t="s">
        <v>6233</v>
      </c>
      <c r="M1031" s="115" t="s">
        <v>1109</v>
      </c>
      <c r="N1031" s="115" t="s">
        <v>2129</v>
      </c>
      <c r="O1031" s="115" t="s">
        <v>1109</v>
      </c>
      <c r="P1031" s="113">
        <v>185</v>
      </c>
      <c r="Q1031" s="113">
        <v>30</v>
      </c>
      <c r="R1031" s="113">
        <v>25</v>
      </c>
      <c r="S1031" s="113">
        <v>35</v>
      </c>
      <c r="T1031" s="120">
        <v>45</v>
      </c>
      <c r="U1031" s="113">
        <v>30</v>
      </c>
      <c r="V1031" s="113">
        <v>20</v>
      </c>
      <c r="AH1031"/>
    </row>
    <row r="1032" spans="1:34" ht="15" customHeight="1">
      <c r="A1032" s="113">
        <v>873</v>
      </c>
      <c r="B1032" s="113" t="s">
        <v>2256</v>
      </c>
      <c r="C1032" s="120" t="s">
        <v>6234</v>
      </c>
      <c r="D1032" s="124">
        <v>0.5</v>
      </c>
      <c r="E1032" s="124">
        <v>0.5</v>
      </c>
      <c r="F1032" s="113" t="s">
        <v>29</v>
      </c>
      <c r="G1032" s="113" t="s">
        <v>2703</v>
      </c>
      <c r="H1032" s="113" t="s">
        <v>113</v>
      </c>
      <c r="I1032" s="113" t="s">
        <v>29</v>
      </c>
      <c r="J1032" s="118" t="s">
        <v>2129</v>
      </c>
      <c r="K1032" s="118" t="s">
        <v>4658</v>
      </c>
      <c r="L1032" s="118" t="s">
        <v>6233</v>
      </c>
      <c r="M1032" s="115" t="s">
        <v>6233</v>
      </c>
      <c r="N1032" s="115" t="s">
        <v>6399</v>
      </c>
      <c r="O1032" s="115" t="s">
        <v>2128</v>
      </c>
      <c r="P1032" s="113">
        <v>475</v>
      </c>
      <c r="Q1032" s="113">
        <v>70</v>
      </c>
      <c r="R1032" s="113">
        <v>65</v>
      </c>
      <c r="S1032" s="113">
        <v>60</v>
      </c>
      <c r="T1032" s="120">
        <v>125</v>
      </c>
      <c r="U1032" s="113">
        <v>90</v>
      </c>
      <c r="V1032" s="113">
        <v>65</v>
      </c>
    </row>
    <row r="1033" spans="1:34" ht="15" customHeight="1">
      <c r="A1033" s="113">
        <v>874</v>
      </c>
      <c r="B1033" s="113" t="s">
        <v>2257</v>
      </c>
      <c r="C1033" s="120" t="s">
        <v>6235</v>
      </c>
      <c r="D1033" s="124">
        <v>0.5</v>
      </c>
      <c r="E1033" s="124">
        <v>0.5</v>
      </c>
      <c r="F1033" s="113" t="s">
        <v>2112</v>
      </c>
      <c r="G1033" s="113" t="s">
        <v>2703</v>
      </c>
      <c r="H1033" s="113" t="s">
        <v>98</v>
      </c>
      <c r="I1033" s="113" t="s">
        <v>1109</v>
      </c>
      <c r="J1033" s="118" t="s">
        <v>2129</v>
      </c>
      <c r="K1033" s="118" t="s">
        <v>4657</v>
      </c>
      <c r="L1033" s="118" t="s">
        <v>6235</v>
      </c>
      <c r="M1033" s="115" t="s">
        <v>1109</v>
      </c>
      <c r="N1033" s="115" t="s">
        <v>6399</v>
      </c>
      <c r="O1033" s="115" t="s">
        <v>1109</v>
      </c>
      <c r="P1033" s="113">
        <v>470</v>
      </c>
      <c r="Q1033" s="113">
        <v>100</v>
      </c>
      <c r="R1033" s="113">
        <v>125</v>
      </c>
      <c r="S1033" s="113">
        <v>135</v>
      </c>
      <c r="T1033" s="120">
        <v>20</v>
      </c>
      <c r="U1033" s="113">
        <v>20</v>
      </c>
      <c r="V1033" s="113">
        <v>70</v>
      </c>
    </row>
    <row r="1034" spans="1:34" ht="15" customHeight="1">
      <c r="A1034" s="113">
        <v>875</v>
      </c>
      <c r="B1034" s="113" t="s">
        <v>2765</v>
      </c>
      <c r="C1034" s="120" t="s">
        <v>6236</v>
      </c>
      <c r="D1034" s="124">
        <v>0.5</v>
      </c>
      <c r="E1034" s="124">
        <v>0.5</v>
      </c>
      <c r="F1034" s="113" t="s">
        <v>2331</v>
      </c>
      <c r="G1034" s="113" t="s">
        <v>2703</v>
      </c>
      <c r="H1034" s="113" t="s">
        <v>113</v>
      </c>
      <c r="I1034" s="113" t="s">
        <v>1109</v>
      </c>
      <c r="J1034" s="118" t="s">
        <v>2129</v>
      </c>
      <c r="K1034" s="118" t="s">
        <v>4657</v>
      </c>
      <c r="L1034" s="118" t="s">
        <v>6236</v>
      </c>
      <c r="M1034" s="115" t="s">
        <v>1109</v>
      </c>
      <c r="N1034" s="115" t="s">
        <v>6399</v>
      </c>
      <c r="O1034" s="115" t="s">
        <v>1109</v>
      </c>
      <c r="P1034" s="113">
        <v>470</v>
      </c>
      <c r="Q1034" s="113">
        <v>75</v>
      </c>
      <c r="R1034" s="113">
        <v>80</v>
      </c>
      <c r="S1034" s="113">
        <v>110</v>
      </c>
      <c r="T1034" s="120">
        <v>65</v>
      </c>
      <c r="U1034" s="113">
        <v>90</v>
      </c>
      <c r="V1034" s="113">
        <v>50</v>
      </c>
    </row>
    <row r="1035" spans="1:34" ht="15" customHeight="1">
      <c r="A1035" s="113">
        <v>875</v>
      </c>
      <c r="B1035" s="113" t="s">
        <v>2766</v>
      </c>
      <c r="C1035" s="120" t="s">
        <v>6237</v>
      </c>
      <c r="D1035" s="124">
        <v>0.5</v>
      </c>
      <c r="E1035" s="124">
        <v>0.5</v>
      </c>
      <c r="F1035" s="113" t="s">
        <v>2331</v>
      </c>
      <c r="G1035" s="113" t="s">
        <v>2703</v>
      </c>
      <c r="H1035" s="113" t="s">
        <v>113</v>
      </c>
      <c r="I1035" s="113" t="s">
        <v>1109</v>
      </c>
      <c r="J1035" s="118" t="s">
        <v>2129</v>
      </c>
      <c r="K1035" s="118" t="s">
        <v>4657</v>
      </c>
      <c r="L1035" s="118" t="s">
        <v>6236</v>
      </c>
      <c r="M1035" s="115" t="s">
        <v>1109</v>
      </c>
      <c r="N1035" s="115" t="s">
        <v>6399</v>
      </c>
      <c r="O1035" s="115" t="s">
        <v>1109</v>
      </c>
      <c r="P1035" s="113">
        <v>470</v>
      </c>
      <c r="Q1035" s="113">
        <v>75</v>
      </c>
      <c r="R1035" s="113">
        <v>80</v>
      </c>
      <c r="S1035" s="113">
        <v>70</v>
      </c>
      <c r="T1035" s="120">
        <v>65</v>
      </c>
      <c r="U1035" s="113">
        <v>50</v>
      </c>
      <c r="V1035" s="113">
        <v>130</v>
      </c>
    </row>
    <row r="1036" spans="1:34" ht="15" customHeight="1">
      <c r="A1036" s="113">
        <v>876</v>
      </c>
      <c r="B1036" s="113" t="s">
        <v>2767</v>
      </c>
      <c r="C1036" s="120" t="s">
        <v>6238</v>
      </c>
      <c r="D1036" s="124">
        <v>1</v>
      </c>
      <c r="E1036" s="132" t="s">
        <v>1109</v>
      </c>
      <c r="F1036" s="113" t="s">
        <v>56</v>
      </c>
      <c r="G1036" s="113" t="s">
        <v>2703</v>
      </c>
      <c r="H1036" s="113" t="s">
        <v>86</v>
      </c>
      <c r="I1036" s="113" t="s">
        <v>36</v>
      </c>
      <c r="J1036" s="118" t="s">
        <v>2129</v>
      </c>
      <c r="K1036" s="118" t="s">
        <v>4658</v>
      </c>
      <c r="L1036" s="118" t="s">
        <v>6238</v>
      </c>
      <c r="M1036" s="115" t="s">
        <v>1109</v>
      </c>
      <c r="N1036" s="115" t="s">
        <v>6399</v>
      </c>
      <c r="O1036" s="115" t="s">
        <v>1109</v>
      </c>
      <c r="P1036" s="113">
        <v>475</v>
      </c>
      <c r="Q1036" s="113">
        <v>60</v>
      </c>
      <c r="R1036" s="113">
        <v>65</v>
      </c>
      <c r="S1036" s="113">
        <v>55</v>
      </c>
      <c r="T1036" s="120">
        <v>105</v>
      </c>
      <c r="U1036" s="113">
        <v>95</v>
      </c>
      <c r="V1036" s="113">
        <v>95</v>
      </c>
    </row>
    <row r="1037" spans="1:34" ht="15" customHeight="1">
      <c r="A1037" s="113">
        <v>876</v>
      </c>
      <c r="B1037" s="113" t="s">
        <v>2768</v>
      </c>
      <c r="C1037" s="120" t="s">
        <v>6239</v>
      </c>
      <c r="D1037" s="132" t="s">
        <v>1109</v>
      </c>
      <c r="E1037" s="124">
        <v>1</v>
      </c>
      <c r="F1037" s="113" t="s">
        <v>56</v>
      </c>
      <c r="G1037" s="113" t="s">
        <v>2703</v>
      </c>
      <c r="H1037" s="113" t="s">
        <v>86</v>
      </c>
      <c r="I1037" s="113" t="s">
        <v>36</v>
      </c>
      <c r="J1037" s="118" t="s">
        <v>2129</v>
      </c>
      <c r="K1037" s="118" t="s">
        <v>4658</v>
      </c>
      <c r="L1037" s="118" t="s">
        <v>6239</v>
      </c>
      <c r="M1037" s="115" t="s">
        <v>1109</v>
      </c>
      <c r="N1037" s="115" t="s">
        <v>6399</v>
      </c>
      <c r="O1037" s="115" t="s">
        <v>1109</v>
      </c>
      <c r="P1037" s="113">
        <v>475</v>
      </c>
      <c r="Q1037" s="113">
        <v>70</v>
      </c>
      <c r="R1037" s="113">
        <v>55</v>
      </c>
      <c r="S1037" s="113">
        <v>65</v>
      </c>
      <c r="T1037" s="120">
        <v>95</v>
      </c>
      <c r="U1037" s="113">
        <v>105</v>
      </c>
      <c r="V1037" s="113">
        <v>85</v>
      </c>
    </row>
    <row r="1038" spans="1:34" ht="15" customHeight="1">
      <c r="A1038" s="113">
        <v>877</v>
      </c>
      <c r="B1038" s="113" t="s">
        <v>2260</v>
      </c>
      <c r="C1038" s="120" t="s">
        <v>6240</v>
      </c>
      <c r="D1038" s="124">
        <v>0.5</v>
      </c>
      <c r="E1038" s="124">
        <v>0.5</v>
      </c>
      <c r="F1038" s="113" t="s">
        <v>2332</v>
      </c>
      <c r="G1038" s="113" t="s">
        <v>2703</v>
      </c>
      <c r="H1038" s="113" t="s">
        <v>46</v>
      </c>
      <c r="I1038" s="113" t="s">
        <v>158</v>
      </c>
      <c r="J1038" s="118" t="s">
        <v>2129</v>
      </c>
      <c r="K1038" s="118" t="s">
        <v>4657</v>
      </c>
      <c r="L1038" s="118" t="s">
        <v>6240</v>
      </c>
      <c r="M1038" s="115" t="s">
        <v>1109</v>
      </c>
      <c r="N1038" s="115" t="s">
        <v>6399</v>
      </c>
      <c r="O1038" s="115" t="s">
        <v>1109</v>
      </c>
      <c r="P1038" s="113">
        <v>436</v>
      </c>
      <c r="Q1038" s="113">
        <v>58</v>
      </c>
      <c r="R1038" s="113">
        <v>95</v>
      </c>
      <c r="S1038" s="113">
        <v>58</v>
      </c>
      <c r="T1038" s="120">
        <v>70</v>
      </c>
      <c r="U1038" s="113">
        <v>58</v>
      </c>
      <c r="V1038" s="113">
        <v>97</v>
      </c>
    </row>
    <row r="1039" spans="1:34" ht="15" customHeight="1">
      <c r="A1039" s="113">
        <v>878</v>
      </c>
      <c r="B1039" s="113" t="s">
        <v>2261</v>
      </c>
      <c r="C1039" s="120" t="s">
        <v>6241</v>
      </c>
      <c r="D1039" s="124">
        <v>0.5</v>
      </c>
      <c r="E1039" s="124">
        <v>0.5</v>
      </c>
      <c r="F1039" s="113" t="s">
        <v>2112</v>
      </c>
      <c r="G1039" s="113" t="s">
        <v>2703</v>
      </c>
      <c r="H1039" s="113" t="s">
        <v>106</v>
      </c>
      <c r="I1039" s="113" t="s">
        <v>1109</v>
      </c>
      <c r="J1039" s="118" t="s">
        <v>2129</v>
      </c>
      <c r="K1039" s="118" t="s">
        <v>4658</v>
      </c>
      <c r="L1039" s="118" t="s">
        <v>6241</v>
      </c>
      <c r="M1039" s="115" t="s">
        <v>1109</v>
      </c>
      <c r="N1039" s="115" t="s">
        <v>2129</v>
      </c>
      <c r="O1039" s="115" t="s">
        <v>1109</v>
      </c>
      <c r="P1039" s="113">
        <v>330</v>
      </c>
      <c r="Q1039" s="113">
        <v>72</v>
      </c>
      <c r="R1039" s="113">
        <v>80</v>
      </c>
      <c r="S1039" s="113">
        <v>49</v>
      </c>
      <c r="T1039" s="120">
        <v>40</v>
      </c>
      <c r="U1039" s="113">
        <v>49</v>
      </c>
      <c r="V1039" s="113">
        <v>40</v>
      </c>
    </row>
    <row r="1040" spans="1:34" ht="15" customHeight="1">
      <c r="A1040" s="113">
        <v>879</v>
      </c>
      <c r="B1040" s="113" t="s">
        <v>2262</v>
      </c>
      <c r="C1040" s="120" t="s">
        <v>6242</v>
      </c>
      <c r="D1040" s="124">
        <v>0.5</v>
      </c>
      <c r="E1040" s="124">
        <v>0.5</v>
      </c>
      <c r="F1040" s="113" t="s">
        <v>2112</v>
      </c>
      <c r="G1040" s="113" t="s">
        <v>2703</v>
      </c>
      <c r="H1040" s="113" t="s">
        <v>106</v>
      </c>
      <c r="I1040" s="113" t="s">
        <v>1109</v>
      </c>
      <c r="J1040" s="118" t="s">
        <v>2129</v>
      </c>
      <c r="K1040" s="118" t="s">
        <v>4658</v>
      </c>
      <c r="L1040" s="118" t="s">
        <v>6241</v>
      </c>
      <c r="M1040" s="115" t="s">
        <v>6241</v>
      </c>
      <c r="N1040" s="115" t="s">
        <v>6399</v>
      </c>
      <c r="O1040" s="115" t="s">
        <v>2128</v>
      </c>
      <c r="P1040" s="113">
        <v>500</v>
      </c>
      <c r="Q1040" s="113">
        <v>122</v>
      </c>
      <c r="R1040" s="113">
        <v>130</v>
      </c>
      <c r="S1040" s="113">
        <v>69</v>
      </c>
      <c r="T1040" s="120">
        <v>80</v>
      </c>
      <c r="U1040" s="113">
        <v>69</v>
      </c>
      <c r="V1040" s="113">
        <v>30</v>
      </c>
    </row>
    <row r="1041" spans="1:22" ht="15" customHeight="1">
      <c r="A1041" s="113">
        <v>880</v>
      </c>
      <c r="B1041" s="113" t="s">
        <v>2317</v>
      </c>
      <c r="C1041" s="120" t="s">
        <v>6243</v>
      </c>
      <c r="D1041" s="124" t="s">
        <v>1109</v>
      </c>
      <c r="E1041" s="124" t="s">
        <v>1109</v>
      </c>
      <c r="F1041" s="113" t="s">
        <v>2333</v>
      </c>
      <c r="G1041" s="113" t="s">
        <v>2703</v>
      </c>
      <c r="H1041" s="113" t="s">
        <v>46</v>
      </c>
      <c r="I1041" s="113" t="s">
        <v>23</v>
      </c>
      <c r="J1041" s="118" t="s">
        <v>2129</v>
      </c>
      <c r="K1041" s="118" t="s">
        <v>4657</v>
      </c>
      <c r="L1041" s="118" t="s">
        <v>6243</v>
      </c>
      <c r="M1041" s="115" t="s">
        <v>1109</v>
      </c>
      <c r="N1041" s="115" t="s">
        <v>6399</v>
      </c>
      <c r="O1041" s="115" t="s">
        <v>1109</v>
      </c>
      <c r="P1041" s="113">
        <v>505</v>
      </c>
      <c r="Q1041" s="113">
        <v>90</v>
      </c>
      <c r="R1041" s="113">
        <v>100</v>
      </c>
      <c r="S1041" s="113">
        <v>90</v>
      </c>
      <c r="T1041" s="120">
        <v>80</v>
      </c>
      <c r="U1041" s="113">
        <v>70</v>
      </c>
      <c r="V1041" s="113">
        <v>75</v>
      </c>
    </row>
    <row r="1042" spans="1:22" ht="15" customHeight="1">
      <c r="A1042" s="113">
        <v>881</v>
      </c>
      <c r="B1042" s="113" t="s">
        <v>2318</v>
      </c>
      <c r="C1042" s="120" t="s">
        <v>6244</v>
      </c>
      <c r="D1042" s="124" t="s">
        <v>1109</v>
      </c>
      <c r="E1042" s="124" t="s">
        <v>1109</v>
      </c>
      <c r="F1042" s="113" t="s">
        <v>2333</v>
      </c>
      <c r="G1042" s="113" t="s">
        <v>2703</v>
      </c>
      <c r="H1042" s="113" t="s">
        <v>46</v>
      </c>
      <c r="I1042" s="113" t="s">
        <v>113</v>
      </c>
      <c r="J1042" s="118" t="s">
        <v>2129</v>
      </c>
      <c r="K1042" s="118" t="s">
        <v>4657</v>
      </c>
      <c r="L1042" s="118" t="s">
        <v>6244</v>
      </c>
      <c r="M1042" s="115" t="s">
        <v>1109</v>
      </c>
      <c r="N1042" s="115" t="s">
        <v>6399</v>
      </c>
      <c r="O1042" s="115" t="s">
        <v>1109</v>
      </c>
      <c r="P1042" s="113">
        <v>505</v>
      </c>
      <c r="Q1042" s="113">
        <v>90</v>
      </c>
      <c r="R1042" s="113">
        <v>100</v>
      </c>
      <c r="S1042" s="113">
        <v>90</v>
      </c>
      <c r="T1042" s="120">
        <v>90</v>
      </c>
      <c r="U1042" s="113">
        <v>80</v>
      </c>
      <c r="V1042" s="113">
        <v>55</v>
      </c>
    </row>
    <row r="1043" spans="1:22" ht="15" customHeight="1">
      <c r="A1043" s="113">
        <v>882</v>
      </c>
      <c r="B1043" s="113" t="s">
        <v>2319</v>
      </c>
      <c r="C1043" s="120" t="s">
        <v>6245</v>
      </c>
      <c r="D1043" s="124" t="s">
        <v>1109</v>
      </c>
      <c r="E1043" s="124" t="s">
        <v>1109</v>
      </c>
      <c r="F1043" s="113" t="s">
        <v>2333</v>
      </c>
      <c r="G1043" s="113" t="s">
        <v>2703</v>
      </c>
      <c r="H1043" s="113" t="s">
        <v>25</v>
      </c>
      <c r="I1043" s="113" t="s">
        <v>23</v>
      </c>
      <c r="J1043" s="118" t="s">
        <v>2129</v>
      </c>
      <c r="K1043" s="118" t="s">
        <v>4657</v>
      </c>
      <c r="L1043" s="118" t="s">
        <v>6245</v>
      </c>
      <c r="M1043" s="115" t="s">
        <v>1109</v>
      </c>
      <c r="N1043" s="115" t="s">
        <v>6399</v>
      </c>
      <c r="O1043" s="115" t="s">
        <v>1109</v>
      </c>
      <c r="P1043" s="113">
        <v>505</v>
      </c>
      <c r="Q1043" s="113">
        <v>90</v>
      </c>
      <c r="R1043" s="113">
        <v>90</v>
      </c>
      <c r="S1043" s="113">
        <v>100</v>
      </c>
      <c r="T1043" s="120">
        <v>70</v>
      </c>
      <c r="U1043" s="113">
        <v>80</v>
      </c>
      <c r="V1043" s="113">
        <v>75</v>
      </c>
    </row>
    <row r="1044" spans="1:22" ht="15" customHeight="1">
      <c r="A1044" s="113">
        <v>883</v>
      </c>
      <c r="B1044" s="113" t="s">
        <v>2320</v>
      </c>
      <c r="C1044" s="120" t="s">
        <v>6246</v>
      </c>
      <c r="D1044" s="124" t="s">
        <v>1109</v>
      </c>
      <c r="E1044" s="124" t="s">
        <v>1109</v>
      </c>
      <c r="F1044" s="113" t="s">
        <v>2333</v>
      </c>
      <c r="G1044" s="113" t="s">
        <v>2703</v>
      </c>
      <c r="H1044" s="113" t="s">
        <v>25</v>
      </c>
      <c r="I1044" s="113" t="s">
        <v>113</v>
      </c>
      <c r="J1044" s="118" t="s">
        <v>2129</v>
      </c>
      <c r="K1044" s="118" t="s">
        <v>4657</v>
      </c>
      <c r="L1044" s="118" t="s">
        <v>6246</v>
      </c>
      <c r="M1044" s="115" t="s">
        <v>1109</v>
      </c>
      <c r="N1044" s="115" t="s">
        <v>6399</v>
      </c>
      <c r="O1044" s="115" t="s">
        <v>1109</v>
      </c>
      <c r="P1044" s="113">
        <v>505</v>
      </c>
      <c r="Q1044" s="113">
        <v>90</v>
      </c>
      <c r="R1044" s="113">
        <v>90</v>
      </c>
      <c r="S1044" s="113">
        <v>100</v>
      </c>
      <c r="T1044" s="120">
        <v>80</v>
      </c>
      <c r="U1044" s="113">
        <v>90</v>
      </c>
      <c r="V1044" s="113">
        <v>55</v>
      </c>
    </row>
    <row r="1045" spans="1:22">
      <c r="A1045" s="113">
        <v>884</v>
      </c>
      <c r="B1045" s="113" t="s">
        <v>2263</v>
      </c>
      <c r="C1045" s="120" t="s">
        <v>6247</v>
      </c>
      <c r="D1045" s="124">
        <v>0.5</v>
      </c>
      <c r="E1045" s="124">
        <v>0.5</v>
      </c>
      <c r="F1045" s="113" t="s">
        <v>23</v>
      </c>
      <c r="G1045" s="113" t="s">
        <v>2703</v>
      </c>
      <c r="H1045" s="113" t="s">
        <v>106</v>
      </c>
      <c r="I1045" s="113" t="s">
        <v>23</v>
      </c>
      <c r="J1045" s="118" t="s">
        <v>2129</v>
      </c>
      <c r="K1045" s="118" t="s">
        <v>4657</v>
      </c>
      <c r="L1045" s="118" t="s">
        <v>6247</v>
      </c>
      <c r="M1045" s="115" t="s">
        <v>1109</v>
      </c>
      <c r="N1045" s="115" t="s">
        <v>6399</v>
      </c>
      <c r="O1045" s="115" t="s">
        <v>1109</v>
      </c>
      <c r="P1045" s="113">
        <v>535</v>
      </c>
      <c r="Q1045" s="113">
        <v>70</v>
      </c>
      <c r="R1045" s="113">
        <v>95</v>
      </c>
      <c r="S1045" s="113">
        <v>115</v>
      </c>
      <c r="T1045" s="120">
        <v>120</v>
      </c>
      <c r="U1045" s="113">
        <v>50</v>
      </c>
      <c r="V1045" s="113">
        <v>85</v>
      </c>
    </row>
    <row r="1046" spans="1:22">
      <c r="A1046" s="113">
        <v>885</v>
      </c>
      <c r="B1046" s="113" t="s">
        <v>2264</v>
      </c>
      <c r="C1046" s="120" t="s">
        <v>6248</v>
      </c>
      <c r="D1046" s="124">
        <v>0.5</v>
      </c>
      <c r="E1046" s="124">
        <v>0.5</v>
      </c>
      <c r="F1046" s="113" t="s">
        <v>2336</v>
      </c>
      <c r="G1046" s="113" t="s">
        <v>2703</v>
      </c>
      <c r="H1046" s="113" t="s">
        <v>23</v>
      </c>
      <c r="I1046" s="113" t="s">
        <v>119</v>
      </c>
      <c r="J1046" s="118" t="s">
        <v>2129</v>
      </c>
      <c r="K1046" s="118" t="s">
        <v>4657</v>
      </c>
      <c r="L1046" s="118" t="s">
        <v>6248</v>
      </c>
      <c r="M1046" s="115" t="s">
        <v>1109</v>
      </c>
      <c r="N1046" s="115" t="s">
        <v>2129</v>
      </c>
      <c r="O1046" s="115" t="s">
        <v>1109</v>
      </c>
      <c r="P1046" s="113">
        <v>270</v>
      </c>
      <c r="Q1046" s="113">
        <v>28</v>
      </c>
      <c r="R1046" s="113">
        <v>60</v>
      </c>
      <c r="S1046" s="113">
        <v>30</v>
      </c>
      <c r="T1046" s="120">
        <v>40</v>
      </c>
      <c r="U1046" s="113">
        <v>30</v>
      </c>
      <c r="V1046" s="113">
        <v>82</v>
      </c>
    </row>
    <row r="1047" spans="1:22">
      <c r="A1047" s="113">
        <v>886</v>
      </c>
      <c r="B1047" s="113" t="s">
        <v>2265</v>
      </c>
      <c r="C1047" s="120" t="s">
        <v>6249</v>
      </c>
      <c r="D1047" s="124">
        <v>0.5</v>
      </c>
      <c r="E1047" s="124">
        <v>0.5</v>
      </c>
      <c r="F1047" s="113" t="s">
        <v>2336</v>
      </c>
      <c r="G1047" s="113" t="s">
        <v>2703</v>
      </c>
      <c r="H1047" s="113" t="s">
        <v>23</v>
      </c>
      <c r="I1047" s="113" t="s">
        <v>119</v>
      </c>
      <c r="J1047" s="118" t="s">
        <v>2129</v>
      </c>
      <c r="K1047" s="118" t="s">
        <v>4657</v>
      </c>
      <c r="L1047" s="118" t="s">
        <v>6248</v>
      </c>
      <c r="M1047" s="115" t="s">
        <v>6248</v>
      </c>
      <c r="N1047" s="115" t="s">
        <v>6398</v>
      </c>
      <c r="O1047" s="115" t="s">
        <v>2128</v>
      </c>
      <c r="P1047" s="113">
        <v>410</v>
      </c>
      <c r="Q1047" s="113">
        <v>68</v>
      </c>
      <c r="R1047" s="113">
        <v>80</v>
      </c>
      <c r="S1047" s="113">
        <v>50</v>
      </c>
      <c r="T1047" s="120">
        <v>60</v>
      </c>
      <c r="U1047" s="113">
        <v>50</v>
      </c>
      <c r="V1047" s="113">
        <v>102</v>
      </c>
    </row>
    <row r="1048" spans="1:22">
      <c r="A1048" s="113">
        <v>887</v>
      </c>
      <c r="B1048" s="113" t="s">
        <v>2266</v>
      </c>
      <c r="C1048" s="120" t="s">
        <v>6250</v>
      </c>
      <c r="D1048" s="124">
        <v>0.5</v>
      </c>
      <c r="E1048" s="124">
        <v>0.5</v>
      </c>
      <c r="F1048" s="113" t="s">
        <v>2336</v>
      </c>
      <c r="G1048" s="113" t="s">
        <v>2703</v>
      </c>
      <c r="H1048" s="113" t="s">
        <v>23</v>
      </c>
      <c r="I1048" s="113" t="s">
        <v>119</v>
      </c>
      <c r="J1048" s="118" t="s">
        <v>2129</v>
      </c>
      <c r="K1048" s="118" t="s">
        <v>4657</v>
      </c>
      <c r="L1048" s="118" t="s">
        <v>6248</v>
      </c>
      <c r="M1048" s="115" t="s">
        <v>6249</v>
      </c>
      <c r="N1048" s="115" t="s">
        <v>6399</v>
      </c>
      <c r="O1048" s="115" t="s">
        <v>2128</v>
      </c>
      <c r="P1048" s="113">
        <v>600</v>
      </c>
      <c r="Q1048" s="113">
        <v>88</v>
      </c>
      <c r="R1048" s="113">
        <v>120</v>
      </c>
      <c r="S1048" s="113">
        <v>75</v>
      </c>
      <c r="T1048" s="120">
        <v>100</v>
      </c>
      <c r="U1048" s="113">
        <v>75</v>
      </c>
      <c r="V1048" s="113">
        <v>142</v>
      </c>
    </row>
    <row r="1049" spans="1:22">
      <c r="A1049" s="113">
        <v>888</v>
      </c>
      <c r="B1049" s="113" t="s">
        <v>2321</v>
      </c>
      <c r="C1049" s="120" t="s">
        <v>6251</v>
      </c>
      <c r="D1049" s="124" t="s">
        <v>1109</v>
      </c>
      <c r="E1049" s="124" t="s">
        <v>1109</v>
      </c>
      <c r="F1049" s="113" t="s">
        <v>2333</v>
      </c>
      <c r="G1049" s="113" t="s">
        <v>2703</v>
      </c>
      <c r="H1049" s="113" t="s">
        <v>56</v>
      </c>
      <c r="I1049" s="113" t="s">
        <v>1109</v>
      </c>
      <c r="J1049" s="118" t="s">
        <v>12</v>
      </c>
      <c r="K1049" s="118" t="s">
        <v>12</v>
      </c>
      <c r="L1049" s="118" t="s">
        <v>6251</v>
      </c>
      <c r="M1049" s="115" t="s">
        <v>1109</v>
      </c>
      <c r="N1049" s="115" t="s">
        <v>6399</v>
      </c>
      <c r="O1049" s="115" t="s">
        <v>1109</v>
      </c>
      <c r="P1049" s="113">
        <v>670</v>
      </c>
      <c r="Q1049" s="113">
        <v>92</v>
      </c>
      <c r="R1049" s="113">
        <v>130</v>
      </c>
      <c r="S1049" s="113">
        <v>115</v>
      </c>
      <c r="T1049" s="120">
        <v>80</v>
      </c>
      <c r="U1049" s="113">
        <v>115</v>
      </c>
      <c r="V1049" s="113">
        <v>138</v>
      </c>
    </row>
    <row r="1050" spans="1:22">
      <c r="A1050" s="113">
        <v>888</v>
      </c>
      <c r="B1050" s="113" t="s">
        <v>2770</v>
      </c>
      <c r="C1050" s="120" t="s">
        <v>6252</v>
      </c>
      <c r="D1050" s="124" t="s">
        <v>1109</v>
      </c>
      <c r="E1050" s="124" t="s">
        <v>1109</v>
      </c>
      <c r="F1050" s="113" t="s">
        <v>2333</v>
      </c>
      <c r="G1050" s="113" t="s">
        <v>2703</v>
      </c>
      <c r="H1050" s="113" t="s">
        <v>56</v>
      </c>
      <c r="I1050" s="113" t="s">
        <v>106</v>
      </c>
      <c r="J1050" s="118" t="s">
        <v>12</v>
      </c>
      <c r="K1050" s="118" t="s">
        <v>12</v>
      </c>
      <c r="L1050" s="118" t="s">
        <v>6251</v>
      </c>
      <c r="M1050" s="115" t="s">
        <v>1109</v>
      </c>
      <c r="N1050" s="115" t="s">
        <v>6399</v>
      </c>
      <c r="O1050" s="115" t="s">
        <v>1109</v>
      </c>
      <c r="P1050" s="113">
        <v>720</v>
      </c>
      <c r="Q1050" s="113">
        <v>92</v>
      </c>
      <c r="R1050" s="113">
        <v>170</v>
      </c>
      <c r="S1050" s="113">
        <v>115</v>
      </c>
      <c r="T1050" s="120">
        <v>80</v>
      </c>
      <c r="U1050" s="113">
        <v>115</v>
      </c>
      <c r="V1050" s="113">
        <v>148</v>
      </c>
    </row>
    <row r="1051" spans="1:22">
      <c r="A1051" s="113">
        <v>889</v>
      </c>
      <c r="B1051" s="113" t="s">
        <v>2322</v>
      </c>
      <c r="C1051" s="120" t="s">
        <v>6253</v>
      </c>
      <c r="D1051" s="124" t="s">
        <v>1109</v>
      </c>
      <c r="E1051" s="124" t="s">
        <v>1109</v>
      </c>
      <c r="F1051" s="113" t="s">
        <v>2333</v>
      </c>
      <c r="G1051" s="113" t="s">
        <v>2703</v>
      </c>
      <c r="H1051" s="113" t="s">
        <v>78</v>
      </c>
      <c r="I1051" s="113" t="s">
        <v>1109</v>
      </c>
      <c r="J1051" s="118" t="s">
        <v>12</v>
      </c>
      <c r="K1051" s="118" t="s">
        <v>12</v>
      </c>
      <c r="L1051" s="118" t="s">
        <v>6253</v>
      </c>
      <c r="M1051" s="115" t="s">
        <v>1109</v>
      </c>
      <c r="N1051" s="115" t="s">
        <v>6399</v>
      </c>
      <c r="O1051" s="115" t="s">
        <v>1109</v>
      </c>
      <c r="P1051" s="113">
        <v>670</v>
      </c>
      <c r="Q1051" s="113">
        <v>92</v>
      </c>
      <c r="R1051" s="113">
        <v>130</v>
      </c>
      <c r="S1051" s="113">
        <v>115</v>
      </c>
      <c r="T1051" s="120">
        <v>80</v>
      </c>
      <c r="U1051" s="113">
        <v>115</v>
      </c>
      <c r="V1051" s="113">
        <v>138</v>
      </c>
    </row>
    <row r="1052" spans="1:22">
      <c r="A1052" s="113">
        <v>889</v>
      </c>
      <c r="B1052" s="113" t="s">
        <v>2772</v>
      </c>
      <c r="C1052" s="120" t="s">
        <v>6254</v>
      </c>
      <c r="D1052" s="124" t="s">
        <v>1109</v>
      </c>
      <c r="E1052" s="124" t="s">
        <v>1109</v>
      </c>
      <c r="F1052" s="113" t="s">
        <v>2333</v>
      </c>
      <c r="G1052" s="113" t="s">
        <v>2703</v>
      </c>
      <c r="H1052" s="113" t="s">
        <v>78</v>
      </c>
      <c r="I1052" s="113" t="s">
        <v>106</v>
      </c>
      <c r="J1052" s="118" t="s">
        <v>12</v>
      </c>
      <c r="K1052" s="118" t="s">
        <v>12</v>
      </c>
      <c r="L1052" s="118" t="s">
        <v>6253</v>
      </c>
      <c r="M1052" s="115" t="s">
        <v>1109</v>
      </c>
      <c r="N1052" s="115" t="s">
        <v>6399</v>
      </c>
      <c r="O1052" s="115" t="s">
        <v>1109</v>
      </c>
      <c r="P1052" s="113">
        <v>720</v>
      </c>
      <c r="Q1052" s="113">
        <v>92</v>
      </c>
      <c r="R1052" s="113">
        <v>130</v>
      </c>
      <c r="S1052" s="113">
        <v>145</v>
      </c>
      <c r="T1052" s="120">
        <v>80</v>
      </c>
      <c r="U1052" s="113">
        <v>145</v>
      </c>
      <c r="V1052" s="113">
        <v>128</v>
      </c>
    </row>
    <row r="1053" spans="1:22">
      <c r="A1053" s="113">
        <v>890</v>
      </c>
      <c r="B1053" s="113" t="s">
        <v>2323</v>
      </c>
      <c r="C1053" s="120" t="s">
        <v>6255</v>
      </c>
      <c r="D1053" s="124" t="s">
        <v>1109</v>
      </c>
      <c r="E1053" s="124" t="s">
        <v>1109</v>
      </c>
      <c r="F1053" s="113" t="s">
        <v>2333</v>
      </c>
      <c r="G1053" s="113" t="s">
        <v>2703</v>
      </c>
      <c r="H1053" s="113" t="s">
        <v>15</v>
      </c>
      <c r="I1053" s="113" t="s">
        <v>23</v>
      </c>
      <c r="J1053" s="118" t="s">
        <v>12</v>
      </c>
      <c r="K1053" s="118" t="s">
        <v>12</v>
      </c>
      <c r="L1053" s="118" t="s">
        <v>6255</v>
      </c>
      <c r="M1053" s="115" t="s">
        <v>1109</v>
      </c>
      <c r="N1053" s="115" t="s">
        <v>6399</v>
      </c>
      <c r="O1053" s="115" t="s">
        <v>1109</v>
      </c>
      <c r="P1053" s="113">
        <v>690</v>
      </c>
      <c r="Q1053" s="113">
        <v>140</v>
      </c>
      <c r="R1053" s="113">
        <v>85</v>
      </c>
      <c r="S1053" s="113">
        <v>95</v>
      </c>
      <c r="T1053" s="120">
        <v>145</v>
      </c>
      <c r="U1053" s="113">
        <v>95</v>
      </c>
      <c r="V1053" s="113">
        <v>130</v>
      </c>
    </row>
    <row r="1054" spans="1:22">
      <c r="A1054" s="113">
        <v>890</v>
      </c>
      <c r="B1054" s="113" t="s">
        <v>2773</v>
      </c>
      <c r="C1054" s="120" t="s">
        <v>6256</v>
      </c>
      <c r="D1054" s="124" t="s">
        <v>1109</v>
      </c>
      <c r="E1054" s="124" t="s">
        <v>1109</v>
      </c>
      <c r="F1054" s="113" t="s">
        <v>2333</v>
      </c>
      <c r="G1054" s="113" t="s">
        <v>2703</v>
      </c>
      <c r="H1054" s="113" t="s">
        <v>15</v>
      </c>
      <c r="I1054" s="113" t="s">
        <v>23</v>
      </c>
      <c r="J1054" s="118" t="s">
        <v>12</v>
      </c>
      <c r="K1054" s="118" t="s">
        <v>12</v>
      </c>
      <c r="L1054" s="118" t="s">
        <v>6255</v>
      </c>
      <c r="M1054" s="115" t="s">
        <v>1109</v>
      </c>
      <c r="N1054" s="115" t="s">
        <v>6399</v>
      </c>
      <c r="O1054" s="115" t="s">
        <v>1109</v>
      </c>
      <c r="P1054" s="113">
        <v>1125</v>
      </c>
      <c r="Q1054" s="113">
        <v>255</v>
      </c>
      <c r="R1054" s="113">
        <v>115</v>
      </c>
      <c r="S1054" s="113">
        <v>250</v>
      </c>
      <c r="T1054" s="120">
        <v>125</v>
      </c>
      <c r="U1054" s="113">
        <v>250</v>
      </c>
      <c r="V1054" s="113">
        <v>130</v>
      </c>
    </row>
    <row r="1055" spans="1:22">
      <c r="A1055" s="113">
        <v>891</v>
      </c>
      <c r="B1055" s="113" t="s">
        <v>2166</v>
      </c>
      <c r="C1055" s="120" t="s">
        <v>6257</v>
      </c>
      <c r="D1055" s="124">
        <v>0.85</v>
      </c>
      <c r="E1055" s="124">
        <v>0.15</v>
      </c>
      <c r="F1055" s="113" t="s">
        <v>2333</v>
      </c>
      <c r="G1055" s="113" t="s">
        <v>2703</v>
      </c>
      <c r="H1055" s="113" t="s">
        <v>78</v>
      </c>
      <c r="I1055" s="113" t="s">
        <v>1109</v>
      </c>
      <c r="J1055" s="118" t="s">
        <v>12</v>
      </c>
      <c r="K1055" s="118" t="s">
        <v>12</v>
      </c>
      <c r="L1055" s="118" t="s">
        <v>6257</v>
      </c>
      <c r="M1055" s="115" t="s">
        <v>1109</v>
      </c>
      <c r="N1055" s="115" t="s">
        <v>2129</v>
      </c>
      <c r="O1055" s="115" t="s">
        <v>1109</v>
      </c>
      <c r="P1055" s="113">
        <v>385</v>
      </c>
      <c r="Q1055" s="113">
        <v>60</v>
      </c>
      <c r="R1055" s="113">
        <v>90</v>
      </c>
      <c r="S1055" s="113">
        <v>60</v>
      </c>
      <c r="T1055" s="120">
        <v>53</v>
      </c>
      <c r="U1055" s="113">
        <v>50</v>
      </c>
      <c r="V1055" s="113">
        <v>72</v>
      </c>
    </row>
    <row r="1056" spans="1:22">
      <c r="A1056" s="113">
        <v>892</v>
      </c>
      <c r="B1056" s="113" t="s">
        <v>2774</v>
      </c>
      <c r="C1056" s="120" t="s">
        <v>6259</v>
      </c>
      <c r="D1056" s="124">
        <v>0.85</v>
      </c>
      <c r="E1056" s="124">
        <v>0.15</v>
      </c>
      <c r="F1056" s="113" t="s">
        <v>2333</v>
      </c>
      <c r="G1056" s="113" t="s">
        <v>2703</v>
      </c>
      <c r="H1056" s="113" t="s">
        <v>78</v>
      </c>
      <c r="I1056" s="113" t="s">
        <v>158</v>
      </c>
      <c r="J1056" s="118" t="s">
        <v>12</v>
      </c>
      <c r="K1056" s="118" t="s">
        <v>12</v>
      </c>
      <c r="L1056" s="118" t="s">
        <v>6257</v>
      </c>
      <c r="M1056" s="115" t="s">
        <v>6257</v>
      </c>
      <c r="N1056" s="115" t="s">
        <v>6399</v>
      </c>
      <c r="O1056" s="115" t="s">
        <v>2130</v>
      </c>
      <c r="P1056" s="113">
        <v>550</v>
      </c>
      <c r="Q1056" s="113">
        <v>100</v>
      </c>
      <c r="R1056" s="113">
        <v>130</v>
      </c>
      <c r="S1056" s="113">
        <v>100</v>
      </c>
      <c r="T1056" s="120">
        <v>63</v>
      </c>
      <c r="U1056" s="113">
        <v>60</v>
      </c>
      <c r="V1056" s="113">
        <v>97</v>
      </c>
    </row>
    <row r="1057" spans="1:22">
      <c r="A1057" s="113">
        <v>892</v>
      </c>
      <c r="B1057" s="113" t="s">
        <v>2775</v>
      </c>
      <c r="C1057" s="120" t="s">
        <v>6258</v>
      </c>
      <c r="D1057" s="124">
        <v>0.85</v>
      </c>
      <c r="E1057" s="124">
        <v>0.15</v>
      </c>
      <c r="F1057" s="113" t="s">
        <v>2333</v>
      </c>
      <c r="G1057" s="113" t="s">
        <v>2703</v>
      </c>
      <c r="H1057" s="113" t="s">
        <v>78</v>
      </c>
      <c r="I1057" s="113" t="s">
        <v>25</v>
      </c>
      <c r="J1057" s="118" t="s">
        <v>12</v>
      </c>
      <c r="K1057" s="118" t="s">
        <v>12</v>
      </c>
      <c r="L1057" s="118" t="s">
        <v>6257</v>
      </c>
      <c r="M1057" s="115" t="s">
        <v>6257</v>
      </c>
      <c r="N1057" s="115" t="s">
        <v>6399</v>
      </c>
      <c r="O1057" s="115" t="s">
        <v>2130</v>
      </c>
      <c r="P1057" s="113">
        <v>550</v>
      </c>
      <c r="Q1057" s="113">
        <v>100</v>
      </c>
      <c r="R1057" s="113">
        <v>130</v>
      </c>
      <c r="S1057" s="113">
        <v>100</v>
      </c>
      <c r="T1057" s="120">
        <v>63</v>
      </c>
      <c r="U1057" s="113">
        <v>60</v>
      </c>
      <c r="V1057" s="113">
        <v>97</v>
      </c>
    </row>
    <row r="1058" spans="1:22">
      <c r="A1058" s="113">
        <v>893</v>
      </c>
      <c r="B1058" s="113" t="s">
        <v>2324</v>
      </c>
      <c r="C1058" s="120" t="s">
        <v>6260</v>
      </c>
      <c r="D1058" s="124" t="s">
        <v>1109</v>
      </c>
      <c r="E1058" s="124" t="s">
        <v>1109</v>
      </c>
      <c r="F1058" s="113" t="s">
        <v>2333</v>
      </c>
      <c r="G1058" s="113" t="s">
        <v>2703</v>
      </c>
      <c r="H1058" s="113" t="s">
        <v>158</v>
      </c>
      <c r="I1058" s="113" t="s">
        <v>14</v>
      </c>
      <c r="J1058" s="118" t="s">
        <v>12</v>
      </c>
      <c r="K1058" s="118" t="s">
        <v>12</v>
      </c>
      <c r="L1058" s="118" t="s">
        <v>6260</v>
      </c>
      <c r="M1058" s="115" t="s">
        <v>1109</v>
      </c>
      <c r="N1058" s="115" t="s">
        <v>6399</v>
      </c>
      <c r="O1058" s="115" t="s">
        <v>1109</v>
      </c>
      <c r="P1058" s="113">
        <v>600</v>
      </c>
      <c r="Q1058" s="113">
        <v>105</v>
      </c>
      <c r="R1058" s="113">
        <v>120</v>
      </c>
      <c r="S1058" s="113">
        <v>105</v>
      </c>
      <c r="T1058" s="120">
        <v>70</v>
      </c>
      <c r="U1058" s="113">
        <v>95</v>
      </c>
      <c r="V1058" s="113">
        <v>105</v>
      </c>
    </row>
    <row r="1059" spans="1:22">
      <c r="A1059" s="113">
        <v>894</v>
      </c>
      <c r="B1059" s="113" t="s">
        <v>2325</v>
      </c>
      <c r="C1059" s="120" t="s">
        <v>6261</v>
      </c>
      <c r="D1059" s="124" t="s">
        <v>1109</v>
      </c>
      <c r="E1059" s="124" t="s">
        <v>1109</v>
      </c>
      <c r="F1059" s="113" t="s">
        <v>2333</v>
      </c>
      <c r="G1059" s="113" t="s">
        <v>2703</v>
      </c>
      <c r="H1059" s="113" t="s">
        <v>46</v>
      </c>
      <c r="I1059" s="113" t="s">
        <v>1109</v>
      </c>
      <c r="J1059" s="118" t="s">
        <v>12</v>
      </c>
      <c r="K1059" s="118" t="s">
        <v>12</v>
      </c>
      <c r="L1059" s="118" t="s">
        <v>6261</v>
      </c>
      <c r="M1059" s="115" t="s">
        <v>1109</v>
      </c>
      <c r="N1059" s="115" t="s">
        <v>6399</v>
      </c>
      <c r="O1059" s="115" t="s">
        <v>1109</v>
      </c>
      <c r="P1059" s="113">
        <v>580</v>
      </c>
      <c r="Q1059" s="113">
        <v>80</v>
      </c>
      <c r="R1059" s="113">
        <v>100</v>
      </c>
      <c r="S1059" s="113">
        <v>50</v>
      </c>
      <c r="T1059" s="120">
        <v>100</v>
      </c>
      <c r="U1059" s="113">
        <v>50</v>
      </c>
      <c r="V1059" s="113">
        <v>200</v>
      </c>
    </row>
    <row r="1060" spans="1:22">
      <c r="A1060" s="113">
        <v>895</v>
      </c>
      <c r="B1060" s="113" t="s">
        <v>2326</v>
      </c>
      <c r="C1060" s="120" t="s">
        <v>6262</v>
      </c>
      <c r="D1060" s="124" t="s">
        <v>1109</v>
      </c>
      <c r="E1060" s="124" t="s">
        <v>1109</v>
      </c>
      <c r="F1060" s="113" t="s">
        <v>2333</v>
      </c>
      <c r="G1060" s="113" t="s">
        <v>2703</v>
      </c>
      <c r="H1060" s="113" t="s">
        <v>23</v>
      </c>
      <c r="I1060" s="113" t="s">
        <v>1109</v>
      </c>
      <c r="J1060" s="118" t="s">
        <v>12</v>
      </c>
      <c r="K1060" s="118" t="s">
        <v>12</v>
      </c>
      <c r="L1060" s="118" t="s">
        <v>6262</v>
      </c>
      <c r="M1060" s="115" t="s">
        <v>1109</v>
      </c>
      <c r="N1060" s="115" t="s">
        <v>6399</v>
      </c>
      <c r="O1060" s="115" t="s">
        <v>1109</v>
      </c>
      <c r="P1060" s="113">
        <v>580</v>
      </c>
      <c r="Q1060" s="113">
        <v>200</v>
      </c>
      <c r="R1060" s="113">
        <v>100</v>
      </c>
      <c r="S1060" s="113">
        <v>50</v>
      </c>
      <c r="T1060" s="120">
        <v>100</v>
      </c>
      <c r="U1060" s="113">
        <v>50</v>
      </c>
      <c r="V1060" s="113">
        <v>80</v>
      </c>
    </row>
    <row r="1061" spans="1:22">
      <c r="A1061" s="113">
        <v>896</v>
      </c>
      <c r="B1061" s="113" t="s">
        <v>2327</v>
      </c>
      <c r="C1061" s="120" t="s">
        <v>6263</v>
      </c>
      <c r="D1061" s="124" t="s">
        <v>1109</v>
      </c>
      <c r="E1061" s="124" t="s">
        <v>1109</v>
      </c>
      <c r="F1061" s="113" t="s">
        <v>2333</v>
      </c>
      <c r="G1061" s="113" t="s">
        <v>2703</v>
      </c>
      <c r="H1061" s="113" t="s">
        <v>113</v>
      </c>
      <c r="I1061" s="113" t="s">
        <v>1109</v>
      </c>
      <c r="J1061" s="118" t="s">
        <v>12</v>
      </c>
      <c r="K1061" s="118" t="s">
        <v>12</v>
      </c>
      <c r="L1061" s="118" t="s">
        <v>6263</v>
      </c>
      <c r="M1061" s="115" t="s">
        <v>1109</v>
      </c>
      <c r="N1061" s="115" t="s">
        <v>6399</v>
      </c>
      <c r="O1061" s="115" t="s">
        <v>1109</v>
      </c>
      <c r="P1061" s="113">
        <v>580</v>
      </c>
      <c r="Q1061" s="113">
        <v>100</v>
      </c>
      <c r="R1061" s="113">
        <v>145</v>
      </c>
      <c r="S1061" s="113">
        <v>130</v>
      </c>
      <c r="T1061" s="120">
        <v>65</v>
      </c>
      <c r="U1061" s="113">
        <v>110</v>
      </c>
      <c r="V1061" s="113">
        <v>30</v>
      </c>
    </row>
    <row r="1062" spans="1:22" ht="15" customHeight="1">
      <c r="A1062" s="113">
        <v>897</v>
      </c>
      <c r="B1062" s="113" t="s">
        <v>2328</v>
      </c>
      <c r="C1062" s="120" t="s">
        <v>6264</v>
      </c>
      <c r="D1062" s="124" t="s">
        <v>1109</v>
      </c>
      <c r="E1062" s="124" t="s">
        <v>1109</v>
      </c>
      <c r="F1062" s="113" t="s">
        <v>2333</v>
      </c>
      <c r="G1062" s="113" t="s">
        <v>2703</v>
      </c>
      <c r="H1062" s="113" t="s">
        <v>119</v>
      </c>
      <c r="I1062" s="113" t="s">
        <v>1109</v>
      </c>
      <c r="J1062" s="118" t="s">
        <v>12</v>
      </c>
      <c r="K1062" s="118" t="s">
        <v>12</v>
      </c>
      <c r="L1062" s="118" t="s">
        <v>6264</v>
      </c>
      <c r="M1062" s="115" t="s">
        <v>1109</v>
      </c>
      <c r="N1062" s="115" t="s">
        <v>6399</v>
      </c>
      <c r="O1062" s="115" t="s">
        <v>1109</v>
      </c>
      <c r="P1062" s="113">
        <v>580</v>
      </c>
      <c r="Q1062" s="113">
        <v>100</v>
      </c>
      <c r="R1062" s="113">
        <v>65</v>
      </c>
      <c r="S1062" s="113">
        <v>60</v>
      </c>
      <c r="T1062" s="120">
        <v>145</v>
      </c>
      <c r="U1062" s="113">
        <v>80</v>
      </c>
      <c r="V1062" s="113">
        <v>130</v>
      </c>
    </row>
    <row r="1063" spans="1:22" ht="15" customHeight="1">
      <c r="A1063" s="113">
        <v>898</v>
      </c>
      <c r="B1063" s="113" t="s">
        <v>2329</v>
      </c>
      <c r="C1063" s="120" t="s">
        <v>6265</v>
      </c>
      <c r="D1063" s="124" t="s">
        <v>1109</v>
      </c>
      <c r="E1063" s="124" t="s">
        <v>1109</v>
      </c>
      <c r="F1063" s="113" t="s">
        <v>2333</v>
      </c>
      <c r="G1063" s="113" t="s">
        <v>2703</v>
      </c>
      <c r="H1063" s="113" t="s">
        <v>86</v>
      </c>
      <c r="I1063" s="113" t="s">
        <v>14</v>
      </c>
      <c r="J1063" s="118" t="s">
        <v>12</v>
      </c>
      <c r="K1063" s="118" t="s">
        <v>12</v>
      </c>
      <c r="L1063" s="118" t="s">
        <v>6265</v>
      </c>
      <c r="M1063" s="115" t="s">
        <v>1109</v>
      </c>
      <c r="N1063" s="115" t="s">
        <v>6399</v>
      </c>
      <c r="O1063" s="115" t="s">
        <v>1109</v>
      </c>
      <c r="P1063" s="113">
        <v>500</v>
      </c>
      <c r="Q1063" s="113">
        <v>100</v>
      </c>
      <c r="R1063" s="113">
        <v>80</v>
      </c>
      <c r="S1063" s="113">
        <v>80</v>
      </c>
      <c r="T1063" s="120">
        <v>80</v>
      </c>
      <c r="U1063" s="113">
        <v>80</v>
      </c>
      <c r="V1063" s="113">
        <v>80</v>
      </c>
    </row>
    <row r="1064" spans="1:22" ht="15" customHeight="1">
      <c r="A1064" s="113">
        <v>898</v>
      </c>
      <c r="B1064" s="113" t="s">
        <v>2776</v>
      </c>
      <c r="C1064" s="120" t="s">
        <v>6266</v>
      </c>
      <c r="D1064" s="124" t="s">
        <v>1109</v>
      </c>
      <c r="E1064" s="124" t="s">
        <v>1109</v>
      </c>
      <c r="F1064" s="113" t="s">
        <v>2333</v>
      </c>
      <c r="G1064" s="113" t="s">
        <v>2703</v>
      </c>
      <c r="H1064" s="113" t="s">
        <v>86</v>
      </c>
      <c r="I1064" s="113" t="s">
        <v>113</v>
      </c>
      <c r="J1064" s="118" t="s">
        <v>12</v>
      </c>
      <c r="K1064" s="118" t="s">
        <v>12</v>
      </c>
      <c r="L1064" s="118" t="s">
        <v>6265</v>
      </c>
      <c r="M1064" s="115" t="s">
        <v>1109</v>
      </c>
      <c r="N1064" s="115" t="s">
        <v>6399</v>
      </c>
      <c r="O1064" s="115" t="s">
        <v>1109</v>
      </c>
      <c r="P1064" s="113">
        <v>680</v>
      </c>
      <c r="Q1064" s="113">
        <v>100</v>
      </c>
      <c r="R1064" s="113">
        <v>165</v>
      </c>
      <c r="S1064" s="113">
        <v>150</v>
      </c>
      <c r="T1064" s="120">
        <v>85</v>
      </c>
      <c r="U1064" s="113">
        <v>130</v>
      </c>
      <c r="V1064" s="113">
        <v>50</v>
      </c>
    </row>
    <row r="1065" spans="1:22" ht="15" customHeight="1">
      <c r="A1065" s="113">
        <v>898</v>
      </c>
      <c r="B1065" s="113" t="s">
        <v>2777</v>
      </c>
      <c r="C1065" s="120" t="s">
        <v>6267</v>
      </c>
      <c r="D1065" s="124" t="s">
        <v>1109</v>
      </c>
      <c r="E1065" s="124" t="s">
        <v>1109</v>
      </c>
      <c r="F1065" s="113" t="s">
        <v>2333</v>
      </c>
      <c r="G1065" s="113" t="s">
        <v>2703</v>
      </c>
      <c r="H1065" s="113" t="s">
        <v>86</v>
      </c>
      <c r="I1065" s="113" t="s">
        <v>119</v>
      </c>
      <c r="J1065" s="118" t="s">
        <v>12</v>
      </c>
      <c r="K1065" s="118" t="s">
        <v>12</v>
      </c>
      <c r="L1065" s="118" t="s">
        <v>6265</v>
      </c>
      <c r="M1065" s="115" t="s">
        <v>1109</v>
      </c>
      <c r="N1065" s="115" t="s">
        <v>6399</v>
      </c>
      <c r="O1065" s="115" t="s">
        <v>1109</v>
      </c>
      <c r="P1065" s="113">
        <v>680</v>
      </c>
      <c r="Q1065" s="113">
        <v>100</v>
      </c>
      <c r="R1065" s="113">
        <v>85</v>
      </c>
      <c r="S1065" s="113">
        <v>80</v>
      </c>
      <c r="T1065" s="120">
        <v>165</v>
      </c>
      <c r="U1065" s="113">
        <v>100</v>
      </c>
      <c r="V1065" s="113">
        <v>150</v>
      </c>
    </row>
    <row r="1066" spans="1:22" ht="15" customHeight="1">
      <c r="A1066" s="113">
        <v>899</v>
      </c>
      <c r="B1066" s="113" t="s">
        <v>2338</v>
      </c>
      <c r="C1066" s="120" t="s">
        <v>6268</v>
      </c>
      <c r="D1066" s="124">
        <v>0.5</v>
      </c>
      <c r="E1066" s="124">
        <v>0.5</v>
      </c>
      <c r="F1066" s="113" t="s">
        <v>2332</v>
      </c>
      <c r="G1066" s="113" t="s">
        <v>4319</v>
      </c>
      <c r="H1066" s="113" t="s">
        <v>36</v>
      </c>
      <c r="I1066" s="113" t="s">
        <v>86</v>
      </c>
      <c r="J1066" s="118" t="s">
        <v>2129</v>
      </c>
      <c r="K1066" s="118" t="s">
        <v>4657</v>
      </c>
      <c r="L1066" s="118" t="s">
        <v>5505</v>
      </c>
      <c r="M1066" s="115" t="s">
        <v>5505</v>
      </c>
      <c r="N1066" s="115" t="s">
        <v>6399</v>
      </c>
      <c r="O1066" s="115" t="s">
        <v>2128</v>
      </c>
      <c r="P1066" s="113">
        <v>525</v>
      </c>
      <c r="Q1066" s="113">
        <v>103</v>
      </c>
      <c r="R1066" s="113">
        <v>105</v>
      </c>
      <c r="S1066" s="113">
        <v>72</v>
      </c>
      <c r="T1066" s="120">
        <v>105</v>
      </c>
      <c r="U1066" s="113">
        <v>75</v>
      </c>
      <c r="V1066" s="113">
        <v>65</v>
      </c>
    </row>
    <row r="1067" spans="1:22" ht="15" customHeight="1">
      <c r="A1067" s="113">
        <v>900</v>
      </c>
      <c r="B1067" s="113" t="s">
        <v>2339</v>
      </c>
      <c r="C1067" s="120" t="s">
        <v>6269</v>
      </c>
      <c r="D1067" s="124">
        <v>0.5</v>
      </c>
      <c r="E1067" s="124">
        <v>0.5</v>
      </c>
      <c r="F1067" s="113" t="s">
        <v>29</v>
      </c>
      <c r="G1067" s="113" t="s">
        <v>4319</v>
      </c>
      <c r="H1067" s="113" t="s">
        <v>29</v>
      </c>
      <c r="I1067" s="113" t="s">
        <v>98</v>
      </c>
      <c r="J1067" s="118" t="s">
        <v>2129</v>
      </c>
      <c r="K1067" s="118" t="s">
        <v>4657</v>
      </c>
      <c r="L1067" s="118" t="s">
        <v>5373</v>
      </c>
      <c r="M1067" s="115" t="s">
        <v>5373</v>
      </c>
      <c r="N1067" s="115" t="s">
        <v>6399</v>
      </c>
      <c r="O1067" s="115" t="s">
        <v>2130</v>
      </c>
      <c r="P1067" s="113">
        <v>500</v>
      </c>
      <c r="Q1067" s="113">
        <v>70</v>
      </c>
      <c r="R1067" s="113">
        <v>135</v>
      </c>
      <c r="S1067" s="113">
        <v>95</v>
      </c>
      <c r="T1067" s="120">
        <v>45</v>
      </c>
      <c r="U1067" s="113">
        <v>70</v>
      </c>
      <c r="V1067" s="113">
        <v>85</v>
      </c>
    </row>
    <row r="1068" spans="1:22" ht="15" customHeight="1">
      <c r="A1068" s="113">
        <v>901</v>
      </c>
      <c r="B1068" s="113" t="s">
        <v>2340</v>
      </c>
      <c r="C1068" s="120" t="s">
        <v>6270</v>
      </c>
      <c r="D1068" s="124">
        <v>0.5</v>
      </c>
      <c r="E1068" s="124">
        <v>0.5</v>
      </c>
      <c r="F1068" s="113" t="s">
        <v>2332</v>
      </c>
      <c r="G1068" s="113" t="s">
        <v>4319</v>
      </c>
      <c r="H1068" s="113" t="s">
        <v>49</v>
      </c>
      <c r="I1068" s="113" t="s">
        <v>36</v>
      </c>
      <c r="J1068" s="118" t="s">
        <v>2129</v>
      </c>
      <c r="K1068" s="118" t="s">
        <v>4658</v>
      </c>
      <c r="L1068" s="118" t="s">
        <v>5485</v>
      </c>
      <c r="M1068" s="115" t="s">
        <v>5486</v>
      </c>
      <c r="N1068" s="115" t="s">
        <v>6399</v>
      </c>
      <c r="O1068" s="115" t="s">
        <v>2130</v>
      </c>
      <c r="P1068" s="113">
        <v>550</v>
      </c>
      <c r="Q1068" s="113">
        <v>130</v>
      </c>
      <c r="R1068" s="113">
        <v>140</v>
      </c>
      <c r="S1068" s="113">
        <v>105</v>
      </c>
      <c r="T1068" s="120">
        <v>45</v>
      </c>
      <c r="U1068" s="113">
        <v>80</v>
      </c>
      <c r="V1068" s="113">
        <v>50</v>
      </c>
    </row>
    <row r="1069" spans="1:22">
      <c r="A1069" s="113">
        <v>902</v>
      </c>
      <c r="B1069" s="113" t="s">
        <v>2778</v>
      </c>
      <c r="C1069" s="120" t="s">
        <v>6272</v>
      </c>
      <c r="D1069" s="124">
        <v>0.5</v>
      </c>
      <c r="E1069" s="124">
        <v>0.5</v>
      </c>
      <c r="F1069" s="113" t="s">
        <v>2337</v>
      </c>
      <c r="G1069" s="113" t="s">
        <v>4319</v>
      </c>
      <c r="H1069" s="113" t="s">
        <v>25</v>
      </c>
      <c r="I1069" s="113" t="s">
        <v>119</v>
      </c>
      <c r="J1069" s="118" t="s">
        <v>2129</v>
      </c>
      <c r="K1069" s="118" t="s">
        <v>4658</v>
      </c>
      <c r="L1069" s="118" t="s">
        <v>5868</v>
      </c>
      <c r="M1069" s="115" t="s">
        <v>5868</v>
      </c>
      <c r="N1069" s="115" t="s">
        <v>6399</v>
      </c>
      <c r="O1069" s="115" t="s">
        <v>2128</v>
      </c>
      <c r="P1069" s="113">
        <v>530</v>
      </c>
      <c r="Q1069" s="113">
        <v>120</v>
      </c>
      <c r="R1069" s="113">
        <v>112</v>
      </c>
      <c r="S1069" s="113">
        <v>65</v>
      </c>
      <c r="T1069" s="120">
        <v>80</v>
      </c>
      <c r="U1069" s="113">
        <v>75</v>
      </c>
      <c r="V1069" s="113">
        <v>78</v>
      </c>
    </row>
    <row r="1070" spans="1:22">
      <c r="A1070" s="113">
        <v>902</v>
      </c>
      <c r="B1070" s="113" t="s">
        <v>2779</v>
      </c>
      <c r="C1070" s="120" t="s">
        <v>6271</v>
      </c>
      <c r="D1070" s="124">
        <v>0.5</v>
      </c>
      <c r="E1070" s="124">
        <v>0.5</v>
      </c>
      <c r="F1070" s="113" t="s">
        <v>2337</v>
      </c>
      <c r="G1070" s="113" t="s">
        <v>4319</v>
      </c>
      <c r="H1070" s="113" t="s">
        <v>25</v>
      </c>
      <c r="I1070" s="113" t="s">
        <v>119</v>
      </c>
      <c r="J1070" s="118" t="s">
        <v>2129</v>
      </c>
      <c r="K1070" s="118" t="s">
        <v>4658</v>
      </c>
      <c r="L1070" s="118" t="s">
        <v>5868</v>
      </c>
      <c r="M1070" s="115" t="s">
        <v>5868</v>
      </c>
      <c r="N1070" s="115" t="s">
        <v>6399</v>
      </c>
      <c r="O1070" s="115" t="s">
        <v>2128</v>
      </c>
      <c r="P1070" s="113">
        <v>530</v>
      </c>
      <c r="Q1070" s="113">
        <v>120</v>
      </c>
      <c r="R1070" s="113">
        <v>92</v>
      </c>
      <c r="S1070" s="113">
        <v>65</v>
      </c>
      <c r="T1070" s="120">
        <v>100</v>
      </c>
      <c r="U1070" s="113">
        <v>75</v>
      </c>
      <c r="V1070" s="113">
        <v>78</v>
      </c>
    </row>
    <row r="1071" spans="1:22">
      <c r="A1071" s="113">
        <v>903</v>
      </c>
      <c r="B1071" s="113" t="s">
        <v>2342</v>
      </c>
      <c r="C1071" s="120" t="s">
        <v>6273</v>
      </c>
      <c r="D1071" s="124">
        <v>0.5</v>
      </c>
      <c r="E1071" s="124">
        <v>0.5</v>
      </c>
      <c r="F1071" s="113" t="s">
        <v>2332</v>
      </c>
      <c r="G1071" s="113" t="s">
        <v>4319</v>
      </c>
      <c r="H1071" s="113" t="s">
        <v>78</v>
      </c>
      <c r="I1071" s="113" t="s">
        <v>15</v>
      </c>
      <c r="J1071" s="118" t="s">
        <v>2129</v>
      </c>
      <c r="K1071" s="118" t="s">
        <v>4658</v>
      </c>
      <c r="L1071" s="118" t="s">
        <v>5483</v>
      </c>
      <c r="M1071" s="115" t="s">
        <v>5484</v>
      </c>
      <c r="N1071" s="115" t="s">
        <v>6399</v>
      </c>
      <c r="O1071" s="115" t="s">
        <v>2130</v>
      </c>
      <c r="P1071" s="113">
        <v>510</v>
      </c>
      <c r="Q1071" s="113">
        <v>80</v>
      </c>
      <c r="R1071" s="113">
        <v>130</v>
      </c>
      <c r="S1071" s="113">
        <v>60</v>
      </c>
      <c r="T1071" s="120">
        <v>40</v>
      </c>
      <c r="U1071" s="113">
        <v>80</v>
      </c>
      <c r="V1071" s="113">
        <v>120</v>
      </c>
    </row>
    <row r="1072" spans="1:22">
      <c r="A1072" s="113">
        <v>904</v>
      </c>
      <c r="B1072" s="113" t="s">
        <v>2343</v>
      </c>
      <c r="C1072" s="120" t="s">
        <v>6274</v>
      </c>
      <c r="D1072" s="124">
        <v>0.5</v>
      </c>
      <c r="E1072" s="124">
        <v>0.5</v>
      </c>
      <c r="F1072" s="113" t="s">
        <v>2337</v>
      </c>
      <c r="G1072" s="113" t="s">
        <v>4319</v>
      </c>
      <c r="H1072" s="113" t="s">
        <v>158</v>
      </c>
      <c r="I1072" s="113" t="s">
        <v>15</v>
      </c>
      <c r="J1072" s="118" t="s">
        <v>2129</v>
      </c>
      <c r="K1072" s="118" t="s">
        <v>4658</v>
      </c>
      <c r="L1072" s="118" t="s">
        <v>5476</v>
      </c>
      <c r="M1072" s="115" t="s">
        <v>5477</v>
      </c>
      <c r="N1072" s="115" t="s">
        <v>6399</v>
      </c>
      <c r="O1072" s="115" t="s">
        <v>2128</v>
      </c>
      <c r="P1072" s="113">
        <v>510</v>
      </c>
      <c r="Q1072" s="113">
        <v>85</v>
      </c>
      <c r="R1072" s="113">
        <v>115</v>
      </c>
      <c r="S1072" s="113">
        <v>95</v>
      </c>
      <c r="T1072" s="120">
        <v>65</v>
      </c>
      <c r="U1072" s="113">
        <v>65</v>
      </c>
      <c r="V1072" s="113">
        <v>85</v>
      </c>
    </row>
    <row r="1073" spans="1:22">
      <c r="A1073" s="113">
        <v>905</v>
      </c>
      <c r="B1073" s="113" t="s">
        <v>2780</v>
      </c>
      <c r="C1073" s="120" t="s">
        <v>6275</v>
      </c>
      <c r="D1073" s="124">
        <v>0</v>
      </c>
      <c r="E1073" s="124">
        <v>1</v>
      </c>
      <c r="F1073" s="113" t="s">
        <v>2333</v>
      </c>
      <c r="G1073" s="113" t="s">
        <v>4319</v>
      </c>
      <c r="H1073" s="113" t="s">
        <v>56</v>
      </c>
      <c r="I1073" s="113" t="s">
        <v>22</v>
      </c>
      <c r="J1073" s="118" t="s">
        <v>12</v>
      </c>
      <c r="K1073" s="118" t="s">
        <v>12</v>
      </c>
      <c r="L1073" s="118" t="s">
        <v>6275</v>
      </c>
      <c r="M1073" s="115" t="s">
        <v>1109</v>
      </c>
      <c r="N1073" s="115" t="s">
        <v>6399</v>
      </c>
      <c r="O1073" s="115" t="s">
        <v>1109</v>
      </c>
      <c r="P1073" s="113">
        <v>580</v>
      </c>
      <c r="Q1073" s="113">
        <v>74</v>
      </c>
      <c r="R1073" s="113">
        <v>115</v>
      </c>
      <c r="S1073" s="113">
        <v>70</v>
      </c>
      <c r="T1073" s="120">
        <v>135</v>
      </c>
      <c r="U1073" s="113">
        <v>80</v>
      </c>
      <c r="V1073" s="113">
        <v>106</v>
      </c>
    </row>
    <row r="1074" spans="1:22">
      <c r="A1074" s="113">
        <v>905</v>
      </c>
      <c r="B1074" s="113" t="s">
        <v>2781</v>
      </c>
      <c r="C1074" s="120" t="s">
        <v>6276</v>
      </c>
      <c r="D1074" s="124">
        <v>0</v>
      </c>
      <c r="E1074" s="124">
        <v>1</v>
      </c>
      <c r="F1074" s="113" t="s">
        <v>2333</v>
      </c>
      <c r="G1074" s="113" t="s">
        <v>4319</v>
      </c>
      <c r="H1074" s="113" t="s">
        <v>56</v>
      </c>
      <c r="I1074" s="113" t="s">
        <v>22</v>
      </c>
      <c r="J1074" s="118" t="s">
        <v>12</v>
      </c>
      <c r="K1074" s="118" t="s">
        <v>12</v>
      </c>
      <c r="L1074" s="118" t="s">
        <v>6275</v>
      </c>
      <c r="M1074" s="115" t="s">
        <v>1109</v>
      </c>
      <c r="N1074" s="115" t="s">
        <v>6399</v>
      </c>
      <c r="O1074" s="115" t="s">
        <v>1109</v>
      </c>
      <c r="P1074" s="113">
        <v>580</v>
      </c>
      <c r="Q1074" s="113">
        <v>74</v>
      </c>
      <c r="R1074" s="113">
        <v>115</v>
      </c>
      <c r="S1074" s="113">
        <v>110</v>
      </c>
      <c r="T1074" s="120">
        <v>135</v>
      </c>
      <c r="U1074" s="113">
        <v>100</v>
      </c>
      <c r="V1074" s="113">
        <v>46</v>
      </c>
    </row>
    <row r="1075" spans="1:22">
      <c r="A1075" s="113">
        <v>906</v>
      </c>
      <c r="B1075" s="113" t="s">
        <v>5094</v>
      </c>
      <c r="C1075" s="120" t="s">
        <v>6277</v>
      </c>
      <c r="D1075" s="124">
        <v>0.85</v>
      </c>
      <c r="E1075" s="124">
        <v>0.15</v>
      </c>
      <c r="F1075" s="113" t="s">
        <v>14</v>
      </c>
      <c r="G1075" s="113" t="s">
        <v>5208</v>
      </c>
      <c r="H1075" s="113" t="s">
        <v>14</v>
      </c>
      <c r="I1075" s="113" t="s">
        <v>1109</v>
      </c>
      <c r="J1075" s="118" t="s">
        <v>792</v>
      </c>
      <c r="K1075" s="118" t="s">
        <v>4657</v>
      </c>
      <c r="L1075" s="118" t="s">
        <v>6277</v>
      </c>
      <c r="M1075" s="115" t="s">
        <v>1109</v>
      </c>
      <c r="N1075" s="115" t="s">
        <v>2129</v>
      </c>
      <c r="O1075" s="115" t="s">
        <v>1109</v>
      </c>
      <c r="P1075" s="113">
        <v>310</v>
      </c>
      <c r="Q1075" s="113">
        <v>40</v>
      </c>
      <c r="R1075" s="113">
        <v>61</v>
      </c>
      <c r="S1075" s="113">
        <v>54</v>
      </c>
      <c r="T1075" s="120">
        <v>45</v>
      </c>
      <c r="U1075" s="113">
        <v>45</v>
      </c>
      <c r="V1075" s="113">
        <v>65</v>
      </c>
    </row>
    <row r="1076" spans="1:22">
      <c r="A1076" s="113">
        <v>907</v>
      </c>
      <c r="B1076" s="113" t="s">
        <v>5095</v>
      </c>
      <c r="C1076" s="120" t="s">
        <v>6278</v>
      </c>
      <c r="D1076" s="124">
        <v>0.85</v>
      </c>
      <c r="E1076" s="124">
        <v>0.15</v>
      </c>
      <c r="F1076" s="113" t="s">
        <v>14</v>
      </c>
      <c r="G1076" s="113" t="s">
        <v>5208</v>
      </c>
      <c r="H1076" s="113" t="s">
        <v>14</v>
      </c>
      <c r="I1076" s="113" t="s">
        <v>1109</v>
      </c>
      <c r="J1076" s="118" t="s">
        <v>792</v>
      </c>
      <c r="K1076" s="118" t="s">
        <v>4657</v>
      </c>
      <c r="L1076" s="118" t="s">
        <v>6277</v>
      </c>
      <c r="M1076" s="115" t="s">
        <v>6277</v>
      </c>
      <c r="N1076" s="115" t="s">
        <v>6398</v>
      </c>
      <c r="O1076" s="115" t="s">
        <v>2128</v>
      </c>
      <c r="P1076" s="113">
        <v>410</v>
      </c>
      <c r="Q1076" s="113">
        <v>61</v>
      </c>
      <c r="R1076" s="113">
        <v>80</v>
      </c>
      <c r="S1076" s="113">
        <v>63</v>
      </c>
      <c r="T1076" s="120">
        <v>60</v>
      </c>
      <c r="U1076" s="113">
        <v>63</v>
      </c>
      <c r="V1076" s="113">
        <v>83</v>
      </c>
    </row>
    <row r="1077" spans="1:22">
      <c r="A1077" s="113">
        <v>908</v>
      </c>
      <c r="B1077" s="113" t="s">
        <v>5096</v>
      </c>
      <c r="C1077" s="120" t="s">
        <v>6279</v>
      </c>
      <c r="D1077" s="124">
        <v>0.85</v>
      </c>
      <c r="E1077" s="124">
        <v>0.15</v>
      </c>
      <c r="F1077" s="113" t="s">
        <v>14</v>
      </c>
      <c r="G1077" s="113" t="s">
        <v>5208</v>
      </c>
      <c r="H1077" s="113" t="s">
        <v>14</v>
      </c>
      <c r="I1077" s="113" t="s">
        <v>158</v>
      </c>
      <c r="J1077" s="118" t="s">
        <v>792</v>
      </c>
      <c r="K1077" s="118" t="s">
        <v>4657</v>
      </c>
      <c r="L1077" s="118" t="s">
        <v>6277</v>
      </c>
      <c r="M1077" s="115" t="s">
        <v>6278</v>
      </c>
      <c r="N1077" s="115" t="s">
        <v>6399</v>
      </c>
      <c r="O1077" s="115" t="s">
        <v>2128</v>
      </c>
      <c r="P1077" s="113">
        <v>530</v>
      </c>
      <c r="Q1077" s="113">
        <v>76</v>
      </c>
      <c r="R1077" s="113">
        <v>110</v>
      </c>
      <c r="S1077" s="113">
        <v>70</v>
      </c>
      <c r="T1077" s="120">
        <v>81</v>
      </c>
      <c r="U1077" s="113">
        <v>70</v>
      </c>
      <c r="V1077" s="113">
        <v>123</v>
      </c>
    </row>
    <row r="1078" spans="1:22">
      <c r="A1078" s="113">
        <v>909</v>
      </c>
      <c r="B1078" s="113" t="s">
        <v>5097</v>
      </c>
      <c r="C1078" s="120" t="s">
        <v>6280</v>
      </c>
      <c r="D1078" s="124">
        <v>0.85</v>
      </c>
      <c r="E1078" s="124">
        <v>0.15</v>
      </c>
      <c r="F1078" s="113" t="s">
        <v>2332</v>
      </c>
      <c r="G1078" s="113" t="s">
        <v>5208</v>
      </c>
      <c r="H1078" s="113" t="s">
        <v>19</v>
      </c>
      <c r="I1078" s="113" t="s">
        <v>1109</v>
      </c>
      <c r="J1078" s="118" t="s">
        <v>792</v>
      </c>
      <c r="K1078" s="118" t="s">
        <v>4657</v>
      </c>
      <c r="L1078" s="118" t="s">
        <v>6280</v>
      </c>
      <c r="M1078" s="115" t="s">
        <v>1109</v>
      </c>
      <c r="N1078" s="115" t="s">
        <v>2129</v>
      </c>
      <c r="O1078" s="115" t="s">
        <v>1109</v>
      </c>
      <c r="P1078" s="113">
        <v>310</v>
      </c>
      <c r="Q1078" s="113">
        <v>67</v>
      </c>
      <c r="R1078" s="113">
        <v>45</v>
      </c>
      <c r="S1078" s="113">
        <v>59</v>
      </c>
      <c r="T1078" s="120">
        <v>63</v>
      </c>
      <c r="U1078" s="113">
        <v>40</v>
      </c>
      <c r="V1078" s="113">
        <v>36</v>
      </c>
    </row>
    <row r="1079" spans="1:22">
      <c r="A1079" s="113">
        <v>910</v>
      </c>
      <c r="B1079" s="113" t="s">
        <v>5098</v>
      </c>
      <c r="C1079" s="120" t="s">
        <v>6281</v>
      </c>
      <c r="D1079" s="124">
        <v>0.85</v>
      </c>
      <c r="E1079" s="124">
        <v>0.15</v>
      </c>
      <c r="F1079" s="113" t="s">
        <v>2332</v>
      </c>
      <c r="G1079" s="113" t="s">
        <v>5208</v>
      </c>
      <c r="H1079" s="113" t="s">
        <v>19</v>
      </c>
      <c r="I1079" s="113" t="s">
        <v>1109</v>
      </c>
      <c r="J1079" s="118" t="s">
        <v>792</v>
      </c>
      <c r="K1079" s="118" t="s">
        <v>4657</v>
      </c>
      <c r="L1079" s="118" t="s">
        <v>6280</v>
      </c>
      <c r="M1079" s="115" t="s">
        <v>6280</v>
      </c>
      <c r="N1079" s="115" t="s">
        <v>6398</v>
      </c>
      <c r="O1079" s="115" t="s">
        <v>2128</v>
      </c>
      <c r="P1079" s="113">
        <v>411</v>
      </c>
      <c r="Q1079" s="113">
        <v>81</v>
      </c>
      <c r="R1079" s="113">
        <v>55</v>
      </c>
      <c r="S1079" s="113">
        <v>78</v>
      </c>
      <c r="T1079" s="120">
        <v>90</v>
      </c>
      <c r="U1079" s="113">
        <v>58</v>
      </c>
      <c r="V1079" s="113">
        <v>49</v>
      </c>
    </row>
    <row r="1080" spans="1:22">
      <c r="A1080" s="113">
        <v>911</v>
      </c>
      <c r="B1080" s="113" t="s">
        <v>5099</v>
      </c>
      <c r="C1080" s="120" t="s">
        <v>6282</v>
      </c>
      <c r="D1080" s="124">
        <v>0.85</v>
      </c>
      <c r="E1080" s="124">
        <v>0.15</v>
      </c>
      <c r="F1080" s="113" t="s">
        <v>2332</v>
      </c>
      <c r="G1080" s="113" t="s">
        <v>5208</v>
      </c>
      <c r="H1080" s="113" t="s">
        <v>19</v>
      </c>
      <c r="I1080" s="113" t="s">
        <v>119</v>
      </c>
      <c r="J1080" s="118" t="s">
        <v>792</v>
      </c>
      <c r="K1080" s="118" t="s">
        <v>4657</v>
      </c>
      <c r="L1080" s="118" t="s">
        <v>6280</v>
      </c>
      <c r="M1080" s="115" t="s">
        <v>6281</v>
      </c>
      <c r="N1080" s="115" t="s">
        <v>6399</v>
      </c>
      <c r="O1080" s="115" t="s">
        <v>2128</v>
      </c>
      <c r="P1080" s="113">
        <v>530</v>
      </c>
      <c r="Q1080" s="113">
        <v>104</v>
      </c>
      <c r="R1080" s="113">
        <v>75</v>
      </c>
      <c r="S1080" s="113">
        <v>100</v>
      </c>
      <c r="T1080" s="120">
        <v>110</v>
      </c>
      <c r="U1080" s="113">
        <v>75</v>
      </c>
      <c r="V1080" s="113">
        <v>66</v>
      </c>
    </row>
    <row r="1081" spans="1:22">
      <c r="A1081" s="113">
        <v>912</v>
      </c>
      <c r="B1081" s="113" t="s">
        <v>5100</v>
      </c>
      <c r="C1081" s="120" t="s">
        <v>6283</v>
      </c>
      <c r="D1081" s="124">
        <v>0.85</v>
      </c>
      <c r="E1081" s="124">
        <v>0.15</v>
      </c>
      <c r="F1081" s="113" t="s">
        <v>22</v>
      </c>
      <c r="G1081" s="113" t="s">
        <v>5208</v>
      </c>
      <c r="H1081" s="113" t="s">
        <v>25</v>
      </c>
      <c r="I1081" s="113" t="s">
        <v>1109</v>
      </c>
      <c r="J1081" s="118" t="s">
        <v>792</v>
      </c>
      <c r="K1081" s="118" t="s">
        <v>4657</v>
      </c>
      <c r="L1081" s="118" t="s">
        <v>6283</v>
      </c>
      <c r="M1081" s="115" t="s">
        <v>1109</v>
      </c>
      <c r="N1081" s="115" t="s">
        <v>2129</v>
      </c>
      <c r="O1081" s="115" t="s">
        <v>1109</v>
      </c>
      <c r="P1081" s="113">
        <v>310</v>
      </c>
      <c r="Q1081" s="113">
        <v>55</v>
      </c>
      <c r="R1081" s="113">
        <v>65</v>
      </c>
      <c r="S1081" s="113">
        <v>45</v>
      </c>
      <c r="T1081" s="120">
        <v>50</v>
      </c>
      <c r="U1081" s="113">
        <v>45</v>
      </c>
      <c r="V1081" s="113">
        <v>50</v>
      </c>
    </row>
    <row r="1082" spans="1:22">
      <c r="A1082" s="113">
        <v>913</v>
      </c>
      <c r="B1082" s="113" t="s">
        <v>5101</v>
      </c>
      <c r="C1082" s="120" t="s">
        <v>6284</v>
      </c>
      <c r="D1082" s="124">
        <v>0.85</v>
      </c>
      <c r="E1082" s="124">
        <v>0.15</v>
      </c>
      <c r="F1082" s="113" t="s">
        <v>22</v>
      </c>
      <c r="G1082" s="113" t="s">
        <v>5208</v>
      </c>
      <c r="H1082" s="113" t="s">
        <v>25</v>
      </c>
      <c r="I1082" s="113" t="s">
        <v>1109</v>
      </c>
      <c r="J1082" s="118" t="s">
        <v>792</v>
      </c>
      <c r="K1082" s="118" t="s">
        <v>4657</v>
      </c>
      <c r="L1082" s="118" t="s">
        <v>6283</v>
      </c>
      <c r="M1082" s="115" t="s">
        <v>6283</v>
      </c>
      <c r="N1082" s="115" t="s">
        <v>6398</v>
      </c>
      <c r="O1082" s="115" t="s">
        <v>2128</v>
      </c>
      <c r="P1082" s="113">
        <v>410</v>
      </c>
      <c r="Q1082" s="113">
        <v>70</v>
      </c>
      <c r="R1082" s="113">
        <v>85</v>
      </c>
      <c r="S1082" s="113">
        <v>65</v>
      </c>
      <c r="T1082" s="120">
        <v>65</v>
      </c>
      <c r="U1082" s="113">
        <v>60</v>
      </c>
      <c r="V1082" s="113">
        <v>65</v>
      </c>
    </row>
    <row r="1083" spans="1:22">
      <c r="A1083" s="113">
        <v>914</v>
      </c>
      <c r="B1083" s="113" t="s">
        <v>5102</v>
      </c>
      <c r="C1083" s="120" t="s">
        <v>6285</v>
      </c>
      <c r="D1083" s="124">
        <v>0.85</v>
      </c>
      <c r="E1083" s="124">
        <v>0.15</v>
      </c>
      <c r="F1083" s="113" t="s">
        <v>22</v>
      </c>
      <c r="G1083" s="113" t="s">
        <v>5208</v>
      </c>
      <c r="H1083" s="113" t="s">
        <v>25</v>
      </c>
      <c r="I1083" s="113" t="s">
        <v>78</v>
      </c>
      <c r="J1083" s="118" t="s">
        <v>792</v>
      </c>
      <c r="K1083" s="118" t="s">
        <v>4657</v>
      </c>
      <c r="L1083" s="118" t="s">
        <v>6283</v>
      </c>
      <c r="M1083" s="115" t="s">
        <v>6284</v>
      </c>
      <c r="N1083" s="115" t="s">
        <v>6399</v>
      </c>
      <c r="O1083" s="115" t="s">
        <v>2128</v>
      </c>
      <c r="P1083" s="113">
        <v>530</v>
      </c>
      <c r="Q1083" s="113">
        <v>85</v>
      </c>
      <c r="R1083" s="113">
        <v>120</v>
      </c>
      <c r="S1083" s="113">
        <v>80</v>
      </c>
      <c r="T1083" s="120">
        <v>85</v>
      </c>
      <c r="U1083" s="113">
        <v>75</v>
      </c>
      <c r="V1083" s="113">
        <v>85</v>
      </c>
    </row>
    <row r="1084" spans="1:22">
      <c r="A1084" s="113">
        <v>915</v>
      </c>
      <c r="B1084" s="113" t="s">
        <v>5103</v>
      </c>
      <c r="C1084" s="120" t="s">
        <v>6286</v>
      </c>
      <c r="D1084" s="124">
        <v>0.5</v>
      </c>
      <c r="E1084" s="124">
        <v>0.5</v>
      </c>
      <c r="F1084" s="113" t="s">
        <v>2332</v>
      </c>
      <c r="G1084" s="113" t="s">
        <v>5208</v>
      </c>
      <c r="H1084" s="113" t="s">
        <v>36</v>
      </c>
      <c r="I1084" s="113" t="s">
        <v>1109</v>
      </c>
      <c r="J1084" s="118" t="s">
        <v>2129</v>
      </c>
      <c r="K1084" s="118" t="s">
        <v>2712</v>
      </c>
      <c r="L1084" s="118" t="s">
        <v>6286</v>
      </c>
      <c r="M1084" s="115" t="s">
        <v>1109</v>
      </c>
      <c r="N1084" s="115" t="s">
        <v>2129</v>
      </c>
      <c r="O1084" s="115" t="s">
        <v>1109</v>
      </c>
      <c r="P1084" s="113">
        <v>254</v>
      </c>
      <c r="Q1084" s="113">
        <v>54</v>
      </c>
      <c r="R1084" s="113">
        <v>45</v>
      </c>
      <c r="S1084" s="113">
        <v>40</v>
      </c>
      <c r="T1084" s="120">
        <v>35</v>
      </c>
      <c r="U1084" s="113">
        <v>45</v>
      </c>
      <c r="V1084" s="113">
        <v>35</v>
      </c>
    </row>
    <row r="1085" spans="1:22">
      <c r="A1085" s="113">
        <v>916</v>
      </c>
      <c r="B1085" s="113" t="s">
        <v>5194</v>
      </c>
      <c r="C1085" s="120" t="s">
        <v>6288</v>
      </c>
      <c r="D1085" s="124">
        <v>0.5</v>
      </c>
      <c r="E1085" s="124">
        <v>0.5</v>
      </c>
      <c r="F1085" s="113" t="s">
        <v>2332</v>
      </c>
      <c r="G1085" s="113" t="s">
        <v>5208</v>
      </c>
      <c r="H1085" s="113" t="s">
        <v>36</v>
      </c>
      <c r="I1085" s="113" t="s">
        <v>1109</v>
      </c>
      <c r="J1085" s="118" t="s">
        <v>2129</v>
      </c>
      <c r="K1085" s="118" t="s">
        <v>2712</v>
      </c>
      <c r="L1085" s="118" t="s">
        <v>6286</v>
      </c>
      <c r="M1085" s="115" t="s">
        <v>6286</v>
      </c>
      <c r="N1085" s="115" t="s">
        <v>6399</v>
      </c>
      <c r="O1085" s="115" t="s">
        <v>2128</v>
      </c>
      <c r="P1085" s="113">
        <v>489</v>
      </c>
      <c r="Q1085" s="113">
        <v>110</v>
      </c>
      <c r="R1085" s="113">
        <v>100</v>
      </c>
      <c r="S1085" s="113">
        <v>75</v>
      </c>
      <c r="T1085" s="120">
        <v>59</v>
      </c>
      <c r="U1085" s="113">
        <v>80</v>
      </c>
      <c r="V1085" s="113">
        <v>65</v>
      </c>
    </row>
    <row r="1086" spans="1:22">
      <c r="A1086" s="113">
        <v>916</v>
      </c>
      <c r="B1086" s="113" t="s">
        <v>5195</v>
      </c>
      <c r="C1086" s="120" t="s">
        <v>6287</v>
      </c>
      <c r="D1086" s="124">
        <v>0.5</v>
      </c>
      <c r="E1086" s="124">
        <v>0.5</v>
      </c>
      <c r="F1086" s="113" t="s">
        <v>2332</v>
      </c>
      <c r="G1086" s="113" t="s">
        <v>5208</v>
      </c>
      <c r="H1086" s="113" t="s">
        <v>36</v>
      </c>
      <c r="I1086" s="113" t="s">
        <v>1109</v>
      </c>
      <c r="J1086" s="118" t="s">
        <v>2129</v>
      </c>
      <c r="K1086" s="118" t="s">
        <v>2712</v>
      </c>
      <c r="L1086" s="118" t="s">
        <v>6286</v>
      </c>
      <c r="M1086" s="115" t="s">
        <v>6286</v>
      </c>
      <c r="N1086" s="115" t="s">
        <v>6399</v>
      </c>
      <c r="O1086" s="115" t="s">
        <v>2128</v>
      </c>
      <c r="P1086" s="113">
        <v>489</v>
      </c>
      <c r="Q1086" s="113">
        <v>115</v>
      </c>
      <c r="R1086" s="113">
        <v>90</v>
      </c>
      <c r="S1086" s="113">
        <v>70</v>
      </c>
      <c r="T1086" s="120">
        <v>59</v>
      </c>
      <c r="U1086" s="113">
        <v>90</v>
      </c>
      <c r="V1086" s="113">
        <v>65</v>
      </c>
    </row>
    <row r="1087" spans="1:22">
      <c r="A1087" s="113">
        <v>917</v>
      </c>
      <c r="B1087" s="113" t="s">
        <v>5104</v>
      </c>
      <c r="C1087" s="120" t="s">
        <v>6289</v>
      </c>
      <c r="D1087" s="124">
        <v>0.5</v>
      </c>
      <c r="E1087" s="124">
        <v>0.5</v>
      </c>
      <c r="F1087" s="113" t="s">
        <v>29</v>
      </c>
      <c r="G1087" s="113" t="s">
        <v>5208</v>
      </c>
      <c r="H1087" s="113" t="s">
        <v>29</v>
      </c>
      <c r="I1087" s="113" t="s">
        <v>1109</v>
      </c>
      <c r="J1087" s="118" t="s">
        <v>2129</v>
      </c>
      <c r="K1087" s="118" t="s">
        <v>2712</v>
      </c>
      <c r="L1087" s="118" t="s">
        <v>6289</v>
      </c>
      <c r="M1087" s="115" t="s">
        <v>1109</v>
      </c>
      <c r="N1087" s="115" t="s">
        <v>2129</v>
      </c>
      <c r="O1087" s="115" t="s">
        <v>1109</v>
      </c>
      <c r="P1087" s="113">
        <v>210</v>
      </c>
      <c r="Q1087" s="113">
        <v>35</v>
      </c>
      <c r="R1087" s="113">
        <v>41</v>
      </c>
      <c r="S1087" s="113">
        <v>45</v>
      </c>
      <c r="T1087" s="120">
        <v>29</v>
      </c>
      <c r="U1087" s="113">
        <v>40</v>
      </c>
      <c r="V1087" s="113">
        <v>20</v>
      </c>
    </row>
    <row r="1088" spans="1:22">
      <c r="A1088" s="113">
        <v>918</v>
      </c>
      <c r="B1088" s="113" t="s">
        <v>5105</v>
      </c>
      <c r="C1088" s="120" t="s">
        <v>6290</v>
      </c>
      <c r="D1088" s="124">
        <v>0.5</v>
      </c>
      <c r="E1088" s="124">
        <v>0.5</v>
      </c>
      <c r="F1088" s="113" t="s">
        <v>29</v>
      </c>
      <c r="G1088" s="113" t="s">
        <v>5208</v>
      </c>
      <c r="H1088" s="113" t="s">
        <v>29</v>
      </c>
      <c r="I1088" s="113" t="s">
        <v>1109</v>
      </c>
      <c r="J1088" s="118" t="s">
        <v>2129</v>
      </c>
      <c r="K1088" s="118" t="s">
        <v>2712</v>
      </c>
      <c r="L1088" s="118" t="s">
        <v>6289</v>
      </c>
      <c r="M1088" s="115" t="s">
        <v>6289</v>
      </c>
      <c r="N1088" s="115" t="s">
        <v>6399</v>
      </c>
      <c r="O1088" s="115" t="s">
        <v>2128</v>
      </c>
      <c r="P1088" s="113">
        <v>404</v>
      </c>
      <c r="Q1088" s="113">
        <v>60</v>
      </c>
      <c r="R1088" s="113">
        <v>79</v>
      </c>
      <c r="S1088" s="113">
        <v>92</v>
      </c>
      <c r="T1088" s="120">
        <v>52</v>
      </c>
      <c r="U1088" s="113">
        <v>86</v>
      </c>
      <c r="V1088" s="113">
        <v>35</v>
      </c>
    </row>
    <row r="1089" spans="1:22">
      <c r="A1089" s="113">
        <v>919</v>
      </c>
      <c r="B1089" s="113" t="s">
        <v>5106</v>
      </c>
      <c r="C1089" s="120" t="s">
        <v>6291</v>
      </c>
      <c r="D1089" s="124">
        <v>0.5</v>
      </c>
      <c r="E1089" s="124">
        <v>0.5</v>
      </c>
      <c r="F1089" s="113" t="s">
        <v>29</v>
      </c>
      <c r="G1089" s="113" t="s">
        <v>5208</v>
      </c>
      <c r="H1089" s="113" t="s">
        <v>29</v>
      </c>
      <c r="I1089" s="113" t="s">
        <v>1109</v>
      </c>
      <c r="J1089" s="118" t="s">
        <v>2129</v>
      </c>
      <c r="K1089" s="118" t="s">
        <v>2712</v>
      </c>
      <c r="L1089" s="118" t="s">
        <v>6291</v>
      </c>
      <c r="M1089" s="115" t="s">
        <v>1109</v>
      </c>
      <c r="N1089" s="115" t="s">
        <v>2129</v>
      </c>
      <c r="O1089" s="115" t="s">
        <v>1109</v>
      </c>
      <c r="P1089" s="113">
        <v>210</v>
      </c>
      <c r="Q1089" s="113">
        <v>33</v>
      </c>
      <c r="R1089" s="113">
        <v>46</v>
      </c>
      <c r="S1089" s="113">
        <v>40</v>
      </c>
      <c r="T1089" s="120">
        <v>21</v>
      </c>
      <c r="U1089" s="113">
        <v>25</v>
      </c>
      <c r="V1089" s="113">
        <v>45</v>
      </c>
    </row>
    <row r="1090" spans="1:22">
      <c r="A1090" s="113">
        <v>920</v>
      </c>
      <c r="B1090" s="113" t="s">
        <v>5107</v>
      </c>
      <c r="C1090" s="120" t="s">
        <v>6292</v>
      </c>
      <c r="D1090" s="124">
        <v>0.5</v>
      </c>
      <c r="E1090" s="124">
        <v>0.5</v>
      </c>
      <c r="F1090" s="113" t="s">
        <v>29</v>
      </c>
      <c r="G1090" s="113" t="s">
        <v>5208</v>
      </c>
      <c r="H1090" s="113" t="s">
        <v>29</v>
      </c>
      <c r="I1090" s="113" t="s">
        <v>158</v>
      </c>
      <c r="J1090" s="118" t="s">
        <v>2129</v>
      </c>
      <c r="K1090" s="118" t="s">
        <v>2712</v>
      </c>
      <c r="L1090" s="118" t="s">
        <v>6291</v>
      </c>
      <c r="M1090" s="115" t="s">
        <v>6291</v>
      </c>
      <c r="N1090" s="115" t="s">
        <v>6399</v>
      </c>
      <c r="O1090" s="115" t="s">
        <v>2128</v>
      </c>
      <c r="P1090" s="113">
        <v>450</v>
      </c>
      <c r="Q1090" s="113">
        <v>71</v>
      </c>
      <c r="R1090" s="113">
        <v>102</v>
      </c>
      <c r="S1090" s="113">
        <v>78</v>
      </c>
      <c r="T1090" s="120">
        <v>52</v>
      </c>
      <c r="U1090" s="113">
        <v>55</v>
      </c>
      <c r="V1090" s="113">
        <v>92</v>
      </c>
    </row>
    <row r="1091" spans="1:22">
      <c r="A1091" s="113">
        <v>921</v>
      </c>
      <c r="B1091" s="113" t="s">
        <v>5108</v>
      </c>
      <c r="C1091" s="120" t="s">
        <v>6293</v>
      </c>
      <c r="D1091" s="124">
        <v>0.5</v>
      </c>
      <c r="E1091" s="124">
        <v>0.5</v>
      </c>
      <c r="F1091" s="113" t="s">
        <v>2332</v>
      </c>
      <c r="G1091" s="113" t="s">
        <v>5208</v>
      </c>
      <c r="H1091" s="113" t="s">
        <v>46</v>
      </c>
      <c r="I1091" s="113" t="s">
        <v>1109</v>
      </c>
      <c r="J1091" s="118" t="s">
        <v>2129</v>
      </c>
      <c r="K1091" s="118" t="s">
        <v>2712</v>
      </c>
      <c r="L1091" s="118" t="s">
        <v>6293</v>
      </c>
      <c r="M1091" s="115" t="s">
        <v>1109</v>
      </c>
      <c r="N1091" s="115" t="s">
        <v>2129</v>
      </c>
      <c r="O1091" s="115" t="s">
        <v>1109</v>
      </c>
      <c r="P1091" s="113">
        <v>240</v>
      </c>
      <c r="Q1091" s="113">
        <v>45</v>
      </c>
      <c r="R1091" s="113">
        <v>50</v>
      </c>
      <c r="S1091" s="113">
        <v>20</v>
      </c>
      <c r="T1091" s="120">
        <v>40</v>
      </c>
      <c r="U1091" s="113">
        <v>25</v>
      </c>
      <c r="V1091" s="113">
        <v>60</v>
      </c>
    </row>
    <row r="1092" spans="1:22">
      <c r="A1092" s="113">
        <v>922</v>
      </c>
      <c r="B1092" s="113" t="s">
        <v>5109</v>
      </c>
      <c r="C1092" s="120" t="s">
        <v>6294</v>
      </c>
      <c r="D1092" s="124">
        <v>0.5</v>
      </c>
      <c r="E1092" s="124">
        <v>0.5</v>
      </c>
      <c r="F1092" s="113" t="s">
        <v>2332</v>
      </c>
      <c r="G1092" s="113" t="s">
        <v>5208</v>
      </c>
      <c r="H1092" s="113" t="s">
        <v>46</v>
      </c>
      <c r="I1092" s="113" t="s">
        <v>78</v>
      </c>
      <c r="J1092" s="118" t="s">
        <v>2129</v>
      </c>
      <c r="K1092" s="118" t="s">
        <v>2712</v>
      </c>
      <c r="L1092" s="118" t="s">
        <v>6293</v>
      </c>
      <c r="M1092" s="115" t="s">
        <v>6293</v>
      </c>
      <c r="N1092" s="115" t="s">
        <v>6398</v>
      </c>
      <c r="O1092" s="115" t="s">
        <v>2128</v>
      </c>
      <c r="P1092" s="113">
        <v>350</v>
      </c>
      <c r="Q1092" s="113">
        <v>60</v>
      </c>
      <c r="R1092" s="113">
        <v>75</v>
      </c>
      <c r="S1092" s="113">
        <v>40</v>
      </c>
      <c r="T1092" s="120">
        <v>50</v>
      </c>
      <c r="U1092" s="113">
        <v>40</v>
      </c>
      <c r="V1092" s="113">
        <v>85</v>
      </c>
    </row>
    <row r="1093" spans="1:22">
      <c r="A1093" s="113">
        <v>923</v>
      </c>
      <c r="B1093" s="113" t="s">
        <v>5110</v>
      </c>
      <c r="C1093" s="120" t="s">
        <v>6295</v>
      </c>
      <c r="D1093" s="124">
        <v>0.5</v>
      </c>
      <c r="E1093" s="124">
        <v>0.5</v>
      </c>
      <c r="F1093" s="113" t="s">
        <v>2332</v>
      </c>
      <c r="G1093" s="113" t="s">
        <v>5208</v>
      </c>
      <c r="H1093" s="113" t="s">
        <v>46</v>
      </c>
      <c r="I1093" s="113" t="s">
        <v>78</v>
      </c>
      <c r="J1093" s="118" t="s">
        <v>2129</v>
      </c>
      <c r="K1093" s="118" t="s">
        <v>2712</v>
      </c>
      <c r="L1093" s="118" t="s">
        <v>6293</v>
      </c>
      <c r="M1093" s="115" t="s">
        <v>6294</v>
      </c>
      <c r="N1093" s="115" t="s">
        <v>6399</v>
      </c>
      <c r="O1093" s="115" t="s">
        <v>2128</v>
      </c>
      <c r="P1093" s="113">
        <v>490</v>
      </c>
      <c r="Q1093" s="113">
        <v>70</v>
      </c>
      <c r="R1093" s="113">
        <v>115</v>
      </c>
      <c r="S1093" s="113">
        <v>70</v>
      </c>
      <c r="T1093" s="120">
        <v>70</v>
      </c>
      <c r="U1093" s="113">
        <v>60</v>
      </c>
      <c r="V1093" s="113">
        <v>105</v>
      </c>
    </row>
    <row r="1094" spans="1:22">
      <c r="A1094" s="113">
        <v>924</v>
      </c>
      <c r="B1094" s="113" t="s">
        <v>5111</v>
      </c>
      <c r="C1094" s="120" t="s">
        <v>6296</v>
      </c>
      <c r="D1094" s="132" t="s">
        <v>1109</v>
      </c>
      <c r="E1094" s="132" t="s">
        <v>1109</v>
      </c>
      <c r="F1094" s="113" t="s">
        <v>56</v>
      </c>
      <c r="G1094" s="113" t="s">
        <v>5208</v>
      </c>
      <c r="H1094" s="113" t="s">
        <v>36</v>
      </c>
      <c r="I1094" s="113" t="s">
        <v>1109</v>
      </c>
      <c r="J1094" s="118" t="s">
        <v>2129</v>
      </c>
      <c r="K1094" s="118" t="s">
        <v>2712</v>
      </c>
      <c r="L1094" s="118" t="s">
        <v>6296</v>
      </c>
      <c r="M1094" s="115" t="s">
        <v>1109</v>
      </c>
      <c r="N1094" s="115" t="s">
        <v>2129</v>
      </c>
      <c r="O1094" s="115" t="s">
        <v>1109</v>
      </c>
      <c r="P1094" s="113">
        <v>305</v>
      </c>
      <c r="Q1094" s="113">
        <v>50</v>
      </c>
      <c r="R1094" s="113">
        <v>50</v>
      </c>
      <c r="S1094" s="113">
        <v>45</v>
      </c>
      <c r="T1094" s="120">
        <v>40</v>
      </c>
      <c r="U1094" s="113">
        <v>45</v>
      </c>
      <c r="V1094" s="113">
        <v>75</v>
      </c>
    </row>
    <row r="1095" spans="1:22">
      <c r="A1095" s="113">
        <v>925</v>
      </c>
      <c r="B1095" s="113" t="s">
        <v>5196</v>
      </c>
      <c r="C1095" s="120" t="s">
        <v>6298</v>
      </c>
      <c r="D1095" s="132" t="s">
        <v>1109</v>
      </c>
      <c r="E1095" s="132" t="s">
        <v>1109</v>
      </c>
      <c r="F1095" s="113" t="s">
        <v>56</v>
      </c>
      <c r="G1095" s="113" t="s">
        <v>5208</v>
      </c>
      <c r="H1095" s="113" t="s">
        <v>36</v>
      </c>
      <c r="I1095" s="113" t="s">
        <v>1109</v>
      </c>
      <c r="J1095" s="118" t="s">
        <v>2129</v>
      </c>
      <c r="K1095" s="118" t="s">
        <v>2712</v>
      </c>
      <c r="L1095" s="118" t="s">
        <v>6296</v>
      </c>
      <c r="M1095" s="115" t="s">
        <v>6296</v>
      </c>
      <c r="N1095" s="115" t="s">
        <v>6399</v>
      </c>
      <c r="O1095" s="115" t="s">
        <v>2128</v>
      </c>
      <c r="P1095" s="113">
        <v>470</v>
      </c>
      <c r="Q1095" s="113">
        <v>74</v>
      </c>
      <c r="R1095" s="113">
        <v>75</v>
      </c>
      <c r="S1095" s="113">
        <v>70</v>
      </c>
      <c r="T1095" s="120">
        <v>65</v>
      </c>
      <c r="U1095" s="113">
        <v>75</v>
      </c>
      <c r="V1095" s="113">
        <v>111</v>
      </c>
    </row>
    <row r="1096" spans="1:22">
      <c r="A1096" s="113">
        <v>925</v>
      </c>
      <c r="B1096" s="113" t="s">
        <v>5197</v>
      </c>
      <c r="C1096" s="120" t="s">
        <v>6297</v>
      </c>
      <c r="D1096" s="132" t="s">
        <v>1109</v>
      </c>
      <c r="E1096" s="132" t="s">
        <v>1109</v>
      </c>
      <c r="F1096" s="113" t="s">
        <v>56</v>
      </c>
      <c r="G1096" s="113" t="s">
        <v>5208</v>
      </c>
      <c r="H1096" s="113" t="s">
        <v>36</v>
      </c>
      <c r="I1096" s="113" t="s">
        <v>1109</v>
      </c>
      <c r="J1096" s="118" t="s">
        <v>2129</v>
      </c>
      <c r="K1096" s="118" t="s">
        <v>2712</v>
      </c>
      <c r="L1096" s="118" t="s">
        <v>6296</v>
      </c>
      <c r="M1096" s="115" t="s">
        <v>6296</v>
      </c>
      <c r="N1096" s="115" t="s">
        <v>6399</v>
      </c>
      <c r="O1096" s="115" t="s">
        <v>2128</v>
      </c>
      <c r="P1096" s="113">
        <v>470</v>
      </c>
      <c r="Q1096" s="113">
        <v>74</v>
      </c>
      <c r="R1096" s="113">
        <v>75</v>
      </c>
      <c r="S1096" s="113">
        <v>70</v>
      </c>
      <c r="T1096" s="120">
        <v>65</v>
      </c>
      <c r="U1096" s="113">
        <v>75</v>
      </c>
      <c r="V1096" s="113">
        <v>111</v>
      </c>
    </row>
    <row r="1097" spans="1:22">
      <c r="A1097" s="113">
        <v>926</v>
      </c>
      <c r="B1097" s="113" t="s">
        <v>5112</v>
      </c>
      <c r="C1097" s="120" t="s">
        <v>6299</v>
      </c>
      <c r="D1097" s="124">
        <v>0.5</v>
      </c>
      <c r="E1097" s="124">
        <v>0.5</v>
      </c>
      <c r="F1097" s="113" t="s">
        <v>2332</v>
      </c>
      <c r="G1097" s="113" t="s">
        <v>5208</v>
      </c>
      <c r="H1097" s="113" t="s">
        <v>56</v>
      </c>
      <c r="I1097" s="113" t="s">
        <v>1109</v>
      </c>
      <c r="J1097" s="118" t="s">
        <v>2129</v>
      </c>
      <c r="K1097" s="118" t="s">
        <v>2712</v>
      </c>
      <c r="L1097" s="118" t="s">
        <v>6299</v>
      </c>
      <c r="M1097" s="115" t="s">
        <v>1109</v>
      </c>
      <c r="N1097" s="115" t="s">
        <v>2129</v>
      </c>
      <c r="O1097" s="115" t="s">
        <v>1109</v>
      </c>
      <c r="P1097" s="113">
        <v>312</v>
      </c>
      <c r="Q1097" s="113">
        <v>37</v>
      </c>
      <c r="R1097" s="113">
        <v>55</v>
      </c>
      <c r="S1097" s="113">
        <v>70</v>
      </c>
      <c r="T1097" s="120">
        <v>30</v>
      </c>
      <c r="U1097" s="113">
        <v>55</v>
      </c>
      <c r="V1097" s="113">
        <v>65</v>
      </c>
    </row>
    <row r="1098" spans="1:22">
      <c r="A1098" s="113">
        <v>927</v>
      </c>
      <c r="B1098" s="113" t="s">
        <v>5113</v>
      </c>
      <c r="C1098" s="120" t="s">
        <v>6300</v>
      </c>
      <c r="D1098" s="124">
        <v>0.5</v>
      </c>
      <c r="E1098" s="124">
        <v>0.5</v>
      </c>
      <c r="F1098" s="113" t="s">
        <v>2332</v>
      </c>
      <c r="G1098" s="113" t="s">
        <v>5208</v>
      </c>
      <c r="H1098" s="113" t="s">
        <v>56</v>
      </c>
      <c r="I1098" s="113" t="s">
        <v>1109</v>
      </c>
      <c r="J1098" s="118" t="s">
        <v>2129</v>
      </c>
      <c r="K1098" s="118" t="s">
        <v>2712</v>
      </c>
      <c r="L1098" s="118" t="s">
        <v>6299</v>
      </c>
      <c r="M1098" s="115" t="s">
        <v>6299</v>
      </c>
      <c r="N1098" s="115" t="s">
        <v>6399</v>
      </c>
      <c r="O1098" s="115" t="s">
        <v>2128</v>
      </c>
      <c r="P1098" s="113">
        <v>477</v>
      </c>
      <c r="Q1098" s="113">
        <v>57</v>
      </c>
      <c r="R1098" s="113">
        <v>80</v>
      </c>
      <c r="S1098" s="113">
        <v>115</v>
      </c>
      <c r="T1098" s="120">
        <v>50</v>
      </c>
      <c r="U1098" s="113">
        <v>80</v>
      </c>
      <c r="V1098" s="113">
        <v>95</v>
      </c>
    </row>
    <row r="1099" spans="1:22">
      <c r="A1099" s="113">
        <v>928</v>
      </c>
      <c r="B1099" s="113" t="s">
        <v>5114</v>
      </c>
      <c r="C1099" s="120" t="s">
        <v>6301</v>
      </c>
      <c r="D1099" s="124">
        <v>0.5</v>
      </c>
      <c r="E1099" s="124">
        <v>0.5</v>
      </c>
      <c r="F1099" s="113" t="s">
        <v>14</v>
      </c>
      <c r="G1099" s="113" t="s">
        <v>5208</v>
      </c>
      <c r="H1099" s="113" t="s">
        <v>14</v>
      </c>
      <c r="I1099" s="113" t="s">
        <v>36</v>
      </c>
      <c r="J1099" s="118" t="s">
        <v>2129</v>
      </c>
      <c r="K1099" s="118" t="s">
        <v>2712</v>
      </c>
      <c r="L1099" s="118" t="s">
        <v>6301</v>
      </c>
      <c r="M1099" s="115" t="s">
        <v>1109</v>
      </c>
      <c r="N1099" s="115" t="s">
        <v>2129</v>
      </c>
      <c r="O1099" s="115" t="s">
        <v>1109</v>
      </c>
      <c r="P1099" s="113">
        <v>260</v>
      </c>
      <c r="Q1099" s="113">
        <v>41</v>
      </c>
      <c r="R1099" s="113">
        <v>35</v>
      </c>
      <c r="S1099" s="113">
        <v>45</v>
      </c>
      <c r="T1099" s="120">
        <v>58</v>
      </c>
      <c r="U1099" s="113">
        <v>51</v>
      </c>
      <c r="V1099" s="113">
        <v>30</v>
      </c>
    </row>
    <row r="1100" spans="1:22">
      <c r="A1100" s="113">
        <v>929</v>
      </c>
      <c r="B1100" s="113" t="s">
        <v>5115</v>
      </c>
      <c r="C1100" s="120" t="s">
        <v>6302</v>
      </c>
      <c r="D1100" s="124">
        <v>0.5</v>
      </c>
      <c r="E1100" s="124">
        <v>0.5</v>
      </c>
      <c r="F1100" s="113" t="s">
        <v>14</v>
      </c>
      <c r="G1100" s="113" t="s">
        <v>5208</v>
      </c>
      <c r="H1100" s="113" t="s">
        <v>14</v>
      </c>
      <c r="I1100" s="113" t="s">
        <v>36</v>
      </c>
      <c r="J1100" s="118" t="s">
        <v>2129</v>
      </c>
      <c r="K1100" s="118" t="s">
        <v>2712</v>
      </c>
      <c r="L1100" s="118" t="s">
        <v>6301</v>
      </c>
      <c r="M1100" s="115" t="s">
        <v>6301</v>
      </c>
      <c r="N1100" s="115" t="s">
        <v>6398</v>
      </c>
      <c r="O1100" s="115" t="s">
        <v>2128</v>
      </c>
      <c r="P1100" s="113">
        <v>354</v>
      </c>
      <c r="Q1100" s="113">
        <v>52</v>
      </c>
      <c r="R1100" s="113">
        <v>53</v>
      </c>
      <c r="S1100" s="113">
        <v>60</v>
      </c>
      <c r="T1100" s="120">
        <v>78</v>
      </c>
      <c r="U1100" s="113">
        <v>78</v>
      </c>
      <c r="V1100" s="113">
        <v>33</v>
      </c>
    </row>
    <row r="1101" spans="1:22">
      <c r="A1101" s="113">
        <v>930</v>
      </c>
      <c r="B1101" s="113" t="s">
        <v>5116</v>
      </c>
      <c r="C1101" s="120" t="s">
        <v>6303</v>
      </c>
      <c r="D1101" s="124">
        <v>0.5</v>
      </c>
      <c r="E1101" s="124">
        <v>0.5</v>
      </c>
      <c r="F1101" s="113" t="s">
        <v>14</v>
      </c>
      <c r="G1101" s="113" t="s">
        <v>5208</v>
      </c>
      <c r="H1101" s="113" t="s">
        <v>14</v>
      </c>
      <c r="I1101" s="113" t="s">
        <v>36</v>
      </c>
      <c r="J1101" s="118" t="s">
        <v>2129</v>
      </c>
      <c r="K1101" s="118" t="s">
        <v>2712</v>
      </c>
      <c r="L1101" s="118" t="s">
        <v>6301</v>
      </c>
      <c r="M1101" s="115" t="s">
        <v>6302</v>
      </c>
      <c r="N1101" s="115" t="s">
        <v>6399</v>
      </c>
      <c r="O1101" s="115" t="s">
        <v>2128</v>
      </c>
      <c r="P1101" s="113">
        <v>510</v>
      </c>
      <c r="Q1101" s="113">
        <v>78</v>
      </c>
      <c r="R1101" s="113">
        <v>69</v>
      </c>
      <c r="S1101" s="113">
        <v>90</v>
      </c>
      <c r="T1101" s="120">
        <v>125</v>
      </c>
      <c r="U1101" s="113">
        <v>109</v>
      </c>
      <c r="V1101" s="113">
        <v>39</v>
      </c>
    </row>
    <row r="1102" spans="1:22">
      <c r="A1102" s="113">
        <v>931</v>
      </c>
      <c r="B1102" s="113" t="s">
        <v>5199</v>
      </c>
      <c r="C1102" s="120" t="s">
        <v>6304</v>
      </c>
      <c r="D1102" s="124">
        <v>0.5</v>
      </c>
      <c r="E1102" s="124">
        <v>0.5</v>
      </c>
      <c r="F1102" s="113" t="s">
        <v>22</v>
      </c>
      <c r="G1102" s="113" t="s">
        <v>5208</v>
      </c>
      <c r="H1102" s="113" t="s">
        <v>36</v>
      </c>
      <c r="I1102" s="113" t="s">
        <v>22</v>
      </c>
      <c r="J1102" s="118" t="s">
        <v>2129</v>
      </c>
      <c r="K1102" s="118" t="s">
        <v>4658</v>
      </c>
      <c r="L1102" s="118" t="s">
        <v>6304</v>
      </c>
      <c r="M1102" s="115" t="s">
        <v>1109</v>
      </c>
      <c r="N1102" s="115" t="s">
        <v>6399</v>
      </c>
      <c r="O1102" s="115" t="s">
        <v>1109</v>
      </c>
      <c r="P1102" s="113">
        <v>417</v>
      </c>
      <c r="Q1102" s="113">
        <v>82</v>
      </c>
      <c r="R1102" s="113">
        <v>96</v>
      </c>
      <c r="S1102" s="113">
        <v>51</v>
      </c>
      <c r="T1102" s="120">
        <v>45</v>
      </c>
      <c r="U1102" s="113">
        <v>51</v>
      </c>
      <c r="V1102" s="113">
        <v>92</v>
      </c>
    </row>
    <row r="1103" spans="1:22">
      <c r="A1103" s="113">
        <v>931</v>
      </c>
      <c r="B1103" s="113" t="s">
        <v>5198</v>
      </c>
      <c r="C1103" s="120" t="s">
        <v>6305</v>
      </c>
      <c r="D1103" s="124">
        <v>0.5</v>
      </c>
      <c r="E1103" s="124">
        <v>0.5</v>
      </c>
      <c r="F1103" s="113" t="s">
        <v>22</v>
      </c>
      <c r="G1103" s="113" t="s">
        <v>5208</v>
      </c>
      <c r="H1103" s="113" t="s">
        <v>36</v>
      </c>
      <c r="I1103" s="113" t="s">
        <v>22</v>
      </c>
      <c r="J1103" s="118" t="s">
        <v>2129</v>
      </c>
      <c r="K1103" s="118" t="s">
        <v>4658</v>
      </c>
      <c r="L1103" s="118" t="s">
        <v>6304</v>
      </c>
      <c r="M1103" s="115" t="s">
        <v>1109</v>
      </c>
      <c r="N1103" s="115" t="s">
        <v>6399</v>
      </c>
      <c r="O1103" s="115" t="s">
        <v>1109</v>
      </c>
      <c r="P1103" s="113">
        <v>417</v>
      </c>
      <c r="Q1103" s="113">
        <v>82</v>
      </c>
      <c r="R1103" s="113">
        <v>96</v>
      </c>
      <c r="S1103" s="113">
        <v>51</v>
      </c>
      <c r="T1103" s="120">
        <v>45</v>
      </c>
      <c r="U1103" s="113">
        <v>51</v>
      </c>
      <c r="V1103" s="113">
        <v>92</v>
      </c>
    </row>
    <row r="1104" spans="1:22">
      <c r="A1104" s="113">
        <v>931</v>
      </c>
      <c r="B1104" s="113" t="s">
        <v>5201</v>
      </c>
      <c r="C1104" s="120" t="s">
        <v>6306</v>
      </c>
      <c r="D1104" s="124">
        <v>0.5</v>
      </c>
      <c r="E1104" s="124">
        <v>0.5</v>
      </c>
      <c r="F1104" s="113" t="s">
        <v>22</v>
      </c>
      <c r="G1104" s="113" t="s">
        <v>5208</v>
      </c>
      <c r="H1104" s="113" t="s">
        <v>36</v>
      </c>
      <c r="I1104" s="113" t="s">
        <v>22</v>
      </c>
      <c r="J1104" s="118" t="s">
        <v>2129</v>
      </c>
      <c r="K1104" s="118" t="s">
        <v>4658</v>
      </c>
      <c r="L1104" s="118" t="s">
        <v>6304</v>
      </c>
      <c r="M1104" s="115" t="s">
        <v>1109</v>
      </c>
      <c r="N1104" s="115" t="s">
        <v>6399</v>
      </c>
      <c r="O1104" s="115" t="s">
        <v>1109</v>
      </c>
      <c r="P1104" s="113">
        <v>417</v>
      </c>
      <c r="Q1104" s="113">
        <v>82</v>
      </c>
      <c r="R1104" s="113">
        <v>96</v>
      </c>
      <c r="S1104" s="113">
        <v>51</v>
      </c>
      <c r="T1104" s="120">
        <v>45</v>
      </c>
      <c r="U1104" s="113">
        <v>51</v>
      </c>
      <c r="V1104" s="113">
        <v>92</v>
      </c>
    </row>
    <row r="1105" spans="1:22">
      <c r="A1105" s="113">
        <v>931</v>
      </c>
      <c r="B1105" s="113" t="s">
        <v>5200</v>
      </c>
      <c r="C1105" s="120" t="s">
        <v>6307</v>
      </c>
      <c r="D1105" s="124">
        <v>0.5</v>
      </c>
      <c r="E1105" s="124">
        <v>0.5</v>
      </c>
      <c r="F1105" s="113" t="s">
        <v>22</v>
      </c>
      <c r="G1105" s="113" t="s">
        <v>5208</v>
      </c>
      <c r="H1105" s="113" t="s">
        <v>36</v>
      </c>
      <c r="I1105" s="113" t="s">
        <v>22</v>
      </c>
      <c r="J1105" s="118" t="s">
        <v>2129</v>
      </c>
      <c r="K1105" s="118" t="s">
        <v>4658</v>
      </c>
      <c r="L1105" s="118" t="s">
        <v>6304</v>
      </c>
      <c r="M1105" s="115" t="s">
        <v>1109</v>
      </c>
      <c r="N1105" s="115" t="s">
        <v>6399</v>
      </c>
      <c r="O1105" s="115" t="s">
        <v>1109</v>
      </c>
      <c r="P1105" s="113">
        <v>417</v>
      </c>
      <c r="Q1105" s="113">
        <v>82</v>
      </c>
      <c r="R1105" s="113">
        <v>96</v>
      </c>
      <c r="S1105" s="113">
        <v>51</v>
      </c>
      <c r="T1105" s="120">
        <v>45</v>
      </c>
      <c r="U1105" s="113">
        <v>51</v>
      </c>
      <c r="V1105" s="113">
        <v>92</v>
      </c>
    </row>
    <row r="1106" spans="1:22">
      <c r="A1106" s="113">
        <v>932</v>
      </c>
      <c r="B1106" s="113" t="s">
        <v>5117</v>
      </c>
      <c r="C1106" s="120" t="s">
        <v>6308</v>
      </c>
      <c r="D1106" s="124">
        <v>0.5</v>
      </c>
      <c r="E1106" s="124">
        <v>0.5</v>
      </c>
      <c r="F1106" s="113" t="s">
        <v>2112</v>
      </c>
      <c r="G1106" s="113" t="s">
        <v>5208</v>
      </c>
      <c r="H1106" s="113" t="s">
        <v>98</v>
      </c>
      <c r="I1106" s="113" t="s">
        <v>1109</v>
      </c>
      <c r="J1106" s="118" t="s">
        <v>2129</v>
      </c>
      <c r="K1106" s="118" t="s">
        <v>2712</v>
      </c>
      <c r="L1106" s="118" t="s">
        <v>6308</v>
      </c>
      <c r="M1106" s="115" t="s">
        <v>1109</v>
      </c>
      <c r="N1106" s="115" t="s">
        <v>2129</v>
      </c>
      <c r="O1106" s="115" t="s">
        <v>1109</v>
      </c>
      <c r="P1106" s="113">
        <v>280</v>
      </c>
      <c r="Q1106" s="113">
        <v>55</v>
      </c>
      <c r="R1106" s="113">
        <v>55</v>
      </c>
      <c r="S1106" s="113">
        <v>75</v>
      </c>
      <c r="T1106" s="120">
        <v>35</v>
      </c>
      <c r="U1106" s="113">
        <v>35</v>
      </c>
      <c r="V1106" s="113">
        <v>25</v>
      </c>
    </row>
    <row r="1107" spans="1:22">
      <c r="A1107" s="113">
        <v>933</v>
      </c>
      <c r="B1107" s="113" t="s">
        <v>5118</v>
      </c>
      <c r="C1107" s="120" t="s">
        <v>6309</v>
      </c>
      <c r="D1107" s="124">
        <v>0.5</v>
      </c>
      <c r="E1107" s="124">
        <v>0.5</v>
      </c>
      <c r="F1107" s="113" t="s">
        <v>2112</v>
      </c>
      <c r="G1107" s="113" t="s">
        <v>5208</v>
      </c>
      <c r="H1107" s="113" t="s">
        <v>98</v>
      </c>
      <c r="I1107" s="113" t="s">
        <v>1109</v>
      </c>
      <c r="J1107" s="118" t="s">
        <v>2129</v>
      </c>
      <c r="K1107" s="118" t="s">
        <v>2712</v>
      </c>
      <c r="L1107" s="118" t="s">
        <v>6308</v>
      </c>
      <c r="M1107" s="115" t="s">
        <v>6308</v>
      </c>
      <c r="N1107" s="115" t="s">
        <v>6398</v>
      </c>
      <c r="O1107" s="115" t="s">
        <v>2128</v>
      </c>
      <c r="P1107" s="113">
        <v>355</v>
      </c>
      <c r="Q1107" s="113">
        <v>60</v>
      </c>
      <c r="R1107" s="113">
        <v>60</v>
      </c>
      <c r="S1107" s="113">
        <v>100</v>
      </c>
      <c r="T1107" s="120">
        <v>35</v>
      </c>
      <c r="U1107" s="113">
        <v>65</v>
      </c>
      <c r="V1107" s="113">
        <v>35</v>
      </c>
    </row>
    <row r="1108" spans="1:22">
      <c r="A1108" s="113">
        <v>934</v>
      </c>
      <c r="B1108" s="113" t="s">
        <v>5119</v>
      </c>
      <c r="C1108" s="120" t="s">
        <v>6310</v>
      </c>
      <c r="D1108" s="124">
        <v>0.5</v>
      </c>
      <c r="E1108" s="124">
        <v>0.5</v>
      </c>
      <c r="F1108" s="113" t="s">
        <v>2112</v>
      </c>
      <c r="G1108" s="113" t="s">
        <v>5208</v>
      </c>
      <c r="H1108" s="113" t="s">
        <v>98</v>
      </c>
      <c r="I1108" s="113" t="s">
        <v>1109</v>
      </c>
      <c r="J1108" s="118" t="s">
        <v>2129</v>
      </c>
      <c r="K1108" s="118" t="s">
        <v>2712</v>
      </c>
      <c r="L1108" s="118" t="s">
        <v>6308</v>
      </c>
      <c r="M1108" s="115" t="s">
        <v>6309</v>
      </c>
      <c r="N1108" s="115" t="s">
        <v>6399</v>
      </c>
      <c r="O1108" s="115" t="s">
        <v>2128</v>
      </c>
      <c r="P1108" s="113">
        <v>500</v>
      </c>
      <c r="Q1108" s="113">
        <v>100</v>
      </c>
      <c r="R1108" s="113">
        <v>100</v>
      </c>
      <c r="S1108" s="113">
        <v>130</v>
      </c>
      <c r="T1108" s="120">
        <v>45</v>
      </c>
      <c r="U1108" s="113">
        <v>90</v>
      </c>
      <c r="V1108" s="113">
        <v>35</v>
      </c>
    </row>
    <row r="1109" spans="1:22">
      <c r="A1109" s="113">
        <v>935</v>
      </c>
      <c r="B1109" s="113" t="s">
        <v>5120</v>
      </c>
      <c r="C1109" s="120" t="s">
        <v>6311</v>
      </c>
      <c r="D1109" s="124">
        <v>0.5</v>
      </c>
      <c r="E1109" s="124">
        <v>0.5</v>
      </c>
      <c r="F1109" s="113" t="s">
        <v>2334</v>
      </c>
      <c r="G1109" s="113" t="s">
        <v>5208</v>
      </c>
      <c r="H1109" s="113" t="s">
        <v>19</v>
      </c>
      <c r="I1109" s="113" t="s">
        <v>1109</v>
      </c>
      <c r="J1109" s="118" t="s">
        <v>2129</v>
      </c>
      <c r="K1109" s="118" t="s">
        <v>4657</v>
      </c>
      <c r="L1109" s="118" t="s">
        <v>6311</v>
      </c>
      <c r="M1109" s="115" t="s">
        <v>1109</v>
      </c>
      <c r="N1109" s="115" t="s">
        <v>2129</v>
      </c>
      <c r="O1109" s="115" t="s">
        <v>1109</v>
      </c>
      <c r="P1109" s="113">
        <v>255</v>
      </c>
      <c r="Q1109" s="113">
        <v>40</v>
      </c>
      <c r="R1109" s="113">
        <v>50</v>
      </c>
      <c r="S1109" s="113">
        <v>40</v>
      </c>
      <c r="T1109" s="120">
        <v>50</v>
      </c>
      <c r="U1109" s="113">
        <v>40</v>
      </c>
      <c r="V1109" s="113">
        <v>35</v>
      </c>
    </row>
    <row r="1110" spans="1:22">
      <c r="A1110" s="113">
        <v>936</v>
      </c>
      <c r="B1110" s="113" t="s">
        <v>5121</v>
      </c>
      <c r="C1110" s="120" t="s">
        <v>6312</v>
      </c>
      <c r="D1110" s="124">
        <v>0.5</v>
      </c>
      <c r="E1110" s="124">
        <v>0.5</v>
      </c>
      <c r="F1110" s="113" t="s">
        <v>2334</v>
      </c>
      <c r="G1110" s="113" t="s">
        <v>5208</v>
      </c>
      <c r="H1110" s="113" t="s">
        <v>19</v>
      </c>
      <c r="I1110" s="113" t="s">
        <v>86</v>
      </c>
      <c r="J1110" s="118" t="s">
        <v>2129</v>
      </c>
      <c r="K1110" s="118" t="s">
        <v>4657</v>
      </c>
      <c r="L1110" s="118" t="s">
        <v>6311</v>
      </c>
      <c r="M1110" s="115" t="s">
        <v>6311</v>
      </c>
      <c r="N1110" s="115" t="s">
        <v>6399</v>
      </c>
      <c r="O1110" s="115" t="s">
        <v>2130</v>
      </c>
      <c r="P1110" s="113">
        <v>525</v>
      </c>
      <c r="Q1110" s="113">
        <v>85</v>
      </c>
      <c r="R1110" s="113">
        <v>60</v>
      </c>
      <c r="S1110" s="113">
        <v>100</v>
      </c>
      <c r="T1110" s="120">
        <v>125</v>
      </c>
      <c r="U1110" s="113">
        <v>80</v>
      </c>
      <c r="V1110" s="113">
        <v>75</v>
      </c>
    </row>
    <row r="1111" spans="1:22">
      <c r="A1111" s="113">
        <v>937</v>
      </c>
      <c r="B1111" s="113" t="s">
        <v>5122</v>
      </c>
      <c r="C1111" s="120" t="s">
        <v>6313</v>
      </c>
      <c r="D1111" s="124">
        <v>0.5</v>
      </c>
      <c r="E1111" s="124">
        <v>0.5</v>
      </c>
      <c r="F1111" s="113" t="s">
        <v>2334</v>
      </c>
      <c r="G1111" s="113" t="s">
        <v>5208</v>
      </c>
      <c r="H1111" s="113" t="s">
        <v>19</v>
      </c>
      <c r="I1111" s="113" t="s">
        <v>119</v>
      </c>
      <c r="J1111" s="118" t="s">
        <v>2129</v>
      </c>
      <c r="K1111" s="118" t="s">
        <v>4657</v>
      </c>
      <c r="L1111" s="118" t="s">
        <v>6311</v>
      </c>
      <c r="M1111" s="115" t="s">
        <v>6311</v>
      </c>
      <c r="N1111" s="115" t="s">
        <v>6399</v>
      </c>
      <c r="O1111" s="115" t="s">
        <v>2130</v>
      </c>
      <c r="P1111" s="113">
        <v>525</v>
      </c>
      <c r="Q1111" s="113">
        <v>75</v>
      </c>
      <c r="R1111" s="113">
        <v>125</v>
      </c>
      <c r="S1111" s="113">
        <v>80</v>
      </c>
      <c r="T1111" s="120">
        <v>60</v>
      </c>
      <c r="U1111" s="113">
        <v>100</v>
      </c>
      <c r="V1111" s="113">
        <v>85</v>
      </c>
    </row>
    <row r="1112" spans="1:22">
      <c r="A1112" s="113">
        <v>938</v>
      </c>
      <c r="B1112" s="113" t="s">
        <v>5123</v>
      </c>
      <c r="C1112" s="120" t="s">
        <v>6314</v>
      </c>
      <c r="D1112" s="124">
        <v>0.5</v>
      </c>
      <c r="E1112" s="124">
        <v>0.5</v>
      </c>
      <c r="F1112" s="113" t="s">
        <v>2331</v>
      </c>
      <c r="G1112" s="113" t="s">
        <v>5208</v>
      </c>
      <c r="H1112" s="113" t="s">
        <v>46</v>
      </c>
      <c r="I1112" s="113" t="s">
        <v>1109</v>
      </c>
      <c r="J1112" s="118" t="s">
        <v>2129</v>
      </c>
      <c r="K1112" s="118" t="s">
        <v>4658</v>
      </c>
      <c r="L1112" s="118" t="s">
        <v>6314</v>
      </c>
      <c r="M1112" s="115" t="s">
        <v>1109</v>
      </c>
      <c r="N1112" s="115" t="s">
        <v>2129</v>
      </c>
      <c r="O1112" s="115" t="s">
        <v>1109</v>
      </c>
      <c r="P1112" s="113">
        <v>272</v>
      </c>
      <c r="Q1112" s="113">
        <v>61</v>
      </c>
      <c r="R1112" s="113">
        <v>31</v>
      </c>
      <c r="S1112" s="113">
        <v>41</v>
      </c>
      <c r="T1112" s="120">
        <v>59</v>
      </c>
      <c r="U1112" s="113">
        <v>35</v>
      </c>
      <c r="V1112" s="113">
        <v>45</v>
      </c>
    </row>
    <row r="1113" spans="1:22">
      <c r="A1113" s="113">
        <v>939</v>
      </c>
      <c r="B1113" s="113" t="s">
        <v>5124</v>
      </c>
      <c r="C1113" s="120" t="s">
        <v>6315</v>
      </c>
      <c r="D1113" s="124">
        <v>0.5</v>
      </c>
      <c r="E1113" s="124">
        <v>0.5</v>
      </c>
      <c r="F1113" s="113" t="s">
        <v>2331</v>
      </c>
      <c r="G1113" s="113" t="s">
        <v>5208</v>
      </c>
      <c r="H1113" s="113" t="s">
        <v>46</v>
      </c>
      <c r="I1113" s="113" t="s">
        <v>1109</v>
      </c>
      <c r="J1113" s="118" t="s">
        <v>2129</v>
      </c>
      <c r="K1113" s="118" t="s">
        <v>4658</v>
      </c>
      <c r="L1113" s="118" t="s">
        <v>6314</v>
      </c>
      <c r="M1113" s="115" t="s">
        <v>6314</v>
      </c>
      <c r="N1113" s="115" t="s">
        <v>6399</v>
      </c>
      <c r="O1113" s="115" t="s">
        <v>1803</v>
      </c>
      <c r="P1113" s="113">
        <v>495</v>
      </c>
      <c r="Q1113" s="113">
        <v>109</v>
      </c>
      <c r="R1113" s="113">
        <v>64</v>
      </c>
      <c r="S1113" s="113">
        <v>91</v>
      </c>
      <c r="T1113" s="120">
        <v>103</v>
      </c>
      <c r="U1113" s="113">
        <v>83</v>
      </c>
      <c r="V1113" s="113">
        <v>45</v>
      </c>
    </row>
    <row r="1114" spans="1:22">
      <c r="A1114" s="113">
        <v>940</v>
      </c>
      <c r="B1114" s="113" t="s">
        <v>5125</v>
      </c>
      <c r="C1114" s="120" t="s">
        <v>6316</v>
      </c>
      <c r="D1114" s="124">
        <v>0.5</v>
      </c>
      <c r="E1114" s="124">
        <v>0.5</v>
      </c>
      <c r="F1114" s="113" t="s">
        <v>22</v>
      </c>
      <c r="G1114" s="113" t="s">
        <v>5208</v>
      </c>
      <c r="H1114" s="113" t="s">
        <v>46</v>
      </c>
      <c r="I1114" s="113" t="s">
        <v>22</v>
      </c>
      <c r="J1114" s="118" t="s">
        <v>2129</v>
      </c>
      <c r="K1114" s="118" t="s">
        <v>2712</v>
      </c>
      <c r="L1114" s="118" t="s">
        <v>6316</v>
      </c>
      <c r="M1114" s="115" t="s">
        <v>1109</v>
      </c>
      <c r="N1114" s="115" t="s">
        <v>2129</v>
      </c>
      <c r="O1114" s="115" t="s">
        <v>1109</v>
      </c>
      <c r="P1114" s="113">
        <v>280</v>
      </c>
      <c r="Q1114" s="113">
        <v>40</v>
      </c>
      <c r="R1114" s="113">
        <v>40</v>
      </c>
      <c r="S1114" s="113">
        <v>35</v>
      </c>
      <c r="T1114" s="120">
        <v>55</v>
      </c>
      <c r="U1114" s="113">
        <v>40</v>
      </c>
      <c r="V1114" s="113">
        <v>70</v>
      </c>
    </row>
    <row r="1115" spans="1:22">
      <c r="A1115" s="113">
        <v>941</v>
      </c>
      <c r="B1115" s="113" t="s">
        <v>5126</v>
      </c>
      <c r="C1115" s="120" t="s">
        <v>6317</v>
      </c>
      <c r="D1115" s="124">
        <v>0.5</v>
      </c>
      <c r="E1115" s="124">
        <v>0.5</v>
      </c>
      <c r="F1115" s="113" t="s">
        <v>22</v>
      </c>
      <c r="G1115" s="113" t="s">
        <v>5208</v>
      </c>
      <c r="H1115" s="113" t="s">
        <v>46</v>
      </c>
      <c r="I1115" s="113" t="s">
        <v>22</v>
      </c>
      <c r="J1115" s="118" t="s">
        <v>2129</v>
      </c>
      <c r="K1115" s="118" t="s">
        <v>2712</v>
      </c>
      <c r="L1115" s="118" t="s">
        <v>6316</v>
      </c>
      <c r="M1115" s="115" t="s">
        <v>6316</v>
      </c>
      <c r="N1115" s="115" t="s">
        <v>6399</v>
      </c>
      <c r="O1115" s="115" t="s">
        <v>2128</v>
      </c>
      <c r="P1115" s="113">
        <v>490</v>
      </c>
      <c r="Q1115" s="113">
        <v>70</v>
      </c>
      <c r="R1115" s="113">
        <v>70</v>
      </c>
      <c r="S1115" s="113">
        <v>60</v>
      </c>
      <c r="T1115" s="120">
        <v>105</v>
      </c>
      <c r="U1115" s="113">
        <v>60</v>
      </c>
      <c r="V1115" s="113">
        <v>125</v>
      </c>
    </row>
    <row r="1116" spans="1:22">
      <c r="A1116" s="113">
        <v>942</v>
      </c>
      <c r="B1116" s="113" t="s">
        <v>5127</v>
      </c>
      <c r="C1116" s="120" t="s">
        <v>6318</v>
      </c>
      <c r="D1116" s="124">
        <v>0.5</v>
      </c>
      <c r="E1116" s="124">
        <v>0.5</v>
      </c>
      <c r="F1116" s="113" t="s">
        <v>2332</v>
      </c>
      <c r="G1116" s="113" t="s">
        <v>5208</v>
      </c>
      <c r="H1116" s="113" t="s">
        <v>158</v>
      </c>
      <c r="I1116" s="113" t="s">
        <v>1109</v>
      </c>
      <c r="J1116" s="118" t="s">
        <v>2129</v>
      </c>
      <c r="K1116" s="118" t="s">
        <v>2712</v>
      </c>
      <c r="L1116" s="118" t="s">
        <v>6318</v>
      </c>
      <c r="M1116" s="115" t="s">
        <v>1109</v>
      </c>
      <c r="N1116" s="115" t="s">
        <v>2129</v>
      </c>
      <c r="O1116" s="115" t="s">
        <v>1109</v>
      </c>
      <c r="P1116" s="113">
        <v>340</v>
      </c>
      <c r="Q1116" s="113">
        <v>60</v>
      </c>
      <c r="R1116" s="113">
        <v>78</v>
      </c>
      <c r="S1116" s="113">
        <v>60</v>
      </c>
      <c r="T1116" s="120">
        <v>40</v>
      </c>
      <c r="U1116" s="113">
        <v>51</v>
      </c>
      <c r="V1116" s="113">
        <v>51</v>
      </c>
    </row>
    <row r="1117" spans="1:22">
      <c r="A1117" s="113">
        <v>943</v>
      </c>
      <c r="B1117" s="113" t="s">
        <v>5128</v>
      </c>
      <c r="C1117" s="120" t="s">
        <v>6319</v>
      </c>
      <c r="D1117" s="124">
        <v>0.5</v>
      </c>
      <c r="E1117" s="124">
        <v>0.5</v>
      </c>
      <c r="F1117" s="113" t="s">
        <v>2332</v>
      </c>
      <c r="G1117" s="113" t="s">
        <v>5208</v>
      </c>
      <c r="H1117" s="113" t="s">
        <v>158</v>
      </c>
      <c r="I1117" s="113" t="s">
        <v>1109</v>
      </c>
      <c r="J1117" s="118" t="s">
        <v>2129</v>
      </c>
      <c r="K1117" s="118" t="s">
        <v>2712</v>
      </c>
      <c r="L1117" s="118" t="s">
        <v>6318</v>
      </c>
      <c r="M1117" s="115" t="s">
        <v>6318</v>
      </c>
      <c r="N1117" s="115" t="s">
        <v>6399</v>
      </c>
      <c r="O1117" s="115" t="s">
        <v>2128</v>
      </c>
      <c r="P1117" s="113">
        <v>505</v>
      </c>
      <c r="Q1117" s="113">
        <v>80</v>
      </c>
      <c r="R1117" s="113">
        <v>120</v>
      </c>
      <c r="S1117" s="113">
        <v>90</v>
      </c>
      <c r="T1117" s="120">
        <v>60</v>
      </c>
      <c r="U1117" s="113">
        <v>70</v>
      </c>
      <c r="V1117" s="113">
        <v>85</v>
      </c>
    </row>
    <row r="1118" spans="1:22">
      <c r="A1118" s="113">
        <v>944</v>
      </c>
      <c r="B1118" s="113" t="s">
        <v>5129</v>
      </c>
      <c r="C1118" s="120" t="s">
        <v>6320</v>
      </c>
      <c r="D1118" s="124">
        <v>0.5</v>
      </c>
      <c r="E1118" s="124">
        <v>0.5</v>
      </c>
      <c r="F1118" s="113" t="s">
        <v>2332</v>
      </c>
      <c r="G1118" s="113" t="s">
        <v>5208</v>
      </c>
      <c r="H1118" s="113" t="s">
        <v>15</v>
      </c>
      <c r="I1118" s="113" t="s">
        <v>36</v>
      </c>
      <c r="J1118" s="118" t="s">
        <v>2129</v>
      </c>
      <c r="K1118" s="118" t="s">
        <v>4658</v>
      </c>
      <c r="L1118" s="118" t="s">
        <v>6320</v>
      </c>
      <c r="M1118" s="115" t="s">
        <v>1109</v>
      </c>
      <c r="N1118" s="115" t="s">
        <v>2129</v>
      </c>
      <c r="O1118" s="115" t="s">
        <v>1109</v>
      </c>
      <c r="P1118" s="113">
        <v>290</v>
      </c>
      <c r="Q1118" s="113">
        <v>40</v>
      </c>
      <c r="R1118" s="113">
        <v>65</v>
      </c>
      <c r="S1118" s="113">
        <v>35</v>
      </c>
      <c r="T1118" s="120">
        <v>40</v>
      </c>
      <c r="U1118" s="113">
        <v>35</v>
      </c>
      <c r="V1118" s="113">
        <v>75</v>
      </c>
    </row>
    <row r="1119" spans="1:22">
      <c r="A1119" s="113">
        <v>945</v>
      </c>
      <c r="B1119" s="113" t="s">
        <v>5130</v>
      </c>
      <c r="C1119" s="120" t="s">
        <v>6321</v>
      </c>
      <c r="D1119" s="124">
        <v>0.5</v>
      </c>
      <c r="E1119" s="124">
        <v>0.5</v>
      </c>
      <c r="F1119" s="113" t="s">
        <v>2332</v>
      </c>
      <c r="G1119" s="113" t="s">
        <v>5208</v>
      </c>
      <c r="H1119" s="113" t="s">
        <v>15</v>
      </c>
      <c r="I1119" s="113" t="s">
        <v>36</v>
      </c>
      <c r="J1119" s="118" t="s">
        <v>2129</v>
      </c>
      <c r="K1119" s="118" t="s">
        <v>4658</v>
      </c>
      <c r="L1119" s="118" t="s">
        <v>6320</v>
      </c>
      <c r="M1119" s="115" t="s">
        <v>6320</v>
      </c>
      <c r="N1119" s="115" t="s">
        <v>6399</v>
      </c>
      <c r="O1119" s="115" t="s">
        <v>2128</v>
      </c>
      <c r="P1119" s="113">
        <v>485</v>
      </c>
      <c r="Q1119" s="113">
        <v>63</v>
      </c>
      <c r="R1119" s="113">
        <v>95</v>
      </c>
      <c r="S1119" s="113">
        <v>65</v>
      </c>
      <c r="T1119" s="120">
        <v>80</v>
      </c>
      <c r="U1119" s="113">
        <v>72</v>
      </c>
      <c r="V1119" s="113">
        <v>110</v>
      </c>
    </row>
    <row r="1120" spans="1:22">
      <c r="A1120" s="113">
        <v>946</v>
      </c>
      <c r="B1120" s="113" t="s">
        <v>5131</v>
      </c>
      <c r="C1120" s="120" t="s">
        <v>6322</v>
      </c>
      <c r="D1120" s="124">
        <v>0.5</v>
      </c>
      <c r="E1120" s="124">
        <v>0.5</v>
      </c>
      <c r="F1120" s="113" t="s">
        <v>14</v>
      </c>
      <c r="G1120" s="113" t="s">
        <v>5208</v>
      </c>
      <c r="H1120" s="113" t="s">
        <v>14</v>
      </c>
      <c r="I1120" s="113" t="s">
        <v>119</v>
      </c>
      <c r="J1120" s="118" t="s">
        <v>2129</v>
      </c>
      <c r="K1120" s="118" t="s">
        <v>4658</v>
      </c>
      <c r="L1120" s="118" t="s">
        <v>6322</v>
      </c>
      <c r="M1120" s="115" t="s">
        <v>1109</v>
      </c>
      <c r="N1120" s="115" t="s">
        <v>2129</v>
      </c>
      <c r="O1120" s="115" t="s">
        <v>1109</v>
      </c>
      <c r="P1120" s="113">
        <v>275</v>
      </c>
      <c r="Q1120" s="113">
        <v>40</v>
      </c>
      <c r="R1120" s="113">
        <v>65</v>
      </c>
      <c r="S1120" s="113">
        <v>30</v>
      </c>
      <c r="T1120" s="120">
        <v>45</v>
      </c>
      <c r="U1120" s="113">
        <v>35</v>
      </c>
      <c r="V1120" s="113">
        <v>60</v>
      </c>
    </row>
    <row r="1121" spans="1:22">
      <c r="A1121" s="113">
        <v>947</v>
      </c>
      <c r="B1121" s="113" t="s">
        <v>5132</v>
      </c>
      <c r="C1121" s="120" t="s">
        <v>6323</v>
      </c>
      <c r="D1121" s="124">
        <v>0.5</v>
      </c>
      <c r="E1121" s="124">
        <v>0.5</v>
      </c>
      <c r="F1121" s="113" t="s">
        <v>14</v>
      </c>
      <c r="G1121" s="113" t="s">
        <v>5208</v>
      </c>
      <c r="H1121" s="113" t="s">
        <v>14</v>
      </c>
      <c r="I1121" s="113" t="s">
        <v>119</v>
      </c>
      <c r="J1121" s="118" t="s">
        <v>2129</v>
      </c>
      <c r="K1121" s="118" t="s">
        <v>4658</v>
      </c>
      <c r="L1121" s="118" t="s">
        <v>6322</v>
      </c>
      <c r="M1121" s="115" t="s">
        <v>6322</v>
      </c>
      <c r="N1121" s="115" t="s">
        <v>6399</v>
      </c>
      <c r="O1121" s="115" t="s">
        <v>2128</v>
      </c>
      <c r="P1121" s="113">
        <v>480</v>
      </c>
      <c r="Q1121" s="113">
        <v>55</v>
      </c>
      <c r="R1121" s="113">
        <v>115</v>
      </c>
      <c r="S1121" s="113">
        <v>70</v>
      </c>
      <c r="T1121" s="120">
        <v>80</v>
      </c>
      <c r="U1121" s="113">
        <v>70</v>
      </c>
      <c r="V1121" s="113">
        <v>90</v>
      </c>
    </row>
    <row r="1122" spans="1:22">
      <c r="A1122" s="113">
        <v>948</v>
      </c>
      <c r="B1122" s="113" t="s">
        <v>5133</v>
      </c>
      <c r="C1122" s="120" t="s">
        <v>6324</v>
      </c>
      <c r="D1122" s="124">
        <v>0.5</v>
      </c>
      <c r="E1122" s="124">
        <v>0.5</v>
      </c>
      <c r="F1122" s="113" t="s">
        <v>14</v>
      </c>
      <c r="G1122" s="113" t="s">
        <v>5208</v>
      </c>
      <c r="H1122" s="113" t="s">
        <v>49</v>
      </c>
      <c r="I1122" s="113" t="s">
        <v>14</v>
      </c>
      <c r="J1122" s="118" t="s">
        <v>2129</v>
      </c>
      <c r="K1122" s="118" t="s">
        <v>2712</v>
      </c>
      <c r="L1122" s="118" t="s">
        <v>5303</v>
      </c>
      <c r="M1122" s="115" t="s">
        <v>1109</v>
      </c>
      <c r="N1122" s="115" t="s">
        <v>2129</v>
      </c>
      <c r="O1122" s="115" t="s">
        <v>1109</v>
      </c>
      <c r="P1122" s="113">
        <v>335</v>
      </c>
      <c r="Q1122" s="113">
        <v>40</v>
      </c>
      <c r="R1122" s="113">
        <v>40</v>
      </c>
      <c r="S1122" s="113">
        <v>35</v>
      </c>
      <c r="T1122" s="120">
        <v>50</v>
      </c>
      <c r="U1122" s="113">
        <v>100</v>
      </c>
      <c r="V1122" s="113">
        <v>70</v>
      </c>
    </row>
    <row r="1123" spans="1:22">
      <c r="A1123" s="113">
        <v>949</v>
      </c>
      <c r="B1123" s="113" t="s">
        <v>5134</v>
      </c>
      <c r="C1123" s="120" t="s">
        <v>6325</v>
      </c>
      <c r="D1123" s="124">
        <v>0.5</v>
      </c>
      <c r="E1123" s="124">
        <v>0.5</v>
      </c>
      <c r="F1123" s="113" t="s">
        <v>14</v>
      </c>
      <c r="G1123" s="113" t="s">
        <v>5208</v>
      </c>
      <c r="H1123" s="113" t="s">
        <v>49</v>
      </c>
      <c r="I1123" s="113" t="s">
        <v>14</v>
      </c>
      <c r="J1123" s="118" t="s">
        <v>2129</v>
      </c>
      <c r="K1123" s="118" t="s">
        <v>2712</v>
      </c>
      <c r="L1123" s="118" t="s">
        <v>5303</v>
      </c>
      <c r="M1123" s="115" t="s">
        <v>6324</v>
      </c>
      <c r="N1123" s="115" t="s">
        <v>6399</v>
      </c>
      <c r="O1123" s="115" t="s">
        <v>2128</v>
      </c>
      <c r="P1123" s="113">
        <v>515</v>
      </c>
      <c r="Q1123" s="113">
        <v>80</v>
      </c>
      <c r="R1123" s="113">
        <v>70</v>
      </c>
      <c r="S1123" s="113">
        <v>65</v>
      </c>
      <c r="T1123" s="120">
        <v>80</v>
      </c>
      <c r="U1123" s="113">
        <v>120</v>
      </c>
      <c r="V1123" s="113">
        <v>100</v>
      </c>
    </row>
    <row r="1124" spans="1:22">
      <c r="A1124" s="113">
        <v>950</v>
      </c>
      <c r="B1124" s="113" t="s">
        <v>5135</v>
      </c>
      <c r="C1124" s="120" t="s">
        <v>6326</v>
      </c>
      <c r="D1124" s="124">
        <v>0.5</v>
      </c>
      <c r="E1124" s="124">
        <v>0.5</v>
      </c>
      <c r="F1124" s="113" t="s">
        <v>2335</v>
      </c>
      <c r="G1124" s="113" t="s">
        <v>5208</v>
      </c>
      <c r="H1124" s="113" t="s">
        <v>98</v>
      </c>
      <c r="I1124" s="113" t="s">
        <v>1109</v>
      </c>
      <c r="J1124" s="118" t="s">
        <v>2129</v>
      </c>
      <c r="K1124" s="118" t="s">
        <v>4657</v>
      </c>
      <c r="L1124" s="118" t="s">
        <v>6326</v>
      </c>
      <c r="M1124" s="115" t="s">
        <v>1109</v>
      </c>
      <c r="N1124" s="115" t="s">
        <v>6399</v>
      </c>
      <c r="O1124" s="115" t="s">
        <v>1109</v>
      </c>
      <c r="P1124" s="113">
        <v>450</v>
      </c>
      <c r="Q1124" s="113">
        <v>70</v>
      </c>
      <c r="R1124" s="113">
        <v>100</v>
      </c>
      <c r="S1124" s="113">
        <v>115</v>
      </c>
      <c r="T1124" s="120">
        <v>35</v>
      </c>
      <c r="U1124" s="113">
        <v>55</v>
      </c>
      <c r="V1124" s="113">
        <v>75</v>
      </c>
    </row>
    <row r="1125" spans="1:22">
      <c r="A1125" s="113">
        <v>951</v>
      </c>
      <c r="B1125" s="113" t="s">
        <v>5136</v>
      </c>
      <c r="C1125" s="120" t="s">
        <v>6327</v>
      </c>
      <c r="D1125" s="124">
        <v>0.5</v>
      </c>
      <c r="E1125" s="124">
        <v>0.5</v>
      </c>
      <c r="F1125" s="113" t="s">
        <v>14</v>
      </c>
      <c r="G1125" s="113" t="s">
        <v>5208</v>
      </c>
      <c r="H1125" s="113" t="s">
        <v>14</v>
      </c>
      <c r="I1125" s="113" t="s">
        <v>1109</v>
      </c>
      <c r="J1125" s="118" t="s">
        <v>2129</v>
      </c>
      <c r="K1125" s="118" t="s">
        <v>4658</v>
      </c>
      <c r="L1125" s="118" t="s">
        <v>6327</v>
      </c>
      <c r="M1125" s="115" t="s">
        <v>1109</v>
      </c>
      <c r="N1125" s="115" t="s">
        <v>2129</v>
      </c>
      <c r="O1125" s="115" t="s">
        <v>1109</v>
      </c>
      <c r="P1125" s="113">
        <v>304</v>
      </c>
      <c r="Q1125" s="113">
        <v>50</v>
      </c>
      <c r="R1125" s="113">
        <v>62</v>
      </c>
      <c r="S1125" s="113">
        <v>40</v>
      </c>
      <c r="T1125" s="120">
        <v>62</v>
      </c>
      <c r="U1125" s="113">
        <v>40</v>
      </c>
      <c r="V1125" s="113">
        <v>50</v>
      </c>
    </row>
    <row r="1126" spans="1:22">
      <c r="A1126" s="113">
        <v>952</v>
      </c>
      <c r="B1126" s="113" t="s">
        <v>5137</v>
      </c>
      <c r="C1126" s="120" t="s">
        <v>6328</v>
      </c>
      <c r="D1126" s="124">
        <v>0.5</v>
      </c>
      <c r="E1126" s="124">
        <v>0.5</v>
      </c>
      <c r="F1126" s="113" t="s">
        <v>14</v>
      </c>
      <c r="G1126" s="113" t="s">
        <v>5208</v>
      </c>
      <c r="H1126" s="113" t="s">
        <v>14</v>
      </c>
      <c r="I1126" s="113" t="s">
        <v>19</v>
      </c>
      <c r="J1126" s="118" t="s">
        <v>2129</v>
      </c>
      <c r="K1126" s="118" t="s">
        <v>4658</v>
      </c>
      <c r="L1126" s="118" t="s">
        <v>6327</v>
      </c>
      <c r="M1126" s="115" t="s">
        <v>6327</v>
      </c>
      <c r="N1126" s="115" t="s">
        <v>6399</v>
      </c>
      <c r="O1126" s="115" t="s">
        <v>1803</v>
      </c>
      <c r="P1126" s="113">
        <v>486</v>
      </c>
      <c r="Q1126" s="113">
        <v>65</v>
      </c>
      <c r="R1126" s="113">
        <v>108</v>
      </c>
      <c r="S1126" s="113">
        <v>65</v>
      </c>
      <c r="T1126" s="120">
        <v>108</v>
      </c>
      <c r="U1126" s="113">
        <v>65</v>
      </c>
      <c r="V1126" s="113">
        <v>75</v>
      </c>
    </row>
    <row r="1127" spans="1:22">
      <c r="A1127" s="113">
        <v>953</v>
      </c>
      <c r="B1127" s="113" t="s">
        <v>5138</v>
      </c>
      <c r="C1127" s="120" t="s">
        <v>6329</v>
      </c>
      <c r="D1127" s="124">
        <v>0.5</v>
      </c>
      <c r="E1127" s="124">
        <v>0.5</v>
      </c>
      <c r="F1127" s="113" t="s">
        <v>29</v>
      </c>
      <c r="G1127" s="113" t="s">
        <v>5208</v>
      </c>
      <c r="H1127" s="113" t="s">
        <v>29</v>
      </c>
      <c r="I1127" s="113" t="s">
        <v>1109</v>
      </c>
      <c r="J1127" s="118" t="s">
        <v>2129</v>
      </c>
      <c r="K1127" s="118" t="s">
        <v>4658</v>
      </c>
      <c r="L1127" s="118" t="s">
        <v>6329</v>
      </c>
      <c r="M1127" s="115" t="s">
        <v>1109</v>
      </c>
      <c r="N1127" s="115" t="s">
        <v>2129</v>
      </c>
      <c r="O1127" s="115" t="s">
        <v>1109</v>
      </c>
      <c r="P1127" s="113">
        <v>270</v>
      </c>
      <c r="Q1127" s="113">
        <v>41</v>
      </c>
      <c r="R1127" s="113">
        <v>50</v>
      </c>
      <c r="S1127" s="113">
        <v>60</v>
      </c>
      <c r="T1127" s="120">
        <v>31</v>
      </c>
      <c r="U1127" s="113">
        <v>58</v>
      </c>
      <c r="V1127" s="113">
        <v>30</v>
      </c>
    </row>
    <row r="1128" spans="1:22">
      <c r="A1128" s="113">
        <v>954</v>
      </c>
      <c r="B1128" s="113" t="s">
        <v>5139</v>
      </c>
      <c r="C1128" s="120" t="s">
        <v>6330</v>
      </c>
      <c r="D1128" s="124">
        <v>0.5</v>
      </c>
      <c r="E1128" s="124">
        <v>0.5</v>
      </c>
      <c r="F1128" s="113" t="s">
        <v>29</v>
      </c>
      <c r="G1128" s="113" t="s">
        <v>5208</v>
      </c>
      <c r="H1128" s="113" t="s">
        <v>29</v>
      </c>
      <c r="I1128" s="113" t="s">
        <v>86</v>
      </c>
      <c r="J1128" s="118" t="s">
        <v>2129</v>
      </c>
      <c r="K1128" s="118" t="s">
        <v>4658</v>
      </c>
      <c r="L1128" s="118" t="s">
        <v>6329</v>
      </c>
      <c r="M1128" s="115" t="s">
        <v>6329</v>
      </c>
      <c r="N1128" s="115" t="s">
        <v>6399</v>
      </c>
      <c r="O1128" s="115" t="s">
        <v>2128</v>
      </c>
      <c r="P1128" s="113">
        <v>470</v>
      </c>
      <c r="Q1128" s="113">
        <v>75</v>
      </c>
      <c r="R1128" s="113">
        <v>50</v>
      </c>
      <c r="S1128" s="113">
        <v>85</v>
      </c>
      <c r="T1128" s="120">
        <v>115</v>
      </c>
      <c r="U1128" s="113">
        <v>100</v>
      </c>
      <c r="V1128" s="113">
        <v>45</v>
      </c>
    </row>
    <row r="1129" spans="1:22">
      <c r="A1129" s="113">
        <v>955</v>
      </c>
      <c r="B1129" s="113" t="s">
        <v>5140</v>
      </c>
      <c r="C1129" s="120" t="s">
        <v>6331</v>
      </c>
      <c r="D1129" s="124">
        <v>0.5</v>
      </c>
      <c r="E1129" s="124">
        <v>0.5</v>
      </c>
      <c r="F1129" s="113" t="s">
        <v>22</v>
      </c>
      <c r="G1129" s="113" t="s">
        <v>5208</v>
      </c>
      <c r="H1129" s="113" t="s">
        <v>86</v>
      </c>
      <c r="I1129" s="113" t="s">
        <v>1109</v>
      </c>
      <c r="J1129" s="118" t="s">
        <v>2129</v>
      </c>
      <c r="K1129" s="118" t="s">
        <v>4658</v>
      </c>
      <c r="L1129" s="118" t="s">
        <v>6331</v>
      </c>
      <c r="M1129" s="115" t="s">
        <v>1109</v>
      </c>
      <c r="N1129" s="115" t="s">
        <v>2129</v>
      </c>
      <c r="O1129" s="115" t="s">
        <v>1109</v>
      </c>
      <c r="P1129" s="113">
        <v>255</v>
      </c>
      <c r="Q1129" s="113">
        <v>30</v>
      </c>
      <c r="R1129" s="113">
        <v>35</v>
      </c>
      <c r="S1129" s="113">
        <v>30</v>
      </c>
      <c r="T1129" s="120">
        <v>55</v>
      </c>
      <c r="U1129" s="113">
        <v>30</v>
      </c>
      <c r="V1129" s="113">
        <v>75</v>
      </c>
    </row>
    <row r="1130" spans="1:22">
      <c r="A1130" s="113">
        <v>956</v>
      </c>
      <c r="B1130" s="113" t="s">
        <v>5141</v>
      </c>
      <c r="C1130" s="120" t="s">
        <v>6332</v>
      </c>
      <c r="D1130" s="124">
        <v>0.5</v>
      </c>
      <c r="E1130" s="124">
        <v>0.5</v>
      </c>
      <c r="F1130" s="113" t="s">
        <v>22</v>
      </c>
      <c r="G1130" s="113" t="s">
        <v>5208</v>
      </c>
      <c r="H1130" s="113" t="s">
        <v>86</v>
      </c>
      <c r="I1130" s="113" t="s">
        <v>1109</v>
      </c>
      <c r="J1130" s="118" t="s">
        <v>2129</v>
      </c>
      <c r="K1130" s="118" t="s">
        <v>4658</v>
      </c>
      <c r="L1130" s="118" t="s">
        <v>6331</v>
      </c>
      <c r="M1130" s="115" t="s">
        <v>6331</v>
      </c>
      <c r="N1130" s="115" t="s">
        <v>6399</v>
      </c>
      <c r="O1130" s="115" t="s">
        <v>2128</v>
      </c>
      <c r="P1130" s="113">
        <v>481</v>
      </c>
      <c r="Q1130" s="113">
        <v>95</v>
      </c>
      <c r="R1130" s="113">
        <v>60</v>
      </c>
      <c r="S1130" s="113">
        <v>60</v>
      </c>
      <c r="T1130" s="120">
        <v>101</v>
      </c>
      <c r="U1130" s="113">
        <v>60</v>
      </c>
      <c r="V1130" s="113">
        <v>105</v>
      </c>
    </row>
    <row r="1131" spans="1:22">
      <c r="A1131" s="113">
        <v>957</v>
      </c>
      <c r="B1131" s="113" t="s">
        <v>5142</v>
      </c>
      <c r="C1131" s="120" t="s">
        <v>6333</v>
      </c>
      <c r="D1131" s="124">
        <v>0</v>
      </c>
      <c r="E1131" s="124">
        <v>1</v>
      </c>
      <c r="F1131" s="113" t="s">
        <v>56</v>
      </c>
      <c r="G1131" s="113" t="s">
        <v>5208</v>
      </c>
      <c r="H1131" s="113" t="s">
        <v>56</v>
      </c>
      <c r="I1131" s="113" t="s">
        <v>106</v>
      </c>
      <c r="J1131" s="118" t="s">
        <v>2129</v>
      </c>
      <c r="K1131" s="118" t="s">
        <v>4658</v>
      </c>
      <c r="L1131" s="118" t="s">
        <v>6333</v>
      </c>
      <c r="M1131" s="115" t="s">
        <v>1109</v>
      </c>
      <c r="N1131" s="115" t="s">
        <v>2129</v>
      </c>
      <c r="O1131" s="115" t="s">
        <v>1109</v>
      </c>
      <c r="P1131" s="113">
        <v>297</v>
      </c>
      <c r="Q1131" s="113">
        <v>50</v>
      </c>
      <c r="R1131" s="113">
        <v>45</v>
      </c>
      <c r="S1131" s="113">
        <v>45</v>
      </c>
      <c r="T1131" s="120">
        <v>35</v>
      </c>
      <c r="U1131" s="113">
        <v>64</v>
      </c>
      <c r="V1131" s="113">
        <v>58</v>
      </c>
    </row>
    <row r="1132" spans="1:22">
      <c r="A1132" s="113">
        <v>958</v>
      </c>
      <c r="B1132" s="113" t="s">
        <v>5143</v>
      </c>
      <c r="C1132" s="120" t="s">
        <v>6334</v>
      </c>
      <c r="D1132" s="124">
        <v>0</v>
      </c>
      <c r="E1132" s="124">
        <v>1</v>
      </c>
      <c r="F1132" s="113" t="s">
        <v>56</v>
      </c>
      <c r="G1132" s="113" t="s">
        <v>5208</v>
      </c>
      <c r="H1132" s="113" t="s">
        <v>56</v>
      </c>
      <c r="I1132" s="113" t="s">
        <v>106</v>
      </c>
      <c r="J1132" s="118" t="s">
        <v>2129</v>
      </c>
      <c r="K1132" s="118" t="s">
        <v>4658</v>
      </c>
      <c r="L1132" s="118" t="s">
        <v>6333</v>
      </c>
      <c r="M1132" s="115" t="s">
        <v>6333</v>
      </c>
      <c r="N1132" s="115" t="s">
        <v>6398</v>
      </c>
      <c r="O1132" s="115" t="s">
        <v>2128</v>
      </c>
      <c r="P1132" s="113">
        <v>380</v>
      </c>
      <c r="Q1132" s="113">
        <v>65</v>
      </c>
      <c r="R1132" s="113">
        <v>55</v>
      </c>
      <c r="S1132" s="113">
        <v>55</v>
      </c>
      <c r="T1132" s="120">
        <v>45</v>
      </c>
      <c r="U1132" s="113">
        <v>82</v>
      </c>
      <c r="V1132" s="113">
        <v>78</v>
      </c>
    </row>
    <row r="1133" spans="1:22">
      <c r="A1133" s="113">
        <v>959</v>
      </c>
      <c r="B1133" s="113" t="s">
        <v>5144</v>
      </c>
      <c r="C1133" s="120" t="s">
        <v>6335</v>
      </c>
      <c r="D1133" s="124">
        <v>0</v>
      </c>
      <c r="E1133" s="124">
        <v>1</v>
      </c>
      <c r="F1133" s="113" t="s">
        <v>56</v>
      </c>
      <c r="G1133" s="113" t="s">
        <v>5208</v>
      </c>
      <c r="H1133" s="113" t="s">
        <v>56</v>
      </c>
      <c r="I1133" s="113" t="s">
        <v>106</v>
      </c>
      <c r="J1133" s="118" t="s">
        <v>2129</v>
      </c>
      <c r="K1133" s="118" t="s">
        <v>4658</v>
      </c>
      <c r="L1133" s="118" t="s">
        <v>6333</v>
      </c>
      <c r="M1133" s="115" t="s">
        <v>6334</v>
      </c>
      <c r="N1133" s="115" t="s">
        <v>6399</v>
      </c>
      <c r="O1133" s="115" t="s">
        <v>2128</v>
      </c>
      <c r="P1133" s="113">
        <v>506</v>
      </c>
      <c r="Q1133" s="113">
        <v>85</v>
      </c>
      <c r="R1133" s="113">
        <v>75</v>
      </c>
      <c r="S1133" s="113">
        <v>77</v>
      </c>
      <c r="T1133" s="120">
        <v>70</v>
      </c>
      <c r="U1133" s="113">
        <v>105</v>
      </c>
      <c r="V1133" s="113">
        <v>94</v>
      </c>
    </row>
    <row r="1134" spans="1:22">
      <c r="A1134" s="113">
        <v>960</v>
      </c>
      <c r="B1134" s="113" t="s">
        <v>5145</v>
      </c>
      <c r="C1134" s="120" t="s">
        <v>6336</v>
      </c>
      <c r="D1134" s="124">
        <v>0.5</v>
      </c>
      <c r="E1134" s="124">
        <v>0.5</v>
      </c>
      <c r="F1134" s="113" t="s">
        <v>2335</v>
      </c>
      <c r="G1134" s="113" t="s">
        <v>5208</v>
      </c>
      <c r="H1134" s="113" t="s">
        <v>25</v>
      </c>
      <c r="I1134" s="113" t="s">
        <v>1109</v>
      </c>
      <c r="J1134" s="118" t="s">
        <v>2129</v>
      </c>
      <c r="K1134" s="118" t="s">
        <v>4658</v>
      </c>
      <c r="L1134" s="118" t="s">
        <v>5273</v>
      </c>
      <c r="M1134" s="115" t="s">
        <v>1109</v>
      </c>
      <c r="N1134" s="115" t="s">
        <v>2129</v>
      </c>
      <c r="O1134" s="115" t="s">
        <v>1109</v>
      </c>
      <c r="P1134" s="113">
        <v>245</v>
      </c>
      <c r="Q1134" s="113">
        <v>10</v>
      </c>
      <c r="R1134" s="113">
        <v>55</v>
      </c>
      <c r="S1134" s="113">
        <v>25</v>
      </c>
      <c r="T1134" s="120">
        <v>35</v>
      </c>
      <c r="U1134" s="113">
        <v>25</v>
      </c>
      <c r="V1134" s="113">
        <v>95</v>
      </c>
    </row>
    <row r="1135" spans="1:22">
      <c r="A1135" s="113">
        <v>961</v>
      </c>
      <c r="B1135" s="113" t="s">
        <v>5146</v>
      </c>
      <c r="C1135" s="120" t="s">
        <v>6337</v>
      </c>
      <c r="D1135" s="124">
        <v>0.5</v>
      </c>
      <c r="E1135" s="124">
        <v>0.5</v>
      </c>
      <c r="F1135" s="113" t="s">
        <v>2335</v>
      </c>
      <c r="G1135" s="113" t="s">
        <v>5208</v>
      </c>
      <c r="H1135" s="113" t="s">
        <v>25</v>
      </c>
      <c r="I1135" s="113" t="s">
        <v>1109</v>
      </c>
      <c r="J1135" s="118" t="s">
        <v>2129</v>
      </c>
      <c r="K1135" s="118" t="s">
        <v>4658</v>
      </c>
      <c r="L1135" s="118" t="s">
        <v>5273</v>
      </c>
      <c r="M1135" s="115" t="s">
        <v>6336</v>
      </c>
      <c r="N1135" s="115" t="s">
        <v>6399</v>
      </c>
      <c r="O1135" s="115" t="s">
        <v>2128</v>
      </c>
      <c r="P1135" s="113">
        <v>425</v>
      </c>
      <c r="Q1135" s="113">
        <v>35</v>
      </c>
      <c r="R1135" s="113">
        <v>100</v>
      </c>
      <c r="S1135" s="113">
        <v>50</v>
      </c>
      <c r="T1135" s="120">
        <v>50</v>
      </c>
      <c r="U1135" s="113">
        <v>70</v>
      </c>
      <c r="V1135" s="113">
        <v>120</v>
      </c>
    </row>
    <row r="1136" spans="1:22">
      <c r="A1136" s="113">
        <v>962</v>
      </c>
      <c r="B1136" s="113" t="s">
        <v>5147</v>
      </c>
      <c r="C1136" s="120" t="s">
        <v>6338</v>
      </c>
      <c r="D1136" s="124">
        <v>0.5</v>
      </c>
      <c r="E1136" s="124">
        <v>0.5</v>
      </c>
      <c r="F1136" s="113" t="s">
        <v>22</v>
      </c>
      <c r="G1136" s="113" t="s">
        <v>5208</v>
      </c>
      <c r="H1136" s="113" t="s">
        <v>22</v>
      </c>
      <c r="I1136" s="113" t="s">
        <v>158</v>
      </c>
      <c r="J1136" s="118" t="s">
        <v>2129</v>
      </c>
      <c r="K1136" s="118" t="s">
        <v>4657</v>
      </c>
      <c r="L1136" s="118" t="s">
        <v>6338</v>
      </c>
      <c r="M1136" s="115" t="s">
        <v>1109</v>
      </c>
      <c r="N1136" s="115" t="s">
        <v>6399</v>
      </c>
      <c r="O1136" s="115" t="s">
        <v>1109</v>
      </c>
      <c r="P1136" s="113">
        <v>485</v>
      </c>
      <c r="Q1136" s="113">
        <v>70</v>
      </c>
      <c r="R1136" s="113">
        <v>103</v>
      </c>
      <c r="S1136" s="113">
        <v>85</v>
      </c>
      <c r="T1136" s="120">
        <v>60</v>
      </c>
      <c r="U1136" s="113">
        <v>85</v>
      </c>
      <c r="V1136" s="113">
        <v>82</v>
      </c>
    </row>
    <row r="1137" spans="1:22">
      <c r="A1137" s="113">
        <v>963</v>
      </c>
      <c r="B1137" s="113" t="s">
        <v>5148</v>
      </c>
      <c r="C1137" s="120" t="s">
        <v>6339</v>
      </c>
      <c r="D1137" s="124">
        <v>0.5</v>
      </c>
      <c r="E1137" s="124">
        <v>0.5</v>
      </c>
      <c r="F1137" s="113" t="s">
        <v>2337</v>
      </c>
      <c r="G1137" s="113" t="s">
        <v>5208</v>
      </c>
      <c r="H1137" s="113" t="s">
        <v>25</v>
      </c>
      <c r="I1137" s="113" t="s">
        <v>1109</v>
      </c>
      <c r="J1137" s="118" t="s">
        <v>2129</v>
      </c>
      <c r="K1137" s="118" t="s">
        <v>4658</v>
      </c>
      <c r="L1137" s="118" t="s">
        <v>6339</v>
      </c>
      <c r="M1137" s="115" t="s">
        <v>1109</v>
      </c>
      <c r="N1137" s="115" t="s">
        <v>2129</v>
      </c>
      <c r="O1137" s="115" t="s">
        <v>1109</v>
      </c>
      <c r="P1137" s="113">
        <v>315</v>
      </c>
      <c r="Q1137" s="113">
        <v>70</v>
      </c>
      <c r="R1137" s="113">
        <v>45</v>
      </c>
      <c r="S1137" s="113">
        <v>40</v>
      </c>
      <c r="T1137" s="120">
        <v>45</v>
      </c>
      <c r="U1137" s="113">
        <v>40</v>
      </c>
      <c r="V1137" s="113">
        <v>75</v>
      </c>
    </row>
    <row r="1138" spans="1:22">
      <c r="A1138" s="113">
        <v>964</v>
      </c>
      <c r="B1138" s="113" t="s">
        <v>5203</v>
      </c>
      <c r="C1138" s="120" t="s">
        <v>6340</v>
      </c>
      <c r="D1138" s="124">
        <v>0.5</v>
      </c>
      <c r="E1138" s="124">
        <v>0.5</v>
      </c>
      <c r="F1138" s="113" t="s">
        <v>2337</v>
      </c>
      <c r="G1138" s="113" t="s">
        <v>5208</v>
      </c>
      <c r="H1138" s="113" t="s">
        <v>25</v>
      </c>
      <c r="I1138" s="113" t="s">
        <v>1109</v>
      </c>
      <c r="J1138" s="118" t="s">
        <v>2129</v>
      </c>
      <c r="K1138" s="118" t="s">
        <v>4658</v>
      </c>
      <c r="L1138" s="118" t="s">
        <v>6339</v>
      </c>
      <c r="M1138" s="115" t="s">
        <v>6339</v>
      </c>
      <c r="N1138" s="115" t="s">
        <v>6399</v>
      </c>
      <c r="O1138" s="115" t="s">
        <v>1109</v>
      </c>
      <c r="P1138" s="113">
        <v>650</v>
      </c>
      <c r="Q1138" s="113">
        <v>100</v>
      </c>
      <c r="R1138" s="113">
        <v>160</v>
      </c>
      <c r="S1138" s="113">
        <v>97</v>
      </c>
      <c r="T1138" s="120">
        <v>106</v>
      </c>
      <c r="U1138" s="113">
        <v>87</v>
      </c>
      <c r="V1138" s="113">
        <v>100</v>
      </c>
    </row>
    <row r="1139" spans="1:22">
      <c r="A1139" s="113">
        <v>964</v>
      </c>
      <c r="B1139" s="113" t="s">
        <v>5202</v>
      </c>
      <c r="C1139" s="120" t="s">
        <v>6341</v>
      </c>
      <c r="D1139" s="124">
        <v>0.5</v>
      </c>
      <c r="E1139" s="124">
        <v>0.5</v>
      </c>
      <c r="F1139" s="113" t="s">
        <v>2337</v>
      </c>
      <c r="G1139" s="113" t="s">
        <v>5208</v>
      </c>
      <c r="H1139" s="113" t="s">
        <v>25</v>
      </c>
      <c r="I1139" s="113" t="s">
        <v>1109</v>
      </c>
      <c r="J1139" s="118" t="s">
        <v>2129</v>
      </c>
      <c r="K1139" s="118" t="s">
        <v>4658</v>
      </c>
      <c r="L1139" s="118" t="s">
        <v>6339</v>
      </c>
      <c r="M1139" s="115" t="s">
        <v>6339</v>
      </c>
      <c r="N1139" s="115" t="s">
        <v>6399</v>
      </c>
      <c r="O1139" s="115" t="s">
        <v>2128</v>
      </c>
      <c r="P1139" s="113">
        <v>457</v>
      </c>
      <c r="Q1139" s="113">
        <v>100</v>
      </c>
      <c r="R1139" s="113">
        <v>70</v>
      </c>
      <c r="S1139" s="113">
        <v>72</v>
      </c>
      <c r="T1139" s="120">
        <v>53</v>
      </c>
      <c r="U1139" s="113">
        <v>62</v>
      </c>
      <c r="V1139" s="113">
        <v>100</v>
      </c>
    </row>
    <row r="1140" spans="1:22">
      <c r="A1140" s="113">
        <v>965</v>
      </c>
      <c r="B1140" s="113" t="s">
        <v>5149</v>
      </c>
      <c r="C1140" s="120" t="s">
        <v>6342</v>
      </c>
      <c r="D1140" s="124">
        <v>0.5</v>
      </c>
      <c r="E1140" s="124">
        <v>0.5</v>
      </c>
      <c r="F1140" s="113" t="s">
        <v>2112</v>
      </c>
      <c r="G1140" s="113" t="s">
        <v>5208</v>
      </c>
      <c r="H1140" s="113" t="s">
        <v>106</v>
      </c>
      <c r="I1140" s="113" t="s">
        <v>15</v>
      </c>
      <c r="J1140" s="118" t="s">
        <v>2129</v>
      </c>
      <c r="K1140" s="118" t="s">
        <v>4658</v>
      </c>
      <c r="L1140" s="118" t="s">
        <v>6342</v>
      </c>
      <c r="M1140" s="115" t="s">
        <v>1109</v>
      </c>
      <c r="N1140" s="115" t="s">
        <v>2129</v>
      </c>
      <c r="O1140" s="115" t="s">
        <v>1109</v>
      </c>
      <c r="P1140" s="113">
        <v>300</v>
      </c>
      <c r="Q1140" s="113">
        <v>45</v>
      </c>
      <c r="R1140" s="113">
        <v>70</v>
      </c>
      <c r="S1140" s="113">
        <v>63</v>
      </c>
      <c r="T1140" s="120">
        <v>30</v>
      </c>
      <c r="U1140" s="113">
        <v>45</v>
      </c>
      <c r="V1140" s="113">
        <v>47</v>
      </c>
    </row>
    <row r="1141" spans="1:22">
      <c r="A1141" s="113">
        <v>966</v>
      </c>
      <c r="B1141" s="113" t="s">
        <v>5150</v>
      </c>
      <c r="C1141" s="120" t="s">
        <v>6343</v>
      </c>
      <c r="D1141" s="124">
        <v>0.5</v>
      </c>
      <c r="E1141" s="124">
        <v>0.5</v>
      </c>
      <c r="F1141" s="113" t="s">
        <v>2112</v>
      </c>
      <c r="G1141" s="113" t="s">
        <v>5208</v>
      </c>
      <c r="H1141" s="113" t="s">
        <v>106</v>
      </c>
      <c r="I1141" s="113" t="s">
        <v>15</v>
      </c>
      <c r="J1141" s="118" t="s">
        <v>2129</v>
      </c>
      <c r="K1141" s="118" t="s">
        <v>4658</v>
      </c>
      <c r="L1141" s="118" t="s">
        <v>6342</v>
      </c>
      <c r="M1141" s="115" t="s">
        <v>6342</v>
      </c>
      <c r="N1141" s="115" t="s">
        <v>6399</v>
      </c>
      <c r="O1141" s="115" t="s">
        <v>2128</v>
      </c>
      <c r="P1141" s="113">
        <v>500</v>
      </c>
      <c r="Q1141" s="113">
        <v>80</v>
      </c>
      <c r="R1141" s="113">
        <v>119</v>
      </c>
      <c r="S1141" s="113">
        <v>90</v>
      </c>
      <c r="T1141" s="120">
        <v>54</v>
      </c>
      <c r="U1141" s="113">
        <v>67</v>
      </c>
      <c r="V1141" s="113">
        <v>90</v>
      </c>
    </row>
    <row r="1142" spans="1:22">
      <c r="A1142" s="113">
        <v>967</v>
      </c>
      <c r="B1142" s="113" t="s">
        <v>5151</v>
      </c>
      <c r="C1142" s="120" t="s">
        <v>6344</v>
      </c>
      <c r="D1142" s="124">
        <v>0.5</v>
      </c>
      <c r="E1142" s="124">
        <v>0.5</v>
      </c>
      <c r="F1142" s="113" t="s">
        <v>2332</v>
      </c>
      <c r="G1142" s="113" t="s">
        <v>5208</v>
      </c>
      <c r="H1142" s="113" t="s">
        <v>23</v>
      </c>
      <c r="I1142" s="113" t="s">
        <v>36</v>
      </c>
      <c r="J1142" s="118" t="s">
        <v>2129</v>
      </c>
      <c r="K1142" s="118" t="s">
        <v>4658</v>
      </c>
      <c r="L1142" s="118" t="s">
        <v>6344</v>
      </c>
      <c r="M1142" s="115" t="s">
        <v>1109</v>
      </c>
      <c r="N1142" s="115" t="s">
        <v>6399</v>
      </c>
      <c r="O1142" s="115" t="s">
        <v>1109</v>
      </c>
      <c r="P1142" s="113">
        <v>501</v>
      </c>
      <c r="Q1142" s="113">
        <v>70</v>
      </c>
      <c r="R1142" s="113">
        <v>95</v>
      </c>
      <c r="S1142" s="113">
        <v>65</v>
      </c>
      <c r="T1142" s="120">
        <v>85</v>
      </c>
      <c r="U1142" s="113">
        <v>65</v>
      </c>
      <c r="V1142" s="113">
        <v>121</v>
      </c>
    </row>
    <row r="1143" spans="1:22">
      <c r="A1143" s="113">
        <v>968</v>
      </c>
      <c r="B1143" s="113" t="s">
        <v>5152</v>
      </c>
      <c r="C1143" s="120" t="s">
        <v>6345</v>
      </c>
      <c r="D1143" s="124">
        <v>0.5</v>
      </c>
      <c r="E1143" s="124">
        <v>0.5</v>
      </c>
      <c r="F1143" s="113" t="s">
        <v>2332</v>
      </c>
      <c r="G1143" s="113" t="s">
        <v>5208</v>
      </c>
      <c r="H1143" s="113" t="s">
        <v>106</v>
      </c>
      <c r="I1143" s="113" t="s">
        <v>1109</v>
      </c>
      <c r="J1143" s="118" t="s">
        <v>2129</v>
      </c>
      <c r="K1143" s="118" t="s">
        <v>4657</v>
      </c>
      <c r="L1143" s="118" t="s">
        <v>6345</v>
      </c>
      <c r="M1143" s="115" t="s">
        <v>1109</v>
      </c>
      <c r="N1143" s="115" t="s">
        <v>6399</v>
      </c>
      <c r="O1143" s="115" t="s">
        <v>1109</v>
      </c>
      <c r="P1143" s="113">
        <v>480</v>
      </c>
      <c r="Q1143" s="113">
        <v>70</v>
      </c>
      <c r="R1143" s="113">
        <v>85</v>
      </c>
      <c r="S1143" s="113">
        <v>145</v>
      </c>
      <c r="T1143" s="120">
        <v>60</v>
      </c>
      <c r="U1143" s="113">
        <v>55</v>
      </c>
      <c r="V1143" s="113">
        <v>65</v>
      </c>
    </row>
    <row r="1144" spans="1:22">
      <c r="A1144" s="113">
        <v>969</v>
      </c>
      <c r="B1144" s="113" t="s">
        <v>5153</v>
      </c>
      <c r="C1144" s="120" t="s">
        <v>6346</v>
      </c>
      <c r="D1144" s="124">
        <v>0.5</v>
      </c>
      <c r="E1144" s="124">
        <v>0.5</v>
      </c>
      <c r="F1144" s="113" t="s">
        <v>2112</v>
      </c>
      <c r="G1144" s="113" t="s">
        <v>5208</v>
      </c>
      <c r="H1144" s="113" t="s">
        <v>98</v>
      </c>
      <c r="I1144" s="113" t="s">
        <v>15</v>
      </c>
      <c r="J1144" s="118" t="s">
        <v>2129</v>
      </c>
      <c r="K1144" s="118" t="s">
        <v>4657</v>
      </c>
      <c r="L1144" s="118" t="s">
        <v>6346</v>
      </c>
      <c r="M1144" s="115" t="s">
        <v>1109</v>
      </c>
      <c r="N1144" s="115" t="s">
        <v>2129</v>
      </c>
      <c r="O1144" s="115" t="s">
        <v>1109</v>
      </c>
      <c r="P1144" s="113">
        <v>350</v>
      </c>
      <c r="Q1144" s="113">
        <v>48</v>
      </c>
      <c r="R1144" s="113">
        <v>35</v>
      </c>
      <c r="S1144" s="113">
        <v>42</v>
      </c>
      <c r="T1144" s="120">
        <v>105</v>
      </c>
      <c r="U1144" s="113">
        <v>60</v>
      </c>
      <c r="V1144" s="113">
        <v>60</v>
      </c>
    </row>
    <row r="1145" spans="1:22">
      <c r="A1145" s="113">
        <v>970</v>
      </c>
      <c r="B1145" s="113" t="s">
        <v>5154</v>
      </c>
      <c r="C1145" s="120" t="s">
        <v>6347</v>
      </c>
      <c r="D1145" s="124">
        <v>0.5</v>
      </c>
      <c r="E1145" s="124">
        <v>0.5</v>
      </c>
      <c r="F1145" s="113" t="s">
        <v>2112</v>
      </c>
      <c r="G1145" s="113" t="s">
        <v>5208</v>
      </c>
      <c r="H1145" s="113" t="s">
        <v>98</v>
      </c>
      <c r="I1145" s="113" t="s">
        <v>15</v>
      </c>
      <c r="J1145" s="118" t="s">
        <v>2129</v>
      </c>
      <c r="K1145" s="118" t="s">
        <v>4657</v>
      </c>
      <c r="L1145" s="118" t="s">
        <v>6346</v>
      </c>
      <c r="M1145" s="115" t="s">
        <v>6346</v>
      </c>
      <c r="N1145" s="115" t="s">
        <v>6399</v>
      </c>
      <c r="O1145" s="115" t="s">
        <v>2128</v>
      </c>
      <c r="P1145" s="113">
        <v>525</v>
      </c>
      <c r="Q1145" s="113">
        <v>83</v>
      </c>
      <c r="R1145" s="113">
        <v>55</v>
      </c>
      <c r="S1145" s="113">
        <v>90</v>
      </c>
      <c r="T1145" s="120">
        <v>130</v>
      </c>
      <c r="U1145" s="113">
        <v>81</v>
      </c>
      <c r="V1145" s="113">
        <v>86</v>
      </c>
    </row>
    <row r="1146" spans="1:22">
      <c r="A1146" s="113">
        <v>971</v>
      </c>
      <c r="B1146" s="113" t="s">
        <v>5155</v>
      </c>
      <c r="C1146" s="120" t="s">
        <v>6348</v>
      </c>
      <c r="D1146" s="124">
        <v>0.5</v>
      </c>
      <c r="E1146" s="124">
        <v>0.5</v>
      </c>
      <c r="F1146" s="113" t="s">
        <v>2332</v>
      </c>
      <c r="G1146" s="113" t="s">
        <v>5208</v>
      </c>
      <c r="H1146" s="113" t="s">
        <v>119</v>
      </c>
      <c r="I1146" s="113" t="s">
        <v>1109</v>
      </c>
      <c r="J1146" s="118" t="s">
        <v>2129</v>
      </c>
      <c r="K1146" s="118" t="s">
        <v>4658</v>
      </c>
      <c r="L1146" s="118" t="s">
        <v>6348</v>
      </c>
      <c r="M1146" s="115" t="s">
        <v>1109</v>
      </c>
      <c r="N1146" s="115" t="s">
        <v>2129</v>
      </c>
      <c r="O1146" s="115" t="s">
        <v>1109</v>
      </c>
      <c r="P1146" s="113">
        <v>290</v>
      </c>
      <c r="Q1146" s="113">
        <v>50</v>
      </c>
      <c r="R1146" s="113">
        <v>61</v>
      </c>
      <c r="S1146" s="113">
        <v>60</v>
      </c>
      <c r="T1146" s="120">
        <v>30</v>
      </c>
      <c r="U1146" s="113">
        <v>55</v>
      </c>
      <c r="V1146" s="113">
        <v>34</v>
      </c>
    </row>
    <row r="1147" spans="1:22">
      <c r="A1147" s="113">
        <v>972</v>
      </c>
      <c r="B1147" s="113" t="s">
        <v>5156</v>
      </c>
      <c r="C1147" s="120" t="s">
        <v>6349</v>
      </c>
      <c r="D1147" s="124">
        <v>0.5</v>
      </c>
      <c r="E1147" s="124">
        <v>0.5</v>
      </c>
      <c r="F1147" s="113" t="s">
        <v>2332</v>
      </c>
      <c r="G1147" s="113" t="s">
        <v>5208</v>
      </c>
      <c r="H1147" s="113" t="s">
        <v>119</v>
      </c>
      <c r="I1147" s="113" t="s">
        <v>1109</v>
      </c>
      <c r="J1147" s="118" t="s">
        <v>2129</v>
      </c>
      <c r="K1147" s="118" t="s">
        <v>4658</v>
      </c>
      <c r="L1147" s="118" t="s">
        <v>6348</v>
      </c>
      <c r="M1147" s="115" t="s">
        <v>6348</v>
      </c>
      <c r="N1147" s="115" t="s">
        <v>6399</v>
      </c>
      <c r="O1147" s="115" t="s">
        <v>2128</v>
      </c>
      <c r="P1147" s="113">
        <v>488</v>
      </c>
      <c r="Q1147" s="113">
        <v>72</v>
      </c>
      <c r="R1147" s="113">
        <v>101</v>
      </c>
      <c r="S1147" s="113">
        <v>100</v>
      </c>
      <c r="T1147" s="120">
        <v>50</v>
      </c>
      <c r="U1147" s="113">
        <v>97</v>
      </c>
      <c r="V1147" s="113">
        <v>68</v>
      </c>
    </row>
    <row r="1148" spans="1:22">
      <c r="A1148" s="113">
        <v>973</v>
      </c>
      <c r="B1148" s="113" t="s">
        <v>5157</v>
      </c>
      <c r="C1148" s="120" t="s">
        <v>6350</v>
      </c>
      <c r="D1148" s="124">
        <v>0.5</v>
      </c>
      <c r="E1148" s="124">
        <v>0.5</v>
      </c>
      <c r="F1148" s="113" t="s">
        <v>22</v>
      </c>
      <c r="G1148" s="113" t="s">
        <v>5208</v>
      </c>
      <c r="H1148" s="113" t="s">
        <v>22</v>
      </c>
      <c r="I1148" s="113" t="s">
        <v>78</v>
      </c>
      <c r="J1148" s="118" t="s">
        <v>2129</v>
      </c>
      <c r="K1148" s="118" t="s">
        <v>4658</v>
      </c>
      <c r="L1148" s="118" t="s">
        <v>6350</v>
      </c>
      <c r="M1148" s="115" t="s">
        <v>1109</v>
      </c>
      <c r="N1148" s="115" t="s">
        <v>6399</v>
      </c>
      <c r="O1148" s="115" t="s">
        <v>1109</v>
      </c>
      <c r="P1148" s="113">
        <v>500</v>
      </c>
      <c r="Q1148" s="113">
        <v>82</v>
      </c>
      <c r="R1148" s="113">
        <v>115</v>
      </c>
      <c r="S1148" s="113">
        <v>74</v>
      </c>
      <c r="T1148" s="120">
        <v>75</v>
      </c>
      <c r="U1148" s="113">
        <v>64</v>
      </c>
      <c r="V1148" s="113">
        <v>90</v>
      </c>
    </row>
    <row r="1149" spans="1:22">
      <c r="A1149" s="113">
        <v>974</v>
      </c>
      <c r="B1149" s="113" t="s">
        <v>5158</v>
      </c>
      <c r="C1149" s="120" t="s">
        <v>6351</v>
      </c>
      <c r="D1149" s="124">
        <v>0.5</v>
      </c>
      <c r="E1149" s="124">
        <v>0.5</v>
      </c>
      <c r="F1149" s="113" t="s">
        <v>2332</v>
      </c>
      <c r="G1149" s="113" t="s">
        <v>5208</v>
      </c>
      <c r="H1149" s="113" t="s">
        <v>113</v>
      </c>
      <c r="I1149" s="113" t="s">
        <v>1109</v>
      </c>
      <c r="J1149" s="118" t="s">
        <v>2129</v>
      </c>
      <c r="K1149" s="118" t="s">
        <v>4658</v>
      </c>
      <c r="L1149" s="118" t="s">
        <v>6351</v>
      </c>
      <c r="M1149" s="115" t="s">
        <v>1109</v>
      </c>
      <c r="N1149" s="115" t="s">
        <v>2129</v>
      </c>
      <c r="O1149" s="115" t="s">
        <v>1109</v>
      </c>
      <c r="P1149" s="113">
        <v>334</v>
      </c>
      <c r="Q1149" s="113">
        <v>108</v>
      </c>
      <c r="R1149" s="113">
        <v>68</v>
      </c>
      <c r="S1149" s="113">
        <v>45</v>
      </c>
      <c r="T1149" s="120">
        <v>30</v>
      </c>
      <c r="U1149" s="113">
        <v>40</v>
      </c>
      <c r="V1149" s="113">
        <v>43</v>
      </c>
    </row>
    <row r="1150" spans="1:22">
      <c r="A1150" s="113">
        <v>975</v>
      </c>
      <c r="B1150" s="113" t="s">
        <v>5159</v>
      </c>
      <c r="C1150" s="120" t="s">
        <v>6352</v>
      </c>
      <c r="D1150" s="124">
        <v>0.5</v>
      </c>
      <c r="E1150" s="124">
        <v>0.5</v>
      </c>
      <c r="F1150" s="113" t="s">
        <v>2332</v>
      </c>
      <c r="G1150" s="113" t="s">
        <v>5208</v>
      </c>
      <c r="H1150" s="113" t="s">
        <v>113</v>
      </c>
      <c r="I1150" s="113" t="s">
        <v>1109</v>
      </c>
      <c r="J1150" s="118" t="s">
        <v>2129</v>
      </c>
      <c r="K1150" s="118" t="s">
        <v>4658</v>
      </c>
      <c r="L1150" s="118" t="s">
        <v>6351</v>
      </c>
      <c r="M1150" s="115" t="s">
        <v>6351</v>
      </c>
      <c r="N1150" s="115" t="s">
        <v>6399</v>
      </c>
      <c r="O1150" s="115" t="s">
        <v>1803</v>
      </c>
      <c r="P1150" s="113">
        <v>521</v>
      </c>
      <c r="Q1150" s="113">
        <v>170</v>
      </c>
      <c r="R1150" s="113">
        <v>113</v>
      </c>
      <c r="S1150" s="113">
        <v>65</v>
      </c>
      <c r="T1150" s="120">
        <v>45</v>
      </c>
      <c r="U1150" s="113">
        <v>55</v>
      </c>
      <c r="V1150" s="113">
        <v>73</v>
      </c>
    </row>
    <row r="1151" spans="1:22">
      <c r="A1151" s="113">
        <v>976</v>
      </c>
      <c r="B1151" s="113" t="s">
        <v>5160</v>
      </c>
      <c r="C1151" s="120" t="s">
        <v>6353</v>
      </c>
      <c r="D1151" s="124">
        <v>0.5</v>
      </c>
      <c r="E1151" s="124">
        <v>0.5</v>
      </c>
      <c r="F1151" s="113" t="s">
        <v>2337</v>
      </c>
      <c r="G1151" s="113" t="s">
        <v>5208</v>
      </c>
      <c r="H1151" s="113" t="s">
        <v>25</v>
      </c>
      <c r="I1151" s="113" t="s">
        <v>86</v>
      </c>
      <c r="J1151" s="118" t="s">
        <v>2129</v>
      </c>
      <c r="K1151" s="118" t="s">
        <v>4658</v>
      </c>
      <c r="L1151" s="118" t="s">
        <v>6353</v>
      </c>
      <c r="M1151" s="115" t="s">
        <v>1109</v>
      </c>
      <c r="N1151" s="115" t="s">
        <v>6399</v>
      </c>
      <c r="O1151" s="115" t="s">
        <v>1109</v>
      </c>
      <c r="P1151" s="113">
        <v>478</v>
      </c>
      <c r="Q1151" s="113">
        <v>90</v>
      </c>
      <c r="R1151" s="113">
        <v>102</v>
      </c>
      <c r="S1151" s="113">
        <v>73</v>
      </c>
      <c r="T1151" s="120">
        <v>78</v>
      </c>
      <c r="U1151" s="113">
        <v>65</v>
      </c>
      <c r="V1151" s="113">
        <v>70</v>
      </c>
    </row>
    <row r="1152" spans="1:22">
      <c r="A1152" s="113">
        <v>977</v>
      </c>
      <c r="B1152" s="113" t="s">
        <v>5161</v>
      </c>
      <c r="C1152" s="120" t="s">
        <v>6354</v>
      </c>
      <c r="D1152" s="124">
        <v>0.5</v>
      </c>
      <c r="E1152" s="124">
        <v>0.5</v>
      </c>
      <c r="F1152" s="113" t="s">
        <v>2337</v>
      </c>
      <c r="G1152" s="113" t="s">
        <v>5208</v>
      </c>
      <c r="H1152" s="113" t="s">
        <v>25</v>
      </c>
      <c r="I1152" s="113" t="s">
        <v>1109</v>
      </c>
      <c r="J1152" s="118" t="s">
        <v>2129</v>
      </c>
      <c r="K1152" s="118" t="s">
        <v>4657</v>
      </c>
      <c r="L1152" s="118" t="s">
        <v>6354</v>
      </c>
      <c r="M1152" s="115" t="s">
        <v>1109</v>
      </c>
      <c r="N1152" s="115" t="s">
        <v>6399</v>
      </c>
      <c r="O1152" s="115" t="s">
        <v>1109</v>
      </c>
      <c r="P1152" s="113">
        <v>530</v>
      </c>
      <c r="Q1152" s="113">
        <v>150</v>
      </c>
      <c r="R1152" s="113">
        <v>100</v>
      </c>
      <c r="S1152" s="113">
        <v>115</v>
      </c>
      <c r="T1152" s="120">
        <v>65</v>
      </c>
      <c r="U1152" s="113">
        <v>65</v>
      </c>
      <c r="V1152" s="113">
        <v>35</v>
      </c>
    </row>
    <row r="1153" spans="1:22">
      <c r="A1153" s="113">
        <v>978</v>
      </c>
      <c r="B1153" s="113" t="s">
        <v>5162</v>
      </c>
      <c r="C1153" s="120" t="s">
        <v>6355</v>
      </c>
      <c r="D1153" s="124">
        <v>0.5</v>
      </c>
      <c r="E1153" s="124">
        <v>0.5</v>
      </c>
      <c r="F1153" s="113" t="s">
        <v>2337</v>
      </c>
      <c r="G1153" s="113" t="s">
        <v>5208</v>
      </c>
      <c r="H1153" s="113" t="s">
        <v>23</v>
      </c>
      <c r="I1153" s="113" t="s">
        <v>25</v>
      </c>
      <c r="J1153" s="118" t="s">
        <v>2129</v>
      </c>
      <c r="K1153" s="118" t="s">
        <v>4657</v>
      </c>
      <c r="L1153" s="118" t="s">
        <v>6355</v>
      </c>
      <c r="M1153" s="115" t="s">
        <v>1109</v>
      </c>
      <c r="N1153" s="115" t="s">
        <v>6399</v>
      </c>
      <c r="O1153" s="115" t="s">
        <v>1109</v>
      </c>
      <c r="P1153" s="113">
        <v>475</v>
      </c>
      <c r="Q1153" s="113">
        <v>68</v>
      </c>
      <c r="R1153" s="113">
        <v>50</v>
      </c>
      <c r="S1153" s="113">
        <v>60</v>
      </c>
      <c r="T1153" s="120">
        <v>120</v>
      </c>
      <c r="U1153" s="113">
        <v>95</v>
      </c>
      <c r="V1153" s="113">
        <v>82</v>
      </c>
    </row>
    <row r="1154" spans="1:22">
      <c r="A1154" s="113">
        <v>979</v>
      </c>
      <c r="B1154" s="113" t="s">
        <v>5163</v>
      </c>
      <c r="C1154" s="120" t="s">
        <v>6356</v>
      </c>
      <c r="D1154" s="124">
        <v>0.5</v>
      </c>
      <c r="E1154" s="124">
        <v>0.5</v>
      </c>
      <c r="F1154" s="113" t="s">
        <v>2332</v>
      </c>
      <c r="G1154" s="113" t="s">
        <v>5208</v>
      </c>
      <c r="H1154" s="113" t="s">
        <v>78</v>
      </c>
      <c r="I1154" s="113" t="s">
        <v>119</v>
      </c>
      <c r="J1154" s="118" t="s">
        <v>2129</v>
      </c>
      <c r="K1154" s="118" t="s">
        <v>4658</v>
      </c>
      <c r="L1154" s="118" t="s">
        <v>5284</v>
      </c>
      <c r="M1154" s="115" t="s">
        <v>5285</v>
      </c>
      <c r="N1154" s="115" t="s">
        <v>6399</v>
      </c>
      <c r="O1154" s="115" t="s">
        <v>2128</v>
      </c>
      <c r="P1154" s="113">
        <v>535</v>
      </c>
      <c r="Q1154" s="113">
        <v>110</v>
      </c>
      <c r="R1154" s="113">
        <v>115</v>
      </c>
      <c r="S1154" s="113">
        <v>80</v>
      </c>
      <c r="T1154" s="120">
        <v>50</v>
      </c>
      <c r="U1154" s="113">
        <v>90</v>
      </c>
      <c r="V1154" s="113">
        <v>90</v>
      </c>
    </row>
    <row r="1155" spans="1:22">
      <c r="A1155" s="113">
        <v>980</v>
      </c>
      <c r="B1155" s="113" t="s">
        <v>5164</v>
      </c>
      <c r="C1155" s="120" t="s">
        <v>6357</v>
      </c>
      <c r="D1155" s="124">
        <v>0.5</v>
      </c>
      <c r="E1155" s="124">
        <v>0.5</v>
      </c>
      <c r="F1155" s="113" t="s">
        <v>2331</v>
      </c>
      <c r="G1155" s="113" t="s">
        <v>5208</v>
      </c>
      <c r="H1155" s="113" t="s">
        <v>15</v>
      </c>
      <c r="I1155" s="113" t="s">
        <v>49</v>
      </c>
      <c r="J1155" s="118" t="s">
        <v>2129</v>
      </c>
      <c r="K1155" s="118" t="s">
        <v>2712</v>
      </c>
      <c r="L1155" s="118" t="s">
        <v>5456</v>
      </c>
      <c r="M1155" s="115" t="s">
        <v>5457</v>
      </c>
      <c r="N1155" s="115" t="s">
        <v>6399</v>
      </c>
      <c r="O1155" s="115" t="s">
        <v>2128</v>
      </c>
      <c r="P1155" s="113">
        <v>430</v>
      </c>
      <c r="Q1155" s="113">
        <v>130</v>
      </c>
      <c r="R1155" s="113">
        <v>75</v>
      </c>
      <c r="S1155" s="113">
        <v>60</v>
      </c>
      <c r="T1155" s="120">
        <v>45</v>
      </c>
      <c r="U1155" s="113">
        <v>100</v>
      </c>
      <c r="V1155" s="113">
        <v>20</v>
      </c>
    </row>
    <row r="1156" spans="1:22">
      <c r="A1156" s="113">
        <v>981</v>
      </c>
      <c r="B1156" s="113" t="s">
        <v>5165</v>
      </c>
      <c r="C1156" s="120" t="s">
        <v>6358</v>
      </c>
      <c r="D1156" s="124">
        <v>0.5</v>
      </c>
      <c r="E1156" s="124">
        <v>0.5</v>
      </c>
      <c r="F1156" s="113" t="s">
        <v>2332</v>
      </c>
      <c r="G1156" s="113" t="s">
        <v>5208</v>
      </c>
      <c r="H1156" s="113" t="s">
        <v>36</v>
      </c>
      <c r="I1156" s="113" t="s">
        <v>86</v>
      </c>
      <c r="J1156" s="118" t="s">
        <v>2129</v>
      </c>
      <c r="K1156" s="118" t="s">
        <v>4657</v>
      </c>
      <c r="L1156" s="118" t="s">
        <v>5467</v>
      </c>
      <c r="M1156" s="115" t="s">
        <v>5467</v>
      </c>
      <c r="N1156" s="115" t="s">
        <v>6399</v>
      </c>
      <c r="O1156" s="115" t="s">
        <v>2128</v>
      </c>
      <c r="P1156" s="113">
        <v>520</v>
      </c>
      <c r="Q1156" s="113">
        <v>120</v>
      </c>
      <c r="R1156" s="113">
        <v>90</v>
      </c>
      <c r="S1156" s="113">
        <v>70</v>
      </c>
      <c r="T1156" s="120">
        <v>110</v>
      </c>
      <c r="U1156" s="113">
        <v>70</v>
      </c>
      <c r="V1156" s="113">
        <v>60</v>
      </c>
    </row>
    <row r="1157" spans="1:22">
      <c r="A1157" s="113">
        <v>982</v>
      </c>
      <c r="B1157" s="113" t="s">
        <v>5204</v>
      </c>
      <c r="C1157" s="120" t="s">
        <v>6360</v>
      </c>
      <c r="D1157" s="124">
        <v>0.5</v>
      </c>
      <c r="E1157" s="124">
        <v>0.5</v>
      </c>
      <c r="F1157" s="113" t="s">
        <v>2332</v>
      </c>
      <c r="G1157" s="113" t="s">
        <v>5208</v>
      </c>
      <c r="H1157" s="113" t="s">
        <v>36</v>
      </c>
      <c r="I1157" s="113" t="s">
        <v>1109</v>
      </c>
      <c r="J1157" s="118" t="s">
        <v>2129</v>
      </c>
      <c r="K1157" s="118" t="s">
        <v>4658</v>
      </c>
      <c r="L1157" s="118" t="s">
        <v>5470</v>
      </c>
      <c r="M1157" s="115" t="s">
        <v>5470</v>
      </c>
      <c r="N1157" s="115" t="s">
        <v>6399</v>
      </c>
      <c r="O1157" s="115" t="s">
        <v>2128</v>
      </c>
      <c r="P1157" s="113">
        <v>520</v>
      </c>
      <c r="Q1157" s="113">
        <v>125</v>
      </c>
      <c r="R1157" s="113">
        <v>100</v>
      </c>
      <c r="S1157" s="113">
        <v>80</v>
      </c>
      <c r="T1157" s="120">
        <v>85</v>
      </c>
      <c r="U1157" s="113">
        <v>75</v>
      </c>
      <c r="V1157" s="113">
        <v>55</v>
      </c>
    </row>
    <row r="1158" spans="1:22">
      <c r="A1158" s="113">
        <v>982</v>
      </c>
      <c r="B1158" s="113" t="s">
        <v>5205</v>
      </c>
      <c r="C1158" s="120" t="s">
        <v>6359</v>
      </c>
      <c r="D1158" s="124">
        <v>0.5</v>
      </c>
      <c r="E1158" s="124">
        <v>0.5</v>
      </c>
      <c r="F1158" s="113" t="s">
        <v>2332</v>
      </c>
      <c r="G1158" s="113" t="s">
        <v>5208</v>
      </c>
      <c r="H1158" s="113" t="s">
        <v>36</v>
      </c>
      <c r="I1158" s="113" t="s">
        <v>1109</v>
      </c>
      <c r="J1158" s="118" t="s">
        <v>2129</v>
      </c>
      <c r="K1158" s="118" t="s">
        <v>4658</v>
      </c>
      <c r="L1158" s="118" t="s">
        <v>5470</v>
      </c>
      <c r="M1158" s="115" t="s">
        <v>5470</v>
      </c>
      <c r="N1158" s="115" t="s">
        <v>6399</v>
      </c>
      <c r="O1158" s="115" t="s">
        <v>2128</v>
      </c>
      <c r="P1158" s="113">
        <v>520</v>
      </c>
      <c r="Q1158" s="113">
        <v>125</v>
      </c>
      <c r="R1158" s="113">
        <v>100</v>
      </c>
      <c r="S1158" s="113">
        <v>80</v>
      </c>
      <c r="T1158" s="120">
        <v>85</v>
      </c>
      <c r="U1158" s="113">
        <v>75</v>
      </c>
      <c r="V1158" s="113">
        <v>55</v>
      </c>
    </row>
    <row r="1159" spans="1:22">
      <c r="A1159" s="113">
        <v>983</v>
      </c>
      <c r="B1159" s="113" t="s">
        <v>5166</v>
      </c>
      <c r="C1159" s="120" t="s">
        <v>6361</v>
      </c>
      <c r="D1159" s="124">
        <v>0.5</v>
      </c>
      <c r="E1159" s="124">
        <v>0.5</v>
      </c>
      <c r="F1159" s="113" t="s">
        <v>2334</v>
      </c>
      <c r="G1159" s="113" t="s">
        <v>5208</v>
      </c>
      <c r="H1159" s="113" t="s">
        <v>158</v>
      </c>
      <c r="I1159" s="113" t="s">
        <v>106</v>
      </c>
      <c r="J1159" s="118" t="s">
        <v>2129</v>
      </c>
      <c r="K1159" s="118" t="s">
        <v>4658</v>
      </c>
      <c r="L1159" s="118" t="s">
        <v>5950</v>
      </c>
      <c r="M1159" s="115" t="s">
        <v>5951</v>
      </c>
      <c r="N1159" s="115" t="s">
        <v>6399</v>
      </c>
      <c r="O1159" s="115" t="s">
        <v>2130</v>
      </c>
      <c r="P1159" s="113">
        <v>550</v>
      </c>
      <c r="Q1159" s="113">
        <v>100</v>
      </c>
      <c r="R1159" s="113">
        <v>135</v>
      </c>
      <c r="S1159" s="113">
        <v>120</v>
      </c>
      <c r="T1159" s="120">
        <v>60</v>
      </c>
      <c r="U1159" s="113">
        <v>85</v>
      </c>
      <c r="V1159" s="113">
        <v>50</v>
      </c>
    </row>
    <row r="1160" spans="1:22" hidden="1">
      <c r="A1160" s="113">
        <v>984</v>
      </c>
      <c r="B1160" s="113" t="s">
        <v>5167</v>
      </c>
      <c r="C1160" s="120" t="s">
        <v>6362</v>
      </c>
      <c r="D1160" s="132" t="s">
        <v>1109</v>
      </c>
      <c r="E1160" s="132" t="s">
        <v>1109</v>
      </c>
      <c r="F1160" s="113" t="s">
        <v>2333</v>
      </c>
      <c r="G1160" s="113" t="s">
        <v>5208</v>
      </c>
      <c r="H1160" s="113" t="s">
        <v>49</v>
      </c>
      <c r="I1160" s="113" t="s">
        <v>78</v>
      </c>
      <c r="J1160" s="118" t="s">
        <v>5209</v>
      </c>
      <c r="K1160" s="118" t="s">
        <v>4657</v>
      </c>
      <c r="L1160" s="118" t="s">
        <v>6362</v>
      </c>
      <c r="M1160" s="115" t="s">
        <v>1109</v>
      </c>
      <c r="N1160" s="115" t="s">
        <v>6399</v>
      </c>
      <c r="O1160" s="115" t="s">
        <v>1109</v>
      </c>
      <c r="P1160" s="113">
        <v>570</v>
      </c>
      <c r="Q1160" s="113">
        <v>115</v>
      </c>
      <c r="R1160" s="113">
        <v>131</v>
      </c>
      <c r="S1160" s="113">
        <v>131</v>
      </c>
      <c r="T1160" s="120">
        <v>53</v>
      </c>
      <c r="U1160" s="113">
        <v>53</v>
      </c>
      <c r="V1160" s="113">
        <v>87</v>
      </c>
    </row>
    <row r="1161" spans="1:22" hidden="1">
      <c r="A1161" s="113">
        <v>985</v>
      </c>
      <c r="B1161" s="113" t="s">
        <v>5168</v>
      </c>
      <c r="C1161" s="120" t="s">
        <v>6363</v>
      </c>
      <c r="D1161" s="132" t="s">
        <v>1109</v>
      </c>
      <c r="E1161" s="132" t="s">
        <v>1109</v>
      </c>
      <c r="F1161" s="113" t="s">
        <v>2333</v>
      </c>
      <c r="G1161" s="113" t="s">
        <v>5208</v>
      </c>
      <c r="H1161" s="113" t="s">
        <v>56</v>
      </c>
      <c r="I1161" s="113" t="s">
        <v>86</v>
      </c>
      <c r="J1161" s="118" t="s">
        <v>5209</v>
      </c>
      <c r="K1161" s="118" t="s">
        <v>4657</v>
      </c>
      <c r="L1161" s="118" t="s">
        <v>6363</v>
      </c>
      <c r="M1161" s="115" t="s">
        <v>1109</v>
      </c>
      <c r="N1161" s="115" t="s">
        <v>6399</v>
      </c>
      <c r="O1161" s="115" t="s">
        <v>1109</v>
      </c>
      <c r="P1161" s="113">
        <v>570</v>
      </c>
      <c r="Q1161" s="113">
        <v>115</v>
      </c>
      <c r="R1161" s="113">
        <v>65</v>
      </c>
      <c r="S1161" s="113">
        <v>99</v>
      </c>
      <c r="T1161" s="120">
        <v>65</v>
      </c>
      <c r="U1161" s="113">
        <v>115</v>
      </c>
      <c r="V1161" s="113">
        <v>111</v>
      </c>
    </row>
    <row r="1162" spans="1:22" hidden="1">
      <c r="A1162" s="113">
        <v>986</v>
      </c>
      <c r="B1162" s="113" t="s">
        <v>5169</v>
      </c>
      <c r="C1162" s="120" t="s">
        <v>6364</v>
      </c>
      <c r="D1162" s="132" t="s">
        <v>1109</v>
      </c>
      <c r="E1162" s="132" t="s">
        <v>1109</v>
      </c>
      <c r="F1162" s="113" t="s">
        <v>2333</v>
      </c>
      <c r="G1162" s="113" t="s">
        <v>5208</v>
      </c>
      <c r="H1162" s="113" t="s">
        <v>14</v>
      </c>
      <c r="I1162" s="113" t="s">
        <v>158</v>
      </c>
      <c r="J1162" s="118" t="s">
        <v>5209</v>
      </c>
      <c r="K1162" s="118" t="s">
        <v>4657</v>
      </c>
      <c r="L1162" s="118" t="s">
        <v>6364</v>
      </c>
      <c r="M1162" s="115" t="s">
        <v>1109</v>
      </c>
      <c r="N1162" s="115" t="s">
        <v>6399</v>
      </c>
      <c r="O1162" s="115" t="s">
        <v>1109</v>
      </c>
      <c r="P1162" s="113">
        <v>570</v>
      </c>
      <c r="Q1162" s="113">
        <v>111</v>
      </c>
      <c r="R1162" s="113">
        <v>127</v>
      </c>
      <c r="S1162" s="113">
        <v>99</v>
      </c>
      <c r="T1162" s="120">
        <v>79</v>
      </c>
      <c r="U1162" s="113">
        <v>99</v>
      </c>
      <c r="V1162" s="113">
        <v>55</v>
      </c>
    </row>
    <row r="1163" spans="1:22" hidden="1">
      <c r="A1163" s="113">
        <v>987</v>
      </c>
      <c r="B1163" s="113" t="s">
        <v>5170</v>
      </c>
      <c r="C1163" s="120" t="s">
        <v>6365</v>
      </c>
      <c r="D1163" s="132" t="s">
        <v>1109</v>
      </c>
      <c r="E1163" s="132" t="s">
        <v>1109</v>
      </c>
      <c r="F1163" s="113" t="s">
        <v>2333</v>
      </c>
      <c r="G1163" s="113" t="s">
        <v>5208</v>
      </c>
      <c r="H1163" s="113" t="s">
        <v>119</v>
      </c>
      <c r="I1163" s="113" t="s">
        <v>56</v>
      </c>
      <c r="J1163" s="118" t="s">
        <v>5209</v>
      </c>
      <c r="K1163" s="118" t="s">
        <v>4657</v>
      </c>
      <c r="L1163" s="118" t="s">
        <v>6365</v>
      </c>
      <c r="M1163" s="115" t="s">
        <v>1109</v>
      </c>
      <c r="N1163" s="115" t="s">
        <v>6399</v>
      </c>
      <c r="O1163" s="115" t="s">
        <v>1109</v>
      </c>
      <c r="P1163" s="113">
        <v>570</v>
      </c>
      <c r="Q1163" s="113">
        <v>55</v>
      </c>
      <c r="R1163" s="113">
        <v>55</v>
      </c>
      <c r="S1163" s="113">
        <v>55</v>
      </c>
      <c r="T1163" s="120">
        <v>135</v>
      </c>
      <c r="U1163" s="113">
        <v>135</v>
      </c>
      <c r="V1163" s="113">
        <v>135</v>
      </c>
    </row>
    <row r="1164" spans="1:22" hidden="1">
      <c r="A1164" s="113">
        <v>988</v>
      </c>
      <c r="B1164" s="113" t="s">
        <v>5171</v>
      </c>
      <c r="C1164" s="120" t="s">
        <v>6366</v>
      </c>
      <c r="D1164" s="132" t="s">
        <v>1109</v>
      </c>
      <c r="E1164" s="132" t="s">
        <v>1109</v>
      </c>
      <c r="F1164" s="113" t="s">
        <v>2333</v>
      </c>
      <c r="G1164" s="113" t="s">
        <v>5208</v>
      </c>
      <c r="H1164" s="113" t="s">
        <v>29</v>
      </c>
      <c r="I1164" s="113" t="s">
        <v>78</v>
      </c>
      <c r="J1164" s="118" t="s">
        <v>5209</v>
      </c>
      <c r="K1164" s="118" t="s">
        <v>4657</v>
      </c>
      <c r="L1164" s="118" t="s">
        <v>6366</v>
      </c>
      <c r="M1164" s="115" t="s">
        <v>1109</v>
      </c>
      <c r="N1164" s="115" t="s">
        <v>6399</v>
      </c>
      <c r="O1164" s="115" t="s">
        <v>1109</v>
      </c>
      <c r="P1164" s="113">
        <v>570</v>
      </c>
      <c r="Q1164" s="113">
        <v>85</v>
      </c>
      <c r="R1164" s="113">
        <v>135</v>
      </c>
      <c r="S1164" s="113">
        <v>79</v>
      </c>
      <c r="T1164" s="120">
        <v>85</v>
      </c>
      <c r="U1164" s="113">
        <v>105</v>
      </c>
      <c r="V1164" s="113">
        <v>81</v>
      </c>
    </row>
    <row r="1165" spans="1:22" hidden="1">
      <c r="A1165" s="113">
        <v>989</v>
      </c>
      <c r="B1165" s="113" t="s">
        <v>5172</v>
      </c>
      <c r="C1165" s="120" t="s">
        <v>6367</v>
      </c>
      <c r="D1165" s="132" t="s">
        <v>1109</v>
      </c>
      <c r="E1165" s="132" t="s">
        <v>1109</v>
      </c>
      <c r="F1165" s="113" t="s">
        <v>2333</v>
      </c>
      <c r="G1165" s="113" t="s">
        <v>5208</v>
      </c>
      <c r="H1165" s="113" t="s">
        <v>46</v>
      </c>
      <c r="I1165" s="113" t="s">
        <v>49</v>
      </c>
      <c r="J1165" s="118" t="s">
        <v>5209</v>
      </c>
      <c r="K1165" s="118" t="s">
        <v>4657</v>
      </c>
      <c r="L1165" s="118" t="s">
        <v>6367</v>
      </c>
      <c r="M1165" s="115" t="s">
        <v>1109</v>
      </c>
      <c r="N1165" s="115" t="s">
        <v>6399</v>
      </c>
      <c r="O1165" s="115" t="s">
        <v>1109</v>
      </c>
      <c r="P1165" s="113">
        <v>570</v>
      </c>
      <c r="Q1165" s="113">
        <v>85</v>
      </c>
      <c r="R1165" s="113">
        <v>81</v>
      </c>
      <c r="S1165" s="113">
        <v>97</v>
      </c>
      <c r="T1165" s="120">
        <v>121</v>
      </c>
      <c r="U1165" s="113">
        <v>85</v>
      </c>
      <c r="V1165" s="113">
        <v>101</v>
      </c>
    </row>
    <row r="1166" spans="1:22" hidden="1">
      <c r="A1166" s="113">
        <v>990</v>
      </c>
      <c r="B1166" s="113" t="s">
        <v>5173</v>
      </c>
      <c r="C1166" s="120" t="s">
        <v>6368</v>
      </c>
      <c r="D1166" s="132" t="s">
        <v>1109</v>
      </c>
      <c r="E1166" s="132" t="s">
        <v>1109</v>
      </c>
      <c r="F1166" s="113" t="s">
        <v>2333</v>
      </c>
      <c r="G1166" s="113" t="s">
        <v>5208</v>
      </c>
      <c r="H1166" s="113" t="s">
        <v>49</v>
      </c>
      <c r="I1166" s="113" t="s">
        <v>106</v>
      </c>
      <c r="J1166" s="118" t="s">
        <v>5209</v>
      </c>
      <c r="K1166" s="118" t="s">
        <v>4657</v>
      </c>
      <c r="L1166" s="118" t="s">
        <v>6368</v>
      </c>
      <c r="M1166" s="115" t="s">
        <v>1109</v>
      </c>
      <c r="N1166" s="115" t="s">
        <v>6399</v>
      </c>
      <c r="O1166" s="115" t="s">
        <v>1109</v>
      </c>
      <c r="P1166" s="113">
        <v>570</v>
      </c>
      <c r="Q1166" s="113">
        <v>90</v>
      </c>
      <c r="R1166" s="113">
        <v>112</v>
      </c>
      <c r="S1166" s="113">
        <v>120</v>
      </c>
      <c r="T1166" s="120">
        <v>72</v>
      </c>
      <c r="U1166" s="113">
        <v>70</v>
      </c>
      <c r="V1166" s="113">
        <v>106</v>
      </c>
    </row>
    <row r="1167" spans="1:22" hidden="1">
      <c r="A1167" s="113">
        <v>991</v>
      </c>
      <c r="B1167" s="113" t="s">
        <v>5174</v>
      </c>
      <c r="C1167" s="120" t="s">
        <v>6369</v>
      </c>
      <c r="D1167" s="132" t="s">
        <v>1109</v>
      </c>
      <c r="E1167" s="132" t="s">
        <v>1109</v>
      </c>
      <c r="F1167" s="113" t="s">
        <v>2333</v>
      </c>
      <c r="G1167" s="113" t="s">
        <v>5208</v>
      </c>
      <c r="H1167" s="113" t="s">
        <v>113</v>
      </c>
      <c r="I1167" s="113" t="s">
        <v>25</v>
      </c>
      <c r="J1167" s="118" t="s">
        <v>5209</v>
      </c>
      <c r="K1167" s="118" t="s">
        <v>4657</v>
      </c>
      <c r="L1167" s="118" t="s">
        <v>6369</v>
      </c>
      <c r="M1167" s="115" t="s">
        <v>1109</v>
      </c>
      <c r="N1167" s="115" t="s">
        <v>6399</v>
      </c>
      <c r="O1167" s="115" t="s">
        <v>1109</v>
      </c>
      <c r="P1167" s="113">
        <v>570</v>
      </c>
      <c r="Q1167" s="113">
        <v>56</v>
      </c>
      <c r="R1167" s="113">
        <v>80</v>
      </c>
      <c r="S1167" s="113">
        <v>114</v>
      </c>
      <c r="T1167" s="120">
        <v>124</v>
      </c>
      <c r="U1167" s="113">
        <v>60</v>
      </c>
      <c r="V1167" s="113">
        <v>136</v>
      </c>
    </row>
    <row r="1168" spans="1:22" hidden="1">
      <c r="A1168" s="113">
        <v>992</v>
      </c>
      <c r="B1168" s="113" t="s">
        <v>5175</v>
      </c>
      <c r="C1168" s="120" t="s">
        <v>6370</v>
      </c>
      <c r="D1168" s="132" t="s">
        <v>1109</v>
      </c>
      <c r="E1168" s="132" t="s">
        <v>1109</v>
      </c>
      <c r="F1168" s="113" t="s">
        <v>2333</v>
      </c>
      <c r="G1168" s="113" t="s">
        <v>5208</v>
      </c>
      <c r="H1168" s="113" t="s">
        <v>78</v>
      </c>
      <c r="I1168" s="113" t="s">
        <v>46</v>
      </c>
      <c r="J1168" s="118" t="s">
        <v>5209</v>
      </c>
      <c r="K1168" s="118" t="s">
        <v>4657</v>
      </c>
      <c r="L1168" s="118" t="s">
        <v>6370</v>
      </c>
      <c r="M1168" s="115" t="s">
        <v>1109</v>
      </c>
      <c r="N1168" s="115" t="s">
        <v>6399</v>
      </c>
      <c r="O1168" s="115" t="s">
        <v>1109</v>
      </c>
      <c r="P1168" s="113">
        <v>570</v>
      </c>
      <c r="Q1168" s="113">
        <v>154</v>
      </c>
      <c r="R1168" s="113">
        <v>140</v>
      </c>
      <c r="S1168" s="113">
        <v>108</v>
      </c>
      <c r="T1168" s="120">
        <v>50</v>
      </c>
      <c r="U1168" s="113">
        <v>68</v>
      </c>
      <c r="V1168" s="113">
        <v>50</v>
      </c>
    </row>
    <row r="1169" spans="1:22" hidden="1">
      <c r="A1169" s="113">
        <v>993</v>
      </c>
      <c r="B1169" s="113" t="s">
        <v>5176</v>
      </c>
      <c r="C1169" s="120" t="s">
        <v>6371</v>
      </c>
      <c r="D1169" s="132" t="s">
        <v>1109</v>
      </c>
      <c r="E1169" s="132" t="s">
        <v>1109</v>
      </c>
      <c r="F1169" s="113" t="s">
        <v>2333</v>
      </c>
      <c r="G1169" s="113" t="s">
        <v>5208</v>
      </c>
      <c r="H1169" s="113" t="s">
        <v>158</v>
      </c>
      <c r="I1169" s="113" t="s">
        <v>22</v>
      </c>
      <c r="J1169" s="118" t="s">
        <v>5209</v>
      </c>
      <c r="K1169" s="118" t="s">
        <v>4657</v>
      </c>
      <c r="L1169" s="118" t="s">
        <v>6371</v>
      </c>
      <c r="M1169" s="115" t="s">
        <v>1109</v>
      </c>
      <c r="N1169" s="115" t="s">
        <v>6399</v>
      </c>
      <c r="O1169" s="115" t="s">
        <v>1109</v>
      </c>
      <c r="P1169" s="113">
        <v>570</v>
      </c>
      <c r="Q1169" s="113">
        <v>94</v>
      </c>
      <c r="R1169" s="113">
        <v>80</v>
      </c>
      <c r="S1169" s="113">
        <v>86</v>
      </c>
      <c r="T1169" s="120">
        <v>122</v>
      </c>
      <c r="U1169" s="113">
        <v>80</v>
      </c>
      <c r="V1169" s="113">
        <v>108</v>
      </c>
    </row>
    <row r="1170" spans="1:22" hidden="1">
      <c r="A1170" s="113">
        <v>994</v>
      </c>
      <c r="B1170" s="113" t="s">
        <v>5177</v>
      </c>
      <c r="C1170" s="120" t="s">
        <v>6372</v>
      </c>
      <c r="D1170" s="132" t="s">
        <v>1109</v>
      </c>
      <c r="E1170" s="132" t="s">
        <v>1109</v>
      </c>
      <c r="F1170" s="113" t="s">
        <v>2333</v>
      </c>
      <c r="G1170" s="113" t="s">
        <v>5208</v>
      </c>
      <c r="H1170" s="113" t="s">
        <v>19</v>
      </c>
      <c r="I1170" s="113" t="s">
        <v>15</v>
      </c>
      <c r="J1170" s="118" t="s">
        <v>5209</v>
      </c>
      <c r="K1170" s="118" t="s">
        <v>4657</v>
      </c>
      <c r="L1170" s="118" t="s">
        <v>6372</v>
      </c>
      <c r="M1170" s="115" t="s">
        <v>1109</v>
      </c>
      <c r="N1170" s="115" t="s">
        <v>6399</v>
      </c>
      <c r="O1170" s="115" t="s">
        <v>1109</v>
      </c>
      <c r="P1170" s="113">
        <v>570</v>
      </c>
      <c r="Q1170" s="113">
        <v>80</v>
      </c>
      <c r="R1170" s="113">
        <v>70</v>
      </c>
      <c r="S1170" s="113">
        <v>60</v>
      </c>
      <c r="T1170" s="120">
        <v>140</v>
      </c>
      <c r="U1170" s="113">
        <v>110</v>
      </c>
      <c r="V1170" s="113">
        <v>110</v>
      </c>
    </row>
    <row r="1171" spans="1:22" hidden="1">
      <c r="A1171" s="113">
        <v>995</v>
      </c>
      <c r="B1171" s="113" t="s">
        <v>5178</v>
      </c>
      <c r="C1171" s="120" t="s">
        <v>6373</v>
      </c>
      <c r="D1171" s="132" t="s">
        <v>1109</v>
      </c>
      <c r="E1171" s="132" t="s">
        <v>1109</v>
      </c>
      <c r="F1171" s="113" t="s">
        <v>2333</v>
      </c>
      <c r="G1171" s="113" t="s">
        <v>5208</v>
      </c>
      <c r="H1171" s="113" t="s">
        <v>98</v>
      </c>
      <c r="I1171" s="113" t="s">
        <v>46</v>
      </c>
      <c r="J1171" s="118" t="s">
        <v>5209</v>
      </c>
      <c r="K1171" s="118" t="s">
        <v>4657</v>
      </c>
      <c r="L1171" s="118" t="s">
        <v>6373</v>
      </c>
      <c r="M1171" s="115" t="s">
        <v>1109</v>
      </c>
      <c r="N1171" s="115" t="s">
        <v>6399</v>
      </c>
      <c r="O1171" s="115" t="s">
        <v>1109</v>
      </c>
      <c r="P1171" s="113">
        <v>570</v>
      </c>
      <c r="Q1171" s="113">
        <v>100</v>
      </c>
      <c r="R1171" s="113">
        <v>134</v>
      </c>
      <c r="S1171" s="113">
        <v>110</v>
      </c>
      <c r="T1171" s="120">
        <v>70</v>
      </c>
      <c r="U1171" s="113">
        <v>84</v>
      </c>
      <c r="V1171" s="113">
        <v>72</v>
      </c>
    </row>
    <row r="1172" spans="1:22">
      <c r="A1172" s="113">
        <v>996</v>
      </c>
      <c r="B1172" s="113" t="s">
        <v>5179</v>
      </c>
      <c r="C1172" s="120" t="s">
        <v>6374</v>
      </c>
      <c r="D1172" s="124">
        <v>0.5</v>
      </c>
      <c r="E1172" s="124">
        <v>0.5</v>
      </c>
      <c r="F1172" s="113" t="s">
        <v>23</v>
      </c>
      <c r="G1172" s="113" t="s">
        <v>5208</v>
      </c>
      <c r="H1172" s="113" t="s">
        <v>23</v>
      </c>
      <c r="I1172" s="113" t="s">
        <v>113</v>
      </c>
      <c r="J1172" s="118" t="s">
        <v>2129</v>
      </c>
      <c r="K1172" s="118" t="s">
        <v>4657</v>
      </c>
      <c r="L1172" s="118" t="s">
        <v>6374</v>
      </c>
      <c r="M1172" s="115" t="s">
        <v>1109</v>
      </c>
      <c r="N1172" s="115" t="s">
        <v>2129</v>
      </c>
      <c r="O1172" s="115" t="s">
        <v>1109</v>
      </c>
      <c r="P1172" s="113">
        <v>320</v>
      </c>
      <c r="Q1172" s="113">
        <v>65</v>
      </c>
      <c r="R1172" s="113">
        <v>75</v>
      </c>
      <c r="S1172" s="113">
        <v>45</v>
      </c>
      <c r="T1172" s="120">
        <v>35</v>
      </c>
      <c r="U1172" s="113">
        <v>45</v>
      </c>
      <c r="V1172" s="113">
        <v>55</v>
      </c>
    </row>
    <row r="1173" spans="1:22">
      <c r="A1173" s="113">
        <v>997</v>
      </c>
      <c r="B1173" s="113" t="s">
        <v>5180</v>
      </c>
      <c r="C1173" s="120" t="s">
        <v>6375</v>
      </c>
      <c r="D1173" s="124">
        <v>0.5</v>
      </c>
      <c r="E1173" s="124">
        <v>0.5</v>
      </c>
      <c r="F1173" s="113" t="s">
        <v>23</v>
      </c>
      <c r="G1173" s="113" t="s">
        <v>5208</v>
      </c>
      <c r="H1173" s="113" t="s">
        <v>23</v>
      </c>
      <c r="I1173" s="113" t="s">
        <v>113</v>
      </c>
      <c r="J1173" s="118" t="s">
        <v>2129</v>
      </c>
      <c r="K1173" s="118" t="s">
        <v>4657</v>
      </c>
      <c r="L1173" s="118" t="s">
        <v>6374</v>
      </c>
      <c r="M1173" s="115" t="s">
        <v>6374</v>
      </c>
      <c r="N1173" s="115" t="s">
        <v>6398</v>
      </c>
      <c r="O1173" s="115" t="s">
        <v>2128</v>
      </c>
      <c r="P1173" s="113">
        <v>423</v>
      </c>
      <c r="Q1173" s="113">
        <v>90</v>
      </c>
      <c r="R1173" s="113">
        <v>95</v>
      </c>
      <c r="S1173" s="113">
        <v>66</v>
      </c>
      <c r="T1173" s="120">
        <v>45</v>
      </c>
      <c r="U1173" s="113">
        <v>65</v>
      </c>
      <c r="V1173" s="113">
        <v>62</v>
      </c>
    </row>
    <row r="1174" spans="1:22">
      <c r="A1174" s="113">
        <v>998</v>
      </c>
      <c r="B1174" s="113" t="s">
        <v>5181</v>
      </c>
      <c r="C1174" s="120" t="s">
        <v>6376</v>
      </c>
      <c r="D1174" s="124">
        <v>0.5</v>
      </c>
      <c r="E1174" s="124">
        <v>0.5</v>
      </c>
      <c r="F1174" s="113" t="s">
        <v>23</v>
      </c>
      <c r="G1174" s="113" t="s">
        <v>5208</v>
      </c>
      <c r="H1174" s="113" t="s">
        <v>23</v>
      </c>
      <c r="I1174" s="113" t="s">
        <v>113</v>
      </c>
      <c r="J1174" s="118" t="s">
        <v>2129</v>
      </c>
      <c r="K1174" s="118" t="s">
        <v>4657</v>
      </c>
      <c r="L1174" s="118" t="s">
        <v>6374</v>
      </c>
      <c r="M1174" s="115" t="s">
        <v>6375</v>
      </c>
      <c r="N1174" s="115" t="s">
        <v>6399</v>
      </c>
      <c r="O1174" s="115" t="s">
        <v>2128</v>
      </c>
      <c r="P1174" s="113">
        <v>600</v>
      </c>
      <c r="Q1174" s="113">
        <v>115</v>
      </c>
      <c r="R1174" s="113">
        <v>145</v>
      </c>
      <c r="S1174" s="113">
        <v>92</v>
      </c>
      <c r="T1174" s="120">
        <v>75</v>
      </c>
      <c r="U1174" s="113">
        <v>86</v>
      </c>
      <c r="V1174" s="113">
        <v>87</v>
      </c>
    </row>
    <row r="1175" spans="1:22">
      <c r="A1175" s="113">
        <v>999</v>
      </c>
      <c r="B1175" s="113" t="s">
        <v>5207</v>
      </c>
      <c r="C1175" s="120" t="s">
        <v>6378</v>
      </c>
      <c r="D1175" s="132" t="s">
        <v>1109</v>
      </c>
      <c r="E1175" s="132" t="s">
        <v>1109</v>
      </c>
      <c r="F1175" s="113" t="s">
        <v>2333</v>
      </c>
      <c r="G1175" s="113" t="s">
        <v>5208</v>
      </c>
      <c r="H1175" s="113" t="s">
        <v>119</v>
      </c>
      <c r="I1175" s="113" t="s">
        <v>1109</v>
      </c>
      <c r="J1175" s="118" t="s">
        <v>2129</v>
      </c>
      <c r="K1175" s="118" t="s">
        <v>4657</v>
      </c>
      <c r="L1175" s="118" t="s">
        <v>6378</v>
      </c>
      <c r="M1175" s="115" t="s">
        <v>1109</v>
      </c>
      <c r="N1175" s="115" t="s">
        <v>2129</v>
      </c>
      <c r="O1175" s="115" t="s">
        <v>1109</v>
      </c>
      <c r="P1175" s="113">
        <v>300</v>
      </c>
      <c r="Q1175" s="113">
        <v>45</v>
      </c>
      <c r="R1175" s="113">
        <v>30</v>
      </c>
      <c r="S1175" s="113">
        <v>25</v>
      </c>
      <c r="T1175" s="120">
        <v>75</v>
      </c>
      <c r="U1175" s="113">
        <v>45</v>
      </c>
      <c r="V1175" s="113">
        <v>80</v>
      </c>
    </row>
    <row r="1176" spans="1:22">
      <c r="A1176" s="113">
        <v>999</v>
      </c>
      <c r="B1176" s="113" t="s">
        <v>5206</v>
      </c>
      <c r="C1176" s="120" t="s">
        <v>6377</v>
      </c>
      <c r="D1176" s="132" t="s">
        <v>1109</v>
      </c>
      <c r="E1176" s="132" t="s">
        <v>1109</v>
      </c>
      <c r="F1176" s="113" t="s">
        <v>2333</v>
      </c>
      <c r="G1176" s="113" t="s">
        <v>5208</v>
      </c>
      <c r="H1176" s="113" t="s">
        <v>119</v>
      </c>
      <c r="I1176" s="113" t="s">
        <v>1109</v>
      </c>
      <c r="J1176" s="118" t="s">
        <v>2129</v>
      </c>
      <c r="K1176" s="118" t="s">
        <v>4657</v>
      </c>
      <c r="L1176" s="118" t="s">
        <v>6378</v>
      </c>
      <c r="M1176" s="115" t="s">
        <v>1109</v>
      </c>
      <c r="N1176" s="115" t="s">
        <v>2129</v>
      </c>
      <c r="O1176" s="115" t="s">
        <v>1109</v>
      </c>
      <c r="P1176" s="113">
        <v>300</v>
      </c>
      <c r="Q1176" s="113">
        <v>45</v>
      </c>
      <c r="R1176" s="113">
        <v>30</v>
      </c>
      <c r="S1176" s="113">
        <v>70</v>
      </c>
      <c r="T1176" s="120">
        <v>75</v>
      </c>
      <c r="U1176" s="113">
        <v>70</v>
      </c>
      <c r="V1176" s="113">
        <v>10</v>
      </c>
    </row>
    <row r="1177" spans="1:22">
      <c r="A1177" s="113">
        <v>1000</v>
      </c>
      <c r="B1177" s="113" t="s">
        <v>5182</v>
      </c>
      <c r="C1177" s="120" t="s">
        <v>6379</v>
      </c>
      <c r="D1177" s="132" t="s">
        <v>1109</v>
      </c>
      <c r="E1177" s="132" t="s">
        <v>1109</v>
      </c>
      <c r="F1177" s="113" t="s">
        <v>2333</v>
      </c>
      <c r="G1177" s="113" t="s">
        <v>5208</v>
      </c>
      <c r="H1177" s="113" t="s">
        <v>106</v>
      </c>
      <c r="I1177" s="113" t="s">
        <v>119</v>
      </c>
      <c r="J1177" s="118" t="s">
        <v>2129</v>
      </c>
      <c r="K1177" s="118" t="s">
        <v>4657</v>
      </c>
      <c r="L1177" s="118" t="s">
        <v>6378</v>
      </c>
      <c r="M1177" s="113" t="s">
        <v>6378</v>
      </c>
      <c r="N1177" s="115" t="s">
        <v>6399</v>
      </c>
      <c r="O1177" s="115" t="s">
        <v>814</v>
      </c>
      <c r="P1177" s="113">
        <v>550</v>
      </c>
      <c r="Q1177" s="113">
        <v>87</v>
      </c>
      <c r="R1177" s="113">
        <v>60</v>
      </c>
      <c r="S1177" s="113">
        <v>95</v>
      </c>
      <c r="T1177" s="120">
        <v>133</v>
      </c>
      <c r="U1177" s="113">
        <v>91</v>
      </c>
      <c r="V1177" s="113">
        <v>84</v>
      </c>
    </row>
    <row r="1178" spans="1:22">
      <c r="A1178" s="113">
        <v>1001</v>
      </c>
      <c r="B1178" s="113" t="s">
        <v>5183</v>
      </c>
      <c r="C1178" s="120" t="s">
        <v>6380</v>
      </c>
      <c r="D1178" s="132" t="s">
        <v>1109</v>
      </c>
      <c r="E1178" s="132" t="s">
        <v>1109</v>
      </c>
      <c r="F1178" s="113" t="s">
        <v>2333</v>
      </c>
      <c r="G1178" s="113" t="s">
        <v>5208</v>
      </c>
      <c r="H1178" s="113" t="s">
        <v>158</v>
      </c>
      <c r="I1178" s="113" t="s">
        <v>14</v>
      </c>
      <c r="J1178" s="118" t="s">
        <v>12</v>
      </c>
      <c r="K1178" s="118" t="s">
        <v>12</v>
      </c>
      <c r="L1178" s="118" t="s">
        <v>6380</v>
      </c>
      <c r="M1178" s="115" t="s">
        <v>1109</v>
      </c>
      <c r="N1178" s="115" t="s">
        <v>6399</v>
      </c>
      <c r="O1178" s="115" t="s">
        <v>1109</v>
      </c>
      <c r="P1178" s="113">
        <v>570</v>
      </c>
      <c r="Q1178" s="113">
        <v>85</v>
      </c>
      <c r="R1178" s="113">
        <v>85</v>
      </c>
      <c r="S1178" s="113">
        <v>100</v>
      </c>
      <c r="T1178" s="120">
        <v>95</v>
      </c>
      <c r="U1178" s="113">
        <v>135</v>
      </c>
      <c r="V1178" s="113">
        <v>70</v>
      </c>
    </row>
    <row r="1179" spans="1:22">
      <c r="A1179" s="113">
        <v>1002</v>
      </c>
      <c r="B1179" s="113" t="s">
        <v>5184</v>
      </c>
      <c r="C1179" s="120" t="s">
        <v>6381</v>
      </c>
      <c r="D1179" s="132" t="s">
        <v>1109</v>
      </c>
      <c r="E1179" s="132" t="s">
        <v>1109</v>
      </c>
      <c r="F1179" s="113" t="s">
        <v>2333</v>
      </c>
      <c r="G1179" s="113" t="s">
        <v>5208</v>
      </c>
      <c r="H1179" s="113" t="s">
        <v>158</v>
      </c>
      <c r="I1179" s="113" t="s">
        <v>113</v>
      </c>
      <c r="J1179" s="118" t="s">
        <v>12</v>
      </c>
      <c r="K1179" s="118" t="s">
        <v>12</v>
      </c>
      <c r="L1179" s="118" t="s">
        <v>6381</v>
      </c>
      <c r="M1179" s="115" t="s">
        <v>1109</v>
      </c>
      <c r="N1179" s="115" t="s">
        <v>6399</v>
      </c>
      <c r="O1179" s="115" t="s">
        <v>1109</v>
      </c>
      <c r="P1179" s="113">
        <v>570</v>
      </c>
      <c r="Q1179" s="113">
        <v>80</v>
      </c>
      <c r="R1179" s="113">
        <v>120</v>
      </c>
      <c r="S1179" s="113">
        <v>80</v>
      </c>
      <c r="T1179" s="120">
        <v>90</v>
      </c>
      <c r="U1179" s="113">
        <v>65</v>
      </c>
      <c r="V1179" s="113">
        <v>135</v>
      </c>
    </row>
    <row r="1180" spans="1:22">
      <c r="A1180" s="113">
        <v>1003</v>
      </c>
      <c r="B1180" s="113" t="s">
        <v>5185</v>
      </c>
      <c r="C1180" s="120" t="s">
        <v>6382</v>
      </c>
      <c r="D1180" s="132" t="s">
        <v>1109</v>
      </c>
      <c r="E1180" s="132" t="s">
        <v>1109</v>
      </c>
      <c r="F1180" s="113" t="s">
        <v>2333</v>
      </c>
      <c r="G1180" s="113" t="s">
        <v>5208</v>
      </c>
      <c r="H1180" s="113" t="s">
        <v>158</v>
      </c>
      <c r="I1180" s="113" t="s">
        <v>49</v>
      </c>
      <c r="J1180" s="118" t="s">
        <v>12</v>
      </c>
      <c r="K1180" s="118" t="s">
        <v>12</v>
      </c>
      <c r="L1180" s="118" t="s">
        <v>6382</v>
      </c>
      <c r="M1180" s="115" t="s">
        <v>1109</v>
      </c>
      <c r="N1180" s="115" t="s">
        <v>6399</v>
      </c>
      <c r="O1180" s="115" t="s">
        <v>1109</v>
      </c>
      <c r="P1180" s="113">
        <v>570</v>
      </c>
      <c r="Q1180" s="113">
        <v>155</v>
      </c>
      <c r="R1180" s="113">
        <v>110</v>
      </c>
      <c r="S1180" s="113">
        <v>125</v>
      </c>
      <c r="T1180" s="120">
        <v>55</v>
      </c>
      <c r="U1180" s="113">
        <v>80</v>
      </c>
      <c r="V1180" s="113">
        <v>45</v>
      </c>
    </row>
    <row r="1181" spans="1:22">
      <c r="A1181" s="113">
        <v>1004</v>
      </c>
      <c r="B1181" s="113" t="s">
        <v>5186</v>
      </c>
      <c r="C1181" s="120" t="s">
        <v>6383</v>
      </c>
      <c r="D1181" s="132" t="s">
        <v>1109</v>
      </c>
      <c r="E1181" s="132" t="s">
        <v>1109</v>
      </c>
      <c r="F1181" s="113" t="s">
        <v>2333</v>
      </c>
      <c r="G1181" s="113" t="s">
        <v>5208</v>
      </c>
      <c r="H1181" s="113" t="s">
        <v>158</v>
      </c>
      <c r="I1181" s="113" t="s">
        <v>19</v>
      </c>
      <c r="J1181" s="118" t="s">
        <v>12</v>
      </c>
      <c r="K1181" s="118" t="s">
        <v>12</v>
      </c>
      <c r="L1181" s="118" t="s">
        <v>6383</v>
      </c>
      <c r="M1181" s="115" t="s">
        <v>1109</v>
      </c>
      <c r="N1181" s="115" t="s">
        <v>6399</v>
      </c>
      <c r="O1181" s="115" t="s">
        <v>1109</v>
      </c>
      <c r="P1181" s="113">
        <v>570</v>
      </c>
      <c r="Q1181" s="113">
        <v>55</v>
      </c>
      <c r="R1181" s="113">
        <v>80</v>
      </c>
      <c r="S1181" s="113">
        <v>80</v>
      </c>
      <c r="T1181" s="120">
        <v>135</v>
      </c>
      <c r="U1181" s="113">
        <v>120</v>
      </c>
      <c r="V1181" s="113">
        <v>100</v>
      </c>
    </row>
    <row r="1182" spans="1:22" hidden="1">
      <c r="A1182" s="113">
        <v>1005</v>
      </c>
      <c r="B1182" s="113" t="s">
        <v>5187</v>
      </c>
      <c r="C1182" s="120" t="s">
        <v>6384</v>
      </c>
      <c r="D1182" s="132" t="s">
        <v>1109</v>
      </c>
      <c r="E1182" s="132" t="s">
        <v>1109</v>
      </c>
      <c r="F1182" s="113" t="s">
        <v>2333</v>
      </c>
      <c r="G1182" s="113" t="s">
        <v>5208</v>
      </c>
      <c r="H1182" s="113" t="s">
        <v>23</v>
      </c>
      <c r="I1182" s="113" t="s">
        <v>158</v>
      </c>
      <c r="J1182" s="118" t="s">
        <v>5209</v>
      </c>
      <c r="K1182" s="118" t="s">
        <v>4657</v>
      </c>
      <c r="L1182" s="118" t="s">
        <v>6384</v>
      </c>
      <c r="M1182" s="115" t="s">
        <v>1109</v>
      </c>
      <c r="N1182" s="115" t="s">
        <v>6399</v>
      </c>
      <c r="O1182" s="115" t="s">
        <v>1109</v>
      </c>
      <c r="P1182" s="113">
        <v>590</v>
      </c>
      <c r="Q1182" s="113">
        <v>105</v>
      </c>
      <c r="R1182" s="113">
        <v>139</v>
      </c>
      <c r="S1182" s="113">
        <v>71</v>
      </c>
      <c r="T1182" s="120">
        <v>55</v>
      </c>
      <c r="U1182" s="113">
        <v>101</v>
      </c>
      <c r="V1182" s="113">
        <v>119</v>
      </c>
    </row>
    <row r="1183" spans="1:22" hidden="1">
      <c r="A1183" s="113">
        <v>1006</v>
      </c>
      <c r="B1183" s="113" t="s">
        <v>5188</v>
      </c>
      <c r="C1183" s="120" t="s">
        <v>6385</v>
      </c>
      <c r="D1183" s="132" t="s">
        <v>1109</v>
      </c>
      <c r="E1183" s="132" t="s">
        <v>1109</v>
      </c>
      <c r="F1183" s="113" t="s">
        <v>2333</v>
      </c>
      <c r="G1183" s="113" t="s">
        <v>5208</v>
      </c>
      <c r="H1183" s="113" t="s">
        <v>56</v>
      </c>
      <c r="I1183" s="113" t="s">
        <v>78</v>
      </c>
      <c r="J1183" s="118" t="s">
        <v>5209</v>
      </c>
      <c r="K1183" s="118" t="s">
        <v>4657</v>
      </c>
      <c r="L1183" s="118" t="s">
        <v>6385</v>
      </c>
      <c r="M1183" s="115" t="s">
        <v>1109</v>
      </c>
      <c r="N1183" s="115" t="s">
        <v>6399</v>
      </c>
      <c r="O1183" s="115" t="s">
        <v>1109</v>
      </c>
      <c r="P1183" s="113">
        <v>590</v>
      </c>
      <c r="Q1183" s="113">
        <v>74</v>
      </c>
      <c r="R1183" s="113">
        <v>130</v>
      </c>
      <c r="S1183" s="113">
        <v>90</v>
      </c>
      <c r="T1183" s="120">
        <v>120</v>
      </c>
      <c r="U1183" s="113">
        <v>60</v>
      </c>
      <c r="V1183" s="113">
        <v>116</v>
      </c>
    </row>
    <row r="1184" spans="1:22">
      <c r="A1184" s="113">
        <v>1007</v>
      </c>
      <c r="B1184" s="113" t="s">
        <v>5189</v>
      </c>
      <c r="C1184" s="120" t="s">
        <v>6386</v>
      </c>
      <c r="D1184" s="132" t="s">
        <v>1109</v>
      </c>
      <c r="E1184" s="132" t="s">
        <v>1109</v>
      </c>
      <c r="F1184" s="113" t="s">
        <v>2333</v>
      </c>
      <c r="G1184" s="113" t="s">
        <v>5208</v>
      </c>
      <c r="H1184" s="113" t="s">
        <v>78</v>
      </c>
      <c r="I1184" s="113" t="s">
        <v>23</v>
      </c>
      <c r="J1184" s="118" t="s">
        <v>12</v>
      </c>
      <c r="K1184" s="118" t="s">
        <v>12</v>
      </c>
      <c r="L1184" s="118" t="s">
        <v>6386</v>
      </c>
      <c r="M1184" s="115" t="s">
        <v>1109</v>
      </c>
      <c r="N1184" s="115" t="s">
        <v>6399</v>
      </c>
      <c r="O1184" s="115" t="s">
        <v>1109</v>
      </c>
      <c r="P1184" s="113">
        <v>670</v>
      </c>
      <c r="Q1184" s="113">
        <v>100</v>
      </c>
      <c r="R1184" s="113">
        <v>135</v>
      </c>
      <c r="S1184" s="113">
        <v>115</v>
      </c>
      <c r="T1184" s="120">
        <v>85</v>
      </c>
      <c r="U1184" s="113">
        <v>100</v>
      </c>
      <c r="V1184" s="113">
        <v>135</v>
      </c>
    </row>
    <row r="1185" spans="1:22">
      <c r="A1185" s="113">
        <v>1008</v>
      </c>
      <c r="B1185" s="113" t="s">
        <v>5190</v>
      </c>
      <c r="C1185" s="120" t="s">
        <v>6387</v>
      </c>
      <c r="D1185" s="132" t="s">
        <v>1109</v>
      </c>
      <c r="E1185" s="132" t="s">
        <v>1109</v>
      </c>
      <c r="F1185" s="113" t="s">
        <v>2333</v>
      </c>
      <c r="G1185" s="113" t="s">
        <v>5208</v>
      </c>
      <c r="H1185" s="113" t="s">
        <v>46</v>
      </c>
      <c r="I1185" s="113" t="s">
        <v>23</v>
      </c>
      <c r="J1185" s="118" t="s">
        <v>12</v>
      </c>
      <c r="K1185" s="118" t="s">
        <v>12</v>
      </c>
      <c r="L1185" s="118" t="s">
        <v>6387</v>
      </c>
      <c r="M1185" s="115" t="s">
        <v>1109</v>
      </c>
      <c r="N1185" s="115" t="s">
        <v>6399</v>
      </c>
      <c r="O1185" s="115" t="s">
        <v>1109</v>
      </c>
      <c r="P1185" s="113">
        <v>670</v>
      </c>
      <c r="Q1185" s="113">
        <v>100</v>
      </c>
      <c r="R1185" s="113">
        <v>85</v>
      </c>
      <c r="S1185" s="113">
        <v>100</v>
      </c>
      <c r="T1185" s="120">
        <v>135</v>
      </c>
      <c r="U1185" s="113">
        <v>115</v>
      </c>
      <c r="V1185" s="113">
        <v>135</v>
      </c>
    </row>
    <row r="1186" spans="1:22">
      <c r="A1186" s="113"/>
      <c r="B1186" s="113"/>
      <c r="C1186" s="120"/>
      <c r="D1186" s="124"/>
      <c r="E1186" s="124"/>
      <c r="F1186" s="113"/>
      <c r="G1186" s="113"/>
      <c r="H1186" s="113"/>
      <c r="I1186" s="113"/>
      <c r="J1186" s="118"/>
      <c r="K1186" s="118"/>
      <c r="L1186" s="118"/>
      <c r="M1186" s="115"/>
      <c r="N1186" s="115"/>
      <c r="O1186" s="115"/>
      <c r="P1186" s="113"/>
      <c r="Q1186" s="113"/>
      <c r="R1186" s="113"/>
      <c r="S1186" s="113"/>
      <c r="T1186" s="120"/>
      <c r="U1186" s="113"/>
      <c r="V1186" s="113"/>
    </row>
    <row r="1187" spans="1:22">
      <c r="A1187" s="113"/>
      <c r="B1187" s="113"/>
      <c r="C1187" s="120"/>
      <c r="D1187" s="124"/>
      <c r="E1187" s="124"/>
      <c r="F1187" s="113"/>
      <c r="G1187" s="113"/>
      <c r="H1187" s="113"/>
      <c r="I1187" s="113"/>
      <c r="J1187" s="118"/>
      <c r="K1187" s="118"/>
      <c r="L1187" s="118"/>
      <c r="M1187" s="115"/>
      <c r="N1187" s="115"/>
      <c r="O1187" s="115"/>
      <c r="P1187" s="113"/>
      <c r="Q1187" s="113"/>
      <c r="R1187" s="113"/>
      <c r="S1187" s="113"/>
      <c r="T1187" s="120"/>
      <c r="U1187" s="113"/>
      <c r="V1187" s="113"/>
    </row>
    <row r="1188" spans="1:22">
      <c r="A1188" s="113"/>
      <c r="B1188" s="113"/>
      <c r="C1188" s="120"/>
      <c r="D1188" s="124"/>
      <c r="E1188" s="124"/>
      <c r="F1188" s="113"/>
      <c r="G1188" s="113"/>
      <c r="H1188" s="113"/>
      <c r="I1188" s="113"/>
      <c r="J1188" s="118"/>
      <c r="K1188" s="118"/>
      <c r="L1188" s="118"/>
      <c r="M1188" s="115"/>
      <c r="N1188" s="115"/>
      <c r="O1188" s="115"/>
      <c r="P1188" s="113"/>
      <c r="Q1188" s="113"/>
      <c r="R1188" s="113"/>
      <c r="S1188" s="113"/>
      <c r="T1188" s="120"/>
      <c r="U1188" s="113"/>
      <c r="V1188" s="113"/>
    </row>
    <row r="1189" spans="1:22">
      <c r="A1189" s="113"/>
      <c r="B1189" s="113"/>
      <c r="C1189" s="120"/>
      <c r="D1189" s="124"/>
      <c r="E1189" s="124"/>
      <c r="F1189" s="113"/>
      <c r="G1189" s="113"/>
      <c r="H1189" s="113"/>
      <c r="I1189" s="113"/>
      <c r="J1189" s="118"/>
      <c r="K1189" s="118"/>
      <c r="L1189" s="118"/>
      <c r="M1189" s="115"/>
      <c r="N1189" s="115"/>
      <c r="O1189" s="115"/>
      <c r="P1189" s="113"/>
      <c r="Q1189" s="113"/>
      <c r="R1189" s="113"/>
      <c r="S1189" s="113"/>
      <c r="T1189" s="120"/>
      <c r="U1189" s="113"/>
      <c r="V1189" s="113"/>
    </row>
    <row r="1190" spans="1:22">
      <c r="A1190" s="113"/>
      <c r="B1190" s="113"/>
      <c r="C1190" s="120"/>
      <c r="D1190" s="124"/>
      <c r="E1190" s="124"/>
      <c r="F1190" s="113"/>
      <c r="G1190" s="113"/>
      <c r="H1190" s="113"/>
      <c r="I1190" s="113"/>
      <c r="J1190" s="118"/>
      <c r="K1190" s="118"/>
      <c r="L1190" s="118"/>
      <c r="M1190" s="115"/>
      <c r="N1190" s="115"/>
      <c r="O1190" s="115"/>
      <c r="P1190" s="113"/>
      <c r="Q1190" s="113"/>
      <c r="R1190" s="113"/>
      <c r="S1190" s="113"/>
      <c r="T1190" s="120"/>
      <c r="U1190" s="113"/>
      <c r="V1190" s="113"/>
    </row>
    <row r="1191" spans="1:22">
      <c r="A1191" s="113"/>
      <c r="B1191" s="113"/>
      <c r="C1191" s="120"/>
      <c r="D1191" s="124"/>
      <c r="E1191" s="124"/>
      <c r="F1191" s="113"/>
      <c r="G1191" s="113"/>
      <c r="H1191" s="113"/>
      <c r="I1191" s="113"/>
      <c r="J1191" s="118"/>
      <c r="K1191" s="118"/>
      <c r="L1191" s="118"/>
      <c r="M1191" s="115"/>
      <c r="N1191" s="115"/>
      <c r="O1191" s="115"/>
      <c r="P1191" s="113"/>
      <c r="Q1191" s="113"/>
      <c r="R1191" s="113"/>
      <c r="S1191" s="113"/>
      <c r="T1191" s="120"/>
      <c r="U1191" s="113"/>
      <c r="V1191" s="113"/>
    </row>
    <row r="1192" spans="1:22">
      <c r="A1192" s="113"/>
      <c r="B1192" s="113"/>
      <c r="C1192" s="120"/>
      <c r="D1192" s="124"/>
      <c r="E1192" s="124"/>
      <c r="F1192" s="113"/>
      <c r="G1192" s="113"/>
      <c r="H1192" s="113"/>
      <c r="I1192" s="113"/>
      <c r="J1192" s="118"/>
      <c r="K1192" s="118"/>
      <c r="L1192" s="118"/>
      <c r="M1192" s="115"/>
      <c r="N1192" s="115"/>
      <c r="O1192" s="115"/>
      <c r="P1192" s="113"/>
      <c r="Q1192" s="113"/>
      <c r="R1192" s="113"/>
      <c r="S1192" s="113"/>
      <c r="T1192" s="120"/>
      <c r="U1192" s="113"/>
      <c r="V1192" s="113"/>
    </row>
    <row r="1193" spans="1:22">
      <c r="A1193" s="113"/>
      <c r="B1193" s="113"/>
      <c r="C1193" s="120"/>
      <c r="D1193" s="124"/>
      <c r="E1193" s="124"/>
      <c r="F1193" s="113"/>
      <c r="G1193" s="113"/>
      <c r="H1193" s="113"/>
      <c r="I1193" s="113"/>
      <c r="J1193" s="118"/>
      <c r="K1193" s="118"/>
      <c r="L1193" s="118"/>
      <c r="M1193" s="115"/>
      <c r="N1193" s="115"/>
      <c r="O1193" s="115"/>
      <c r="P1193" s="113"/>
      <c r="Q1193" s="113"/>
      <c r="R1193" s="113"/>
      <c r="S1193" s="113"/>
      <c r="T1193" s="120"/>
      <c r="U1193" s="113"/>
      <c r="V1193" s="113"/>
    </row>
    <row r="1194" spans="1:22">
      <c r="A1194" s="113"/>
      <c r="B1194" s="113"/>
      <c r="C1194" s="120"/>
      <c r="D1194" s="124"/>
      <c r="E1194" s="124"/>
      <c r="F1194" s="113"/>
      <c r="G1194" s="113"/>
      <c r="H1194" s="113"/>
      <c r="I1194" s="113"/>
      <c r="J1194" s="118"/>
      <c r="K1194" s="118"/>
      <c r="L1194" s="118"/>
      <c r="M1194" s="115"/>
      <c r="N1194" s="115"/>
      <c r="O1194" s="115"/>
      <c r="P1194" s="113"/>
      <c r="Q1194" s="113"/>
      <c r="R1194" s="113"/>
      <c r="S1194" s="113"/>
      <c r="T1194" s="120"/>
      <c r="U1194" s="113"/>
      <c r="V1194" s="113"/>
    </row>
    <row r="1195" spans="1:22">
      <c r="A1195" s="113"/>
      <c r="B1195" s="113"/>
      <c r="C1195" s="120"/>
      <c r="D1195" s="124"/>
      <c r="E1195" s="124"/>
      <c r="F1195" s="113"/>
      <c r="G1195" s="113"/>
      <c r="H1195" s="113"/>
      <c r="I1195" s="113"/>
      <c r="J1195" s="118"/>
      <c r="K1195" s="118"/>
      <c r="L1195" s="118"/>
      <c r="M1195" s="115"/>
      <c r="N1195" s="115"/>
      <c r="O1195" s="115"/>
      <c r="P1195" s="113"/>
      <c r="Q1195" s="113"/>
      <c r="R1195" s="113"/>
      <c r="S1195" s="113"/>
      <c r="T1195" s="120"/>
      <c r="U1195" s="113"/>
      <c r="V1195" s="113"/>
    </row>
    <row r="1196" spans="1:22">
      <c r="A1196" s="113"/>
      <c r="B1196" s="113"/>
      <c r="C1196" s="120"/>
      <c r="D1196" s="124"/>
      <c r="E1196" s="124"/>
      <c r="F1196" s="113"/>
      <c r="G1196" s="113"/>
      <c r="H1196" s="113"/>
      <c r="I1196" s="113"/>
      <c r="J1196" s="118"/>
      <c r="K1196" s="118"/>
      <c r="L1196" s="118"/>
      <c r="M1196" s="115"/>
      <c r="N1196" s="115"/>
      <c r="O1196" s="115"/>
      <c r="P1196" s="113"/>
      <c r="Q1196" s="113"/>
      <c r="R1196" s="113"/>
      <c r="S1196" s="113"/>
      <c r="T1196" s="120"/>
      <c r="U1196" s="113"/>
      <c r="V1196" s="113"/>
    </row>
    <row r="1197" spans="1:22">
      <c r="A1197" s="113"/>
      <c r="B1197" s="113"/>
      <c r="C1197" s="120"/>
      <c r="D1197" s="124"/>
      <c r="E1197" s="124"/>
      <c r="F1197" s="113"/>
      <c r="G1197" s="113"/>
      <c r="H1197" s="113"/>
      <c r="I1197" s="113"/>
      <c r="J1197" s="118"/>
      <c r="K1197" s="118"/>
      <c r="L1197" s="118"/>
      <c r="M1197" s="115"/>
      <c r="N1197" s="115"/>
      <c r="O1197" s="115"/>
      <c r="P1197" s="113"/>
      <c r="Q1197" s="113"/>
      <c r="R1197" s="113"/>
      <c r="S1197" s="113"/>
      <c r="T1197" s="120"/>
      <c r="U1197" s="113"/>
      <c r="V1197" s="113"/>
    </row>
    <row r="1198" spans="1:22">
      <c r="A1198" s="113"/>
      <c r="B1198" s="113"/>
      <c r="C1198" s="120"/>
      <c r="D1198" s="124"/>
      <c r="E1198" s="124"/>
      <c r="F1198" s="113"/>
      <c r="G1198" s="113"/>
      <c r="H1198" s="113"/>
      <c r="I1198" s="113"/>
      <c r="J1198" s="118"/>
      <c r="K1198" s="118"/>
      <c r="L1198" s="118"/>
      <c r="M1198" s="115"/>
      <c r="N1198" s="115"/>
      <c r="O1198" s="115"/>
      <c r="P1198" s="113"/>
      <c r="Q1198" s="113"/>
      <c r="R1198" s="113"/>
      <c r="S1198" s="113"/>
      <c r="T1198" s="120"/>
      <c r="U1198" s="113"/>
      <c r="V1198" s="113"/>
    </row>
    <row r="1199" spans="1:22">
      <c r="A1199" s="113"/>
      <c r="B1199" s="113"/>
      <c r="C1199" s="120"/>
      <c r="D1199" s="124"/>
      <c r="E1199" s="124"/>
      <c r="F1199" s="113"/>
      <c r="G1199" s="113"/>
      <c r="H1199" s="113"/>
      <c r="I1199" s="113"/>
      <c r="J1199" s="118"/>
      <c r="K1199" s="118"/>
      <c r="L1199" s="118"/>
      <c r="M1199" s="115"/>
      <c r="N1199" s="115"/>
      <c r="O1199" s="115"/>
      <c r="P1199" s="113"/>
      <c r="Q1199" s="113"/>
      <c r="R1199" s="113"/>
      <c r="S1199" s="113"/>
      <c r="T1199" s="120"/>
      <c r="U1199" s="113"/>
      <c r="V1199" s="113"/>
    </row>
    <row r="1200" spans="1:22">
      <c r="A1200" s="113"/>
      <c r="B1200" s="113"/>
      <c r="C1200" s="120"/>
      <c r="D1200" s="124"/>
      <c r="E1200" s="124"/>
      <c r="F1200" s="113"/>
      <c r="G1200" s="113"/>
      <c r="H1200" s="113"/>
      <c r="I1200" s="113"/>
      <c r="J1200" s="118"/>
      <c r="K1200" s="118"/>
      <c r="L1200" s="118"/>
      <c r="M1200" s="115"/>
      <c r="N1200" s="115"/>
      <c r="O1200" s="115"/>
      <c r="P1200" s="113"/>
      <c r="Q1200" s="113"/>
      <c r="R1200" s="113"/>
      <c r="S1200" s="113"/>
      <c r="T1200" s="120"/>
      <c r="U1200" s="113"/>
      <c r="V1200" s="113"/>
    </row>
    <row r="1201" spans="1:22">
      <c r="A1201" s="113"/>
      <c r="B1201" s="113"/>
      <c r="C1201" s="120"/>
      <c r="D1201" s="124"/>
      <c r="E1201" s="124"/>
      <c r="F1201" s="113"/>
      <c r="G1201" s="113"/>
      <c r="H1201" s="113"/>
      <c r="I1201" s="113"/>
      <c r="J1201" s="118"/>
      <c r="K1201" s="118"/>
      <c r="L1201" s="118"/>
      <c r="M1201" s="115"/>
      <c r="N1201" s="115"/>
      <c r="O1201" s="115"/>
      <c r="P1201" s="113"/>
      <c r="Q1201" s="113"/>
      <c r="R1201" s="113"/>
      <c r="S1201" s="113"/>
      <c r="T1201" s="120"/>
      <c r="U1201" s="113"/>
      <c r="V1201" s="113"/>
    </row>
    <row r="1202" spans="1:22">
      <c r="A1202" s="113"/>
      <c r="B1202" s="113"/>
      <c r="C1202" s="120"/>
      <c r="D1202" s="124"/>
      <c r="E1202" s="124"/>
      <c r="F1202" s="113"/>
      <c r="G1202" s="113"/>
      <c r="H1202" s="113"/>
      <c r="I1202" s="113"/>
      <c r="J1202" s="118"/>
      <c r="K1202" s="118"/>
      <c r="L1202" s="118"/>
      <c r="M1202" s="115"/>
      <c r="N1202" s="115"/>
      <c r="O1202" s="115"/>
      <c r="P1202" s="113"/>
      <c r="Q1202" s="113"/>
      <c r="R1202" s="113"/>
      <c r="S1202" s="113"/>
      <c r="T1202" s="120"/>
      <c r="U1202" s="113"/>
      <c r="V1202" s="113"/>
    </row>
    <row r="1203" spans="1:22">
      <c r="A1203" s="113"/>
      <c r="B1203" s="113"/>
      <c r="C1203" s="120"/>
      <c r="D1203" s="124"/>
      <c r="E1203" s="124"/>
      <c r="F1203" s="113"/>
      <c r="G1203" s="113"/>
      <c r="H1203" s="113"/>
      <c r="I1203" s="113"/>
      <c r="J1203" s="118"/>
      <c r="K1203" s="118"/>
      <c r="L1203" s="118"/>
      <c r="M1203" s="115"/>
      <c r="N1203" s="115"/>
      <c r="O1203" s="115"/>
      <c r="P1203" s="113"/>
      <c r="Q1203" s="113"/>
      <c r="R1203" s="113"/>
      <c r="S1203" s="113"/>
      <c r="T1203" s="120"/>
      <c r="U1203" s="113"/>
      <c r="V1203" s="113"/>
    </row>
    <row r="1204" spans="1:22">
      <c r="A1204" s="113"/>
      <c r="B1204" s="113"/>
      <c r="C1204" s="120"/>
      <c r="D1204" s="124"/>
      <c r="E1204" s="124"/>
      <c r="F1204" s="113"/>
      <c r="G1204" s="113"/>
      <c r="H1204" s="113"/>
      <c r="I1204" s="113"/>
      <c r="J1204" s="118"/>
      <c r="K1204" s="118"/>
      <c r="L1204" s="118"/>
      <c r="M1204" s="115"/>
      <c r="N1204" s="115"/>
      <c r="O1204" s="115"/>
      <c r="P1204" s="113"/>
      <c r="Q1204" s="113"/>
      <c r="R1204" s="113"/>
      <c r="S1204" s="113"/>
      <c r="T1204" s="120"/>
      <c r="U1204" s="113"/>
      <c r="V1204" s="113"/>
    </row>
    <row r="1205" spans="1:22">
      <c r="A1205" s="113"/>
      <c r="B1205" s="113"/>
      <c r="C1205" s="120"/>
      <c r="D1205" s="124"/>
      <c r="E1205" s="124"/>
      <c r="F1205" s="113"/>
      <c r="G1205" s="113"/>
      <c r="H1205" s="113"/>
      <c r="I1205" s="113"/>
      <c r="J1205" s="118"/>
      <c r="K1205" s="118"/>
      <c r="L1205" s="118"/>
      <c r="M1205" s="115"/>
      <c r="N1205" s="115"/>
      <c r="O1205" s="115"/>
      <c r="P1205" s="113"/>
      <c r="Q1205" s="113"/>
      <c r="R1205" s="113"/>
      <c r="S1205" s="113"/>
      <c r="T1205" s="120"/>
      <c r="U1205" s="113"/>
      <c r="V1205" s="113"/>
    </row>
    <row r="1206" spans="1:22">
      <c r="A1206" s="113"/>
      <c r="B1206" s="113"/>
      <c r="C1206" s="120"/>
      <c r="D1206" s="124"/>
      <c r="E1206" s="124"/>
      <c r="F1206" s="113"/>
      <c r="G1206" s="113"/>
      <c r="H1206" s="113"/>
      <c r="I1206" s="113"/>
      <c r="J1206" s="118"/>
      <c r="K1206" s="118"/>
      <c r="L1206" s="118"/>
      <c r="M1206" s="115"/>
      <c r="N1206" s="115"/>
      <c r="O1206" s="115"/>
      <c r="P1206" s="113"/>
      <c r="Q1206" s="113"/>
      <c r="R1206" s="113"/>
      <c r="S1206" s="113"/>
      <c r="T1206" s="120"/>
      <c r="U1206" s="113"/>
      <c r="V1206" s="113"/>
    </row>
    <row r="1207" spans="1:22">
      <c r="A1207" s="113"/>
      <c r="B1207" s="113"/>
      <c r="C1207" s="120"/>
      <c r="D1207" s="124"/>
      <c r="E1207" s="124"/>
      <c r="F1207" s="113"/>
      <c r="G1207" s="113"/>
      <c r="H1207" s="113"/>
      <c r="I1207" s="113"/>
      <c r="J1207" s="118"/>
      <c r="K1207" s="118"/>
      <c r="L1207" s="118"/>
      <c r="M1207" s="115"/>
      <c r="N1207" s="115"/>
      <c r="O1207" s="115"/>
      <c r="P1207" s="113"/>
      <c r="Q1207" s="113"/>
      <c r="R1207" s="113"/>
      <c r="S1207" s="113"/>
      <c r="T1207" s="120"/>
      <c r="U1207" s="113"/>
      <c r="V1207" s="113"/>
    </row>
    <row r="1208" spans="1:22">
      <c r="A1208" s="113"/>
      <c r="B1208" s="113"/>
      <c r="C1208" s="120"/>
      <c r="D1208" s="124"/>
      <c r="E1208" s="124"/>
      <c r="F1208" s="113"/>
      <c r="G1208" s="113"/>
      <c r="H1208" s="113"/>
      <c r="I1208" s="113"/>
      <c r="J1208" s="118"/>
      <c r="K1208" s="118"/>
      <c r="L1208" s="118"/>
      <c r="M1208" s="115"/>
      <c r="N1208" s="115"/>
      <c r="O1208" s="115"/>
      <c r="P1208" s="113"/>
      <c r="Q1208" s="113"/>
      <c r="R1208" s="113"/>
      <c r="S1208" s="113"/>
      <c r="T1208" s="120"/>
      <c r="U1208" s="113"/>
      <c r="V1208" s="113"/>
    </row>
    <row r="1209" spans="1:22">
      <c r="A1209" s="113"/>
      <c r="B1209" s="113"/>
      <c r="C1209" s="120"/>
      <c r="D1209" s="124"/>
      <c r="E1209" s="124"/>
      <c r="F1209" s="113"/>
      <c r="G1209" s="113"/>
      <c r="H1209" s="113"/>
      <c r="I1209" s="113"/>
      <c r="J1209" s="118"/>
      <c r="K1209" s="118"/>
      <c r="L1209" s="118"/>
      <c r="M1209" s="115"/>
      <c r="N1209" s="115"/>
      <c r="O1209" s="115"/>
      <c r="P1209" s="113"/>
      <c r="Q1209" s="113"/>
      <c r="R1209" s="113"/>
      <c r="S1209" s="113"/>
      <c r="T1209" s="120"/>
      <c r="U1209" s="113"/>
      <c r="V1209" s="113"/>
    </row>
    <row r="1210" spans="1:22">
      <c r="A1210" s="113"/>
      <c r="B1210" s="113"/>
      <c r="C1210" s="120"/>
      <c r="D1210" s="124"/>
      <c r="E1210" s="124"/>
      <c r="F1210" s="113"/>
      <c r="G1210" s="113"/>
      <c r="H1210" s="113"/>
      <c r="I1210" s="113"/>
      <c r="J1210" s="118"/>
      <c r="K1210" s="118"/>
      <c r="L1210" s="118"/>
      <c r="M1210" s="115"/>
      <c r="N1210" s="115"/>
      <c r="O1210" s="115"/>
      <c r="P1210" s="113"/>
      <c r="Q1210" s="113"/>
      <c r="R1210" s="113"/>
      <c r="S1210" s="113"/>
      <c r="T1210" s="120"/>
      <c r="U1210" s="113"/>
      <c r="V1210" s="113"/>
    </row>
    <row r="1211" spans="1:22">
      <c r="A1211" s="113"/>
      <c r="B1211" s="113"/>
      <c r="C1211" s="120"/>
      <c r="D1211" s="124"/>
      <c r="E1211" s="124"/>
      <c r="F1211" s="113"/>
      <c r="G1211" s="113"/>
      <c r="H1211" s="113"/>
      <c r="I1211" s="113"/>
      <c r="J1211" s="118"/>
      <c r="K1211" s="118"/>
      <c r="L1211" s="118"/>
      <c r="M1211" s="115"/>
      <c r="N1211" s="115"/>
      <c r="O1211" s="115"/>
      <c r="P1211" s="113"/>
      <c r="Q1211" s="113"/>
      <c r="R1211" s="113"/>
      <c r="S1211" s="113"/>
      <c r="T1211" s="120"/>
      <c r="U1211" s="113"/>
      <c r="V1211" s="113"/>
    </row>
    <row r="1212" spans="1:22">
      <c r="A1212" s="113"/>
      <c r="B1212" s="113"/>
      <c r="C1212" s="120"/>
      <c r="D1212" s="124"/>
      <c r="E1212" s="124"/>
      <c r="F1212" s="113"/>
      <c r="G1212" s="113"/>
      <c r="H1212" s="113"/>
      <c r="I1212" s="113"/>
      <c r="J1212" s="118"/>
      <c r="K1212" s="118"/>
      <c r="L1212" s="118"/>
      <c r="M1212" s="115"/>
      <c r="N1212" s="115"/>
      <c r="O1212" s="115"/>
      <c r="P1212" s="113"/>
      <c r="Q1212" s="113"/>
      <c r="R1212" s="113"/>
      <c r="S1212" s="113"/>
      <c r="T1212" s="120"/>
      <c r="U1212" s="113"/>
      <c r="V1212" s="113"/>
    </row>
    <row r="1213" spans="1:22">
      <c r="A1213" s="113"/>
      <c r="B1213" s="113"/>
      <c r="C1213" s="120"/>
      <c r="D1213" s="124"/>
      <c r="E1213" s="124"/>
      <c r="F1213" s="113"/>
      <c r="G1213" s="113"/>
      <c r="H1213" s="113"/>
      <c r="I1213" s="113"/>
      <c r="J1213" s="118"/>
      <c r="K1213" s="118"/>
      <c r="L1213" s="118"/>
      <c r="M1213" s="115"/>
      <c r="N1213" s="115"/>
      <c r="O1213" s="115"/>
      <c r="P1213" s="113"/>
      <c r="Q1213" s="113"/>
      <c r="R1213" s="113"/>
      <c r="S1213" s="113"/>
      <c r="T1213" s="120"/>
      <c r="U1213" s="113"/>
      <c r="V1213" s="113"/>
    </row>
    <row r="1214" spans="1:22">
      <c r="A1214" s="113"/>
      <c r="B1214" s="113"/>
      <c r="C1214" s="120"/>
      <c r="D1214" s="124"/>
      <c r="E1214" s="124"/>
      <c r="F1214" s="113"/>
      <c r="G1214" s="113"/>
      <c r="H1214" s="113"/>
      <c r="I1214" s="113"/>
      <c r="J1214" s="118"/>
      <c r="K1214" s="118"/>
      <c r="L1214" s="118"/>
      <c r="M1214" s="115"/>
      <c r="N1214" s="115"/>
      <c r="O1214" s="115"/>
      <c r="P1214" s="113"/>
      <c r="Q1214" s="113"/>
      <c r="R1214" s="113"/>
      <c r="S1214" s="113"/>
      <c r="T1214" s="120"/>
      <c r="U1214" s="113"/>
      <c r="V1214" s="113"/>
    </row>
    <row r="1215" spans="1:22">
      <c r="A1215" s="113"/>
      <c r="B1215" s="113"/>
      <c r="C1215" s="120"/>
      <c r="D1215" s="124"/>
      <c r="E1215" s="124"/>
      <c r="F1215" s="113"/>
      <c r="G1215" s="113"/>
      <c r="H1215" s="113"/>
      <c r="I1215" s="113"/>
      <c r="J1215" s="118"/>
      <c r="K1215" s="118"/>
      <c r="L1215" s="118"/>
      <c r="M1215" s="115"/>
      <c r="N1215" s="115"/>
      <c r="O1215" s="115"/>
      <c r="P1215" s="113"/>
      <c r="Q1215" s="113"/>
      <c r="R1215" s="113"/>
      <c r="S1215" s="113"/>
      <c r="T1215" s="120"/>
      <c r="U1215" s="113"/>
      <c r="V1215" s="113"/>
    </row>
    <row r="1216" spans="1:22">
      <c r="A1216" s="113"/>
      <c r="B1216" s="113"/>
      <c r="C1216" s="120"/>
      <c r="D1216" s="124"/>
      <c r="E1216" s="124"/>
      <c r="F1216" s="113"/>
      <c r="G1216" s="113"/>
      <c r="H1216" s="113"/>
      <c r="I1216" s="113"/>
      <c r="J1216" s="118"/>
      <c r="K1216" s="118"/>
      <c r="L1216" s="118"/>
      <c r="M1216" s="115"/>
      <c r="N1216" s="115"/>
      <c r="O1216" s="115"/>
      <c r="P1216" s="113"/>
      <c r="Q1216" s="113"/>
      <c r="R1216" s="113"/>
      <c r="S1216" s="113"/>
      <c r="T1216" s="120"/>
      <c r="U1216" s="113"/>
      <c r="V1216" s="113"/>
    </row>
    <row r="1217" spans="1:22">
      <c r="A1217" s="113"/>
      <c r="B1217" s="113"/>
      <c r="C1217" s="120"/>
      <c r="D1217" s="124"/>
      <c r="E1217" s="124"/>
      <c r="F1217" s="113"/>
      <c r="G1217" s="113"/>
      <c r="H1217" s="113"/>
      <c r="I1217" s="113"/>
      <c r="J1217" s="118"/>
      <c r="K1217" s="118"/>
      <c r="L1217" s="118"/>
      <c r="M1217" s="115"/>
      <c r="N1217" s="115"/>
      <c r="O1217" s="115"/>
      <c r="P1217" s="113"/>
      <c r="Q1217" s="113"/>
      <c r="R1217" s="113"/>
      <c r="S1217" s="113"/>
      <c r="T1217" s="120"/>
      <c r="U1217" s="113"/>
      <c r="V1217" s="113"/>
    </row>
    <row r="1218" spans="1:22">
      <c r="A1218" s="113"/>
      <c r="B1218" s="113"/>
      <c r="C1218" s="120"/>
      <c r="D1218" s="124"/>
      <c r="E1218" s="124"/>
      <c r="F1218" s="113"/>
      <c r="G1218" s="113"/>
      <c r="H1218" s="113"/>
      <c r="I1218" s="113"/>
      <c r="J1218" s="118"/>
      <c r="K1218" s="118"/>
      <c r="L1218" s="118"/>
      <c r="M1218" s="115"/>
      <c r="N1218" s="115"/>
      <c r="O1218" s="115"/>
      <c r="P1218" s="113"/>
      <c r="Q1218" s="113"/>
      <c r="R1218" s="113"/>
      <c r="S1218" s="113"/>
      <c r="T1218" s="120"/>
      <c r="U1218" s="113"/>
      <c r="V1218" s="113"/>
    </row>
    <row r="1219" spans="1:22">
      <c r="A1219" s="113"/>
      <c r="B1219" s="113"/>
      <c r="C1219" s="120"/>
      <c r="D1219" s="124"/>
      <c r="E1219" s="124"/>
      <c r="F1219" s="113"/>
      <c r="G1219" s="113"/>
      <c r="H1219" s="113"/>
      <c r="I1219" s="113"/>
      <c r="J1219" s="118"/>
      <c r="K1219" s="118"/>
      <c r="L1219" s="118"/>
      <c r="M1219" s="115"/>
      <c r="N1219" s="115"/>
      <c r="O1219" s="115"/>
      <c r="P1219" s="113"/>
      <c r="Q1219" s="113"/>
      <c r="R1219" s="113"/>
      <c r="S1219" s="113"/>
      <c r="T1219" s="120"/>
      <c r="U1219" s="113"/>
      <c r="V1219" s="113"/>
    </row>
    <row r="1220" spans="1:22">
      <c r="A1220" s="113"/>
      <c r="B1220" s="113"/>
      <c r="C1220" s="120"/>
      <c r="D1220" s="124"/>
      <c r="E1220" s="124"/>
      <c r="F1220" s="113"/>
      <c r="G1220" s="113"/>
      <c r="H1220" s="113"/>
      <c r="I1220" s="113"/>
      <c r="J1220" s="118"/>
      <c r="K1220" s="118"/>
      <c r="L1220" s="118"/>
      <c r="M1220" s="115"/>
      <c r="N1220" s="115"/>
      <c r="O1220" s="115"/>
      <c r="P1220" s="113"/>
      <c r="Q1220" s="113"/>
      <c r="R1220" s="113"/>
      <c r="S1220" s="113"/>
      <c r="T1220" s="120"/>
      <c r="U1220" s="113"/>
      <c r="V1220" s="113"/>
    </row>
    <row r="1221" spans="1:22">
      <c r="A1221" s="113"/>
      <c r="B1221" s="113"/>
      <c r="C1221" s="120"/>
      <c r="D1221" s="124"/>
      <c r="E1221" s="124"/>
      <c r="F1221" s="113"/>
      <c r="G1221" s="113"/>
      <c r="H1221" s="113"/>
      <c r="I1221" s="113"/>
      <c r="J1221" s="118"/>
      <c r="K1221" s="118"/>
      <c r="L1221" s="118"/>
      <c r="M1221" s="115"/>
      <c r="N1221" s="115"/>
      <c r="O1221" s="115"/>
      <c r="P1221" s="113"/>
      <c r="Q1221" s="113"/>
      <c r="R1221" s="113"/>
      <c r="S1221" s="113"/>
      <c r="T1221" s="120"/>
      <c r="U1221" s="113"/>
      <c r="V1221" s="113"/>
    </row>
    <row r="1222" spans="1:22">
      <c r="A1222" s="113"/>
      <c r="B1222" s="113"/>
      <c r="C1222" s="120"/>
      <c r="D1222" s="124"/>
      <c r="E1222" s="124"/>
      <c r="F1222" s="113"/>
      <c r="G1222" s="113"/>
      <c r="H1222" s="113"/>
      <c r="I1222" s="113"/>
      <c r="J1222" s="118"/>
      <c r="K1222" s="118"/>
      <c r="L1222" s="118"/>
      <c r="M1222" s="115"/>
      <c r="N1222" s="115"/>
      <c r="O1222" s="115"/>
      <c r="P1222" s="113"/>
      <c r="Q1222" s="113"/>
      <c r="R1222" s="113"/>
      <c r="S1222" s="113"/>
      <c r="T1222" s="120"/>
      <c r="U1222" s="113"/>
      <c r="V1222" s="113"/>
    </row>
    <row r="1223" spans="1:22">
      <c r="A1223" s="113"/>
      <c r="B1223" s="113"/>
      <c r="C1223" s="120"/>
      <c r="D1223" s="124"/>
      <c r="E1223" s="124"/>
      <c r="F1223" s="113"/>
      <c r="G1223" s="113"/>
      <c r="H1223" s="113"/>
      <c r="I1223" s="113"/>
      <c r="J1223" s="118"/>
      <c r="K1223" s="118"/>
      <c r="L1223" s="118"/>
      <c r="M1223" s="115"/>
      <c r="N1223" s="115"/>
      <c r="O1223" s="115"/>
      <c r="P1223" s="113"/>
      <c r="Q1223" s="113"/>
      <c r="R1223" s="113"/>
      <c r="S1223" s="113"/>
      <c r="T1223" s="120"/>
      <c r="U1223" s="113"/>
      <c r="V1223" s="113"/>
    </row>
    <row r="1224" spans="1:22">
      <c r="A1224" s="113"/>
      <c r="B1224" s="113"/>
      <c r="C1224" s="120"/>
      <c r="D1224" s="124"/>
      <c r="E1224" s="124"/>
      <c r="F1224" s="113"/>
      <c r="G1224" s="113"/>
      <c r="H1224" s="113"/>
      <c r="I1224" s="113"/>
      <c r="J1224" s="118"/>
      <c r="K1224" s="118"/>
      <c r="L1224" s="118"/>
      <c r="M1224" s="115"/>
      <c r="N1224" s="115"/>
      <c r="O1224" s="115"/>
      <c r="P1224" s="113"/>
      <c r="Q1224" s="113"/>
      <c r="R1224" s="113"/>
      <c r="S1224" s="113"/>
      <c r="T1224" s="120"/>
      <c r="U1224" s="113"/>
      <c r="V1224" s="113"/>
    </row>
    <row r="1225" spans="1:22">
      <c r="A1225" s="113"/>
      <c r="B1225" s="113"/>
      <c r="C1225" s="120"/>
      <c r="D1225" s="124"/>
      <c r="E1225" s="124"/>
      <c r="F1225" s="113"/>
      <c r="G1225" s="113"/>
      <c r="H1225" s="113"/>
      <c r="I1225" s="113"/>
      <c r="J1225" s="118"/>
      <c r="K1225" s="118"/>
      <c r="L1225" s="118"/>
      <c r="M1225" s="115"/>
      <c r="N1225" s="115"/>
      <c r="O1225" s="115"/>
      <c r="P1225" s="113"/>
      <c r="Q1225" s="113"/>
      <c r="R1225" s="113"/>
      <c r="S1225" s="113"/>
      <c r="T1225" s="120"/>
      <c r="U1225" s="113"/>
      <c r="V1225" s="113"/>
    </row>
    <row r="1226" spans="1:22">
      <c r="A1226" s="113"/>
      <c r="B1226" s="113"/>
      <c r="C1226" s="120"/>
      <c r="D1226" s="124"/>
      <c r="E1226" s="124"/>
      <c r="F1226" s="113"/>
      <c r="G1226" s="113"/>
      <c r="H1226" s="113"/>
      <c r="I1226" s="113"/>
      <c r="J1226" s="118"/>
      <c r="K1226" s="118"/>
      <c r="L1226" s="118"/>
      <c r="M1226" s="115"/>
      <c r="N1226" s="115"/>
      <c r="O1226" s="115"/>
      <c r="P1226" s="113"/>
      <c r="Q1226" s="113"/>
      <c r="R1226" s="113"/>
      <c r="S1226" s="113"/>
      <c r="T1226" s="120"/>
      <c r="U1226" s="113"/>
      <c r="V1226" s="113"/>
    </row>
    <row r="1227" spans="1:22">
      <c r="A1227" s="113"/>
      <c r="B1227" s="113"/>
      <c r="C1227" s="120"/>
      <c r="D1227" s="124"/>
      <c r="E1227" s="124"/>
      <c r="F1227" s="113"/>
      <c r="G1227" s="113"/>
      <c r="H1227" s="113"/>
      <c r="I1227" s="113"/>
      <c r="J1227" s="118"/>
      <c r="K1227" s="118"/>
      <c r="L1227" s="118"/>
      <c r="M1227" s="115"/>
      <c r="N1227" s="115"/>
      <c r="O1227" s="115"/>
      <c r="P1227" s="113"/>
      <c r="Q1227" s="113"/>
      <c r="R1227" s="113"/>
      <c r="S1227" s="113"/>
      <c r="T1227" s="120"/>
      <c r="U1227" s="113"/>
      <c r="V1227" s="113"/>
    </row>
    <row r="1228" spans="1:22">
      <c r="A1228" s="113"/>
      <c r="B1228" s="113"/>
      <c r="C1228" s="120"/>
      <c r="D1228" s="124"/>
      <c r="E1228" s="124"/>
      <c r="F1228" s="113"/>
      <c r="G1228" s="113"/>
      <c r="H1228" s="113"/>
      <c r="I1228" s="113"/>
      <c r="J1228" s="118"/>
      <c r="K1228" s="118"/>
      <c r="L1228" s="118"/>
      <c r="M1228" s="115"/>
      <c r="N1228" s="115"/>
      <c r="O1228" s="115"/>
      <c r="P1228" s="113"/>
      <c r="Q1228" s="113"/>
      <c r="R1228" s="113"/>
      <c r="S1228" s="113"/>
      <c r="T1228" s="120"/>
      <c r="U1228" s="113"/>
      <c r="V1228" s="113"/>
    </row>
    <row r="1229" spans="1:22">
      <c r="A1229" s="113"/>
      <c r="B1229" s="113"/>
      <c r="C1229" s="120"/>
      <c r="D1229" s="124"/>
      <c r="E1229" s="124"/>
      <c r="F1229" s="113"/>
      <c r="G1229" s="113"/>
      <c r="H1229" s="113"/>
      <c r="I1229" s="113"/>
      <c r="J1229" s="118"/>
      <c r="K1229" s="118"/>
      <c r="L1229" s="118"/>
      <c r="M1229" s="115"/>
      <c r="N1229" s="115"/>
      <c r="O1229" s="115"/>
      <c r="P1229" s="113"/>
      <c r="Q1229" s="113"/>
      <c r="R1229" s="113"/>
      <c r="S1229" s="113"/>
      <c r="T1229" s="120"/>
      <c r="U1229" s="113"/>
      <c r="V1229" s="113"/>
    </row>
    <row r="1230" spans="1:22">
      <c r="A1230" s="113"/>
      <c r="B1230" s="113"/>
      <c r="C1230" s="120"/>
      <c r="D1230" s="124"/>
      <c r="E1230" s="124"/>
      <c r="F1230" s="113"/>
      <c r="G1230" s="113"/>
      <c r="H1230" s="113"/>
      <c r="I1230" s="113"/>
      <c r="J1230" s="118"/>
      <c r="K1230" s="118"/>
      <c r="L1230" s="118"/>
      <c r="M1230" s="115"/>
      <c r="N1230" s="115"/>
      <c r="O1230" s="115"/>
      <c r="P1230" s="113"/>
      <c r="Q1230" s="113"/>
      <c r="R1230" s="113"/>
      <c r="S1230" s="113"/>
      <c r="T1230" s="120"/>
      <c r="U1230" s="113"/>
      <c r="V1230" s="113"/>
    </row>
    <row r="1231" spans="1:22">
      <c r="A1231" s="113"/>
      <c r="B1231" s="113"/>
      <c r="C1231" s="120"/>
      <c r="D1231" s="124"/>
      <c r="E1231" s="124"/>
      <c r="F1231" s="113"/>
      <c r="G1231" s="113"/>
      <c r="H1231" s="113"/>
      <c r="I1231" s="113"/>
      <c r="J1231" s="118"/>
      <c r="K1231" s="118"/>
      <c r="L1231" s="118"/>
      <c r="M1231" s="115"/>
      <c r="N1231" s="115"/>
      <c r="O1231" s="115"/>
      <c r="P1231" s="113"/>
      <c r="Q1231" s="113"/>
      <c r="R1231" s="113"/>
      <c r="S1231" s="113"/>
      <c r="T1231" s="120"/>
      <c r="U1231" s="113"/>
      <c r="V1231" s="113"/>
    </row>
    <row r="1232" spans="1:22">
      <c r="A1232" s="113"/>
      <c r="B1232" s="113"/>
      <c r="C1232" s="120"/>
      <c r="D1232" s="124"/>
      <c r="E1232" s="124"/>
      <c r="F1232" s="113"/>
      <c r="G1232" s="113"/>
      <c r="H1232" s="113"/>
      <c r="I1232" s="113"/>
      <c r="J1232" s="118"/>
      <c r="K1232" s="118"/>
      <c r="L1232" s="118"/>
      <c r="M1232" s="115"/>
      <c r="N1232" s="115"/>
      <c r="O1232" s="115"/>
      <c r="P1232" s="113"/>
      <c r="Q1232" s="113"/>
      <c r="R1232" s="113"/>
      <c r="S1232" s="113"/>
      <c r="T1232" s="120"/>
      <c r="U1232" s="113"/>
      <c r="V1232" s="113"/>
    </row>
    <row r="1233" spans="1:22">
      <c r="A1233" s="113"/>
      <c r="B1233" s="113"/>
      <c r="C1233" s="120"/>
      <c r="D1233" s="124"/>
      <c r="E1233" s="124"/>
      <c r="F1233" s="113"/>
      <c r="G1233" s="113"/>
      <c r="H1233" s="113"/>
      <c r="I1233" s="113"/>
      <c r="J1233" s="118"/>
      <c r="K1233" s="118"/>
      <c r="L1233" s="118"/>
      <c r="M1233" s="115"/>
      <c r="N1233" s="115"/>
      <c r="O1233" s="115"/>
      <c r="P1233" s="113"/>
      <c r="Q1233" s="113"/>
      <c r="R1233" s="113"/>
      <c r="S1233" s="113"/>
      <c r="T1233" s="120"/>
      <c r="U1233" s="113"/>
      <c r="V1233" s="113"/>
    </row>
    <row r="1234" spans="1:22">
      <c r="A1234" s="113"/>
      <c r="B1234" s="113"/>
      <c r="C1234" s="120"/>
      <c r="D1234" s="124"/>
      <c r="E1234" s="124"/>
      <c r="F1234" s="113"/>
      <c r="G1234" s="113"/>
      <c r="H1234" s="113"/>
      <c r="I1234" s="113"/>
      <c r="J1234" s="118"/>
      <c r="K1234" s="118"/>
      <c r="L1234" s="118"/>
      <c r="M1234" s="115"/>
      <c r="N1234" s="115"/>
      <c r="O1234" s="115"/>
      <c r="P1234" s="113"/>
      <c r="Q1234" s="113"/>
      <c r="R1234" s="113"/>
      <c r="S1234" s="113"/>
      <c r="T1234" s="120"/>
      <c r="U1234" s="113"/>
      <c r="V1234" s="113"/>
    </row>
    <row r="1235" spans="1:22">
      <c r="A1235" s="113"/>
      <c r="B1235" s="113"/>
      <c r="C1235" s="120"/>
      <c r="D1235" s="124"/>
      <c r="E1235" s="124"/>
      <c r="F1235" s="113"/>
      <c r="G1235" s="113"/>
      <c r="H1235" s="113"/>
      <c r="I1235" s="113"/>
      <c r="J1235" s="118"/>
      <c r="K1235" s="118"/>
      <c r="L1235" s="118"/>
      <c r="M1235" s="115"/>
      <c r="N1235" s="115"/>
      <c r="O1235" s="115"/>
      <c r="P1235" s="113"/>
      <c r="Q1235" s="113"/>
      <c r="R1235" s="113"/>
      <c r="S1235" s="113"/>
      <c r="T1235" s="120"/>
      <c r="U1235" s="113"/>
      <c r="V1235" s="113"/>
    </row>
    <row r="1236" spans="1:22">
      <c r="A1236" s="113"/>
      <c r="B1236" s="113"/>
      <c r="C1236" s="120"/>
      <c r="D1236" s="124"/>
      <c r="E1236" s="124"/>
      <c r="F1236" s="113"/>
      <c r="G1236" s="113"/>
      <c r="H1236" s="113"/>
      <c r="I1236" s="113"/>
      <c r="J1236" s="118"/>
      <c r="K1236" s="118"/>
      <c r="L1236" s="118"/>
      <c r="M1236" s="115"/>
      <c r="N1236" s="115"/>
      <c r="O1236" s="115"/>
      <c r="P1236" s="113"/>
      <c r="Q1236" s="113"/>
      <c r="R1236" s="113"/>
      <c r="S1236" s="113"/>
      <c r="T1236" s="120"/>
      <c r="U1236" s="113"/>
      <c r="V1236" s="113"/>
    </row>
    <row r="1237" spans="1:22">
      <c r="A1237" s="113"/>
      <c r="B1237" s="113"/>
      <c r="C1237" s="120"/>
      <c r="D1237" s="124"/>
      <c r="E1237" s="124"/>
      <c r="F1237" s="113"/>
      <c r="G1237" s="113"/>
      <c r="H1237" s="113"/>
      <c r="I1237" s="113"/>
      <c r="J1237" s="118"/>
      <c r="K1237" s="118"/>
      <c r="L1237" s="118"/>
      <c r="M1237" s="115"/>
      <c r="N1237" s="115"/>
      <c r="O1237" s="115"/>
      <c r="P1237" s="113"/>
      <c r="Q1237" s="113"/>
      <c r="R1237" s="113"/>
      <c r="S1237" s="113"/>
      <c r="T1237" s="120"/>
      <c r="U1237" s="113"/>
      <c r="V1237" s="113"/>
    </row>
    <row r="1238" spans="1:22">
      <c r="A1238" s="113"/>
      <c r="B1238" s="113"/>
      <c r="C1238" s="120"/>
      <c r="D1238" s="124"/>
      <c r="E1238" s="124"/>
      <c r="F1238" s="113"/>
      <c r="G1238" s="113"/>
      <c r="H1238" s="113"/>
      <c r="I1238" s="113"/>
      <c r="J1238" s="118"/>
      <c r="K1238" s="118"/>
      <c r="L1238" s="118"/>
      <c r="M1238" s="115"/>
      <c r="N1238" s="115"/>
      <c r="O1238" s="115"/>
      <c r="P1238" s="113"/>
      <c r="Q1238" s="113"/>
      <c r="R1238" s="113"/>
      <c r="S1238" s="113"/>
      <c r="T1238" s="120"/>
      <c r="U1238" s="113"/>
      <c r="V1238" s="113"/>
    </row>
    <row r="1239" spans="1:22">
      <c r="A1239" s="113"/>
      <c r="B1239" s="113"/>
      <c r="C1239" s="120"/>
      <c r="D1239" s="124"/>
      <c r="E1239" s="124"/>
      <c r="F1239" s="113"/>
      <c r="G1239" s="113"/>
      <c r="H1239" s="113"/>
      <c r="I1239" s="113"/>
      <c r="J1239" s="118"/>
      <c r="K1239" s="118"/>
      <c r="L1239" s="118"/>
      <c r="M1239" s="115"/>
      <c r="N1239" s="115"/>
      <c r="O1239" s="115"/>
      <c r="P1239" s="113"/>
      <c r="Q1239" s="113"/>
      <c r="R1239" s="113"/>
      <c r="S1239" s="113"/>
      <c r="T1239" s="120"/>
      <c r="U1239" s="113"/>
      <c r="V1239" s="113"/>
    </row>
    <row r="1240" spans="1:22">
      <c r="A1240" s="113"/>
      <c r="B1240" s="113"/>
      <c r="C1240" s="120"/>
      <c r="D1240" s="124"/>
      <c r="E1240" s="124"/>
      <c r="F1240" s="113"/>
      <c r="G1240" s="113"/>
      <c r="H1240" s="113"/>
      <c r="I1240" s="113"/>
      <c r="J1240" s="118"/>
      <c r="K1240" s="118"/>
      <c r="L1240" s="118"/>
      <c r="M1240" s="115"/>
      <c r="N1240" s="115"/>
      <c r="O1240" s="115"/>
      <c r="P1240" s="113"/>
      <c r="Q1240" s="113"/>
      <c r="R1240" s="113"/>
      <c r="S1240" s="113"/>
      <c r="T1240" s="120"/>
      <c r="U1240" s="113"/>
      <c r="V1240" s="113"/>
    </row>
    <row r="1241" spans="1:22">
      <c r="A1241" s="113"/>
      <c r="B1241" s="113"/>
      <c r="C1241" s="120"/>
      <c r="D1241" s="124"/>
      <c r="E1241" s="124"/>
      <c r="F1241" s="113"/>
      <c r="G1241" s="113"/>
      <c r="H1241" s="113"/>
      <c r="I1241" s="113"/>
      <c r="J1241" s="118"/>
      <c r="K1241" s="118"/>
      <c r="L1241" s="118"/>
      <c r="M1241" s="115"/>
      <c r="N1241" s="115"/>
      <c r="O1241" s="115"/>
      <c r="P1241" s="113"/>
      <c r="Q1241" s="113"/>
      <c r="R1241" s="113"/>
      <c r="S1241" s="113"/>
      <c r="T1241" s="120"/>
      <c r="U1241" s="113"/>
      <c r="V1241" s="113"/>
    </row>
    <row r="1242" spans="1:22">
      <c r="A1242" s="113"/>
      <c r="B1242" s="113"/>
      <c r="C1242" s="120"/>
      <c r="D1242" s="124"/>
      <c r="E1242" s="124"/>
      <c r="F1242" s="113"/>
      <c r="G1242" s="113"/>
      <c r="H1242" s="113"/>
      <c r="I1242" s="113"/>
      <c r="J1242" s="118"/>
      <c r="K1242" s="118"/>
      <c r="L1242" s="118"/>
      <c r="M1242" s="115"/>
      <c r="N1242" s="115"/>
      <c r="O1242" s="115"/>
      <c r="P1242" s="113"/>
      <c r="Q1242" s="113"/>
      <c r="R1242" s="113"/>
      <c r="S1242" s="113"/>
      <c r="T1242" s="120"/>
      <c r="U1242" s="113"/>
      <c r="V1242" s="113"/>
    </row>
    <row r="1243" spans="1:22">
      <c r="A1243" s="113"/>
      <c r="B1243" s="113"/>
      <c r="C1243" s="120"/>
      <c r="D1243" s="124"/>
      <c r="E1243" s="124"/>
      <c r="F1243" s="113"/>
      <c r="G1243" s="113"/>
      <c r="H1243" s="113"/>
      <c r="I1243" s="113"/>
      <c r="J1243" s="118"/>
      <c r="K1243" s="118"/>
      <c r="L1243" s="118"/>
      <c r="M1243" s="115"/>
      <c r="N1243" s="115"/>
      <c r="O1243" s="115"/>
      <c r="P1243" s="113"/>
      <c r="Q1243" s="113"/>
      <c r="R1243" s="113"/>
      <c r="S1243" s="113"/>
      <c r="T1243" s="120"/>
      <c r="U1243" s="113"/>
      <c r="V1243" s="113"/>
    </row>
    <row r="1244" spans="1:22">
      <c r="A1244" s="113"/>
      <c r="B1244" s="113"/>
      <c r="C1244" s="120"/>
      <c r="D1244" s="124"/>
      <c r="E1244" s="124"/>
      <c r="F1244" s="113"/>
      <c r="G1244" s="113"/>
      <c r="H1244" s="113"/>
      <c r="I1244" s="113"/>
      <c r="J1244" s="118"/>
      <c r="K1244" s="118"/>
      <c r="L1244" s="118"/>
      <c r="M1244" s="115"/>
      <c r="N1244" s="115"/>
      <c r="O1244" s="115"/>
      <c r="P1244" s="113"/>
      <c r="Q1244" s="113"/>
      <c r="R1244" s="113"/>
      <c r="S1244" s="113"/>
      <c r="T1244" s="120"/>
      <c r="U1244" s="113"/>
      <c r="V1244" s="113"/>
    </row>
    <row r="1245" spans="1:22">
      <c r="A1245" s="113"/>
      <c r="B1245" s="113"/>
      <c r="C1245" s="120"/>
      <c r="D1245" s="124"/>
      <c r="E1245" s="124"/>
      <c r="F1245" s="113"/>
      <c r="G1245" s="113"/>
      <c r="H1245" s="113"/>
      <c r="I1245" s="113"/>
      <c r="J1245" s="118"/>
      <c r="K1245" s="118"/>
      <c r="L1245" s="118"/>
      <c r="M1245" s="115"/>
      <c r="N1245" s="115"/>
      <c r="O1245" s="115"/>
      <c r="P1245" s="113"/>
      <c r="Q1245" s="113"/>
      <c r="R1245" s="113"/>
      <c r="S1245" s="113"/>
      <c r="T1245" s="120"/>
      <c r="U1245" s="113"/>
      <c r="V1245" s="113"/>
    </row>
    <row r="1246" spans="1:22">
      <c r="A1246" s="113"/>
      <c r="B1246" s="113"/>
      <c r="C1246" s="120"/>
      <c r="D1246" s="124"/>
      <c r="E1246" s="124"/>
      <c r="F1246" s="113"/>
      <c r="G1246" s="113"/>
      <c r="H1246" s="113"/>
      <c r="I1246" s="113"/>
      <c r="J1246" s="118"/>
      <c r="K1246" s="118"/>
      <c r="L1246" s="118"/>
      <c r="M1246" s="115"/>
      <c r="N1246" s="115"/>
      <c r="O1246" s="115"/>
      <c r="P1246" s="113"/>
      <c r="Q1246" s="113"/>
      <c r="R1246" s="113"/>
      <c r="S1246" s="113"/>
      <c r="T1246" s="120"/>
      <c r="U1246" s="113"/>
      <c r="V1246" s="113"/>
    </row>
    <row r="1247" spans="1:22">
      <c r="A1247" s="113"/>
      <c r="B1247" s="113"/>
      <c r="C1247" s="120"/>
      <c r="D1247" s="124"/>
      <c r="E1247" s="124"/>
      <c r="F1247" s="113"/>
      <c r="G1247" s="113"/>
      <c r="H1247" s="113"/>
      <c r="I1247" s="113"/>
      <c r="J1247" s="118"/>
      <c r="K1247" s="118"/>
      <c r="L1247" s="118"/>
      <c r="M1247" s="115"/>
      <c r="N1247" s="115"/>
      <c r="O1247" s="115"/>
      <c r="P1247" s="113"/>
      <c r="Q1247" s="113"/>
      <c r="R1247" s="113"/>
      <c r="S1247" s="113"/>
      <c r="T1247" s="120"/>
      <c r="U1247" s="113"/>
      <c r="V1247" s="113"/>
    </row>
    <row r="1248" spans="1:22">
      <c r="A1248" s="113"/>
      <c r="B1248" s="113"/>
      <c r="C1248" s="120"/>
      <c r="D1248" s="124"/>
      <c r="E1248" s="124"/>
      <c r="F1248" s="113"/>
      <c r="G1248" s="113"/>
      <c r="H1248" s="113"/>
      <c r="I1248" s="113"/>
      <c r="J1248" s="118"/>
      <c r="K1248" s="118"/>
      <c r="L1248" s="118"/>
      <c r="M1248" s="115"/>
      <c r="N1248" s="115"/>
      <c r="O1248" s="115"/>
      <c r="P1248" s="113"/>
      <c r="Q1248" s="113"/>
      <c r="R1248" s="113"/>
      <c r="S1248" s="113"/>
      <c r="T1248" s="120"/>
      <c r="U1248" s="113"/>
      <c r="V1248" s="113"/>
    </row>
    <row r="1249" spans="1:22">
      <c r="A1249" s="113"/>
      <c r="B1249" s="113"/>
      <c r="C1249" s="120"/>
      <c r="D1249" s="124"/>
      <c r="E1249" s="124"/>
      <c r="F1249" s="113"/>
      <c r="G1249" s="113"/>
      <c r="H1249" s="113"/>
      <c r="I1249" s="113"/>
      <c r="J1249" s="118"/>
      <c r="K1249" s="118"/>
      <c r="L1249" s="118"/>
      <c r="M1249" s="115"/>
      <c r="N1249" s="115"/>
      <c r="O1249" s="115"/>
      <c r="P1249" s="113"/>
      <c r="Q1249" s="113"/>
      <c r="R1249" s="113"/>
      <c r="S1249" s="113"/>
      <c r="T1249" s="120"/>
      <c r="U1249" s="113"/>
      <c r="V1249" s="113"/>
    </row>
    <row r="1250" spans="1:22">
      <c r="A1250" s="113"/>
      <c r="B1250" s="113"/>
      <c r="C1250" s="120"/>
      <c r="D1250" s="124"/>
      <c r="E1250" s="124"/>
      <c r="F1250" s="113"/>
      <c r="G1250" s="113"/>
      <c r="H1250" s="113"/>
      <c r="I1250" s="113"/>
      <c r="J1250" s="118"/>
      <c r="K1250" s="118"/>
      <c r="L1250" s="118"/>
      <c r="M1250" s="115"/>
      <c r="N1250" s="115"/>
      <c r="O1250" s="115"/>
      <c r="P1250" s="113"/>
      <c r="Q1250" s="113"/>
      <c r="R1250" s="113"/>
      <c r="S1250" s="113"/>
      <c r="T1250" s="120"/>
      <c r="U1250" s="113"/>
      <c r="V1250" s="113"/>
    </row>
    <row r="1251" spans="1:22">
      <c r="A1251" s="113"/>
      <c r="B1251" s="113"/>
      <c r="C1251" s="120"/>
      <c r="D1251" s="124"/>
      <c r="E1251" s="124"/>
      <c r="F1251" s="113"/>
      <c r="G1251" s="113"/>
      <c r="H1251" s="113"/>
      <c r="I1251" s="113"/>
      <c r="J1251" s="118"/>
      <c r="K1251" s="118"/>
      <c r="L1251" s="118"/>
      <c r="M1251" s="115"/>
      <c r="N1251" s="115"/>
      <c r="O1251" s="115"/>
      <c r="P1251" s="113"/>
      <c r="Q1251" s="113"/>
      <c r="R1251" s="113"/>
      <c r="S1251" s="113"/>
      <c r="T1251" s="120"/>
      <c r="U1251" s="113"/>
      <c r="V1251" s="113"/>
    </row>
    <row r="1252" spans="1:22">
      <c r="A1252" s="113"/>
      <c r="B1252" s="113"/>
      <c r="C1252" s="120"/>
      <c r="D1252" s="124"/>
      <c r="E1252" s="124"/>
      <c r="F1252" s="113"/>
      <c r="G1252" s="113"/>
      <c r="H1252" s="113"/>
      <c r="I1252" s="113"/>
      <c r="J1252" s="118"/>
      <c r="K1252" s="118"/>
      <c r="L1252" s="118"/>
      <c r="M1252" s="115"/>
      <c r="N1252" s="115"/>
      <c r="O1252" s="115"/>
      <c r="P1252" s="113"/>
      <c r="Q1252" s="113"/>
      <c r="R1252" s="113"/>
      <c r="S1252" s="113"/>
      <c r="T1252" s="120"/>
      <c r="U1252" s="113"/>
      <c r="V1252" s="113"/>
    </row>
    <row r="1253" spans="1:22">
      <c r="A1253" s="113"/>
      <c r="B1253" s="113"/>
      <c r="C1253" s="120"/>
      <c r="D1253" s="124"/>
      <c r="E1253" s="124"/>
      <c r="F1253" s="113"/>
      <c r="G1253" s="113"/>
      <c r="H1253" s="113"/>
      <c r="I1253" s="113"/>
      <c r="J1253" s="118"/>
      <c r="K1253" s="118"/>
      <c r="L1253" s="118"/>
      <c r="M1253" s="115"/>
      <c r="N1253" s="115"/>
      <c r="O1253" s="115"/>
      <c r="P1253" s="113"/>
      <c r="Q1253" s="113"/>
      <c r="R1253" s="113"/>
      <c r="S1253" s="113"/>
      <c r="T1253" s="120"/>
      <c r="U1253" s="113"/>
      <c r="V1253" s="113"/>
    </row>
    <row r="1254" spans="1:22">
      <c r="A1254" s="113"/>
      <c r="B1254" s="113"/>
      <c r="C1254" s="120"/>
      <c r="D1254" s="124"/>
      <c r="E1254" s="124"/>
      <c r="F1254" s="113"/>
      <c r="G1254" s="113"/>
      <c r="H1254" s="113"/>
      <c r="I1254" s="113"/>
      <c r="J1254" s="118"/>
      <c r="K1254" s="118"/>
      <c r="L1254" s="118"/>
      <c r="M1254" s="115"/>
      <c r="N1254" s="115"/>
      <c r="O1254" s="115"/>
      <c r="P1254" s="113"/>
      <c r="Q1254" s="113"/>
      <c r="R1254" s="113"/>
      <c r="S1254" s="113"/>
      <c r="T1254" s="120"/>
      <c r="U1254" s="113"/>
      <c r="V1254" s="113"/>
    </row>
    <row r="1255" spans="1:22">
      <c r="A1255" s="113"/>
      <c r="B1255" s="113"/>
      <c r="C1255" s="120"/>
      <c r="D1255" s="124"/>
      <c r="E1255" s="124"/>
      <c r="F1255" s="113"/>
      <c r="G1255" s="113"/>
      <c r="H1255" s="113"/>
      <c r="I1255" s="113"/>
      <c r="J1255" s="118"/>
      <c r="K1255" s="118"/>
      <c r="L1255" s="118"/>
      <c r="M1255" s="115"/>
      <c r="N1255" s="115"/>
      <c r="O1255" s="115"/>
      <c r="P1255" s="113"/>
      <c r="Q1255" s="113"/>
      <c r="R1255" s="113"/>
      <c r="S1255" s="113"/>
      <c r="T1255" s="120"/>
      <c r="U1255" s="113"/>
      <c r="V1255" s="113"/>
    </row>
    <row r="1256" spans="1:22">
      <c r="A1256" s="113"/>
      <c r="B1256" s="113"/>
      <c r="C1256" s="120"/>
      <c r="D1256" s="124"/>
      <c r="E1256" s="124"/>
      <c r="F1256" s="113"/>
      <c r="G1256" s="113"/>
      <c r="H1256" s="113"/>
      <c r="I1256" s="113"/>
      <c r="J1256" s="118"/>
      <c r="K1256" s="118"/>
      <c r="L1256" s="118"/>
      <c r="M1256" s="115"/>
      <c r="N1256" s="115"/>
      <c r="O1256" s="115"/>
      <c r="P1256" s="113"/>
      <c r="Q1256" s="113"/>
      <c r="R1256" s="113"/>
      <c r="S1256" s="113"/>
      <c r="T1256" s="120"/>
      <c r="U1256" s="113"/>
      <c r="V1256" s="113"/>
    </row>
    <row r="1257" spans="1:22">
      <c r="A1257" s="113"/>
      <c r="B1257" s="113"/>
      <c r="C1257" s="120"/>
      <c r="D1257" s="124"/>
      <c r="E1257" s="124"/>
      <c r="F1257" s="113"/>
      <c r="G1257" s="113"/>
      <c r="H1257" s="113"/>
      <c r="I1257" s="113"/>
      <c r="J1257" s="118"/>
      <c r="K1257" s="118"/>
      <c r="L1257" s="118"/>
      <c r="M1257" s="115"/>
      <c r="N1257" s="115"/>
      <c r="O1257" s="115"/>
      <c r="P1257" s="113"/>
      <c r="Q1257" s="113"/>
      <c r="R1257" s="113"/>
      <c r="S1257" s="113"/>
      <c r="T1257" s="120"/>
      <c r="U1257" s="113"/>
      <c r="V1257" s="113"/>
    </row>
    <row r="1258" spans="1:22">
      <c r="A1258" s="113"/>
      <c r="B1258" s="113"/>
      <c r="C1258" s="120"/>
      <c r="D1258" s="124"/>
      <c r="E1258" s="124"/>
      <c r="F1258" s="113"/>
      <c r="G1258" s="113"/>
      <c r="H1258" s="113"/>
      <c r="I1258" s="113"/>
      <c r="J1258" s="118"/>
      <c r="K1258" s="118"/>
      <c r="L1258" s="118"/>
      <c r="M1258" s="115"/>
      <c r="N1258" s="115"/>
      <c r="O1258" s="115"/>
      <c r="P1258" s="113"/>
      <c r="Q1258" s="113"/>
      <c r="R1258" s="113"/>
      <c r="S1258" s="113"/>
      <c r="T1258" s="120"/>
      <c r="U1258" s="113"/>
      <c r="V1258" s="113"/>
    </row>
    <row r="1259" spans="1:22">
      <c r="A1259" s="113"/>
      <c r="B1259" s="113"/>
      <c r="C1259" s="120"/>
      <c r="D1259" s="124"/>
      <c r="E1259" s="124"/>
      <c r="F1259" s="113"/>
      <c r="G1259" s="113"/>
      <c r="H1259" s="113"/>
      <c r="I1259" s="113"/>
      <c r="J1259" s="118"/>
      <c r="K1259" s="118"/>
      <c r="L1259" s="118"/>
      <c r="M1259" s="115"/>
      <c r="N1259" s="115"/>
      <c r="O1259" s="115"/>
      <c r="P1259" s="113"/>
      <c r="Q1259" s="113"/>
      <c r="R1259" s="113"/>
      <c r="S1259" s="113"/>
      <c r="T1259" s="120"/>
      <c r="U1259" s="113"/>
      <c r="V1259" s="113"/>
    </row>
    <row r="1260" spans="1:22">
      <c r="A1260" s="113"/>
      <c r="B1260" s="113"/>
      <c r="C1260" s="120"/>
      <c r="D1260" s="124"/>
      <c r="E1260" s="124"/>
      <c r="F1260" s="113"/>
      <c r="G1260" s="113"/>
      <c r="H1260" s="113"/>
      <c r="I1260" s="113"/>
      <c r="J1260" s="118"/>
      <c r="K1260" s="118"/>
      <c r="L1260" s="118"/>
      <c r="M1260" s="115"/>
      <c r="N1260" s="115"/>
      <c r="O1260" s="115"/>
      <c r="P1260" s="113"/>
      <c r="Q1260" s="113"/>
      <c r="R1260" s="113"/>
      <c r="S1260" s="113"/>
      <c r="T1260" s="120"/>
      <c r="U1260" s="113"/>
      <c r="V1260" s="113"/>
    </row>
    <row r="1261" spans="1:22">
      <c r="A1261" s="113"/>
      <c r="B1261" s="113"/>
      <c r="C1261" s="120"/>
      <c r="D1261" s="124"/>
      <c r="E1261" s="124"/>
      <c r="F1261" s="113"/>
      <c r="G1261" s="113"/>
      <c r="H1261" s="113"/>
      <c r="I1261" s="113"/>
      <c r="J1261" s="118"/>
      <c r="K1261" s="118"/>
      <c r="L1261" s="118"/>
      <c r="M1261" s="115"/>
      <c r="N1261" s="115"/>
      <c r="O1261" s="115"/>
      <c r="P1261" s="113"/>
      <c r="Q1261" s="113"/>
      <c r="R1261" s="113"/>
      <c r="S1261" s="113"/>
      <c r="T1261" s="120"/>
      <c r="U1261" s="113"/>
      <c r="V1261" s="113"/>
    </row>
    <row r="1262" spans="1:22">
      <c r="A1262" s="113"/>
      <c r="B1262" s="113"/>
      <c r="C1262" s="120"/>
      <c r="D1262" s="124"/>
      <c r="E1262" s="124"/>
      <c r="F1262" s="113"/>
      <c r="G1262" s="113"/>
      <c r="H1262" s="113"/>
      <c r="I1262" s="113"/>
      <c r="J1262" s="118"/>
      <c r="K1262" s="118"/>
      <c r="L1262" s="118"/>
      <c r="M1262" s="115"/>
      <c r="N1262" s="115"/>
      <c r="O1262" s="115"/>
      <c r="P1262" s="113"/>
      <c r="Q1262" s="113"/>
      <c r="R1262" s="113"/>
      <c r="S1262" s="113"/>
      <c r="T1262" s="120"/>
      <c r="U1262" s="113"/>
      <c r="V1262" s="113"/>
    </row>
    <row r="1263" spans="1:22">
      <c r="A1263" s="113"/>
      <c r="B1263" s="113"/>
      <c r="C1263" s="120"/>
      <c r="D1263" s="124"/>
      <c r="E1263" s="124"/>
      <c r="F1263" s="113"/>
      <c r="G1263" s="113"/>
      <c r="H1263" s="113"/>
      <c r="I1263" s="113"/>
      <c r="J1263" s="118"/>
      <c r="K1263" s="118"/>
      <c r="L1263" s="118"/>
      <c r="M1263" s="115"/>
      <c r="N1263" s="115"/>
      <c r="O1263" s="115"/>
      <c r="P1263" s="113"/>
      <c r="Q1263" s="113"/>
      <c r="R1263" s="113"/>
      <c r="S1263" s="113"/>
      <c r="T1263" s="120"/>
      <c r="U1263" s="113"/>
      <c r="V1263" s="113"/>
    </row>
    <row r="1264" spans="1:22">
      <c r="A1264" s="113"/>
      <c r="B1264" s="113"/>
      <c r="C1264" s="120"/>
      <c r="D1264" s="124"/>
      <c r="E1264" s="124"/>
      <c r="F1264" s="113"/>
      <c r="G1264" s="113"/>
      <c r="H1264" s="113"/>
      <c r="I1264" s="113"/>
      <c r="J1264" s="118"/>
      <c r="K1264" s="118"/>
      <c r="L1264" s="118"/>
      <c r="M1264" s="115"/>
      <c r="N1264" s="115"/>
      <c r="O1264" s="115"/>
      <c r="P1264" s="113"/>
      <c r="Q1264" s="113"/>
      <c r="R1264" s="113"/>
      <c r="S1264" s="113"/>
      <c r="T1264" s="120"/>
      <c r="U1264" s="113"/>
      <c r="V1264" s="113"/>
    </row>
    <row r="1265" spans="1:22">
      <c r="A1265" s="113"/>
      <c r="B1265" s="113"/>
      <c r="C1265" s="120"/>
      <c r="D1265" s="124"/>
      <c r="E1265" s="124"/>
      <c r="F1265" s="113"/>
      <c r="G1265" s="113"/>
      <c r="H1265" s="113"/>
      <c r="I1265" s="113"/>
      <c r="J1265" s="118"/>
      <c r="K1265" s="118"/>
      <c r="L1265" s="118"/>
      <c r="M1265" s="115"/>
      <c r="N1265" s="115"/>
      <c r="O1265" s="115"/>
      <c r="P1265" s="113"/>
      <c r="Q1265" s="113"/>
      <c r="R1265" s="113"/>
      <c r="S1265" s="113"/>
      <c r="T1265" s="120"/>
      <c r="U1265" s="113"/>
      <c r="V1265" s="113"/>
    </row>
    <row r="1266" spans="1:22">
      <c r="A1266" s="113"/>
      <c r="B1266" s="113"/>
      <c r="C1266" s="120"/>
      <c r="D1266" s="124"/>
      <c r="E1266" s="124"/>
      <c r="F1266" s="113"/>
      <c r="G1266" s="113"/>
      <c r="H1266" s="113"/>
      <c r="I1266" s="113"/>
      <c r="J1266" s="118"/>
      <c r="K1266" s="118"/>
      <c r="L1266" s="118"/>
      <c r="M1266" s="115"/>
      <c r="N1266" s="115"/>
      <c r="O1266" s="115"/>
      <c r="P1266" s="113"/>
      <c r="Q1266" s="113"/>
      <c r="R1266" s="113"/>
      <c r="S1266" s="113"/>
      <c r="T1266" s="120"/>
      <c r="U1266" s="113"/>
      <c r="V1266" s="113"/>
    </row>
    <row r="1267" spans="1:22">
      <c r="A1267" s="113"/>
      <c r="B1267" s="113"/>
      <c r="C1267" s="120"/>
      <c r="D1267" s="124"/>
      <c r="E1267" s="124"/>
      <c r="F1267" s="113"/>
      <c r="G1267" s="113"/>
      <c r="H1267" s="113"/>
      <c r="I1267" s="113"/>
      <c r="J1267" s="118"/>
      <c r="K1267" s="118"/>
      <c r="L1267" s="118"/>
      <c r="M1267" s="115"/>
      <c r="N1267" s="115"/>
      <c r="O1267" s="115"/>
      <c r="P1267" s="113"/>
      <c r="Q1267" s="113"/>
      <c r="R1267" s="113"/>
      <c r="S1267" s="113"/>
      <c r="T1267" s="120"/>
      <c r="U1267" s="113"/>
      <c r="V1267" s="113"/>
    </row>
    <row r="1268" spans="1:22">
      <c r="A1268" s="113"/>
      <c r="B1268" s="113"/>
      <c r="C1268" s="120"/>
      <c r="D1268" s="124"/>
      <c r="E1268" s="124"/>
      <c r="F1268" s="113"/>
      <c r="G1268" s="113"/>
      <c r="H1268" s="113"/>
      <c r="I1268" s="113"/>
      <c r="J1268" s="118"/>
      <c r="K1268" s="118"/>
      <c r="L1268" s="118"/>
      <c r="M1268" s="115"/>
      <c r="N1268" s="115"/>
      <c r="O1268" s="115"/>
      <c r="P1268" s="113"/>
      <c r="Q1268" s="113"/>
      <c r="R1268" s="113"/>
      <c r="S1268" s="113"/>
      <c r="T1268" s="120"/>
      <c r="U1268" s="113"/>
      <c r="V1268" s="113"/>
    </row>
    <row r="1269" spans="1:22">
      <c r="A1269" s="113"/>
      <c r="B1269" s="113"/>
      <c r="C1269" s="120"/>
      <c r="D1269" s="124"/>
      <c r="E1269" s="124"/>
      <c r="F1269" s="113"/>
      <c r="G1269" s="113"/>
      <c r="H1269" s="113"/>
      <c r="I1269" s="113"/>
      <c r="J1269" s="118"/>
      <c r="K1269" s="118"/>
      <c r="L1269" s="118"/>
      <c r="M1269" s="115"/>
      <c r="N1269" s="115"/>
      <c r="O1269" s="115"/>
      <c r="P1269" s="113"/>
      <c r="Q1269" s="113"/>
      <c r="R1269" s="113"/>
      <c r="S1269" s="113"/>
      <c r="T1269" s="120"/>
      <c r="U1269" s="113"/>
      <c r="V1269" s="113"/>
    </row>
    <row r="1270" spans="1:22">
      <c r="A1270" s="113"/>
      <c r="B1270" s="113"/>
      <c r="C1270" s="120"/>
      <c r="D1270" s="124"/>
      <c r="E1270" s="124"/>
      <c r="F1270" s="113"/>
      <c r="G1270" s="113"/>
      <c r="H1270" s="113"/>
      <c r="I1270" s="113"/>
      <c r="J1270" s="118"/>
      <c r="K1270" s="118"/>
      <c r="L1270" s="118"/>
      <c r="M1270" s="115"/>
      <c r="N1270" s="115"/>
      <c r="O1270" s="115"/>
      <c r="P1270" s="113"/>
      <c r="Q1270" s="113"/>
      <c r="R1270" s="113"/>
      <c r="S1270" s="113"/>
      <c r="T1270" s="120"/>
      <c r="U1270" s="113"/>
      <c r="V1270" s="113"/>
    </row>
    <row r="1271" spans="1:22">
      <c r="A1271" s="113"/>
      <c r="B1271" s="113"/>
      <c r="C1271" s="120"/>
      <c r="D1271" s="124"/>
      <c r="E1271" s="124"/>
      <c r="F1271" s="113"/>
      <c r="G1271" s="113"/>
      <c r="H1271" s="113"/>
      <c r="I1271" s="113"/>
      <c r="J1271" s="118"/>
      <c r="K1271" s="118"/>
      <c r="L1271" s="118"/>
      <c r="M1271" s="115"/>
      <c r="N1271" s="115"/>
      <c r="O1271" s="115"/>
      <c r="P1271" s="113"/>
      <c r="Q1271" s="113"/>
      <c r="R1271" s="113"/>
      <c r="S1271" s="113"/>
      <c r="T1271" s="120"/>
      <c r="U1271" s="113"/>
      <c r="V1271" s="113"/>
    </row>
    <row r="1272" spans="1:22">
      <c r="A1272" s="113"/>
      <c r="B1272" s="113"/>
      <c r="C1272" s="120"/>
      <c r="D1272" s="124"/>
      <c r="E1272" s="124"/>
      <c r="F1272" s="113"/>
      <c r="G1272" s="113"/>
      <c r="H1272" s="113"/>
      <c r="I1272" s="113"/>
      <c r="J1272" s="118"/>
      <c r="K1272" s="118"/>
      <c r="L1272" s="118"/>
      <c r="M1272" s="115"/>
      <c r="N1272" s="115"/>
      <c r="O1272" s="115"/>
      <c r="P1272" s="113"/>
      <c r="Q1272" s="113"/>
      <c r="R1272" s="113"/>
      <c r="S1272" s="113"/>
      <c r="T1272" s="120"/>
      <c r="U1272" s="113"/>
      <c r="V1272" s="113"/>
    </row>
    <row r="1273" spans="1:22">
      <c r="A1273" s="113"/>
      <c r="B1273" s="113"/>
      <c r="C1273" s="120"/>
      <c r="D1273" s="124"/>
      <c r="E1273" s="124"/>
      <c r="F1273" s="113"/>
      <c r="G1273" s="113"/>
      <c r="H1273" s="113"/>
      <c r="I1273" s="113"/>
      <c r="J1273" s="118"/>
      <c r="K1273" s="118"/>
      <c r="L1273" s="118"/>
      <c r="M1273" s="115"/>
      <c r="N1273" s="115"/>
      <c r="O1273" s="115"/>
      <c r="P1273" s="113"/>
      <c r="Q1273" s="113"/>
      <c r="R1273" s="113"/>
      <c r="S1273" s="113"/>
      <c r="T1273" s="120"/>
      <c r="U1273" s="113"/>
      <c r="V1273" s="113"/>
    </row>
    <row r="1274" spans="1:22">
      <c r="A1274" s="113"/>
      <c r="B1274" s="113"/>
      <c r="C1274" s="120"/>
      <c r="D1274" s="124"/>
      <c r="E1274" s="124"/>
      <c r="F1274" s="113"/>
      <c r="G1274" s="113"/>
      <c r="H1274" s="113"/>
      <c r="I1274" s="113"/>
      <c r="J1274" s="118"/>
      <c r="K1274" s="118"/>
      <c r="L1274" s="118"/>
      <c r="M1274" s="115"/>
      <c r="N1274" s="115"/>
      <c r="O1274" s="115"/>
      <c r="P1274" s="113"/>
      <c r="Q1274" s="113"/>
      <c r="R1274" s="113"/>
      <c r="S1274" s="113"/>
      <c r="T1274" s="120"/>
      <c r="U1274" s="113"/>
      <c r="V1274" s="113"/>
    </row>
    <row r="1275" spans="1:22">
      <c r="A1275" s="113"/>
      <c r="B1275" s="113"/>
      <c r="C1275" s="120"/>
      <c r="D1275" s="124"/>
      <c r="E1275" s="124"/>
      <c r="F1275" s="113"/>
      <c r="G1275" s="113"/>
      <c r="H1275" s="113"/>
      <c r="I1275" s="113"/>
      <c r="J1275" s="118"/>
      <c r="K1275" s="118"/>
      <c r="L1275" s="118"/>
      <c r="M1275" s="115"/>
      <c r="N1275" s="115"/>
      <c r="O1275" s="115"/>
      <c r="P1275" s="113"/>
      <c r="Q1275" s="113"/>
      <c r="R1275" s="113"/>
      <c r="S1275" s="113"/>
      <c r="T1275" s="120"/>
      <c r="U1275" s="113"/>
      <c r="V1275" s="113"/>
    </row>
    <row r="1276" spans="1:22">
      <c r="A1276" s="113"/>
      <c r="B1276" s="113"/>
      <c r="C1276" s="120"/>
      <c r="D1276" s="124"/>
      <c r="E1276" s="124"/>
      <c r="F1276" s="113"/>
      <c r="G1276" s="113"/>
      <c r="H1276" s="113"/>
      <c r="I1276" s="113"/>
      <c r="J1276" s="118"/>
      <c r="K1276" s="118"/>
      <c r="L1276" s="118"/>
      <c r="M1276" s="115"/>
      <c r="N1276" s="115"/>
      <c r="O1276" s="115"/>
      <c r="P1276" s="113"/>
      <c r="Q1276" s="113"/>
      <c r="R1276" s="113"/>
      <c r="S1276" s="113"/>
      <c r="T1276" s="120"/>
      <c r="U1276" s="113"/>
      <c r="V1276" s="113"/>
    </row>
    <row r="1277" spans="1:22">
      <c r="A1277" s="113"/>
      <c r="B1277" s="113"/>
      <c r="C1277" s="120"/>
      <c r="D1277" s="124"/>
      <c r="E1277" s="124"/>
      <c r="F1277" s="113"/>
      <c r="G1277" s="113"/>
      <c r="H1277" s="113"/>
      <c r="I1277" s="113"/>
      <c r="J1277" s="118"/>
      <c r="K1277" s="118"/>
      <c r="L1277" s="118"/>
      <c r="M1277" s="115"/>
      <c r="N1277" s="115"/>
      <c r="O1277" s="115"/>
      <c r="P1277" s="113"/>
      <c r="Q1277" s="113"/>
      <c r="R1277" s="113"/>
      <c r="S1277" s="113"/>
      <c r="T1277" s="120"/>
      <c r="U1277" s="113"/>
      <c r="V1277" s="113"/>
    </row>
    <row r="1278" spans="1:22">
      <c r="A1278" s="113"/>
      <c r="B1278" s="113"/>
      <c r="C1278" s="120"/>
      <c r="D1278" s="124"/>
      <c r="E1278" s="124"/>
      <c r="F1278" s="113"/>
      <c r="G1278" s="113"/>
      <c r="H1278" s="113"/>
      <c r="I1278" s="113"/>
      <c r="J1278" s="118"/>
      <c r="K1278" s="118"/>
      <c r="L1278" s="118"/>
      <c r="M1278" s="115"/>
      <c r="N1278" s="115"/>
      <c r="O1278" s="115"/>
      <c r="P1278" s="113"/>
      <c r="Q1278" s="113"/>
      <c r="R1278" s="113"/>
      <c r="S1278" s="113"/>
      <c r="T1278" s="120"/>
      <c r="U1278" s="113"/>
      <c r="V1278" s="113"/>
    </row>
    <row r="1279" spans="1:22">
      <c r="A1279" s="113"/>
      <c r="B1279" s="113"/>
      <c r="C1279" s="120"/>
      <c r="D1279" s="124"/>
      <c r="E1279" s="124"/>
      <c r="F1279" s="113"/>
      <c r="G1279" s="113"/>
      <c r="H1279" s="113"/>
      <c r="I1279" s="113"/>
      <c r="J1279" s="118"/>
      <c r="K1279" s="118"/>
      <c r="L1279" s="118"/>
      <c r="M1279" s="115"/>
      <c r="N1279" s="115"/>
      <c r="O1279" s="115"/>
      <c r="P1279" s="113"/>
      <c r="Q1279" s="113"/>
      <c r="R1279" s="113"/>
      <c r="S1279" s="113"/>
      <c r="T1279" s="120"/>
      <c r="U1279" s="113"/>
      <c r="V1279" s="113"/>
    </row>
    <row r="1280" spans="1:22">
      <c r="A1280" s="113"/>
      <c r="B1280" s="113"/>
      <c r="C1280" s="120"/>
      <c r="D1280" s="124"/>
      <c r="E1280" s="124"/>
      <c r="F1280" s="113"/>
      <c r="G1280" s="113"/>
      <c r="H1280" s="113"/>
      <c r="I1280" s="113"/>
      <c r="J1280" s="118"/>
      <c r="K1280" s="118"/>
      <c r="L1280" s="118"/>
      <c r="M1280" s="115"/>
      <c r="N1280" s="115"/>
      <c r="O1280" s="115"/>
      <c r="P1280" s="113"/>
      <c r="Q1280" s="113"/>
      <c r="R1280" s="113"/>
      <c r="S1280" s="113"/>
      <c r="T1280" s="120"/>
      <c r="U1280" s="113"/>
      <c r="V1280" s="113"/>
    </row>
    <row r="1281" spans="1:22">
      <c r="A1281" s="113"/>
      <c r="B1281" s="113"/>
      <c r="C1281" s="120"/>
      <c r="D1281" s="124"/>
      <c r="E1281" s="124"/>
      <c r="F1281" s="113"/>
      <c r="G1281" s="113"/>
      <c r="H1281" s="113"/>
      <c r="I1281" s="113"/>
      <c r="J1281" s="118"/>
      <c r="K1281" s="118"/>
      <c r="L1281" s="118"/>
      <c r="M1281" s="115"/>
      <c r="N1281" s="115"/>
      <c r="O1281" s="115"/>
      <c r="P1281" s="113"/>
      <c r="Q1281" s="113"/>
      <c r="R1281" s="113"/>
      <c r="S1281" s="113"/>
      <c r="T1281" s="120"/>
      <c r="U1281" s="113"/>
      <c r="V1281" s="113"/>
    </row>
    <row r="1282" spans="1:22">
      <c r="A1282" s="113"/>
      <c r="B1282" s="113"/>
      <c r="C1282" s="120"/>
      <c r="D1282" s="124"/>
      <c r="E1282" s="124"/>
      <c r="F1282" s="113"/>
      <c r="G1282" s="113"/>
      <c r="H1282" s="113"/>
      <c r="I1282" s="113"/>
      <c r="J1282" s="118"/>
      <c r="K1282" s="118"/>
      <c r="L1282" s="118"/>
      <c r="M1282" s="115"/>
      <c r="N1282" s="115"/>
      <c r="O1282" s="115"/>
      <c r="P1282" s="113"/>
      <c r="Q1282" s="113"/>
      <c r="R1282" s="113"/>
      <c r="S1282" s="113"/>
      <c r="T1282" s="120"/>
      <c r="U1282" s="113"/>
      <c r="V1282" s="113"/>
    </row>
    <row r="1283" spans="1:22">
      <c r="A1283" s="113"/>
      <c r="B1283" s="113"/>
      <c r="C1283" s="120"/>
      <c r="D1283" s="124"/>
      <c r="E1283" s="124"/>
      <c r="F1283" s="113"/>
      <c r="G1283" s="113"/>
      <c r="H1283" s="113"/>
      <c r="I1283" s="113"/>
      <c r="J1283" s="118"/>
      <c r="K1283" s="118"/>
      <c r="L1283" s="118"/>
      <c r="M1283" s="115"/>
      <c r="N1283" s="115"/>
      <c r="O1283" s="115"/>
      <c r="P1283" s="113"/>
      <c r="Q1283" s="113"/>
      <c r="R1283" s="113"/>
      <c r="S1283" s="113"/>
      <c r="T1283" s="120"/>
      <c r="U1283" s="113"/>
      <c r="V1283" s="113"/>
    </row>
    <row r="1284" spans="1:22">
      <c r="A1284" s="113"/>
      <c r="B1284" s="113"/>
      <c r="C1284" s="120"/>
      <c r="D1284" s="124"/>
      <c r="E1284" s="124"/>
      <c r="F1284" s="113"/>
      <c r="G1284" s="113"/>
      <c r="H1284" s="113"/>
      <c r="I1284" s="113"/>
      <c r="J1284" s="118"/>
      <c r="K1284" s="118"/>
      <c r="L1284" s="118"/>
      <c r="M1284" s="115"/>
      <c r="N1284" s="115"/>
      <c r="O1284" s="115"/>
      <c r="P1284" s="113"/>
      <c r="Q1284" s="113"/>
      <c r="R1284" s="113"/>
      <c r="S1284" s="113"/>
      <c r="T1284" s="120"/>
      <c r="U1284" s="113"/>
      <c r="V1284" s="113"/>
    </row>
    <row r="1285" spans="1:22">
      <c r="A1285" s="113"/>
      <c r="B1285" s="113"/>
      <c r="C1285" s="120"/>
      <c r="D1285" s="124"/>
      <c r="E1285" s="124"/>
      <c r="F1285" s="113"/>
      <c r="G1285" s="113"/>
      <c r="H1285" s="113"/>
      <c r="I1285" s="113"/>
      <c r="J1285" s="118"/>
      <c r="K1285" s="118"/>
      <c r="L1285" s="118"/>
      <c r="M1285" s="115"/>
      <c r="N1285" s="115"/>
      <c r="O1285" s="115"/>
      <c r="P1285" s="113"/>
      <c r="Q1285" s="113"/>
      <c r="R1285" s="113"/>
      <c r="S1285" s="113"/>
      <c r="T1285" s="120"/>
      <c r="U1285" s="113"/>
      <c r="V1285" s="113"/>
    </row>
    <row r="1286" spans="1:22">
      <c r="A1286" s="113"/>
      <c r="B1286" s="113"/>
      <c r="C1286" s="120"/>
      <c r="D1286" s="124"/>
      <c r="E1286" s="124"/>
      <c r="F1286" s="113"/>
      <c r="G1286" s="113"/>
      <c r="H1286" s="113"/>
      <c r="I1286" s="113"/>
      <c r="J1286" s="118"/>
      <c r="K1286" s="118"/>
      <c r="L1286" s="118"/>
      <c r="M1286" s="115"/>
      <c r="N1286" s="115"/>
      <c r="O1286" s="115"/>
      <c r="P1286" s="113"/>
      <c r="Q1286" s="113"/>
      <c r="R1286" s="113"/>
      <c r="S1286" s="113"/>
      <c r="T1286" s="120"/>
      <c r="U1286" s="113"/>
      <c r="V1286" s="113"/>
    </row>
    <row r="1287" spans="1:22">
      <c r="A1287" s="113"/>
      <c r="B1287" s="113"/>
      <c r="C1287" s="120"/>
      <c r="D1287" s="124"/>
      <c r="E1287" s="124"/>
      <c r="F1287" s="113"/>
      <c r="G1287" s="113"/>
      <c r="H1287" s="113"/>
      <c r="I1287" s="113"/>
      <c r="J1287" s="118"/>
      <c r="K1287" s="118"/>
      <c r="L1287" s="118"/>
      <c r="M1287" s="115"/>
      <c r="N1287" s="115"/>
      <c r="O1287" s="115"/>
      <c r="P1287" s="113"/>
      <c r="Q1287" s="113"/>
      <c r="R1287" s="113"/>
      <c r="S1287" s="113"/>
      <c r="T1287" s="120"/>
      <c r="U1287" s="113"/>
      <c r="V1287" s="113"/>
    </row>
    <row r="1288" spans="1:22">
      <c r="A1288" s="113"/>
      <c r="B1288" s="113"/>
      <c r="C1288" s="120"/>
      <c r="D1288" s="124"/>
      <c r="E1288" s="124"/>
      <c r="F1288" s="113"/>
      <c r="G1288" s="113"/>
      <c r="H1288" s="113"/>
      <c r="I1288" s="113"/>
      <c r="J1288" s="118"/>
      <c r="K1288" s="118"/>
      <c r="L1288" s="118"/>
      <c r="M1288" s="115"/>
      <c r="N1288" s="115"/>
      <c r="O1288" s="115"/>
      <c r="P1288" s="113"/>
      <c r="Q1288" s="113"/>
      <c r="R1288" s="113"/>
      <c r="S1288" s="113"/>
      <c r="T1288" s="120"/>
      <c r="U1288" s="113"/>
      <c r="V1288" s="113"/>
    </row>
    <row r="1289" spans="1:22">
      <c r="A1289" s="113"/>
      <c r="B1289" s="113"/>
      <c r="C1289" s="120"/>
      <c r="D1289" s="124"/>
      <c r="E1289" s="124"/>
      <c r="F1289" s="113"/>
      <c r="G1289" s="113"/>
      <c r="H1289" s="113"/>
      <c r="I1289" s="113"/>
      <c r="J1289" s="118"/>
      <c r="K1289" s="118"/>
      <c r="L1289" s="118"/>
      <c r="M1289" s="115"/>
      <c r="N1289" s="115"/>
      <c r="O1289" s="115"/>
      <c r="P1289" s="113"/>
      <c r="Q1289" s="113"/>
      <c r="R1289" s="113"/>
      <c r="S1289" s="113"/>
      <c r="T1289" s="120"/>
      <c r="U1289" s="113"/>
      <c r="V1289" s="113"/>
    </row>
    <row r="1290" spans="1:22">
      <c r="A1290" s="113"/>
      <c r="B1290" s="113"/>
      <c r="C1290" s="120"/>
      <c r="D1290" s="124"/>
      <c r="E1290" s="124"/>
      <c r="F1290" s="113"/>
      <c r="G1290" s="113"/>
      <c r="H1290" s="113"/>
      <c r="I1290" s="113"/>
      <c r="J1290" s="118"/>
      <c r="K1290" s="118"/>
      <c r="L1290" s="118"/>
      <c r="M1290" s="115"/>
      <c r="N1290" s="115"/>
      <c r="O1290" s="115"/>
      <c r="P1290" s="113"/>
      <c r="Q1290" s="113"/>
      <c r="R1290" s="113"/>
      <c r="S1290" s="113"/>
      <c r="T1290" s="120"/>
      <c r="U1290" s="113"/>
      <c r="V1290" s="113"/>
    </row>
    <row r="1291" spans="1:22">
      <c r="A1291" s="113"/>
      <c r="B1291" s="113"/>
      <c r="C1291" s="120"/>
      <c r="D1291" s="124"/>
      <c r="E1291" s="124"/>
      <c r="F1291" s="113"/>
      <c r="G1291" s="113"/>
      <c r="H1291" s="113"/>
      <c r="I1291" s="113"/>
      <c r="J1291" s="118"/>
      <c r="K1291" s="118"/>
      <c r="L1291" s="118"/>
      <c r="M1291" s="115"/>
      <c r="N1291" s="115"/>
      <c r="O1291" s="115"/>
      <c r="P1291" s="113"/>
      <c r="Q1291" s="113"/>
      <c r="R1291" s="113"/>
      <c r="S1291" s="113"/>
      <c r="T1291" s="120"/>
      <c r="U1291" s="113"/>
      <c r="V1291" s="113"/>
    </row>
    <row r="1292" spans="1:22">
      <c r="A1292" s="113"/>
      <c r="B1292" s="113"/>
      <c r="C1292" s="120"/>
      <c r="D1292" s="124"/>
      <c r="E1292" s="124"/>
      <c r="F1292" s="113"/>
      <c r="G1292" s="113"/>
      <c r="H1292" s="113"/>
      <c r="I1292" s="113"/>
      <c r="J1292" s="118"/>
      <c r="K1292" s="118"/>
      <c r="L1292" s="118"/>
      <c r="M1292" s="115"/>
      <c r="N1292" s="115"/>
      <c r="O1292" s="115"/>
      <c r="P1292" s="113"/>
      <c r="Q1292" s="113"/>
      <c r="R1292" s="113"/>
      <c r="S1292" s="113"/>
      <c r="T1292" s="120"/>
      <c r="U1292" s="113"/>
      <c r="V1292" s="113"/>
    </row>
    <row r="1293" spans="1:22">
      <c r="A1293" s="113"/>
      <c r="B1293" s="113"/>
      <c r="C1293" s="120"/>
      <c r="D1293" s="124"/>
      <c r="E1293" s="124"/>
      <c r="F1293" s="113"/>
      <c r="G1293" s="113"/>
      <c r="H1293" s="113"/>
      <c r="I1293" s="113"/>
      <c r="J1293" s="118"/>
      <c r="K1293" s="118"/>
      <c r="L1293" s="118"/>
      <c r="M1293" s="115"/>
      <c r="N1293" s="115"/>
      <c r="O1293" s="115"/>
      <c r="P1293" s="113"/>
      <c r="Q1293" s="113"/>
      <c r="R1293" s="113"/>
      <c r="S1293" s="113"/>
      <c r="T1293" s="120"/>
      <c r="U1293" s="113"/>
      <c r="V1293" s="113"/>
    </row>
    <row r="1294" spans="1:22">
      <c r="A1294" s="113"/>
      <c r="B1294" s="113"/>
      <c r="C1294" s="120"/>
      <c r="D1294" s="124"/>
      <c r="E1294" s="124"/>
      <c r="F1294" s="113"/>
      <c r="G1294" s="113"/>
      <c r="H1294" s="113"/>
      <c r="I1294" s="113"/>
      <c r="J1294" s="118"/>
      <c r="K1294" s="118"/>
      <c r="L1294" s="118"/>
      <c r="M1294" s="115"/>
      <c r="N1294" s="115"/>
      <c r="O1294" s="115"/>
      <c r="P1294" s="113"/>
      <c r="Q1294" s="113"/>
      <c r="R1294" s="113"/>
      <c r="S1294" s="113"/>
      <c r="T1294" s="120"/>
      <c r="U1294" s="113"/>
      <c r="V1294" s="113"/>
    </row>
    <row r="1295" spans="1:22">
      <c r="A1295" s="113"/>
      <c r="B1295" s="113"/>
      <c r="C1295" s="120"/>
      <c r="D1295" s="124"/>
      <c r="E1295" s="124"/>
      <c r="F1295" s="113"/>
      <c r="G1295" s="113"/>
      <c r="H1295" s="113"/>
      <c r="I1295" s="113"/>
      <c r="J1295" s="118"/>
      <c r="K1295" s="118"/>
      <c r="L1295" s="118"/>
      <c r="M1295" s="115"/>
      <c r="N1295" s="115"/>
      <c r="O1295" s="115"/>
      <c r="P1295" s="113"/>
      <c r="Q1295" s="113"/>
      <c r="R1295" s="113"/>
      <c r="S1295" s="113"/>
      <c r="T1295" s="120"/>
      <c r="U1295" s="113"/>
      <c r="V1295" s="113"/>
    </row>
    <row r="1296" spans="1:22">
      <c r="A1296" s="113"/>
      <c r="B1296" s="113"/>
      <c r="C1296" s="120"/>
      <c r="D1296" s="124"/>
      <c r="E1296" s="124"/>
      <c r="F1296" s="113"/>
      <c r="G1296" s="113"/>
      <c r="H1296" s="113"/>
      <c r="I1296" s="113"/>
      <c r="J1296" s="118"/>
      <c r="K1296" s="118"/>
      <c r="L1296" s="118"/>
      <c r="M1296" s="115"/>
      <c r="N1296" s="115"/>
      <c r="O1296" s="115"/>
      <c r="P1296" s="113"/>
      <c r="Q1296" s="113"/>
      <c r="R1296" s="113"/>
      <c r="S1296" s="113"/>
      <c r="T1296" s="120"/>
      <c r="U1296" s="113"/>
      <c r="V1296" s="113"/>
    </row>
    <row r="1297" spans="1:22">
      <c r="A1297" s="113"/>
      <c r="B1297" s="113"/>
      <c r="C1297" s="120"/>
      <c r="D1297" s="124"/>
      <c r="E1297" s="124"/>
      <c r="F1297" s="113"/>
      <c r="G1297" s="113"/>
      <c r="H1297" s="113"/>
      <c r="I1297" s="113"/>
      <c r="J1297" s="118"/>
      <c r="K1297" s="118"/>
      <c r="L1297" s="118"/>
      <c r="M1297" s="115"/>
      <c r="N1297" s="115"/>
      <c r="O1297" s="115"/>
      <c r="P1297" s="113"/>
      <c r="Q1297" s="113"/>
      <c r="R1297" s="113"/>
      <c r="S1297" s="113"/>
      <c r="T1297" s="120"/>
      <c r="U1297" s="113"/>
      <c r="V1297" s="113"/>
    </row>
    <row r="1298" spans="1:22">
      <c r="A1298" s="113"/>
      <c r="B1298" s="113"/>
      <c r="C1298" s="120"/>
      <c r="D1298" s="124"/>
      <c r="E1298" s="124"/>
      <c r="F1298" s="113"/>
      <c r="G1298" s="113"/>
      <c r="H1298" s="113"/>
      <c r="I1298" s="113"/>
      <c r="J1298" s="118"/>
      <c r="K1298" s="118"/>
      <c r="L1298" s="118"/>
      <c r="M1298" s="115"/>
      <c r="N1298" s="115"/>
      <c r="O1298" s="115"/>
      <c r="P1298" s="113"/>
      <c r="Q1298" s="113"/>
      <c r="R1298" s="113"/>
      <c r="S1298" s="113"/>
      <c r="T1298" s="120"/>
      <c r="U1298" s="113"/>
      <c r="V1298" s="113"/>
    </row>
    <row r="1299" spans="1:22">
      <c r="A1299" s="113"/>
      <c r="B1299" s="113"/>
      <c r="C1299" s="120"/>
      <c r="D1299" s="124"/>
      <c r="E1299" s="124"/>
      <c r="F1299" s="113"/>
      <c r="G1299" s="113"/>
      <c r="H1299" s="113"/>
      <c r="I1299" s="113"/>
      <c r="J1299" s="118"/>
      <c r="K1299" s="118"/>
      <c r="L1299" s="118"/>
      <c r="M1299" s="115"/>
      <c r="N1299" s="115"/>
      <c r="O1299" s="115"/>
      <c r="P1299" s="113"/>
      <c r="Q1299" s="113"/>
      <c r="R1299" s="113"/>
      <c r="S1299" s="113"/>
      <c r="T1299" s="120"/>
      <c r="U1299" s="113"/>
      <c r="V1299" s="113"/>
    </row>
    <row r="1300" spans="1:22">
      <c r="A1300" s="113"/>
      <c r="B1300" s="113"/>
      <c r="C1300" s="120"/>
      <c r="D1300" s="124"/>
      <c r="E1300" s="124"/>
      <c r="F1300" s="113"/>
      <c r="G1300" s="113"/>
      <c r="H1300" s="113"/>
      <c r="I1300" s="113"/>
      <c r="J1300" s="118"/>
      <c r="K1300" s="118"/>
      <c r="L1300" s="118"/>
      <c r="M1300" s="115"/>
      <c r="N1300" s="115"/>
      <c r="O1300" s="115"/>
      <c r="P1300" s="113"/>
      <c r="Q1300" s="113"/>
      <c r="R1300" s="113"/>
      <c r="S1300" s="113"/>
      <c r="T1300" s="120"/>
      <c r="U1300" s="113"/>
      <c r="V1300" s="113"/>
    </row>
    <row r="1301" spans="1:22">
      <c r="A1301" s="113"/>
      <c r="B1301" s="113"/>
      <c r="C1301" s="120"/>
      <c r="D1301" s="124"/>
      <c r="E1301" s="124"/>
      <c r="F1301" s="113"/>
      <c r="G1301" s="113"/>
      <c r="H1301" s="113"/>
      <c r="I1301" s="113"/>
      <c r="J1301" s="118"/>
      <c r="K1301" s="118"/>
      <c r="L1301" s="118"/>
      <c r="M1301" s="115"/>
      <c r="N1301" s="115"/>
      <c r="O1301" s="115"/>
      <c r="P1301" s="113"/>
      <c r="Q1301" s="113"/>
      <c r="R1301" s="113"/>
      <c r="S1301" s="113"/>
      <c r="T1301" s="120"/>
      <c r="U1301" s="113"/>
      <c r="V1301" s="113"/>
    </row>
    <row r="1302" spans="1:22">
      <c r="A1302" s="113"/>
      <c r="B1302" s="113"/>
      <c r="C1302" s="120"/>
      <c r="D1302" s="124"/>
      <c r="E1302" s="124"/>
      <c r="F1302" s="113"/>
      <c r="G1302" s="113"/>
      <c r="H1302" s="113"/>
      <c r="I1302" s="113"/>
      <c r="J1302" s="118"/>
      <c r="K1302" s="118"/>
      <c r="L1302" s="118"/>
      <c r="M1302" s="115"/>
      <c r="N1302" s="115"/>
      <c r="O1302" s="115"/>
      <c r="P1302" s="113"/>
      <c r="Q1302" s="113"/>
      <c r="R1302" s="113"/>
      <c r="S1302" s="113"/>
      <c r="T1302" s="120"/>
      <c r="U1302" s="113"/>
      <c r="V1302" s="113"/>
    </row>
    <row r="1303" spans="1:22">
      <c r="A1303" s="113"/>
      <c r="B1303" s="113"/>
      <c r="C1303" s="120"/>
      <c r="D1303" s="124"/>
      <c r="E1303" s="124"/>
      <c r="F1303" s="113"/>
      <c r="G1303" s="113"/>
      <c r="H1303" s="113"/>
      <c r="I1303" s="113"/>
      <c r="J1303" s="118"/>
      <c r="K1303" s="118"/>
      <c r="L1303" s="118"/>
      <c r="M1303" s="115"/>
      <c r="N1303" s="115"/>
      <c r="O1303" s="115"/>
      <c r="P1303" s="113"/>
      <c r="Q1303" s="113"/>
      <c r="R1303" s="113"/>
      <c r="S1303" s="113"/>
      <c r="T1303" s="120"/>
      <c r="U1303" s="113"/>
      <c r="V1303" s="113"/>
    </row>
    <row r="1304" spans="1:22">
      <c r="A1304" s="113"/>
      <c r="B1304" s="113"/>
      <c r="C1304" s="120"/>
      <c r="D1304" s="124"/>
      <c r="E1304" s="124"/>
      <c r="F1304" s="113"/>
      <c r="G1304" s="113"/>
      <c r="H1304" s="113"/>
      <c r="I1304" s="113"/>
      <c r="J1304" s="118"/>
      <c r="K1304" s="118"/>
      <c r="L1304" s="118"/>
      <c r="M1304" s="115"/>
      <c r="N1304" s="115"/>
      <c r="O1304" s="115"/>
      <c r="P1304" s="113"/>
      <c r="Q1304" s="113"/>
      <c r="R1304" s="113"/>
      <c r="S1304" s="113"/>
      <c r="T1304" s="120"/>
      <c r="U1304" s="113"/>
      <c r="V1304" s="113"/>
    </row>
    <row r="1305" spans="1:22">
      <c r="A1305" s="113"/>
      <c r="B1305" s="113"/>
      <c r="C1305" s="120"/>
      <c r="D1305" s="124"/>
      <c r="E1305" s="124"/>
      <c r="F1305" s="113"/>
      <c r="G1305" s="113"/>
      <c r="H1305" s="113"/>
      <c r="I1305" s="113"/>
      <c r="J1305" s="118"/>
      <c r="K1305" s="118"/>
      <c r="L1305" s="118"/>
      <c r="M1305" s="115"/>
      <c r="N1305" s="115"/>
      <c r="O1305" s="115"/>
      <c r="P1305" s="113"/>
      <c r="Q1305" s="113"/>
      <c r="R1305" s="113"/>
      <c r="S1305" s="113"/>
      <c r="T1305" s="120"/>
      <c r="U1305" s="113"/>
      <c r="V1305" s="113"/>
    </row>
    <row r="1306" spans="1:22">
      <c r="A1306" s="113"/>
      <c r="B1306" s="113"/>
      <c r="C1306" s="120"/>
      <c r="D1306" s="124"/>
      <c r="E1306" s="124"/>
      <c r="F1306" s="113"/>
      <c r="G1306" s="113"/>
      <c r="H1306" s="113"/>
      <c r="I1306" s="113"/>
      <c r="J1306" s="118"/>
      <c r="K1306" s="118"/>
      <c r="L1306" s="118"/>
      <c r="M1306" s="115"/>
      <c r="N1306" s="115"/>
      <c r="O1306" s="115"/>
      <c r="P1306" s="113"/>
      <c r="Q1306" s="113"/>
      <c r="R1306" s="113"/>
      <c r="S1306" s="113"/>
      <c r="T1306" s="120"/>
      <c r="U1306" s="113"/>
      <c r="V1306" s="113"/>
    </row>
    <row r="1307" spans="1:22">
      <c r="A1307" s="113"/>
      <c r="B1307" s="113"/>
      <c r="C1307" s="120"/>
      <c r="D1307" s="124"/>
      <c r="E1307" s="124"/>
      <c r="F1307" s="113"/>
      <c r="G1307" s="113"/>
      <c r="H1307" s="113"/>
      <c r="I1307" s="113"/>
      <c r="J1307" s="118"/>
      <c r="K1307" s="118"/>
      <c r="L1307" s="118"/>
      <c r="M1307" s="115"/>
      <c r="N1307" s="115"/>
      <c r="O1307" s="115"/>
      <c r="P1307" s="113"/>
      <c r="Q1307" s="113"/>
      <c r="R1307" s="113"/>
      <c r="S1307" s="113"/>
      <c r="T1307" s="120"/>
      <c r="U1307" s="113"/>
      <c r="V1307" s="113"/>
    </row>
    <row r="1308" spans="1:22">
      <c r="A1308" s="113"/>
      <c r="B1308" s="113"/>
      <c r="C1308" s="120"/>
      <c r="D1308" s="124"/>
      <c r="E1308" s="124"/>
      <c r="F1308" s="113"/>
      <c r="G1308" s="113"/>
      <c r="H1308" s="113"/>
      <c r="I1308" s="113"/>
      <c r="J1308" s="118"/>
      <c r="K1308" s="118"/>
      <c r="L1308" s="118"/>
      <c r="M1308" s="115"/>
      <c r="N1308" s="115"/>
      <c r="O1308" s="115"/>
      <c r="P1308" s="113"/>
      <c r="Q1308" s="113"/>
      <c r="R1308" s="113"/>
      <c r="S1308" s="113"/>
      <c r="T1308" s="120"/>
      <c r="U1308" s="113"/>
      <c r="V1308" s="113"/>
    </row>
    <row r="1309" spans="1:22">
      <c r="A1309" s="113"/>
      <c r="B1309" s="113"/>
      <c r="C1309" s="120"/>
      <c r="D1309" s="124"/>
      <c r="E1309" s="124"/>
      <c r="F1309" s="113"/>
      <c r="G1309" s="113"/>
      <c r="H1309" s="113"/>
      <c r="I1309" s="113"/>
      <c r="J1309" s="118"/>
      <c r="K1309" s="118"/>
      <c r="L1309" s="118"/>
      <c r="M1309" s="115"/>
      <c r="N1309" s="115"/>
      <c r="O1309" s="115"/>
      <c r="P1309" s="113"/>
      <c r="Q1309" s="113"/>
      <c r="R1309" s="113"/>
      <c r="S1309" s="113"/>
      <c r="T1309" s="120"/>
      <c r="U1309" s="113"/>
      <c r="V1309" s="113"/>
    </row>
    <row r="1310" spans="1:22">
      <c r="A1310" s="113"/>
      <c r="B1310" s="113"/>
      <c r="C1310" s="120"/>
      <c r="D1310" s="124"/>
      <c r="E1310" s="124"/>
      <c r="F1310" s="113"/>
      <c r="G1310" s="113"/>
      <c r="H1310" s="113"/>
      <c r="I1310" s="113"/>
      <c r="J1310" s="118"/>
      <c r="K1310" s="118"/>
      <c r="L1310" s="118"/>
      <c r="M1310" s="115"/>
      <c r="N1310" s="115"/>
      <c r="O1310" s="115"/>
      <c r="P1310" s="113"/>
      <c r="Q1310" s="113"/>
      <c r="R1310" s="113"/>
      <c r="S1310" s="113"/>
      <c r="T1310" s="120"/>
      <c r="U1310" s="113"/>
      <c r="V1310" s="113"/>
    </row>
    <row r="1311" spans="1:22">
      <c r="A1311" s="113"/>
      <c r="B1311" s="113"/>
      <c r="C1311" s="120"/>
      <c r="D1311" s="124"/>
      <c r="E1311" s="124"/>
      <c r="F1311" s="113"/>
      <c r="G1311" s="113"/>
      <c r="H1311" s="113"/>
      <c r="I1311" s="113"/>
      <c r="J1311" s="118"/>
      <c r="K1311" s="118"/>
      <c r="L1311" s="118"/>
      <c r="M1311" s="115"/>
      <c r="N1311" s="115"/>
      <c r="O1311" s="115"/>
      <c r="P1311" s="113"/>
      <c r="Q1311" s="113"/>
      <c r="R1311" s="113"/>
      <c r="S1311" s="113"/>
      <c r="T1311" s="120"/>
      <c r="U1311" s="113"/>
      <c r="V1311" s="113"/>
    </row>
    <row r="1312" spans="1:22">
      <c r="A1312" s="113"/>
      <c r="B1312" s="113"/>
      <c r="C1312" s="120"/>
      <c r="D1312" s="124"/>
      <c r="E1312" s="124"/>
      <c r="F1312" s="113"/>
      <c r="G1312" s="113"/>
      <c r="H1312" s="113"/>
      <c r="I1312" s="113"/>
      <c r="J1312" s="118"/>
      <c r="K1312" s="118"/>
      <c r="L1312" s="118"/>
      <c r="M1312" s="115"/>
      <c r="N1312" s="115"/>
      <c r="O1312" s="115"/>
      <c r="P1312" s="113"/>
      <c r="Q1312" s="113"/>
      <c r="R1312" s="113"/>
      <c r="S1312" s="113"/>
      <c r="T1312" s="120"/>
      <c r="U1312" s="113"/>
      <c r="V1312" s="113"/>
    </row>
    <row r="1313" spans="1:22">
      <c r="A1313" s="113"/>
      <c r="B1313" s="113"/>
      <c r="C1313" s="120"/>
      <c r="D1313" s="124"/>
      <c r="E1313" s="124"/>
      <c r="F1313" s="113"/>
      <c r="G1313" s="113"/>
      <c r="H1313" s="113"/>
      <c r="I1313" s="113"/>
      <c r="J1313" s="118"/>
      <c r="K1313" s="118"/>
      <c r="L1313" s="118"/>
      <c r="M1313" s="115"/>
      <c r="N1313" s="115"/>
      <c r="O1313" s="115"/>
      <c r="P1313" s="113"/>
      <c r="Q1313" s="113"/>
      <c r="R1313" s="113"/>
      <c r="S1313" s="113"/>
      <c r="T1313" s="120"/>
      <c r="U1313" s="113"/>
      <c r="V1313" s="113"/>
    </row>
    <row r="1314" spans="1:22">
      <c r="A1314" s="113"/>
      <c r="B1314" s="113"/>
      <c r="C1314" s="120"/>
      <c r="D1314" s="124"/>
      <c r="E1314" s="124"/>
      <c r="F1314" s="113"/>
      <c r="G1314" s="113"/>
      <c r="H1314" s="113"/>
      <c r="I1314" s="113"/>
      <c r="J1314" s="118"/>
      <c r="K1314" s="118"/>
      <c r="L1314" s="118"/>
      <c r="M1314" s="115"/>
      <c r="N1314" s="115"/>
      <c r="O1314" s="115"/>
      <c r="P1314" s="113"/>
      <c r="Q1314" s="113"/>
      <c r="R1314" s="113"/>
      <c r="S1314" s="113"/>
      <c r="T1314" s="120"/>
      <c r="U1314" s="113"/>
      <c r="V1314" s="113"/>
    </row>
    <row r="1315" spans="1:22">
      <c r="A1315" s="113"/>
      <c r="B1315" s="113"/>
      <c r="C1315" s="120"/>
      <c r="D1315" s="124"/>
      <c r="E1315" s="124"/>
      <c r="F1315" s="113"/>
      <c r="G1315" s="113"/>
      <c r="H1315" s="113"/>
      <c r="I1315" s="113"/>
      <c r="J1315" s="118"/>
      <c r="K1315" s="118"/>
      <c r="L1315" s="118"/>
      <c r="M1315" s="115"/>
      <c r="N1315" s="115"/>
      <c r="O1315" s="115"/>
      <c r="P1315" s="113"/>
      <c r="Q1315" s="113"/>
      <c r="R1315" s="113"/>
      <c r="S1315" s="113"/>
      <c r="T1315" s="120"/>
      <c r="U1315" s="113"/>
      <c r="V1315" s="113"/>
    </row>
    <row r="1316" spans="1:22">
      <c r="A1316" s="113"/>
      <c r="B1316" s="113"/>
      <c r="C1316" s="120"/>
      <c r="D1316" s="124"/>
      <c r="E1316" s="124"/>
      <c r="F1316" s="113"/>
      <c r="G1316" s="113"/>
      <c r="H1316" s="113"/>
      <c r="I1316" s="113"/>
      <c r="J1316" s="118"/>
      <c r="K1316" s="118"/>
      <c r="L1316" s="118"/>
      <c r="M1316" s="115"/>
      <c r="N1316" s="115"/>
      <c r="O1316" s="115"/>
      <c r="P1316" s="113"/>
      <c r="Q1316" s="113"/>
      <c r="R1316" s="113"/>
      <c r="S1316" s="113"/>
      <c r="T1316" s="120"/>
      <c r="U1316" s="113"/>
      <c r="V1316" s="113"/>
    </row>
    <row r="1317" spans="1:22">
      <c r="A1317" s="113"/>
      <c r="B1317" s="113"/>
      <c r="C1317" s="120"/>
      <c r="D1317" s="124"/>
      <c r="E1317" s="124"/>
      <c r="F1317" s="113"/>
      <c r="G1317" s="113"/>
      <c r="H1317" s="113"/>
      <c r="I1317" s="113"/>
      <c r="J1317" s="118"/>
      <c r="K1317" s="118"/>
      <c r="L1317" s="118"/>
      <c r="M1317" s="115"/>
      <c r="N1317" s="115"/>
      <c r="O1317" s="115"/>
      <c r="P1317" s="113"/>
      <c r="Q1317" s="113"/>
      <c r="R1317" s="113"/>
      <c r="S1317" s="113"/>
      <c r="T1317" s="120"/>
      <c r="U1317" s="113"/>
      <c r="V1317" s="113"/>
    </row>
    <row r="1318" spans="1:22">
      <c r="A1318" s="113"/>
      <c r="B1318" s="113"/>
      <c r="C1318" s="120"/>
      <c r="D1318" s="124"/>
      <c r="E1318" s="124"/>
      <c r="F1318" s="113"/>
      <c r="G1318" s="113"/>
      <c r="H1318" s="113"/>
      <c r="I1318" s="113"/>
      <c r="J1318" s="118"/>
      <c r="K1318" s="118"/>
      <c r="L1318" s="118"/>
      <c r="M1318" s="115"/>
      <c r="N1318" s="115"/>
      <c r="O1318" s="115"/>
      <c r="P1318" s="113"/>
      <c r="Q1318" s="113"/>
      <c r="R1318" s="113"/>
      <c r="S1318" s="113"/>
      <c r="T1318" s="120"/>
      <c r="U1318" s="113"/>
      <c r="V1318" s="113"/>
    </row>
    <row r="1319" spans="1:22">
      <c r="A1319" s="113"/>
      <c r="B1319" s="113"/>
      <c r="C1319" s="120"/>
      <c r="D1319" s="124"/>
      <c r="E1319" s="124"/>
      <c r="F1319" s="113"/>
      <c r="G1319" s="113"/>
      <c r="H1319" s="113"/>
      <c r="I1319" s="113"/>
      <c r="J1319" s="118"/>
      <c r="K1319" s="118"/>
      <c r="L1319" s="118"/>
      <c r="M1319" s="115"/>
      <c r="N1319" s="115"/>
      <c r="O1319" s="115"/>
      <c r="P1319" s="113"/>
      <c r="Q1319" s="113"/>
      <c r="R1319" s="113"/>
      <c r="S1319" s="113"/>
      <c r="T1319" s="120"/>
      <c r="U1319" s="113"/>
      <c r="V1319" s="113"/>
    </row>
    <row r="1320" spans="1:22">
      <c r="A1320" s="113"/>
      <c r="B1320" s="113"/>
      <c r="C1320" s="120"/>
      <c r="D1320" s="124"/>
      <c r="E1320" s="124"/>
      <c r="F1320" s="113"/>
      <c r="G1320" s="113"/>
      <c r="H1320" s="113"/>
      <c r="I1320" s="113"/>
      <c r="J1320" s="118"/>
      <c r="K1320" s="118"/>
      <c r="L1320" s="118"/>
      <c r="M1320" s="115"/>
      <c r="N1320" s="115"/>
      <c r="O1320" s="115"/>
      <c r="P1320" s="113"/>
      <c r="Q1320" s="113"/>
      <c r="R1320" s="113"/>
      <c r="S1320" s="113"/>
      <c r="T1320" s="120"/>
      <c r="U1320" s="113"/>
      <c r="V1320" s="113"/>
    </row>
    <row r="1321" spans="1:22">
      <c r="A1321" s="113"/>
      <c r="B1321" s="113"/>
      <c r="C1321" s="120"/>
      <c r="D1321" s="124"/>
      <c r="E1321" s="124"/>
      <c r="F1321" s="113"/>
      <c r="G1321" s="113"/>
      <c r="H1321" s="113"/>
      <c r="I1321" s="113"/>
      <c r="J1321" s="118"/>
      <c r="K1321" s="118"/>
      <c r="L1321" s="118"/>
      <c r="M1321" s="115"/>
      <c r="N1321" s="115"/>
      <c r="O1321" s="115"/>
      <c r="P1321" s="113"/>
      <c r="Q1321" s="113"/>
      <c r="R1321" s="113"/>
      <c r="S1321" s="113"/>
      <c r="T1321" s="120"/>
      <c r="U1321" s="113"/>
      <c r="V1321" s="113"/>
    </row>
    <row r="1322" spans="1:22">
      <c r="A1322" s="113"/>
      <c r="B1322" s="113"/>
      <c r="C1322" s="120"/>
      <c r="D1322" s="124"/>
      <c r="E1322" s="124"/>
      <c r="F1322" s="113"/>
      <c r="G1322" s="113"/>
      <c r="H1322" s="113"/>
      <c r="I1322" s="113"/>
      <c r="J1322" s="118"/>
      <c r="K1322" s="118"/>
      <c r="L1322" s="118"/>
      <c r="M1322" s="115"/>
      <c r="N1322" s="115"/>
      <c r="O1322" s="115"/>
      <c r="P1322" s="113"/>
      <c r="Q1322" s="113"/>
      <c r="R1322" s="113"/>
      <c r="S1322" s="113"/>
      <c r="T1322" s="120"/>
      <c r="U1322" s="113"/>
      <c r="V1322" s="113"/>
    </row>
    <row r="1323" spans="1:22">
      <c r="A1323" s="113"/>
      <c r="B1323" s="113"/>
      <c r="C1323" s="120"/>
      <c r="D1323" s="124"/>
      <c r="E1323" s="124"/>
      <c r="F1323" s="113"/>
      <c r="G1323" s="113"/>
      <c r="H1323" s="113"/>
      <c r="I1323" s="113"/>
      <c r="J1323" s="118"/>
      <c r="K1323" s="118"/>
      <c r="L1323" s="118"/>
      <c r="M1323" s="115"/>
      <c r="N1323" s="115"/>
      <c r="O1323" s="115"/>
      <c r="P1323" s="113"/>
      <c r="Q1323" s="113"/>
      <c r="R1323" s="113"/>
      <c r="S1323" s="113"/>
      <c r="T1323" s="120"/>
      <c r="U1323" s="113"/>
      <c r="V1323" s="113"/>
    </row>
    <row r="1324" spans="1:22">
      <c r="A1324" s="113"/>
      <c r="B1324" s="113"/>
      <c r="C1324" s="120"/>
      <c r="D1324" s="124"/>
      <c r="E1324" s="124"/>
      <c r="F1324" s="113"/>
      <c r="G1324" s="113"/>
      <c r="H1324" s="113"/>
      <c r="I1324" s="113"/>
      <c r="J1324" s="118"/>
      <c r="K1324" s="118"/>
      <c r="L1324" s="118"/>
      <c r="M1324" s="115"/>
      <c r="N1324" s="115"/>
      <c r="O1324" s="115"/>
      <c r="P1324" s="113"/>
      <c r="Q1324" s="113"/>
      <c r="R1324" s="113"/>
      <c r="S1324" s="113"/>
      <c r="T1324" s="120"/>
      <c r="U1324" s="113"/>
      <c r="V1324" s="113"/>
    </row>
    <row r="1325" spans="1:22">
      <c r="A1325" s="113"/>
      <c r="B1325" s="113"/>
      <c r="C1325" s="120"/>
      <c r="D1325" s="124"/>
      <c r="E1325" s="124"/>
      <c r="F1325" s="113"/>
      <c r="G1325" s="113"/>
      <c r="H1325" s="113"/>
      <c r="I1325" s="113"/>
      <c r="J1325" s="118"/>
      <c r="K1325" s="118"/>
      <c r="L1325" s="118"/>
      <c r="M1325" s="115"/>
      <c r="N1325" s="115"/>
      <c r="O1325" s="115"/>
      <c r="P1325" s="113"/>
      <c r="Q1325" s="113"/>
      <c r="R1325" s="113"/>
      <c r="S1325" s="113"/>
      <c r="T1325" s="120"/>
      <c r="U1325" s="113"/>
      <c r="V1325" s="113"/>
    </row>
    <row r="1326" spans="1:22">
      <c r="A1326" s="113"/>
      <c r="B1326" s="113"/>
      <c r="C1326" s="120"/>
      <c r="D1326" s="124"/>
      <c r="E1326" s="124"/>
      <c r="F1326" s="113"/>
      <c r="G1326" s="113"/>
      <c r="H1326" s="113"/>
      <c r="I1326" s="113"/>
      <c r="J1326" s="118"/>
      <c r="K1326" s="118"/>
      <c r="L1326" s="118"/>
      <c r="M1326" s="115"/>
      <c r="N1326" s="115"/>
      <c r="O1326" s="115"/>
      <c r="P1326" s="113"/>
      <c r="Q1326" s="113"/>
      <c r="R1326" s="113"/>
      <c r="S1326" s="113"/>
      <c r="T1326" s="120"/>
      <c r="U1326" s="113"/>
      <c r="V1326" s="113"/>
    </row>
    <row r="1327" spans="1:22">
      <c r="A1327" s="113"/>
      <c r="B1327" s="113"/>
      <c r="C1327" s="120"/>
      <c r="D1327" s="124"/>
      <c r="E1327" s="124"/>
      <c r="F1327" s="113"/>
      <c r="G1327" s="113"/>
      <c r="H1327" s="113"/>
      <c r="I1327" s="113"/>
      <c r="J1327" s="118"/>
      <c r="K1327" s="118"/>
      <c r="L1327" s="118"/>
      <c r="M1327" s="115"/>
      <c r="N1327" s="115"/>
      <c r="O1327" s="115"/>
      <c r="P1327" s="113"/>
      <c r="Q1327" s="113"/>
      <c r="R1327" s="113"/>
      <c r="S1327" s="113"/>
      <c r="T1327" s="120"/>
      <c r="U1327" s="113"/>
      <c r="V1327" s="113"/>
    </row>
    <row r="1328" spans="1:22">
      <c r="A1328" s="113"/>
      <c r="B1328" s="113"/>
      <c r="C1328" s="120"/>
      <c r="D1328" s="124"/>
      <c r="E1328" s="124"/>
      <c r="F1328" s="113"/>
      <c r="G1328" s="113"/>
      <c r="H1328" s="113"/>
      <c r="I1328" s="113"/>
      <c r="J1328" s="118"/>
      <c r="K1328" s="118"/>
      <c r="L1328" s="118"/>
      <c r="M1328" s="115"/>
      <c r="N1328" s="115"/>
      <c r="O1328" s="115"/>
      <c r="P1328" s="113"/>
      <c r="Q1328" s="113"/>
      <c r="R1328" s="113"/>
      <c r="S1328" s="113"/>
      <c r="T1328" s="120"/>
      <c r="U1328" s="113"/>
      <c r="V1328" s="113"/>
    </row>
    <row r="1329" spans="1:22">
      <c r="A1329" s="113"/>
      <c r="B1329" s="113"/>
      <c r="C1329" s="120"/>
      <c r="D1329" s="124"/>
      <c r="E1329" s="124"/>
      <c r="F1329" s="113"/>
      <c r="G1329" s="113"/>
      <c r="H1329" s="113"/>
      <c r="I1329" s="113"/>
      <c r="J1329" s="118"/>
      <c r="K1329" s="118"/>
      <c r="L1329" s="118"/>
      <c r="M1329" s="115"/>
      <c r="N1329" s="115"/>
      <c r="O1329" s="115"/>
      <c r="P1329" s="113"/>
      <c r="Q1329" s="113"/>
      <c r="R1329" s="113"/>
      <c r="S1329" s="113"/>
      <c r="T1329" s="120"/>
      <c r="U1329" s="113"/>
      <c r="V1329" s="113"/>
    </row>
    <row r="1330" spans="1:22">
      <c r="A1330" s="113"/>
      <c r="B1330" s="113"/>
      <c r="C1330" s="120"/>
      <c r="D1330" s="124"/>
      <c r="E1330" s="124"/>
      <c r="F1330" s="113"/>
      <c r="G1330" s="113"/>
      <c r="H1330" s="113"/>
      <c r="I1330" s="113"/>
      <c r="J1330" s="118"/>
      <c r="K1330" s="118"/>
      <c r="L1330" s="118"/>
      <c r="M1330" s="115"/>
      <c r="N1330" s="115"/>
      <c r="O1330" s="115"/>
      <c r="P1330" s="113"/>
      <c r="Q1330" s="113"/>
      <c r="R1330" s="113"/>
      <c r="S1330" s="113"/>
      <c r="T1330" s="120"/>
      <c r="U1330" s="113"/>
      <c r="V1330" s="113"/>
    </row>
    <row r="1331" spans="1:22">
      <c r="A1331" s="113"/>
      <c r="B1331" s="113"/>
      <c r="C1331" s="120"/>
      <c r="D1331" s="124"/>
      <c r="E1331" s="124"/>
      <c r="F1331" s="113"/>
      <c r="G1331" s="113"/>
      <c r="H1331" s="113"/>
      <c r="I1331" s="113"/>
      <c r="J1331" s="118"/>
      <c r="K1331" s="118"/>
      <c r="L1331" s="118"/>
      <c r="M1331" s="115"/>
      <c r="N1331" s="115"/>
      <c r="O1331" s="115"/>
      <c r="P1331" s="113"/>
      <c r="Q1331" s="113"/>
      <c r="R1331" s="113"/>
      <c r="S1331" s="113"/>
      <c r="T1331" s="120"/>
      <c r="U1331" s="113"/>
      <c r="V1331" s="113"/>
    </row>
    <row r="1332" spans="1:22">
      <c r="A1332" s="113"/>
      <c r="B1332" s="113"/>
      <c r="C1332" s="120"/>
      <c r="D1332" s="124"/>
      <c r="E1332" s="124"/>
      <c r="F1332" s="113"/>
      <c r="G1332" s="113"/>
      <c r="H1332" s="113"/>
      <c r="I1332" s="113"/>
      <c r="J1332" s="118"/>
      <c r="K1332" s="118"/>
      <c r="L1332" s="118"/>
      <c r="M1332" s="115"/>
      <c r="N1332" s="115"/>
      <c r="O1332" s="115"/>
      <c r="P1332" s="113"/>
      <c r="Q1332" s="113"/>
      <c r="R1332" s="113"/>
      <c r="S1332" s="113"/>
      <c r="T1332" s="120"/>
      <c r="U1332" s="113"/>
      <c r="V1332" s="113"/>
    </row>
    <row r="1333" spans="1:22">
      <c r="A1333" s="113"/>
      <c r="B1333" s="113"/>
      <c r="C1333" s="120"/>
      <c r="D1333" s="124"/>
      <c r="E1333" s="124"/>
      <c r="F1333" s="113"/>
      <c r="G1333" s="113"/>
      <c r="H1333" s="113"/>
      <c r="I1333" s="113"/>
      <c r="J1333" s="118"/>
      <c r="K1333" s="118"/>
      <c r="L1333" s="118"/>
      <c r="M1333" s="115"/>
      <c r="N1333" s="115"/>
      <c r="O1333" s="115"/>
      <c r="P1333" s="113"/>
      <c r="Q1333" s="113"/>
      <c r="R1333" s="113"/>
      <c r="S1333" s="113"/>
      <c r="T1333" s="120"/>
      <c r="U1333" s="113"/>
      <c r="V1333" s="113"/>
    </row>
    <row r="1334" spans="1:22">
      <c r="A1334" s="113"/>
      <c r="B1334" s="113"/>
      <c r="C1334" s="120"/>
      <c r="D1334" s="124"/>
      <c r="E1334" s="124"/>
      <c r="F1334" s="113"/>
      <c r="G1334" s="113"/>
      <c r="H1334" s="113"/>
      <c r="I1334" s="113"/>
      <c r="J1334" s="118"/>
      <c r="K1334" s="118"/>
      <c r="L1334" s="118"/>
      <c r="M1334" s="115"/>
      <c r="N1334" s="115"/>
      <c r="O1334" s="115"/>
      <c r="P1334" s="113"/>
      <c r="Q1334" s="113"/>
      <c r="R1334" s="113"/>
      <c r="S1334" s="113"/>
      <c r="T1334" s="120"/>
      <c r="U1334" s="113"/>
      <c r="V1334" s="113"/>
    </row>
    <row r="1335" spans="1:22">
      <c r="A1335" s="113"/>
      <c r="B1335" s="113"/>
      <c r="C1335" s="120"/>
      <c r="D1335" s="124"/>
      <c r="E1335" s="124"/>
      <c r="F1335" s="113"/>
      <c r="G1335" s="113"/>
      <c r="H1335" s="113"/>
      <c r="I1335" s="113"/>
      <c r="J1335" s="118"/>
      <c r="K1335" s="118"/>
      <c r="L1335" s="118"/>
      <c r="M1335" s="115"/>
      <c r="N1335" s="115"/>
      <c r="O1335" s="115"/>
      <c r="P1335" s="113"/>
      <c r="Q1335" s="113"/>
      <c r="R1335" s="113"/>
      <c r="S1335" s="113"/>
      <c r="T1335" s="120"/>
      <c r="U1335" s="113"/>
      <c r="V1335" s="113"/>
    </row>
    <row r="1336" spans="1:22">
      <c r="A1336" s="113"/>
      <c r="B1336" s="113"/>
      <c r="C1336" s="120"/>
      <c r="D1336" s="124"/>
      <c r="E1336" s="124"/>
      <c r="F1336" s="113"/>
      <c r="G1336" s="113"/>
      <c r="H1336" s="113"/>
      <c r="I1336" s="113"/>
      <c r="J1336" s="118"/>
      <c r="K1336" s="118"/>
      <c r="L1336" s="118"/>
      <c r="M1336" s="115"/>
      <c r="N1336" s="115"/>
      <c r="O1336" s="115"/>
      <c r="P1336" s="113"/>
      <c r="Q1336" s="113"/>
      <c r="R1336" s="113"/>
      <c r="S1336" s="113"/>
      <c r="T1336" s="120"/>
      <c r="U1336" s="113"/>
      <c r="V1336" s="113"/>
    </row>
    <row r="1337" spans="1:22">
      <c r="A1337" s="113"/>
      <c r="B1337" s="113"/>
      <c r="C1337" s="120"/>
      <c r="D1337" s="124"/>
      <c r="E1337" s="124"/>
      <c r="F1337" s="113"/>
      <c r="G1337" s="113"/>
      <c r="H1337" s="113"/>
      <c r="I1337" s="113"/>
      <c r="J1337" s="118"/>
      <c r="K1337" s="118"/>
      <c r="L1337" s="118"/>
      <c r="M1337" s="115"/>
      <c r="N1337" s="115"/>
      <c r="O1337" s="115"/>
      <c r="P1337" s="113"/>
      <c r="Q1337" s="113"/>
      <c r="R1337" s="113"/>
      <c r="S1337" s="113"/>
      <c r="T1337" s="120"/>
      <c r="U1337" s="113"/>
      <c r="V1337" s="113"/>
    </row>
    <row r="1338" spans="1:22">
      <c r="A1338" s="113"/>
      <c r="B1338" s="113"/>
      <c r="C1338" s="120"/>
      <c r="D1338" s="124"/>
      <c r="E1338" s="124"/>
      <c r="F1338" s="113"/>
      <c r="G1338" s="113"/>
      <c r="H1338" s="113"/>
      <c r="I1338" s="113"/>
      <c r="J1338" s="118"/>
      <c r="K1338" s="118"/>
      <c r="L1338" s="118"/>
      <c r="M1338" s="115"/>
      <c r="N1338" s="115"/>
      <c r="O1338" s="115"/>
      <c r="P1338" s="113"/>
      <c r="Q1338" s="113"/>
      <c r="R1338" s="113"/>
      <c r="S1338" s="113"/>
      <c r="T1338" s="120"/>
      <c r="U1338" s="113"/>
      <c r="V1338" s="113"/>
    </row>
    <row r="1339" spans="1:22">
      <c r="A1339" s="113"/>
      <c r="B1339" s="113"/>
      <c r="C1339" s="120"/>
      <c r="D1339" s="124"/>
      <c r="E1339" s="124"/>
      <c r="F1339" s="113"/>
      <c r="G1339" s="113"/>
      <c r="H1339" s="113"/>
      <c r="I1339" s="113"/>
      <c r="J1339" s="118"/>
      <c r="K1339" s="118"/>
      <c r="L1339" s="118"/>
      <c r="M1339" s="115"/>
      <c r="N1339" s="115"/>
      <c r="O1339" s="115"/>
      <c r="P1339" s="113"/>
      <c r="Q1339" s="113"/>
      <c r="R1339" s="113"/>
      <c r="S1339" s="113"/>
      <c r="T1339" s="120"/>
      <c r="U1339" s="113"/>
      <c r="V1339" s="113"/>
    </row>
    <row r="1340" spans="1:22">
      <c r="A1340" s="113"/>
      <c r="B1340" s="113"/>
      <c r="C1340" s="120"/>
      <c r="D1340" s="124"/>
      <c r="E1340" s="124"/>
      <c r="F1340" s="113"/>
      <c r="G1340" s="113"/>
      <c r="H1340" s="113"/>
      <c r="I1340" s="113"/>
      <c r="J1340" s="118"/>
      <c r="K1340" s="118"/>
      <c r="L1340" s="118"/>
      <c r="M1340" s="115"/>
      <c r="N1340" s="115"/>
      <c r="O1340" s="115"/>
      <c r="P1340" s="113"/>
      <c r="Q1340" s="113"/>
      <c r="R1340" s="113"/>
      <c r="S1340" s="113"/>
      <c r="T1340" s="120"/>
      <c r="U1340" s="113"/>
      <c r="V1340" s="113"/>
    </row>
    <row r="1341" spans="1:22">
      <c r="A1341" s="113"/>
      <c r="B1341" s="113"/>
      <c r="C1341" s="120"/>
      <c r="D1341" s="124"/>
      <c r="E1341" s="124"/>
      <c r="F1341" s="113"/>
      <c r="G1341" s="113"/>
      <c r="H1341" s="113"/>
      <c r="I1341" s="113"/>
      <c r="J1341" s="118"/>
      <c r="K1341" s="118"/>
      <c r="L1341" s="118"/>
      <c r="M1341" s="115"/>
      <c r="N1341" s="115"/>
      <c r="O1341" s="115"/>
      <c r="P1341" s="113"/>
      <c r="Q1341" s="113"/>
      <c r="R1341" s="113"/>
      <c r="S1341" s="113"/>
      <c r="T1341" s="120"/>
      <c r="U1341" s="113"/>
      <c r="V1341" s="113"/>
    </row>
    <row r="1342" spans="1:22">
      <c r="A1342" s="113"/>
      <c r="B1342" s="113"/>
      <c r="C1342" s="120"/>
      <c r="D1342" s="124"/>
      <c r="E1342" s="124"/>
      <c r="F1342" s="113"/>
      <c r="G1342" s="113"/>
      <c r="H1342" s="113"/>
      <c r="I1342" s="113"/>
      <c r="J1342" s="118"/>
      <c r="K1342" s="118"/>
      <c r="L1342" s="118"/>
      <c r="M1342" s="115"/>
      <c r="N1342" s="115"/>
      <c r="O1342" s="115"/>
      <c r="P1342" s="113"/>
      <c r="Q1342" s="113"/>
      <c r="R1342" s="113"/>
      <c r="S1342" s="113"/>
      <c r="T1342" s="120"/>
      <c r="U1342" s="113"/>
      <c r="V1342" s="113"/>
    </row>
  </sheetData>
  <autoFilter ref="A3:AJ1185" xr:uid="{07D4B693-2463-154C-A030-0281F4DD5B34}">
    <filterColumn colId="9">
      <filters>
        <filter val="Basic"/>
        <filter val="Legendary"/>
        <filter val="Starter"/>
      </filters>
    </filterColumn>
  </autoFilter>
  <dataConsolidate/>
  <mergeCells count="4">
    <mergeCell ref="A1:V1"/>
    <mergeCell ref="A2:J2"/>
    <mergeCell ref="P2:V2"/>
    <mergeCell ref="M2:O2"/>
  </mergeCells>
  <phoneticPr fontId="37" type="noConversion"/>
  <conditionalFormatting sqref="M106">
    <cfRule type="colorScale" priority="3">
      <colorScale>
        <cfvo type="min"/>
        <cfvo type="percentile" val="50"/>
        <cfvo type="max"/>
        <color rgb="FF63BE7B"/>
        <color rgb="FFFFEB84"/>
        <color rgb="FFF8696B"/>
      </colorScale>
    </cfRule>
    <cfRule type="colorScale" priority="4">
      <colorScale>
        <cfvo type="min"/>
        <cfvo type="percentile" val="50"/>
        <cfvo type="max"/>
        <color rgb="FF63BE7B"/>
        <color rgb="FFFFEB84"/>
        <color rgb="FFF8696B"/>
      </colorScale>
    </cfRule>
  </conditionalFormatting>
  <conditionalFormatting sqref="O106">
    <cfRule type="colorScale" priority="5">
      <colorScale>
        <cfvo type="min"/>
        <cfvo type="percentile" val="50"/>
        <cfvo type="max"/>
        <color rgb="FF63BE7B"/>
        <color rgb="FFFFEB84"/>
        <color rgb="FFF8696B"/>
      </colorScale>
    </cfRule>
    <cfRule type="colorScale" priority="6">
      <colorScale>
        <cfvo type="min"/>
        <cfvo type="percentile" val="50"/>
        <cfvo type="max"/>
        <color rgb="FF63BE7B"/>
        <color rgb="FFFFEB84"/>
        <color rgb="FFF8696B"/>
      </colorScale>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9E4EF-A716-7D48-9DD2-65EBDFD26940}">
  <dimension ref="A1:AI1102"/>
  <sheetViews>
    <sheetView tabSelected="1" workbookViewId="0">
      <pane ySplit="2" topLeftCell="A3" activePane="bottomLeft" state="frozen"/>
      <selection pane="bottomLeft" sqref="A1:XFD1048576"/>
    </sheetView>
  </sheetViews>
  <sheetFormatPr baseColWidth="10" defaultRowHeight="15"/>
  <cols>
    <col min="3" max="13" width="10.83203125" customWidth="1"/>
    <col min="16" max="16" width="10.83203125" customWidth="1"/>
    <col min="17" max="17" width="15.1640625" style="167" customWidth="1"/>
    <col min="18" max="21" width="15.1640625" style="165" customWidth="1"/>
    <col min="22" max="22" width="15.1640625" style="163" customWidth="1"/>
    <col min="23" max="28" width="15.1640625" style="161" customWidth="1"/>
  </cols>
  <sheetData>
    <row r="1" spans="1:35">
      <c r="A1" s="170" t="s">
        <v>1975</v>
      </c>
      <c r="B1" s="170"/>
      <c r="C1" s="170"/>
      <c r="D1" s="170"/>
      <c r="E1" s="170"/>
      <c r="F1" s="170"/>
      <c r="G1" s="170"/>
      <c r="H1" s="170"/>
      <c r="I1" s="170"/>
      <c r="J1" s="170"/>
      <c r="K1" s="130"/>
      <c r="L1" s="130"/>
      <c r="M1" s="171" t="s">
        <v>1978</v>
      </c>
      <c r="N1" s="172"/>
      <c r="O1" s="172"/>
      <c r="P1" s="172"/>
      <c r="Q1" s="152"/>
      <c r="R1" s="152"/>
      <c r="S1" s="152"/>
      <c r="T1" s="152"/>
      <c r="U1" s="152"/>
      <c r="V1" s="152"/>
      <c r="W1" s="152"/>
      <c r="X1" s="152"/>
      <c r="Y1" s="152"/>
      <c r="Z1" s="152"/>
      <c r="AA1" s="152"/>
      <c r="AB1" s="152"/>
      <c r="AC1" s="170" t="s">
        <v>2028</v>
      </c>
      <c r="AD1" s="170"/>
      <c r="AE1" s="170"/>
      <c r="AF1" s="170"/>
      <c r="AG1" s="170"/>
      <c r="AH1" s="170"/>
      <c r="AI1" s="170"/>
    </row>
    <row r="2" spans="1:35">
      <c r="A2" s="136" t="s">
        <v>0</v>
      </c>
      <c r="B2" s="136" t="s">
        <v>1</v>
      </c>
      <c r="C2" s="136" t="s">
        <v>3051</v>
      </c>
      <c r="D2" s="136" t="s">
        <v>1993</v>
      </c>
      <c r="E2" s="136" t="s">
        <v>1994</v>
      </c>
      <c r="F2" s="136" t="s">
        <v>2346</v>
      </c>
      <c r="G2" s="136" t="s">
        <v>11</v>
      </c>
      <c r="H2" s="136" t="s">
        <v>2</v>
      </c>
      <c r="I2" s="136" t="s">
        <v>3</v>
      </c>
      <c r="J2" s="136" t="s">
        <v>2029</v>
      </c>
      <c r="K2" s="136" t="s">
        <v>4656</v>
      </c>
      <c r="L2" s="136" t="s">
        <v>1967</v>
      </c>
      <c r="M2" s="148" t="s">
        <v>1802</v>
      </c>
      <c r="N2" s="148" t="s">
        <v>1965</v>
      </c>
      <c r="O2" s="148" t="s">
        <v>6508</v>
      </c>
      <c r="P2" s="148" t="s">
        <v>2141</v>
      </c>
      <c r="Q2" s="155" t="s">
        <v>6514</v>
      </c>
      <c r="R2" s="154" t="s">
        <v>6519</v>
      </c>
      <c r="S2" s="154" t="s">
        <v>6520</v>
      </c>
      <c r="T2" s="154" t="s">
        <v>6521</v>
      </c>
      <c r="U2" s="154" t="s">
        <v>6522</v>
      </c>
      <c r="V2" s="156" t="s">
        <v>6523</v>
      </c>
      <c r="W2" s="157" t="s">
        <v>6526</v>
      </c>
      <c r="X2" s="157" t="s">
        <v>6534</v>
      </c>
      <c r="Y2" s="157" t="s">
        <v>6524</v>
      </c>
      <c r="Z2" s="157" t="s">
        <v>6525</v>
      </c>
      <c r="AA2" s="157" t="s">
        <v>6538</v>
      </c>
      <c r="AB2" s="157" t="s">
        <v>6539</v>
      </c>
      <c r="AC2" s="109" t="s">
        <v>4</v>
      </c>
      <c r="AD2" s="109" t="s">
        <v>5</v>
      </c>
      <c r="AE2" s="122" t="s">
        <v>6</v>
      </c>
      <c r="AF2" s="122" t="s">
        <v>7</v>
      </c>
      <c r="AG2" s="122" t="s">
        <v>8</v>
      </c>
      <c r="AH2" s="109" t="s">
        <v>9</v>
      </c>
      <c r="AI2" s="109" t="s">
        <v>10</v>
      </c>
    </row>
    <row r="3" spans="1:35">
      <c r="A3" s="113">
        <v>1</v>
      </c>
      <c r="B3" s="113" t="s">
        <v>13</v>
      </c>
      <c r="C3" s="120" t="s">
        <v>5210</v>
      </c>
      <c r="D3" s="124">
        <v>0.85</v>
      </c>
      <c r="E3" s="124">
        <v>0.15</v>
      </c>
      <c r="F3" s="113" t="s">
        <v>14</v>
      </c>
      <c r="G3" s="113" t="s">
        <v>1973</v>
      </c>
      <c r="H3" s="113" t="s">
        <v>14</v>
      </c>
      <c r="I3" s="113" t="s">
        <v>15</v>
      </c>
      <c r="J3" s="118" t="s">
        <v>792</v>
      </c>
      <c r="K3" s="118">
        <v>4</v>
      </c>
      <c r="L3" s="118" t="s">
        <v>5210</v>
      </c>
      <c r="M3" s="115" t="s">
        <v>1109</v>
      </c>
      <c r="N3" s="115" t="s">
        <v>6505</v>
      </c>
      <c r="O3" s="115">
        <v>1.75</v>
      </c>
      <c r="P3" s="115" t="s">
        <v>1109</v>
      </c>
      <c r="Q3" s="166"/>
      <c r="R3" s="164"/>
      <c r="S3" s="164"/>
      <c r="T3" s="164"/>
      <c r="U3" s="164"/>
      <c r="V3" s="162"/>
      <c r="W3" s="158"/>
      <c r="X3" s="158"/>
      <c r="Y3" s="158"/>
      <c r="Z3" s="158"/>
      <c r="AA3" s="158"/>
      <c r="AB3" s="158"/>
      <c r="AC3" s="113">
        <v>318</v>
      </c>
      <c r="AD3" s="113">
        <v>45</v>
      </c>
      <c r="AE3" s="113">
        <v>49</v>
      </c>
      <c r="AF3" s="113">
        <v>49</v>
      </c>
      <c r="AG3" s="120">
        <v>65</v>
      </c>
      <c r="AH3" s="113">
        <v>65</v>
      </c>
      <c r="AI3" s="113">
        <v>45</v>
      </c>
    </row>
    <row r="4" spans="1:35">
      <c r="A4" s="113">
        <v>2</v>
      </c>
      <c r="B4" s="113" t="s">
        <v>16</v>
      </c>
      <c r="C4" s="120" t="s">
        <v>5211</v>
      </c>
      <c r="D4" s="124">
        <v>0.85</v>
      </c>
      <c r="E4" s="124">
        <v>0.15</v>
      </c>
      <c r="F4" s="113" t="s">
        <v>14</v>
      </c>
      <c r="G4" s="113" t="s">
        <v>1973</v>
      </c>
      <c r="H4" s="113" t="s">
        <v>14</v>
      </c>
      <c r="I4" s="113" t="s">
        <v>15</v>
      </c>
      <c r="J4" s="118" t="s">
        <v>792</v>
      </c>
      <c r="K4" s="118">
        <v>4</v>
      </c>
      <c r="L4" s="118" t="s">
        <v>5210</v>
      </c>
      <c r="M4" s="115" t="s">
        <v>5210</v>
      </c>
      <c r="N4" s="115" t="s">
        <v>6506</v>
      </c>
      <c r="O4" s="115">
        <v>1.75</v>
      </c>
      <c r="P4" s="115" t="s">
        <v>2128</v>
      </c>
      <c r="Q4" s="166"/>
      <c r="R4" s="164"/>
      <c r="S4" s="164"/>
      <c r="T4" s="164"/>
      <c r="U4" s="164"/>
      <c r="V4" s="162"/>
      <c r="W4" s="158"/>
      <c r="X4" s="158"/>
      <c r="Y4" s="158"/>
      <c r="Z4" s="158"/>
      <c r="AA4" s="158"/>
      <c r="AB4" s="158"/>
      <c r="AC4" s="113">
        <v>405</v>
      </c>
      <c r="AD4" s="113">
        <v>60</v>
      </c>
      <c r="AE4" s="113">
        <v>62</v>
      </c>
      <c r="AF4" s="113">
        <v>63</v>
      </c>
      <c r="AG4" s="120">
        <v>80</v>
      </c>
      <c r="AH4" s="113">
        <v>80</v>
      </c>
      <c r="AI4" s="113">
        <v>60</v>
      </c>
    </row>
    <row r="5" spans="1:35">
      <c r="A5" s="113">
        <v>3</v>
      </c>
      <c r="B5" s="113" t="s">
        <v>17</v>
      </c>
      <c r="C5" s="120" t="s">
        <v>5212</v>
      </c>
      <c r="D5" s="124">
        <v>0.85</v>
      </c>
      <c r="E5" s="124">
        <v>0.15</v>
      </c>
      <c r="F5" s="113" t="s">
        <v>14</v>
      </c>
      <c r="G5" s="113" t="s">
        <v>1973</v>
      </c>
      <c r="H5" s="113" t="s">
        <v>14</v>
      </c>
      <c r="I5" s="113" t="s">
        <v>15</v>
      </c>
      <c r="J5" s="118" t="s">
        <v>792</v>
      </c>
      <c r="K5" s="118">
        <v>4</v>
      </c>
      <c r="L5" s="118" t="s">
        <v>5210</v>
      </c>
      <c r="M5" s="115" t="s">
        <v>5211</v>
      </c>
      <c r="N5" s="115" t="s">
        <v>6504</v>
      </c>
      <c r="O5" s="115">
        <v>1.75</v>
      </c>
      <c r="P5" s="115" t="s">
        <v>2128</v>
      </c>
      <c r="Q5" s="166"/>
      <c r="R5" s="164"/>
      <c r="S5" s="164"/>
      <c r="T5" s="164"/>
      <c r="U5" s="164"/>
      <c r="V5" s="162"/>
      <c r="W5" s="158"/>
      <c r="X5" s="158"/>
      <c r="Y5" s="158"/>
      <c r="Z5" s="158"/>
      <c r="AA5" s="158"/>
      <c r="AB5" s="158"/>
      <c r="AC5" s="113">
        <v>525</v>
      </c>
      <c r="AD5" s="113">
        <v>80</v>
      </c>
      <c r="AE5" s="113">
        <v>82</v>
      </c>
      <c r="AF5" s="113">
        <v>83</v>
      </c>
      <c r="AG5" s="120">
        <v>100</v>
      </c>
      <c r="AH5" s="113">
        <v>100</v>
      </c>
      <c r="AI5" s="113">
        <v>80</v>
      </c>
    </row>
    <row r="6" spans="1:35">
      <c r="A6" s="113">
        <v>4</v>
      </c>
      <c r="B6" s="113" t="s">
        <v>18</v>
      </c>
      <c r="C6" s="120" t="s">
        <v>5214</v>
      </c>
      <c r="D6" s="124">
        <v>0.85</v>
      </c>
      <c r="E6" s="124">
        <v>0.15</v>
      </c>
      <c r="F6" s="113" t="s">
        <v>23</v>
      </c>
      <c r="G6" s="113" t="s">
        <v>1973</v>
      </c>
      <c r="H6" s="113" t="s">
        <v>19</v>
      </c>
      <c r="I6" s="115" t="s">
        <v>1109</v>
      </c>
      <c r="J6" s="118" t="s">
        <v>792</v>
      </c>
      <c r="K6" s="118">
        <v>4</v>
      </c>
      <c r="L6" s="118" t="s">
        <v>5214</v>
      </c>
      <c r="M6" s="115" t="s">
        <v>1109</v>
      </c>
      <c r="N6" s="115" t="s">
        <v>6505</v>
      </c>
      <c r="O6" s="115">
        <v>1.75</v>
      </c>
      <c r="P6" s="115" t="s">
        <v>1109</v>
      </c>
      <c r="Q6" s="166"/>
      <c r="R6" s="164"/>
      <c r="S6" s="164"/>
      <c r="T6" s="164"/>
      <c r="U6" s="164"/>
      <c r="V6" s="162"/>
      <c r="W6" s="158"/>
      <c r="X6" s="158"/>
      <c r="Y6" s="158"/>
      <c r="Z6" s="158"/>
      <c r="AA6" s="158"/>
      <c r="AB6" s="158"/>
      <c r="AC6" s="113">
        <v>309</v>
      </c>
      <c r="AD6" s="113">
        <v>39</v>
      </c>
      <c r="AE6" s="113">
        <v>52</v>
      </c>
      <c r="AF6" s="113">
        <v>43</v>
      </c>
      <c r="AG6" s="120">
        <v>60</v>
      </c>
      <c r="AH6" s="113">
        <v>50</v>
      </c>
      <c r="AI6" s="113">
        <v>65</v>
      </c>
    </row>
    <row r="7" spans="1:35">
      <c r="A7" s="113">
        <v>5</v>
      </c>
      <c r="B7" s="113" t="s">
        <v>20</v>
      </c>
      <c r="C7" s="120" t="s">
        <v>5215</v>
      </c>
      <c r="D7" s="124">
        <v>0.85</v>
      </c>
      <c r="E7" s="124">
        <v>0.15</v>
      </c>
      <c r="F7" s="113" t="s">
        <v>23</v>
      </c>
      <c r="G7" s="113" t="s">
        <v>1973</v>
      </c>
      <c r="H7" s="113" t="s">
        <v>19</v>
      </c>
      <c r="I7" s="113" t="s">
        <v>1109</v>
      </c>
      <c r="J7" s="118" t="s">
        <v>792</v>
      </c>
      <c r="K7" s="118">
        <v>4</v>
      </c>
      <c r="L7" s="118" t="s">
        <v>5214</v>
      </c>
      <c r="M7" s="115" t="s">
        <v>5214</v>
      </c>
      <c r="N7" s="115" t="s">
        <v>6506</v>
      </c>
      <c r="O7" s="115">
        <v>1.75</v>
      </c>
      <c r="P7" s="115" t="s">
        <v>2128</v>
      </c>
      <c r="Q7" s="166"/>
      <c r="R7" s="164"/>
      <c r="S7" s="164"/>
      <c r="T7" s="164"/>
      <c r="U7" s="164"/>
      <c r="V7" s="162"/>
      <c r="W7" s="158"/>
      <c r="X7" s="158"/>
      <c r="Y7" s="158"/>
      <c r="Z7" s="158"/>
      <c r="AA7" s="158"/>
      <c r="AB7" s="158"/>
      <c r="AC7" s="113">
        <v>405</v>
      </c>
      <c r="AD7" s="113">
        <v>58</v>
      </c>
      <c r="AE7" s="113">
        <v>64</v>
      </c>
      <c r="AF7" s="113">
        <v>58</v>
      </c>
      <c r="AG7" s="120">
        <v>80</v>
      </c>
      <c r="AH7" s="113">
        <v>65</v>
      </c>
      <c r="AI7" s="113">
        <v>80</v>
      </c>
    </row>
    <row r="8" spans="1:35">
      <c r="A8" s="113">
        <v>6</v>
      </c>
      <c r="B8" s="113" t="s">
        <v>21</v>
      </c>
      <c r="C8" s="120" t="s">
        <v>5216</v>
      </c>
      <c r="D8" s="124">
        <v>0.85</v>
      </c>
      <c r="E8" s="124">
        <v>0.15</v>
      </c>
      <c r="F8" s="113" t="s">
        <v>23</v>
      </c>
      <c r="G8" s="113" t="s">
        <v>1973</v>
      </c>
      <c r="H8" s="113" t="s">
        <v>19</v>
      </c>
      <c r="I8" s="113" t="s">
        <v>22</v>
      </c>
      <c r="J8" s="118" t="s">
        <v>792</v>
      </c>
      <c r="K8" s="118">
        <v>4</v>
      </c>
      <c r="L8" s="118" t="s">
        <v>5214</v>
      </c>
      <c r="M8" s="115" t="s">
        <v>5215</v>
      </c>
      <c r="N8" s="115" t="s">
        <v>6504</v>
      </c>
      <c r="O8" s="115">
        <v>1.75</v>
      </c>
      <c r="P8" s="115" t="s">
        <v>2128</v>
      </c>
      <c r="Q8" s="166"/>
      <c r="R8" s="164"/>
      <c r="S8" s="164"/>
      <c r="T8" s="164"/>
      <c r="U8" s="164"/>
      <c r="V8" s="162"/>
      <c r="W8" s="158"/>
      <c r="X8" s="158"/>
      <c r="Y8" s="158"/>
      <c r="Z8" s="158"/>
      <c r="AA8" s="158"/>
      <c r="AB8" s="158"/>
      <c r="AC8" s="113">
        <v>534</v>
      </c>
      <c r="AD8" s="113">
        <v>78</v>
      </c>
      <c r="AE8" s="113">
        <v>84</v>
      </c>
      <c r="AF8" s="113">
        <v>78</v>
      </c>
      <c r="AG8" s="120">
        <v>109</v>
      </c>
      <c r="AH8" s="113">
        <v>85</v>
      </c>
      <c r="AI8" s="113">
        <v>100</v>
      </c>
    </row>
    <row r="9" spans="1:35">
      <c r="A9" s="113">
        <v>7</v>
      </c>
      <c r="B9" s="113" t="s">
        <v>24</v>
      </c>
      <c r="C9" s="120" t="s">
        <v>5219</v>
      </c>
      <c r="D9" s="124">
        <v>0.85</v>
      </c>
      <c r="E9" s="124">
        <v>0.15</v>
      </c>
      <c r="F9" s="113" t="s">
        <v>2331</v>
      </c>
      <c r="G9" s="113" t="s">
        <v>1973</v>
      </c>
      <c r="H9" s="113" t="s">
        <v>25</v>
      </c>
      <c r="I9" s="113" t="s">
        <v>1109</v>
      </c>
      <c r="J9" s="118" t="s">
        <v>792</v>
      </c>
      <c r="K9" s="118">
        <v>4</v>
      </c>
      <c r="L9" s="118" t="s">
        <v>5219</v>
      </c>
      <c r="M9" s="115" t="s">
        <v>1109</v>
      </c>
      <c r="N9" s="115" t="s">
        <v>6505</v>
      </c>
      <c r="O9" s="115">
        <v>1.75</v>
      </c>
      <c r="P9" s="115" t="s">
        <v>1109</v>
      </c>
      <c r="Q9" s="166"/>
      <c r="R9" s="164"/>
      <c r="S9" s="164"/>
      <c r="T9" s="164"/>
      <c r="U9" s="164"/>
      <c r="V9" s="162"/>
      <c r="W9" s="158"/>
      <c r="X9" s="158"/>
      <c r="Y9" s="158"/>
      <c r="Z9" s="158"/>
      <c r="AA9" s="158"/>
      <c r="AB9" s="158"/>
      <c r="AC9" s="113">
        <v>314</v>
      </c>
      <c r="AD9" s="113">
        <v>44</v>
      </c>
      <c r="AE9" s="113">
        <v>48</v>
      </c>
      <c r="AF9" s="113">
        <v>65</v>
      </c>
      <c r="AG9" s="120">
        <v>50</v>
      </c>
      <c r="AH9" s="113">
        <v>64</v>
      </c>
      <c r="AI9" s="113">
        <v>43</v>
      </c>
    </row>
    <row r="10" spans="1:35">
      <c r="A10" s="113">
        <v>8</v>
      </c>
      <c r="B10" s="113" t="s">
        <v>26</v>
      </c>
      <c r="C10" s="120" t="s">
        <v>5220</v>
      </c>
      <c r="D10" s="124">
        <v>0.85</v>
      </c>
      <c r="E10" s="124">
        <v>0.15</v>
      </c>
      <c r="F10" s="113" t="s">
        <v>2331</v>
      </c>
      <c r="G10" s="113" t="s">
        <v>1973</v>
      </c>
      <c r="H10" s="113" t="s">
        <v>25</v>
      </c>
      <c r="I10" s="113" t="s">
        <v>1109</v>
      </c>
      <c r="J10" s="118" t="s">
        <v>792</v>
      </c>
      <c r="K10" s="118">
        <v>4</v>
      </c>
      <c r="L10" s="118" t="s">
        <v>5219</v>
      </c>
      <c r="M10" s="115" t="s">
        <v>5219</v>
      </c>
      <c r="N10" s="115" t="s">
        <v>6506</v>
      </c>
      <c r="O10" s="115">
        <v>1.75</v>
      </c>
      <c r="P10" s="115" t="s">
        <v>2128</v>
      </c>
      <c r="Q10" s="166"/>
      <c r="R10" s="164"/>
      <c r="S10" s="164"/>
      <c r="T10" s="164"/>
      <c r="U10" s="164"/>
      <c r="V10" s="162"/>
      <c r="W10" s="158"/>
      <c r="X10" s="158"/>
      <c r="Y10" s="158"/>
      <c r="Z10" s="158"/>
      <c r="AA10" s="158"/>
      <c r="AB10" s="158"/>
      <c r="AC10" s="113">
        <v>405</v>
      </c>
      <c r="AD10" s="113">
        <v>59</v>
      </c>
      <c r="AE10" s="113">
        <v>63</v>
      </c>
      <c r="AF10" s="113">
        <v>80</v>
      </c>
      <c r="AG10" s="120">
        <v>65</v>
      </c>
      <c r="AH10" s="113">
        <v>80</v>
      </c>
      <c r="AI10" s="113">
        <v>58</v>
      </c>
    </row>
    <row r="11" spans="1:35">
      <c r="A11" s="113">
        <v>9</v>
      </c>
      <c r="B11" s="113" t="s">
        <v>27</v>
      </c>
      <c r="C11" s="120" t="s">
        <v>5221</v>
      </c>
      <c r="D11" s="124">
        <v>0.85</v>
      </c>
      <c r="E11" s="124">
        <v>0.15</v>
      </c>
      <c r="F11" s="113" t="s">
        <v>2331</v>
      </c>
      <c r="G11" s="113" t="s">
        <v>1973</v>
      </c>
      <c r="H11" s="113" t="s">
        <v>25</v>
      </c>
      <c r="I11" s="113" t="s">
        <v>1109</v>
      </c>
      <c r="J11" s="118" t="s">
        <v>792</v>
      </c>
      <c r="K11" s="118">
        <v>4</v>
      </c>
      <c r="L11" s="118" t="s">
        <v>5219</v>
      </c>
      <c r="M11" s="115" t="s">
        <v>5220</v>
      </c>
      <c r="N11" s="115" t="s">
        <v>6504</v>
      </c>
      <c r="O11" s="115">
        <v>1.75</v>
      </c>
      <c r="P11" s="115" t="s">
        <v>2128</v>
      </c>
      <c r="Q11" s="166"/>
      <c r="R11" s="164"/>
      <c r="S11" s="164"/>
      <c r="T11" s="164"/>
      <c r="U11" s="164"/>
      <c r="V11" s="162"/>
      <c r="W11" s="158"/>
      <c r="X11" s="158"/>
      <c r="Y11" s="158"/>
      <c r="Z11" s="158"/>
      <c r="AA11" s="158"/>
      <c r="AB11" s="158"/>
      <c r="AC11" s="113">
        <v>530</v>
      </c>
      <c r="AD11" s="113">
        <v>79</v>
      </c>
      <c r="AE11" s="113">
        <v>83</v>
      </c>
      <c r="AF11" s="113">
        <v>100</v>
      </c>
      <c r="AG11" s="120">
        <v>85</v>
      </c>
      <c r="AH11" s="113">
        <v>105</v>
      </c>
      <c r="AI11" s="113">
        <v>78</v>
      </c>
    </row>
    <row r="12" spans="1:35">
      <c r="A12" s="113">
        <v>10</v>
      </c>
      <c r="B12" s="113" t="s">
        <v>28</v>
      </c>
      <c r="C12" s="120" t="s">
        <v>5223</v>
      </c>
      <c r="D12" s="124">
        <v>0.5</v>
      </c>
      <c r="E12" s="124">
        <v>0.5</v>
      </c>
      <c r="F12" s="113" t="s">
        <v>29</v>
      </c>
      <c r="G12" s="113" t="s">
        <v>1973</v>
      </c>
      <c r="H12" s="113" t="s">
        <v>29</v>
      </c>
      <c r="I12" s="113" t="s">
        <v>1109</v>
      </c>
      <c r="J12" s="118" t="s">
        <v>2129</v>
      </c>
      <c r="K12" s="118">
        <v>1</v>
      </c>
      <c r="L12" s="118" t="s">
        <v>5223</v>
      </c>
      <c r="M12" s="115" t="s">
        <v>1109</v>
      </c>
      <c r="N12" s="115" t="s">
        <v>6505</v>
      </c>
      <c r="O12" s="115">
        <v>1</v>
      </c>
      <c r="P12" s="115" t="s">
        <v>1109</v>
      </c>
      <c r="Q12" s="166"/>
      <c r="R12" s="164"/>
      <c r="S12" s="164"/>
      <c r="T12" s="164"/>
      <c r="U12" s="164"/>
      <c r="V12" s="162"/>
      <c r="W12" s="158"/>
      <c r="X12" s="158"/>
      <c r="Y12" s="158"/>
      <c r="Z12" s="158"/>
      <c r="AA12" s="158"/>
      <c r="AB12" s="158"/>
      <c r="AC12" s="113">
        <v>195</v>
      </c>
      <c r="AD12" s="113">
        <v>45</v>
      </c>
      <c r="AE12" s="113">
        <v>30</v>
      </c>
      <c r="AF12" s="113">
        <v>35</v>
      </c>
      <c r="AG12" s="120">
        <v>20</v>
      </c>
      <c r="AH12" s="113">
        <v>20</v>
      </c>
      <c r="AI12" s="113">
        <v>45</v>
      </c>
    </row>
    <row r="13" spans="1:35">
      <c r="A13" s="113">
        <v>11</v>
      </c>
      <c r="B13" s="113" t="s">
        <v>30</v>
      </c>
      <c r="C13" s="120" t="s">
        <v>5224</v>
      </c>
      <c r="D13" s="124">
        <v>0.5</v>
      </c>
      <c r="E13" s="124">
        <v>0.5</v>
      </c>
      <c r="F13" s="113" t="s">
        <v>29</v>
      </c>
      <c r="G13" s="113" t="s">
        <v>1973</v>
      </c>
      <c r="H13" s="113" t="s">
        <v>29</v>
      </c>
      <c r="I13" s="113" t="s">
        <v>1109</v>
      </c>
      <c r="J13" s="118" t="s">
        <v>2129</v>
      </c>
      <c r="K13" s="118">
        <v>1</v>
      </c>
      <c r="L13" s="118" t="s">
        <v>5223</v>
      </c>
      <c r="M13" s="115" t="s">
        <v>5223</v>
      </c>
      <c r="N13" s="115" t="s">
        <v>6506</v>
      </c>
      <c r="O13" s="115">
        <v>1</v>
      </c>
      <c r="P13" s="115" t="s">
        <v>2128</v>
      </c>
      <c r="Q13" s="166"/>
      <c r="R13" s="164"/>
      <c r="S13" s="164"/>
      <c r="T13" s="164"/>
      <c r="U13" s="164"/>
      <c r="V13" s="162"/>
      <c r="W13" s="158"/>
      <c r="X13" s="158"/>
      <c r="Y13" s="158"/>
      <c r="Z13" s="158"/>
      <c r="AA13" s="158"/>
      <c r="AB13" s="158"/>
      <c r="AC13" s="113">
        <v>205</v>
      </c>
      <c r="AD13" s="113">
        <v>50</v>
      </c>
      <c r="AE13" s="113">
        <v>20</v>
      </c>
      <c r="AF13" s="113">
        <v>55</v>
      </c>
      <c r="AG13" s="120">
        <v>25</v>
      </c>
      <c r="AH13" s="113">
        <v>25</v>
      </c>
      <c r="AI13" s="113">
        <v>30</v>
      </c>
    </row>
    <row r="14" spans="1:35">
      <c r="A14" s="113">
        <v>12</v>
      </c>
      <c r="B14" s="113" t="s">
        <v>31</v>
      </c>
      <c r="C14" s="120" t="s">
        <v>5225</v>
      </c>
      <c r="D14" s="124">
        <v>0.5</v>
      </c>
      <c r="E14" s="124">
        <v>0.5</v>
      </c>
      <c r="F14" s="113" t="s">
        <v>29</v>
      </c>
      <c r="G14" s="113" t="s">
        <v>1973</v>
      </c>
      <c r="H14" s="113" t="s">
        <v>29</v>
      </c>
      <c r="I14" s="113" t="s">
        <v>22</v>
      </c>
      <c r="J14" s="118" t="s">
        <v>2129</v>
      </c>
      <c r="K14" s="118">
        <v>1</v>
      </c>
      <c r="L14" s="118" t="s">
        <v>5223</v>
      </c>
      <c r="M14" s="115" t="s">
        <v>5224</v>
      </c>
      <c r="N14" s="115" t="s">
        <v>6504</v>
      </c>
      <c r="O14" s="115">
        <v>1</v>
      </c>
      <c r="P14" s="115" t="s">
        <v>2128</v>
      </c>
      <c r="Q14" s="166"/>
      <c r="R14" s="164"/>
      <c r="S14" s="164"/>
      <c r="T14" s="164"/>
      <c r="U14" s="164"/>
      <c r="V14" s="162"/>
      <c r="W14" s="158"/>
      <c r="X14" s="158"/>
      <c r="Y14" s="158"/>
      <c r="Z14" s="158"/>
      <c r="AA14" s="158"/>
      <c r="AB14" s="158"/>
      <c r="AC14" s="113">
        <v>395</v>
      </c>
      <c r="AD14" s="113">
        <v>60</v>
      </c>
      <c r="AE14" s="113">
        <v>45</v>
      </c>
      <c r="AF14" s="113">
        <v>50</v>
      </c>
      <c r="AG14" s="120">
        <v>90</v>
      </c>
      <c r="AH14" s="113">
        <v>80</v>
      </c>
      <c r="AI14" s="113">
        <v>70</v>
      </c>
    </row>
    <row r="15" spans="1:35">
      <c r="A15" s="113">
        <v>13</v>
      </c>
      <c r="B15" s="113" t="s">
        <v>32</v>
      </c>
      <c r="C15" s="120" t="s">
        <v>5226</v>
      </c>
      <c r="D15" s="124">
        <v>0.5</v>
      </c>
      <c r="E15" s="124">
        <v>0.5</v>
      </c>
      <c r="F15" s="113" t="s">
        <v>29</v>
      </c>
      <c r="G15" s="113" t="s">
        <v>1973</v>
      </c>
      <c r="H15" s="113" t="s">
        <v>29</v>
      </c>
      <c r="I15" s="113" t="s">
        <v>15</v>
      </c>
      <c r="J15" s="118" t="s">
        <v>2129</v>
      </c>
      <c r="K15" s="118">
        <v>1</v>
      </c>
      <c r="L15" s="118" t="s">
        <v>5226</v>
      </c>
      <c r="M15" s="115" t="s">
        <v>1109</v>
      </c>
      <c r="N15" s="115" t="s">
        <v>6505</v>
      </c>
      <c r="O15" s="115">
        <v>1</v>
      </c>
      <c r="P15" s="115" t="s">
        <v>1109</v>
      </c>
      <c r="Q15" s="166"/>
      <c r="R15" s="164"/>
      <c r="S15" s="164"/>
      <c r="T15" s="164"/>
      <c r="U15" s="164"/>
      <c r="V15" s="162"/>
      <c r="W15" s="158"/>
      <c r="X15" s="158"/>
      <c r="Y15" s="158"/>
      <c r="Z15" s="158"/>
      <c r="AA15" s="158"/>
      <c r="AB15" s="158"/>
      <c r="AC15" s="113">
        <v>195</v>
      </c>
      <c r="AD15" s="113">
        <v>40</v>
      </c>
      <c r="AE15" s="113">
        <v>35</v>
      </c>
      <c r="AF15" s="113">
        <v>30</v>
      </c>
      <c r="AG15" s="120">
        <v>20</v>
      </c>
      <c r="AH15" s="113">
        <v>20</v>
      </c>
      <c r="AI15" s="113">
        <v>50</v>
      </c>
    </row>
    <row r="16" spans="1:35">
      <c r="A16" s="113">
        <v>14</v>
      </c>
      <c r="B16" s="113" t="s">
        <v>33</v>
      </c>
      <c r="C16" s="120" t="s">
        <v>5227</v>
      </c>
      <c r="D16" s="124">
        <v>0.5</v>
      </c>
      <c r="E16" s="124">
        <v>0.5</v>
      </c>
      <c r="F16" s="113" t="s">
        <v>29</v>
      </c>
      <c r="G16" s="113" t="s">
        <v>1973</v>
      </c>
      <c r="H16" s="113" t="s">
        <v>29</v>
      </c>
      <c r="I16" s="113" t="s">
        <v>15</v>
      </c>
      <c r="J16" s="118" t="s">
        <v>2129</v>
      </c>
      <c r="K16" s="118">
        <v>1</v>
      </c>
      <c r="L16" s="118" t="s">
        <v>5226</v>
      </c>
      <c r="M16" s="115" t="s">
        <v>5226</v>
      </c>
      <c r="N16" s="115" t="s">
        <v>6506</v>
      </c>
      <c r="O16" s="115">
        <v>1</v>
      </c>
      <c r="P16" s="115" t="s">
        <v>2128</v>
      </c>
      <c r="Q16" s="166"/>
      <c r="R16" s="164"/>
      <c r="S16" s="164"/>
      <c r="T16" s="164"/>
      <c r="U16" s="164"/>
      <c r="V16" s="162"/>
      <c r="W16" s="158"/>
      <c r="X16" s="158"/>
      <c r="Y16" s="158"/>
      <c r="Z16" s="158"/>
      <c r="AA16" s="158"/>
      <c r="AB16" s="158"/>
      <c r="AC16" s="113">
        <v>205</v>
      </c>
      <c r="AD16" s="113">
        <v>45</v>
      </c>
      <c r="AE16" s="113">
        <v>25</v>
      </c>
      <c r="AF16" s="113">
        <v>50</v>
      </c>
      <c r="AG16" s="120">
        <v>25</v>
      </c>
      <c r="AH16" s="113">
        <v>25</v>
      </c>
      <c r="AI16" s="113">
        <v>35</v>
      </c>
    </row>
    <row r="17" spans="1:35">
      <c r="A17" s="113">
        <v>15</v>
      </c>
      <c r="B17" s="113" t="s">
        <v>34</v>
      </c>
      <c r="C17" s="120" t="s">
        <v>5228</v>
      </c>
      <c r="D17" s="124">
        <v>0.5</v>
      </c>
      <c r="E17" s="124">
        <v>0.5</v>
      </c>
      <c r="F17" s="113" t="s">
        <v>29</v>
      </c>
      <c r="G17" s="113" t="s">
        <v>1973</v>
      </c>
      <c r="H17" s="113" t="s">
        <v>29</v>
      </c>
      <c r="I17" s="113" t="s">
        <v>15</v>
      </c>
      <c r="J17" s="118" t="s">
        <v>2129</v>
      </c>
      <c r="K17" s="118">
        <v>1</v>
      </c>
      <c r="L17" s="118" t="s">
        <v>5226</v>
      </c>
      <c r="M17" s="115" t="s">
        <v>5227</v>
      </c>
      <c r="N17" s="115" t="s">
        <v>6504</v>
      </c>
      <c r="O17" s="115">
        <v>1</v>
      </c>
      <c r="P17" s="115" t="s">
        <v>2128</v>
      </c>
      <c r="Q17" s="166"/>
      <c r="R17" s="164"/>
      <c r="S17" s="164"/>
      <c r="T17" s="164"/>
      <c r="U17" s="164"/>
      <c r="V17" s="162"/>
      <c r="W17" s="158"/>
      <c r="X17" s="158"/>
      <c r="Y17" s="158"/>
      <c r="Z17" s="158"/>
      <c r="AA17" s="158"/>
      <c r="AB17" s="158"/>
      <c r="AC17" s="113">
        <v>395</v>
      </c>
      <c r="AD17" s="113">
        <v>65</v>
      </c>
      <c r="AE17" s="113">
        <v>90</v>
      </c>
      <c r="AF17" s="113">
        <v>40</v>
      </c>
      <c r="AG17" s="120">
        <v>45</v>
      </c>
      <c r="AH17" s="113">
        <v>80</v>
      </c>
      <c r="AI17" s="113">
        <v>75</v>
      </c>
    </row>
    <row r="18" spans="1:35">
      <c r="A18" s="113">
        <v>16</v>
      </c>
      <c r="B18" s="113" t="s">
        <v>35</v>
      </c>
      <c r="C18" s="120" t="s">
        <v>5230</v>
      </c>
      <c r="D18" s="124">
        <v>0.5</v>
      </c>
      <c r="E18" s="124">
        <v>0.5</v>
      </c>
      <c r="F18" s="113" t="s">
        <v>22</v>
      </c>
      <c r="G18" s="113" t="s">
        <v>1973</v>
      </c>
      <c r="H18" s="113" t="s">
        <v>22</v>
      </c>
      <c r="I18" s="113" t="s">
        <v>36</v>
      </c>
      <c r="J18" s="118" t="s">
        <v>2129</v>
      </c>
      <c r="K18" s="118">
        <v>1</v>
      </c>
      <c r="L18" s="118" t="s">
        <v>5230</v>
      </c>
      <c r="M18" s="115" t="s">
        <v>1109</v>
      </c>
      <c r="N18" s="115" t="s">
        <v>6505</v>
      </c>
      <c r="O18" s="115">
        <v>1</v>
      </c>
      <c r="P18" s="115" t="s">
        <v>1109</v>
      </c>
      <c r="Q18" s="166"/>
      <c r="R18" s="164"/>
      <c r="S18" s="164"/>
      <c r="T18" s="164"/>
      <c r="U18" s="164"/>
      <c r="V18" s="162"/>
      <c r="W18" s="158"/>
      <c r="X18" s="158"/>
      <c r="Y18" s="158"/>
      <c r="Z18" s="158"/>
      <c r="AA18" s="158"/>
      <c r="AB18" s="158"/>
      <c r="AC18" s="113">
        <v>251</v>
      </c>
      <c r="AD18" s="113">
        <v>40</v>
      </c>
      <c r="AE18" s="113">
        <v>45</v>
      </c>
      <c r="AF18" s="113">
        <v>40</v>
      </c>
      <c r="AG18" s="120">
        <v>35</v>
      </c>
      <c r="AH18" s="113">
        <v>35</v>
      </c>
      <c r="AI18" s="113">
        <v>56</v>
      </c>
    </row>
    <row r="19" spans="1:35">
      <c r="A19" s="113">
        <v>17</v>
      </c>
      <c r="B19" s="113" t="s">
        <v>37</v>
      </c>
      <c r="C19" s="120" t="s">
        <v>5231</v>
      </c>
      <c r="D19" s="124">
        <v>0.5</v>
      </c>
      <c r="E19" s="124">
        <v>0.5</v>
      </c>
      <c r="F19" s="113" t="s">
        <v>22</v>
      </c>
      <c r="G19" s="113" t="s">
        <v>1973</v>
      </c>
      <c r="H19" s="113" t="s">
        <v>22</v>
      </c>
      <c r="I19" s="113" t="s">
        <v>36</v>
      </c>
      <c r="J19" s="118" t="s">
        <v>2129</v>
      </c>
      <c r="K19" s="118">
        <v>1</v>
      </c>
      <c r="L19" s="118" t="s">
        <v>5230</v>
      </c>
      <c r="M19" s="115" t="s">
        <v>5230</v>
      </c>
      <c r="N19" s="115" t="s">
        <v>6506</v>
      </c>
      <c r="O19" s="115">
        <v>1</v>
      </c>
      <c r="P19" s="115" t="s">
        <v>2128</v>
      </c>
      <c r="Q19" s="166"/>
      <c r="R19" s="164"/>
      <c r="S19" s="164"/>
      <c r="T19" s="164"/>
      <c r="U19" s="164"/>
      <c r="V19" s="162"/>
      <c r="W19" s="158"/>
      <c r="X19" s="158"/>
      <c r="Y19" s="158"/>
      <c r="Z19" s="158"/>
      <c r="AA19" s="158"/>
      <c r="AB19" s="158"/>
      <c r="AC19" s="113">
        <v>349</v>
      </c>
      <c r="AD19" s="113">
        <v>63</v>
      </c>
      <c r="AE19" s="113">
        <v>60</v>
      </c>
      <c r="AF19" s="113">
        <v>55</v>
      </c>
      <c r="AG19" s="120">
        <v>50</v>
      </c>
      <c r="AH19" s="113">
        <v>50</v>
      </c>
      <c r="AI19" s="113">
        <v>71</v>
      </c>
    </row>
    <row r="20" spans="1:35">
      <c r="A20" s="113">
        <v>18</v>
      </c>
      <c r="B20" s="113" t="s">
        <v>38</v>
      </c>
      <c r="C20" s="120" t="s">
        <v>5232</v>
      </c>
      <c r="D20" s="124">
        <v>0.5</v>
      </c>
      <c r="E20" s="124">
        <v>0.5</v>
      </c>
      <c r="F20" s="113" t="s">
        <v>22</v>
      </c>
      <c r="G20" s="113" t="s">
        <v>1973</v>
      </c>
      <c r="H20" s="113" t="s">
        <v>22</v>
      </c>
      <c r="I20" s="113" t="s">
        <v>36</v>
      </c>
      <c r="J20" s="118" t="s">
        <v>2129</v>
      </c>
      <c r="K20" s="118">
        <v>1</v>
      </c>
      <c r="L20" s="118" t="s">
        <v>5230</v>
      </c>
      <c r="M20" s="115" t="s">
        <v>5231</v>
      </c>
      <c r="N20" s="115" t="s">
        <v>6504</v>
      </c>
      <c r="O20" s="115">
        <v>1</v>
      </c>
      <c r="P20" s="115" t="s">
        <v>2128</v>
      </c>
      <c r="Q20" s="166"/>
      <c r="R20" s="164"/>
      <c r="S20" s="164"/>
      <c r="T20" s="164"/>
      <c r="U20" s="164"/>
      <c r="V20" s="162"/>
      <c r="W20" s="158"/>
      <c r="X20" s="158"/>
      <c r="Y20" s="158"/>
      <c r="Z20" s="158"/>
      <c r="AA20" s="158"/>
      <c r="AB20" s="158"/>
      <c r="AC20" s="113">
        <v>479</v>
      </c>
      <c r="AD20" s="113">
        <v>83</v>
      </c>
      <c r="AE20" s="113">
        <v>80</v>
      </c>
      <c r="AF20" s="113">
        <v>75</v>
      </c>
      <c r="AG20" s="120">
        <v>70</v>
      </c>
      <c r="AH20" s="113">
        <v>70</v>
      </c>
      <c r="AI20" s="113">
        <v>101</v>
      </c>
    </row>
    <row r="21" spans="1:35">
      <c r="A21" s="113">
        <v>19</v>
      </c>
      <c r="B21" s="113" t="s">
        <v>39</v>
      </c>
      <c r="C21" s="120" t="s">
        <v>5234</v>
      </c>
      <c r="D21" s="124">
        <v>0.5</v>
      </c>
      <c r="E21" s="124">
        <v>0.5</v>
      </c>
      <c r="F21" s="113" t="s">
        <v>2332</v>
      </c>
      <c r="G21" s="113" t="s">
        <v>1973</v>
      </c>
      <c r="H21" s="113" t="s">
        <v>36</v>
      </c>
      <c r="I21" s="113" t="s">
        <v>1109</v>
      </c>
      <c r="J21" s="118" t="s">
        <v>2129</v>
      </c>
      <c r="K21" s="118">
        <v>1</v>
      </c>
      <c r="L21" s="118" t="s">
        <v>5234</v>
      </c>
      <c r="M21" s="115" t="s">
        <v>1109</v>
      </c>
      <c r="N21" s="115" t="s">
        <v>6505</v>
      </c>
      <c r="O21" s="115">
        <v>1</v>
      </c>
      <c r="P21" s="115" t="s">
        <v>1109</v>
      </c>
      <c r="Q21" s="166"/>
      <c r="R21" s="164"/>
      <c r="S21" s="164"/>
      <c r="T21" s="164"/>
      <c r="U21" s="164"/>
      <c r="V21" s="162"/>
      <c r="W21" s="158"/>
      <c r="X21" s="158"/>
      <c r="Y21" s="158"/>
      <c r="Z21" s="158"/>
      <c r="AA21" s="158"/>
      <c r="AB21" s="158"/>
      <c r="AC21" s="113">
        <v>253</v>
      </c>
      <c r="AD21" s="113">
        <v>30</v>
      </c>
      <c r="AE21" s="113">
        <v>56</v>
      </c>
      <c r="AF21" s="113">
        <v>35</v>
      </c>
      <c r="AG21" s="120">
        <v>25</v>
      </c>
      <c r="AH21" s="113">
        <v>35</v>
      </c>
      <c r="AI21" s="113">
        <v>72</v>
      </c>
    </row>
    <row r="22" spans="1:35">
      <c r="A22" s="113">
        <v>19</v>
      </c>
      <c r="B22" s="113" t="s">
        <v>6429</v>
      </c>
      <c r="C22" s="120" t="s">
        <v>5235</v>
      </c>
      <c r="D22" s="124">
        <v>0.5</v>
      </c>
      <c r="E22" s="124">
        <v>0.5</v>
      </c>
      <c r="F22" s="113" t="s">
        <v>2332</v>
      </c>
      <c r="G22" s="113" t="s">
        <v>2702</v>
      </c>
      <c r="H22" s="113" t="s">
        <v>158</v>
      </c>
      <c r="I22" s="113" t="s">
        <v>36</v>
      </c>
      <c r="J22" s="118" t="s">
        <v>2129</v>
      </c>
      <c r="K22" s="118">
        <v>1</v>
      </c>
      <c r="L22" s="118" t="s">
        <v>5234</v>
      </c>
      <c r="M22" s="115" t="s">
        <v>1109</v>
      </c>
      <c r="N22" s="115" t="s">
        <v>6505</v>
      </c>
      <c r="O22" s="115">
        <v>1</v>
      </c>
      <c r="P22" s="115" t="s">
        <v>1109</v>
      </c>
      <c r="Q22" s="166"/>
      <c r="R22" s="164"/>
      <c r="S22" s="164"/>
      <c r="T22" s="164"/>
      <c r="U22" s="164"/>
      <c r="V22" s="162"/>
      <c r="W22" s="158"/>
      <c r="X22" s="158"/>
      <c r="Y22" s="158"/>
      <c r="Z22" s="158"/>
      <c r="AA22" s="158"/>
      <c r="AB22" s="158"/>
      <c r="AC22" s="113">
        <v>253</v>
      </c>
      <c r="AD22" s="113">
        <v>30</v>
      </c>
      <c r="AE22" s="113">
        <v>56</v>
      </c>
      <c r="AF22" s="113">
        <v>35</v>
      </c>
      <c r="AG22" s="120">
        <v>25</v>
      </c>
      <c r="AH22" s="113">
        <v>35</v>
      </c>
      <c r="AI22" s="113">
        <v>72</v>
      </c>
    </row>
    <row r="23" spans="1:35">
      <c r="A23" s="113">
        <v>20</v>
      </c>
      <c r="B23" s="113" t="s">
        <v>40</v>
      </c>
      <c r="C23" s="120" t="s">
        <v>5236</v>
      </c>
      <c r="D23" s="124">
        <v>0.5</v>
      </c>
      <c r="E23" s="124">
        <v>0.5</v>
      </c>
      <c r="F23" s="113" t="s">
        <v>2332</v>
      </c>
      <c r="G23" s="113" t="s">
        <v>1973</v>
      </c>
      <c r="H23" s="113" t="s">
        <v>36</v>
      </c>
      <c r="I23" s="113" t="s">
        <v>1109</v>
      </c>
      <c r="J23" s="118" t="s">
        <v>2129</v>
      </c>
      <c r="K23" s="118">
        <v>1</v>
      </c>
      <c r="L23" s="118" t="s">
        <v>5234</v>
      </c>
      <c r="M23" s="115" t="s">
        <v>5234</v>
      </c>
      <c r="N23" s="115" t="s">
        <v>6504</v>
      </c>
      <c r="O23" s="115">
        <v>1</v>
      </c>
      <c r="P23" s="115" t="s">
        <v>2128</v>
      </c>
      <c r="Q23" s="166"/>
      <c r="R23" s="164"/>
      <c r="S23" s="164"/>
      <c r="T23" s="164"/>
      <c r="U23" s="164"/>
      <c r="V23" s="162"/>
      <c r="W23" s="158"/>
      <c r="X23" s="158"/>
      <c r="Y23" s="158"/>
      <c r="Z23" s="158"/>
      <c r="AA23" s="158"/>
      <c r="AB23" s="158"/>
      <c r="AC23" s="113">
        <v>413</v>
      </c>
      <c r="AD23" s="113">
        <v>55</v>
      </c>
      <c r="AE23" s="113">
        <v>81</v>
      </c>
      <c r="AF23" s="113">
        <v>60</v>
      </c>
      <c r="AG23" s="120">
        <v>50</v>
      </c>
      <c r="AH23" s="113">
        <v>70</v>
      </c>
      <c r="AI23" s="113">
        <v>97</v>
      </c>
    </row>
    <row r="24" spans="1:35">
      <c r="A24" s="113">
        <v>20</v>
      </c>
      <c r="B24" s="113" t="s">
        <v>6430</v>
      </c>
      <c r="C24" s="120" t="s">
        <v>5237</v>
      </c>
      <c r="D24" s="124">
        <v>0.5</v>
      </c>
      <c r="E24" s="124">
        <v>0.5</v>
      </c>
      <c r="F24" s="113" t="s">
        <v>2332</v>
      </c>
      <c r="G24" s="113" t="s">
        <v>2702</v>
      </c>
      <c r="H24" s="113" t="s">
        <v>158</v>
      </c>
      <c r="I24" s="113" t="s">
        <v>36</v>
      </c>
      <c r="J24" s="118" t="s">
        <v>2129</v>
      </c>
      <c r="K24" s="118">
        <v>1</v>
      </c>
      <c r="L24" s="118" t="s">
        <v>5234</v>
      </c>
      <c r="M24" s="120" t="s">
        <v>5235</v>
      </c>
      <c r="N24" s="115" t="s">
        <v>6504</v>
      </c>
      <c r="O24" s="115">
        <v>1</v>
      </c>
      <c r="P24" s="115" t="s">
        <v>2128</v>
      </c>
      <c r="Q24" s="166"/>
      <c r="R24" s="164"/>
      <c r="S24" s="164"/>
      <c r="T24" s="164"/>
      <c r="U24" s="164"/>
      <c r="V24" s="162"/>
      <c r="W24" s="158"/>
      <c r="X24" s="158"/>
      <c r="Y24" s="158"/>
      <c r="Z24" s="158"/>
      <c r="AA24" s="158"/>
      <c r="AB24" s="158"/>
      <c r="AC24" s="113">
        <v>413</v>
      </c>
      <c r="AD24" s="113">
        <v>75</v>
      </c>
      <c r="AE24" s="113">
        <v>71</v>
      </c>
      <c r="AF24" s="113">
        <v>70</v>
      </c>
      <c r="AG24" s="120">
        <v>40</v>
      </c>
      <c r="AH24" s="113">
        <v>80</v>
      </c>
      <c r="AI24" s="113">
        <v>77</v>
      </c>
    </row>
    <row r="25" spans="1:35">
      <c r="A25" s="113">
        <v>21</v>
      </c>
      <c r="B25" s="113" t="s">
        <v>41</v>
      </c>
      <c r="C25" s="120" t="s">
        <v>5238</v>
      </c>
      <c r="D25" s="124">
        <v>0.5</v>
      </c>
      <c r="E25" s="124">
        <v>0.5</v>
      </c>
      <c r="F25" s="113" t="s">
        <v>22</v>
      </c>
      <c r="G25" s="113" t="s">
        <v>1973</v>
      </c>
      <c r="H25" s="113" t="s">
        <v>22</v>
      </c>
      <c r="I25" s="113" t="s">
        <v>36</v>
      </c>
      <c r="J25" s="118" t="s">
        <v>2129</v>
      </c>
      <c r="K25" s="118">
        <v>1</v>
      </c>
      <c r="L25" s="118" t="s">
        <v>5238</v>
      </c>
      <c r="M25" s="115" t="s">
        <v>1109</v>
      </c>
      <c r="N25" s="115" t="s">
        <v>6505</v>
      </c>
      <c r="O25" s="115">
        <v>1</v>
      </c>
      <c r="P25" s="115" t="s">
        <v>1109</v>
      </c>
      <c r="Q25" s="166"/>
      <c r="R25" s="164"/>
      <c r="S25" s="164"/>
      <c r="T25" s="164"/>
      <c r="U25" s="164"/>
      <c r="V25" s="162"/>
      <c r="W25" s="158"/>
      <c r="X25" s="158"/>
      <c r="Y25" s="158"/>
      <c r="Z25" s="158"/>
      <c r="AA25" s="158"/>
      <c r="AB25" s="158"/>
      <c r="AC25" s="113">
        <v>262</v>
      </c>
      <c r="AD25" s="113">
        <v>40</v>
      </c>
      <c r="AE25" s="113">
        <v>60</v>
      </c>
      <c r="AF25" s="113">
        <v>30</v>
      </c>
      <c r="AG25" s="120">
        <v>31</v>
      </c>
      <c r="AH25" s="113">
        <v>31</v>
      </c>
      <c r="AI25" s="113">
        <v>70</v>
      </c>
    </row>
    <row r="26" spans="1:35">
      <c r="A26" s="113">
        <v>22</v>
      </c>
      <c r="B26" s="113" t="s">
        <v>42</v>
      </c>
      <c r="C26" s="120" t="s">
        <v>5239</v>
      </c>
      <c r="D26" s="124">
        <v>0.5</v>
      </c>
      <c r="E26" s="124">
        <v>0.5</v>
      </c>
      <c r="F26" s="113" t="s">
        <v>22</v>
      </c>
      <c r="G26" s="113" t="s">
        <v>1973</v>
      </c>
      <c r="H26" s="113" t="s">
        <v>22</v>
      </c>
      <c r="I26" s="113" t="s">
        <v>36</v>
      </c>
      <c r="J26" s="118" t="s">
        <v>2129</v>
      </c>
      <c r="K26" s="118">
        <v>1</v>
      </c>
      <c r="L26" s="118" t="s">
        <v>5238</v>
      </c>
      <c r="M26" s="115" t="s">
        <v>5238</v>
      </c>
      <c r="N26" s="115" t="s">
        <v>6504</v>
      </c>
      <c r="O26" s="115">
        <v>1</v>
      </c>
      <c r="P26" s="115" t="s">
        <v>2128</v>
      </c>
      <c r="Q26" s="166"/>
      <c r="R26" s="164"/>
      <c r="S26" s="164"/>
      <c r="T26" s="164"/>
      <c r="U26" s="164"/>
      <c r="V26" s="162"/>
      <c r="W26" s="158"/>
      <c r="X26" s="158"/>
      <c r="Y26" s="158"/>
      <c r="Z26" s="158"/>
      <c r="AA26" s="158"/>
      <c r="AB26" s="158"/>
      <c r="AC26" s="113">
        <v>442</v>
      </c>
      <c r="AD26" s="113">
        <v>65</v>
      </c>
      <c r="AE26" s="113">
        <v>90</v>
      </c>
      <c r="AF26" s="113">
        <v>65</v>
      </c>
      <c r="AG26" s="120">
        <v>61</v>
      </c>
      <c r="AH26" s="113">
        <v>61</v>
      </c>
      <c r="AI26" s="113">
        <v>100</v>
      </c>
    </row>
    <row r="27" spans="1:35">
      <c r="A27" s="113">
        <v>23</v>
      </c>
      <c r="B27" s="113" t="s">
        <v>43</v>
      </c>
      <c r="C27" s="120" t="s">
        <v>5240</v>
      </c>
      <c r="D27" s="124">
        <v>0.5</v>
      </c>
      <c r="E27" s="124">
        <v>0.5</v>
      </c>
      <c r="F27" s="113" t="s">
        <v>2332</v>
      </c>
      <c r="G27" s="113" t="s">
        <v>1973</v>
      </c>
      <c r="H27" s="113" t="s">
        <v>15</v>
      </c>
      <c r="I27" s="113" t="s">
        <v>1109</v>
      </c>
      <c r="J27" s="118" t="s">
        <v>2129</v>
      </c>
      <c r="K27" s="118">
        <v>1</v>
      </c>
      <c r="L27" s="118" t="s">
        <v>5240</v>
      </c>
      <c r="M27" s="115" t="s">
        <v>1109</v>
      </c>
      <c r="N27" s="115" t="s">
        <v>6505</v>
      </c>
      <c r="O27" s="115">
        <v>1</v>
      </c>
      <c r="P27" s="115" t="s">
        <v>1109</v>
      </c>
      <c r="Q27" s="166"/>
      <c r="R27" s="164"/>
      <c r="S27" s="164"/>
      <c r="T27" s="164"/>
      <c r="U27" s="164"/>
      <c r="V27" s="162"/>
      <c r="W27" s="158"/>
      <c r="X27" s="158"/>
      <c r="Y27" s="158"/>
      <c r="Z27" s="158"/>
      <c r="AA27" s="158"/>
      <c r="AB27" s="158"/>
      <c r="AC27" s="113">
        <v>288</v>
      </c>
      <c r="AD27" s="113">
        <v>35</v>
      </c>
      <c r="AE27" s="113">
        <v>60</v>
      </c>
      <c r="AF27" s="113">
        <v>44</v>
      </c>
      <c r="AG27" s="120">
        <v>40</v>
      </c>
      <c r="AH27" s="113">
        <v>54</v>
      </c>
      <c r="AI27" s="113">
        <v>55</v>
      </c>
    </row>
    <row r="28" spans="1:35">
      <c r="A28" s="113">
        <v>24</v>
      </c>
      <c r="B28" s="113" t="s">
        <v>44</v>
      </c>
      <c r="C28" s="120" t="s">
        <v>5241</v>
      </c>
      <c r="D28" s="124">
        <v>0.5</v>
      </c>
      <c r="E28" s="124">
        <v>0.5</v>
      </c>
      <c r="F28" s="113" t="s">
        <v>2332</v>
      </c>
      <c r="G28" s="113" t="s">
        <v>1973</v>
      </c>
      <c r="H28" s="113" t="s">
        <v>15</v>
      </c>
      <c r="I28" s="113" t="s">
        <v>1109</v>
      </c>
      <c r="J28" s="118" t="s">
        <v>2129</v>
      </c>
      <c r="K28" s="118">
        <v>1</v>
      </c>
      <c r="L28" s="118" t="s">
        <v>5240</v>
      </c>
      <c r="M28" s="115" t="s">
        <v>5240</v>
      </c>
      <c r="N28" s="115" t="s">
        <v>6504</v>
      </c>
      <c r="O28" s="115">
        <v>1</v>
      </c>
      <c r="P28" s="115" t="s">
        <v>2128</v>
      </c>
      <c r="Q28" s="166"/>
      <c r="R28" s="164"/>
      <c r="S28" s="164"/>
      <c r="T28" s="164"/>
      <c r="U28" s="164"/>
      <c r="V28" s="162"/>
      <c r="W28" s="158"/>
      <c r="X28" s="158"/>
      <c r="Y28" s="158"/>
      <c r="Z28" s="158"/>
      <c r="AA28" s="158"/>
      <c r="AB28" s="158"/>
      <c r="AC28" s="113">
        <v>448</v>
      </c>
      <c r="AD28" s="113">
        <v>60</v>
      </c>
      <c r="AE28" s="113">
        <v>95</v>
      </c>
      <c r="AF28" s="113">
        <v>69</v>
      </c>
      <c r="AG28" s="120">
        <v>65</v>
      </c>
      <c r="AH28" s="113">
        <v>79</v>
      </c>
      <c r="AI28" s="113">
        <v>80</v>
      </c>
    </row>
    <row r="29" spans="1:35">
      <c r="A29" s="113">
        <v>25</v>
      </c>
      <c r="B29" s="113" t="s">
        <v>45</v>
      </c>
      <c r="C29" s="120" t="s">
        <v>5242</v>
      </c>
      <c r="D29" s="124">
        <v>0.5</v>
      </c>
      <c r="E29" s="124">
        <v>0.5</v>
      </c>
      <c r="F29" s="113" t="s">
        <v>56</v>
      </c>
      <c r="G29" s="113" t="s">
        <v>1973</v>
      </c>
      <c r="H29" s="113" t="s">
        <v>46</v>
      </c>
      <c r="I29" s="113" t="s">
        <v>1109</v>
      </c>
      <c r="J29" s="118" t="s">
        <v>2129</v>
      </c>
      <c r="K29" s="118">
        <v>2</v>
      </c>
      <c r="L29" s="118" t="s">
        <v>5433</v>
      </c>
      <c r="M29" s="115" t="s">
        <v>5433</v>
      </c>
      <c r="N29" s="115" t="s">
        <v>6505</v>
      </c>
      <c r="O29" s="115">
        <v>1.25</v>
      </c>
      <c r="P29" s="115" t="s">
        <v>2128</v>
      </c>
      <c r="Q29" s="166">
        <v>1</v>
      </c>
      <c r="R29" s="164"/>
      <c r="S29" s="164"/>
      <c r="T29" s="164"/>
      <c r="U29" s="164"/>
      <c r="V29" s="162"/>
      <c r="W29" s="158" t="s">
        <v>6531</v>
      </c>
      <c r="X29" s="158"/>
      <c r="Y29" s="158">
        <v>70</v>
      </c>
      <c r="Z29" s="158">
        <v>6</v>
      </c>
      <c r="AA29" s="158"/>
      <c r="AB29" s="158"/>
      <c r="AC29" s="113">
        <v>320</v>
      </c>
      <c r="AD29" s="113">
        <v>35</v>
      </c>
      <c r="AE29" s="113">
        <v>55</v>
      </c>
      <c r="AF29" s="113">
        <v>40</v>
      </c>
      <c r="AG29" s="120">
        <v>50</v>
      </c>
      <c r="AH29" s="113">
        <v>50</v>
      </c>
      <c r="AI29" s="113">
        <v>90</v>
      </c>
    </row>
    <row r="30" spans="1:35">
      <c r="A30" s="113">
        <v>26</v>
      </c>
      <c r="B30" s="113" t="s">
        <v>47</v>
      </c>
      <c r="C30" s="120" t="s">
        <v>5244</v>
      </c>
      <c r="D30" s="124">
        <v>0.5</v>
      </c>
      <c r="E30" s="124">
        <v>0.5</v>
      </c>
      <c r="F30" s="113" t="s">
        <v>56</v>
      </c>
      <c r="G30" s="113" t="s">
        <v>1973</v>
      </c>
      <c r="H30" s="113" t="s">
        <v>46</v>
      </c>
      <c r="I30" s="113" t="s">
        <v>1109</v>
      </c>
      <c r="J30" s="118" t="s">
        <v>2129</v>
      </c>
      <c r="K30" s="118">
        <v>2</v>
      </c>
      <c r="L30" s="118" t="s">
        <v>5433</v>
      </c>
      <c r="M30" s="115" t="s">
        <v>5242</v>
      </c>
      <c r="N30" s="115" t="s">
        <v>6504</v>
      </c>
      <c r="O30" s="115">
        <v>1.25</v>
      </c>
      <c r="P30" s="115" t="s">
        <v>1803</v>
      </c>
      <c r="Q30" s="166">
        <v>2</v>
      </c>
      <c r="R30" s="164"/>
      <c r="S30" s="164"/>
      <c r="T30" s="164"/>
      <c r="U30" s="164"/>
      <c r="V30" s="162" t="s">
        <v>6527</v>
      </c>
      <c r="W30" s="158"/>
      <c r="X30" s="158"/>
      <c r="Y30" s="158"/>
      <c r="Z30" s="158"/>
      <c r="AA30" s="158"/>
      <c r="AB30" s="158"/>
      <c r="AC30" s="113">
        <v>485</v>
      </c>
      <c r="AD30" s="113">
        <v>60</v>
      </c>
      <c r="AE30" s="113">
        <v>90</v>
      </c>
      <c r="AF30" s="113">
        <v>55</v>
      </c>
      <c r="AG30" s="120">
        <v>90</v>
      </c>
      <c r="AH30" s="113">
        <v>80</v>
      </c>
      <c r="AI30" s="113">
        <v>110</v>
      </c>
    </row>
    <row r="31" spans="1:35">
      <c r="A31" s="113">
        <v>26</v>
      </c>
      <c r="B31" s="113" t="s">
        <v>6443</v>
      </c>
      <c r="C31" s="120" t="s">
        <v>5245</v>
      </c>
      <c r="D31" s="124">
        <v>0.5</v>
      </c>
      <c r="E31" s="124">
        <v>0.5</v>
      </c>
      <c r="F31" s="113" t="s">
        <v>56</v>
      </c>
      <c r="G31" s="113" t="s">
        <v>2702</v>
      </c>
      <c r="H31" s="113" t="s">
        <v>46</v>
      </c>
      <c r="I31" s="113" t="s">
        <v>86</v>
      </c>
      <c r="J31" s="118" t="s">
        <v>2129</v>
      </c>
      <c r="K31" s="118">
        <v>2</v>
      </c>
      <c r="L31" s="118" t="s">
        <v>5433</v>
      </c>
      <c r="M31" s="115" t="s">
        <v>5242</v>
      </c>
      <c r="N31" s="115" t="s">
        <v>6504</v>
      </c>
      <c r="O31" s="115">
        <v>1.25</v>
      </c>
      <c r="P31" s="115" t="s">
        <v>1803</v>
      </c>
      <c r="Q31" s="166">
        <v>2</v>
      </c>
      <c r="R31" s="164">
        <v>80</v>
      </c>
      <c r="S31" s="164"/>
      <c r="T31" s="164"/>
      <c r="U31" s="164"/>
      <c r="V31" s="162"/>
      <c r="W31" s="158"/>
      <c r="X31" s="158"/>
      <c r="Y31" s="158"/>
      <c r="Z31" s="158"/>
      <c r="AA31" s="158"/>
      <c r="AB31" s="158"/>
      <c r="AC31" s="113">
        <v>485</v>
      </c>
      <c r="AD31" s="113">
        <v>60</v>
      </c>
      <c r="AE31" s="113">
        <v>85</v>
      </c>
      <c r="AF31" s="113">
        <v>50</v>
      </c>
      <c r="AG31" s="120">
        <v>95</v>
      </c>
      <c r="AH31" s="113">
        <v>85</v>
      </c>
      <c r="AI31" s="113">
        <v>110</v>
      </c>
    </row>
    <row r="32" spans="1:35">
      <c r="A32" s="113">
        <v>27</v>
      </c>
      <c r="B32" s="113" t="s">
        <v>48</v>
      </c>
      <c r="C32" s="120" t="s">
        <v>5246</v>
      </c>
      <c r="D32" s="124">
        <v>0.5</v>
      </c>
      <c r="E32" s="124">
        <v>0.5</v>
      </c>
      <c r="F32" s="113" t="s">
        <v>2332</v>
      </c>
      <c r="G32" s="113" t="s">
        <v>1973</v>
      </c>
      <c r="H32" s="113" t="s">
        <v>49</v>
      </c>
      <c r="I32" s="113" t="s">
        <v>1109</v>
      </c>
      <c r="J32" s="118" t="s">
        <v>2129</v>
      </c>
      <c r="K32" s="118">
        <v>2</v>
      </c>
      <c r="L32" s="118" t="s">
        <v>5246</v>
      </c>
      <c r="M32" s="115" t="s">
        <v>1109</v>
      </c>
      <c r="N32" s="115" t="s">
        <v>6505</v>
      </c>
      <c r="O32" s="115">
        <v>1.25</v>
      </c>
      <c r="P32" s="115" t="s">
        <v>1109</v>
      </c>
      <c r="Q32" s="166"/>
      <c r="R32" s="164"/>
      <c r="S32" s="164"/>
      <c r="T32" s="164"/>
      <c r="U32" s="164"/>
      <c r="V32" s="162"/>
      <c r="W32" s="158"/>
      <c r="X32" s="158"/>
      <c r="Y32" s="158"/>
      <c r="Z32" s="158"/>
      <c r="AA32" s="158"/>
      <c r="AB32" s="158"/>
      <c r="AC32" s="113">
        <v>300</v>
      </c>
      <c r="AD32" s="113">
        <v>50</v>
      </c>
      <c r="AE32" s="113">
        <v>75</v>
      </c>
      <c r="AF32" s="113">
        <v>85</v>
      </c>
      <c r="AG32" s="120">
        <v>20</v>
      </c>
      <c r="AH32" s="113">
        <v>30</v>
      </c>
      <c r="AI32" s="113">
        <v>40</v>
      </c>
    </row>
    <row r="33" spans="1:35">
      <c r="A33" s="113">
        <v>27</v>
      </c>
      <c r="B33" s="113" t="s">
        <v>6431</v>
      </c>
      <c r="C33" s="120" t="s">
        <v>5247</v>
      </c>
      <c r="D33" s="124">
        <v>0.5</v>
      </c>
      <c r="E33" s="124">
        <v>0.5</v>
      </c>
      <c r="F33" s="113" t="s">
        <v>2332</v>
      </c>
      <c r="G33" s="113" t="s">
        <v>2702</v>
      </c>
      <c r="H33" s="113" t="s">
        <v>113</v>
      </c>
      <c r="I33" s="113" t="s">
        <v>106</v>
      </c>
      <c r="J33" s="118" t="s">
        <v>2129</v>
      </c>
      <c r="K33" s="118">
        <v>2</v>
      </c>
      <c r="L33" s="118" t="s">
        <v>5246</v>
      </c>
      <c r="M33" s="115" t="s">
        <v>1109</v>
      </c>
      <c r="N33" s="115" t="s">
        <v>6505</v>
      </c>
      <c r="O33" s="115">
        <v>1.25</v>
      </c>
      <c r="P33" s="115" t="s">
        <v>1109</v>
      </c>
      <c r="Q33" s="166"/>
      <c r="R33" s="164"/>
      <c r="S33" s="164"/>
      <c r="T33" s="164"/>
      <c r="U33" s="164"/>
      <c r="V33" s="162"/>
      <c r="W33" s="158"/>
      <c r="X33" s="158"/>
      <c r="Y33" s="158"/>
      <c r="Z33" s="158"/>
      <c r="AA33" s="158"/>
      <c r="AB33" s="158"/>
      <c r="AC33" s="113">
        <v>300</v>
      </c>
      <c r="AD33" s="113">
        <v>50</v>
      </c>
      <c r="AE33" s="113">
        <v>75</v>
      </c>
      <c r="AF33" s="113">
        <v>90</v>
      </c>
      <c r="AG33" s="120">
        <v>10</v>
      </c>
      <c r="AH33" s="113">
        <v>35</v>
      </c>
      <c r="AI33" s="113">
        <v>40</v>
      </c>
    </row>
    <row r="34" spans="1:35">
      <c r="A34" s="113">
        <v>28</v>
      </c>
      <c r="B34" s="113" t="s">
        <v>50</v>
      </c>
      <c r="C34" s="120" t="s">
        <v>5248</v>
      </c>
      <c r="D34" s="124">
        <v>0.5</v>
      </c>
      <c r="E34" s="124">
        <v>0.5</v>
      </c>
      <c r="F34" s="113" t="s">
        <v>2332</v>
      </c>
      <c r="G34" s="113" t="s">
        <v>1973</v>
      </c>
      <c r="H34" s="113" t="s">
        <v>49</v>
      </c>
      <c r="I34" s="113" t="s">
        <v>1109</v>
      </c>
      <c r="J34" s="118" t="s">
        <v>2129</v>
      </c>
      <c r="K34" s="118">
        <v>2</v>
      </c>
      <c r="L34" s="118" t="s">
        <v>5246</v>
      </c>
      <c r="M34" s="115" t="s">
        <v>5246</v>
      </c>
      <c r="N34" s="115" t="s">
        <v>6504</v>
      </c>
      <c r="O34" s="115">
        <v>1.25</v>
      </c>
      <c r="P34" s="115" t="s">
        <v>2128</v>
      </c>
      <c r="Q34" s="166"/>
      <c r="R34" s="164"/>
      <c r="S34" s="164"/>
      <c r="T34" s="164"/>
      <c r="U34" s="164"/>
      <c r="V34" s="162"/>
      <c r="W34" s="158"/>
      <c r="X34" s="158"/>
      <c r="Y34" s="158"/>
      <c r="Z34" s="158"/>
      <c r="AA34" s="158"/>
      <c r="AB34" s="158"/>
      <c r="AC34" s="113">
        <v>450</v>
      </c>
      <c r="AD34" s="113">
        <v>75</v>
      </c>
      <c r="AE34" s="113">
        <v>100</v>
      </c>
      <c r="AF34" s="113">
        <v>110</v>
      </c>
      <c r="AG34" s="120">
        <v>45</v>
      </c>
      <c r="AH34" s="113">
        <v>55</v>
      </c>
      <c r="AI34" s="113">
        <v>65</v>
      </c>
    </row>
    <row r="35" spans="1:35">
      <c r="A35" s="113">
        <v>28</v>
      </c>
      <c r="B35" s="113" t="s">
        <v>6432</v>
      </c>
      <c r="C35" s="120" t="s">
        <v>5249</v>
      </c>
      <c r="D35" s="124">
        <v>0.5</v>
      </c>
      <c r="E35" s="124">
        <v>0.5</v>
      </c>
      <c r="F35" s="113" t="s">
        <v>2332</v>
      </c>
      <c r="G35" s="113" t="s">
        <v>2702</v>
      </c>
      <c r="H35" s="113" t="s">
        <v>113</v>
      </c>
      <c r="I35" s="113" t="s">
        <v>106</v>
      </c>
      <c r="J35" s="118" t="s">
        <v>2129</v>
      </c>
      <c r="K35" s="118">
        <v>2</v>
      </c>
      <c r="L35" s="118" t="s">
        <v>5246</v>
      </c>
      <c r="M35" s="120" t="s">
        <v>5247</v>
      </c>
      <c r="N35" s="115" t="s">
        <v>6504</v>
      </c>
      <c r="O35" s="115">
        <v>1.25</v>
      </c>
      <c r="P35" s="115" t="s">
        <v>2128</v>
      </c>
      <c r="Q35" s="166"/>
      <c r="R35" s="164"/>
      <c r="S35" s="164"/>
      <c r="T35" s="164"/>
      <c r="U35" s="164"/>
      <c r="V35" s="162"/>
      <c r="W35" s="158"/>
      <c r="X35" s="158"/>
      <c r="Y35" s="158"/>
      <c r="Z35" s="158"/>
      <c r="AA35" s="158"/>
      <c r="AB35" s="158"/>
      <c r="AC35" s="113">
        <v>450</v>
      </c>
      <c r="AD35" s="113">
        <v>75</v>
      </c>
      <c r="AE35" s="113">
        <v>100</v>
      </c>
      <c r="AF35" s="113">
        <v>120</v>
      </c>
      <c r="AG35" s="120">
        <v>25</v>
      </c>
      <c r="AH35" s="113">
        <v>65</v>
      </c>
      <c r="AI35" s="113">
        <v>65</v>
      </c>
    </row>
    <row r="36" spans="1:35">
      <c r="A36" s="113">
        <v>29</v>
      </c>
      <c r="B36" s="113" t="s">
        <v>2131</v>
      </c>
      <c r="C36" s="120" t="s">
        <v>5250</v>
      </c>
      <c r="D36" s="124">
        <v>0</v>
      </c>
      <c r="E36" s="124">
        <v>1</v>
      </c>
      <c r="F36" s="113" t="s">
        <v>2332</v>
      </c>
      <c r="G36" s="113" t="s">
        <v>1973</v>
      </c>
      <c r="H36" s="113" t="s">
        <v>15</v>
      </c>
      <c r="I36" s="113" t="s">
        <v>1109</v>
      </c>
      <c r="J36" s="118" t="s">
        <v>2129</v>
      </c>
      <c r="K36" s="118">
        <v>1</v>
      </c>
      <c r="L36" s="118" t="s">
        <v>5250</v>
      </c>
      <c r="M36" s="115" t="s">
        <v>1109</v>
      </c>
      <c r="N36" s="115" t="s">
        <v>6505</v>
      </c>
      <c r="O36" s="115">
        <v>1</v>
      </c>
      <c r="P36" s="115" t="s">
        <v>1109</v>
      </c>
      <c r="Q36" s="166"/>
      <c r="R36" s="164"/>
      <c r="S36" s="164"/>
      <c r="T36" s="164"/>
      <c r="U36" s="164"/>
      <c r="V36" s="162"/>
      <c r="W36" s="158"/>
      <c r="X36" s="158"/>
      <c r="Y36" s="158"/>
      <c r="Z36" s="158"/>
      <c r="AA36" s="158"/>
      <c r="AB36" s="158"/>
      <c r="AC36" s="113">
        <v>275</v>
      </c>
      <c r="AD36" s="113">
        <v>55</v>
      </c>
      <c r="AE36" s="113">
        <v>47</v>
      </c>
      <c r="AF36" s="113">
        <v>52</v>
      </c>
      <c r="AG36" s="120">
        <v>40</v>
      </c>
      <c r="AH36" s="113">
        <v>40</v>
      </c>
      <c r="AI36" s="113">
        <v>41</v>
      </c>
    </row>
    <row r="37" spans="1:35">
      <c r="A37" s="113">
        <v>30</v>
      </c>
      <c r="B37" s="113" t="s">
        <v>51</v>
      </c>
      <c r="C37" s="120" t="s">
        <v>5251</v>
      </c>
      <c r="D37" s="124">
        <v>0</v>
      </c>
      <c r="E37" s="124">
        <v>1</v>
      </c>
      <c r="F37" s="113" t="s">
        <v>2333</v>
      </c>
      <c r="G37" s="113" t="s">
        <v>1973</v>
      </c>
      <c r="H37" s="113" t="s">
        <v>15</v>
      </c>
      <c r="I37" s="113" t="s">
        <v>1109</v>
      </c>
      <c r="J37" s="118" t="s">
        <v>2129</v>
      </c>
      <c r="K37" s="118">
        <v>1</v>
      </c>
      <c r="L37" s="118" t="s">
        <v>5250</v>
      </c>
      <c r="M37" s="115" t="s">
        <v>5250</v>
      </c>
      <c r="N37" s="115" t="s">
        <v>6506</v>
      </c>
      <c r="O37" s="115">
        <v>1</v>
      </c>
      <c r="P37" s="115" t="s">
        <v>2128</v>
      </c>
      <c r="Q37" s="166"/>
      <c r="R37" s="164"/>
      <c r="S37" s="164"/>
      <c r="T37" s="164"/>
      <c r="U37" s="164"/>
      <c r="V37" s="162"/>
      <c r="W37" s="158"/>
      <c r="X37" s="158"/>
      <c r="Y37" s="158"/>
      <c r="Z37" s="158"/>
      <c r="AA37" s="158"/>
      <c r="AB37" s="158"/>
      <c r="AC37" s="113">
        <v>365</v>
      </c>
      <c r="AD37" s="113">
        <v>70</v>
      </c>
      <c r="AE37" s="113">
        <v>62</v>
      </c>
      <c r="AF37" s="113">
        <v>67</v>
      </c>
      <c r="AG37" s="120">
        <v>55</v>
      </c>
      <c r="AH37" s="113">
        <v>55</v>
      </c>
      <c r="AI37" s="113">
        <v>56</v>
      </c>
    </row>
    <row r="38" spans="1:35">
      <c r="A38" s="113">
        <v>31</v>
      </c>
      <c r="B38" s="113" t="s">
        <v>52</v>
      </c>
      <c r="C38" s="120" t="s">
        <v>5252</v>
      </c>
      <c r="D38" s="124">
        <v>0</v>
      </c>
      <c r="E38" s="124">
        <v>1</v>
      </c>
      <c r="F38" s="113" t="s">
        <v>2333</v>
      </c>
      <c r="G38" s="113" t="s">
        <v>1973</v>
      </c>
      <c r="H38" s="113" t="s">
        <v>15</v>
      </c>
      <c r="I38" s="113" t="s">
        <v>49</v>
      </c>
      <c r="J38" s="118" t="s">
        <v>2129</v>
      </c>
      <c r="K38" s="118">
        <v>1</v>
      </c>
      <c r="L38" s="118" t="s">
        <v>5250</v>
      </c>
      <c r="M38" s="115" t="s">
        <v>5251</v>
      </c>
      <c r="N38" s="115" t="s">
        <v>6504</v>
      </c>
      <c r="O38" s="115">
        <v>1</v>
      </c>
      <c r="P38" s="115" t="s">
        <v>1803</v>
      </c>
      <c r="Q38" s="166"/>
      <c r="R38" s="164"/>
      <c r="S38" s="164"/>
      <c r="T38" s="164"/>
      <c r="U38" s="164"/>
      <c r="V38" s="162"/>
      <c r="W38" s="158"/>
      <c r="X38" s="158"/>
      <c r="Y38" s="158"/>
      <c r="Z38" s="158"/>
      <c r="AA38" s="158"/>
      <c r="AB38" s="158"/>
      <c r="AC38" s="113">
        <v>505</v>
      </c>
      <c r="AD38" s="113">
        <v>90</v>
      </c>
      <c r="AE38" s="113">
        <v>92</v>
      </c>
      <c r="AF38" s="113">
        <v>87</v>
      </c>
      <c r="AG38" s="120">
        <v>75</v>
      </c>
      <c r="AH38" s="113">
        <v>85</v>
      </c>
      <c r="AI38" s="113">
        <v>76</v>
      </c>
    </row>
    <row r="39" spans="1:35">
      <c r="A39" s="113">
        <v>32</v>
      </c>
      <c r="B39" s="113" t="s">
        <v>2132</v>
      </c>
      <c r="C39" s="120" t="s">
        <v>5253</v>
      </c>
      <c r="D39" s="124">
        <v>1</v>
      </c>
      <c r="E39" s="124">
        <v>0</v>
      </c>
      <c r="F39" s="113" t="s">
        <v>2332</v>
      </c>
      <c r="G39" s="113" t="s">
        <v>1973</v>
      </c>
      <c r="H39" s="113" t="s">
        <v>15</v>
      </c>
      <c r="I39" s="113" t="s">
        <v>1109</v>
      </c>
      <c r="J39" s="118" t="s">
        <v>2129</v>
      </c>
      <c r="K39" s="118">
        <v>1</v>
      </c>
      <c r="L39" s="118" t="s">
        <v>5253</v>
      </c>
      <c r="M39" s="115" t="s">
        <v>1109</v>
      </c>
      <c r="N39" s="115" t="s">
        <v>6505</v>
      </c>
      <c r="O39" s="115">
        <v>1</v>
      </c>
      <c r="P39" s="115" t="s">
        <v>1109</v>
      </c>
      <c r="Q39" s="166"/>
      <c r="R39" s="164"/>
      <c r="S39" s="164"/>
      <c r="T39" s="164"/>
      <c r="U39" s="164"/>
      <c r="V39" s="162"/>
      <c r="W39" s="158"/>
      <c r="X39" s="158"/>
      <c r="Y39" s="158"/>
      <c r="Z39" s="158"/>
      <c r="AA39" s="158"/>
      <c r="AB39" s="158"/>
      <c r="AC39" s="113">
        <v>273</v>
      </c>
      <c r="AD39" s="113">
        <v>46</v>
      </c>
      <c r="AE39" s="113">
        <v>57</v>
      </c>
      <c r="AF39" s="113">
        <v>40</v>
      </c>
      <c r="AG39" s="120">
        <v>40</v>
      </c>
      <c r="AH39" s="113">
        <v>40</v>
      </c>
      <c r="AI39" s="113">
        <v>50</v>
      </c>
    </row>
    <row r="40" spans="1:35">
      <c r="A40" s="113">
        <v>33</v>
      </c>
      <c r="B40" s="113" t="s">
        <v>53</v>
      </c>
      <c r="C40" s="120" t="s">
        <v>5254</v>
      </c>
      <c r="D40" s="124">
        <v>1</v>
      </c>
      <c r="E40" s="124">
        <v>0</v>
      </c>
      <c r="F40" s="113" t="s">
        <v>2332</v>
      </c>
      <c r="G40" s="113" t="s">
        <v>1973</v>
      </c>
      <c r="H40" s="113" t="s">
        <v>15</v>
      </c>
      <c r="I40" s="113" t="s">
        <v>1109</v>
      </c>
      <c r="J40" s="118" t="s">
        <v>2129</v>
      </c>
      <c r="K40" s="118">
        <v>1</v>
      </c>
      <c r="L40" s="118" t="s">
        <v>5253</v>
      </c>
      <c r="M40" s="115" t="s">
        <v>5253</v>
      </c>
      <c r="N40" s="115" t="s">
        <v>6506</v>
      </c>
      <c r="O40" s="115">
        <v>1</v>
      </c>
      <c r="P40" s="115" t="s">
        <v>2128</v>
      </c>
      <c r="Q40" s="166"/>
      <c r="R40" s="164"/>
      <c r="S40" s="164"/>
      <c r="T40" s="164"/>
      <c r="U40" s="164"/>
      <c r="V40" s="162"/>
      <c r="W40" s="158"/>
      <c r="X40" s="158"/>
      <c r="Y40" s="158"/>
      <c r="Z40" s="158"/>
      <c r="AA40" s="158"/>
      <c r="AB40" s="158"/>
      <c r="AC40" s="113">
        <v>365</v>
      </c>
      <c r="AD40" s="113">
        <v>61</v>
      </c>
      <c r="AE40" s="113">
        <v>72</v>
      </c>
      <c r="AF40" s="113">
        <v>57</v>
      </c>
      <c r="AG40" s="120">
        <v>55</v>
      </c>
      <c r="AH40" s="113">
        <v>55</v>
      </c>
      <c r="AI40" s="113">
        <v>65</v>
      </c>
    </row>
    <row r="41" spans="1:35">
      <c r="A41" s="113">
        <v>34</v>
      </c>
      <c r="B41" s="113" t="s">
        <v>54</v>
      </c>
      <c r="C41" s="120" t="s">
        <v>5255</v>
      </c>
      <c r="D41" s="124">
        <v>1</v>
      </c>
      <c r="E41" s="124">
        <v>0</v>
      </c>
      <c r="F41" s="113" t="s">
        <v>2332</v>
      </c>
      <c r="G41" s="113" t="s">
        <v>1973</v>
      </c>
      <c r="H41" s="113" t="s">
        <v>15</v>
      </c>
      <c r="I41" s="113" t="s">
        <v>49</v>
      </c>
      <c r="J41" s="118" t="s">
        <v>2129</v>
      </c>
      <c r="K41" s="118">
        <v>1</v>
      </c>
      <c r="L41" s="118" t="s">
        <v>5253</v>
      </c>
      <c r="M41" s="115" t="s">
        <v>5254</v>
      </c>
      <c r="N41" s="115" t="s">
        <v>6504</v>
      </c>
      <c r="O41" s="115">
        <v>1</v>
      </c>
      <c r="P41" s="115" t="s">
        <v>1803</v>
      </c>
      <c r="Q41" s="166"/>
      <c r="R41" s="164"/>
      <c r="S41" s="164"/>
      <c r="T41" s="164"/>
      <c r="U41" s="164"/>
      <c r="V41" s="162"/>
      <c r="W41" s="158"/>
      <c r="X41" s="158"/>
      <c r="Y41" s="158"/>
      <c r="Z41" s="158"/>
      <c r="AA41" s="158"/>
      <c r="AB41" s="158"/>
      <c r="AC41" s="113">
        <v>505</v>
      </c>
      <c r="AD41" s="113">
        <v>81</v>
      </c>
      <c r="AE41" s="113">
        <v>102</v>
      </c>
      <c r="AF41" s="113">
        <v>77</v>
      </c>
      <c r="AG41" s="120">
        <v>85</v>
      </c>
      <c r="AH41" s="113">
        <v>75</v>
      </c>
      <c r="AI41" s="113">
        <v>85</v>
      </c>
    </row>
    <row r="42" spans="1:35">
      <c r="A42" s="113">
        <v>35</v>
      </c>
      <c r="B42" s="113" t="s">
        <v>55</v>
      </c>
      <c r="C42" s="120" t="s">
        <v>5256</v>
      </c>
      <c r="D42" s="124">
        <v>0.25</v>
      </c>
      <c r="E42" s="124">
        <v>0.75</v>
      </c>
      <c r="F42" s="113" t="s">
        <v>56</v>
      </c>
      <c r="G42" s="113" t="s">
        <v>1973</v>
      </c>
      <c r="H42" s="113" t="s">
        <v>56</v>
      </c>
      <c r="I42" s="113" t="s">
        <v>1109</v>
      </c>
      <c r="J42" s="118" t="s">
        <v>2129</v>
      </c>
      <c r="K42" s="118">
        <v>2</v>
      </c>
      <c r="L42" s="118" t="s">
        <v>5434</v>
      </c>
      <c r="M42" s="115" t="s">
        <v>5434</v>
      </c>
      <c r="N42" s="115" t="s">
        <v>6505</v>
      </c>
      <c r="O42" s="115">
        <v>1.25</v>
      </c>
      <c r="P42" s="115" t="s">
        <v>2128</v>
      </c>
      <c r="Q42" s="166">
        <v>1</v>
      </c>
      <c r="R42" s="164"/>
      <c r="S42" s="164"/>
      <c r="T42" s="164"/>
      <c r="U42" s="164"/>
      <c r="V42" s="162"/>
      <c r="W42" s="158" t="s">
        <v>6531</v>
      </c>
      <c r="X42" s="158"/>
      <c r="Y42" s="158">
        <v>70</v>
      </c>
      <c r="Z42" s="158">
        <v>6</v>
      </c>
      <c r="AA42" s="158"/>
      <c r="AB42" s="158"/>
      <c r="AC42" s="113">
        <v>323</v>
      </c>
      <c r="AD42" s="113">
        <v>70</v>
      </c>
      <c r="AE42" s="113">
        <v>45</v>
      </c>
      <c r="AF42" s="113">
        <v>48</v>
      </c>
      <c r="AG42" s="120">
        <v>60</v>
      </c>
      <c r="AH42" s="113">
        <v>65</v>
      </c>
      <c r="AI42" s="113">
        <v>35</v>
      </c>
    </row>
    <row r="43" spans="1:35">
      <c r="A43" s="113">
        <v>36</v>
      </c>
      <c r="B43" s="113" t="s">
        <v>57</v>
      </c>
      <c r="C43" s="120" t="s">
        <v>5257</v>
      </c>
      <c r="D43" s="124">
        <v>0.25</v>
      </c>
      <c r="E43" s="124">
        <v>0.75</v>
      </c>
      <c r="F43" s="113" t="s">
        <v>56</v>
      </c>
      <c r="G43" s="113" t="s">
        <v>1973</v>
      </c>
      <c r="H43" s="113" t="s">
        <v>56</v>
      </c>
      <c r="I43" s="113" t="s">
        <v>1109</v>
      </c>
      <c r="J43" s="118" t="s">
        <v>2129</v>
      </c>
      <c r="K43" s="118">
        <v>2</v>
      </c>
      <c r="L43" s="118" t="s">
        <v>5434</v>
      </c>
      <c r="M43" s="115" t="s">
        <v>5256</v>
      </c>
      <c r="N43" s="115" t="s">
        <v>6504</v>
      </c>
      <c r="O43" s="115">
        <v>1.25</v>
      </c>
      <c r="P43" s="115" t="s">
        <v>1803</v>
      </c>
      <c r="Q43" s="166">
        <v>2</v>
      </c>
      <c r="R43" s="164"/>
      <c r="S43" s="164"/>
      <c r="T43" s="164"/>
      <c r="U43" s="164"/>
      <c r="V43" s="162" t="s">
        <v>6542</v>
      </c>
      <c r="W43" s="158"/>
      <c r="X43" s="158"/>
      <c r="Y43" s="158"/>
      <c r="Z43" s="158"/>
      <c r="AA43" s="158"/>
      <c r="AB43" s="158"/>
      <c r="AC43" s="113">
        <v>483</v>
      </c>
      <c r="AD43" s="113">
        <v>95</v>
      </c>
      <c r="AE43" s="113">
        <v>70</v>
      </c>
      <c r="AF43" s="113">
        <v>73</v>
      </c>
      <c r="AG43" s="120">
        <v>95</v>
      </c>
      <c r="AH43" s="113">
        <v>90</v>
      </c>
      <c r="AI43" s="113">
        <v>60</v>
      </c>
    </row>
    <row r="44" spans="1:35">
      <c r="A44" s="113">
        <v>37</v>
      </c>
      <c r="B44" s="113" t="s">
        <v>58</v>
      </c>
      <c r="C44" s="120" t="s">
        <v>5258</v>
      </c>
      <c r="D44" s="124">
        <v>0.25</v>
      </c>
      <c r="E44" s="124">
        <v>0.75</v>
      </c>
      <c r="F44" s="113" t="s">
        <v>2332</v>
      </c>
      <c r="G44" s="113" t="s">
        <v>1973</v>
      </c>
      <c r="H44" s="113" t="s">
        <v>19</v>
      </c>
      <c r="I44" s="113" t="s">
        <v>1109</v>
      </c>
      <c r="J44" s="118" t="s">
        <v>2129</v>
      </c>
      <c r="K44" s="118">
        <v>2</v>
      </c>
      <c r="L44" s="118" t="s">
        <v>5258</v>
      </c>
      <c r="M44" s="115" t="s">
        <v>1109</v>
      </c>
      <c r="N44" s="115" t="s">
        <v>6505</v>
      </c>
      <c r="O44" s="115">
        <v>1.25</v>
      </c>
      <c r="P44" s="115" t="s">
        <v>1109</v>
      </c>
      <c r="Q44" s="166"/>
      <c r="R44" s="164"/>
      <c r="S44" s="164"/>
      <c r="T44" s="164"/>
      <c r="U44" s="164"/>
      <c r="V44" s="162"/>
      <c r="W44" s="158"/>
      <c r="X44" s="158"/>
      <c r="Y44" s="158"/>
      <c r="Z44" s="158"/>
      <c r="AA44" s="158"/>
      <c r="AB44" s="158"/>
      <c r="AC44" s="113">
        <v>299</v>
      </c>
      <c r="AD44" s="113">
        <v>38</v>
      </c>
      <c r="AE44" s="113">
        <v>41</v>
      </c>
      <c r="AF44" s="113">
        <v>40</v>
      </c>
      <c r="AG44" s="120">
        <v>50</v>
      </c>
      <c r="AH44" s="113">
        <v>65</v>
      </c>
      <c r="AI44" s="113">
        <v>65</v>
      </c>
    </row>
    <row r="45" spans="1:35">
      <c r="A45" s="113">
        <v>37</v>
      </c>
      <c r="B45" s="113" t="s">
        <v>6433</v>
      </c>
      <c r="C45" s="120" t="s">
        <v>5259</v>
      </c>
      <c r="D45" s="124">
        <v>0.25</v>
      </c>
      <c r="E45" s="124">
        <v>0.75</v>
      </c>
      <c r="F45" s="113" t="s">
        <v>2332</v>
      </c>
      <c r="G45" s="113" t="s">
        <v>2702</v>
      </c>
      <c r="H45" s="113" t="s">
        <v>113</v>
      </c>
      <c r="I45" s="115" t="s">
        <v>1109</v>
      </c>
      <c r="J45" s="118" t="s">
        <v>2129</v>
      </c>
      <c r="K45" s="118">
        <v>2</v>
      </c>
      <c r="L45" s="118" t="s">
        <v>5258</v>
      </c>
      <c r="M45" s="115" t="s">
        <v>1109</v>
      </c>
      <c r="N45" s="115" t="s">
        <v>6505</v>
      </c>
      <c r="O45" s="115">
        <v>1.25</v>
      </c>
      <c r="P45" s="115" t="s">
        <v>1109</v>
      </c>
      <c r="Q45" s="166"/>
      <c r="R45" s="164"/>
      <c r="S45" s="164"/>
      <c r="T45" s="164"/>
      <c r="U45" s="164"/>
      <c r="V45" s="162"/>
      <c r="W45" s="158"/>
      <c r="X45" s="158"/>
      <c r="Y45" s="158"/>
      <c r="Z45" s="158"/>
      <c r="AA45" s="158"/>
      <c r="AB45" s="158"/>
      <c r="AC45" s="113">
        <v>299</v>
      </c>
      <c r="AD45" s="113">
        <v>38</v>
      </c>
      <c r="AE45" s="113">
        <v>41</v>
      </c>
      <c r="AF45" s="113">
        <v>40</v>
      </c>
      <c r="AG45" s="120">
        <v>50</v>
      </c>
      <c r="AH45" s="113">
        <v>65</v>
      </c>
      <c r="AI45" s="113">
        <v>65</v>
      </c>
    </row>
    <row r="46" spans="1:35">
      <c r="A46" s="113">
        <v>38</v>
      </c>
      <c r="B46" s="113" t="s">
        <v>59</v>
      </c>
      <c r="C46" s="120" t="s">
        <v>5260</v>
      </c>
      <c r="D46" s="124">
        <v>0.25</v>
      </c>
      <c r="E46" s="124">
        <v>0.75</v>
      </c>
      <c r="F46" s="113" t="s">
        <v>2332</v>
      </c>
      <c r="G46" s="113" t="s">
        <v>1973</v>
      </c>
      <c r="H46" s="113" t="s">
        <v>19</v>
      </c>
      <c r="I46" s="113" t="s">
        <v>1109</v>
      </c>
      <c r="J46" s="118" t="s">
        <v>2129</v>
      </c>
      <c r="K46" s="118">
        <v>2</v>
      </c>
      <c r="L46" s="118" t="s">
        <v>5258</v>
      </c>
      <c r="M46" s="115" t="s">
        <v>5258</v>
      </c>
      <c r="N46" s="115" t="s">
        <v>6504</v>
      </c>
      <c r="O46" s="115">
        <v>1.25</v>
      </c>
      <c r="P46" s="115" t="s">
        <v>1803</v>
      </c>
      <c r="Q46" s="166"/>
      <c r="R46" s="164"/>
      <c r="S46" s="164"/>
      <c r="T46" s="164"/>
      <c r="U46" s="164"/>
      <c r="V46" s="162"/>
      <c r="W46" s="158"/>
      <c r="X46" s="158"/>
      <c r="Y46" s="158"/>
      <c r="Z46" s="158"/>
      <c r="AA46" s="158"/>
      <c r="AB46" s="158"/>
      <c r="AC46" s="113">
        <v>505</v>
      </c>
      <c r="AD46" s="113">
        <v>73</v>
      </c>
      <c r="AE46" s="113">
        <v>76</v>
      </c>
      <c r="AF46" s="113">
        <v>75</v>
      </c>
      <c r="AG46" s="120">
        <v>81</v>
      </c>
      <c r="AH46" s="113">
        <v>100</v>
      </c>
      <c r="AI46" s="113">
        <v>100</v>
      </c>
    </row>
    <row r="47" spans="1:35">
      <c r="A47" s="113">
        <v>38</v>
      </c>
      <c r="B47" s="113" t="s">
        <v>6434</v>
      </c>
      <c r="C47" s="120" t="s">
        <v>5261</v>
      </c>
      <c r="D47" s="124">
        <v>0.25</v>
      </c>
      <c r="E47" s="124">
        <v>0.75</v>
      </c>
      <c r="F47" s="113" t="s">
        <v>2332</v>
      </c>
      <c r="G47" s="113" t="s">
        <v>2702</v>
      </c>
      <c r="H47" s="113" t="s">
        <v>113</v>
      </c>
      <c r="I47" s="113" t="s">
        <v>56</v>
      </c>
      <c r="J47" s="118" t="s">
        <v>2129</v>
      </c>
      <c r="K47" s="118">
        <v>2</v>
      </c>
      <c r="L47" s="118" t="s">
        <v>5258</v>
      </c>
      <c r="M47" s="120" t="s">
        <v>5259</v>
      </c>
      <c r="N47" s="115" t="s">
        <v>6504</v>
      </c>
      <c r="O47" s="115">
        <v>1.25</v>
      </c>
      <c r="P47" s="115" t="s">
        <v>1803</v>
      </c>
      <c r="Q47" s="166"/>
      <c r="R47" s="164"/>
      <c r="S47" s="164"/>
      <c r="T47" s="164"/>
      <c r="U47" s="164"/>
      <c r="V47" s="162"/>
      <c r="W47" s="158"/>
      <c r="X47" s="158"/>
      <c r="Y47" s="158"/>
      <c r="Z47" s="158"/>
      <c r="AA47" s="158"/>
      <c r="AB47" s="158"/>
      <c r="AC47" s="113">
        <v>505</v>
      </c>
      <c r="AD47" s="113">
        <v>73</v>
      </c>
      <c r="AE47" s="113">
        <v>67</v>
      </c>
      <c r="AF47" s="113">
        <v>75</v>
      </c>
      <c r="AG47" s="120">
        <v>81</v>
      </c>
      <c r="AH47" s="113">
        <v>100</v>
      </c>
      <c r="AI47" s="113">
        <v>109</v>
      </c>
    </row>
    <row r="48" spans="1:35">
      <c r="A48" s="113">
        <v>39</v>
      </c>
      <c r="B48" s="113" t="s">
        <v>60</v>
      </c>
      <c r="C48" s="120" t="s">
        <v>5262</v>
      </c>
      <c r="D48" s="124">
        <v>0.25</v>
      </c>
      <c r="E48" s="124">
        <v>0.75</v>
      </c>
      <c r="F48" s="113" t="s">
        <v>56</v>
      </c>
      <c r="G48" s="113" t="s">
        <v>1973</v>
      </c>
      <c r="H48" s="113" t="s">
        <v>56</v>
      </c>
      <c r="I48" s="113" t="s">
        <v>36</v>
      </c>
      <c r="J48" s="118" t="s">
        <v>2129</v>
      </c>
      <c r="K48" s="118">
        <v>2</v>
      </c>
      <c r="L48" s="118" t="s">
        <v>5435</v>
      </c>
      <c r="M48" s="115" t="s">
        <v>5435</v>
      </c>
      <c r="N48" s="115" t="s">
        <v>6505</v>
      </c>
      <c r="O48" s="115">
        <v>1.25</v>
      </c>
      <c r="P48" s="115" t="s">
        <v>2128</v>
      </c>
      <c r="Q48" s="166">
        <v>1</v>
      </c>
      <c r="R48" s="164"/>
      <c r="S48" s="164"/>
      <c r="T48" s="164"/>
      <c r="U48" s="164"/>
      <c r="V48" s="162"/>
      <c r="W48" s="158" t="s">
        <v>6531</v>
      </c>
      <c r="X48" s="158"/>
      <c r="Y48" s="158">
        <v>70</v>
      </c>
      <c r="Z48" s="158">
        <v>6</v>
      </c>
      <c r="AA48" s="158"/>
      <c r="AB48" s="158"/>
      <c r="AC48" s="113">
        <v>270</v>
      </c>
      <c r="AD48" s="113">
        <v>115</v>
      </c>
      <c r="AE48" s="113">
        <v>45</v>
      </c>
      <c r="AF48" s="113">
        <v>20</v>
      </c>
      <c r="AG48" s="120">
        <v>45</v>
      </c>
      <c r="AH48" s="113">
        <v>25</v>
      </c>
      <c r="AI48" s="113">
        <v>20</v>
      </c>
    </row>
    <row r="49" spans="1:35">
      <c r="A49" s="113">
        <v>40</v>
      </c>
      <c r="B49" s="113" t="s">
        <v>61</v>
      </c>
      <c r="C49" s="120" t="s">
        <v>5263</v>
      </c>
      <c r="D49" s="124">
        <v>0.25</v>
      </c>
      <c r="E49" s="124">
        <v>0.75</v>
      </c>
      <c r="F49" s="113" t="s">
        <v>56</v>
      </c>
      <c r="G49" s="113" t="s">
        <v>1973</v>
      </c>
      <c r="H49" s="113" t="s">
        <v>56</v>
      </c>
      <c r="I49" s="113" t="s">
        <v>36</v>
      </c>
      <c r="J49" s="118" t="s">
        <v>2129</v>
      </c>
      <c r="K49" s="118">
        <v>2</v>
      </c>
      <c r="L49" s="118" t="s">
        <v>5435</v>
      </c>
      <c r="M49" s="115" t="s">
        <v>5262</v>
      </c>
      <c r="N49" s="115" t="s">
        <v>6504</v>
      </c>
      <c r="O49" s="115">
        <v>1.25</v>
      </c>
      <c r="P49" s="115" t="s">
        <v>1803</v>
      </c>
      <c r="Q49" s="166">
        <v>2</v>
      </c>
      <c r="R49" s="164"/>
      <c r="S49" s="164"/>
      <c r="T49" s="164"/>
      <c r="U49" s="164"/>
      <c r="V49" s="162" t="s">
        <v>6542</v>
      </c>
      <c r="W49" s="158"/>
      <c r="X49" s="158"/>
      <c r="Y49" s="158"/>
      <c r="Z49" s="158"/>
      <c r="AA49" s="158"/>
      <c r="AB49" s="158"/>
      <c r="AC49" s="113">
        <v>435</v>
      </c>
      <c r="AD49" s="113">
        <v>140</v>
      </c>
      <c r="AE49" s="113">
        <v>70</v>
      </c>
      <c r="AF49" s="113">
        <v>45</v>
      </c>
      <c r="AG49" s="120">
        <v>85</v>
      </c>
      <c r="AH49" s="113">
        <v>50</v>
      </c>
      <c r="AI49" s="113">
        <v>45</v>
      </c>
    </row>
    <row r="50" spans="1:35">
      <c r="A50" s="113">
        <v>41</v>
      </c>
      <c r="B50" s="113" t="s">
        <v>62</v>
      </c>
      <c r="C50" s="120" t="s">
        <v>5264</v>
      </c>
      <c r="D50" s="124">
        <v>0.5</v>
      </c>
      <c r="E50" s="124">
        <v>0.5</v>
      </c>
      <c r="F50" s="113" t="s">
        <v>22</v>
      </c>
      <c r="G50" s="113" t="s">
        <v>1973</v>
      </c>
      <c r="H50" s="113" t="s">
        <v>15</v>
      </c>
      <c r="I50" s="113" t="s">
        <v>22</v>
      </c>
      <c r="J50" s="118" t="s">
        <v>2129</v>
      </c>
      <c r="K50" s="118">
        <v>1</v>
      </c>
      <c r="L50" s="118" t="s">
        <v>5264</v>
      </c>
      <c r="M50" s="115" t="s">
        <v>1109</v>
      </c>
      <c r="N50" s="115" t="s">
        <v>6505</v>
      </c>
      <c r="O50" s="115">
        <v>1</v>
      </c>
      <c r="P50" s="115" t="s">
        <v>1109</v>
      </c>
      <c r="Q50" s="166"/>
      <c r="R50" s="164"/>
      <c r="S50" s="164"/>
      <c r="T50" s="164"/>
      <c r="U50" s="164"/>
      <c r="V50" s="162"/>
      <c r="W50" s="158"/>
      <c r="X50" s="158"/>
      <c r="Y50" s="158"/>
      <c r="Z50" s="158"/>
      <c r="AA50" s="158"/>
      <c r="AB50" s="158"/>
      <c r="AC50" s="113">
        <v>245</v>
      </c>
      <c r="AD50" s="113">
        <v>40</v>
      </c>
      <c r="AE50" s="113">
        <v>45</v>
      </c>
      <c r="AF50" s="113">
        <v>35</v>
      </c>
      <c r="AG50" s="120">
        <v>30</v>
      </c>
      <c r="AH50" s="113">
        <v>40</v>
      </c>
      <c r="AI50" s="113">
        <v>55</v>
      </c>
    </row>
    <row r="51" spans="1:35">
      <c r="A51" s="113">
        <v>42</v>
      </c>
      <c r="B51" s="113" t="s">
        <v>63</v>
      </c>
      <c r="C51" s="120" t="s">
        <v>5265</v>
      </c>
      <c r="D51" s="124">
        <v>0.5</v>
      </c>
      <c r="E51" s="124">
        <v>0.5</v>
      </c>
      <c r="F51" s="113" t="s">
        <v>22</v>
      </c>
      <c r="G51" s="113" t="s">
        <v>1973</v>
      </c>
      <c r="H51" s="113" t="s">
        <v>15</v>
      </c>
      <c r="I51" s="113" t="s">
        <v>22</v>
      </c>
      <c r="J51" s="118" t="s">
        <v>2129</v>
      </c>
      <c r="K51" s="118">
        <v>1</v>
      </c>
      <c r="L51" s="118" t="s">
        <v>5264</v>
      </c>
      <c r="M51" s="115" t="s">
        <v>5264</v>
      </c>
      <c r="N51" s="115" t="s">
        <v>6506</v>
      </c>
      <c r="O51" s="115">
        <v>1</v>
      </c>
      <c r="P51" s="115" t="s">
        <v>2128</v>
      </c>
      <c r="Q51" s="166"/>
      <c r="R51" s="164"/>
      <c r="S51" s="164"/>
      <c r="T51" s="164"/>
      <c r="U51" s="164"/>
      <c r="V51" s="162"/>
      <c r="W51" s="158"/>
      <c r="X51" s="158"/>
      <c r="Y51" s="158"/>
      <c r="Z51" s="158"/>
      <c r="AA51" s="158"/>
      <c r="AB51" s="158"/>
      <c r="AC51" s="113">
        <v>455</v>
      </c>
      <c r="AD51" s="113">
        <v>75</v>
      </c>
      <c r="AE51" s="113">
        <v>80</v>
      </c>
      <c r="AF51" s="113">
        <v>70</v>
      </c>
      <c r="AG51" s="120">
        <v>65</v>
      </c>
      <c r="AH51" s="113">
        <v>75</v>
      </c>
      <c r="AI51" s="113">
        <v>90</v>
      </c>
    </row>
    <row r="52" spans="1:35">
      <c r="A52" s="113">
        <v>43</v>
      </c>
      <c r="B52" s="113" t="s">
        <v>64</v>
      </c>
      <c r="C52" s="120" t="s">
        <v>5266</v>
      </c>
      <c r="D52" s="124">
        <v>0.5</v>
      </c>
      <c r="E52" s="124">
        <v>0.5</v>
      </c>
      <c r="F52" s="113" t="s">
        <v>14</v>
      </c>
      <c r="G52" s="113" t="s">
        <v>1973</v>
      </c>
      <c r="H52" s="113" t="s">
        <v>14</v>
      </c>
      <c r="I52" s="113" t="s">
        <v>15</v>
      </c>
      <c r="J52" s="118" t="s">
        <v>2129</v>
      </c>
      <c r="K52" s="118">
        <v>1</v>
      </c>
      <c r="L52" s="118" t="s">
        <v>5266</v>
      </c>
      <c r="M52" s="115" t="s">
        <v>1109</v>
      </c>
      <c r="N52" s="115" t="s">
        <v>6505</v>
      </c>
      <c r="O52" s="115">
        <v>1</v>
      </c>
      <c r="P52" s="115" t="s">
        <v>1109</v>
      </c>
      <c r="Q52" s="166"/>
      <c r="R52" s="164"/>
      <c r="S52" s="164"/>
      <c r="T52" s="164"/>
      <c r="U52" s="164"/>
      <c r="V52" s="162"/>
      <c r="W52" s="158"/>
      <c r="X52" s="158"/>
      <c r="Y52" s="158"/>
      <c r="Z52" s="158"/>
      <c r="AA52" s="158"/>
      <c r="AB52" s="158"/>
      <c r="AC52" s="113">
        <v>320</v>
      </c>
      <c r="AD52" s="113">
        <v>45</v>
      </c>
      <c r="AE52" s="113">
        <v>50</v>
      </c>
      <c r="AF52" s="113">
        <v>55</v>
      </c>
      <c r="AG52" s="120">
        <v>75</v>
      </c>
      <c r="AH52" s="113">
        <v>65</v>
      </c>
      <c r="AI52" s="113">
        <v>30</v>
      </c>
    </row>
    <row r="53" spans="1:35">
      <c r="A53" s="113">
        <v>44</v>
      </c>
      <c r="B53" s="113" t="s">
        <v>65</v>
      </c>
      <c r="C53" s="120" t="s">
        <v>5267</v>
      </c>
      <c r="D53" s="124">
        <v>0.5</v>
      </c>
      <c r="E53" s="124">
        <v>0.5</v>
      </c>
      <c r="F53" s="113" t="s">
        <v>14</v>
      </c>
      <c r="G53" s="113" t="s">
        <v>1973</v>
      </c>
      <c r="H53" s="113" t="s">
        <v>14</v>
      </c>
      <c r="I53" s="113" t="s">
        <v>15</v>
      </c>
      <c r="J53" s="118" t="s">
        <v>2129</v>
      </c>
      <c r="K53" s="118">
        <v>1</v>
      </c>
      <c r="L53" s="118" t="s">
        <v>5266</v>
      </c>
      <c r="M53" s="115" t="s">
        <v>5266</v>
      </c>
      <c r="N53" s="115" t="s">
        <v>6506</v>
      </c>
      <c r="O53" s="115">
        <v>1</v>
      </c>
      <c r="P53" s="115" t="s">
        <v>2128</v>
      </c>
      <c r="Q53" s="166"/>
      <c r="R53" s="164"/>
      <c r="S53" s="164"/>
      <c r="T53" s="164"/>
      <c r="U53" s="164"/>
      <c r="V53" s="162"/>
      <c r="W53" s="158"/>
      <c r="X53" s="158"/>
      <c r="Y53" s="158"/>
      <c r="Z53" s="158"/>
      <c r="AA53" s="158"/>
      <c r="AB53" s="158"/>
      <c r="AC53" s="113">
        <v>395</v>
      </c>
      <c r="AD53" s="113">
        <v>60</v>
      </c>
      <c r="AE53" s="113">
        <v>65</v>
      </c>
      <c r="AF53" s="113">
        <v>70</v>
      </c>
      <c r="AG53" s="120">
        <v>85</v>
      </c>
      <c r="AH53" s="113">
        <v>75</v>
      </c>
      <c r="AI53" s="113">
        <v>40</v>
      </c>
    </row>
    <row r="54" spans="1:35">
      <c r="A54" s="113">
        <v>45</v>
      </c>
      <c r="B54" s="113" t="s">
        <v>66</v>
      </c>
      <c r="C54" s="120" t="s">
        <v>5268</v>
      </c>
      <c r="D54" s="124">
        <v>0.5</v>
      </c>
      <c r="E54" s="124">
        <v>0.5</v>
      </c>
      <c r="F54" s="113" t="s">
        <v>14</v>
      </c>
      <c r="G54" s="113" t="s">
        <v>1973</v>
      </c>
      <c r="H54" s="113" t="s">
        <v>14</v>
      </c>
      <c r="I54" s="113" t="s">
        <v>15</v>
      </c>
      <c r="J54" s="118" t="s">
        <v>2129</v>
      </c>
      <c r="K54" s="118">
        <v>1</v>
      </c>
      <c r="L54" s="118" t="s">
        <v>5266</v>
      </c>
      <c r="M54" s="115" t="s">
        <v>5267</v>
      </c>
      <c r="N54" s="115" t="s">
        <v>6504</v>
      </c>
      <c r="O54" s="115">
        <v>1</v>
      </c>
      <c r="P54" s="115" t="s">
        <v>1803</v>
      </c>
      <c r="Q54" s="166"/>
      <c r="R54" s="164"/>
      <c r="S54" s="164"/>
      <c r="T54" s="164"/>
      <c r="U54" s="164"/>
      <c r="V54" s="162"/>
      <c r="W54" s="158"/>
      <c r="X54" s="158"/>
      <c r="Y54" s="158"/>
      <c r="Z54" s="158"/>
      <c r="AA54" s="158"/>
      <c r="AB54" s="158"/>
      <c r="AC54" s="113">
        <v>490</v>
      </c>
      <c r="AD54" s="113">
        <v>75</v>
      </c>
      <c r="AE54" s="113">
        <v>80</v>
      </c>
      <c r="AF54" s="113">
        <v>85</v>
      </c>
      <c r="AG54" s="120">
        <v>110</v>
      </c>
      <c r="AH54" s="113">
        <v>90</v>
      </c>
      <c r="AI54" s="113">
        <v>50</v>
      </c>
    </row>
    <row r="55" spans="1:35">
      <c r="A55" s="113">
        <v>46</v>
      </c>
      <c r="B55" s="113" t="s">
        <v>67</v>
      </c>
      <c r="C55" s="120" t="s">
        <v>5269</v>
      </c>
      <c r="D55" s="124">
        <v>0.5</v>
      </c>
      <c r="E55" s="124">
        <v>0.5</v>
      </c>
      <c r="F55" s="113" t="s">
        <v>29</v>
      </c>
      <c r="G55" s="113" t="s">
        <v>1973</v>
      </c>
      <c r="H55" s="113" t="s">
        <v>29</v>
      </c>
      <c r="I55" s="113" t="s">
        <v>14</v>
      </c>
      <c r="J55" s="118" t="s">
        <v>2129</v>
      </c>
      <c r="K55" s="118">
        <v>1</v>
      </c>
      <c r="L55" s="118" t="s">
        <v>5269</v>
      </c>
      <c r="M55" s="115" t="s">
        <v>1109</v>
      </c>
      <c r="N55" s="115" t="s">
        <v>6505</v>
      </c>
      <c r="O55" s="115">
        <v>1</v>
      </c>
      <c r="P55" s="115" t="s">
        <v>1109</v>
      </c>
      <c r="Q55" s="166"/>
      <c r="R55" s="164"/>
      <c r="S55" s="164"/>
      <c r="T55" s="164"/>
      <c r="U55" s="164"/>
      <c r="V55" s="162"/>
      <c r="W55" s="158"/>
      <c r="X55" s="158"/>
      <c r="Y55" s="158"/>
      <c r="Z55" s="158"/>
      <c r="AA55" s="158"/>
      <c r="AB55" s="158"/>
      <c r="AC55" s="113">
        <v>285</v>
      </c>
      <c r="AD55" s="113">
        <v>35</v>
      </c>
      <c r="AE55" s="113">
        <v>70</v>
      </c>
      <c r="AF55" s="113">
        <v>55</v>
      </c>
      <c r="AG55" s="120">
        <v>45</v>
      </c>
      <c r="AH55" s="113">
        <v>55</v>
      </c>
      <c r="AI55" s="113">
        <v>25</v>
      </c>
    </row>
    <row r="56" spans="1:35">
      <c r="A56" s="113">
        <v>47</v>
      </c>
      <c r="B56" s="113" t="s">
        <v>68</v>
      </c>
      <c r="C56" s="120" t="s">
        <v>5270</v>
      </c>
      <c r="D56" s="124">
        <v>0.5</v>
      </c>
      <c r="E56" s="124">
        <v>0.5</v>
      </c>
      <c r="F56" s="113" t="s">
        <v>29</v>
      </c>
      <c r="G56" s="113" t="s">
        <v>1973</v>
      </c>
      <c r="H56" s="113" t="s">
        <v>29</v>
      </c>
      <c r="I56" s="113" t="s">
        <v>14</v>
      </c>
      <c r="J56" s="118" t="s">
        <v>2129</v>
      </c>
      <c r="K56" s="118">
        <v>1</v>
      </c>
      <c r="L56" s="118" t="s">
        <v>5269</v>
      </c>
      <c r="M56" s="115" t="s">
        <v>5269</v>
      </c>
      <c r="N56" s="115" t="s">
        <v>6504</v>
      </c>
      <c r="O56" s="115">
        <v>1</v>
      </c>
      <c r="P56" s="115" t="s">
        <v>2128</v>
      </c>
      <c r="Q56" s="166"/>
      <c r="R56" s="164"/>
      <c r="S56" s="164"/>
      <c r="T56" s="164"/>
      <c r="U56" s="164"/>
      <c r="V56" s="162"/>
      <c r="W56" s="158"/>
      <c r="X56" s="158"/>
      <c r="Y56" s="158"/>
      <c r="Z56" s="158"/>
      <c r="AA56" s="158"/>
      <c r="AB56" s="158"/>
      <c r="AC56" s="113">
        <v>405</v>
      </c>
      <c r="AD56" s="113">
        <v>60</v>
      </c>
      <c r="AE56" s="113">
        <v>95</v>
      </c>
      <c r="AF56" s="113">
        <v>80</v>
      </c>
      <c r="AG56" s="120">
        <v>60</v>
      </c>
      <c r="AH56" s="113">
        <v>80</v>
      </c>
      <c r="AI56" s="113">
        <v>30</v>
      </c>
    </row>
    <row r="57" spans="1:35">
      <c r="A57" s="113">
        <v>48</v>
      </c>
      <c r="B57" s="113" t="s">
        <v>69</v>
      </c>
      <c r="C57" s="120" t="s">
        <v>5271</v>
      </c>
      <c r="D57" s="124">
        <v>0.5</v>
      </c>
      <c r="E57" s="124">
        <v>0.5</v>
      </c>
      <c r="F57" s="113" t="s">
        <v>29</v>
      </c>
      <c r="G57" s="113" t="s">
        <v>1973</v>
      </c>
      <c r="H57" s="113" t="s">
        <v>29</v>
      </c>
      <c r="I57" s="113" t="s">
        <v>15</v>
      </c>
      <c r="J57" s="118" t="s">
        <v>2129</v>
      </c>
      <c r="K57" s="118">
        <v>1</v>
      </c>
      <c r="L57" s="118" t="s">
        <v>5271</v>
      </c>
      <c r="M57" s="115" t="s">
        <v>1109</v>
      </c>
      <c r="N57" s="115" t="s">
        <v>6505</v>
      </c>
      <c r="O57" s="115">
        <v>1</v>
      </c>
      <c r="P57" s="115" t="s">
        <v>1109</v>
      </c>
      <c r="Q57" s="166"/>
      <c r="R57" s="164"/>
      <c r="S57" s="164"/>
      <c r="T57" s="164"/>
      <c r="U57" s="164"/>
      <c r="V57" s="162"/>
      <c r="W57" s="158"/>
      <c r="X57" s="158"/>
      <c r="Y57" s="158"/>
      <c r="Z57" s="158"/>
      <c r="AA57" s="158"/>
      <c r="AB57" s="158"/>
      <c r="AC57" s="113">
        <v>305</v>
      </c>
      <c r="AD57" s="113">
        <v>60</v>
      </c>
      <c r="AE57" s="113">
        <v>55</v>
      </c>
      <c r="AF57" s="113">
        <v>50</v>
      </c>
      <c r="AG57" s="120">
        <v>40</v>
      </c>
      <c r="AH57" s="113">
        <v>55</v>
      </c>
      <c r="AI57" s="113">
        <v>45</v>
      </c>
    </row>
    <row r="58" spans="1:35">
      <c r="A58" s="113">
        <v>49</v>
      </c>
      <c r="B58" s="113" t="s">
        <v>70</v>
      </c>
      <c r="C58" s="120" t="s">
        <v>5272</v>
      </c>
      <c r="D58" s="124">
        <v>0.5</v>
      </c>
      <c r="E58" s="124">
        <v>0.5</v>
      </c>
      <c r="F58" s="113" t="s">
        <v>29</v>
      </c>
      <c r="G58" s="113" t="s">
        <v>1973</v>
      </c>
      <c r="H58" s="113" t="s">
        <v>29</v>
      </c>
      <c r="I58" s="113" t="s">
        <v>15</v>
      </c>
      <c r="J58" s="118" t="s">
        <v>2129</v>
      </c>
      <c r="K58" s="118">
        <v>1</v>
      </c>
      <c r="L58" s="118" t="s">
        <v>5271</v>
      </c>
      <c r="M58" s="115" t="s">
        <v>5271</v>
      </c>
      <c r="N58" s="115" t="s">
        <v>6504</v>
      </c>
      <c r="O58" s="115">
        <v>1</v>
      </c>
      <c r="P58" s="115" t="s">
        <v>2128</v>
      </c>
      <c r="Q58" s="166"/>
      <c r="R58" s="164"/>
      <c r="S58" s="164"/>
      <c r="T58" s="164"/>
      <c r="U58" s="164"/>
      <c r="V58" s="162"/>
      <c r="W58" s="158"/>
      <c r="X58" s="158"/>
      <c r="Y58" s="158"/>
      <c r="Z58" s="158"/>
      <c r="AA58" s="158"/>
      <c r="AB58" s="158"/>
      <c r="AC58" s="113">
        <v>450</v>
      </c>
      <c r="AD58" s="113">
        <v>70</v>
      </c>
      <c r="AE58" s="113">
        <v>65</v>
      </c>
      <c r="AF58" s="113">
        <v>60</v>
      </c>
      <c r="AG58" s="120">
        <v>90</v>
      </c>
      <c r="AH58" s="113">
        <v>75</v>
      </c>
      <c r="AI58" s="113">
        <v>90</v>
      </c>
    </row>
    <row r="59" spans="1:35">
      <c r="A59" s="113">
        <v>50</v>
      </c>
      <c r="B59" s="113" t="s">
        <v>71</v>
      </c>
      <c r="C59" s="120" t="s">
        <v>5273</v>
      </c>
      <c r="D59" s="124">
        <v>0.5</v>
      </c>
      <c r="E59" s="124">
        <v>0.5</v>
      </c>
      <c r="F59" s="113" t="s">
        <v>2332</v>
      </c>
      <c r="G59" s="113" t="s">
        <v>1973</v>
      </c>
      <c r="H59" s="113" t="s">
        <v>49</v>
      </c>
      <c r="I59" s="113" t="s">
        <v>1109</v>
      </c>
      <c r="J59" s="118" t="s">
        <v>2129</v>
      </c>
      <c r="K59" s="118">
        <v>2</v>
      </c>
      <c r="L59" s="118" t="s">
        <v>5273</v>
      </c>
      <c r="M59" s="115" t="s">
        <v>1109</v>
      </c>
      <c r="N59" s="115" t="s">
        <v>6505</v>
      </c>
      <c r="O59" s="115">
        <v>1.25</v>
      </c>
      <c r="P59" s="115" t="s">
        <v>1109</v>
      </c>
      <c r="Q59" s="166"/>
      <c r="R59" s="164"/>
      <c r="S59" s="164"/>
      <c r="T59" s="164"/>
      <c r="U59" s="164"/>
      <c r="V59" s="162"/>
      <c r="W59" s="158"/>
      <c r="X59" s="158"/>
      <c r="Y59" s="158"/>
      <c r="Z59" s="158"/>
      <c r="AA59" s="158"/>
      <c r="AB59" s="158"/>
      <c r="AC59" s="113">
        <v>265</v>
      </c>
      <c r="AD59" s="113">
        <v>10</v>
      </c>
      <c r="AE59" s="113">
        <v>55</v>
      </c>
      <c r="AF59" s="113">
        <v>25</v>
      </c>
      <c r="AG59" s="120">
        <v>35</v>
      </c>
      <c r="AH59" s="113">
        <v>45</v>
      </c>
      <c r="AI59" s="113">
        <v>95</v>
      </c>
    </row>
    <row r="60" spans="1:35">
      <c r="A60" s="113">
        <v>50</v>
      </c>
      <c r="B60" s="113" t="s">
        <v>6435</v>
      </c>
      <c r="C60" s="120" t="s">
        <v>5274</v>
      </c>
      <c r="D60" s="124">
        <v>0.5</v>
      </c>
      <c r="E60" s="124">
        <v>0.5</v>
      </c>
      <c r="F60" s="113" t="s">
        <v>2332</v>
      </c>
      <c r="G60" s="113" t="s">
        <v>2702</v>
      </c>
      <c r="H60" s="113" t="s">
        <v>49</v>
      </c>
      <c r="I60" s="113" t="s">
        <v>106</v>
      </c>
      <c r="J60" s="118" t="s">
        <v>2129</v>
      </c>
      <c r="K60" s="118">
        <v>2</v>
      </c>
      <c r="L60" s="118" t="s">
        <v>5273</v>
      </c>
      <c r="M60" s="115" t="s">
        <v>1109</v>
      </c>
      <c r="N60" s="115" t="s">
        <v>6505</v>
      </c>
      <c r="O60" s="115">
        <v>1.25</v>
      </c>
      <c r="P60" s="115" t="s">
        <v>1109</v>
      </c>
      <c r="Q60" s="166"/>
      <c r="R60" s="164"/>
      <c r="S60" s="164"/>
      <c r="T60" s="164"/>
      <c r="U60" s="164"/>
      <c r="V60" s="162"/>
      <c r="W60" s="158"/>
      <c r="X60" s="158"/>
      <c r="Y60" s="158"/>
      <c r="Z60" s="158"/>
      <c r="AA60" s="158"/>
      <c r="AB60" s="158"/>
      <c r="AC60" s="113">
        <v>265</v>
      </c>
      <c r="AD60" s="113">
        <v>10</v>
      </c>
      <c r="AE60" s="113">
        <v>55</v>
      </c>
      <c r="AF60" s="113">
        <v>30</v>
      </c>
      <c r="AG60" s="120">
        <v>35</v>
      </c>
      <c r="AH60" s="113">
        <v>45</v>
      </c>
      <c r="AI60" s="113">
        <v>90</v>
      </c>
    </row>
    <row r="61" spans="1:35">
      <c r="A61" s="113">
        <v>51</v>
      </c>
      <c r="B61" s="113" t="s">
        <v>72</v>
      </c>
      <c r="C61" s="120" t="s">
        <v>5275</v>
      </c>
      <c r="D61" s="124">
        <v>0.5</v>
      </c>
      <c r="E61" s="124">
        <v>0.5</v>
      </c>
      <c r="F61" s="113" t="s">
        <v>2332</v>
      </c>
      <c r="G61" s="113" t="s">
        <v>1973</v>
      </c>
      <c r="H61" s="113" t="s">
        <v>49</v>
      </c>
      <c r="I61" s="113" t="s">
        <v>1109</v>
      </c>
      <c r="J61" s="118" t="s">
        <v>2129</v>
      </c>
      <c r="K61" s="118">
        <v>2</v>
      </c>
      <c r="L61" s="118" t="s">
        <v>5273</v>
      </c>
      <c r="M61" s="115" t="s">
        <v>5273</v>
      </c>
      <c r="N61" s="115" t="s">
        <v>6504</v>
      </c>
      <c r="O61" s="115">
        <v>1.25</v>
      </c>
      <c r="P61" s="115" t="s">
        <v>2128</v>
      </c>
      <c r="Q61" s="166"/>
      <c r="R61" s="164"/>
      <c r="S61" s="164"/>
      <c r="T61" s="164"/>
      <c r="U61" s="164"/>
      <c r="V61" s="162"/>
      <c r="W61" s="158"/>
      <c r="X61" s="158"/>
      <c r="Y61" s="158"/>
      <c r="Z61" s="158"/>
      <c r="AA61" s="158"/>
      <c r="AB61" s="158"/>
      <c r="AC61" s="113">
        <v>425</v>
      </c>
      <c r="AD61" s="113">
        <v>35</v>
      </c>
      <c r="AE61" s="113">
        <v>100</v>
      </c>
      <c r="AF61" s="113">
        <v>50</v>
      </c>
      <c r="AG61" s="120">
        <v>50</v>
      </c>
      <c r="AH61" s="113">
        <v>70</v>
      </c>
      <c r="AI61" s="113">
        <v>120</v>
      </c>
    </row>
    <row r="62" spans="1:35">
      <c r="A62" s="113">
        <v>51</v>
      </c>
      <c r="B62" s="113" t="s">
        <v>6427</v>
      </c>
      <c r="C62" s="120" t="s">
        <v>5276</v>
      </c>
      <c r="D62" s="124">
        <v>0.5</v>
      </c>
      <c r="E62" s="124">
        <v>0.5</v>
      </c>
      <c r="F62" s="113" t="s">
        <v>2332</v>
      </c>
      <c r="G62" s="113" t="s">
        <v>2702</v>
      </c>
      <c r="H62" s="113" t="s">
        <v>49</v>
      </c>
      <c r="I62" s="113" t="s">
        <v>106</v>
      </c>
      <c r="J62" s="118" t="s">
        <v>2129</v>
      </c>
      <c r="K62" s="118">
        <v>2</v>
      </c>
      <c r="L62" s="118" t="s">
        <v>5273</v>
      </c>
      <c r="M62" s="120" t="s">
        <v>5274</v>
      </c>
      <c r="N62" s="115" t="s">
        <v>6504</v>
      </c>
      <c r="O62" s="115">
        <v>1.25</v>
      </c>
      <c r="P62" s="115" t="s">
        <v>2128</v>
      </c>
      <c r="Q62" s="166"/>
      <c r="R62" s="164"/>
      <c r="S62" s="164"/>
      <c r="T62" s="164"/>
      <c r="U62" s="164"/>
      <c r="V62" s="162"/>
      <c r="W62" s="158"/>
      <c r="X62" s="158"/>
      <c r="Y62" s="158"/>
      <c r="Z62" s="158"/>
      <c r="AA62" s="158"/>
      <c r="AB62" s="158"/>
      <c r="AC62" s="113">
        <v>425</v>
      </c>
      <c r="AD62" s="113">
        <v>35</v>
      </c>
      <c r="AE62" s="113">
        <v>100</v>
      </c>
      <c r="AF62" s="113">
        <v>60</v>
      </c>
      <c r="AG62" s="120">
        <v>50</v>
      </c>
      <c r="AH62" s="113">
        <v>70</v>
      </c>
      <c r="AI62" s="113">
        <v>110</v>
      </c>
    </row>
    <row r="63" spans="1:35">
      <c r="A63" s="113">
        <v>52</v>
      </c>
      <c r="B63" s="113" t="s">
        <v>73</v>
      </c>
      <c r="C63" s="120" t="s">
        <v>5277</v>
      </c>
      <c r="D63" s="124">
        <v>0.5</v>
      </c>
      <c r="E63" s="124">
        <v>0.5</v>
      </c>
      <c r="F63" s="113" t="s">
        <v>2332</v>
      </c>
      <c r="G63" s="113" t="s">
        <v>1973</v>
      </c>
      <c r="H63" s="113" t="s">
        <v>36</v>
      </c>
      <c r="I63" s="113" t="s">
        <v>1109</v>
      </c>
      <c r="J63" s="118" t="s">
        <v>2129</v>
      </c>
      <c r="K63" s="118">
        <v>1</v>
      </c>
      <c r="L63" s="118" t="s">
        <v>5277</v>
      </c>
      <c r="M63" s="115" t="s">
        <v>1109</v>
      </c>
      <c r="N63" s="115" t="s">
        <v>6505</v>
      </c>
      <c r="O63" s="115">
        <v>1</v>
      </c>
      <c r="P63" s="115" t="s">
        <v>1109</v>
      </c>
      <c r="Q63" s="166"/>
      <c r="R63" s="164"/>
      <c r="S63" s="164"/>
      <c r="T63" s="164"/>
      <c r="U63" s="164"/>
      <c r="V63" s="162"/>
      <c r="W63" s="158"/>
      <c r="X63" s="158"/>
      <c r="Y63" s="158"/>
      <c r="Z63" s="158"/>
      <c r="AA63" s="158"/>
      <c r="AB63" s="158"/>
      <c r="AC63" s="113">
        <v>290</v>
      </c>
      <c r="AD63" s="113">
        <v>40</v>
      </c>
      <c r="AE63" s="113">
        <v>45</v>
      </c>
      <c r="AF63" s="113">
        <v>35</v>
      </c>
      <c r="AG63" s="120">
        <v>40</v>
      </c>
      <c r="AH63" s="113">
        <v>40</v>
      </c>
      <c r="AI63" s="113">
        <v>90</v>
      </c>
    </row>
    <row r="64" spans="1:35">
      <c r="A64" s="113">
        <v>52</v>
      </c>
      <c r="B64" s="113" t="s">
        <v>6451</v>
      </c>
      <c r="C64" s="120" t="s">
        <v>5279</v>
      </c>
      <c r="D64" s="124">
        <v>0.5</v>
      </c>
      <c r="E64" s="124">
        <v>0.5</v>
      </c>
      <c r="F64" s="113" t="s">
        <v>2332</v>
      </c>
      <c r="G64" s="113" t="s">
        <v>2703</v>
      </c>
      <c r="H64" s="113" t="s">
        <v>106</v>
      </c>
      <c r="I64" s="113" t="s">
        <v>1109</v>
      </c>
      <c r="J64" s="118" t="s">
        <v>2129</v>
      </c>
      <c r="K64" s="118">
        <v>1</v>
      </c>
      <c r="L64" s="118" t="s">
        <v>5277</v>
      </c>
      <c r="M64" s="115" t="s">
        <v>1109</v>
      </c>
      <c r="N64" s="115" t="s">
        <v>6505</v>
      </c>
      <c r="O64" s="115">
        <v>1</v>
      </c>
      <c r="P64" s="115" t="s">
        <v>1109</v>
      </c>
      <c r="Q64" s="166"/>
      <c r="R64" s="164"/>
      <c r="S64" s="164"/>
      <c r="T64" s="164"/>
      <c r="U64" s="164"/>
      <c r="V64" s="162"/>
      <c r="W64" s="158"/>
      <c r="X64" s="158"/>
      <c r="Y64" s="158"/>
      <c r="Z64" s="158"/>
      <c r="AA64" s="158"/>
      <c r="AB64" s="158"/>
      <c r="AC64" s="113">
        <v>290</v>
      </c>
      <c r="AD64" s="113">
        <v>50</v>
      </c>
      <c r="AE64" s="113">
        <v>65</v>
      </c>
      <c r="AF64" s="113">
        <v>55</v>
      </c>
      <c r="AG64" s="120">
        <v>40</v>
      </c>
      <c r="AH64" s="113">
        <v>40</v>
      </c>
      <c r="AI64" s="113">
        <v>40</v>
      </c>
    </row>
    <row r="65" spans="1:35">
      <c r="A65" s="113">
        <v>52</v>
      </c>
      <c r="B65" s="113" t="s">
        <v>6436</v>
      </c>
      <c r="C65" s="120" t="s">
        <v>5278</v>
      </c>
      <c r="D65" s="124">
        <v>0.5</v>
      </c>
      <c r="E65" s="124">
        <v>0.5</v>
      </c>
      <c r="F65" s="113" t="s">
        <v>2332</v>
      </c>
      <c r="G65" s="113" t="s">
        <v>2702</v>
      </c>
      <c r="H65" s="113" t="s">
        <v>158</v>
      </c>
      <c r="I65" s="113" t="s">
        <v>1109</v>
      </c>
      <c r="J65" s="118" t="s">
        <v>2129</v>
      </c>
      <c r="K65" s="118">
        <v>1</v>
      </c>
      <c r="L65" s="118" t="s">
        <v>5277</v>
      </c>
      <c r="M65" s="115" t="s">
        <v>1109</v>
      </c>
      <c r="N65" s="115" t="s">
        <v>6505</v>
      </c>
      <c r="O65" s="115">
        <v>1</v>
      </c>
      <c r="P65" s="115" t="s">
        <v>1109</v>
      </c>
      <c r="Q65" s="166"/>
      <c r="R65" s="164"/>
      <c r="S65" s="164"/>
      <c r="T65" s="164"/>
      <c r="U65" s="164"/>
      <c r="V65" s="162"/>
      <c r="W65" s="158"/>
      <c r="X65" s="158"/>
      <c r="Y65" s="158"/>
      <c r="Z65" s="158"/>
      <c r="AA65" s="158"/>
      <c r="AB65" s="158"/>
      <c r="AC65" s="113">
        <v>290</v>
      </c>
      <c r="AD65" s="113">
        <v>40</v>
      </c>
      <c r="AE65" s="113">
        <v>35</v>
      </c>
      <c r="AF65" s="113">
        <v>35</v>
      </c>
      <c r="AG65" s="120">
        <v>50</v>
      </c>
      <c r="AH65" s="113">
        <v>40</v>
      </c>
      <c r="AI65" s="113">
        <v>90</v>
      </c>
    </row>
    <row r="66" spans="1:35">
      <c r="A66" s="113">
        <v>52</v>
      </c>
      <c r="B66" s="113" t="s">
        <v>6487</v>
      </c>
      <c r="C66" s="120" t="s">
        <v>5278</v>
      </c>
      <c r="D66" s="124">
        <v>0.5</v>
      </c>
      <c r="E66" s="124">
        <v>0.5</v>
      </c>
      <c r="F66" s="113" t="s">
        <v>2332</v>
      </c>
      <c r="G66" s="113" t="s">
        <v>2702</v>
      </c>
      <c r="H66" s="113" t="s">
        <v>158</v>
      </c>
      <c r="I66" s="113" t="s">
        <v>1109</v>
      </c>
      <c r="J66" s="118" t="s">
        <v>2129</v>
      </c>
      <c r="K66" s="118">
        <v>1</v>
      </c>
      <c r="L66" s="118" t="s">
        <v>5277</v>
      </c>
      <c r="M66" s="115" t="s">
        <v>1109</v>
      </c>
      <c r="N66" s="115" t="s">
        <v>6505</v>
      </c>
      <c r="O66" s="115">
        <v>1</v>
      </c>
      <c r="P66" s="115" t="s">
        <v>1109</v>
      </c>
      <c r="Q66" s="166"/>
      <c r="R66" s="164"/>
      <c r="S66" s="164"/>
      <c r="T66" s="164"/>
      <c r="U66" s="164"/>
      <c r="V66" s="162"/>
      <c r="W66" s="158"/>
      <c r="X66" s="158"/>
      <c r="Y66" s="158"/>
      <c r="Z66" s="158"/>
      <c r="AA66" s="158"/>
      <c r="AB66" s="158"/>
      <c r="AC66" s="113">
        <v>290</v>
      </c>
      <c r="AD66" s="113">
        <v>40</v>
      </c>
      <c r="AE66" s="113">
        <v>35</v>
      </c>
      <c r="AF66" s="113">
        <v>35</v>
      </c>
      <c r="AG66" s="120">
        <v>50</v>
      </c>
      <c r="AH66" s="113">
        <v>40</v>
      </c>
      <c r="AI66" s="113">
        <v>90</v>
      </c>
    </row>
    <row r="67" spans="1:35">
      <c r="A67" s="113">
        <v>53</v>
      </c>
      <c r="B67" s="113" t="s">
        <v>74</v>
      </c>
      <c r="C67" s="120" t="s">
        <v>5280</v>
      </c>
      <c r="D67" s="124">
        <v>0.5</v>
      </c>
      <c r="E67" s="124">
        <v>0.5</v>
      </c>
      <c r="F67" s="113" t="s">
        <v>2332</v>
      </c>
      <c r="G67" s="113" t="s">
        <v>1973</v>
      </c>
      <c r="H67" s="113" t="s">
        <v>36</v>
      </c>
      <c r="I67" s="113" t="s">
        <v>1109</v>
      </c>
      <c r="J67" s="118" t="s">
        <v>2129</v>
      </c>
      <c r="K67" s="118">
        <v>1</v>
      </c>
      <c r="L67" s="118" t="s">
        <v>5277</v>
      </c>
      <c r="M67" s="115" t="s">
        <v>5277</v>
      </c>
      <c r="N67" s="115" t="s">
        <v>6504</v>
      </c>
      <c r="O67" s="115">
        <v>1</v>
      </c>
      <c r="P67" s="115" t="s">
        <v>2128</v>
      </c>
      <c r="Q67" s="166"/>
      <c r="R67" s="164"/>
      <c r="S67" s="164"/>
      <c r="T67" s="164"/>
      <c r="U67" s="164"/>
      <c r="V67" s="162"/>
      <c r="W67" s="158"/>
      <c r="X67" s="158"/>
      <c r="Y67" s="158"/>
      <c r="Z67" s="158"/>
      <c r="AA67" s="158"/>
      <c r="AB67" s="158"/>
      <c r="AC67" s="113">
        <v>440</v>
      </c>
      <c r="AD67" s="113">
        <v>65</v>
      </c>
      <c r="AE67" s="113">
        <v>70</v>
      </c>
      <c r="AF67" s="113">
        <v>60</v>
      </c>
      <c r="AG67" s="120">
        <v>65</v>
      </c>
      <c r="AH67" s="113">
        <v>65</v>
      </c>
      <c r="AI67" s="113">
        <v>115</v>
      </c>
    </row>
    <row r="68" spans="1:35">
      <c r="A68" s="113">
        <v>53</v>
      </c>
      <c r="B68" s="113" t="s">
        <v>6424</v>
      </c>
      <c r="C68" s="120" t="s">
        <v>5281</v>
      </c>
      <c r="D68" s="124">
        <v>0.5</v>
      </c>
      <c r="E68" s="124">
        <v>0.5</v>
      </c>
      <c r="F68" s="113" t="s">
        <v>2332</v>
      </c>
      <c r="G68" s="113" t="s">
        <v>2702</v>
      </c>
      <c r="H68" s="113" t="s">
        <v>158</v>
      </c>
      <c r="I68" s="113" t="s">
        <v>1109</v>
      </c>
      <c r="J68" s="118" t="s">
        <v>2129</v>
      </c>
      <c r="K68" s="118">
        <v>1</v>
      </c>
      <c r="L68" s="118" t="s">
        <v>5277</v>
      </c>
      <c r="M68" s="115" t="s">
        <v>5278</v>
      </c>
      <c r="N68" s="115" t="s">
        <v>6504</v>
      </c>
      <c r="O68" s="115">
        <v>1</v>
      </c>
      <c r="P68" s="115" t="s">
        <v>2128</v>
      </c>
      <c r="Q68" s="166"/>
      <c r="R68" s="164"/>
      <c r="S68" s="164"/>
      <c r="T68" s="164"/>
      <c r="U68" s="164"/>
      <c r="V68" s="162"/>
      <c r="W68" s="158"/>
      <c r="X68" s="158"/>
      <c r="Y68" s="158"/>
      <c r="Z68" s="158"/>
      <c r="AA68" s="158"/>
      <c r="AB68" s="158"/>
      <c r="AC68" s="113">
        <v>440</v>
      </c>
      <c r="AD68" s="113">
        <v>65</v>
      </c>
      <c r="AE68" s="113">
        <v>60</v>
      </c>
      <c r="AF68" s="113">
        <v>60</v>
      </c>
      <c r="AG68" s="120">
        <v>75</v>
      </c>
      <c r="AH68" s="113">
        <v>65</v>
      </c>
      <c r="AI68" s="113">
        <v>115</v>
      </c>
    </row>
    <row r="69" spans="1:35">
      <c r="A69" s="113">
        <v>54</v>
      </c>
      <c r="B69" s="113" t="s">
        <v>75</v>
      </c>
      <c r="C69" s="120" t="s">
        <v>5282</v>
      </c>
      <c r="D69" s="124">
        <v>0.5</v>
      </c>
      <c r="E69" s="124">
        <v>0.5</v>
      </c>
      <c r="F69" s="113" t="s">
        <v>2331</v>
      </c>
      <c r="G69" s="113" t="s">
        <v>1973</v>
      </c>
      <c r="H69" s="113" t="s">
        <v>25</v>
      </c>
      <c r="I69" s="113" t="s">
        <v>1109</v>
      </c>
      <c r="J69" s="118" t="s">
        <v>2129</v>
      </c>
      <c r="K69" s="118">
        <v>2</v>
      </c>
      <c r="L69" s="118" t="s">
        <v>5282</v>
      </c>
      <c r="M69" s="115" t="s">
        <v>1109</v>
      </c>
      <c r="N69" s="115" t="s">
        <v>6505</v>
      </c>
      <c r="O69" s="115">
        <v>1.25</v>
      </c>
      <c r="P69" s="115" t="s">
        <v>1109</v>
      </c>
      <c r="Q69" s="166"/>
      <c r="R69" s="164"/>
      <c r="S69" s="164"/>
      <c r="T69" s="164"/>
      <c r="U69" s="164"/>
      <c r="V69" s="162"/>
      <c r="W69" s="158"/>
      <c r="X69" s="158"/>
      <c r="Y69" s="158"/>
      <c r="Z69" s="158"/>
      <c r="AA69" s="158"/>
      <c r="AB69" s="158"/>
      <c r="AC69" s="113">
        <v>320</v>
      </c>
      <c r="AD69" s="113">
        <v>50</v>
      </c>
      <c r="AE69" s="113">
        <v>52</v>
      </c>
      <c r="AF69" s="113">
        <v>48</v>
      </c>
      <c r="AG69" s="120">
        <v>65</v>
      </c>
      <c r="AH69" s="113">
        <v>50</v>
      </c>
      <c r="AI69" s="113">
        <v>55</v>
      </c>
    </row>
    <row r="70" spans="1:35">
      <c r="A70" s="113">
        <v>55</v>
      </c>
      <c r="B70" s="113" t="s">
        <v>76</v>
      </c>
      <c r="C70" s="120" t="s">
        <v>5283</v>
      </c>
      <c r="D70" s="124">
        <v>0.5</v>
      </c>
      <c r="E70" s="124">
        <v>0.5</v>
      </c>
      <c r="F70" s="113" t="s">
        <v>2331</v>
      </c>
      <c r="G70" s="113" t="s">
        <v>1973</v>
      </c>
      <c r="H70" s="113" t="s">
        <v>25</v>
      </c>
      <c r="I70" s="113" t="s">
        <v>1109</v>
      </c>
      <c r="J70" s="118" t="s">
        <v>2129</v>
      </c>
      <c r="K70" s="118">
        <v>2</v>
      </c>
      <c r="L70" s="118" t="s">
        <v>5282</v>
      </c>
      <c r="M70" s="115" t="s">
        <v>5282</v>
      </c>
      <c r="N70" s="115" t="s">
        <v>6504</v>
      </c>
      <c r="O70" s="115">
        <v>1.25</v>
      </c>
      <c r="P70" s="115" t="s">
        <v>2128</v>
      </c>
      <c r="Q70" s="166"/>
      <c r="R70" s="164"/>
      <c r="S70" s="164"/>
      <c r="T70" s="164"/>
      <c r="U70" s="164"/>
      <c r="V70" s="162"/>
      <c r="W70" s="158"/>
      <c r="X70" s="158"/>
      <c r="Y70" s="158"/>
      <c r="Z70" s="158"/>
      <c r="AA70" s="158"/>
      <c r="AB70" s="158"/>
      <c r="AC70" s="113">
        <v>500</v>
      </c>
      <c r="AD70" s="113">
        <v>80</v>
      </c>
      <c r="AE70" s="113">
        <v>82</v>
      </c>
      <c r="AF70" s="113">
        <v>78</v>
      </c>
      <c r="AG70" s="120">
        <v>95</v>
      </c>
      <c r="AH70" s="113">
        <v>80</v>
      </c>
      <c r="AI70" s="113">
        <v>85</v>
      </c>
    </row>
    <row r="71" spans="1:35">
      <c r="A71" s="113">
        <v>56</v>
      </c>
      <c r="B71" s="113" t="s">
        <v>77</v>
      </c>
      <c r="C71" s="120" t="s">
        <v>5284</v>
      </c>
      <c r="D71" s="124">
        <v>0.5</v>
      </c>
      <c r="E71" s="124">
        <v>0.5</v>
      </c>
      <c r="F71" s="113" t="s">
        <v>2332</v>
      </c>
      <c r="G71" s="113" t="s">
        <v>1973</v>
      </c>
      <c r="H71" s="113" t="s">
        <v>78</v>
      </c>
      <c r="I71" s="113" t="s">
        <v>1109</v>
      </c>
      <c r="J71" s="118" t="s">
        <v>2129</v>
      </c>
      <c r="K71" s="118">
        <v>2</v>
      </c>
      <c r="L71" s="118" t="s">
        <v>5284</v>
      </c>
      <c r="M71" s="115" t="s">
        <v>1109</v>
      </c>
      <c r="N71" s="115" t="s">
        <v>6505</v>
      </c>
      <c r="O71" s="115">
        <v>1.25</v>
      </c>
      <c r="P71" s="115" t="s">
        <v>1109</v>
      </c>
      <c r="Q71" s="166"/>
      <c r="R71" s="164"/>
      <c r="S71" s="164"/>
      <c r="T71" s="164"/>
      <c r="U71" s="164"/>
      <c r="V71" s="162"/>
      <c r="W71" s="158"/>
      <c r="X71" s="158"/>
      <c r="Y71" s="158"/>
      <c r="Z71" s="158"/>
      <c r="AA71" s="158"/>
      <c r="AB71" s="158"/>
      <c r="AC71" s="113">
        <v>305</v>
      </c>
      <c r="AD71" s="113">
        <v>40</v>
      </c>
      <c r="AE71" s="113">
        <v>80</v>
      </c>
      <c r="AF71" s="113">
        <v>35</v>
      </c>
      <c r="AG71" s="120">
        <v>35</v>
      </c>
      <c r="AH71" s="113">
        <v>45</v>
      </c>
      <c r="AI71" s="113">
        <v>70</v>
      </c>
    </row>
    <row r="72" spans="1:35">
      <c r="A72" s="113">
        <v>57</v>
      </c>
      <c r="B72" s="113" t="s">
        <v>79</v>
      </c>
      <c r="C72" s="120" t="s">
        <v>5285</v>
      </c>
      <c r="D72" s="124">
        <v>0.5</v>
      </c>
      <c r="E72" s="124">
        <v>0.5</v>
      </c>
      <c r="F72" s="113" t="s">
        <v>2332</v>
      </c>
      <c r="G72" s="113" t="s">
        <v>1973</v>
      </c>
      <c r="H72" s="113" t="s">
        <v>78</v>
      </c>
      <c r="I72" s="113" t="s">
        <v>1109</v>
      </c>
      <c r="J72" s="118" t="s">
        <v>2129</v>
      </c>
      <c r="K72" s="118">
        <v>2</v>
      </c>
      <c r="L72" s="118" t="s">
        <v>5284</v>
      </c>
      <c r="M72" s="115" t="s">
        <v>5284</v>
      </c>
      <c r="N72" s="115" t="s">
        <v>6506</v>
      </c>
      <c r="O72" s="115">
        <v>1.25</v>
      </c>
      <c r="P72" s="115" t="s">
        <v>2128</v>
      </c>
      <c r="Q72" s="166"/>
      <c r="R72" s="164"/>
      <c r="S72" s="164"/>
      <c r="T72" s="164"/>
      <c r="U72" s="164"/>
      <c r="V72" s="162"/>
      <c r="W72" s="158"/>
      <c r="X72" s="158"/>
      <c r="Y72" s="158"/>
      <c r="Z72" s="158"/>
      <c r="AA72" s="158"/>
      <c r="AB72" s="158"/>
      <c r="AC72" s="113">
        <v>455</v>
      </c>
      <c r="AD72" s="113">
        <v>65</v>
      </c>
      <c r="AE72" s="113">
        <v>105</v>
      </c>
      <c r="AF72" s="113">
        <v>60</v>
      </c>
      <c r="AG72" s="120">
        <v>60</v>
      </c>
      <c r="AH72" s="113">
        <v>70</v>
      </c>
      <c r="AI72" s="113">
        <v>95</v>
      </c>
    </row>
    <row r="73" spans="1:35">
      <c r="A73" s="113">
        <v>58</v>
      </c>
      <c r="B73" s="113" t="s">
        <v>80</v>
      </c>
      <c r="C73" s="120" t="s">
        <v>5286</v>
      </c>
      <c r="D73" s="124">
        <v>0.75</v>
      </c>
      <c r="E73" s="124">
        <v>0.25</v>
      </c>
      <c r="F73" s="113" t="s">
        <v>2332</v>
      </c>
      <c r="G73" s="113" t="s">
        <v>1973</v>
      </c>
      <c r="H73" s="113" t="s">
        <v>19</v>
      </c>
      <c r="I73" s="113" t="s">
        <v>1109</v>
      </c>
      <c r="J73" s="118" t="s">
        <v>2129</v>
      </c>
      <c r="K73" s="118">
        <v>2</v>
      </c>
      <c r="L73" s="118" t="s">
        <v>5286</v>
      </c>
      <c r="M73" s="115" t="s">
        <v>1109</v>
      </c>
      <c r="N73" s="115" t="s">
        <v>6505</v>
      </c>
      <c r="O73" s="115">
        <v>1.25</v>
      </c>
      <c r="P73" s="115" t="s">
        <v>1109</v>
      </c>
      <c r="Q73" s="166"/>
      <c r="R73" s="164"/>
      <c r="S73" s="164"/>
      <c r="T73" s="164"/>
      <c r="U73" s="164"/>
      <c r="V73" s="162"/>
      <c r="W73" s="158"/>
      <c r="X73" s="158"/>
      <c r="Y73" s="158"/>
      <c r="Z73" s="158"/>
      <c r="AA73" s="158"/>
      <c r="AB73" s="158"/>
      <c r="AC73" s="113">
        <v>350</v>
      </c>
      <c r="AD73" s="113">
        <v>55</v>
      </c>
      <c r="AE73" s="113">
        <v>70</v>
      </c>
      <c r="AF73" s="113">
        <v>45</v>
      </c>
      <c r="AG73" s="120">
        <v>70</v>
      </c>
      <c r="AH73" s="113">
        <v>50</v>
      </c>
      <c r="AI73" s="113">
        <v>60</v>
      </c>
    </row>
    <row r="74" spans="1:35">
      <c r="A74" s="113">
        <v>58</v>
      </c>
      <c r="B74" s="113" t="s">
        <v>2818</v>
      </c>
      <c r="C74" s="120" t="s">
        <v>5287</v>
      </c>
      <c r="D74" s="124">
        <v>0.75</v>
      </c>
      <c r="E74" s="124">
        <v>0.25</v>
      </c>
      <c r="F74" s="113" t="s">
        <v>2332</v>
      </c>
      <c r="G74" s="113" t="s">
        <v>4319</v>
      </c>
      <c r="H74" s="113" t="s">
        <v>19</v>
      </c>
      <c r="I74" s="113" t="s">
        <v>98</v>
      </c>
      <c r="J74" s="118" t="s">
        <v>2129</v>
      </c>
      <c r="K74" s="118">
        <v>2</v>
      </c>
      <c r="L74" s="118" t="s">
        <v>5286</v>
      </c>
      <c r="M74" s="115" t="s">
        <v>1109</v>
      </c>
      <c r="N74" s="115" t="s">
        <v>6505</v>
      </c>
      <c r="O74" s="115">
        <v>1.25</v>
      </c>
      <c r="P74" s="115" t="s">
        <v>1109</v>
      </c>
      <c r="Q74" s="166"/>
      <c r="R74" s="164"/>
      <c r="S74" s="164"/>
      <c r="T74" s="164"/>
      <c r="U74" s="164"/>
      <c r="V74" s="162"/>
      <c r="W74" s="158"/>
      <c r="X74" s="158"/>
      <c r="Y74" s="158"/>
      <c r="Z74" s="158"/>
      <c r="AA74" s="158"/>
      <c r="AB74" s="158"/>
      <c r="AC74" s="113">
        <v>350</v>
      </c>
      <c r="AD74" s="113">
        <v>60</v>
      </c>
      <c r="AE74" s="113">
        <v>75</v>
      </c>
      <c r="AF74" s="113">
        <v>45</v>
      </c>
      <c r="AG74" s="120">
        <v>65</v>
      </c>
      <c r="AH74" s="113">
        <v>50</v>
      </c>
      <c r="AI74" s="113">
        <v>55</v>
      </c>
    </row>
    <row r="75" spans="1:35">
      <c r="A75" s="113">
        <v>59</v>
      </c>
      <c r="B75" s="113" t="s">
        <v>81</v>
      </c>
      <c r="C75" s="120" t="s">
        <v>5288</v>
      </c>
      <c r="D75" s="124">
        <v>0.75</v>
      </c>
      <c r="E75" s="124">
        <v>0.25</v>
      </c>
      <c r="F75" s="113" t="s">
        <v>2332</v>
      </c>
      <c r="G75" s="113" t="s">
        <v>1973</v>
      </c>
      <c r="H75" s="113" t="s">
        <v>19</v>
      </c>
      <c r="I75" s="113" t="s">
        <v>1109</v>
      </c>
      <c r="J75" s="118" t="s">
        <v>2129</v>
      </c>
      <c r="K75" s="118">
        <v>2</v>
      </c>
      <c r="L75" s="118" t="s">
        <v>5286</v>
      </c>
      <c r="M75" s="115" t="s">
        <v>5286</v>
      </c>
      <c r="N75" s="115" t="s">
        <v>6504</v>
      </c>
      <c r="O75" s="115">
        <v>1.25</v>
      </c>
      <c r="P75" s="115" t="s">
        <v>1803</v>
      </c>
      <c r="Q75" s="166"/>
      <c r="R75" s="164"/>
      <c r="S75" s="164"/>
      <c r="T75" s="164"/>
      <c r="U75" s="164"/>
      <c r="V75" s="162"/>
      <c r="W75" s="158"/>
      <c r="X75" s="158"/>
      <c r="Y75" s="158"/>
      <c r="Z75" s="158"/>
      <c r="AA75" s="158"/>
      <c r="AB75" s="158"/>
      <c r="AC75" s="113">
        <v>555</v>
      </c>
      <c r="AD75" s="113">
        <v>90</v>
      </c>
      <c r="AE75" s="113">
        <v>110</v>
      </c>
      <c r="AF75" s="113">
        <v>80</v>
      </c>
      <c r="AG75" s="120">
        <v>100</v>
      </c>
      <c r="AH75" s="113">
        <v>80</v>
      </c>
      <c r="AI75" s="113">
        <v>95</v>
      </c>
    </row>
    <row r="76" spans="1:35">
      <c r="A76" s="113">
        <v>59</v>
      </c>
      <c r="B76" s="113" t="s">
        <v>2820</v>
      </c>
      <c r="C76" s="120" t="s">
        <v>5289</v>
      </c>
      <c r="D76" s="124">
        <v>0.75</v>
      </c>
      <c r="E76" s="124">
        <v>0.25</v>
      </c>
      <c r="F76" s="113" t="s">
        <v>2332</v>
      </c>
      <c r="G76" s="113" t="s">
        <v>4319</v>
      </c>
      <c r="H76" s="113" t="s">
        <v>19</v>
      </c>
      <c r="I76" s="113" t="s">
        <v>98</v>
      </c>
      <c r="J76" s="118" t="s">
        <v>2129</v>
      </c>
      <c r="K76" s="118">
        <v>2</v>
      </c>
      <c r="L76" s="118" t="s">
        <v>5286</v>
      </c>
      <c r="M76" s="120" t="s">
        <v>5287</v>
      </c>
      <c r="N76" s="115" t="s">
        <v>6504</v>
      </c>
      <c r="O76" s="115">
        <v>1.25</v>
      </c>
      <c r="P76" s="115" t="s">
        <v>1803</v>
      </c>
      <c r="Q76" s="166"/>
      <c r="R76" s="164"/>
      <c r="S76" s="164"/>
      <c r="T76" s="164"/>
      <c r="U76" s="164"/>
      <c r="V76" s="162"/>
      <c r="W76" s="158"/>
      <c r="X76" s="158"/>
      <c r="Y76" s="158"/>
      <c r="Z76" s="158"/>
      <c r="AA76" s="158"/>
      <c r="AB76" s="158"/>
      <c r="AC76" s="113">
        <v>555</v>
      </c>
      <c r="AD76" s="113">
        <v>95</v>
      </c>
      <c r="AE76" s="113">
        <v>115</v>
      </c>
      <c r="AF76" s="113">
        <v>80</v>
      </c>
      <c r="AG76" s="120">
        <v>95</v>
      </c>
      <c r="AH76" s="113">
        <v>80</v>
      </c>
      <c r="AI76" s="113">
        <v>90</v>
      </c>
    </row>
    <row r="77" spans="1:35">
      <c r="A77" s="113">
        <v>60</v>
      </c>
      <c r="B77" s="113" t="s">
        <v>82</v>
      </c>
      <c r="C77" s="120" t="s">
        <v>5290</v>
      </c>
      <c r="D77" s="124">
        <v>0.5</v>
      </c>
      <c r="E77" s="124">
        <v>0.5</v>
      </c>
      <c r="F77" s="113" t="s">
        <v>2331</v>
      </c>
      <c r="G77" s="113" t="s">
        <v>1973</v>
      </c>
      <c r="H77" s="113" t="s">
        <v>25</v>
      </c>
      <c r="I77" s="113" t="s">
        <v>1109</v>
      </c>
      <c r="J77" s="118" t="s">
        <v>2129</v>
      </c>
      <c r="K77" s="118">
        <v>1</v>
      </c>
      <c r="L77" s="118" t="s">
        <v>5290</v>
      </c>
      <c r="M77" s="115" t="s">
        <v>1109</v>
      </c>
      <c r="N77" s="115" t="s">
        <v>6505</v>
      </c>
      <c r="O77" s="115">
        <v>1</v>
      </c>
      <c r="P77" s="115" t="s">
        <v>1109</v>
      </c>
      <c r="Q77" s="166"/>
      <c r="R77" s="164"/>
      <c r="S77" s="164"/>
      <c r="T77" s="164"/>
      <c r="U77" s="164"/>
      <c r="V77" s="162"/>
      <c r="W77" s="158"/>
      <c r="X77" s="158"/>
      <c r="Y77" s="158"/>
      <c r="Z77" s="158"/>
      <c r="AA77" s="158"/>
      <c r="AB77" s="158"/>
      <c r="AC77" s="113">
        <v>300</v>
      </c>
      <c r="AD77" s="113">
        <v>40</v>
      </c>
      <c r="AE77" s="113">
        <v>50</v>
      </c>
      <c r="AF77" s="113">
        <v>40</v>
      </c>
      <c r="AG77" s="120">
        <v>40</v>
      </c>
      <c r="AH77" s="113">
        <v>40</v>
      </c>
      <c r="AI77" s="113">
        <v>90</v>
      </c>
    </row>
    <row r="78" spans="1:35">
      <c r="A78" s="113">
        <v>61</v>
      </c>
      <c r="B78" s="113" t="s">
        <v>83</v>
      </c>
      <c r="C78" s="120" t="s">
        <v>5291</v>
      </c>
      <c r="D78" s="124">
        <v>0.5</v>
      </c>
      <c r="E78" s="124">
        <v>0.5</v>
      </c>
      <c r="F78" s="113" t="s">
        <v>2331</v>
      </c>
      <c r="G78" s="113" t="s">
        <v>1973</v>
      </c>
      <c r="H78" s="113" t="s">
        <v>25</v>
      </c>
      <c r="I78" s="113" t="s">
        <v>1109</v>
      </c>
      <c r="J78" s="118" t="s">
        <v>2129</v>
      </c>
      <c r="K78" s="118">
        <v>1</v>
      </c>
      <c r="L78" s="118" t="s">
        <v>5290</v>
      </c>
      <c r="M78" s="115" t="s">
        <v>5290</v>
      </c>
      <c r="N78" s="115" t="s">
        <v>6506</v>
      </c>
      <c r="O78" s="115">
        <v>1</v>
      </c>
      <c r="P78" s="115" t="s">
        <v>2128</v>
      </c>
      <c r="Q78" s="166"/>
      <c r="R78" s="164"/>
      <c r="S78" s="164"/>
      <c r="T78" s="164"/>
      <c r="U78" s="164"/>
      <c r="V78" s="162"/>
      <c r="W78" s="158"/>
      <c r="X78" s="158"/>
      <c r="Y78" s="158"/>
      <c r="Z78" s="158"/>
      <c r="AA78" s="158"/>
      <c r="AB78" s="158"/>
      <c r="AC78" s="113">
        <v>385</v>
      </c>
      <c r="AD78" s="113">
        <v>65</v>
      </c>
      <c r="AE78" s="113">
        <v>65</v>
      </c>
      <c r="AF78" s="113">
        <v>65</v>
      </c>
      <c r="AG78" s="120">
        <v>50</v>
      </c>
      <c r="AH78" s="113">
        <v>50</v>
      </c>
      <c r="AI78" s="113">
        <v>90</v>
      </c>
    </row>
    <row r="79" spans="1:35">
      <c r="A79" s="113">
        <v>62</v>
      </c>
      <c r="B79" s="113" t="s">
        <v>84</v>
      </c>
      <c r="C79" s="120" t="s">
        <v>5292</v>
      </c>
      <c r="D79" s="124">
        <v>0.5</v>
      </c>
      <c r="E79" s="124">
        <v>0.5</v>
      </c>
      <c r="F79" s="113" t="s">
        <v>2331</v>
      </c>
      <c r="G79" s="113" t="s">
        <v>1973</v>
      </c>
      <c r="H79" s="113" t="s">
        <v>25</v>
      </c>
      <c r="I79" s="113" t="s">
        <v>78</v>
      </c>
      <c r="J79" s="118" t="s">
        <v>2129</v>
      </c>
      <c r="K79" s="118">
        <v>1</v>
      </c>
      <c r="L79" s="118" t="s">
        <v>5290</v>
      </c>
      <c r="M79" s="115" t="s">
        <v>5291</v>
      </c>
      <c r="N79" s="115" t="s">
        <v>6504</v>
      </c>
      <c r="O79" s="115">
        <v>1</v>
      </c>
      <c r="P79" s="115" t="s">
        <v>1803</v>
      </c>
      <c r="Q79" s="166"/>
      <c r="R79" s="164"/>
      <c r="S79" s="164"/>
      <c r="T79" s="164"/>
      <c r="U79" s="164"/>
      <c r="V79" s="162"/>
      <c r="W79" s="158"/>
      <c r="X79" s="158"/>
      <c r="Y79" s="158"/>
      <c r="Z79" s="158"/>
      <c r="AA79" s="158"/>
      <c r="AB79" s="158"/>
      <c r="AC79" s="113">
        <v>510</v>
      </c>
      <c r="AD79" s="113">
        <v>90</v>
      </c>
      <c r="AE79" s="113">
        <v>95</v>
      </c>
      <c r="AF79" s="113">
        <v>95</v>
      </c>
      <c r="AG79" s="120">
        <v>70</v>
      </c>
      <c r="AH79" s="113">
        <v>90</v>
      </c>
      <c r="AI79" s="113">
        <v>70</v>
      </c>
    </row>
    <row r="80" spans="1:35">
      <c r="A80" s="113">
        <v>63</v>
      </c>
      <c r="B80" s="113" t="s">
        <v>85</v>
      </c>
      <c r="C80" s="120" t="s">
        <v>5293</v>
      </c>
      <c r="D80" s="124">
        <v>0.75</v>
      </c>
      <c r="E80" s="124">
        <v>0.25</v>
      </c>
      <c r="F80" s="113" t="s">
        <v>2334</v>
      </c>
      <c r="G80" s="113" t="s">
        <v>1973</v>
      </c>
      <c r="H80" s="113" t="s">
        <v>86</v>
      </c>
      <c r="I80" s="113" t="s">
        <v>1109</v>
      </c>
      <c r="J80" s="118" t="s">
        <v>2129</v>
      </c>
      <c r="K80" s="118">
        <v>2</v>
      </c>
      <c r="L80" s="118" t="s">
        <v>5293</v>
      </c>
      <c r="M80" s="115" t="s">
        <v>1109</v>
      </c>
      <c r="N80" s="115" t="s">
        <v>6505</v>
      </c>
      <c r="O80" s="115">
        <v>1.25</v>
      </c>
      <c r="P80" s="115" t="s">
        <v>1109</v>
      </c>
      <c r="Q80" s="166"/>
      <c r="R80" s="164"/>
      <c r="S80" s="164"/>
      <c r="T80" s="164"/>
      <c r="U80" s="164"/>
      <c r="V80" s="162"/>
      <c r="W80" s="158"/>
      <c r="X80" s="158"/>
      <c r="Y80" s="158"/>
      <c r="Z80" s="158"/>
      <c r="AA80" s="158"/>
      <c r="AB80" s="158"/>
      <c r="AC80" s="113">
        <v>310</v>
      </c>
      <c r="AD80" s="113">
        <v>25</v>
      </c>
      <c r="AE80" s="113">
        <v>20</v>
      </c>
      <c r="AF80" s="113">
        <v>15</v>
      </c>
      <c r="AG80" s="120">
        <v>105</v>
      </c>
      <c r="AH80" s="113">
        <v>55</v>
      </c>
      <c r="AI80" s="113">
        <v>90</v>
      </c>
    </row>
    <row r="81" spans="1:35">
      <c r="A81" s="113">
        <v>64</v>
      </c>
      <c r="B81" s="113" t="s">
        <v>87</v>
      </c>
      <c r="C81" s="120" t="s">
        <v>5294</v>
      </c>
      <c r="D81" s="124">
        <v>0.75</v>
      </c>
      <c r="E81" s="124">
        <v>0.25</v>
      </c>
      <c r="F81" s="113" t="s">
        <v>2334</v>
      </c>
      <c r="G81" s="113" t="s">
        <v>1973</v>
      </c>
      <c r="H81" s="113" t="s">
        <v>86</v>
      </c>
      <c r="I81" s="113" t="s">
        <v>1109</v>
      </c>
      <c r="J81" s="118" t="s">
        <v>2129</v>
      </c>
      <c r="K81" s="118">
        <v>2</v>
      </c>
      <c r="L81" s="118" t="s">
        <v>5293</v>
      </c>
      <c r="M81" s="115" t="s">
        <v>5293</v>
      </c>
      <c r="N81" s="115" t="s">
        <v>6506</v>
      </c>
      <c r="O81" s="115">
        <v>1.25</v>
      </c>
      <c r="P81" s="115" t="s">
        <v>2128</v>
      </c>
      <c r="Q81" s="166"/>
      <c r="R81" s="164"/>
      <c r="S81" s="164"/>
      <c r="T81" s="164"/>
      <c r="U81" s="164"/>
      <c r="V81" s="162"/>
      <c r="W81" s="158"/>
      <c r="X81" s="158"/>
      <c r="Y81" s="158"/>
      <c r="Z81" s="158"/>
      <c r="AA81" s="158"/>
      <c r="AB81" s="158"/>
      <c r="AC81" s="113">
        <v>400</v>
      </c>
      <c r="AD81" s="113">
        <v>40</v>
      </c>
      <c r="AE81" s="113">
        <v>35</v>
      </c>
      <c r="AF81" s="113">
        <v>30</v>
      </c>
      <c r="AG81" s="120">
        <v>120</v>
      </c>
      <c r="AH81" s="113">
        <v>70</v>
      </c>
      <c r="AI81" s="113">
        <v>105</v>
      </c>
    </row>
    <row r="82" spans="1:35">
      <c r="A82" s="113">
        <v>65</v>
      </c>
      <c r="B82" s="113" t="s">
        <v>88</v>
      </c>
      <c r="C82" s="120" t="s">
        <v>5295</v>
      </c>
      <c r="D82" s="124">
        <v>0.75</v>
      </c>
      <c r="E82" s="124">
        <v>0.25</v>
      </c>
      <c r="F82" s="113" t="s">
        <v>2334</v>
      </c>
      <c r="G82" s="113" t="s">
        <v>1973</v>
      </c>
      <c r="H82" s="113" t="s">
        <v>86</v>
      </c>
      <c r="I82" s="113" t="s">
        <v>1109</v>
      </c>
      <c r="J82" s="118" t="s">
        <v>2129</v>
      </c>
      <c r="K82" s="118">
        <v>2</v>
      </c>
      <c r="L82" s="118" t="s">
        <v>5293</v>
      </c>
      <c r="M82" s="115" t="s">
        <v>5294</v>
      </c>
      <c r="N82" s="115" t="s">
        <v>6504</v>
      </c>
      <c r="O82" s="115">
        <v>1.25</v>
      </c>
      <c r="P82" s="115" t="s">
        <v>2128</v>
      </c>
      <c r="Q82" s="166"/>
      <c r="R82" s="164"/>
      <c r="S82" s="164"/>
      <c r="T82" s="164"/>
      <c r="U82" s="164"/>
      <c r="V82" s="162"/>
      <c r="W82" s="158"/>
      <c r="X82" s="158"/>
      <c r="Y82" s="158"/>
      <c r="Z82" s="158"/>
      <c r="AA82" s="158"/>
      <c r="AB82" s="158"/>
      <c r="AC82" s="113">
        <v>500</v>
      </c>
      <c r="AD82" s="113">
        <v>55</v>
      </c>
      <c r="AE82" s="113">
        <v>50</v>
      </c>
      <c r="AF82" s="113">
        <v>45</v>
      </c>
      <c r="AG82" s="120">
        <v>135</v>
      </c>
      <c r="AH82" s="113">
        <v>95</v>
      </c>
      <c r="AI82" s="113">
        <v>120</v>
      </c>
    </row>
    <row r="83" spans="1:35">
      <c r="A83" s="113">
        <v>66</v>
      </c>
      <c r="B83" s="113" t="s">
        <v>89</v>
      </c>
      <c r="C83" s="120" t="s">
        <v>5297</v>
      </c>
      <c r="D83" s="124">
        <v>0.75</v>
      </c>
      <c r="E83" s="124">
        <v>0.25</v>
      </c>
      <c r="F83" s="113" t="s">
        <v>2334</v>
      </c>
      <c r="G83" s="113" t="s">
        <v>1973</v>
      </c>
      <c r="H83" s="113" t="s">
        <v>78</v>
      </c>
      <c r="I83" s="113" t="s">
        <v>1109</v>
      </c>
      <c r="J83" s="118" t="s">
        <v>2129</v>
      </c>
      <c r="K83" s="118">
        <v>2</v>
      </c>
      <c r="L83" s="118" t="s">
        <v>5297</v>
      </c>
      <c r="M83" s="115" t="s">
        <v>1109</v>
      </c>
      <c r="N83" s="115" t="s">
        <v>6505</v>
      </c>
      <c r="O83" s="115">
        <v>1.25</v>
      </c>
      <c r="P83" s="115" t="s">
        <v>1109</v>
      </c>
      <c r="Q83" s="166"/>
      <c r="R83" s="164"/>
      <c r="S83" s="164"/>
      <c r="T83" s="164"/>
      <c r="U83" s="164"/>
      <c r="V83" s="162"/>
      <c r="W83" s="158"/>
      <c r="X83" s="158"/>
      <c r="Y83" s="158"/>
      <c r="Z83" s="158"/>
      <c r="AA83" s="158"/>
      <c r="AB83" s="158"/>
      <c r="AC83" s="113">
        <v>305</v>
      </c>
      <c r="AD83" s="113">
        <v>70</v>
      </c>
      <c r="AE83" s="113">
        <v>80</v>
      </c>
      <c r="AF83" s="113">
        <v>50</v>
      </c>
      <c r="AG83" s="120">
        <v>35</v>
      </c>
      <c r="AH83" s="113">
        <v>35</v>
      </c>
      <c r="AI83" s="113">
        <v>35</v>
      </c>
    </row>
    <row r="84" spans="1:35">
      <c r="A84" s="113">
        <v>67</v>
      </c>
      <c r="B84" s="113" t="s">
        <v>90</v>
      </c>
      <c r="C84" s="120" t="s">
        <v>5298</v>
      </c>
      <c r="D84" s="124">
        <v>0.75</v>
      </c>
      <c r="E84" s="124">
        <v>0.25</v>
      </c>
      <c r="F84" s="113" t="s">
        <v>2334</v>
      </c>
      <c r="G84" s="113" t="s">
        <v>1973</v>
      </c>
      <c r="H84" s="113" t="s">
        <v>78</v>
      </c>
      <c r="I84" s="113" t="s">
        <v>1109</v>
      </c>
      <c r="J84" s="118" t="s">
        <v>2129</v>
      </c>
      <c r="K84" s="118">
        <v>2</v>
      </c>
      <c r="L84" s="118" t="s">
        <v>5297</v>
      </c>
      <c r="M84" s="115" t="s">
        <v>5297</v>
      </c>
      <c r="N84" s="115" t="s">
        <v>6506</v>
      </c>
      <c r="O84" s="115">
        <v>1.25</v>
      </c>
      <c r="P84" s="115" t="s">
        <v>2128</v>
      </c>
      <c r="Q84" s="166"/>
      <c r="R84" s="164"/>
      <c r="S84" s="164"/>
      <c r="T84" s="164"/>
      <c r="U84" s="164"/>
      <c r="V84" s="162"/>
      <c r="W84" s="158"/>
      <c r="X84" s="158"/>
      <c r="Y84" s="158"/>
      <c r="Z84" s="158"/>
      <c r="AA84" s="158"/>
      <c r="AB84" s="158"/>
      <c r="AC84" s="113">
        <v>405</v>
      </c>
      <c r="AD84" s="113">
        <v>80</v>
      </c>
      <c r="AE84" s="113">
        <v>100</v>
      </c>
      <c r="AF84" s="113">
        <v>70</v>
      </c>
      <c r="AG84" s="120">
        <v>50</v>
      </c>
      <c r="AH84" s="113">
        <v>60</v>
      </c>
      <c r="AI84" s="113">
        <v>45</v>
      </c>
    </row>
    <row r="85" spans="1:35">
      <c r="A85" s="113">
        <v>68</v>
      </c>
      <c r="B85" s="113" t="s">
        <v>91</v>
      </c>
      <c r="C85" s="120" t="s">
        <v>5299</v>
      </c>
      <c r="D85" s="124">
        <v>0.75</v>
      </c>
      <c r="E85" s="124">
        <v>0.25</v>
      </c>
      <c r="F85" s="113" t="s">
        <v>2334</v>
      </c>
      <c r="G85" s="113" t="s">
        <v>1973</v>
      </c>
      <c r="H85" s="113" t="s">
        <v>78</v>
      </c>
      <c r="I85" s="113" t="s">
        <v>1109</v>
      </c>
      <c r="J85" s="118" t="s">
        <v>2129</v>
      </c>
      <c r="K85" s="118">
        <v>2</v>
      </c>
      <c r="L85" s="118" t="s">
        <v>5297</v>
      </c>
      <c r="M85" s="115" t="s">
        <v>5298</v>
      </c>
      <c r="N85" s="115" t="s">
        <v>6504</v>
      </c>
      <c r="O85" s="115">
        <v>1.25</v>
      </c>
      <c r="P85" s="115" t="s">
        <v>2128</v>
      </c>
      <c r="Q85" s="166"/>
      <c r="R85" s="164"/>
      <c r="S85" s="164"/>
      <c r="T85" s="164"/>
      <c r="U85" s="164"/>
      <c r="V85" s="162"/>
      <c r="W85" s="158"/>
      <c r="X85" s="158"/>
      <c r="Y85" s="158"/>
      <c r="Z85" s="158"/>
      <c r="AA85" s="158"/>
      <c r="AB85" s="158"/>
      <c r="AC85" s="113">
        <v>505</v>
      </c>
      <c r="AD85" s="113">
        <v>90</v>
      </c>
      <c r="AE85" s="113">
        <v>130</v>
      </c>
      <c r="AF85" s="113">
        <v>80</v>
      </c>
      <c r="AG85" s="120">
        <v>65</v>
      </c>
      <c r="AH85" s="113">
        <v>85</v>
      </c>
      <c r="AI85" s="113">
        <v>55</v>
      </c>
    </row>
    <row r="86" spans="1:35">
      <c r="A86" s="113">
        <v>69</v>
      </c>
      <c r="B86" s="113" t="s">
        <v>92</v>
      </c>
      <c r="C86" s="120" t="s">
        <v>5300</v>
      </c>
      <c r="D86" s="124">
        <v>0.5</v>
      </c>
      <c r="E86" s="124">
        <v>0.5</v>
      </c>
      <c r="F86" s="113" t="s">
        <v>14</v>
      </c>
      <c r="G86" s="113" t="s">
        <v>1973</v>
      </c>
      <c r="H86" s="113" t="s">
        <v>14</v>
      </c>
      <c r="I86" s="113" t="s">
        <v>15</v>
      </c>
      <c r="J86" s="118" t="s">
        <v>2129</v>
      </c>
      <c r="K86" s="118">
        <v>1</v>
      </c>
      <c r="L86" s="118" t="s">
        <v>5300</v>
      </c>
      <c r="M86" s="115" t="s">
        <v>1109</v>
      </c>
      <c r="N86" s="115" t="s">
        <v>6505</v>
      </c>
      <c r="O86" s="115">
        <v>1</v>
      </c>
      <c r="P86" s="115" t="s">
        <v>1109</v>
      </c>
      <c r="Q86" s="166"/>
      <c r="R86" s="164"/>
      <c r="S86" s="164"/>
      <c r="T86" s="164"/>
      <c r="U86" s="164"/>
      <c r="V86" s="162"/>
      <c r="W86" s="158"/>
      <c r="X86" s="158"/>
      <c r="Y86" s="158"/>
      <c r="Z86" s="158"/>
      <c r="AA86" s="158"/>
      <c r="AB86" s="158"/>
      <c r="AC86" s="113">
        <v>300</v>
      </c>
      <c r="AD86" s="113">
        <v>50</v>
      </c>
      <c r="AE86" s="113">
        <v>75</v>
      </c>
      <c r="AF86" s="113">
        <v>35</v>
      </c>
      <c r="AG86" s="120">
        <v>70</v>
      </c>
      <c r="AH86" s="113">
        <v>30</v>
      </c>
      <c r="AI86" s="113">
        <v>40</v>
      </c>
    </row>
    <row r="87" spans="1:35">
      <c r="A87" s="113">
        <v>70</v>
      </c>
      <c r="B87" s="113" t="s">
        <v>93</v>
      </c>
      <c r="C87" s="120" t="s">
        <v>5301</v>
      </c>
      <c r="D87" s="124">
        <v>0.5</v>
      </c>
      <c r="E87" s="124">
        <v>0.5</v>
      </c>
      <c r="F87" s="113" t="s">
        <v>14</v>
      </c>
      <c r="G87" s="113" t="s">
        <v>1973</v>
      </c>
      <c r="H87" s="113" t="s">
        <v>14</v>
      </c>
      <c r="I87" s="113" t="s">
        <v>15</v>
      </c>
      <c r="J87" s="118" t="s">
        <v>2129</v>
      </c>
      <c r="K87" s="118">
        <v>1</v>
      </c>
      <c r="L87" s="118" t="s">
        <v>5300</v>
      </c>
      <c r="M87" s="115" t="s">
        <v>5300</v>
      </c>
      <c r="N87" s="115" t="s">
        <v>6506</v>
      </c>
      <c r="O87" s="115">
        <v>1</v>
      </c>
      <c r="P87" s="115" t="s">
        <v>2128</v>
      </c>
      <c r="Q87" s="166"/>
      <c r="R87" s="164"/>
      <c r="S87" s="164"/>
      <c r="T87" s="164"/>
      <c r="U87" s="164"/>
      <c r="V87" s="162"/>
      <c r="W87" s="158"/>
      <c r="X87" s="158"/>
      <c r="Y87" s="158"/>
      <c r="Z87" s="158"/>
      <c r="AA87" s="158"/>
      <c r="AB87" s="158"/>
      <c r="AC87" s="113">
        <v>390</v>
      </c>
      <c r="AD87" s="113">
        <v>65</v>
      </c>
      <c r="AE87" s="113">
        <v>90</v>
      </c>
      <c r="AF87" s="113">
        <v>50</v>
      </c>
      <c r="AG87" s="120">
        <v>85</v>
      </c>
      <c r="AH87" s="113">
        <v>45</v>
      </c>
      <c r="AI87" s="113">
        <v>55</v>
      </c>
    </row>
    <row r="88" spans="1:35">
      <c r="A88" s="113">
        <v>71</v>
      </c>
      <c r="B88" s="113" t="s">
        <v>94</v>
      </c>
      <c r="C88" s="120" t="s">
        <v>5302</v>
      </c>
      <c r="D88" s="124">
        <v>0.5</v>
      </c>
      <c r="E88" s="124">
        <v>0.5</v>
      </c>
      <c r="F88" s="113" t="s">
        <v>14</v>
      </c>
      <c r="G88" s="113" t="s">
        <v>1973</v>
      </c>
      <c r="H88" s="113" t="s">
        <v>14</v>
      </c>
      <c r="I88" s="113" t="s">
        <v>15</v>
      </c>
      <c r="J88" s="118" t="s">
        <v>2129</v>
      </c>
      <c r="K88" s="118">
        <v>1</v>
      </c>
      <c r="L88" s="118" t="s">
        <v>5300</v>
      </c>
      <c r="M88" s="115" t="s">
        <v>5301</v>
      </c>
      <c r="N88" s="115" t="s">
        <v>6504</v>
      </c>
      <c r="O88" s="115">
        <v>1</v>
      </c>
      <c r="P88" s="115" t="s">
        <v>1803</v>
      </c>
      <c r="Q88" s="166"/>
      <c r="R88" s="164"/>
      <c r="S88" s="164"/>
      <c r="T88" s="164"/>
      <c r="U88" s="164"/>
      <c r="V88" s="162"/>
      <c r="W88" s="158"/>
      <c r="X88" s="158"/>
      <c r="Y88" s="158"/>
      <c r="Z88" s="158"/>
      <c r="AA88" s="158"/>
      <c r="AB88" s="158"/>
      <c r="AC88" s="113">
        <v>490</v>
      </c>
      <c r="AD88" s="113">
        <v>80</v>
      </c>
      <c r="AE88" s="113">
        <v>105</v>
      </c>
      <c r="AF88" s="113">
        <v>65</v>
      </c>
      <c r="AG88" s="120">
        <v>100</v>
      </c>
      <c r="AH88" s="113">
        <v>70</v>
      </c>
      <c r="AI88" s="113">
        <v>70</v>
      </c>
    </row>
    <row r="89" spans="1:35">
      <c r="A89" s="113">
        <v>72</v>
      </c>
      <c r="B89" s="113" t="s">
        <v>95</v>
      </c>
      <c r="C89" s="120" t="s">
        <v>5303</v>
      </c>
      <c r="D89" s="124">
        <v>0.5</v>
      </c>
      <c r="E89" s="124">
        <v>0.5</v>
      </c>
      <c r="F89" s="113" t="s">
        <v>2335</v>
      </c>
      <c r="G89" s="113" t="s">
        <v>1973</v>
      </c>
      <c r="H89" s="113" t="s">
        <v>25</v>
      </c>
      <c r="I89" s="113" t="s">
        <v>15</v>
      </c>
      <c r="J89" s="118" t="s">
        <v>2129</v>
      </c>
      <c r="K89" s="118">
        <v>1</v>
      </c>
      <c r="L89" s="118" t="s">
        <v>5303</v>
      </c>
      <c r="M89" s="115" t="s">
        <v>1109</v>
      </c>
      <c r="N89" s="115" t="s">
        <v>6505</v>
      </c>
      <c r="O89" s="115">
        <v>1</v>
      </c>
      <c r="P89" s="115" t="s">
        <v>1109</v>
      </c>
      <c r="Q89" s="166"/>
      <c r="R89" s="164"/>
      <c r="S89" s="164"/>
      <c r="T89" s="164"/>
      <c r="U89" s="164"/>
      <c r="V89" s="162"/>
      <c r="W89" s="158"/>
      <c r="X89" s="158"/>
      <c r="Y89" s="158"/>
      <c r="Z89" s="158"/>
      <c r="AA89" s="158"/>
      <c r="AB89" s="158"/>
      <c r="AC89" s="113">
        <v>335</v>
      </c>
      <c r="AD89" s="113">
        <v>40</v>
      </c>
      <c r="AE89" s="113">
        <v>40</v>
      </c>
      <c r="AF89" s="113">
        <v>35</v>
      </c>
      <c r="AG89" s="120">
        <v>50</v>
      </c>
      <c r="AH89" s="113">
        <v>100</v>
      </c>
      <c r="AI89" s="113">
        <v>70</v>
      </c>
    </row>
    <row r="90" spans="1:35">
      <c r="A90" s="113">
        <v>73</v>
      </c>
      <c r="B90" s="113" t="s">
        <v>96</v>
      </c>
      <c r="C90" s="120" t="s">
        <v>5304</v>
      </c>
      <c r="D90" s="124">
        <v>0.5</v>
      </c>
      <c r="E90" s="124">
        <v>0.5</v>
      </c>
      <c r="F90" s="113" t="s">
        <v>2335</v>
      </c>
      <c r="G90" s="113" t="s">
        <v>1973</v>
      </c>
      <c r="H90" s="113" t="s">
        <v>25</v>
      </c>
      <c r="I90" s="113" t="s">
        <v>15</v>
      </c>
      <c r="J90" s="118" t="s">
        <v>2129</v>
      </c>
      <c r="K90" s="118">
        <v>1</v>
      </c>
      <c r="L90" s="118" t="s">
        <v>5303</v>
      </c>
      <c r="M90" s="115" t="s">
        <v>5303</v>
      </c>
      <c r="N90" s="115" t="s">
        <v>6504</v>
      </c>
      <c r="O90" s="115">
        <v>1</v>
      </c>
      <c r="P90" s="115" t="s">
        <v>2128</v>
      </c>
      <c r="Q90" s="166"/>
      <c r="R90" s="164"/>
      <c r="S90" s="164"/>
      <c r="T90" s="164"/>
      <c r="U90" s="164"/>
      <c r="V90" s="162"/>
      <c r="W90" s="158"/>
      <c r="X90" s="158"/>
      <c r="Y90" s="158"/>
      <c r="Z90" s="158"/>
      <c r="AA90" s="158"/>
      <c r="AB90" s="158"/>
      <c r="AC90" s="113">
        <v>515</v>
      </c>
      <c r="AD90" s="113">
        <v>80</v>
      </c>
      <c r="AE90" s="113">
        <v>70</v>
      </c>
      <c r="AF90" s="113">
        <v>65</v>
      </c>
      <c r="AG90" s="120">
        <v>80</v>
      </c>
      <c r="AH90" s="113">
        <v>120</v>
      </c>
      <c r="AI90" s="113">
        <v>100</v>
      </c>
    </row>
    <row r="91" spans="1:35">
      <c r="A91" s="113">
        <v>74</v>
      </c>
      <c r="B91" s="113" t="s">
        <v>97</v>
      </c>
      <c r="C91" s="120" t="s">
        <v>5305</v>
      </c>
      <c r="D91" s="124">
        <v>0.5</v>
      </c>
      <c r="E91" s="124">
        <v>0.5</v>
      </c>
      <c r="F91" s="113" t="s">
        <v>2112</v>
      </c>
      <c r="G91" s="113" t="s">
        <v>1973</v>
      </c>
      <c r="H91" s="113" t="s">
        <v>98</v>
      </c>
      <c r="I91" s="113" t="s">
        <v>49</v>
      </c>
      <c r="J91" s="118" t="s">
        <v>2129</v>
      </c>
      <c r="K91" s="118">
        <v>1</v>
      </c>
      <c r="L91" s="118" t="s">
        <v>5305</v>
      </c>
      <c r="M91" s="115" t="s">
        <v>1109</v>
      </c>
      <c r="N91" s="115" t="s">
        <v>6505</v>
      </c>
      <c r="O91" s="115">
        <v>1</v>
      </c>
      <c r="P91" s="115" t="s">
        <v>1109</v>
      </c>
      <c r="Q91" s="166"/>
      <c r="R91" s="164"/>
      <c r="S91" s="164"/>
      <c r="T91" s="164"/>
      <c r="U91" s="164"/>
      <c r="V91" s="162"/>
      <c r="W91" s="158"/>
      <c r="X91" s="158"/>
      <c r="Y91" s="158"/>
      <c r="Z91" s="158"/>
      <c r="AA91" s="158"/>
      <c r="AB91" s="158"/>
      <c r="AC91" s="113">
        <v>300</v>
      </c>
      <c r="AD91" s="113">
        <v>40</v>
      </c>
      <c r="AE91" s="113">
        <v>80</v>
      </c>
      <c r="AF91" s="113">
        <v>100</v>
      </c>
      <c r="AG91" s="120">
        <v>30</v>
      </c>
      <c r="AH91" s="113">
        <v>30</v>
      </c>
      <c r="AI91" s="113">
        <v>20</v>
      </c>
    </row>
    <row r="92" spans="1:35">
      <c r="A92" s="113">
        <v>74</v>
      </c>
      <c r="B92" s="113" t="s">
        <v>6437</v>
      </c>
      <c r="C92" s="120" t="s">
        <v>5306</v>
      </c>
      <c r="D92" s="124">
        <v>0.5</v>
      </c>
      <c r="E92" s="124">
        <v>0.5</v>
      </c>
      <c r="F92" s="113" t="s">
        <v>2112</v>
      </c>
      <c r="G92" s="113" t="s">
        <v>2702</v>
      </c>
      <c r="H92" s="113" t="s">
        <v>98</v>
      </c>
      <c r="I92" s="113" t="s">
        <v>46</v>
      </c>
      <c r="J92" s="118" t="s">
        <v>2129</v>
      </c>
      <c r="K92" s="118">
        <v>1</v>
      </c>
      <c r="L92" s="118" t="s">
        <v>5305</v>
      </c>
      <c r="M92" s="115" t="s">
        <v>1109</v>
      </c>
      <c r="N92" s="115" t="s">
        <v>6505</v>
      </c>
      <c r="O92" s="115">
        <v>1</v>
      </c>
      <c r="P92" s="115" t="s">
        <v>1109</v>
      </c>
      <c r="Q92" s="166"/>
      <c r="R92" s="164"/>
      <c r="S92" s="164"/>
      <c r="T92" s="164"/>
      <c r="U92" s="164"/>
      <c r="V92" s="162"/>
      <c r="W92" s="158"/>
      <c r="X92" s="158"/>
      <c r="Y92" s="158"/>
      <c r="Z92" s="158"/>
      <c r="AA92" s="158"/>
      <c r="AB92" s="158"/>
      <c r="AC92" s="113">
        <v>300</v>
      </c>
      <c r="AD92" s="113">
        <v>40</v>
      </c>
      <c r="AE92" s="113">
        <v>80</v>
      </c>
      <c r="AF92" s="113">
        <v>100</v>
      </c>
      <c r="AG92" s="120">
        <v>30</v>
      </c>
      <c r="AH92" s="113">
        <v>30</v>
      </c>
      <c r="AI92" s="113">
        <v>20</v>
      </c>
    </row>
    <row r="93" spans="1:35">
      <c r="A93" s="113">
        <v>75</v>
      </c>
      <c r="B93" s="113" t="s">
        <v>99</v>
      </c>
      <c r="C93" s="120" t="s">
        <v>5307</v>
      </c>
      <c r="D93" s="124">
        <v>0.5</v>
      </c>
      <c r="E93" s="124">
        <v>0.5</v>
      </c>
      <c r="F93" s="113" t="s">
        <v>2112</v>
      </c>
      <c r="G93" s="113" t="s">
        <v>1973</v>
      </c>
      <c r="H93" s="113" t="s">
        <v>98</v>
      </c>
      <c r="I93" s="113" t="s">
        <v>49</v>
      </c>
      <c r="J93" s="118" t="s">
        <v>2129</v>
      </c>
      <c r="K93" s="118">
        <v>1</v>
      </c>
      <c r="L93" s="118" t="s">
        <v>5305</v>
      </c>
      <c r="M93" s="115" t="s">
        <v>5305</v>
      </c>
      <c r="N93" s="115" t="s">
        <v>6506</v>
      </c>
      <c r="O93" s="115">
        <v>1</v>
      </c>
      <c r="P93" s="115" t="s">
        <v>2128</v>
      </c>
      <c r="Q93" s="166"/>
      <c r="R93" s="164"/>
      <c r="S93" s="164"/>
      <c r="T93" s="164"/>
      <c r="U93" s="164"/>
      <c r="V93" s="162"/>
      <c r="W93" s="158"/>
      <c r="X93" s="158"/>
      <c r="Y93" s="158"/>
      <c r="Z93" s="158"/>
      <c r="AA93" s="158"/>
      <c r="AB93" s="158"/>
      <c r="AC93" s="113">
        <v>390</v>
      </c>
      <c r="AD93" s="113">
        <v>55</v>
      </c>
      <c r="AE93" s="113">
        <v>95</v>
      </c>
      <c r="AF93" s="113">
        <v>115</v>
      </c>
      <c r="AG93" s="120">
        <v>45</v>
      </c>
      <c r="AH93" s="113">
        <v>45</v>
      </c>
      <c r="AI93" s="113">
        <v>35</v>
      </c>
    </row>
    <row r="94" spans="1:35">
      <c r="A94" s="113">
        <v>75</v>
      </c>
      <c r="B94" s="113" t="s">
        <v>6438</v>
      </c>
      <c r="C94" s="120" t="s">
        <v>5308</v>
      </c>
      <c r="D94" s="124">
        <v>0.5</v>
      </c>
      <c r="E94" s="124">
        <v>0.5</v>
      </c>
      <c r="F94" s="113" t="s">
        <v>2112</v>
      </c>
      <c r="G94" s="113" t="s">
        <v>2702</v>
      </c>
      <c r="H94" s="113" t="s">
        <v>98</v>
      </c>
      <c r="I94" s="113" t="s">
        <v>46</v>
      </c>
      <c r="J94" s="118" t="s">
        <v>2129</v>
      </c>
      <c r="K94" s="118">
        <v>1</v>
      </c>
      <c r="L94" s="118" t="s">
        <v>5305</v>
      </c>
      <c r="M94" s="120" t="s">
        <v>5306</v>
      </c>
      <c r="N94" s="115" t="s">
        <v>6506</v>
      </c>
      <c r="O94" s="115">
        <v>1</v>
      </c>
      <c r="P94" s="115" t="s">
        <v>2128</v>
      </c>
      <c r="Q94" s="166"/>
      <c r="R94" s="164"/>
      <c r="S94" s="164"/>
      <c r="T94" s="164"/>
      <c r="U94" s="164"/>
      <c r="V94" s="162"/>
      <c r="W94" s="158"/>
      <c r="X94" s="158"/>
      <c r="Y94" s="158"/>
      <c r="Z94" s="158"/>
      <c r="AA94" s="158"/>
      <c r="AB94" s="158"/>
      <c r="AC94" s="113">
        <v>390</v>
      </c>
      <c r="AD94" s="113">
        <v>55</v>
      </c>
      <c r="AE94" s="113">
        <v>95</v>
      </c>
      <c r="AF94" s="113">
        <v>115</v>
      </c>
      <c r="AG94" s="120">
        <v>45</v>
      </c>
      <c r="AH94" s="113">
        <v>45</v>
      </c>
      <c r="AI94" s="113">
        <v>35</v>
      </c>
    </row>
    <row r="95" spans="1:35">
      <c r="A95" s="113">
        <v>76</v>
      </c>
      <c r="B95" s="113" t="s">
        <v>100</v>
      </c>
      <c r="C95" s="120" t="s">
        <v>5309</v>
      </c>
      <c r="D95" s="124">
        <v>0.5</v>
      </c>
      <c r="E95" s="124">
        <v>0.5</v>
      </c>
      <c r="F95" s="113" t="s">
        <v>2112</v>
      </c>
      <c r="G95" s="113" t="s">
        <v>1973</v>
      </c>
      <c r="H95" s="113" t="s">
        <v>98</v>
      </c>
      <c r="I95" s="113" t="s">
        <v>49</v>
      </c>
      <c r="J95" s="118" t="s">
        <v>2129</v>
      </c>
      <c r="K95" s="118">
        <v>1</v>
      </c>
      <c r="L95" s="118" t="s">
        <v>5305</v>
      </c>
      <c r="M95" s="115" t="s">
        <v>5307</v>
      </c>
      <c r="N95" s="115" t="s">
        <v>6504</v>
      </c>
      <c r="O95" s="115">
        <v>1</v>
      </c>
      <c r="P95" s="115" t="s">
        <v>2128</v>
      </c>
      <c r="Q95" s="166"/>
      <c r="R95" s="164"/>
      <c r="S95" s="164"/>
      <c r="T95" s="164"/>
      <c r="U95" s="164"/>
      <c r="V95" s="162"/>
      <c r="W95" s="158"/>
      <c r="X95" s="158"/>
      <c r="Y95" s="158"/>
      <c r="Z95" s="158"/>
      <c r="AA95" s="158"/>
      <c r="AB95" s="158"/>
      <c r="AC95" s="113">
        <v>495</v>
      </c>
      <c r="AD95" s="113">
        <v>80</v>
      </c>
      <c r="AE95" s="113">
        <v>120</v>
      </c>
      <c r="AF95" s="113">
        <v>130</v>
      </c>
      <c r="AG95" s="120">
        <v>55</v>
      </c>
      <c r="AH95" s="113">
        <v>65</v>
      </c>
      <c r="AI95" s="113">
        <v>45</v>
      </c>
    </row>
    <row r="96" spans="1:35">
      <c r="A96" s="113">
        <v>76</v>
      </c>
      <c r="B96" s="113" t="s">
        <v>6439</v>
      </c>
      <c r="C96" s="120" t="s">
        <v>5310</v>
      </c>
      <c r="D96" s="124">
        <v>0.5</v>
      </c>
      <c r="E96" s="124">
        <v>0.5</v>
      </c>
      <c r="F96" s="113" t="s">
        <v>2112</v>
      </c>
      <c r="G96" s="113" t="s">
        <v>2702</v>
      </c>
      <c r="H96" s="113" t="s">
        <v>98</v>
      </c>
      <c r="I96" s="113" t="s">
        <v>46</v>
      </c>
      <c r="J96" s="118" t="s">
        <v>2129</v>
      </c>
      <c r="K96" s="118">
        <v>1</v>
      </c>
      <c r="L96" s="118" t="s">
        <v>5305</v>
      </c>
      <c r="M96" s="120" t="s">
        <v>5308</v>
      </c>
      <c r="N96" s="115" t="s">
        <v>6504</v>
      </c>
      <c r="O96" s="115">
        <v>1</v>
      </c>
      <c r="P96" s="115" t="s">
        <v>2128</v>
      </c>
      <c r="Q96" s="166"/>
      <c r="R96" s="164"/>
      <c r="S96" s="164"/>
      <c r="T96" s="164"/>
      <c r="U96" s="164"/>
      <c r="V96" s="162"/>
      <c r="W96" s="158"/>
      <c r="X96" s="158"/>
      <c r="Y96" s="158"/>
      <c r="Z96" s="158"/>
      <c r="AA96" s="158"/>
      <c r="AB96" s="158"/>
      <c r="AC96" s="113">
        <v>495</v>
      </c>
      <c r="AD96" s="113">
        <v>80</v>
      </c>
      <c r="AE96" s="113">
        <v>120</v>
      </c>
      <c r="AF96" s="113">
        <v>130</v>
      </c>
      <c r="AG96" s="120">
        <v>55</v>
      </c>
      <c r="AH96" s="113">
        <v>65</v>
      </c>
      <c r="AI96" s="113">
        <v>45</v>
      </c>
    </row>
    <row r="97" spans="1:35">
      <c r="A97" s="113">
        <v>77</v>
      </c>
      <c r="B97" s="113" t="s">
        <v>101</v>
      </c>
      <c r="C97" s="120" t="s">
        <v>5311</v>
      </c>
      <c r="D97" s="124">
        <v>0.5</v>
      </c>
      <c r="E97" s="124">
        <v>0.5</v>
      </c>
      <c r="F97" s="113" t="s">
        <v>2332</v>
      </c>
      <c r="G97" s="113" t="s">
        <v>1973</v>
      </c>
      <c r="H97" s="113" t="s">
        <v>19</v>
      </c>
      <c r="I97" s="113" t="s">
        <v>1109</v>
      </c>
      <c r="J97" s="118" t="s">
        <v>2129</v>
      </c>
      <c r="K97" s="118">
        <v>2</v>
      </c>
      <c r="L97" s="118" t="s">
        <v>5311</v>
      </c>
      <c r="M97" s="115" t="s">
        <v>1109</v>
      </c>
      <c r="N97" s="115" t="s">
        <v>6505</v>
      </c>
      <c r="O97" s="115">
        <v>1.25</v>
      </c>
      <c r="P97" s="115" t="s">
        <v>1109</v>
      </c>
      <c r="Q97" s="166"/>
      <c r="R97" s="164"/>
      <c r="S97" s="164"/>
      <c r="T97" s="164"/>
      <c r="U97" s="164"/>
      <c r="V97" s="162"/>
      <c r="W97" s="158"/>
      <c r="X97" s="158"/>
      <c r="Y97" s="158"/>
      <c r="Z97" s="158"/>
      <c r="AA97" s="158"/>
      <c r="AB97" s="158"/>
      <c r="AC97" s="113">
        <v>410</v>
      </c>
      <c r="AD97" s="113">
        <v>50</v>
      </c>
      <c r="AE97" s="113">
        <v>85</v>
      </c>
      <c r="AF97" s="113">
        <v>55</v>
      </c>
      <c r="AG97" s="120">
        <v>65</v>
      </c>
      <c r="AH97" s="113">
        <v>65</v>
      </c>
      <c r="AI97" s="113">
        <v>90</v>
      </c>
    </row>
    <row r="98" spans="1:35">
      <c r="A98" s="113">
        <v>77</v>
      </c>
      <c r="B98" s="113" t="s">
        <v>6454</v>
      </c>
      <c r="C98" s="120" t="s">
        <v>5312</v>
      </c>
      <c r="D98" s="124">
        <v>0.5</v>
      </c>
      <c r="E98" s="124">
        <v>0.5</v>
      </c>
      <c r="F98" s="113" t="s">
        <v>2332</v>
      </c>
      <c r="G98" s="113" t="s">
        <v>2703</v>
      </c>
      <c r="H98" s="113" t="s">
        <v>86</v>
      </c>
      <c r="I98" s="113" t="s">
        <v>1109</v>
      </c>
      <c r="J98" s="118" t="s">
        <v>2129</v>
      </c>
      <c r="K98" s="118">
        <v>2</v>
      </c>
      <c r="L98" s="118" t="s">
        <v>5311</v>
      </c>
      <c r="M98" s="115" t="s">
        <v>1109</v>
      </c>
      <c r="N98" s="115" t="s">
        <v>6505</v>
      </c>
      <c r="O98" s="115">
        <v>1.25</v>
      </c>
      <c r="P98" s="115" t="s">
        <v>1109</v>
      </c>
      <c r="Q98" s="166"/>
      <c r="R98" s="164"/>
      <c r="S98" s="164"/>
      <c r="T98" s="164"/>
      <c r="U98" s="164"/>
      <c r="V98" s="162"/>
      <c r="W98" s="158"/>
      <c r="X98" s="158"/>
      <c r="Y98" s="158"/>
      <c r="Z98" s="158"/>
      <c r="AA98" s="158"/>
      <c r="AB98" s="158"/>
      <c r="AC98" s="113">
        <v>410</v>
      </c>
      <c r="AD98" s="113">
        <v>50</v>
      </c>
      <c r="AE98" s="113">
        <v>85</v>
      </c>
      <c r="AF98" s="113">
        <v>55</v>
      </c>
      <c r="AG98" s="120">
        <v>65</v>
      </c>
      <c r="AH98" s="113">
        <v>65</v>
      </c>
      <c r="AI98" s="113">
        <v>90</v>
      </c>
    </row>
    <row r="99" spans="1:35">
      <c r="A99" s="113">
        <v>78</v>
      </c>
      <c r="B99" s="113" t="s">
        <v>102</v>
      </c>
      <c r="C99" s="120" t="s">
        <v>5313</v>
      </c>
      <c r="D99" s="124">
        <v>0.5</v>
      </c>
      <c r="E99" s="124">
        <v>0.5</v>
      </c>
      <c r="F99" s="113" t="s">
        <v>2332</v>
      </c>
      <c r="G99" s="113" t="s">
        <v>1973</v>
      </c>
      <c r="H99" s="113" t="s">
        <v>19</v>
      </c>
      <c r="I99" s="113" t="s">
        <v>1109</v>
      </c>
      <c r="J99" s="118" t="s">
        <v>2129</v>
      </c>
      <c r="K99" s="118">
        <v>2</v>
      </c>
      <c r="L99" s="118" t="s">
        <v>5311</v>
      </c>
      <c r="M99" s="115" t="s">
        <v>5311</v>
      </c>
      <c r="N99" s="115" t="s">
        <v>6504</v>
      </c>
      <c r="O99" s="115">
        <v>1.25</v>
      </c>
      <c r="P99" s="115" t="s">
        <v>2128</v>
      </c>
      <c r="Q99" s="166"/>
      <c r="R99" s="164"/>
      <c r="S99" s="164"/>
      <c r="T99" s="164"/>
      <c r="U99" s="164"/>
      <c r="V99" s="162"/>
      <c r="W99" s="158"/>
      <c r="X99" s="158"/>
      <c r="Y99" s="158"/>
      <c r="Z99" s="158"/>
      <c r="AA99" s="158"/>
      <c r="AB99" s="158"/>
      <c r="AC99" s="113">
        <v>500</v>
      </c>
      <c r="AD99" s="113">
        <v>65</v>
      </c>
      <c r="AE99" s="113">
        <v>100</v>
      </c>
      <c r="AF99" s="113">
        <v>70</v>
      </c>
      <c r="AG99" s="120">
        <v>80</v>
      </c>
      <c r="AH99" s="113">
        <v>80</v>
      </c>
      <c r="AI99" s="113">
        <v>105</v>
      </c>
    </row>
    <row r="100" spans="1:35">
      <c r="A100" s="113">
        <v>78</v>
      </c>
      <c r="B100" s="113" t="s">
        <v>6428</v>
      </c>
      <c r="C100" s="120" t="s">
        <v>5314</v>
      </c>
      <c r="D100" s="124">
        <v>0.5</v>
      </c>
      <c r="E100" s="124">
        <v>0.5</v>
      </c>
      <c r="F100" s="113" t="s">
        <v>2332</v>
      </c>
      <c r="G100" s="113" t="s">
        <v>2703</v>
      </c>
      <c r="H100" s="113" t="s">
        <v>86</v>
      </c>
      <c r="I100" s="113" t="s">
        <v>56</v>
      </c>
      <c r="J100" s="118" t="s">
        <v>2129</v>
      </c>
      <c r="K100" s="118">
        <v>2</v>
      </c>
      <c r="L100" s="118" t="s">
        <v>5311</v>
      </c>
      <c r="M100" s="120" t="s">
        <v>5312</v>
      </c>
      <c r="N100" s="115" t="s">
        <v>6504</v>
      </c>
      <c r="O100" s="115">
        <v>1.25</v>
      </c>
      <c r="P100" s="115" t="s">
        <v>2128</v>
      </c>
      <c r="Q100" s="166"/>
      <c r="R100" s="164"/>
      <c r="S100" s="164"/>
      <c r="T100" s="164"/>
      <c r="U100" s="164"/>
      <c r="V100" s="162"/>
      <c r="W100" s="158"/>
      <c r="X100" s="158"/>
      <c r="Y100" s="158"/>
      <c r="Z100" s="158"/>
      <c r="AA100" s="158"/>
      <c r="AB100" s="158"/>
      <c r="AC100" s="113">
        <v>500</v>
      </c>
      <c r="AD100" s="113">
        <v>65</v>
      </c>
      <c r="AE100" s="113">
        <v>100</v>
      </c>
      <c r="AF100" s="113">
        <v>70</v>
      </c>
      <c r="AG100" s="120">
        <v>80</v>
      </c>
      <c r="AH100" s="113">
        <v>80</v>
      </c>
      <c r="AI100" s="113">
        <v>105</v>
      </c>
    </row>
    <row r="101" spans="1:35">
      <c r="A101" s="113">
        <v>79</v>
      </c>
      <c r="B101" s="113" t="s">
        <v>103</v>
      </c>
      <c r="C101" s="120" t="s">
        <v>5315</v>
      </c>
      <c r="D101" s="124">
        <v>0.5</v>
      </c>
      <c r="E101" s="124">
        <v>0.5</v>
      </c>
      <c r="F101" s="113" t="s">
        <v>2331</v>
      </c>
      <c r="G101" s="113" t="s">
        <v>1973</v>
      </c>
      <c r="H101" s="113" t="s">
        <v>25</v>
      </c>
      <c r="I101" s="113" t="s">
        <v>86</v>
      </c>
      <c r="J101" s="118" t="s">
        <v>2129</v>
      </c>
      <c r="K101" s="118">
        <v>2</v>
      </c>
      <c r="L101" s="118" t="s">
        <v>5315</v>
      </c>
      <c r="M101" s="115" t="s">
        <v>1109</v>
      </c>
      <c r="N101" s="115" t="s">
        <v>6505</v>
      </c>
      <c r="O101" s="115">
        <v>1.25</v>
      </c>
      <c r="P101" s="115" t="s">
        <v>1109</v>
      </c>
      <c r="Q101" s="166"/>
      <c r="R101" s="164"/>
      <c r="S101" s="164"/>
      <c r="T101" s="164"/>
      <c r="U101" s="164"/>
      <c r="V101" s="162"/>
      <c r="W101" s="158"/>
      <c r="X101" s="158"/>
      <c r="Y101" s="158"/>
      <c r="Z101" s="158"/>
      <c r="AA101" s="158"/>
      <c r="AB101" s="158"/>
      <c r="AC101" s="113">
        <v>315</v>
      </c>
      <c r="AD101" s="113">
        <v>90</v>
      </c>
      <c r="AE101" s="113">
        <v>65</v>
      </c>
      <c r="AF101" s="113">
        <v>65</v>
      </c>
      <c r="AG101" s="120">
        <v>40</v>
      </c>
      <c r="AH101" s="113">
        <v>40</v>
      </c>
      <c r="AI101" s="113">
        <v>15</v>
      </c>
    </row>
    <row r="102" spans="1:35">
      <c r="A102" s="113">
        <v>79</v>
      </c>
      <c r="B102" s="113" t="s">
        <v>6455</v>
      </c>
      <c r="C102" s="120" t="s">
        <v>5316</v>
      </c>
      <c r="D102" s="124">
        <v>0.5</v>
      </c>
      <c r="E102" s="124">
        <v>0.5</v>
      </c>
      <c r="F102" s="113" t="s">
        <v>2331</v>
      </c>
      <c r="G102" s="113" t="s">
        <v>2703</v>
      </c>
      <c r="H102" s="113" t="s">
        <v>86</v>
      </c>
      <c r="I102" s="113" t="s">
        <v>1109</v>
      </c>
      <c r="J102" s="118" t="s">
        <v>2129</v>
      </c>
      <c r="K102" s="118">
        <v>2</v>
      </c>
      <c r="L102" s="118" t="s">
        <v>5315</v>
      </c>
      <c r="M102" s="115" t="s">
        <v>1109</v>
      </c>
      <c r="N102" s="115" t="s">
        <v>6505</v>
      </c>
      <c r="O102" s="115">
        <v>1.25</v>
      </c>
      <c r="P102" s="115" t="s">
        <v>1109</v>
      </c>
      <c r="Q102" s="166"/>
      <c r="R102" s="164"/>
      <c r="S102" s="164"/>
      <c r="T102" s="164"/>
      <c r="U102" s="164"/>
      <c r="V102" s="162"/>
      <c r="W102" s="158"/>
      <c r="X102" s="158"/>
      <c r="Y102" s="158"/>
      <c r="Z102" s="158"/>
      <c r="AA102" s="158"/>
      <c r="AB102" s="158"/>
      <c r="AC102" s="113">
        <v>315</v>
      </c>
      <c r="AD102" s="113">
        <v>90</v>
      </c>
      <c r="AE102" s="113">
        <v>65</v>
      </c>
      <c r="AF102" s="113">
        <v>65</v>
      </c>
      <c r="AG102" s="120">
        <v>40</v>
      </c>
      <c r="AH102" s="113">
        <v>40</v>
      </c>
      <c r="AI102" s="113">
        <v>15</v>
      </c>
    </row>
    <row r="103" spans="1:35">
      <c r="A103" s="113">
        <v>80</v>
      </c>
      <c r="B103" s="113" t="s">
        <v>104</v>
      </c>
      <c r="C103" s="120" t="s">
        <v>5317</v>
      </c>
      <c r="D103" s="124">
        <v>0.5</v>
      </c>
      <c r="E103" s="124">
        <v>0.5</v>
      </c>
      <c r="F103" s="113" t="s">
        <v>2331</v>
      </c>
      <c r="G103" s="113" t="s">
        <v>1973</v>
      </c>
      <c r="H103" s="113" t="s">
        <v>25</v>
      </c>
      <c r="I103" s="113" t="s">
        <v>86</v>
      </c>
      <c r="J103" s="118" t="s">
        <v>2129</v>
      </c>
      <c r="K103" s="118">
        <v>2</v>
      </c>
      <c r="L103" s="118" t="s">
        <v>5315</v>
      </c>
      <c r="M103" s="115" t="s">
        <v>5315</v>
      </c>
      <c r="N103" s="115" t="s">
        <v>6504</v>
      </c>
      <c r="O103" s="115">
        <v>1.25</v>
      </c>
      <c r="P103" s="115" t="s">
        <v>1803</v>
      </c>
      <c r="Q103" s="166"/>
      <c r="R103" s="164"/>
      <c r="S103" s="164"/>
      <c r="T103" s="164"/>
      <c r="U103" s="164"/>
      <c r="V103" s="162"/>
      <c r="W103" s="158"/>
      <c r="X103" s="158"/>
      <c r="Y103" s="158"/>
      <c r="Z103" s="158"/>
      <c r="AA103" s="158"/>
      <c r="AB103" s="158"/>
      <c r="AC103" s="113">
        <v>490</v>
      </c>
      <c r="AD103" s="113">
        <v>95</v>
      </c>
      <c r="AE103" s="113">
        <v>75</v>
      </c>
      <c r="AF103" s="113">
        <v>110</v>
      </c>
      <c r="AG103" s="120">
        <v>100</v>
      </c>
      <c r="AH103" s="113">
        <v>80</v>
      </c>
      <c r="AI103" s="113">
        <v>30</v>
      </c>
    </row>
    <row r="104" spans="1:35">
      <c r="A104" s="113">
        <v>80</v>
      </c>
      <c r="B104" s="113" t="s">
        <v>6425</v>
      </c>
      <c r="C104" s="120" t="s">
        <v>5318</v>
      </c>
      <c r="D104" s="124">
        <v>0.5</v>
      </c>
      <c r="E104" s="124">
        <v>0.5</v>
      </c>
      <c r="F104" s="113" t="s">
        <v>2331</v>
      </c>
      <c r="G104" s="113" t="s">
        <v>2703</v>
      </c>
      <c r="H104" s="113" t="s">
        <v>15</v>
      </c>
      <c r="I104" s="113" t="s">
        <v>86</v>
      </c>
      <c r="J104" s="118" t="s">
        <v>2129</v>
      </c>
      <c r="K104" s="118">
        <v>2</v>
      </c>
      <c r="L104" s="118" t="s">
        <v>5315</v>
      </c>
      <c r="M104" s="120" t="s">
        <v>5316</v>
      </c>
      <c r="N104" s="115" t="s">
        <v>6504</v>
      </c>
      <c r="O104" s="115">
        <v>1.25</v>
      </c>
      <c r="P104" s="115" t="s">
        <v>2130</v>
      </c>
      <c r="Q104" s="166"/>
      <c r="R104" s="164"/>
      <c r="S104" s="164"/>
      <c r="T104" s="164"/>
      <c r="U104" s="164"/>
      <c r="V104" s="162"/>
      <c r="W104" s="158"/>
      <c r="X104" s="158"/>
      <c r="Y104" s="158"/>
      <c r="Z104" s="158"/>
      <c r="AA104" s="158"/>
      <c r="AB104" s="158"/>
      <c r="AC104" s="113">
        <v>490</v>
      </c>
      <c r="AD104" s="113">
        <v>95</v>
      </c>
      <c r="AE104" s="113">
        <v>100</v>
      </c>
      <c r="AF104" s="113">
        <v>95</v>
      </c>
      <c r="AG104" s="120">
        <v>100</v>
      </c>
      <c r="AH104" s="113">
        <v>70</v>
      </c>
      <c r="AI104" s="113">
        <v>30</v>
      </c>
    </row>
    <row r="105" spans="1:35">
      <c r="A105" s="113">
        <v>81</v>
      </c>
      <c r="B105" s="113" t="s">
        <v>105</v>
      </c>
      <c r="C105" s="120" t="s">
        <v>5320</v>
      </c>
      <c r="D105" s="124" t="s">
        <v>1109</v>
      </c>
      <c r="E105" s="124" t="s">
        <v>1109</v>
      </c>
      <c r="F105" s="113" t="s">
        <v>2112</v>
      </c>
      <c r="G105" s="113" t="s">
        <v>1973</v>
      </c>
      <c r="H105" s="113" t="s">
        <v>46</v>
      </c>
      <c r="I105" s="113" t="s">
        <v>106</v>
      </c>
      <c r="J105" s="118" t="s">
        <v>2129</v>
      </c>
      <c r="K105" s="118">
        <v>1</v>
      </c>
      <c r="L105" s="118" t="s">
        <v>5320</v>
      </c>
      <c r="M105" s="115" t="s">
        <v>1109</v>
      </c>
      <c r="N105" s="115" t="s">
        <v>6505</v>
      </c>
      <c r="O105" s="115">
        <v>1</v>
      </c>
      <c r="P105" s="115" t="s">
        <v>1109</v>
      </c>
      <c r="Q105" s="166"/>
      <c r="R105" s="164"/>
      <c r="S105" s="164"/>
      <c r="T105" s="164"/>
      <c r="U105" s="164"/>
      <c r="V105" s="162"/>
      <c r="W105" s="158"/>
      <c r="X105" s="158"/>
      <c r="Y105" s="158"/>
      <c r="Z105" s="158"/>
      <c r="AA105" s="158"/>
      <c r="AB105" s="158"/>
      <c r="AC105" s="113">
        <v>325</v>
      </c>
      <c r="AD105" s="113">
        <v>25</v>
      </c>
      <c r="AE105" s="113">
        <v>35</v>
      </c>
      <c r="AF105" s="113">
        <v>70</v>
      </c>
      <c r="AG105" s="120">
        <v>95</v>
      </c>
      <c r="AH105" s="113">
        <v>55</v>
      </c>
      <c r="AI105" s="113">
        <v>45</v>
      </c>
    </row>
    <row r="106" spans="1:35">
      <c r="A106" s="113">
        <v>82</v>
      </c>
      <c r="B106" s="113" t="s">
        <v>107</v>
      </c>
      <c r="C106" s="120" t="s">
        <v>5321</v>
      </c>
      <c r="D106" s="124" t="s">
        <v>1109</v>
      </c>
      <c r="E106" s="124" t="s">
        <v>1109</v>
      </c>
      <c r="F106" s="113" t="s">
        <v>2112</v>
      </c>
      <c r="G106" s="113" t="s">
        <v>1973</v>
      </c>
      <c r="H106" s="113" t="s">
        <v>46</v>
      </c>
      <c r="I106" s="113" t="s">
        <v>106</v>
      </c>
      <c r="J106" s="118" t="s">
        <v>2129</v>
      </c>
      <c r="K106" s="118">
        <v>1</v>
      </c>
      <c r="L106" s="118" t="s">
        <v>5320</v>
      </c>
      <c r="M106" s="115" t="s">
        <v>5320</v>
      </c>
      <c r="N106" s="115" t="s">
        <v>6506</v>
      </c>
      <c r="O106" s="115">
        <v>1</v>
      </c>
      <c r="P106" s="115" t="s">
        <v>2128</v>
      </c>
      <c r="Q106" s="166"/>
      <c r="R106" s="164"/>
      <c r="S106" s="164"/>
      <c r="T106" s="164"/>
      <c r="U106" s="164"/>
      <c r="V106" s="162"/>
      <c r="W106" s="158"/>
      <c r="X106" s="158"/>
      <c r="Y106" s="158"/>
      <c r="Z106" s="158"/>
      <c r="AA106" s="158"/>
      <c r="AB106" s="158"/>
      <c r="AC106" s="113">
        <v>465</v>
      </c>
      <c r="AD106" s="113">
        <v>50</v>
      </c>
      <c r="AE106" s="113">
        <v>60</v>
      </c>
      <c r="AF106" s="113">
        <v>95</v>
      </c>
      <c r="AG106" s="120">
        <v>120</v>
      </c>
      <c r="AH106" s="113">
        <v>70</v>
      </c>
      <c r="AI106" s="113">
        <v>70</v>
      </c>
    </row>
    <row r="107" spans="1:35">
      <c r="A107" s="113">
        <v>83</v>
      </c>
      <c r="B107" s="113" t="s">
        <v>108</v>
      </c>
      <c r="C107" s="120" t="s">
        <v>5322</v>
      </c>
      <c r="D107" s="124">
        <v>0.5</v>
      </c>
      <c r="E107" s="124">
        <v>0.5</v>
      </c>
      <c r="F107" s="113" t="s">
        <v>22</v>
      </c>
      <c r="G107" s="113" t="s">
        <v>1973</v>
      </c>
      <c r="H107" s="113" t="s">
        <v>22</v>
      </c>
      <c r="I107" s="113" t="s">
        <v>36</v>
      </c>
      <c r="J107" s="118" t="s">
        <v>2129</v>
      </c>
      <c r="K107" s="118">
        <v>2</v>
      </c>
      <c r="L107" s="118" t="s">
        <v>5322</v>
      </c>
      <c r="M107" s="115" t="s">
        <v>1109</v>
      </c>
      <c r="N107" s="115" t="s">
        <v>6504</v>
      </c>
      <c r="O107" s="115">
        <v>1.25</v>
      </c>
      <c r="P107" s="115" t="s">
        <v>1109</v>
      </c>
      <c r="Q107" s="166"/>
      <c r="R107" s="164"/>
      <c r="S107" s="164"/>
      <c r="T107" s="164"/>
      <c r="U107" s="164"/>
      <c r="V107" s="162"/>
      <c r="W107" s="158"/>
      <c r="X107" s="158"/>
      <c r="Y107" s="158"/>
      <c r="Z107" s="158"/>
      <c r="AA107" s="158"/>
      <c r="AB107" s="158"/>
      <c r="AC107" s="113">
        <v>377</v>
      </c>
      <c r="AD107" s="113">
        <v>52</v>
      </c>
      <c r="AE107" s="113">
        <v>90</v>
      </c>
      <c r="AF107" s="113">
        <v>55</v>
      </c>
      <c r="AG107" s="120">
        <v>58</v>
      </c>
      <c r="AH107" s="113">
        <v>62</v>
      </c>
      <c r="AI107" s="113">
        <v>60</v>
      </c>
    </row>
    <row r="108" spans="1:35">
      <c r="A108" s="113">
        <v>83</v>
      </c>
      <c r="B108" s="113" t="s">
        <v>6449</v>
      </c>
      <c r="C108" s="120" t="s">
        <v>5323</v>
      </c>
      <c r="D108" s="124">
        <v>0.5</v>
      </c>
      <c r="E108" s="124">
        <v>0.5</v>
      </c>
      <c r="F108" s="113" t="s">
        <v>22</v>
      </c>
      <c r="G108" s="113" t="s">
        <v>2703</v>
      </c>
      <c r="H108" s="113" t="s">
        <v>78</v>
      </c>
      <c r="I108" s="113" t="s">
        <v>1109</v>
      </c>
      <c r="J108" s="118" t="s">
        <v>2129</v>
      </c>
      <c r="K108" s="118">
        <v>2</v>
      </c>
      <c r="L108" s="118" t="s">
        <v>5322</v>
      </c>
      <c r="M108" s="115" t="s">
        <v>1109</v>
      </c>
      <c r="N108" s="115" t="s">
        <v>6505</v>
      </c>
      <c r="O108" s="115">
        <v>1.25</v>
      </c>
      <c r="P108" s="115" t="s">
        <v>1109</v>
      </c>
      <c r="Q108" s="166"/>
      <c r="R108" s="164"/>
      <c r="S108" s="164"/>
      <c r="T108" s="164"/>
      <c r="U108" s="164"/>
      <c r="V108" s="162"/>
      <c r="W108" s="158"/>
      <c r="X108" s="158"/>
      <c r="Y108" s="158"/>
      <c r="Z108" s="158"/>
      <c r="AA108" s="158"/>
      <c r="AB108" s="158"/>
      <c r="AC108" s="113">
        <v>377</v>
      </c>
      <c r="AD108" s="113">
        <v>52</v>
      </c>
      <c r="AE108" s="113">
        <v>95</v>
      </c>
      <c r="AF108" s="113">
        <v>55</v>
      </c>
      <c r="AG108" s="120">
        <v>58</v>
      </c>
      <c r="AH108" s="113">
        <v>62</v>
      </c>
      <c r="AI108" s="113">
        <v>55</v>
      </c>
    </row>
    <row r="109" spans="1:35">
      <c r="A109" s="113">
        <v>84</v>
      </c>
      <c r="B109" s="113" t="s">
        <v>109</v>
      </c>
      <c r="C109" s="120" t="s">
        <v>5324</v>
      </c>
      <c r="D109" s="124">
        <v>0.5</v>
      </c>
      <c r="E109" s="124">
        <v>0.5</v>
      </c>
      <c r="F109" s="113" t="s">
        <v>22</v>
      </c>
      <c r="G109" s="113" t="s">
        <v>1973</v>
      </c>
      <c r="H109" s="113" t="s">
        <v>22</v>
      </c>
      <c r="I109" s="113" t="s">
        <v>36</v>
      </c>
      <c r="J109" s="118" t="s">
        <v>2129</v>
      </c>
      <c r="K109" s="118">
        <v>2</v>
      </c>
      <c r="L109" s="118" t="s">
        <v>5324</v>
      </c>
      <c r="M109" s="115" t="s">
        <v>1109</v>
      </c>
      <c r="N109" s="115" t="s">
        <v>6505</v>
      </c>
      <c r="O109" s="115">
        <v>1.25</v>
      </c>
      <c r="P109" s="115" t="s">
        <v>1109</v>
      </c>
      <c r="Q109" s="166"/>
      <c r="R109" s="164"/>
      <c r="S109" s="164"/>
      <c r="T109" s="164"/>
      <c r="U109" s="164"/>
      <c r="V109" s="162"/>
      <c r="W109" s="158"/>
      <c r="X109" s="158"/>
      <c r="Y109" s="158"/>
      <c r="Z109" s="158"/>
      <c r="AA109" s="158"/>
      <c r="AB109" s="158"/>
      <c r="AC109" s="113">
        <v>310</v>
      </c>
      <c r="AD109" s="113">
        <v>35</v>
      </c>
      <c r="AE109" s="113">
        <v>85</v>
      </c>
      <c r="AF109" s="113">
        <v>45</v>
      </c>
      <c r="AG109" s="120">
        <v>35</v>
      </c>
      <c r="AH109" s="113">
        <v>35</v>
      </c>
      <c r="AI109" s="113">
        <v>75</v>
      </c>
    </row>
    <row r="110" spans="1:35">
      <c r="A110" s="113">
        <v>85</v>
      </c>
      <c r="B110" s="113" t="s">
        <v>110</v>
      </c>
      <c r="C110" s="120" t="s">
        <v>5325</v>
      </c>
      <c r="D110" s="124">
        <v>0.5</v>
      </c>
      <c r="E110" s="124">
        <v>0.5</v>
      </c>
      <c r="F110" s="113" t="s">
        <v>22</v>
      </c>
      <c r="G110" s="113" t="s">
        <v>1973</v>
      </c>
      <c r="H110" s="113" t="s">
        <v>22</v>
      </c>
      <c r="I110" s="113" t="s">
        <v>36</v>
      </c>
      <c r="J110" s="118" t="s">
        <v>2129</v>
      </c>
      <c r="K110" s="118">
        <v>2</v>
      </c>
      <c r="L110" s="118" t="s">
        <v>5324</v>
      </c>
      <c r="M110" s="115" t="s">
        <v>5324</v>
      </c>
      <c r="N110" s="115" t="s">
        <v>6504</v>
      </c>
      <c r="O110" s="115">
        <v>1.25</v>
      </c>
      <c r="P110" s="115" t="s">
        <v>2128</v>
      </c>
      <c r="Q110" s="166"/>
      <c r="R110" s="164"/>
      <c r="S110" s="164"/>
      <c r="T110" s="164"/>
      <c r="U110" s="164"/>
      <c r="V110" s="162"/>
      <c r="W110" s="158"/>
      <c r="X110" s="158"/>
      <c r="Y110" s="158"/>
      <c r="Z110" s="158"/>
      <c r="AA110" s="158"/>
      <c r="AB110" s="158"/>
      <c r="AC110" s="113">
        <v>470</v>
      </c>
      <c r="AD110" s="113">
        <v>60</v>
      </c>
      <c r="AE110" s="113">
        <v>110</v>
      </c>
      <c r="AF110" s="113">
        <v>70</v>
      </c>
      <c r="AG110" s="120">
        <v>60</v>
      </c>
      <c r="AH110" s="113">
        <v>60</v>
      </c>
      <c r="AI110" s="113">
        <v>110</v>
      </c>
    </row>
    <row r="111" spans="1:35">
      <c r="A111" s="113">
        <v>86</v>
      </c>
      <c r="B111" s="113" t="s">
        <v>111</v>
      </c>
      <c r="C111" s="120" t="s">
        <v>5326</v>
      </c>
      <c r="D111" s="124">
        <v>0.5</v>
      </c>
      <c r="E111" s="124">
        <v>0.5</v>
      </c>
      <c r="F111" s="113" t="s">
        <v>2335</v>
      </c>
      <c r="G111" s="113" t="s">
        <v>1973</v>
      </c>
      <c r="H111" s="113" t="s">
        <v>25</v>
      </c>
      <c r="I111" s="113" t="s">
        <v>1109</v>
      </c>
      <c r="J111" s="118" t="s">
        <v>2129</v>
      </c>
      <c r="K111" s="118">
        <v>2</v>
      </c>
      <c r="L111" s="118" t="s">
        <v>5326</v>
      </c>
      <c r="M111" s="115" t="s">
        <v>1109</v>
      </c>
      <c r="N111" s="115" t="s">
        <v>6505</v>
      </c>
      <c r="O111" s="115">
        <v>1.25</v>
      </c>
      <c r="P111" s="115" t="s">
        <v>1109</v>
      </c>
      <c r="Q111" s="166"/>
      <c r="R111" s="164"/>
      <c r="S111" s="164"/>
      <c r="T111" s="164"/>
      <c r="U111" s="164"/>
      <c r="V111" s="162"/>
      <c r="W111" s="158"/>
      <c r="X111" s="158"/>
      <c r="Y111" s="158"/>
      <c r="Z111" s="158"/>
      <c r="AA111" s="158"/>
      <c r="AB111" s="158"/>
      <c r="AC111" s="113">
        <v>325</v>
      </c>
      <c r="AD111" s="113">
        <v>65</v>
      </c>
      <c r="AE111" s="113">
        <v>45</v>
      </c>
      <c r="AF111" s="113">
        <v>55</v>
      </c>
      <c r="AG111" s="120">
        <v>45</v>
      </c>
      <c r="AH111" s="113">
        <v>70</v>
      </c>
      <c r="AI111" s="113">
        <v>45</v>
      </c>
    </row>
    <row r="112" spans="1:35">
      <c r="A112" s="113">
        <v>87</v>
      </c>
      <c r="B112" s="113" t="s">
        <v>112</v>
      </c>
      <c r="C112" s="120" t="s">
        <v>5327</v>
      </c>
      <c r="D112" s="124">
        <v>0.5</v>
      </c>
      <c r="E112" s="124">
        <v>0.5</v>
      </c>
      <c r="F112" s="113" t="s">
        <v>2335</v>
      </c>
      <c r="G112" s="113" t="s">
        <v>1973</v>
      </c>
      <c r="H112" s="113" t="s">
        <v>25</v>
      </c>
      <c r="I112" s="113" t="s">
        <v>113</v>
      </c>
      <c r="J112" s="118" t="s">
        <v>2129</v>
      </c>
      <c r="K112" s="118">
        <v>2</v>
      </c>
      <c r="L112" s="118" t="s">
        <v>5326</v>
      </c>
      <c r="M112" s="115" t="s">
        <v>5326</v>
      </c>
      <c r="N112" s="115" t="s">
        <v>6504</v>
      </c>
      <c r="O112" s="115">
        <v>1.25</v>
      </c>
      <c r="P112" s="115" t="s">
        <v>2128</v>
      </c>
      <c r="Q112" s="166"/>
      <c r="R112" s="164"/>
      <c r="S112" s="164"/>
      <c r="T112" s="164"/>
      <c r="U112" s="164"/>
      <c r="V112" s="162"/>
      <c r="W112" s="158"/>
      <c r="X112" s="158"/>
      <c r="Y112" s="158"/>
      <c r="Z112" s="158"/>
      <c r="AA112" s="158"/>
      <c r="AB112" s="158"/>
      <c r="AC112" s="113">
        <v>475</v>
      </c>
      <c r="AD112" s="113">
        <v>90</v>
      </c>
      <c r="AE112" s="113">
        <v>70</v>
      </c>
      <c r="AF112" s="113">
        <v>80</v>
      </c>
      <c r="AG112" s="120">
        <v>70</v>
      </c>
      <c r="AH112" s="113">
        <v>95</v>
      </c>
      <c r="AI112" s="113">
        <v>70</v>
      </c>
    </row>
    <row r="113" spans="1:35">
      <c r="A113" s="113">
        <v>88</v>
      </c>
      <c r="B113" s="113" t="s">
        <v>114</v>
      </c>
      <c r="C113" s="120" t="s">
        <v>5328</v>
      </c>
      <c r="D113" s="124">
        <v>0.5</v>
      </c>
      <c r="E113" s="124">
        <v>0.5</v>
      </c>
      <c r="F113" s="113" t="s">
        <v>2336</v>
      </c>
      <c r="G113" s="113" t="s">
        <v>1973</v>
      </c>
      <c r="H113" s="113" t="s">
        <v>15</v>
      </c>
      <c r="I113" s="113" t="s">
        <v>1109</v>
      </c>
      <c r="J113" s="118" t="s">
        <v>2129</v>
      </c>
      <c r="K113" s="118">
        <v>2</v>
      </c>
      <c r="L113" s="118" t="s">
        <v>5328</v>
      </c>
      <c r="M113" s="115" t="s">
        <v>1109</v>
      </c>
      <c r="N113" s="115" t="s">
        <v>6505</v>
      </c>
      <c r="O113" s="115">
        <v>1.25</v>
      </c>
      <c r="P113" s="115" t="s">
        <v>1109</v>
      </c>
      <c r="Q113" s="166"/>
      <c r="R113" s="164"/>
      <c r="S113" s="164"/>
      <c r="T113" s="164"/>
      <c r="U113" s="164"/>
      <c r="V113" s="162"/>
      <c r="W113" s="158"/>
      <c r="X113" s="158"/>
      <c r="Y113" s="158"/>
      <c r="Z113" s="158"/>
      <c r="AA113" s="158"/>
      <c r="AB113" s="158"/>
      <c r="AC113" s="113">
        <v>325</v>
      </c>
      <c r="AD113" s="113">
        <v>80</v>
      </c>
      <c r="AE113" s="113">
        <v>80</v>
      </c>
      <c r="AF113" s="113">
        <v>50</v>
      </c>
      <c r="AG113" s="120">
        <v>40</v>
      </c>
      <c r="AH113" s="113">
        <v>50</v>
      </c>
      <c r="AI113" s="113">
        <v>25</v>
      </c>
    </row>
    <row r="114" spans="1:35">
      <c r="A114" s="113">
        <v>88</v>
      </c>
      <c r="B114" s="113" t="s">
        <v>6440</v>
      </c>
      <c r="C114" s="120" t="s">
        <v>5329</v>
      </c>
      <c r="D114" s="124">
        <v>0.5</v>
      </c>
      <c r="E114" s="124">
        <v>0.5</v>
      </c>
      <c r="F114" s="113" t="s">
        <v>2336</v>
      </c>
      <c r="G114" s="113" t="s">
        <v>2702</v>
      </c>
      <c r="H114" s="113" t="s">
        <v>15</v>
      </c>
      <c r="I114" s="113" t="s">
        <v>158</v>
      </c>
      <c r="J114" s="118" t="s">
        <v>2129</v>
      </c>
      <c r="K114" s="118">
        <v>2</v>
      </c>
      <c r="L114" s="118" t="s">
        <v>5328</v>
      </c>
      <c r="M114" s="115" t="s">
        <v>1109</v>
      </c>
      <c r="N114" s="115" t="s">
        <v>6505</v>
      </c>
      <c r="O114" s="115">
        <v>1.25</v>
      </c>
      <c r="P114" s="115" t="s">
        <v>1109</v>
      </c>
      <c r="Q114" s="166"/>
      <c r="R114" s="164"/>
      <c r="S114" s="164"/>
      <c r="T114" s="164"/>
      <c r="U114" s="164"/>
      <c r="V114" s="162"/>
      <c r="W114" s="158"/>
      <c r="X114" s="158"/>
      <c r="Y114" s="158"/>
      <c r="Z114" s="158"/>
      <c r="AA114" s="158"/>
      <c r="AB114" s="158"/>
      <c r="AC114" s="113">
        <v>325</v>
      </c>
      <c r="AD114" s="113">
        <v>80</v>
      </c>
      <c r="AE114" s="113">
        <v>80</v>
      </c>
      <c r="AF114" s="113">
        <v>50</v>
      </c>
      <c r="AG114" s="120">
        <v>40</v>
      </c>
      <c r="AH114" s="113">
        <v>50</v>
      </c>
      <c r="AI114" s="113">
        <v>25</v>
      </c>
    </row>
    <row r="115" spans="1:35">
      <c r="A115" s="113">
        <v>89</v>
      </c>
      <c r="B115" s="113" t="s">
        <v>115</v>
      </c>
      <c r="C115" s="120" t="s">
        <v>5330</v>
      </c>
      <c r="D115" s="124">
        <v>0.5</v>
      </c>
      <c r="E115" s="124">
        <v>0.5</v>
      </c>
      <c r="F115" s="113" t="s">
        <v>2336</v>
      </c>
      <c r="G115" s="113" t="s">
        <v>1973</v>
      </c>
      <c r="H115" s="113" t="s">
        <v>15</v>
      </c>
      <c r="I115" s="113" t="s">
        <v>1109</v>
      </c>
      <c r="J115" s="118" t="s">
        <v>2129</v>
      </c>
      <c r="K115" s="118">
        <v>2</v>
      </c>
      <c r="L115" s="118" t="s">
        <v>5328</v>
      </c>
      <c r="M115" s="115" t="s">
        <v>5328</v>
      </c>
      <c r="N115" s="115" t="s">
        <v>6504</v>
      </c>
      <c r="O115" s="115">
        <v>1.25</v>
      </c>
      <c r="P115" s="115" t="s">
        <v>2128</v>
      </c>
      <c r="Q115" s="166"/>
      <c r="R115" s="164"/>
      <c r="S115" s="164"/>
      <c r="T115" s="164"/>
      <c r="U115" s="164"/>
      <c r="V115" s="162"/>
      <c r="W115" s="158"/>
      <c r="X115" s="158"/>
      <c r="Y115" s="158"/>
      <c r="Z115" s="158"/>
      <c r="AA115" s="158"/>
      <c r="AB115" s="158"/>
      <c r="AC115" s="113">
        <v>500</v>
      </c>
      <c r="AD115" s="113">
        <v>105</v>
      </c>
      <c r="AE115" s="113">
        <v>105</v>
      </c>
      <c r="AF115" s="113">
        <v>75</v>
      </c>
      <c r="AG115" s="120">
        <v>65</v>
      </c>
      <c r="AH115" s="113">
        <v>100</v>
      </c>
      <c r="AI115" s="113">
        <v>50</v>
      </c>
    </row>
    <row r="116" spans="1:35">
      <c r="A116" s="113">
        <v>89</v>
      </c>
      <c r="B116" s="113" t="s">
        <v>6441</v>
      </c>
      <c r="C116" s="120" t="s">
        <v>5331</v>
      </c>
      <c r="D116" s="124">
        <v>0.5</v>
      </c>
      <c r="E116" s="124">
        <v>0.5</v>
      </c>
      <c r="F116" s="113" t="s">
        <v>2336</v>
      </c>
      <c r="G116" s="113" t="s">
        <v>2702</v>
      </c>
      <c r="H116" s="113" t="s">
        <v>15</v>
      </c>
      <c r="I116" s="113" t="s">
        <v>158</v>
      </c>
      <c r="J116" s="118" t="s">
        <v>2129</v>
      </c>
      <c r="K116" s="118">
        <v>2</v>
      </c>
      <c r="L116" s="118" t="s">
        <v>5328</v>
      </c>
      <c r="M116" s="120" t="s">
        <v>5329</v>
      </c>
      <c r="N116" s="115" t="s">
        <v>6504</v>
      </c>
      <c r="O116" s="115">
        <v>1.25</v>
      </c>
      <c r="P116" s="115" t="s">
        <v>2128</v>
      </c>
      <c r="Q116" s="166"/>
      <c r="R116" s="164"/>
      <c r="S116" s="164"/>
      <c r="T116" s="164"/>
      <c r="U116" s="164"/>
      <c r="V116" s="162"/>
      <c r="W116" s="158"/>
      <c r="X116" s="158"/>
      <c r="Y116" s="158"/>
      <c r="Z116" s="158"/>
      <c r="AA116" s="158"/>
      <c r="AB116" s="158"/>
      <c r="AC116" s="113">
        <v>500</v>
      </c>
      <c r="AD116" s="113">
        <v>105</v>
      </c>
      <c r="AE116" s="113">
        <v>105</v>
      </c>
      <c r="AF116" s="113">
        <v>75</v>
      </c>
      <c r="AG116" s="120">
        <v>65</v>
      </c>
      <c r="AH116" s="113">
        <v>100</v>
      </c>
      <c r="AI116" s="113">
        <v>50</v>
      </c>
    </row>
    <row r="117" spans="1:35">
      <c r="A117" s="113">
        <v>90</v>
      </c>
      <c r="B117" s="113" t="s">
        <v>116</v>
      </c>
      <c r="C117" s="120" t="s">
        <v>5332</v>
      </c>
      <c r="D117" s="124">
        <v>0.5</v>
      </c>
      <c r="E117" s="124">
        <v>0.5</v>
      </c>
      <c r="F117" s="113" t="s">
        <v>2335</v>
      </c>
      <c r="G117" s="113" t="s">
        <v>1973</v>
      </c>
      <c r="H117" s="113" t="s">
        <v>25</v>
      </c>
      <c r="I117" s="113" t="s">
        <v>1109</v>
      </c>
      <c r="J117" s="118" t="s">
        <v>2129</v>
      </c>
      <c r="K117" s="118">
        <v>2</v>
      </c>
      <c r="L117" s="118" t="s">
        <v>5332</v>
      </c>
      <c r="M117" s="115" t="s">
        <v>1109</v>
      </c>
      <c r="N117" s="115" t="s">
        <v>6505</v>
      </c>
      <c r="O117" s="115">
        <v>1.25</v>
      </c>
      <c r="P117" s="115" t="s">
        <v>1109</v>
      </c>
      <c r="Q117" s="166"/>
      <c r="R117" s="164"/>
      <c r="S117" s="164"/>
      <c r="T117" s="164"/>
      <c r="U117" s="164"/>
      <c r="V117" s="162"/>
      <c r="W117" s="158"/>
      <c r="X117" s="158"/>
      <c r="Y117" s="158"/>
      <c r="Z117" s="158"/>
      <c r="AA117" s="158"/>
      <c r="AB117" s="158"/>
      <c r="AC117" s="113">
        <v>305</v>
      </c>
      <c r="AD117" s="113">
        <v>30</v>
      </c>
      <c r="AE117" s="113">
        <v>65</v>
      </c>
      <c r="AF117" s="113">
        <v>100</v>
      </c>
      <c r="AG117" s="120">
        <v>45</v>
      </c>
      <c r="AH117" s="113">
        <v>25</v>
      </c>
      <c r="AI117" s="113">
        <v>40</v>
      </c>
    </row>
    <row r="118" spans="1:35">
      <c r="A118" s="113">
        <v>91</v>
      </c>
      <c r="B118" s="113" t="s">
        <v>117</v>
      </c>
      <c r="C118" s="120" t="s">
        <v>5333</v>
      </c>
      <c r="D118" s="124">
        <v>0.5</v>
      </c>
      <c r="E118" s="124">
        <v>0.5</v>
      </c>
      <c r="F118" s="113" t="s">
        <v>2337</v>
      </c>
      <c r="G118" s="113" t="s">
        <v>1973</v>
      </c>
      <c r="H118" s="113" t="s">
        <v>25</v>
      </c>
      <c r="I118" s="113" t="s">
        <v>113</v>
      </c>
      <c r="J118" s="118" t="s">
        <v>2129</v>
      </c>
      <c r="K118" s="118">
        <v>2</v>
      </c>
      <c r="L118" s="118" t="s">
        <v>5332</v>
      </c>
      <c r="M118" s="115" t="s">
        <v>5332</v>
      </c>
      <c r="N118" s="115" t="s">
        <v>6504</v>
      </c>
      <c r="O118" s="115">
        <v>1.25</v>
      </c>
      <c r="P118" s="115" t="s">
        <v>1803</v>
      </c>
      <c r="Q118" s="166"/>
      <c r="R118" s="164"/>
      <c r="S118" s="164"/>
      <c r="T118" s="164"/>
      <c r="U118" s="164"/>
      <c r="V118" s="162"/>
      <c r="W118" s="158"/>
      <c r="X118" s="158"/>
      <c r="Y118" s="158"/>
      <c r="Z118" s="158"/>
      <c r="AA118" s="158"/>
      <c r="AB118" s="158"/>
      <c r="AC118" s="113">
        <v>525</v>
      </c>
      <c r="AD118" s="113">
        <v>50</v>
      </c>
      <c r="AE118" s="113">
        <v>95</v>
      </c>
      <c r="AF118" s="113">
        <v>180</v>
      </c>
      <c r="AG118" s="120">
        <v>85</v>
      </c>
      <c r="AH118" s="113">
        <v>45</v>
      </c>
      <c r="AI118" s="113">
        <v>70</v>
      </c>
    </row>
    <row r="119" spans="1:35">
      <c r="A119" s="113">
        <v>92</v>
      </c>
      <c r="B119" s="113" t="s">
        <v>118</v>
      </c>
      <c r="C119" s="120" t="s">
        <v>5334</v>
      </c>
      <c r="D119" s="124">
        <v>0.5</v>
      </c>
      <c r="E119" s="124">
        <v>0.5</v>
      </c>
      <c r="F119" s="113" t="s">
        <v>2336</v>
      </c>
      <c r="G119" s="113" t="s">
        <v>1973</v>
      </c>
      <c r="H119" s="113" t="s">
        <v>119</v>
      </c>
      <c r="I119" s="113" t="s">
        <v>15</v>
      </c>
      <c r="J119" s="118" t="s">
        <v>2129</v>
      </c>
      <c r="K119" s="118">
        <v>2</v>
      </c>
      <c r="L119" s="118" t="s">
        <v>5334</v>
      </c>
      <c r="M119" s="115" t="s">
        <v>1109</v>
      </c>
      <c r="N119" s="115" t="s">
        <v>6505</v>
      </c>
      <c r="O119" s="115">
        <v>1.25</v>
      </c>
      <c r="P119" s="115" t="s">
        <v>1109</v>
      </c>
      <c r="Q119" s="166"/>
      <c r="R119" s="164"/>
      <c r="S119" s="164"/>
      <c r="T119" s="164"/>
      <c r="U119" s="164"/>
      <c r="V119" s="162"/>
      <c r="W119" s="158"/>
      <c r="X119" s="158"/>
      <c r="Y119" s="158"/>
      <c r="Z119" s="158"/>
      <c r="AA119" s="158"/>
      <c r="AB119" s="158"/>
      <c r="AC119" s="113">
        <v>310</v>
      </c>
      <c r="AD119" s="113">
        <v>30</v>
      </c>
      <c r="AE119" s="113">
        <v>35</v>
      </c>
      <c r="AF119" s="113">
        <v>30</v>
      </c>
      <c r="AG119" s="120">
        <v>100</v>
      </c>
      <c r="AH119" s="113">
        <v>35</v>
      </c>
      <c r="AI119" s="113">
        <v>80</v>
      </c>
    </row>
    <row r="120" spans="1:35">
      <c r="A120" s="113">
        <v>93</v>
      </c>
      <c r="B120" s="113" t="s">
        <v>120</v>
      </c>
      <c r="C120" s="120" t="s">
        <v>5335</v>
      </c>
      <c r="D120" s="124">
        <v>0.5</v>
      </c>
      <c r="E120" s="124">
        <v>0.5</v>
      </c>
      <c r="F120" s="113" t="s">
        <v>2336</v>
      </c>
      <c r="G120" s="113" t="s">
        <v>1973</v>
      </c>
      <c r="H120" s="113" t="s">
        <v>119</v>
      </c>
      <c r="I120" s="113" t="s">
        <v>15</v>
      </c>
      <c r="J120" s="118" t="s">
        <v>2129</v>
      </c>
      <c r="K120" s="118">
        <v>2</v>
      </c>
      <c r="L120" s="118" t="s">
        <v>5334</v>
      </c>
      <c r="M120" s="115" t="s">
        <v>5334</v>
      </c>
      <c r="N120" s="115" t="s">
        <v>6506</v>
      </c>
      <c r="O120" s="115">
        <v>1.25</v>
      </c>
      <c r="P120" s="115" t="s">
        <v>2128</v>
      </c>
      <c r="Q120" s="166"/>
      <c r="R120" s="164"/>
      <c r="S120" s="164"/>
      <c r="T120" s="164"/>
      <c r="U120" s="164"/>
      <c r="V120" s="162"/>
      <c r="W120" s="158"/>
      <c r="X120" s="158"/>
      <c r="Y120" s="158"/>
      <c r="Z120" s="158"/>
      <c r="AA120" s="158"/>
      <c r="AB120" s="158"/>
      <c r="AC120" s="113">
        <v>405</v>
      </c>
      <c r="AD120" s="113">
        <v>45</v>
      </c>
      <c r="AE120" s="113">
        <v>50</v>
      </c>
      <c r="AF120" s="113">
        <v>45</v>
      </c>
      <c r="AG120" s="120">
        <v>115</v>
      </c>
      <c r="AH120" s="113">
        <v>55</v>
      </c>
      <c r="AI120" s="113">
        <v>95</v>
      </c>
    </row>
    <row r="121" spans="1:35">
      <c r="A121" s="113">
        <v>94</v>
      </c>
      <c r="B121" s="113" t="s">
        <v>121</v>
      </c>
      <c r="C121" s="120" t="s">
        <v>5336</v>
      </c>
      <c r="D121" s="124">
        <v>0.5</v>
      </c>
      <c r="E121" s="124">
        <v>0.5</v>
      </c>
      <c r="F121" s="113" t="s">
        <v>2336</v>
      </c>
      <c r="G121" s="113" t="s">
        <v>1973</v>
      </c>
      <c r="H121" s="113" t="s">
        <v>119</v>
      </c>
      <c r="I121" s="113" t="s">
        <v>15</v>
      </c>
      <c r="J121" s="118" t="s">
        <v>2129</v>
      </c>
      <c r="K121" s="118">
        <v>2</v>
      </c>
      <c r="L121" s="118" t="s">
        <v>5334</v>
      </c>
      <c r="M121" s="115" t="s">
        <v>5335</v>
      </c>
      <c r="N121" s="115" t="s">
        <v>6504</v>
      </c>
      <c r="O121" s="115">
        <v>1.25</v>
      </c>
      <c r="P121" s="115" t="s">
        <v>2128</v>
      </c>
      <c r="Q121" s="166"/>
      <c r="R121" s="164"/>
      <c r="S121" s="164"/>
      <c r="T121" s="164"/>
      <c r="U121" s="164"/>
      <c r="V121" s="162"/>
      <c r="W121" s="158"/>
      <c r="X121" s="158"/>
      <c r="Y121" s="158"/>
      <c r="Z121" s="158"/>
      <c r="AA121" s="158"/>
      <c r="AB121" s="158"/>
      <c r="AC121" s="113">
        <v>500</v>
      </c>
      <c r="AD121" s="113">
        <v>60</v>
      </c>
      <c r="AE121" s="113">
        <v>65</v>
      </c>
      <c r="AF121" s="113">
        <v>60</v>
      </c>
      <c r="AG121" s="120">
        <v>130</v>
      </c>
      <c r="AH121" s="113">
        <v>75</v>
      </c>
      <c r="AI121" s="113">
        <v>110</v>
      </c>
    </row>
    <row r="122" spans="1:35">
      <c r="A122" s="113">
        <v>95</v>
      </c>
      <c r="B122" s="113" t="s">
        <v>122</v>
      </c>
      <c r="C122" s="120" t="s">
        <v>5338</v>
      </c>
      <c r="D122" s="124">
        <v>0.5</v>
      </c>
      <c r="E122" s="124">
        <v>0.5</v>
      </c>
      <c r="F122" s="113" t="s">
        <v>2112</v>
      </c>
      <c r="G122" s="113" t="s">
        <v>1973</v>
      </c>
      <c r="H122" s="113" t="s">
        <v>98</v>
      </c>
      <c r="I122" s="113" t="s">
        <v>49</v>
      </c>
      <c r="J122" s="118" t="s">
        <v>2129</v>
      </c>
      <c r="K122" s="118">
        <v>3</v>
      </c>
      <c r="L122" s="118" t="s">
        <v>5338</v>
      </c>
      <c r="M122" s="115" t="s">
        <v>1109</v>
      </c>
      <c r="N122" s="115" t="s">
        <v>6505</v>
      </c>
      <c r="O122" s="115">
        <v>1.5</v>
      </c>
      <c r="P122" s="115" t="s">
        <v>1109</v>
      </c>
      <c r="Q122" s="166"/>
      <c r="R122" s="164"/>
      <c r="S122" s="164"/>
      <c r="T122" s="164"/>
      <c r="U122" s="164"/>
      <c r="V122" s="162"/>
      <c r="W122" s="158"/>
      <c r="X122" s="158"/>
      <c r="Y122" s="158"/>
      <c r="Z122" s="158"/>
      <c r="AA122" s="158"/>
      <c r="AB122" s="158"/>
      <c r="AC122" s="113">
        <v>385</v>
      </c>
      <c r="AD122" s="113">
        <v>35</v>
      </c>
      <c r="AE122" s="113">
        <v>45</v>
      </c>
      <c r="AF122" s="113">
        <v>160</v>
      </c>
      <c r="AG122" s="120">
        <v>30</v>
      </c>
      <c r="AH122" s="113">
        <v>45</v>
      </c>
      <c r="AI122" s="113">
        <v>70</v>
      </c>
    </row>
    <row r="123" spans="1:35">
      <c r="A123" s="113">
        <v>96</v>
      </c>
      <c r="B123" s="113" t="s">
        <v>123</v>
      </c>
      <c r="C123" s="120" t="s">
        <v>5339</v>
      </c>
      <c r="D123" s="124">
        <v>0.5</v>
      </c>
      <c r="E123" s="124">
        <v>0.5</v>
      </c>
      <c r="F123" s="113" t="s">
        <v>2334</v>
      </c>
      <c r="G123" s="113" t="s">
        <v>1973</v>
      </c>
      <c r="H123" s="113" t="s">
        <v>86</v>
      </c>
      <c r="I123" s="113" t="s">
        <v>1109</v>
      </c>
      <c r="J123" s="118" t="s">
        <v>2129</v>
      </c>
      <c r="K123" s="118">
        <v>2</v>
      </c>
      <c r="L123" s="118" t="s">
        <v>5339</v>
      </c>
      <c r="M123" s="115" t="s">
        <v>1109</v>
      </c>
      <c r="N123" s="115" t="s">
        <v>6505</v>
      </c>
      <c r="O123" s="115">
        <v>1.25</v>
      </c>
      <c r="P123" s="115" t="s">
        <v>1109</v>
      </c>
      <c r="Q123" s="166"/>
      <c r="R123" s="164"/>
      <c r="S123" s="164"/>
      <c r="T123" s="164"/>
      <c r="U123" s="164"/>
      <c r="V123" s="162"/>
      <c r="W123" s="158"/>
      <c r="X123" s="158"/>
      <c r="Y123" s="158"/>
      <c r="Z123" s="158"/>
      <c r="AA123" s="158"/>
      <c r="AB123" s="158"/>
      <c r="AC123" s="113">
        <v>328</v>
      </c>
      <c r="AD123" s="113">
        <v>60</v>
      </c>
      <c r="AE123" s="113">
        <v>48</v>
      </c>
      <c r="AF123" s="113">
        <v>45</v>
      </c>
      <c r="AG123" s="120">
        <v>43</v>
      </c>
      <c r="AH123" s="113">
        <v>90</v>
      </c>
      <c r="AI123" s="113">
        <v>42</v>
      </c>
    </row>
    <row r="124" spans="1:35">
      <c r="A124" s="113">
        <v>97</v>
      </c>
      <c r="B124" s="113" t="s">
        <v>124</v>
      </c>
      <c r="C124" s="120" t="s">
        <v>5340</v>
      </c>
      <c r="D124" s="124">
        <v>0.5</v>
      </c>
      <c r="E124" s="124">
        <v>0.5</v>
      </c>
      <c r="F124" s="113" t="s">
        <v>2334</v>
      </c>
      <c r="G124" s="113" t="s">
        <v>1973</v>
      </c>
      <c r="H124" s="113" t="s">
        <v>86</v>
      </c>
      <c r="I124" s="113" t="s">
        <v>1109</v>
      </c>
      <c r="J124" s="118" t="s">
        <v>2129</v>
      </c>
      <c r="K124" s="118">
        <v>2</v>
      </c>
      <c r="L124" s="118" t="s">
        <v>5339</v>
      </c>
      <c r="M124" s="115" t="s">
        <v>5339</v>
      </c>
      <c r="N124" s="115" t="s">
        <v>6504</v>
      </c>
      <c r="O124" s="115">
        <v>1.25</v>
      </c>
      <c r="P124" s="115" t="s">
        <v>2128</v>
      </c>
      <c r="Q124" s="166"/>
      <c r="R124" s="164"/>
      <c r="S124" s="164"/>
      <c r="T124" s="164"/>
      <c r="U124" s="164"/>
      <c r="V124" s="162"/>
      <c r="W124" s="158"/>
      <c r="X124" s="158"/>
      <c r="Y124" s="158"/>
      <c r="Z124" s="158"/>
      <c r="AA124" s="158"/>
      <c r="AB124" s="158"/>
      <c r="AC124" s="113">
        <v>483</v>
      </c>
      <c r="AD124" s="113">
        <v>85</v>
      </c>
      <c r="AE124" s="113">
        <v>73</v>
      </c>
      <c r="AF124" s="113">
        <v>70</v>
      </c>
      <c r="AG124" s="120">
        <v>73</v>
      </c>
      <c r="AH124" s="113">
        <v>115</v>
      </c>
      <c r="AI124" s="113">
        <v>67</v>
      </c>
    </row>
    <row r="125" spans="1:35">
      <c r="A125" s="113">
        <v>98</v>
      </c>
      <c r="B125" s="113" t="s">
        <v>125</v>
      </c>
      <c r="C125" s="120" t="s">
        <v>5341</v>
      </c>
      <c r="D125" s="124">
        <v>0.5</v>
      </c>
      <c r="E125" s="124">
        <v>0.5</v>
      </c>
      <c r="F125" s="113" t="s">
        <v>2335</v>
      </c>
      <c r="G125" s="113" t="s">
        <v>1973</v>
      </c>
      <c r="H125" s="113" t="s">
        <v>25</v>
      </c>
      <c r="I125" s="113" t="s">
        <v>1109</v>
      </c>
      <c r="J125" s="118" t="s">
        <v>2129</v>
      </c>
      <c r="K125" s="118">
        <v>1</v>
      </c>
      <c r="L125" s="118" t="s">
        <v>5341</v>
      </c>
      <c r="M125" s="115" t="s">
        <v>1109</v>
      </c>
      <c r="N125" s="115" t="s">
        <v>6505</v>
      </c>
      <c r="O125" s="115">
        <v>1</v>
      </c>
      <c r="P125" s="115" t="s">
        <v>1109</v>
      </c>
      <c r="Q125" s="166"/>
      <c r="R125" s="164"/>
      <c r="S125" s="164"/>
      <c r="T125" s="164"/>
      <c r="U125" s="164"/>
      <c r="V125" s="162"/>
      <c r="W125" s="158"/>
      <c r="X125" s="158"/>
      <c r="Y125" s="158"/>
      <c r="Z125" s="158"/>
      <c r="AA125" s="158"/>
      <c r="AB125" s="158"/>
      <c r="AC125" s="113">
        <v>325</v>
      </c>
      <c r="AD125" s="113">
        <v>30</v>
      </c>
      <c r="AE125" s="113">
        <v>105</v>
      </c>
      <c r="AF125" s="113">
        <v>90</v>
      </c>
      <c r="AG125" s="120">
        <v>25</v>
      </c>
      <c r="AH125" s="113">
        <v>25</v>
      </c>
      <c r="AI125" s="113">
        <v>50</v>
      </c>
    </row>
    <row r="126" spans="1:35">
      <c r="A126" s="113">
        <v>99</v>
      </c>
      <c r="B126" s="113" t="s">
        <v>126</v>
      </c>
      <c r="C126" s="120" t="s">
        <v>5342</v>
      </c>
      <c r="D126" s="124">
        <v>0.5</v>
      </c>
      <c r="E126" s="124">
        <v>0.5</v>
      </c>
      <c r="F126" s="113" t="s">
        <v>2335</v>
      </c>
      <c r="G126" s="113" t="s">
        <v>1973</v>
      </c>
      <c r="H126" s="113" t="s">
        <v>25</v>
      </c>
      <c r="I126" s="113" t="s">
        <v>1109</v>
      </c>
      <c r="J126" s="118" t="s">
        <v>2129</v>
      </c>
      <c r="K126" s="118">
        <v>1</v>
      </c>
      <c r="L126" s="118" t="s">
        <v>5341</v>
      </c>
      <c r="M126" s="115" t="s">
        <v>5341</v>
      </c>
      <c r="N126" s="115" t="s">
        <v>6504</v>
      </c>
      <c r="O126" s="115">
        <v>1</v>
      </c>
      <c r="P126" s="115" t="s">
        <v>2128</v>
      </c>
      <c r="Q126" s="166"/>
      <c r="R126" s="164"/>
      <c r="S126" s="164"/>
      <c r="T126" s="164"/>
      <c r="U126" s="164"/>
      <c r="V126" s="162"/>
      <c r="W126" s="158"/>
      <c r="X126" s="158"/>
      <c r="Y126" s="158"/>
      <c r="Z126" s="158"/>
      <c r="AA126" s="158"/>
      <c r="AB126" s="158"/>
      <c r="AC126" s="113">
        <v>475</v>
      </c>
      <c r="AD126" s="113">
        <v>55</v>
      </c>
      <c r="AE126" s="113">
        <v>130</v>
      </c>
      <c r="AF126" s="113">
        <v>115</v>
      </c>
      <c r="AG126" s="120">
        <v>50</v>
      </c>
      <c r="AH126" s="113">
        <v>50</v>
      </c>
      <c r="AI126" s="113">
        <v>75</v>
      </c>
    </row>
    <row r="127" spans="1:35">
      <c r="A127" s="113">
        <v>100</v>
      </c>
      <c r="B127" s="113" t="s">
        <v>127</v>
      </c>
      <c r="C127" s="120" t="s">
        <v>5343</v>
      </c>
      <c r="D127" s="124" t="s">
        <v>1109</v>
      </c>
      <c r="E127" s="124" t="s">
        <v>1109</v>
      </c>
      <c r="F127" s="113" t="s">
        <v>2112</v>
      </c>
      <c r="G127" s="113" t="s">
        <v>1973</v>
      </c>
      <c r="H127" s="113" t="s">
        <v>46</v>
      </c>
      <c r="I127" s="113" t="s">
        <v>1109</v>
      </c>
      <c r="J127" s="118" t="s">
        <v>2129</v>
      </c>
      <c r="K127" s="118">
        <v>1</v>
      </c>
      <c r="L127" s="118" t="s">
        <v>5343</v>
      </c>
      <c r="M127" s="115" t="s">
        <v>1109</v>
      </c>
      <c r="N127" s="115" t="s">
        <v>6505</v>
      </c>
      <c r="O127" s="115">
        <v>1</v>
      </c>
      <c r="P127" s="115" t="s">
        <v>1109</v>
      </c>
      <c r="Q127" s="166"/>
      <c r="R127" s="164"/>
      <c r="S127" s="164"/>
      <c r="T127" s="164"/>
      <c r="U127" s="164"/>
      <c r="V127" s="162"/>
      <c r="W127" s="158"/>
      <c r="X127" s="158"/>
      <c r="Y127" s="158"/>
      <c r="Z127" s="158"/>
      <c r="AA127" s="158"/>
      <c r="AB127" s="158"/>
      <c r="AC127" s="113">
        <v>330</v>
      </c>
      <c r="AD127" s="113">
        <v>40</v>
      </c>
      <c r="AE127" s="113">
        <v>30</v>
      </c>
      <c r="AF127" s="113">
        <v>50</v>
      </c>
      <c r="AG127" s="120">
        <v>55</v>
      </c>
      <c r="AH127" s="113">
        <v>55</v>
      </c>
      <c r="AI127" s="113">
        <v>100</v>
      </c>
    </row>
    <row r="128" spans="1:35">
      <c r="A128" s="113">
        <v>100</v>
      </c>
      <c r="B128" s="113" t="s">
        <v>2848</v>
      </c>
      <c r="C128" s="120" t="s">
        <v>5344</v>
      </c>
      <c r="D128" s="124">
        <v>0.5</v>
      </c>
      <c r="E128" s="124">
        <v>0.5</v>
      </c>
      <c r="F128" s="113" t="s">
        <v>2112</v>
      </c>
      <c r="G128" s="113" t="s">
        <v>4319</v>
      </c>
      <c r="H128" s="113" t="s">
        <v>46</v>
      </c>
      <c r="I128" s="113" t="s">
        <v>14</v>
      </c>
      <c r="J128" s="118" t="s">
        <v>2129</v>
      </c>
      <c r="K128" s="118">
        <v>1</v>
      </c>
      <c r="L128" s="118" t="s">
        <v>5343</v>
      </c>
      <c r="M128" s="115" t="s">
        <v>1109</v>
      </c>
      <c r="N128" s="115" t="s">
        <v>6505</v>
      </c>
      <c r="O128" s="115">
        <v>1</v>
      </c>
      <c r="P128" s="115" t="s">
        <v>1109</v>
      </c>
      <c r="Q128" s="166"/>
      <c r="R128" s="164"/>
      <c r="S128" s="164"/>
      <c r="T128" s="164"/>
      <c r="U128" s="164"/>
      <c r="V128" s="162"/>
      <c r="W128" s="158"/>
      <c r="X128" s="158"/>
      <c r="Y128" s="158"/>
      <c r="Z128" s="158"/>
      <c r="AA128" s="158"/>
      <c r="AB128" s="158"/>
      <c r="AC128" s="113">
        <v>330</v>
      </c>
      <c r="AD128" s="113">
        <v>40</v>
      </c>
      <c r="AE128" s="113">
        <v>30</v>
      </c>
      <c r="AF128" s="113">
        <v>50</v>
      </c>
      <c r="AG128" s="120">
        <v>55</v>
      </c>
      <c r="AH128" s="113">
        <v>55</v>
      </c>
      <c r="AI128" s="113">
        <v>100</v>
      </c>
    </row>
    <row r="129" spans="1:35">
      <c r="A129" s="113">
        <v>101</v>
      </c>
      <c r="B129" s="113" t="s">
        <v>128</v>
      </c>
      <c r="C129" s="120" t="s">
        <v>5345</v>
      </c>
      <c r="D129" s="124" t="s">
        <v>1109</v>
      </c>
      <c r="E129" s="124" t="s">
        <v>1109</v>
      </c>
      <c r="F129" s="113" t="s">
        <v>2112</v>
      </c>
      <c r="G129" s="113" t="s">
        <v>1973</v>
      </c>
      <c r="H129" s="113" t="s">
        <v>46</v>
      </c>
      <c r="I129" s="113" t="s">
        <v>1109</v>
      </c>
      <c r="J129" s="118" t="s">
        <v>2129</v>
      </c>
      <c r="K129" s="118">
        <v>1</v>
      </c>
      <c r="L129" s="118" t="s">
        <v>5343</v>
      </c>
      <c r="M129" s="115" t="s">
        <v>5343</v>
      </c>
      <c r="N129" s="115" t="s">
        <v>6504</v>
      </c>
      <c r="O129" s="115">
        <v>1</v>
      </c>
      <c r="P129" s="115" t="s">
        <v>2128</v>
      </c>
      <c r="Q129" s="166"/>
      <c r="R129" s="164"/>
      <c r="S129" s="164"/>
      <c r="T129" s="164"/>
      <c r="U129" s="164"/>
      <c r="V129" s="162"/>
      <c r="W129" s="158"/>
      <c r="X129" s="158"/>
      <c r="Y129" s="158"/>
      <c r="Z129" s="158"/>
      <c r="AA129" s="158"/>
      <c r="AB129" s="158"/>
      <c r="AC129" s="113">
        <v>490</v>
      </c>
      <c r="AD129" s="113">
        <v>60</v>
      </c>
      <c r="AE129" s="113">
        <v>50</v>
      </c>
      <c r="AF129" s="113">
        <v>70</v>
      </c>
      <c r="AG129" s="120">
        <v>80</v>
      </c>
      <c r="AH129" s="113">
        <v>80</v>
      </c>
      <c r="AI129" s="113">
        <v>150</v>
      </c>
    </row>
    <row r="130" spans="1:35">
      <c r="A130" s="113">
        <v>101</v>
      </c>
      <c r="B130" s="113" t="s">
        <v>2850</v>
      </c>
      <c r="C130" s="120" t="s">
        <v>5346</v>
      </c>
      <c r="D130" s="124">
        <v>0.5</v>
      </c>
      <c r="E130" s="124">
        <v>0.5</v>
      </c>
      <c r="F130" s="113" t="s">
        <v>2112</v>
      </c>
      <c r="G130" s="113" t="s">
        <v>4319</v>
      </c>
      <c r="H130" s="113" t="s">
        <v>46</v>
      </c>
      <c r="I130" s="113" t="s">
        <v>4320</v>
      </c>
      <c r="J130" s="118" t="s">
        <v>2129</v>
      </c>
      <c r="K130" s="118">
        <v>1</v>
      </c>
      <c r="L130" s="118" t="s">
        <v>5343</v>
      </c>
      <c r="M130" s="120" t="s">
        <v>5344</v>
      </c>
      <c r="N130" s="115" t="s">
        <v>6504</v>
      </c>
      <c r="O130" s="115">
        <v>1</v>
      </c>
      <c r="P130" s="115" t="s">
        <v>2128</v>
      </c>
      <c r="Q130" s="166"/>
      <c r="R130" s="164"/>
      <c r="S130" s="164"/>
      <c r="T130" s="164"/>
      <c r="U130" s="164"/>
      <c r="V130" s="162"/>
      <c r="W130" s="158"/>
      <c r="X130" s="158"/>
      <c r="Y130" s="158"/>
      <c r="Z130" s="158"/>
      <c r="AA130" s="158"/>
      <c r="AB130" s="158"/>
      <c r="AC130" s="113">
        <v>490</v>
      </c>
      <c r="AD130" s="113">
        <v>60</v>
      </c>
      <c r="AE130" s="113">
        <v>50</v>
      </c>
      <c r="AF130" s="113">
        <v>70</v>
      </c>
      <c r="AG130" s="120">
        <v>80</v>
      </c>
      <c r="AH130" s="113">
        <v>80</v>
      </c>
      <c r="AI130" s="113">
        <v>150</v>
      </c>
    </row>
    <row r="131" spans="1:35">
      <c r="A131" s="113">
        <v>102</v>
      </c>
      <c r="B131" s="113" t="s">
        <v>129</v>
      </c>
      <c r="C131" s="120" t="s">
        <v>5347</v>
      </c>
      <c r="D131" s="124">
        <v>0.5</v>
      </c>
      <c r="E131" s="124">
        <v>0.5</v>
      </c>
      <c r="F131" s="113" t="s">
        <v>14</v>
      </c>
      <c r="G131" s="113" t="s">
        <v>1973</v>
      </c>
      <c r="H131" s="113" t="s">
        <v>14</v>
      </c>
      <c r="I131" s="113" t="s">
        <v>86</v>
      </c>
      <c r="J131" s="118" t="s">
        <v>2129</v>
      </c>
      <c r="K131" s="118">
        <v>2</v>
      </c>
      <c r="L131" s="118" t="s">
        <v>5347</v>
      </c>
      <c r="M131" s="115" t="s">
        <v>1109</v>
      </c>
      <c r="N131" s="115" t="s">
        <v>6505</v>
      </c>
      <c r="O131" s="115">
        <v>1.25</v>
      </c>
      <c r="P131" s="115" t="s">
        <v>1109</v>
      </c>
      <c r="Q131" s="166"/>
      <c r="R131" s="164"/>
      <c r="S131" s="164"/>
      <c r="T131" s="164"/>
      <c r="U131" s="164"/>
      <c r="V131" s="162"/>
      <c r="W131" s="158"/>
      <c r="X131" s="158"/>
      <c r="Y131" s="158"/>
      <c r="Z131" s="158"/>
      <c r="AA131" s="158"/>
      <c r="AB131" s="158"/>
      <c r="AC131" s="113">
        <v>325</v>
      </c>
      <c r="AD131" s="113">
        <v>60</v>
      </c>
      <c r="AE131" s="113">
        <v>40</v>
      </c>
      <c r="AF131" s="113">
        <v>80</v>
      </c>
      <c r="AG131" s="120">
        <v>60</v>
      </c>
      <c r="AH131" s="113">
        <v>45</v>
      </c>
      <c r="AI131" s="113">
        <v>40</v>
      </c>
    </row>
    <row r="132" spans="1:35">
      <c r="A132" s="113">
        <v>103</v>
      </c>
      <c r="B132" s="113" t="s">
        <v>130</v>
      </c>
      <c r="C132" s="120" t="s">
        <v>5348</v>
      </c>
      <c r="D132" s="124">
        <v>0.5</v>
      </c>
      <c r="E132" s="124">
        <v>0.5</v>
      </c>
      <c r="F132" s="113" t="s">
        <v>14</v>
      </c>
      <c r="G132" s="113" t="s">
        <v>1973</v>
      </c>
      <c r="H132" s="113" t="s">
        <v>14</v>
      </c>
      <c r="I132" s="113" t="s">
        <v>86</v>
      </c>
      <c r="J132" s="118" t="s">
        <v>2129</v>
      </c>
      <c r="K132" s="118">
        <v>2</v>
      </c>
      <c r="L132" s="118" t="s">
        <v>5347</v>
      </c>
      <c r="M132" s="115" t="s">
        <v>5347</v>
      </c>
      <c r="N132" s="115" t="s">
        <v>6504</v>
      </c>
      <c r="O132" s="115">
        <v>1.25</v>
      </c>
      <c r="P132" s="115" t="s">
        <v>1803</v>
      </c>
      <c r="Q132" s="166"/>
      <c r="R132" s="164"/>
      <c r="S132" s="164"/>
      <c r="T132" s="164"/>
      <c r="U132" s="164"/>
      <c r="V132" s="162"/>
      <c r="W132" s="158"/>
      <c r="X132" s="158"/>
      <c r="Y132" s="158"/>
      <c r="Z132" s="158"/>
      <c r="AA132" s="158"/>
      <c r="AB132" s="158"/>
      <c r="AC132" s="113">
        <v>530</v>
      </c>
      <c r="AD132" s="113">
        <v>95</v>
      </c>
      <c r="AE132" s="113">
        <v>95</v>
      </c>
      <c r="AF132" s="113">
        <v>85</v>
      </c>
      <c r="AG132" s="120">
        <v>125</v>
      </c>
      <c r="AH132" s="113">
        <v>75</v>
      </c>
      <c r="AI132" s="113">
        <v>55</v>
      </c>
    </row>
    <row r="133" spans="1:35">
      <c r="A133" s="113">
        <v>103</v>
      </c>
      <c r="B133" s="113" t="s">
        <v>6442</v>
      </c>
      <c r="C133" s="120" t="s">
        <v>5349</v>
      </c>
      <c r="D133" s="124">
        <v>0.5</v>
      </c>
      <c r="E133" s="124">
        <v>0.5</v>
      </c>
      <c r="F133" s="113" t="s">
        <v>14</v>
      </c>
      <c r="G133" s="113" t="s">
        <v>2702</v>
      </c>
      <c r="H133" s="113" t="s">
        <v>14</v>
      </c>
      <c r="I133" s="113" t="s">
        <v>23</v>
      </c>
      <c r="J133" s="118" t="s">
        <v>2129</v>
      </c>
      <c r="K133" s="118">
        <v>2</v>
      </c>
      <c r="L133" s="118" t="s">
        <v>5347</v>
      </c>
      <c r="M133" s="115" t="s">
        <v>5347</v>
      </c>
      <c r="N133" s="115" t="s">
        <v>6504</v>
      </c>
      <c r="O133" s="115">
        <v>1.25</v>
      </c>
      <c r="P133" s="115" t="s">
        <v>1803</v>
      </c>
      <c r="Q133" s="166"/>
      <c r="R133" s="164"/>
      <c r="S133" s="164"/>
      <c r="T133" s="164"/>
      <c r="U133" s="164"/>
      <c r="V133" s="162"/>
      <c r="W133" s="158"/>
      <c r="X133" s="158"/>
      <c r="Y133" s="158"/>
      <c r="Z133" s="158"/>
      <c r="AA133" s="158"/>
      <c r="AB133" s="158"/>
      <c r="AC133" s="113">
        <v>530</v>
      </c>
      <c r="AD133" s="113">
        <v>95</v>
      </c>
      <c r="AE133" s="113">
        <v>105</v>
      </c>
      <c r="AF133" s="113">
        <v>85</v>
      </c>
      <c r="AG133" s="120">
        <v>125</v>
      </c>
      <c r="AH133" s="113">
        <v>75</v>
      </c>
      <c r="AI133" s="113">
        <v>45</v>
      </c>
    </row>
    <row r="134" spans="1:35">
      <c r="A134" s="113">
        <v>104</v>
      </c>
      <c r="B134" s="113" t="s">
        <v>131</v>
      </c>
      <c r="C134" s="120" t="s">
        <v>5350</v>
      </c>
      <c r="D134" s="124">
        <v>0.5</v>
      </c>
      <c r="E134" s="124">
        <v>0.5</v>
      </c>
      <c r="F134" s="113" t="s">
        <v>2330</v>
      </c>
      <c r="G134" s="113" t="s">
        <v>1973</v>
      </c>
      <c r="H134" s="113" t="s">
        <v>49</v>
      </c>
      <c r="I134" s="113" t="s">
        <v>1109</v>
      </c>
      <c r="J134" s="118" t="s">
        <v>2129</v>
      </c>
      <c r="K134" s="118">
        <v>2</v>
      </c>
      <c r="L134" s="118" t="s">
        <v>5350</v>
      </c>
      <c r="M134" s="115" t="s">
        <v>1109</v>
      </c>
      <c r="N134" s="115" t="s">
        <v>6505</v>
      </c>
      <c r="O134" s="115">
        <v>1.25</v>
      </c>
      <c r="P134" s="115" t="s">
        <v>1109</v>
      </c>
      <c r="Q134" s="166"/>
      <c r="R134" s="164"/>
      <c r="S134" s="164"/>
      <c r="T134" s="164"/>
      <c r="U134" s="164"/>
      <c r="V134" s="162"/>
      <c r="W134" s="158"/>
      <c r="X134" s="158"/>
      <c r="Y134" s="158"/>
      <c r="Z134" s="158"/>
      <c r="AA134" s="158"/>
      <c r="AB134" s="158"/>
      <c r="AC134" s="113">
        <v>320</v>
      </c>
      <c r="AD134" s="113">
        <v>50</v>
      </c>
      <c r="AE134" s="113">
        <v>50</v>
      </c>
      <c r="AF134" s="113">
        <v>95</v>
      </c>
      <c r="AG134" s="120">
        <v>40</v>
      </c>
      <c r="AH134" s="113">
        <v>50</v>
      </c>
      <c r="AI134" s="113">
        <v>35</v>
      </c>
    </row>
    <row r="135" spans="1:35">
      <c r="A135" s="113">
        <v>105</v>
      </c>
      <c r="B135" s="113" t="s">
        <v>132</v>
      </c>
      <c r="C135" s="120" t="s">
        <v>5351</v>
      </c>
      <c r="D135" s="124">
        <v>0.5</v>
      </c>
      <c r="E135" s="124">
        <v>0.5</v>
      </c>
      <c r="F135" s="113" t="s">
        <v>2330</v>
      </c>
      <c r="G135" s="113" t="s">
        <v>1973</v>
      </c>
      <c r="H135" s="113" t="s">
        <v>49</v>
      </c>
      <c r="I135" s="113" t="s">
        <v>1109</v>
      </c>
      <c r="J135" s="118" t="s">
        <v>2129</v>
      </c>
      <c r="K135" s="118">
        <v>2</v>
      </c>
      <c r="L135" s="118" t="s">
        <v>5350</v>
      </c>
      <c r="M135" s="115" t="s">
        <v>5350</v>
      </c>
      <c r="N135" s="115" t="s">
        <v>6504</v>
      </c>
      <c r="O135" s="115">
        <v>1.25</v>
      </c>
      <c r="P135" s="115" t="s">
        <v>2128</v>
      </c>
      <c r="Q135" s="166"/>
      <c r="R135" s="164"/>
      <c r="S135" s="164"/>
      <c r="T135" s="164"/>
      <c r="U135" s="164"/>
      <c r="V135" s="162"/>
      <c r="W135" s="158"/>
      <c r="X135" s="158"/>
      <c r="Y135" s="158"/>
      <c r="Z135" s="158"/>
      <c r="AA135" s="158"/>
      <c r="AB135" s="158"/>
      <c r="AC135" s="113">
        <v>425</v>
      </c>
      <c r="AD135" s="113">
        <v>60</v>
      </c>
      <c r="AE135" s="113">
        <v>80</v>
      </c>
      <c r="AF135" s="113">
        <v>110</v>
      </c>
      <c r="AG135" s="120">
        <v>50</v>
      </c>
      <c r="AH135" s="113">
        <v>80</v>
      </c>
      <c r="AI135" s="113">
        <v>45</v>
      </c>
    </row>
    <row r="136" spans="1:35">
      <c r="A136" s="113">
        <v>105</v>
      </c>
      <c r="B136" s="113" t="s">
        <v>6423</v>
      </c>
      <c r="C136" s="120" t="s">
        <v>5352</v>
      </c>
      <c r="D136" s="124">
        <v>0.5</v>
      </c>
      <c r="E136" s="124">
        <v>0.5</v>
      </c>
      <c r="F136" s="113" t="s">
        <v>2330</v>
      </c>
      <c r="G136" s="113" t="s">
        <v>2702</v>
      </c>
      <c r="H136" s="113" t="s">
        <v>19</v>
      </c>
      <c r="I136" s="113" t="s">
        <v>119</v>
      </c>
      <c r="J136" s="118" t="s">
        <v>2129</v>
      </c>
      <c r="K136" s="118">
        <v>2</v>
      </c>
      <c r="L136" s="118" t="s">
        <v>5350</v>
      </c>
      <c r="M136" s="115" t="s">
        <v>5350</v>
      </c>
      <c r="N136" s="115" t="s">
        <v>6504</v>
      </c>
      <c r="O136" s="115">
        <v>1.25</v>
      </c>
      <c r="P136" s="115" t="s">
        <v>2128</v>
      </c>
      <c r="Q136" s="166"/>
      <c r="R136" s="164"/>
      <c r="S136" s="164"/>
      <c r="T136" s="164"/>
      <c r="U136" s="164"/>
      <c r="V136" s="162"/>
      <c r="W136" s="158"/>
      <c r="X136" s="158"/>
      <c r="Y136" s="158"/>
      <c r="Z136" s="158"/>
      <c r="AA136" s="158"/>
      <c r="AB136" s="158"/>
      <c r="AC136" s="113">
        <v>425</v>
      </c>
      <c r="AD136" s="113">
        <v>60</v>
      </c>
      <c r="AE136" s="113">
        <v>80</v>
      </c>
      <c r="AF136" s="113">
        <v>110</v>
      </c>
      <c r="AG136" s="120">
        <v>50</v>
      </c>
      <c r="AH136" s="113">
        <v>80</v>
      </c>
      <c r="AI136" s="113">
        <v>45</v>
      </c>
    </row>
    <row r="137" spans="1:35">
      <c r="A137" s="113">
        <v>106</v>
      </c>
      <c r="B137" s="113" t="s">
        <v>133</v>
      </c>
      <c r="C137" s="120" t="s">
        <v>5353</v>
      </c>
      <c r="D137" s="124">
        <v>1</v>
      </c>
      <c r="E137" s="124">
        <v>0</v>
      </c>
      <c r="F137" s="113" t="s">
        <v>2334</v>
      </c>
      <c r="G137" s="113" t="s">
        <v>1973</v>
      </c>
      <c r="H137" s="113" t="s">
        <v>78</v>
      </c>
      <c r="I137" s="113" t="s">
        <v>1109</v>
      </c>
      <c r="J137" s="118" t="s">
        <v>2129</v>
      </c>
      <c r="K137" s="118">
        <v>3</v>
      </c>
      <c r="L137" s="118" t="s">
        <v>5507</v>
      </c>
      <c r="M137" s="115" t="s">
        <v>5507</v>
      </c>
      <c r="N137" s="115" t="s">
        <v>6504</v>
      </c>
      <c r="O137" s="115">
        <v>1.5</v>
      </c>
      <c r="P137" s="115" t="s">
        <v>2128</v>
      </c>
      <c r="Q137" s="166">
        <v>2</v>
      </c>
      <c r="R137" s="164">
        <v>30</v>
      </c>
      <c r="S137" s="164"/>
      <c r="T137" s="164"/>
      <c r="U137" s="164">
        <v>70</v>
      </c>
      <c r="V137" s="162"/>
      <c r="W137" s="158"/>
      <c r="X137" s="158"/>
      <c r="Y137" s="158"/>
      <c r="Z137" s="158"/>
      <c r="AA137" s="158"/>
      <c r="AB137" s="158"/>
      <c r="AC137" s="113">
        <v>455</v>
      </c>
      <c r="AD137" s="113">
        <v>50</v>
      </c>
      <c r="AE137" s="113">
        <v>120</v>
      </c>
      <c r="AF137" s="113">
        <v>53</v>
      </c>
      <c r="AG137" s="120">
        <v>35</v>
      </c>
      <c r="AH137" s="113">
        <v>110</v>
      </c>
      <c r="AI137" s="113">
        <v>87</v>
      </c>
    </row>
    <row r="138" spans="1:35">
      <c r="A138" s="113">
        <v>107</v>
      </c>
      <c r="B138" s="113" t="s">
        <v>134</v>
      </c>
      <c r="C138" s="120" t="s">
        <v>5354</v>
      </c>
      <c r="D138" s="124">
        <v>1</v>
      </c>
      <c r="E138" s="124">
        <v>0</v>
      </c>
      <c r="F138" s="113" t="s">
        <v>2334</v>
      </c>
      <c r="G138" s="113" t="s">
        <v>1973</v>
      </c>
      <c r="H138" s="113" t="s">
        <v>78</v>
      </c>
      <c r="I138" s="113" t="s">
        <v>1109</v>
      </c>
      <c r="J138" s="118" t="s">
        <v>2129</v>
      </c>
      <c r="K138" s="118">
        <v>3</v>
      </c>
      <c r="L138" s="118" t="s">
        <v>5507</v>
      </c>
      <c r="M138" s="115" t="s">
        <v>5507</v>
      </c>
      <c r="N138" s="115" t="s">
        <v>6504</v>
      </c>
      <c r="O138" s="115">
        <v>1.5</v>
      </c>
      <c r="P138" s="115" t="s">
        <v>2128</v>
      </c>
      <c r="Q138" s="166">
        <v>2</v>
      </c>
      <c r="R138" s="164">
        <v>70</v>
      </c>
      <c r="S138" s="164"/>
      <c r="T138" s="164"/>
      <c r="U138" s="164">
        <v>30</v>
      </c>
      <c r="V138" s="162"/>
      <c r="W138" s="158"/>
      <c r="X138" s="158"/>
      <c r="Y138" s="158"/>
      <c r="Z138" s="158"/>
      <c r="AA138" s="158"/>
      <c r="AB138" s="158"/>
      <c r="AC138" s="113">
        <v>455</v>
      </c>
      <c r="AD138" s="113">
        <v>50</v>
      </c>
      <c r="AE138" s="113">
        <v>105</v>
      </c>
      <c r="AF138" s="113">
        <v>79</v>
      </c>
      <c r="AG138" s="120">
        <v>35</v>
      </c>
      <c r="AH138" s="113">
        <v>110</v>
      </c>
      <c r="AI138" s="113">
        <v>76</v>
      </c>
    </row>
    <row r="139" spans="1:35">
      <c r="A139" s="113">
        <v>108</v>
      </c>
      <c r="B139" s="113" t="s">
        <v>135</v>
      </c>
      <c r="C139" s="120" t="s">
        <v>5355</v>
      </c>
      <c r="D139" s="124">
        <v>0.5</v>
      </c>
      <c r="E139" s="124">
        <v>0.5</v>
      </c>
      <c r="F139" s="113" t="s">
        <v>2330</v>
      </c>
      <c r="G139" s="113" t="s">
        <v>1973</v>
      </c>
      <c r="H139" s="113" t="s">
        <v>36</v>
      </c>
      <c r="I139" s="113" t="s">
        <v>1109</v>
      </c>
      <c r="J139" s="118" t="s">
        <v>2129</v>
      </c>
      <c r="K139" s="118">
        <v>3</v>
      </c>
      <c r="L139" s="118" t="s">
        <v>5355</v>
      </c>
      <c r="M139" s="115" t="s">
        <v>1109</v>
      </c>
      <c r="N139" s="115" t="s">
        <v>6505</v>
      </c>
      <c r="O139" s="115">
        <v>1.5</v>
      </c>
      <c r="P139" s="115" t="s">
        <v>1109</v>
      </c>
      <c r="Q139" s="166"/>
      <c r="R139" s="164"/>
      <c r="S139" s="164"/>
      <c r="T139" s="164"/>
      <c r="U139" s="164"/>
      <c r="V139" s="162"/>
      <c r="W139" s="158"/>
      <c r="X139" s="158"/>
      <c r="Y139" s="158"/>
      <c r="Z139" s="158"/>
      <c r="AA139" s="158"/>
      <c r="AB139" s="158"/>
      <c r="AC139" s="113">
        <v>385</v>
      </c>
      <c r="AD139" s="113">
        <v>90</v>
      </c>
      <c r="AE139" s="113">
        <v>55</v>
      </c>
      <c r="AF139" s="113">
        <v>75</v>
      </c>
      <c r="AG139" s="120">
        <v>60</v>
      </c>
      <c r="AH139" s="113">
        <v>75</v>
      </c>
      <c r="AI139" s="113">
        <v>30</v>
      </c>
    </row>
    <row r="140" spans="1:35">
      <c r="A140" s="113">
        <v>109</v>
      </c>
      <c r="B140" s="113" t="s">
        <v>136</v>
      </c>
      <c r="C140" s="120" t="s">
        <v>5356</v>
      </c>
      <c r="D140" s="124">
        <v>0.5</v>
      </c>
      <c r="E140" s="124">
        <v>0.5</v>
      </c>
      <c r="F140" s="113" t="s">
        <v>2336</v>
      </c>
      <c r="G140" s="113" t="s">
        <v>1973</v>
      </c>
      <c r="H140" s="113" t="s">
        <v>15</v>
      </c>
      <c r="I140" s="113" t="s">
        <v>1109</v>
      </c>
      <c r="J140" s="118" t="s">
        <v>2129</v>
      </c>
      <c r="K140" s="118">
        <v>2</v>
      </c>
      <c r="L140" s="118" t="s">
        <v>5356</v>
      </c>
      <c r="M140" s="115" t="s">
        <v>1109</v>
      </c>
      <c r="N140" s="115" t="s">
        <v>6505</v>
      </c>
      <c r="O140" s="115">
        <v>1.25</v>
      </c>
      <c r="P140" s="115" t="s">
        <v>1109</v>
      </c>
      <c r="Q140" s="166"/>
      <c r="R140" s="164"/>
      <c r="S140" s="164"/>
      <c r="T140" s="164"/>
      <c r="U140" s="164"/>
      <c r="V140" s="162"/>
      <c r="W140" s="158"/>
      <c r="X140" s="158"/>
      <c r="Y140" s="158"/>
      <c r="Z140" s="158"/>
      <c r="AA140" s="158"/>
      <c r="AB140" s="158"/>
      <c r="AC140" s="113">
        <v>340</v>
      </c>
      <c r="AD140" s="113">
        <v>40</v>
      </c>
      <c r="AE140" s="113">
        <v>65</v>
      </c>
      <c r="AF140" s="113">
        <v>95</v>
      </c>
      <c r="AG140" s="120">
        <v>60</v>
      </c>
      <c r="AH140" s="113">
        <v>45</v>
      </c>
      <c r="AI140" s="113">
        <v>35</v>
      </c>
    </row>
    <row r="141" spans="1:35">
      <c r="A141" s="113">
        <v>110</v>
      </c>
      <c r="B141" s="113" t="s">
        <v>137</v>
      </c>
      <c r="C141" s="120" t="s">
        <v>5357</v>
      </c>
      <c r="D141" s="124">
        <v>0.5</v>
      </c>
      <c r="E141" s="124">
        <v>0.5</v>
      </c>
      <c r="F141" s="113" t="s">
        <v>2336</v>
      </c>
      <c r="G141" s="113" t="s">
        <v>1973</v>
      </c>
      <c r="H141" s="113" t="s">
        <v>15</v>
      </c>
      <c r="I141" s="113" t="s">
        <v>1109</v>
      </c>
      <c r="J141" s="118" t="s">
        <v>2129</v>
      </c>
      <c r="K141" s="118">
        <v>2</v>
      </c>
      <c r="L141" s="118" t="s">
        <v>5356</v>
      </c>
      <c r="M141" s="115" t="s">
        <v>5356</v>
      </c>
      <c r="N141" s="115" t="s">
        <v>6504</v>
      </c>
      <c r="O141" s="115">
        <v>1.25</v>
      </c>
      <c r="P141" s="115" t="s">
        <v>2128</v>
      </c>
      <c r="Q141" s="166"/>
      <c r="R141" s="164"/>
      <c r="S141" s="164"/>
      <c r="T141" s="164"/>
      <c r="U141" s="164"/>
      <c r="V141" s="162"/>
      <c r="W141" s="158"/>
      <c r="X141" s="158"/>
      <c r="Y141" s="158"/>
      <c r="Z141" s="158"/>
      <c r="AA141" s="158"/>
      <c r="AB141" s="158"/>
      <c r="AC141" s="113">
        <v>490</v>
      </c>
      <c r="AD141" s="113">
        <v>65</v>
      </c>
      <c r="AE141" s="113">
        <v>90</v>
      </c>
      <c r="AF141" s="113">
        <v>120</v>
      </c>
      <c r="AG141" s="120">
        <v>85</v>
      </c>
      <c r="AH141" s="113">
        <v>70</v>
      </c>
      <c r="AI141" s="113">
        <v>60</v>
      </c>
    </row>
    <row r="142" spans="1:35">
      <c r="A142" s="113">
        <v>110</v>
      </c>
      <c r="B142" s="113" t="s">
        <v>6457</v>
      </c>
      <c r="C142" s="120" t="s">
        <v>5358</v>
      </c>
      <c r="D142" s="124">
        <v>0.5</v>
      </c>
      <c r="E142" s="124">
        <v>0.5</v>
      </c>
      <c r="F142" s="113" t="s">
        <v>2336</v>
      </c>
      <c r="G142" s="113" t="s">
        <v>2703</v>
      </c>
      <c r="H142" s="113" t="s">
        <v>15</v>
      </c>
      <c r="I142" s="113" t="s">
        <v>56</v>
      </c>
      <c r="J142" s="118" t="s">
        <v>2129</v>
      </c>
      <c r="K142" s="118">
        <v>2</v>
      </c>
      <c r="L142" s="118" t="s">
        <v>5356</v>
      </c>
      <c r="M142" s="115" t="s">
        <v>5356</v>
      </c>
      <c r="N142" s="115" t="s">
        <v>6504</v>
      </c>
      <c r="O142" s="115">
        <v>1.25</v>
      </c>
      <c r="P142" s="115" t="s">
        <v>2128</v>
      </c>
      <c r="Q142" s="166"/>
      <c r="R142" s="164"/>
      <c r="S142" s="164"/>
      <c r="T142" s="164"/>
      <c r="U142" s="164"/>
      <c r="V142" s="162"/>
      <c r="W142" s="158"/>
      <c r="X142" s="158"/>
      <c r="Y142" s="158"/>
      <c r="Z142" s="158"/>
      <c r="AA142" s="158"/>
      <c r="AB142" s="158"/>
      <c r="AC142" s="113">
        <v>490</v>
      </c>
      <c r="AD142" s="113">
        <v>65</v>
      </c>
      <c r="AE142" s="113">
        <v>90</v>
      </c>
      <c r="AF142" s="113">
        <v>120</v>
      </c>
      <c r="AG142" s="120">
        <v>85</v>
      </c>
      <c r="AH142" s="113">
        <v>70</v>
      </c>
      <c r="AI142" s="113">
        <v>60</v>
      </c>
    </row>
    <row r="143" spans="1:35">
      <c r="A143" s="113">
        <v>111</v>
      </c>
      <c r="B143" s="113" t="s">
        <v>138</v>
      </c>
      <c r="C143" s="120" t="s">
        <v>5359</v>
      </c>
      <c r="D143" s="124">
        <v>0.5</v>
      </c>
      <c r="E143" s="124">
        <v>0.5</v>
      </c>
      <c r="F143" s="113" t="s">
        <v>2332</v>
      </c>
      <c r="G143" s="113" t="s">
        <v>1973</v>
      </c>
      <c r="H143" s="113" t="s">
        <v>49</v>
      </c>
      <c r="I143" s="113" t="s">
        <v>98</v>
      </c>
      <c r="J143" s="118" t="s">
        <v>2129</v>
      </c>
      <c r="K143" s="118">
        <v>2</v>
      </c>
      <c r="L143" s="118" t="s">
        <v>5359</v>
      </c>
      <c r="M143" s="115" t="s">
        <v>1109</v>
      </c>
      <c r="N143" s="115" t="s">
        <v>6505</v>
      </c>
      <c r="O143" s="115">
        <v>1.25</v>
      </c>
      <c r="P143" s="115" t="s">
        <v>1109</v>
      </c>
      <c r="Q143" s="166"/>
      <c r="R143" s="164"/>
      <c r="S143" s="164"/>
      <c r="T143" s="164"/>
      <c r="U143" s="164"/>
      <c r="V143" s="162"/>
      <c r="W143" s="158"/>
      <c r="X143" s="158"/>
      <c r="Y143" s="158"/>
      <c r="Z143" s="158"/>
      <c r="AA143" s="158"/>
      <c r="AB143" s="158"/>
      <c r="AC143" s="113">
        <v>345</v>
      </c>
      <c r="AD143" s="113">
        <v>80</v>
      </c>
      <c r="AE143" s="113">
        <v>85</v>
      </c>
      <c r="AF143" s="113">
        <v>95</v>
      </c>
      <c r="AG143" s="120">
        <v>30</v>
      </c>
      <c r="AH143" s="113">
        <v>30</v>
      </c>
      <c r="AI143" s="113">
        <v>25</v>
      </c>
    </row>
    <row r="144" spans="1:35">
      <c r="A144" s="113">
        <v>112</v>
      </c>
      <c r="B144" s="113" t="s">
        <v>139</v>
      </c>
      <c r="C144" s="120" t="s">
        <v>5360</v>
      </c>
      <c r="D144" s="124">
        <v>0.5</v>
      </c>
      <c r="E144" s="124">
        <v>0.5</v>
      </c>
      <c r="F144" s="113" t="s">
        <v>2332</v>
      </c>
      <c r="G144" s="113" t="s">
        <v>1973</v>
      </c>
      <c r="H144" s="113" t="s">
        <v>49</v>
      </c>
      <c r="I144" s="113" t="s">
        <v>98</v>
      </c>
      <c r="J144" s="118" t="s">
        <v>2129</v>
      </c>
      <c r="K144" s="118">
        <v>2</v>
      </c>
      <c r="L144" s="118" t="s">
        <v>5359</v>
      </c>
      <c r="M144" s="115" t="s">
        <v>5359</v>
      </c>
      <c r="N144" s="115" t="s">
        <v>6506</v>
      </c>
      <c r="O144" s="115">
        <v>1.25</v>
      </c>
      <c r="P144" s="115" t="s">
        <v>2128</v>
      </c>
      <c r="Q144" s="166"/>
      <c r="R144" s="164"/>
      <c r="S144" s="164"/>
      <c r="T144" s="164"/>
      <c r="U144" s="164"/>
      <c r="V144" s="162"/>
      <c r="W144" s="158"/>
      <c r="X144" s="158"/>
      <c r="Y144" s="158"/>
      <c r="Z144" s="158"/>
      <c r="AA144" s="158"/>
      <c r="AB144" s="158"/>
      <c r="AC144" s="113">
        <v>485</v>
      </c>
      <c r="AD144" s="113">
        <v>105</v>
      </c>
      <c r="AE144" s="113">
        <v>130</v>
      </c>
      <c r="AF144" s="113">
        <v>120</v>
      </c>
      <c r="AG144" s="120">
        <v>45</v>
      </c>
      <c r="AH144" s="113">
        <v>45</v>
      </c>
      <c r="AI144" s="113">
        <v>40</v>
      </c>
    </row>
    <row r="145" spans="1:35">
      <c r="A145" s="113">
        <v>113</v>
      </c>
      <c r="B145" s="113" t="s">
        <v>140</v>
      </c>
      <c r="C145" s="120" t="s">
        <v>5361</v>
      </c>
      <c r="D145" s="124">
        <v>0</v>
      </c>
      <c r="E145" s="124">
        <v>1</v>
      </c>
      <c r="F145" s="113" t="s">
        <v>56</v>
      </c>
      <c r="G145" s="113" t="s">
        <v>1973</v>
      </c>
      <c r="H145" s="113" t="s">
        <v>36</v>
      </c>
      <c r="I145" s="113" t="s">
        <v>1109</v>
      </c>
      <c r="J145" s="118" t="s">
        <v>2129</v>
      </c>
      <c r="K145" s="118">
        <v>3</v>
      </c>
      <c r="L145" s="118" t="s">
        <v>5742</v>
      </c>
      <c r="M145" s="115" t="s">
        <v>5742</v>
      </c>
      <c r="N145" s="115" t="s">
        <v>6505</v>
      </c>
      <c r="O145" s="115">
        <v>1.5</v>
      </c>
      <c r="P145" s="115" t="s">
        <v>2128</v>
      </c>
      <c r="Q145" s="166">
        <v>1</v>
      </c>
      <c r="R145" s="164"/>
      <c r="S145" s="164"/>
      <c r="T145" s="164">
        <v>80</v>
      </c>
      <c r="U145" s="164"/>
      <c r="V145" s="162"/>
      <c r="W145" s="158" t="s">
        <v>6531</v>
      </c>
      <c r="X145" s="158"/>
      <c r="Y145" s="158">
        <v>70</v>
      </c>
      <c r="Z145" s="158">
        <v>6</v>
      </c>
      <c r="AA145" s="158"/>
      <c r="AB145" s="158"/>
      <c r="AC145" s="113">
        <v>450</v>
      </c>
      <c r="AD145" s="113">
        <v>250</v>
      </c>
      <c r="AE145" s="113">
        <v>5</v>
      </c>
      <c r="AF145" s="113">
        <v>5</v>
      </c>
      <c r="AG145" s="120">
        <v>35</v>
      </c>
      <c r="AH145" s="113">
        <v>105</v>
      </c>
      <c r="AI145" s="113">
        <v>50</v>
      </c>
    </row>
    <row r="146" spans="1:35">
      <c r="A146" s="113">
        <v>114</v>
      </c>
      <c r="B146" s="113" t="s">
        <v>141</v>
      </c>
      <c r="C146" s="120" t="s">
        <v>5362</v>
      </c>
      <c r="D146" s="124">
        <v>0.5</v>
      </c>
      <c r="E146" s="124">
        <v>0.5</v>
      </c>
      <c r="F146" s="113" t="s">
        <v>14</v>
      </c>
      <c r="G146" s="113" t="s">
        <v>1973</v>
      </c>
      <c r="H146" s="113" t="s">
        <v>14</v>
      </c>
      <c r="I146" s="113" t="s">
        <v>1109</v>
      </c>
      <c r="J146" s="118" t="s">
        <v>2129</v>
      </c>
      <c r="K146" s="118">
        <v>2</v>
      </c>
      <c r="L146" s="118" t="s">
        <v>5362</v>
      </c>
      <c r="M146" s="115" t="s">
        <v>1109</v>
      </c>
      <c r="N146" s="115" t="s">
        <v>6505</v>
      </c>
      <c r="O146" s="115">
        <v>1.25</v>
      </c>
      <c r="P146" s="115" t="s">
        <v>1109</v>
      </c>
      <c r="Q146" s="166"/>
      <c r="R146" s="164"/>
      <c r="S146" s="164"/>
      <c r="T146" s="164"/>
      <c r="U146" s="164"/>
      <c r="V146" s="162"/>
      <c r="W146" s="158"/>
      <c r="X146" s="158"/>
      <c r="Y146" s="158"/>
      <c r="Z146" s="158"/>
      <c r="AA146" s="158"/>
      <c r="AB146" s="158"/>
      <c r="AC146" s="113">
        <v>435</v>
      </c>
      <c r="AD146" s="113">
        <v>65</v>
      </c>
      <c r="AE146" s="113">
        <v>55</v>
      </c>
      <c r="AF146" s="113">
        <v>115</v>
      </c>
      <c r="AG146" s="120">
        <v>100</v>
      </c>
      <c r="AH146" s="113">
        <v>40</v>
      </c>
      <c r="AI146" s="113">
        <v>60</v>
      </c>
    </row>
    <row r="147" spans="1:35">
      <c r="A147" s="113">
        <v>115</v>
      </c>
      <c r="B147" s="113" t="s">
        <v>142</v>
      </c>
      <c r="C147" s="120" t="s">
        <v>5363</v>
      </c>
      <c r="D147" s="124">
        <v>0</v>
      </c>
      <c r="E147" s="124">
        <v>1</v>
      </c>
      <c r="F147" s="113" t="s">
        <v>2330</v>
      </c>
      <c r="G147" s="113" t="s">
        <v>1973</v>
      </c>
      <c r="H147" s="113" t="s">
        <v>36</v>
      </c>
      <c r="I147" s="113" t="s">
        <v>1109</v>
      </c>
      <c r="J147" s="118" t="s">
        <v>2129</v>
      </c>
      <c r="K147" s="118">
        <v>3</v>
      </c>
      <c r="L147" s="118" t="s">
        <v>5363</v>
      </c>
      <c r="M147" s="115" t="s">
        <v>1109</v>
      </c>
      <c r="N147" s="115" t="s">
        <v>6504</v>
      </c>
      <c r="O147" s="115">
        <v>1.5</v>
      </c>
      <c r="P147" s="115" t="s">
        <v>1109</v>
      </c>
      <c r="Q147" s="166"/>
      <c r="R147" s="164"/>
      <c r="S147" s="164"/>
      <c r="T147" s="164"/>
      <c r="U147" s="164"/>
      <c r="V147" s="162"/>
      <c r="W147" s="158"/>
      <c r="X147" s="158"/>
      <c r="Y147" s="158"/>
      <c r="Z147" s="158"/>
      <c r="AA147" s="158"/>
      <c r="AB147" s="158"/>
      <c r="AC147" s="113">
        <v>490</v>
      </c>
      <c r="AD147" s="113">
        <v>105</v>
      </c>
      <c r="AE147" s="113">
        <v>95</v>
      </c>
      <c r="AF147" s="113">
        <v>80</v>
      </c>
      <c r="AG147" s="120">
        <v>40</v>
      </c>
      <c r="AH147" s="113">
        <v>80</v>
      </c>
      <c r="AI147" s="113">
        <v>90</v>
      </c>
    </row>
    <row r="148" spans="1:35">
      <c r="A148" s="113">
        <v>116</v>
      </c>
      <c r="B148" s="113" t="s">
        <v>143</v>
      </c>
      <c r="C148" s="120" t="s">
        <v>5365</v>
      </c>
      <c r="D148" s="124">
        <v>0.5</v>
      </c>
      <c r="E148" s="124">
        <v>0.5</v>
      </c>
      <c r="F148" s="113" t="s">
        <v>23</v>
      </c>
      <c r="G148" s="113" t="s">
        <v>1973</v>
      </c>
      <c r="H148" s="113" t="s">
        <v>25</v>
      </c>
      <c r="I148" s="113" t="s">
        <v>1109</v>
      </c>
      <c r="J148" s="118" t="s">
        <v>2129</v>
      </c>
      <c r="K148" s="118">
        <v>2</v>
      </c>
      <c r="L148" s="118" t="s">
        <v>5365</v>
      </c>
      <c r="M148" s="115" t="s">
        <v>1109</v>
      </c>
      <c r="N148" s="115" t="s">
        <v>6505</v>
      </c>
      <c r="O148" s="115">
        <v>1.25</v>
      </c>
      <c r="P148" s="115" t="s">
        <v>1109</v>
      </c>
      <c r="Q148" s="166"/>
      <c r="R148" s="164"/>
      <c r="S148" s="164"/>
      <c r="T148" s="164"/>
      <c r="U148" s="164"/>
      <c r="V148" s="162"/>
      <c r="W148" s="158"/>
      <c r="X148" s="158"/>
      <c r="Y148" s="158"/>
      <c r="Z148" s="158"/>
      <c r="AA148" s="158"/>
      <c r="AB148" s="158"/>
      <c r="AC148" s="113">
        <v>295</v>
      </c>
      <c r="AD148" s="113">
        <v>30</v>
      </c>
      <c r="AE148" s="113">
        <v>40</v>
      </c>
      <c r="AF148" s="113">
        <v>70</v>
      </c>
      <c r="AG148" s="120">
        <v>70</v>
      </c>
      <c r="AH148" s="113">
        <v>25</v>
      </c>
      <c r="AI148" s="113">
        <v>60</v>
      </c>
    </row>
    <row r="149" spans="1:35">
      <c r="A149" s="113">
        <v>117</v>
      </c>
      <c r="B149" s="113" t="s">
        <v>144</v>
      </c>
      <c r="C149" s="120" t="s">
        <v>5366</v>
      </c>
      <c r="D149" s="124">
        <v>0.5</v>
      </c>
      <c r="E149" s="124">
        <v>0.5</v>
      </c>
      <c r="F149" s="113" t="s">
        <v>23</v>
      </c>
      <c r="G149" s="113" t="s">
        <v>1973</v>
      </c>
      <c r="H149" s="113" t="s">
        <v>25</v>
      </c>
      <c r="I149" s="113" t="s">
        <v>1109</v>
      </c>
      <c r="J149" s="118" t="s">
        <v>2129</v>
      </c>
      <c r="K149" s="118">
        <v>2</v>
      </c>
      <c r="L149" s="118" t="s">
        <v>5365</v>
      </c>
      <c r="M149" s="115" t="s">
        <v>5365</v>
      </c>
      <c r="N149" s="115" t="s">
        <v>6506</v>
      </c>
      <c r="O149" s="115">
        <v>1.25</v>
      </c>
      <c r="P149" s="115" t="s">
        <v>2128</v>
      </c>
      <c r="Q149" s="166"/>
      <c r="R149" s="164"/>
      <c r="S149" s="164"/>
      <c r="T149" s="164"/>
      <c r="U149" s="164"/>
      <c r="V149" s="162"/>
      <c r="W149" s="158"/>
      <c r="X149" s="158"/>
      <c r="Y149" s="158"/>
      <c r="Z149" s="158"/>
      <c r="AA149" s="158"/>
      <c r="AB149" s="158"/>
      <c r="AC149" s="113">
        <v>440</v>
      </c>
      <c r="AD149" s="113">
        <v>55</v>
      </c>
      <c r="AE149" s="113">
        <v>65</v>
      </c>
      <c r="AF149" s="113">
        <v>95</v>
      </c>
      <c r="AG149" s="120">
        <v>95</v>
      </c>
      <c r="AH149" s="113">
        <v>45</v>
      </c>
      <c r="AI149" s="113">
        <v>85</v>
      </c>
    </row>
    <row r="150" spans="1:35">
      <c r="A150" s="113">
        <v>118</v>
      </c>
      <c r="B150" s="113" t="s">
        <v>145</v>
      </c>
      <c r="C150" s="120" t="s">
        <v>5367</v>
      </c>
      <c r="D150" s="124">
        <v>0.5</v>
      </c>
      <c r="E150" s="124">
        <v>0.5</v>
      </c>
      <c r="F150" s="113" t="s">
        <v>2337</v>
      </c>
      <c r="G150" s="113" t="s">
        <v>1973</v>
      </c>
      <c r="H150" s="113" t="s">
        <v>25</v>
      </c>
      <c r="I150" s="113" t="s">
        <v>1109</v>
      </c>
      <c r="J150" s="118" t="s">
        <v>2129</v>
      </c>
      <c r="K150" s="118">
        <v>2</v>
      </c>
      <c r="L150" s="118" t="s">
        <v>5367</v>
      </c>
      <c r="M150" s="115" t="s">
        <v>1109</v>
      </c>
      <c r="N150" s="115" t="s">
        <v>6505</v>
      </c>
      <c r="O150" s="115">
        <v>1.25</v>
      </c>
      <c r="P150" s="115" t="s">
        <v>1109</v>
      </c>
      <c r="Q150" s="166"/>
      <c r="R150" s="164"/>
      <c r="S150" s="164"/>
      <c r="T150" s="164"/>
      <c r="U150" s="164"/>
      <c r="V150" s="162"/>
      <c r="W150" s="158"/>
      <c r="X150" s="158"/>
      <c r="Y150" s="158"/>
      <c r="Z150" s="158"/>
      <c r="AA150" s="158"/>
      <c r="AB150" s="158"/>
      <c r="AC150" s="113">
        <v>320</v>
      </c>
      <c r="AD150" s="113">
        <v>45</v>
      </c>
      <c r="AE150" s="113">
        <v>67</v>
      </c>
      <c r="AF150" s="113">
        <v>60</v>
      </c>
      <c r="AG150" s="120">
        <v>35</v>
      </c>
      <c r="AH150" s="113">
        <v>50</v>
      </c>
      <c r="AI150" s="113">
        <v>63</v>
      </c>
    </row>
    <row r="151" spans="1:35">
      <c r="A151" s="113">
        <v>119</v>
      </c>
      <c r="B151" s="113" t="s">
        <v>146</v>
      </c>
      <c r="C151" s="120" t="s">
        <v>5368</v>
      </c>
      <c r="D151" s="124">
        <v>0.5</v>
      </c>
      <c r="E151" s="124">
        <v>0.5</v>
      </c>
      <c r="F151" s="113" t="s">
        <v>2337</v>
      </c>
      <c r="G151" s="113" t="s">
        <v>1973</v>
      </c>
      <c r="H151" s="113" t="s">
        <v>25</v>
      </c>
      <c r="I151" s="113" t="s">
        <v>1109</v>
      </c>
      <c r="J151" s="118" t="s">
        <v>2129</v>
      </c>
      <c r="K151" s="118">
        <v>2</v>
      </c>
      <c r="L151" s="118" t="s">
        <v>5367</v>
      </c>
      <c r="M151" s="115" t="s">
        <v>5367</v>
      </c>
      <c r="N151" s="115" t="s">
        <v>6504</v>
      </c>
      <c r="O151" s="115">
        <v>1.25</v>
      </c>
      <c r="P151" s="115" t="s">
        <v>2128</v>
      </c>
      <c r="Q151" s="166"/>
      <c r="R151" s="164"/>
      <c r="S151" s="164"/>
      <c r="T151" s="164"/>
      <c r="U151" s="164"/>
      <c r="V151" s="162"/>
      <c r="W151" s="158"/>
      <c r="X151" s="158"/>
      <c r="Y151" s="158"/>
      <c r="Z151" s="158"/>
      <c r="AA151" s="158"/>
      <c r="AB151" s="158"/>
      <c r="AC151" s="113">
        <v>450</v>
      </c>
      <c r="AD151" s="113">
        <v>80</v>
      </c>
      <c r="AE151" s="113">
        <v>92</v>
      </c>
      <c r="AF151" s="113">
        <v>65</v>
      </c>
      <c r="AG151" s="120">
        <v>65</v>
      </c>
      <c r="AH151" s="113">
        <v>80</v>
      </c>
      <c r="AI151" s="113">
        <v>68</v>
      </c>
    </row>
    <row r="152" spans="1:35">
      <c r="A152" s="113">
        <v>120</v>
      </c>
      <c r="B152" s="113" t="s">
        <v>147</v>
      </c>
      <c r="C152" s="120" t="s">
        <v>5369</v>
      </c>
      <c r="D152" s="124" t="s">
        <v>1109</v>
      </c>
      <c r="E152" s="124" t="s">
        <v>1109</v>
      </c>
      <c r="F152" s="113" t="s">
        <v>2335</v>
      </c>
      <c r="G152" s="113" t="s">
        <v>1973</v>
      </c>
      <c r="H152" s="113" t="s">
        <v>25</v>
      </c>
      <c r="I152" s="113" t="s">
        <v>1109</v>
      </c>
      <c r="J152" s="118" t="s">
        <v>2129</v>
      </c>
      <c r="K152" s="118">
        <v>2</v>
      </c>
      <c r="L152" s="118" t="s">
        <v>5369</v>
      </c>
      <c r="M152" s="115" t="s">
        <v>1109</v>
      </c>
      <c r="N152" s="115" t="s">
        <v>6505</v>
      </c>
      <c r="O152" s="115">
        <v>1.25</v>
      </c>
      <c r="P152" s="115" t="s">
        <v>1109</v>
      </c>
      <c r="Q152" s="166"/>
      <c r="R152" s="164"/>
      <c r="S152" s="164"/>
      <c r="T152" s="164"/>
      <c r="U152" s="164"/>
      <c r="V152" s="162"/>
      <c r="W152" s="158"/>
      <c r="X152" s="158"/>
      <c r="Y152" s="158"/>
      <c r="Z152" s="158"/>
      <c r="AA152" s="158"/>
      <c r="AB152" s="158"/>
      <c r="AC152" s="113">
        <v>340</v>
      </c>
      <c r="AD152" s="113">
        <v>30</v>
      </c>
      <c r="AE152" s="113">
        <v>45</v>
      </c>
      <c r="AF152" s="113">
        <v>55</v>
      </c>
      <c r="AG152" s="120">
        <v>70</v>
      </c>
      <c r="AH152" s="113">
        <v>55</v>
      </c>
      <c r="AI152" s="113">
        <v>85</v>
      </c>
    </row>
    <row r="153" spans="1:35">
      <c r="A153" s="113">
        <v>121</v>
      </c>
      <c r="B153" s="113" t="s">
        <v>148</v>
      </c>
      <c r="C153" s="120" t="s">
        <v>5370</v>
      </c>
      <c r="D153" s="124" t="s">
        <v>1109</v>
      </c>
      <c r="E153" s="124" t="s">
        <v>1109</v>
      </c>
      <c r="F153" s="113" t="s">
        <v>2335</v>
      </c>
      <c r="G153" s="113" t="s">
        <v>1973</v>
      </c>
      <c r="H153" s="113" t="s">
        <v>25</v>
      </c>
      <c r="I153" s="113" t="s">
        <v>86</v>
      </c>
      <c r="J153" s="118" t="s">
        <v>2129</v>
      </c>
      <c r="K153" s="118">
        <v>2</v>
      </c>
      <c r="L153" s="118" t="s">
        <v>5369</v>
      </c>
      <c r="M153" s="115" t="s">
        <v>5369</v>
      </c>
      <c r="N153" s="115" t="s">
        <v>6504</v>
      </c>
      <c r="O153" s="115">
        <v>1.25</v>
      </c>
      <c r="P153" s="115" t="s">
        <v>1803</v>
      </c>
      <c r="Q153" s="166"/>
      <c r="R153" s="164"/>
      <c r="S153" s="164"/>
      <c r="T153" s="164"/>
      <c r="U153" s="164"/>
      <c r="V153" s="162"/>
      <c r="W153" s="158"/>
      <c r="X153" s="158"/>
      <c r="Y153" s="158"/>
      <c r="Z153" s="158"/>
      <c r="AA153" s="158"/>
      <c r="AB153" s="158"/>
      <c r="AC153" s="113">
        <v>520</v>
      </c>
      <c r="AD153" s="113">
        <v>60</v>
      </c>
      <c r="AE153" s="113">
        <v>75</v>
      </c>
      <c r="AF153" s="113">
        <v>85</v>
      </c>
      <c r="AG153" s="120">
        <v>100</v>
      </c>
      <c r="AH153" s="113">
        <v>85</v>
      </c>
      <c r="AI153" s="113">
        <v>115</v>
      </c>
    </row>
    <row r="154" spans="1:35">
      <c r="A154" s="113">
        <v>122</v>
      </c>
      <c r="B154" s="113" t="s">
        <v>149</v>
      </c>
      <c r="C154" s="120" t="s">
        <v>5371</v>
      </c>
      <c r="D154" s="124">
        <v>0.5</v>
      </c>
      <c r="E154" s="124">
        <v>0.5</v>
      </c>
      <c r="F154" s="113" t="s">
        <v>2334</v>
      </c>
      <c r="G154" s="113" t="s">
        <v>1973</v>
      </c>
      <c r="H154" s="113" t="s">
        <v>86</v>
      </c>
      <c r="I154" s="113" t="s">
        <v>56</v>
      </c>
      <c r="J154" s="118" t="s">
        <v>2129</v>
      </c>
      <c r="K154" s="118">
        <v>3</v>
      </c>
      <c r="L154" s="118" t="s">
        <v>5741</v>
      </c>
      <c r="M154" s="115" t="s">
        <v>5741</v>
      </c>
      <c r="N154" s="115" t="s">
        <v>6504</v>
      </c>
      <c r="O154" s="115">
        <v>1.5</v>
      </c>
      <c r="P154" s="115" t="s">
        <v>2128</v>
      </c>
      <c r="Q154" s="166">
        <v>2</v>
      </c>
      <c r="R154" s="164"/>
      <c r="S154" s="164">
        <v>50</v>
      </c>
      <c r="T154" s="164"/>
      <c r="U154" s="164"/>
      <c r="V154" s="162"/>
      <c r="W154" s="168" t="s">
        <v>6531</v>
      </c>
      <c r="X154" s="169"/>
      <c r="Y154" s="169">
        <v>70</v>
      </c>
      <c r="Z154" s="169">
        <v>6</v>
      </c>
      <c r="AA154" s="169"/>
      <c r="AB154" s="169"/>
      <c r="AC154" s="113">
        <v>460</v>
      </c>
      <c r="AD154" s="113">
        <v>40</v>
      </c>
      <c r="AE154" s="113">
        <v>45</v>
      </c>
      <c r="AF154" s="113">
        <v>65</v>
      </c>
      <c r="AG154" s="120">
        <v>100</v>
      </c>
      <c r="AH154" s="113">
        <v>120</v>
      </c>
      <c r="AI154" s="113">
        <v>90</v>
      </c>
    </row>
    <row r="155" spans="1:35">
      <c r="A155" s="113">
        <v>122</v>
      </c>
      <c r="B155" s="113" t="s">
        <v>6453</v>
      </c>
      <c r="C155" s="120" t="s">
        <v>5372</v>
      </c>
      <c r="D155" s="124">
        <v>0.5</v>
      </c>
      <c r="E155" s="124">
        <v>0.5</v>
      </c>
      <c r="F155" s="113" t="s">
        <v>2334</v>
      </c>
      <c r="G155" s="113" t="s">
        <v>2703</v>
      </c>
      <c r="H155" s="113" t="s">
        <v>86</v>
      </c>
      <c r="I155" s="113" t="s">
        <v>56</v>
      </c>
      <c r="J155" s="118" t="s">
        <v>2129</v>
      </c>
      <c r="K155" s="118">
        <v>3</v>
      </c>
      <c r="L155" s="118" t="s">
        <v>5741</v>
      </c>
      <c r="M155" s="115" t="s">
        <v>5741</v>
      </c>
      <c r="N155" s="115" t="s">
        <v>6505</v>
      </c>
      <c r="O155" s="115">
        <v>1.5</v>
      </c>
      <c r="P155" s="115" t="s">
        <v>2128</v>
      </c>
      <c r="Q155" s="166"/>
      <c r="R155" s="164"/>
      <c r="S155" s="164"/>
      <c r="T155" s="164"/>
      <c r="U155" s="164"/>
      <c r="V155" s="162"/>
      <c r="W155" s="158"/>
      <c r="X155" s="158"/>
      <c r="Y155" s="158"/>
      <c r="Z155" s="158"/>
      <c r="AA155" s="158"/>
      <c r="AB155" s="158"/>
      <c r="AC155" s="113">
        <v>460</v>
      </c>
      <c r="AD155" s="113">
        <v>50</v>
      </c>
      <c r="AE155" s="113">
        <v>65</v>
      </c>
      <c r="AF155" s="113">
        <v>65</v>
      </c>
      <c r="AG155" s="120">
        <v>90</v>
      </c>
      <c r="AH155" s="113">
        <v>90</v>
      </c>
      <c r="AI155" s="113">
        <v>100</v>
      </c>
    </row>
    <row r="156" spans="1:35">
      <c r="A156" s="113">
        <v>123</v>
      </c>
      <c r="B156" s="113" t="s">
        <v>150</v>
      </c>
      <c r="C156" s="120" t="s">
        <v>5373</v>
      </c>
      <c r="D156" s="124">
        <v>0.5</v>
      </c>
      <c r="E156" s="124">
        <v>0.5</v>
      </c>
      <c r="F156" s="113" t="s">
        <v>29</v>
      </c>
      <c r="G156" s="113" t="s">
        <v>1973</v>
      </c>
      <c r="H156" s="113" t="s">
        <v>29</v>
      </c>
      <c r="I156" s="113" t="s">
        <v>22</v>
      </c>
      <c r="J156" s="118" t="s">
        <v>2129</v>
      </c>
      <c r="K156" s="118">
        <v>3</v>
      </c>
      <c r="L156" s="118" t="s">
        <v>5373</v>
      </c>
      <c r="M156" s="115" t="s">
        <v>1109</v>
      </c>
      <c r="N156" s="115" t="s">
        <v>6505</v>
      </c>
      <c r="O156" s="115">
        <v>1.5</v>
      </c>
      <c r="P156" s="115" t="s">
        <v>1109</v>
      </c>
      <c r="Q156" s="166"/>
      <c r="R156" s="164"/>
      <c r="S156" s="164"/>
      <c r="T156" s="164"/>
      <c r="U156" s="164"/>
      <c r="V156" s="162"/>
      <c r="W156" s="158"/>
      <c r="X156" s="158"/>
      <c r="Y156" s="158"/>
      <c r="Z156" s="158"/>
      <c r="AA156" s="158"/>
      <c r="AB156" s="158"/>
      <c r="AC156" s="113">
        <v>500</v>
      </c>
      <c r="AD156" s="113">
        <v>70</v>
      </c>
      <c r="AE156" s="113">
        <v>110</v>
      </c>
      <c r="AF156" s="113">
        <v>80</v>
      </c>
      <c r="AG156" s="120">
        <v>55</v>
      </c>
      <c r="AH156" s="113">
        <v>80</v>
      </c>
      <c r="AI156" s="113">
        <v>105</v>
      </c>
    </row>
    <row r="157" spans="1:35">
      <c r="A157" s="113">
        <v>124</v>
      </c>
      <c r="B157" s="113" t="s">
        <v>151</v>
      </c>
      <c r="C157" s="120" t="s">
        <v>5374</v>
      </c>
      <c r="D157" s="124">
        <v>0</v>
      </c>
      <c r="E157" s="124">
        <v>1</v>
      </c>
      <c r="F157" s="113" t="s">
        <v>2334</v>
      </c>
      <c r="G157" s="113" t="s">
        <v>1973</v>
      </c>
      <c r="H157" s="113" t="s">
        <v>113</v>
      </c>
      <c r="I157" s="113" t="s">
        <v>86</v>
      </c>
      <c r="J157" s="118" t="s">
        <v>2129</v>
      </c>
      <c r="K157" s="118">
        <v>3</v>
      </c>
      <c r="L157" s="118" t="s">
        <v>5509</v>
      </c>
      <c r="M157" s="115" t="s">
        <v>5509</v>
      </c>
      <c r="N157" s="115" t="s">
        <v>6504</v>
      </c>
      <c r="O157" s="115">
        <v>1.5</v>
      </c>
      <c r="P157" s="115" t="s">
        <v>2128</v>
      </c>
      <c r="Q157" s="166">
        <v>2</v>
      </c>
      <c r="R157" s="164"/>
      <c r="S157" s="164">
        <v>50</v>
      </c>
      <c r="T157" s="164"/>
      <c r="U157" s="164"/>
      <c r="V157" s="162"/>
      <c r="W157" s="158" t="s">
        <v>6531</v>
      </c>
      <c r="X157" s="158"/>
      <c r="Y157" s="158">
        <v>70</v>
      </c>
      <c r="Z157" s="158">
        <v>6</v>
      </c>
      <c r="AA157" s="158"/>
      <c r="AB157" s="158"/>
      <c r="AC157" s="113">
        <v>455</v>
      </c>
      <c r="AD157" s="113">
        <v>65</v>
      </c>
      <c r="AE157" s="113">
        <v>50</v>
      </c>
      <c r="AF157" s="113">
        <v>35</v>
      </c>
      <c r="AG157" s="120">
        <v>115</v>
      </c>
      <c r="AH157" s="113">
        <v>95</v>
      </c>
      <c r="AI157" s="113">
        <v>95</v>
      </c>
    </row>
    <row r="158" spans="1:35">
      <c r="A158" s="113">
        <v>125</v>
      </c>
      <c r="B158" s="113" t="s">
        <v>152</v>
      </c>
      <c r="C158" s="120" t="s">
        <v>5375</v>
      </c>
      <c r="D158" s="124">
        <v>0.75</v>
      </c>
      <c r="E158" s="124">
        <v>0.25</v>
      </c>
      <c r="F158" s="113" t="s">
        <v>2334</v>
      </c>
      <c r="G158" s="113" t="s">
        <v>1973</v>
      </c>
      <c r="H158" s="113" t="s">
        <v>46</v>
      </c>
      <c r="I158" s="113" t="s">
        <v>1109</v>
      </c>
      <c r="J158" s="118" t="s">
        <v>2129</v>
      </c>
      <c r="K158" s="118">
        <v>3</v>
      </c>
      <c r="L158" s="118" t="s">
        <v>5510</v>
      </c>
      <c r="M158" s="115" t="s">
        <v>5510</v>
      </c>
      <c r="N158" s="115" t="s">
        <v>6505</v>
      </c>
      <c r="O158" s="115">
        <v>1.5</v>
      </c>
      <c r="P158" s="115" t="s">
        <v>2128</v>
      </c>
      <c r="Q158" s="166">
        <v>1</v>
      </c>
      <c r="R158" s="164"/>
      <c r="S158" s="164"/>
      <c r="T158" s="164"/>
      <c r="U158" s="164">
        <v>50</v>
      </c>
      <c r="V158" s="162"/>
      <c r="W158" s="158" t="s">
        <v>6531</v>
      </c>
      <c r="X158" s="158"/>
      <c r="Y158" s="158">
        <v>70</v>
      </c>
      <c r="Z158" s="158">
        <v>6</v>
      </c>
      <c r="AA158" s="158"/>
      <c r="AB158" s="158"/>
      <c r="AC158" s="113">
        <v>490</v>
      </c>
      <c r="AD158" s="113">
        <v>65</v>
      </c>
      <c r="AE158" s="113">
        <v>83</v>
      </c>
      <c r="AF158" s="113">
        <v>57</v>
      </c>
      <c r="AG158" s="120">
        <v>95</v>
      </c>
      <c r="AH158" s="113">
        <v>85</v>
      </c>
      <c r="AI158" s="113">
        <v>105</v>
      </c>
    </row>
    <row r="159" spans="1:35">
      <c r="A159" s="113">
        <v>126</v>
      </c>
      <c r="B159" s="113" t="s">
        <v>153</v>
      </c>
      <c r="C159" s="120" t="s">
        <v>5376</v>
      </c>
      <c r="D159" s="124">
        <v>0.75</v>
      </c>
      <c r="E159" s="124">
        <v>0.25</v>
      </c>
      <c r="F159" s="113" t="s">
        <v>2334</v>
      </c>
      <c r="G159" s="113" t="s">
        <v>1973</v>
      </c>
      <c r="H159" s="113" t="s">
        <v>19</v>
      </c>
      <c r="I159" s="113" t="s">
        <v>1109</v>
      </c>
      <c r="J159" s="118" t="s">
        <v>2129</v>
      </c>
      <c r="K159" s="118">
        <v>3</v>
      </c>
      <c r="L159" s="118" t="s">
        <v>5511</v>
      </c>
      <c r="M159" s="115" t="s">
        <v>5511</v>
      </c>
      <c r="N159" s="115" t="s">
        <v>6505</v>
      </c>
      <c r="O159" s="115">
        <v>1.5</v>
      </c>
      <c r="P159" s="115" t="s">
        <v>2128</v>
      </c>
      <c r="Q159" s="166">
        <v>1</v>
      </c>
      <c r="R159" s="164">
        <v>50</v>
      </c>
      <c r="S159" s="164"/>
      <c r="T159" s="164"/>
      <c r="U159" s="164"/>
      <c r="V159" s="162"/>
      <c r="W159" s="158" t="s">
        <v>6531</v>
      </c>
      <c r="X159" s="158"/>
      <c r="Y159" s="158">
        <v>70</v>
      </c>
      <c r="Z159" s="158">
        <v>6</v>
      </c>
      <c r="AA159" s="158"/>
      <c r="AB159" s="158"/>
      <c r="AC159" s="113">
        <v>495</v>
      </c>
      <c r="AD159" s="113">
        <v>65</v>
      </c>
      <c r="AE159" s="113">
        <v>95</v>
      </c>
      <c r="AF159" s="113">
        <v>57</v>
      </c>
      <c r="AG159" s="120">
        <v>100</v>
      </c>
      <c r="AH159" s="113">
        <v>85</v>
      </c>
      <c r="AI159" s="113">
        <v>93</v>
      </c>
    </row>
    <row r="160" spans="1:35">
      <c r="A160" s="113">
        <v>127</v>
      </c>
      <c r="B160" s="113" t="s">
        <v>154</v>
      </c>
      <c r="C160" s="120" t="s">
        <v>5377</v>
      </c>
      <c r="D160" s="124">
        <v>0.5</v>
      </c>
      <c r="E160" s="124">
        <v>0.5</v>
      </c>
      <c r="F160" s="113" t="s">
        <v>29</v>
      </c>
      <c r="G160" s="113" t="s">
        <v>1973</v>
      </c>
      <c r="H160" s="113" t="s">
        <v>29</v>
      </c>
      <c r="I160" s="113" t="s">
        <v>1109</v>
      </c>
      <c r="J160" s="118" t="s">
        <v>2129</v>
      </c>
      <c r="K160" s="118">
        <v>3</v>
      </c>
      <c r="L160" s="118" t="s">
        <v>5377</v>
      </c>
      <c r="M160" s="115" t="s">
        <v>1109</v>
      </c>
      <c r="N160" s="115" t="s">
        <v>6504</v>
      </c>
      <c r="O160" s="115">
        <v>1.5</v>
      </c>
      <c r="P160" s="115" t="s">
        <v>1109</v>
      </c>
      <c r="Q160" s="166"/>
      <c r="R160" s="164"/>
      <c r="S160" s="164"/>
      <c r="T160" s="164"/>
      <c r="U160" s="164"/>
      <c r="V160" s="162"/>
      <c r="W160" s="158"/>
      <c r="X160" s="158"/>
      <c r="Y160" s="158"/>
      <c r="Z160" s="158"/>
      <c r="AA160" s="158"/>
      <c r="AB160" s="158"/>
      <c r="AC160" s="113">
        <v>500</v>
      </c>
      <c r="AD160" s="113">
        <v>65</v>
      </c>
      <c r="AE160" s="113">
        <v>125</v>
      </c>
      <c r="AF160" s="113">
        <v>100</v>
      </c>
      <c r="AG160" s="120">
        <v>55</v>
      </c>
      <c r="AH160" s="113">
        <v>70</v>
      </c>
      <c r="AI160" s="113">
        <v>85</v>
      </c>
    </row>
    <row r="161" spans="1:35">
      <c r="A161" s="113">
        <v>128</v>
      </c>
      <c r="B161" s="113" t="s">
        <v>155</v>
      </c>
      <c r="C161" s="120" t="s">
        <v>5379</v>
      </c>
      <c r="D161" s="124">
        <v>1</v>
      </c>
      <c r="E161" s="124">
        <v>0</v>
      </c>
      <c r="F161" s="113" t="s">
        <v>2332</v>
      </c>
      <c r="G161" s="113" t="s">
        <v>1973</v>
      </c>
      <c r="H161" s="113" t="s">
        <v>36</v>
      </c>
      <c r="I161" s="113" t="s">
        <v>1109</v>
      </c>
      <c r="J161" s="118" t="s">
        <v>2129</v>
      </c>
      <c r="K161" s="118">
        <v>3</v>
      </c>
      <c r="L161" s="118" t="s">
        <v>5379</v>
      </c>
      <c r="M161" s="115" t="s">
        <v>1109</v>
      </c>
      <c r="N161" s="115" t="s">
        <v>6504</v>
      </c>
      <c r="O161" s="115">
        <v>1.5</v>
      </c>
      <c r="P161" s="115" t="s">
        <v>1109</v>
      </c>
      <c r="Q161" s="166"/>
      <c r="R161" s="164"/>
      <c r="S161" s="164"/>
      <c r="T161" s="164"/>
      <c r="U161" s="164"/>
      <c r="V161" s="162"/>
      <c r="W161" s="158"/>
      <c r="X161" s="158"/>
      <c r="Y161" s="158"/>
      <c r="Z161" s="158"/>
      <c r="AA161" s="158"/>
      <c r="AB161" s="158"/>
      <c r="AC161" s="113">
        <v>490</v>
      </c>
      <c r="AD161" s="113">
        <v>75</v>
      </c>
      <c r="AE161" s="113">
        <v>100</v>
      </c>
      <c r="AF161" s="113">
        <v>95</v>
      </c>
      <c r="AG161" s="120">
        <v>40</v>
      </c>
      <c r="AH161" s="113">
        <v>70</v>
      </c>
      <c r="AI161" s="113">
        <v>110</v>
      </c>
    </row>
    <row r="162" spans="1:35">
      <c r="A162" s="113">
        <v>128</v>
      </c>
      <c r="B162" s="113" t="s">
        <v>5191</v>
      </c>
      <c r="C162" s="120" t="s">
        <v>5380</v>
      </c>
      <c r="D162" s="124">
        <v>1</v>
      </c>
      <c r="E162" s="124">
        <v>0</v>
      </c>
      <c r="F162" s="113" t="s">
        <v>2332</v>
      </c>
      <c r="G162" s="113" t="s">
        <v>5208</v>
      </c>
      <c r="H162" s="113" t="s">
        <v>78</v>
      </c>
      <c r="I162" s="113" t="s">
        <v>1109</v>
      </c>
      <c r="J162" s="118" t="s">
        <v>2129</v>
      </c>
      <c r="K162" s="118">
        <v>3</v>
      </c>
      <c r="L162" s="118" t="s">
        <v>5379</v>
      </c>
      <c r="M162" s="115" t="s">
        <v>1109</v>
      </c>
      <c r="N162" s="115" t="s">
        <v>6504</v>
      </c>
      <c r="O162" s="115">
        <v>1.5</v>
      </c>
      <c r="P162" s="115" t="s">
        <v>1109</v>
      </c>
      <c r="Q162" s="166"/>
      <c r="R162" s="164"/>
      <c r="S162" s="164"/>
      <c r="T162" s="164"/>
      <c r="U162" s="164"/>
      <c r="V162" s="162"/>
      <c r="W162" s="158"/>
      <c r="X162" s="158"/>
      <c r="Y162" s="158"/>
      <c r="Z162" s="158"/>
      <c r="AA162" s="158"/>
      <c r="AB162" s="158"/>
      <c r="AC162" s="113">
        <v>490</v>
      </c>
      <c r="AD162" s="113">
        <v>75</v>
      </c>
      <c r="AE162" s="113">
        <v>110</v>
      </c>
      <c r="AF162" s="113">
        <v>105</v>
      </c>
      <c r="AG162" s="120">
        <v>30</v>
      </c>
      <c r="AH162" s="113">
        <v>70</v>
      </c>
      <c r="AI162" s="113">
        <v>100</v>
      </c>
    </row>
    <row r="163" spans="1:35">
      <c r="A163" s="113">
        <v>128</v>
      </c>
      <c r="B163" s="113" t="s">
        <v>5193</v>
      </c>
      <c r="C163" s="120" t="s">
        <v>6388</v>
      </c>
      <c r="D163" s="124">
        <v>1</v>
      </c>
      <c r="E163" s="124">
        <v>0</v>
      </c>
      <c r="F163" s="113" t="s">
        <v>2332</v>
      </c>
      <c r="G163" s="113" t="s">
        <v>5208</v>
      </c>
      <c r="H163" s="113" t="s">
        <v>78</v>
      </c>
      <c r="I163" s="113" t="s">
        <v>25</v>
      </c>
      <c r="J163" s="118" t="s">
        <v>2129</v>
      </c>
      <c r="K163" s="118">
        <v>3</v>
      </c>
      <c r="L163" s="118" t="s">
        <v>5379</v>
      </c>
      <c r="M163" s="115" t="s">
        <v>1109</v>
      </c>
      <c r="N163" s="115" t="s">
        <v>6504</v>
      </c>
      <c r="O163" s="115">
        <v>1.5</v>
      </c>
      <c r="P163" s="115" t="s">
        <v>1109</v>
      </c>
      <c r="Q163" s="166"/>
      <c r="R163" s="164"/>
      <c r="S163" s="164"/>
      <c r="T163" s="164"/>
      <c r="U163" s="164"/>
      <c r="V163" s="162"/>
      <c r="W163" s="158"/>
      <c r="X163" s="158"/>
      <c r="Y163" s="158"/>
      <c r="Z163" s="158"/>
      <c r="AA163" s="158"/>
      <c r="AB163" s="158"/>
      <c r="AC163" s="113">
        <v>490</v>
      </c>
      <c r="AD163" s="113">
        <v>75</v>
      </c>
      <c r="AE163" s="113">
        <v>110</v>
      </c>
      <c r="AF163" s="113">
        <v>105</v>
      </c>
      <c r="AG163" s="120">
        <v>30</v>
      </c>
      <c r="AH163" s="113">
        <v>70</v>
      </c>
      <c r="AI163" s="113">
        <v>100</v>
      </c>
    </row>
    <row r="164" spans="1:35">
      <c r="A164" s="113">
        <v>128</v>
      </c>
      <c r="B164" s="113" t="s">
        <v>5192</v>
      </c>
      <c r="C164" s="120" t="s">
        <v>6389</v>
      </c>
      <c r="D164" s="124">
        <v>1</v>
      </c>
      <c r="E164" s="124">
        <v>0</v>
      </c>
      <c r="F164" s="113" t="s">
        <v>2332</v>
      </c>
      <c r="G164" s="113" t="s">
        <v>5208</v>
      </c>
      <c r="H164" s="113" t="s">
        <v>78</v>
      </c>
      <c r="I164" s="113" t="s">
        <v>19</v>
      </c>
      <c r="J164" s="118" t="s">
        <v>2129</v>
      </c>
      <c r="K164" s="118">
        <v>3</v>
      </c>
      <c r="L164" s="118" t="s">
        <v>5379</v>
      </c>
      <c r="M164" s="115" t="s">
        <v>1109</v>
      </c>
      <c r="N164" s="115" t="s">
        <v>6504</v>
      </c>
      <c r="O164" s="115">
        <v>1.5</v>
      </c>
      <c r="P164" s="115" t="s">
        <v>1109</v>
      </c>
      <c r="Q164" s="166"/>
      <c r="R164" s="164"/>
      <c r="S164" s="164"/>
      <c r="T164" s="164"/>
      <c r="U164" s="164"/>
      <c r="V164" s="162"/>
      <c r="W164" s="158"/>
      <c r="X164" s="158"/>
      <c r="Y164" s="158"/>
      <c r="Z164" s="158"/>
      <c r="AA164" s="158"/>
      <c r="AB164" s="158"/>
      <c r="AC164" s="113">
        <v>490</v>
      </c>
      <c r="AD164" s="113">
        <v>75</v>
      </c>
      <c r="AE164" s="113">
        <v>110</v>
      </c>
      <c r="AF164" s="113">
        <v>105</v>
      </c>
      <c r="AG164" s="120">
        <v>30</v>
      </c>
      <c r="AH164" s="113">
        <v>70</v>
      </c>
      <c r="AI164" s="113">
        <v>100</v>
      </c>
    </row>
    <row r="165" spans="1:35">
      <c r="A165" s="113">
        <v>129</v>
      </c>
      <c r="B165" s="113" t="s">
        <v>156</v>
      </c>
      <c r="C165" s="120" t="s">
        <v>5381</v>
      </c>
      <c r="D165" s="124">
        <v>0.5</v>
      </c>
      <c r="E165" s="124">
        <v>0.5</v>
      </c>
      <c r="F165" s="113" t="s">
        <v>23</v>
      </c>
      <c r="G165" s="113" t="s">
        <v>1973</v>
      </c>
      <c r="H165" s="113" t="s">
        <v>25</v>
      </c>
      <c r="I165" s="113" t="s">
        <v>1109</v>
      </c>
      <c r="J165" s="118" t="s">
        <v>2129</v>
      </c>
      <c r="K165" s="118">
        <v>1</v>
      </c>
      <c r="L165" s="118" t="s">
        <v>5381</v>
      </c>
      <c r="M165" s="115" t="s">
        <v>1109</v>
      </c>
      <c r="N165" s="115" t="s">
        <v>6505</v>
      </c>
      <c r="O165" s="115">
        <v>1</v>
      </c>
      <c r="P165" s="115" t="s">
        <v>1109</v>
      </c>
      <c r="Q165" s="166"/>
      <c r="R165" s="164"/>
      <c r="S165" s="164"/>
      <c r="T165" s="164"/>
      <c r="U165" s="164"/>
      <c r="V165" s="162"/>
      <c r="W165" s="158"/>
      <c r="X165" s="158"/>
      <c r="Y165" s="158"/>
      <c r="Z165" s="158"/>
      <c r="AA165" s="158"/>
      <c r="AB165" s="158"/>
      <c r="AC165" s="113">
        <v>200</v>
      </c>
      <c r="AD165" s="113">
        <v>20</v>
      </c>
      <c r="AE165" s="113">
        <v>10</v>
      </c>
      <c r="AF165" s="113">
        <v>55</v>
      </c>
      <c r="AG165" s="120">
        <v>15</v>
      </c>
      <c r="AH165" s="113">
        <v>20</v>
      </c>
      <c r="AI165" s="113">
        <v>80</v>
      </c>
    </row>
    <row r="166" spans="1:35">
      <c r="A166" s="113">
        <v>130</v>
      </c>
      <c r="B166" s="113" t="s">
        <v>157</v>
      </c>
      <c r="C166" s="120" t="s">
        <v>5382</v>
      </c>
      <c r="D166" s="124">
        <v>0.5</v>
      </c>
      <c r="E166" s="124">
        <v>0.5</v>
      </c>
      <c r="F166" s="113" t="s">
        <v>23</v>
      </c>
      <c r="G166" s="113" t="s">
        <v>1973</v>
      </c>
      <c r="H166" s="113" t="s">
        <v>25</v>
      </c>
      <c r="I166" s="113" t="s">
        <v>22</v>
      </c>
      <c r="J166" s="118" t="s">
        <v>2129</v>
      </c>
      <c r="K166" s="118">
        <v>1</v>
      </c>
      <c r="L166" s="118" t="s">
        <v>5381</v>
      </c>
      <c r="M166" s="115" t="s">
        <v>5381</v>
      </c>
      <c r="N166" s="115" t="s">
        <v>6504</v>
      </c>
      <c r="O166" s="115">
        <v>1</v>
      </c>
      <c r="P166" s="115" t="s">
        <v>2128</v>
      </c>
      <c r="Q166" s="166"/>
      <c r="R166" s="164"/>
      <c r="S166" s="164"/>
      <c r="T166" s="164"/>
      <c r="U166" s="164"/>
      <c r="V166" s="162"/>
      <c r="W166" s="158"/>
      <c r="X166" s="158"/>
      <c r="Y166" s="158"/>
      <c r="Z166" s="158"/>
      <c r="AA166" s="158"/>
      <c r="AB166" s="158"/>
      <c r="AC166" s="113">
        <v>540</v>
      </c>
      <c r="AD166" s="113">
        <v>95</v>
      </c>
      <c r="AE166" s="113">
        <v>125</v>
      </c>
      <c r="AF166" s="113">
        <v>79</v>
      </c>
      <c r="AG166" s="120">
        <v>60</v>
      </c>
      <c r="AH166" s="113">
        <v>100</v>
      </c>
      <c r="AI166" s="113">
        <v>81</v>
      </c>
    </row>
    <row r="167" spans="1:35">
      <c r="A167" s="113">
        <v>131</v>
      </c>
      <c r="B167" s="113" t="s">
        <v>159</v>
      </c>
      <c r="C167" s="120" t="s">
        <v>5384</v>
      </c>
      <c r="D167" s="124">
        <v>0.5</v>
      </c>
      <c r="E167" s="124">
        <v>0.5</v>
      </c>
      <c r="F167" s="113" t="s">
        <v>2335</v>
      </c>
      <c r="G167" s="113" t="s">
        <v>1973</v>
      </c>
      <c r="H167" s="113" t="s">
        <v>25</v>
      </c>
      <c r="I167" s="113" t="s">
        <v>113</v>
      </c>
      <c r="J167" s="118" t="s">
        <v>2129</v>
      </c>
      <c r="K167" s="118">
        <v>3</v>
      </c>
      <c r="L167" s="118" t="s">
        <v>5384</v>
      </c>
      <c r="M167" s="115" t="s">
        <v>1109</v>
      </c>
      <c r="N167" s="115" t="s">
        <v>6504</v>
      </c>
      <c r="O167" s="115">
        <v>1.5</v>
      </c>
      <c r="P167" s="115" t="s">
        <v>1109</v>
      </c>
      <c r="Q167" s="166"/>
      <c r="R167" s="164"/>
      <c r="S167" s="164"/>
      <c r="T167" s="164"/>
      <c r="U167" s="164"/>
      <c r="V167" s="162"/>
      <c r="W167" s="158"/>
      <c r="X167" s="158"/>
      <c r="Y167" s="158"/>
      <c r="Z167" s="158"/>
      <c r="AA167" s="158"/>
      <c r="AB167" s="158"/>
      <c r="AC167" s="113">
        <v>535</v>
      </c>
      <c r="AD167" s="113">
        <v>130</v>
      </c>
      <c r="AE167" s="113">
        <v>85</v>
      </c>
      <c r="AF167" s="113">
        <v>80</v>
      </c>
      <c r="AG167" s="120">
        <v>85</v>
      </c>
      <c r="AH167" s="113">
        <v>95</v>
      </c>
      <c r="AI167" s="113">
        <v>60</v>
      </c>
    </row>
    <row r="168" spans="1:35">
      <c r="A168" s="113">
        <v>132</v>
      </c>
      <c r="B168" s="113" t="s">
        <v>160</v>
      </c>
      <c r="C168" s="120" t="s">
        <v>5385</v>
      </c>
      <c r="D168" s="124" t="s">
        <v>1109</v>
      </c>
      <c r="E168" s="124" t="s">
        <v>1109</v>
      </c>
      <c r="F168" s="113" t="s">
        <v>160</v>
      </c>
      <c r="G168" s="113" t="s">
        <v>1973</v>
      </c>
      <c r="H168" s="113" t="s">
        <v>36</v>
      </c>
      <c r="I168" s="113" t="s">
        <v>1109</v>
      </c>
      <c r="J168" s="118" t="s">
        <v>2129</v>
      </c>
      <c r="K168" s="118">
        <v>3</v>
      </c>
      <c r="L168" s="118" t="s">
        <v>5385</v>
      </c>
      <c r="M168" s="115" t="s">
        <v>1109</v>
      </c>
      <c r="N168" s="115" t="s">
        <v>6504</v>
      </c>
      <c r="O168" s="115">
        <v>1.5</v>
      </c>
      <c r="P168" s="115" t="s">
        <v>1109</v>
      </c>
      <c r="Q168" s="166"/>
      <c r="R168" s="164"/>
      <c r="S168" s="164"/>
      <c r="T168" s="164"/>
      <c r="U168" s="164"/>
      <c r="V168" s="162"/>
      <c r="W168" s="158"/>
      <c r="X168" s="158"/>
      <c r="Y168" s="158"/>
      <c r="Z168" s="158"/>
      <c r="AA168" s="158"/>
      <c r="AB168" s="158"/>
      <c r="AC168" s="113">
        <v>288</v>
      </c>
      <c r="AD168" s="113">
        <v>48</v>
      </c>
      <c r="AE168" s="113">
        <v>48</v>
      </c>
      <c r="AF168" s="113">
        <v>48</v>
      </c>
      <c r="AG168" s="120">
        <v>48</v>
      </c>
      <c r="AH168" s="113">
        <v>48</v>
      </c>
      <c r="AI168" s="113">
        <v>48</v>
      </c>
    </row>
    <row r="169" spans="1:35">
      <c r="A169" s="113">
        <v>133</v>
      </c>
      <c r="B169" s="113" t="s">
        <v>161</v>
      </c>
      <c r="C169" s="120" t="s">
        <v>5386</v>
      </c>
      <c r="D169" s="124">
        <v>0.85</v>
      </c>
      <c r="E169" s="124">
        <v>0.15</v>
      </c>
      <c r="F169" s="113" t="s">
        <v>2332</v>
      </c>
      <c r="G169" s="113" t="s">
        <v>1973</v>
      </c>
      <c r="H169" s="113" t="s">
        <v>36</v>
      </c>
      <c r="I169" s="113" t="s">
        <v>1109</v>
      </c>
      <c r="J169" s="118" t="s">
        <v>2129</v>
      </c>
      <c r="K169" s="118">
        <v>2</v>
      </c>
      <c r="L169" s="118" t="s">
        <v>5386</v>
      </c>
      <c r="M169" s="115" t="s">
        <v>1109</v>
      </c>
      <c r="N169" s="115" t="s">
        <v>6505</v>
      </c>
      <c r="O169" s="115">
        <v>1.25</v>
      </c>
      <c r="P169" s="115" t="s">
        <v>1109</v>
      </c>
      <c r="Q169" s="166"/>
      <c r="R169" s="164"/>
      <c r="S169" s="164"/>
      <c r="T169" s="164"/>
      <c r="U169" s="164"/>
      <c r="V169" s="162"/>
      <c r="W169" s="158"/>
      <c r="X169" s="158"/>
      <c r="Y169" s="158"/>
      <c r="Z169" s="158"/>
      <c r="AA169" s="158"/>
      <c r="AB169" s="158"/>
      <c r="AC169" s="113">
        <v>325</v>
      </c>
      <c r="AD169" s="113">
        <v>55</v>
      </c>
      <c r="AE169" s="113">
        <v>55</v>
      </c>
      <c r="AF169" s="113">
        <v>50</v>
      </c>
      <c r="AG169" s="120">
        <v>45</v>
      </c>
      <c r="AH169" s="113">
        <v>65</v>
      </c>
      <c r="AI169" s="113">
        <v>55</v>
      </c>
    </row>
    <row r="170" spans="1:35">
      <c r="A170" s="113">
        <v>134</v>
      </c>
      <c r="B170" s="113" t="s">
        <v>162</v>
      </c>
      <c r="C170" s="120" t="s">
        <v>5388</v>
      </c>
      <c r="D170" s="124">
        <v>0.85</v>
      </c>
      <c r="E170" s="124">
        <v>0.15</v>
      </c>
      <c r="F170" s="113" t="s">
        <v>2332</v>
      </c>
      <c r="G170" s="113" t="s">
        <v>1973</v>
      </c>
      <c r="H170" s="113" t="s">
        <v>25</v>
      </c>
      <c r="I170" s="113" t="s">
        <v>1109</v>
      </c>
      <c r="J170" s="118" t="s">
        <v>2129</v>
      </c>
      <c r="K170" s="118">
        <v>2</v>
      </c>
      <c r="L170" s="118" t="s">
        <v>5386</v>
      </c>
      <c r="M170" s="115" t="s">
        <v>5386</v>
      </c>
      <c r="N170" s="115" t="s">
        <v>6504</v>
      </c>
      <c r="O170" s="115">
        <v>1.25</v>
      </c>
      <c r="P170" s="115" t="s">
        <v>1803</v>
      </c>
      <c r="Q170" s="166">
        <v>2</v>
      </c>
      <c r="R170" s="164"/>
      <c r="S170" s="164"/>
      <c r="T170" s="164"/>
      <c r="U170" s="164"/>
      <c r="V170" s="162" t="s">
        <v>6528</v>
      </c>
      <c r="W170" s="158"/>
      <c r="X170" s="158"/>
      <c r="Y170" s="158"/>
      <c r="Z170" s="158"/>
      <c r="AA170" s="158"/>
      <c r="AB170" s="158"/>
      <c r="AC170" s="113">
        <v>525</v>
      </c>
      <c r="AD170" s="113">
        <v>130</v>
      </c>
      <c r="AE170" s="113">
        <v>65</v>
      </c>
      <c r="AF170" s="113">
        <v>60</v>
      </c>
      <c r="AG170" s="120">
        <v>110</v>
      </c>
      <c r="AH170" s="113">
        <v>95</v>
      </c>
      <c r="AI170" s="113">
        <v>65</v>
      </c>
    </row>
    <row r="171" spans="1:35">
      <c r="A171" s="113">
        <v>135</v>
      </c>
      <c r="B171" s="113" t="s">
        <v>163</v>
      </c>
      <c r="C171" s="120" t="s">
        <v>5389</v>
      </c>
      <c r="D171" s="124">
        <v>0.85</v>
      </c>
      <c r="E171" s="124">
        <v>0.15</v>
      </c>
      <c r="F171" s="113" t="s">
        <v>2332</v>
      </c>
      <c r="G171" s="113" t="s">
        <v>1973</v>
      </c>
      <c r="H171" s="113" t="s">
        <v>46</v>
      </c>
      <c r="I171" s="113" t="s">
        <v>1109</v>
      </c>
      <c r="J171" s="118" t="s">
        <v>2129</v>
      </c>
      <c r="K171" s="118">
        <v>2</v>
      </c>
      <c r="L171" s="118" t="s">
        <v>5386</v>
      </c>
      <c r="M171" s="115" t="s">
        <v>5386</v>
      </c>
      <c r="N171" s="115" t="s">
        <v>6504</v>
      </c>
      <c r="O171" s="115">
        <v>1.25</v>
      </c>
      <c r="P171" s="115" t="s">
        <v>1803</v>
      </c>
      <c r="Q171" s="166">
        <v>2</v>
      </c>
      <c r="R171" s="164"/>
      <c r="S171" s="164"/>
      <c r="T171" s="164"/>
      <c r="U171" s="164"/>
      <c r="V171" s="162" t="s">
        <v>6527</v>
      </c>
      <c r="W171" s="158"/>
      <c r="X171" s="158"/>
      <c r="Y171" s="158"/>
      <c r="Z171" s="158"/>
      <c r="AA171" s="158"/>
      <c r="AB171" s="158"/>
      <c r="AC171" s="113">
        <v>525</v>
      </c>
      <c r="AD171" s="113">
        <v>65</v>
      </c>
      <c r="AE171" s="113">
        <v>65</v>
      </c>
      <c r="AF171" s="113">
        <v>60</v>
      </c>
      <c r="AG171" s="120">
        <v>110</v>
      </c>
      <c r="AH171" s="113">
        <v>95</v>
      </c>
      <c r="AI171" s="113">
        <v>130</v>
      </c>
    </row>
    <row r="172" spans="1:35">
      <c r="A172" s="113">
        <v>136</v>
      </c>
      <c r="B172" s="113" t="s">
        <v>164</v>
      </c>
      <c r="C172" s="120" t="s">
        <v>5390</v>
      </c>
      <c r="D172" s="124">
        <v>0.85</v>
      </c>
      <c r="E172" s="124">
        <v>0.15</v>
      </c>
      <c r="F172" s="113" t="s">
        <v>2332</v>
      </c>
      <c r="G172" s="113" t="s">
        <v>1973</v>
      </c>
      <c r="H172" s="113" t="s">
        <v>19</v>
      </c>
      <c r="I172" s="113" t="s">
        <v>1109</v>
      </c>
      <c r="J172" s="118" t="s">
        <v>2129</v>
      </c>
      <c r="K172" s="118">
        <v>2</v>
      </c>
      <c r="L172" s="118" t="s">
        <v>5386</v>
      </c>
      <c r="M172" s="115" t="s">
        <v>5386</v>
      </c>
      <c r="N172" s="115" t="s">
        <v>6504</v>
      </c>
      <c r="O172" s="115">
        <v>1.25</v>
      </c>
      <c r="P172" s="115" t="s">
        <v>1803</v>
      </c>
      <c r="Q172" s="166">
        <v>2</v>
      </c>
      <c r="R172" s="164"/>
      <c r="S172" s="164"/>
      <c r="T172" s="164"/>
      <c r="U172" s="164"/>
      <c r="V172" s="162" t="s">
        <v>6529</v>
      </c>
      <c r="W172" s="158"/>
      <c r="X172" s="158"/>
      <c r="Y172" s="158"/>
      <c r="Z172" s="158"/>
      <c r="AA172" s="158"/>
      <c r="AB172" s="158"/>
      <c r="AC172" s="113">
        <v>525</v>
      </c>
      <c r="AD172" s="113">
        <v>65</v>
      </c>
      <c r="AE172" s="113">
        <v>130</v>
      </c>
      <c r="AF172" s="113">
        <v>60</v>
      </c>
      <c r="AG172" s="120">
        <v>95</v>
      </c>
      <c r="AH172" s="113">
        <v>110</v>
      </c>
      <c r="AI172" s="113">
        <v>65</v>
      </c>
    </row>
    <row r="173" spans="1:35">
      <c r="A173" s="113">
        <v>137</v>
      </c>
      <c r="B173" s="113" t="s">
        <v>165</v>
      </c>
      <c r="C173" s="120" t="s">
        <v>5391</v>
      </c>
      <c r="D173" s="124" t="s">
        <v>1109</v>
      </c>
      <c r="E173" s="124" t="s">
        <v>1109</v>
      </c>
      <c r="F173" s="113" t="s">
        <v>2112</v>
      </c>
      <c r="G173" s="113" t="s">
        <v>1973</v>
      </c>
      <c r="H173" s="113" t="s">
        <v>36</v>
      </c>
      <c r="I173" s="113" t="s">
        <v>1109</v>
      </c>
      <c r="J173" s="118" t="s">
        <v>2129</v>
      </c>
      <c r="K173" s="118">
        <v>3</v>
      </c>
      <c r="L173" s="118" t="s">
        <v>5391</v>
      </c>
      <c r="M173" s="115" t="s">
        <v>1109</v>
      </c>
      <c r="N173" s="115" t="s">
        <v>6505</v>
      </c>
      <c r="O173" s="115">
        <v>1.5</v>
      </c>
      <c r="P173" s="115" t="s">
        <v>1109</v>
      </c>
      <c r="Q173" s="166"/>
      <c r="R173" s="164"/>
      <c r="S173" s="164"/>
      <c r="T173" s="164"/>
      <c r="U173" s="164"/>
      <c r="V173" s="162"/>
      <c r="W173" s="158"/>
      <c r="X173" s="158"/>
      <c r="Y173" s="158"/>
      <c r="Z173" s="158"/>
      <c r="AA173" s="158"/>
      <c r="AB173" s="158"/>
      <c r="AC173" s="113">
        <v>395</v>
      </c>
      <c r="AD173" s="113">
        <v>65</v>
      </c>
      <c r="AE173" s="113">
        <v>60</v>
      </c>
      <c r="AF173" s="113">
        <v>70</v>
      </c>
      <c r="AG173" s="120">
        <v>85</v>
      </c>
      <c r="AH173" s="113">
        <v>75</v>
      </c>
      <c r="AI173" s="113">
        <v>40</v>
      </c>
    </row>
    <row r="174" spans="1:35">
      <c r="A174" s="113">
        <v>138</v>
      </c>
      <c r="B174" s="113" t="s">
        <v>166</v>
      </c>
      <c r="C174" s="120" t="s">
        <v>5392</v>
      </c>
      <c r="D174" s="124">
        <v>0.85</v>
      </c>
      <c r="E174" s="124">
        <v>0.15</v>
      </c>
      <c r="F174" s="113" t="s">
        <v>2337</v>
      </c>
      <c r="G174" s="113" t="s">
        <v>1973</v>
      </c>
      <c r="H174" s="113" t="s">
        <v>25</v>
      </c>
      <c r="I174" s="113" t="s">
        <v>98</v>
      </c>
      <c r="J174" s="118" t="s">
        <v>2129</v>
      </c>
      <c r="K174" s="118">
        <v>3</v>
      </c>
      <c r="L174" s="118" t="s">
        <v>5392</v>
      </c>
      <c r="M174" s="115" t="s">
        <v>1109</v>
      </c>
      <c r="N174" s="115" t="s">
        <v>6505</v>
      </c>
      <c r="O174" s="115">
        <v>1.5</v>
      </c>
      <c r="P174" s="115" t="s">
        <v>1109</v>
      </c>
      <c r="Q174" s="166"/>
      <c r="R174" s="164"/>
      <c r="S174" s="164"/>
      <c r="T174" s="164"/>
      <c r="U174" s="164"/>
      <c r="V174" s="162"/>
      <c r="W174" s="158"/>
      <c r="X174" s="158"/>
      <c r="Y174" s="158"/>
      <c r="Z174" s="158"/>
      <c r="AA174" s="158"/>
      <c r="AB174" s="158"/>
      <c r="AC174" s="113">
        <v>355</v>
      </c>
      <c r="AD174" s="113">
        <v>35</v>
      </c>
      <c r="AE174" s="113">
        <v>40</v>
      </c>
      <c r="AF174" s="113">
        <v>100</v>
      </c>
      <c r="AG174" s="120">
        <v>90</v>
      </c>
      <c r="AH174" s="113">
        <v>55</v>
      </c>
      <c r="AI174" s="113">
        <v>35</v>
      </c>
    </row>
    <row r="175" spans="1:35">
      <c r="A175" s="113">
        <v>139</v>
      </c>
      <c r="B175" s="113" t="s">
        <v>167</v>
      </c>
      <c r="C175" s="120" t="s">
        <v>5393</v>
      </c>
      <c r="D175" s="124">
        <v>0.85</v>
      </c>
      <c r="E175" s="124">
        <v>0.15</v>
      </c>
      <c r="F175" s="113" t="s">
        <v>2337</v>
      </c>
      <c r="G175" s="113" t="s">
        <v>1973</v>
      </c>
      <c r="H175" s="113" t="s">
        <v>25</v>
      </c>
      <c r="I175" s="113" t="s">
        <v>98</v>
      </c>
      <c r="J175" s="118" t="s">
        <v>2129</v>
      </c>
      <c r="K175" s="118">
        <v>3</v>
      </c>
      <c r="L175" s="118" t="s">
        <v>5392</v>
      </c>
      <c r="M175" s="115" t="s">
        <v>5392</v>
      </c>
      <c r="N175" s="115" t="s">
        <v>6504</v>
      </c>
      <c r="O175" s="115">
        <v>1.5</v>
      </c>
      <c r="P175" s="115" t="s">
        <v>2128</v>
      </c>
      <c r="Q175" s="166"/>
      <c r="R175" s="164"/>
      <c r="S175" s="164"/>
      <c r="T175" s="164"/>
      <c r="U175" s="164"/>
      <c r="V175" s="162"/>
      <c r="W175" s="158"/>
      <c r="X175" s="158"/>
      <c r="Y175" s="158"/>
      <c r="Z175" s="158"/>
      <c r="AA175" s="158"/>
      <c r="AB175" s="158"/>
      <c r="AC175" s="113">
        <v>495</v>
      </c>
      <c r="AD175" s="113">
        <v>70</v>
      </c>
      <c r="AE175" s="113">
        <v>60</v>
      </c>
      <c r="AF175" s="113">
        <v>125</v>
      </c>
      <c r="AG175" s="120">
        <v>115</v>
      </c>
      <c r="AH175" s="113">
        <v>70</v>
      </c>
      <c r="AI175" s="113">
        <v>55</v>
      </c>
    </row>
    <row r="176" spans="1:35">
      <c r="A176" s="113">
        <v>140</v>
      </c>
      <c r="B176" s="113" t="s">
        <v>168</v>
      </c>
      <c r="C176" s="120" t="s">
        <v>5394</v>
      </c>
      <c r="D176" s="124">
        <v>0.85</v>
      </c>
      <c r="E176" s="124">
        <v>0.15</v>
      </c>
      <c r="F176" s="113" t="s">
        <v>2337</v>
      </c>
      <c r="G176" s="113" t="s">
        <v>1973</v>
      </c>
      <c r="H176" s="113" t="s">
        <v>98</v>
      </c>
      <c r="I176" s="113" t="s">
        <v>25</v>
      </c>
      <c r="J176" s="118" t="s">
        <v>2129</v>
      </c>
      <c r="K176" s="118">
        <v>3</v>
      </c>
      <c r="L176" s="118" t="s">
        <v>5394</v>
      </c>
      <c r="M176" s="115" t="s">
        <v>1109</v>
      </c>
      <c r="N176" s="115" t="s">
        <v>6505</v>
      </c>
      <c r="O176" s="115">
        <v>1.5</v>
      </c>
      <c r="P176" s="115" t="s">
        <v>1109</v>
      </c>
      <c r="Q176" s="166"/>
      <c r="R176" s="164"/>
      <c r="S176" s="164"/>
      <c r="T176" s="164"/>
      <c r="U176" s="164"/>
      <c r="V176" s="162"/>
      <c r="W176" s="158"/>
      <c r="X176" s="158"/>
      <c r="Y176" s="158"/>
      <c r="Z176" s="158"/>
      <c r="AA176" s="158"/>
      <c r="AB176" s="158"/>
      <c r="AC176" s="113">
        <v>355</v>
      </c>
      <c r="AD176" s="113">
        <v>30</v>
      </c>
      <c r="AE176" s="113">
        <v>80</v>
      </c>
      <c r="AF176" s="113">
        <v>90</v>
      </c>
      <c r="AG176" s="120">
        <v>55</v>
      </c>
      <c r="AH176" s="113">
        <v>45</v>
      </c>
      <c r="AI176" s="113">
        <v>55</v>
      </c>
    </row>
    <row r="177" spans="1:35">
      <c r="A177" s="113">
        <v>141</v>
      </c>
      <c r="B177" s="113" t="s">
        <v>169</v>
      </c>
      <c r="C177" s="120" t="s">
        <v>5395</v>
      </c>
      <c r="D177" s="124">
        <v>0.85</v>
      </c>
      <c r="E177" s="124">
        <v>0.15</v>
      </c>
      <c r="F177" s="113" t="s">
        <v>2337</v>
      </c>
      <c r="G177" s="113" t="s">
        <v>1973</v>
      </c>
      <c r="H177" s="113" t="s">
        <v>98</v>
      </c>
      <c r="I177" s="113" t="s">
        <v>25</v>
      </c>
      <c r="J177" s="118" t="s">
        <v>2129</v>
      </c>
      <c r="K177" s="118">
        <v>3</v>
      </c>
      <c r="L177" s="118" t="s">
        <v>5394</v>
      </c>
      <c r="M177" s="115" t="s">
        <v>5394</v>
      </c>
      <c r="N177" s="115" t="s">
        <v>6504</v>
      </c>
      <c r="O177" s="115">
        <v>1.5</v>
      </c>
      <c r="P177" s="115" t="s">
        <v>2128</v>
      </c>
      <c r="Q177" s="166"/>
      <c r="R177" s="164"/>
      <c r="S177" s="164"/>
      <c r="T177" s="164"/>
      <c r="U177" s="164"/>
      <c r="V177" s="162"/>
      <c r="W177" s="158"/>
      <c r="X177" s="158"/>
      <c r="Y177" s="158"/>
      <c r="Z177" s="158"/>
      <c r="AA177" s="158"/>
      <c r="AB177" s="158"/>
      <c r="AC177" s="113">
        <v>495</v>
      </c>
      <c r="AD177" s="113">
        <v>60</v>
      </c>
      <c r="AE177" s="113">
        <v>115</v>
      </c>
      <c r="AF177" s="113">
        <v>105</v>
      </c>
      <c r="AG177" s="120">
        <v>65</v>
      </c>
      <c r="AH177" s="113">
        <v>70</v>
      </c>
      <c r="AI177" s="113">
        <v>80</v>
      </c>
    </row>
    <row r="178" spans="1:35">
      <c r="A178" s="113">
        <v>142</v>
      </c>
      <c r="B178" s="113" t="s">
        <v>170</v>
      </c>
      <c r="C178" s="120" t="s">
        <v>5396</v>
      </c>
      <c r="D178" s="124">
        <v>0.85</v>
      </c>
      <c r="E178" s="124">
        <v>0.15</v>
      </c>
      <c r="F178" s="113" t="s">
        <v>22</v>
      </c>
      <c r="G178" s="113" t="s">
        <v>1973</v>
      </c>
      <c r="H178" s="113" t="s">
        <v>98</v>
      </c>
      <c r="I178" s="113" t="s">
        <v>22</v>
      </c>
      <c r="J178" s="118" t="s">
        <v>2129</v>
      </c>
      <c r="K178" s="118">
        <v>3</v>
      </c>
      <c r="L178" s="118" t="s">
        <v>5396</v>
      </c>
      <c r="M178" s="115" t="s">
        <v>1109</v>
      </c>
      <c r="N178" s="115" t="s">
        <v>6504</v>
      </c>
      <c r="O178" s="115">
        <v>1.5</v>
      </c>
      <c r="P178" s="115" t="s">
        <v>1109</v>
      </c>
      <c r="Q178" s="166"/>
      <c r="R178" s="164"/>
      <c r="S178" s="164"/>
      <c r="T178" s="164"/>
      <c r="U178" s="164"/>
      <c r="V178" s="162"/>
      <c r="W178" s="158"/>
      <c r="X178" s="158"/>
      <c r="Y178" s="158"/>
      <c r="Z178" s="158"/>
      <c r="AA178" s="158"/>
      <c r="AB178" s="158"/>
      <c r="AC178" s="113">
        <v>515</v>
      </c>
      <c r="AD178" s="113">
        <v>80</v>
      </c>
      <c r="AE178" s="113">
        <v>105</v>
      </c>
      <c r="AF178" s="113">
        <v>65</v>
      </c>
      <c r="AG178" s="120">
        <v>60</v>
      </c>
      <c r="AH178" s="113">
        <v>75</v>
      </c>
      <c r="AI178" s="113">
        <v>130</v>
      </c>
    </row>
    <row r="179" spans="1:35">
      <c r="A179" s="113">
        <v>143</v>
      </c>
      <c r="B179" s="113" t="s">
        <v>171</v>
      </c>
      <c r="C179" s="120" t="s">
        <v>5398</v>
      </c>
      <c r="D179" s="124">
        <v>0.85</v>
      </c>
      <c r="E179" s="124">
        <v>0.15</v>
      </c>
      <c r="F179" s="113" t="s">
        <v>2330</v>
      </c>
      <c r="G179" s="113" t="s">
        <v>1973</v>
      </c>
      <c r="H179" s="113" t="s">
        <v>36</v>
      </c>
      <c r="I179" s="113" t="s">
        <v>1109</v>
      </c>
      <c r="J179" s="118" t="s">
        <v>2129</v>
      </c>
      <c r="K179" s="118">
        <v>3</v>
      </c>
      <c r="L179" s="118" t="s">
        <v>5749</v>
      </c>
      <c r="M179" s="115" t="s">
        <v>5749</v>
      </c>
      <c r="N179" s="115" t="s">
        <v>6504</v>
      </c>
      <c r="O179" s="115">
        <v>1.5</v>
      </c>
      <c r="P179" s="115" t="s">
        <v>2128</v>
      </c>
      <c r="Q179" s="166">
        <v>2</v>
      </c>
      <c r="R179" s="164"/>
      <c r="S179" s="164"/>
      <c r="T179" s="164"/>
      <c r="U179" s="164"/>
      <c r="V179" s="162"/>
      <c r="W179" s="159" t="s">
        <v>6537</v>
      </c>
      <c r="X179" s="160"/>
      <c r="Y179" s="160">
        <v>80</v>
      </c>
      <c r="Z179" s="160">
        <v>12</v>
      </c>
      <c r="AA179" s="160"/>
      <c r="AB179" s="160"/>
      <c r="AC179" s="113">
        <v>540</v>
      </c>
      <c r="AD179" s="113">
        <v>160</v>
      </c>
      <c r="AE179" s="113">
        <v>110</v>
      </c>
      <c r="AF179" s="113">
        <v>65</v>
      </c>
      <c r="AG179" s="120">
        <v>65</v>
      </c>
      <c r="AH179" s="113">
        <v>110</v>
      </c>
      <c r="AI179" s="113">
        <v>30</v>
      </c>
    </row>
    <row r="180" spans="1:35">
      <c r="A180" s="113">
        <v>144</v>
      </c>
      <c r="B180" s="113" t="s">
        <v>172</v>
      </c>
      <c r="C180" s="120" t="s">
        <v>5399</v>
      </c>
      <c r="D180" s="124" t="s">
        <v>1109</v>
      </c>
      <c r="E180" s="124" t="s">
        <v>1109</v>
      </c>
      <c r="F180" s="113" t="s">
        <v>2333</v>
      </c>
      <c r="G180" s="113" t="s">
        <v>1973</v>
      </c>
      <c r="H180" s="113" t="s">
        <v>113</v>
      </c>
      <c r="I180" s="113" t="s">
        <v>22</v>
      </c>
      <c r="J180" s="118" t="s">
        <v>12</v>
      </c>
      <c r="K180" s="118">
        <v>5</v>
      </c>
      <c r="L180" s="118" t="s">
        <v>5399</v>
      </c>
      <c r="M180" s="115" t="s">
        <v>1109</v>
      </c>
      <c r="N180" s="115" t="s">
        <v>6504</v>
      </c>
      <c r="O180" s="115">
        <v>2</v>
      </c>
      <c r="P180" s="115" t="s">
        <v>1109</v>
      </c>
      <c r="Q180" s="166"/>
      <c r="R180" s="164"/>
      <c r="S180" s="164"/>
      <c r="T180" s="164"/>
      <c r="U180" s="164"/>
      <c r="V180" s="162"/>
      <c r="W180" s="158"/>
      <c r="X180" s="158"/>
      <c r="Y180" s="158"/>
      <c r="Z180" s="158"/>
      <c r="AA180" s="158"/>
      <c r="AB180" s="158"/>
      <c r="AC180" s="113">
        <v>580</v>
      </c>
      <c r="AD180" s="113">
        <v>90</v>
      </c>
      <c r="AE180" s="113">
        <v>85</v>
      </c>
      <c r="AF180" s="113">
        <v>100</v>
      </c>
      <c r="AG180" s="120">
        <v>95</v>
      </c>
      <c r="AH180" s="113">
        <v>125</v>
      </c>
      <c r="AI180" s="113">
        <v>85</v>
      </c>
    </row>
    <row r="181" spans="1:35">
      <c r="A181" s="113">
        <v>144</v>
      </c>
      <c r="B181" s="113" t="s">
        <v>6444</v>
      </c>
      <c r="C181" s="120" t="s">
        <v>5400</v>
      </c>
      <c r="D181" s="124" t="s">
        <v>1109</v>
      </c>
      <c r="E181" s="124" t="s">
        <v>1109</v>
      </c>
      <c r="F181" s="113" t="s">
        <v>2333</v>
      </c>
      <c r="G181" s="113" t="s">
        <v>2703</v>
      </c>
      <c r="H181" s="113" t="s">
        <v>86</v>
      </c>
      <c r="I181" s="113" t="s">
        <v>22</v>
      </c>
      <c r="J181" s="118" t="s">
        <v>12</v>
      </c>
      <c r="K181" s="118">
        <v>5</v>
      </c>
      <c r="L181" s="118" t="s">
        <v>5399</v>
      </c>
      <c r="M181" s="115" t="s">
        <v>1109</v>
      </c>
      <c r="N181" s="115" t="s">
        <v>6504</v>
      </c>
      <c r="O181" s="115">
        <v>2</v>
      </c>
      <c r="P181" s="115" t="s">
        <v>1109</v>
      </c>
      <c r="Q181" s="166"/>
      <c r="R181" s="164"/>
      <c r="S181" s="164"/>
      <c r="T181" s="164"/>
      <c r="U181" s="164"/>
      <c r="V181" s="162"/>
      <c r="W181" s="158"/>
      <c r="X181" s="158"/>
      <c r="Y181" s="158"/>
      <c r="Z181" s="158"/>
      <c r="AA181" s="158"/>
      <c r="AB181" s="158"/>
      <c r="AC181" s="113">
        <v>580</v>
      </c>
      <c r="AD181" s="113">
        <v>90</v>
      </c>
      <c r="AE181" s="113">
        <v>85</v>
      </c>
      <c r="AF181" s="113">
        <v>85</v>
      </c>
      <c r="AG181" s="120">
        <v>125</v>
      </c>
      <c r="AH181" s="113">
        <v>100</v>
      </c>
      <c r="AI181" s="113">
        <v>95</v>
      </c>
    </row>
    <row r="182" spans="1:35">
      <c r="A182" s="113">
        <v>145</v>
      </c>
      <c r="B182" s="113" t="s">
        <v>173</v>
      </c>
      <c r="C182" s="120" t="s">
        <v>5401</v>
      </c>
      <c r="D182" s="124" t="s">
        <v>1109</v>
      </c>
      <c r="E182" s="124" t="s">
        <v>1109</v>
      </c>
      <c r="F182" s="113" t="s">
        <v>2333</v>
      </c>
      <c r="G182" s="113" t="s">
        <v>1973</v>
      </c>
      <c r="H182" s="113" t="s">
        <v>46</v>
      </c>
      <c r="I182" s="113" t="s">
        <v>22</v>
      </c>
      <c r="J182" s="118" t="s">
        <v>12</v>
      </c>
      <c r="K182" s="118">
        <v>5</v>
      </c>
      <c r="L182" s="118" t="s">
        <v>5401</v>
      </c>
      <c r="M182" s="115" t="s">
        <v>1109</v>
      </c>
      <c r="N182" s="115" t="s">
        <v>6504</v>
      </c>
      <c r="O182" s="115">
        <v>2</v>
      </c>
      <c r="P182" s="115" t="s">
        <v>1109</v>
      </c>
      <c r="Q182" s="166"/>
      <c r="R182" s="164"/>
      <c r="S182" s="164"/>
      <c r="T182" s="164"/>
      <c r="U182" s="164"/>
      <c r="V182" s="162"/>
      <c r="W182" s="158"/>
      <c r="X182" s="158"/>
      <c r="Y182" s="158"/>
      <c r="Z182" s="158"/>
      <c r="AA182" s="158"/>
      <c r="AB182" s="158"/>
      <c r="AC182" s="113">
        <v>580</v>
      </c>
      <c r="AD182" s="113">
        <v>90</v>
      </c>
      <c r="AE182" s="113">
        <v>90</v>
      </c>
      <c r="AF182" s="113">
        <v>85</v>
      </c>
      <c r="AG182" s="120">
        <v>125</v>
      </c>
      <c r="AH182" s="113">
        <v>90</v>
      </c>
      <c r="AI182" s="113">
        <v>100</v>
      </c>
    </row>
    <row r="183" spans="1:35">
      <c r="A183" s="113">
        <v>145</v>
      </c>
      <c r="B183" s="113" t="s">
        <v>6459</v>
      </c>
      <c r="C183" s="120" t="s">
        <v>5402</v>
      </c>
      <c r="D183" s="124" t="s">
        <v>1109</v>
      </c>
      <c r="E183" s="124" t="s">
        <v>1109</v>
      </c>
      <c r="F183" s="113" t="s">
        <v>2333</v>
      </c>
      <c r="G183" s="113" t="s">
        <v>2703</v>
      </c>
      <c r="H183" s="113" t="s">
        <v>78</v>
      </c>
      <c r="I183" s="113" t="s">
        <v>22</v>
      </c>
      <c r="J183" s="118" t="s">
        <v>12</v>
      </c>
      <c r="K183" s="118">
        <v>5</v>
      </c>
      <c r="L183" s="118" t="s">
        <v>5401</v>
      </c>
      <c r="M183" s="115" t="s">
        <v>1109</v>
      </c>
      <c r="N183" s="115" t="s">
        <v>6504</v>
      </c>
      <c r="O183" s="115">
        <v>2</v>
      </c>
      <c r="P183" s="115" t="s">
        <v>1109</v>
      </c>
      <c r="Q183" s="166"/>
      <c r="R183" s="164"/>
      <c r="S183" s="164"/>
      <c r="T183" s="164"/>
      <c r="U183" s="164"/>
      <c r="V183" s="162"/>
      <c r="W183" s="158"/>
      <c r="X183" s="158"/>
      <c r="Y183" s="158"/>
      <c r="Z183" s="158"/>
      <c r="AA183" s="158"/>
      <c r="AB183" s="158"/>
      <c r="AC183" s="113">
        <v>580</v>
      </c>
      <c r="AD183" s="113">
        <v>90</v>
      </c>
      <c r="AE183" s="113">
        <v>125</v>
      </c>
      <c r="AF183" s="113">
        <v>90</v>
      </c>
      <c r="AG183" s="120">
        <v>85</v>
      </c>
      <c r="AH183" s="113">
        <v>90</v>
      </c>
      <c r="AI183" s="113">
        <v>100</v>
      </c>
    </row>
    <row r="184" spans="1:35">
      <c r="A184" s="113">
        <v>146</v>
      </c>
      <c r="B184" s="113" t="s">
        <v>174</v>
      </c>
      <c r="C184" s="120" t="s">
        <v>5403</v>
      </c>
      <c r="D184" s="124" t="s">
        <v>1109</v>
      </c>
      <c r="E184" s="124" t="s">
        <v>1109</v>
      </c>
      <c r="F184" s="113" t="s">
        <v>2333</v>
      </c>
      <c r="G184" s="113" t="s">
        <v>1973</v>
      </c>
      <c r="H184" s="113" t="s">
        <v>19</v>
      </c>
      <c r="I184" s="113" t="s">
        <v>22</v>
      </c>
      <c r="J184" s="118" t="s">
        <v>12</v>
      </c>
      <c r="K184" s="118">
        <v>5</v>
      </c>
      <c r="L184" s="118" t="s">
        <v>5403</v>
      </c>
      <c r="M184" s="115" t="s">
        <v>1109</v>
      </c>
      <c r="N184" s="115" t="s">
        <v>6504</v>
      </c>
      <c r="O184" s="115">
        <v>2</v>
      </c>
      <c r="P184" s="115" t="s">
        <v>1109</v>
      </c>
      <c r="Q184" s="166"/>
      <c r="R184" s="164"/>
      <c r="S184" s="164"/>
      <c r="T184" s="164"/>
      <c r="U184" s="164"/>
      <c r="V184" s="162"/>
      <c r="W184" s="158"/>
      <c r="X184" s="158"/>
      <c r="Y184" s="158"/>
      <c r="Z184" s="158"/>
      <c r="AA184" s="158"/>
      <c r="AB184" s="158"/>
      <c r="AC184" s="113">
        <v>580</v>
      </c>
      <c r="AD184" s="113">
        <v>90</v>
      </c>
      <c r="AE184" s="113">
        <v>100</v>
      </c>
      <c r="AF184" s="113">
        <v>90</v>
      </c>
      <c r="AG184" s="120">
        <v>125</v>
      </c>
      <c r="AH184" s="113">
        <v>85</v>
      </c>
      <c r="AI184" s="113">
        <v>90</v>
      </c>
    </row>
    <row r="185" spans="1:35">
      <c r="A185" s="113">
        <v>146</v>
      </c>
      <c r="B185" s="113" t="s">
        <v>6452</v>
      </c>
      <c r="C185" s="120" t="s">
        <v>5404</v>
      </c>
      <c r="D185" s="124" t="s">
        <v>1109</v>
      </c>
      <c r="E185" s="124" t="s">
        <v>1109</v>
      </c>
      <c r="F185" s="113" t="s">
        <v>2333</v>
      </c>
      <c r="G185" s="113" t="s">
        <v>2703</v>
      </c>
      <c r="H185" s="113" t="s">
        <v>158</v>
      </c>
      <c r="I185" s="113" t="s">
        <v>22</v>
      </c>
      <c r="J185" s="118" t="s">
        <v>12</v>
      </c>
      <c r="K185" s="118">
        <v>5</v>
      </c>
      <c r="L185" s="118" t="s">
        <v>5403</v>
      </c>
      <c r="M185" s="115" t="s">
        <v>1109</v>
      </c>
      <c r="N185" s="115" t="s">
        <v>6504</v>
      </c>
      <c r="O185" s="115">
        <v>2</v>
      </c>
      <c r="P185" s="115" t="s">
        <v>1109</v>
      </c>
      <c r="Q185" s="166"/>
      <c r="R185" s="164"/>
      <c r="S185" s="164"/>
      <c r="T185" s="164"/>
      <c r="U185" s="164"/>
      <c r="V185" s="162"/>
      <c r="W185" s="158"/>
      <c r="X185" s="158"/>
      <c r="Y185" s="158"/>
      <c r="Z185" s="158"/>
      <c r="AA185" s="158"/>
      <c r="AB185" s="158"/>
      <c r="AC185" s="113">
        <v>580</v>
      </c>
      <c r="AD185" s="113">
        <v>90</v>
      </c>
      <c r="AE185" s="113">
        <v>85</v>
      </c>
      <c r="AF185" s="113">
        <v>90</v>
      </c>
      <c r="AG185" s="120">
        <v>100</v>
      </c>
      <c r="AH185" s="113">
        <v>125</v>
      </c>
      <c r="AI185" s="113">
        <v>90</v>
      </c>
    </row>
    <row r="186" spans="1:35">
      <c r="A186" s="113">
        <v>147</v>
      </c>
      <c r="B186" s="113" t="s">
        <v>175</v>
      </c>
      <c r="C186" s="120" t="s">
        <v>5405</v>
      </c>
      <c r="D186" s="124">
        <v>0.5</v>
      </c>
      <c r="E186" s="124">
        <v>0.5</v>
      </c>
      <c r="F186" s="113" t="s">
        <v>23</v>
      </c>
      <c r="G186" s="113" t="s">
        <v>1973</v>
      </c>
      <c r="H186" s="113" t="s">
        <v>23</v>
      </c>
      <c r="I186" s="113" t="s">
        <v>1109</v>
      </c>
      <c r="J186" s="118" t="s">
        <v>2129</v>
      </c>
      <c r="K186" s="118">
        <v>3</v>
      </c>
      <c r="L186" s="118" t="s">
        <v>5405</v>
      </c>
      <c r="M186" s="115" t="s">
        <v>1109</v>
      </c>
      <c r="N186" s="115" t="s">
        <v>6505</v>
      </c>
      <c r="O186" s="115">
        <v>1.5</v>
      </c>
      <c r="P186" s="115" t="s">
        <v>1109</v>
      </c>
      <c r="Q186" s="166"/>
      <c r="R186" s="164"/>
      <c r="S186" s="164"/>
      <c r="T186" s="164"/>
      <c r="U186" s="164"/>
      <c r="V186" s="162"/>
      <c r="W186" s="158"/>
      <c r="X186" s="158"/>
      <c r="Y186" s="158"/>
      <c r="Z186" s="158"/>
      <c r="AA186" s="158"/>
      <c r="AB186" s="158"/>
      <c r="AC186" s="113">
        <v>300</v>
      </c>
      <c r="AD186" s="113">
        <v>41</v>
      </c>
      <c r="AE186" s="113">
        <v>64</v>
      </c>
      <c r="AF186" s="113">
        <v>45</v>
      </c>
      <c r="AG186" s="120">
        <v>50</v>
      </c>
      <c r="AH186" s="113">
        <v>50</v>
      </c>
      <c r="AI186" s="113">
        <v>50</v>
      </c>
    </row>
    <row r="187" spans="1:35">
      <c r="A187" s="113">
        <v>148</v>
      </c>
      <c r="B187" s="113" t="s">
        <v>176</v>
      </c>
      <c r="C187" s="120" t="s">
        <v>5406</v>
      </c>
      <c r="D187" s="124">
        <v>0.5</v>
      </c>
      <c r="E187" s="124">
        <v>0.5</v>
      </c>
      <c r="F187" s="113" t="s">
        <v>23</v>
      </c>
      <c r="G187" s="113" t="s">
        <v>1973</v>
      </c>
      <c r="H187" s="113" t="s">
        <v>23</v>
      </c>
      <c r="I187" s="113" t="s">
        <v>1109</v>
      </c>
      <c r="J187" s="118" t="s">
        <v>2129</v>
      </c>
      <c r="K187" s="118">
        <v>3</v>
      </c>
      <c r="L187" s="118" t="s">
        <v>5405</v>
      </c>
      <c r="M187" s="115" t="s">
        <v>5405</v>
      </c>
      <c r="N187" s="115" t="s">
        <v>6506</v>
      </c>
      <c r="O187" s="115">
        <v>1.5</v>
      </c>
      <c r="P187" s="115" t="s">
        <v>2128</v>
      </c>
      <c r="Q187" s="166"/>
      <c r="R187" s="164"/>
      <c r="S187" s="164"/>
      <c r="T187" s="164"/>
      <c r="U187" s="164"/>
      <c r="V187" s="162"/>
      <c r="W187" s="158"/>
      <c r="X187" s="158"/>
      <c r="Y187" s="158"/>
      <c r="Z187" s="158"/>
      <c r="AA187" s="158"/>
      <c r="AB187" s="158"/>
      <c r="AC187" s="113">
        <v>420</v>
      </c>
      <c r="AD187" s="113">
        <v>61</v>
      </c>
      <c r="AE187" s="113">
        <v>84</v>
      </c>
      <c r="AF187" s="113">
        <v>65</v>
      </c>
      <c r="AG187" s="120">
        <v>70</v>
      </c>
      <c r="AH187" s="113">
        <v>70</v>
      </c>
      <c r="AI187" s="113">
        <v>70</v>
      </c>
    </row>
    <row r="188" spans="1:35">
      <c r="A188" s="113">
        <v>149</v>
      </c>
      <c r="B188" s="113" t="s">
        <v>177</v>
      </c>
      <c r="C188" s="120" t="s">
        <v>5407</v>
      </c>
      <c r="D188" s="124">
        <v>0.5</v>
      </c>
      <c r="E188" s="124">
        <v>0.5</v>
      </c>
      <c r="F188" s="113" t="s">
        <v>23</v>
      </c>
      <c r="G188" s="113" t="s">
        <v>1973</v>
      </c>
      <c r="H188" s="113" t="s">
        <v>23</v>
      </c>
      <c r="I188" s="113" t="s">
        <v>22</v>
      </c>
      <c r="J188" s="118" t="s">
        <v>2129</v>
      </c>
      <c r="K188" s="118">
        <v>3</v>
      </c>
      <c r="L188" s="118" t="s">
        <v>5405</v>
      </c>
      <c r="M188" s="115" t="s">
        <v>5406</v>
      </c>
      <c r="N188" s="115" t="s">
        <v>6504</v>
      </c>
      <c r="O188" s="115">
        <v>1.5</v>
      </c>
      <c r="P188" s="115" t="s">
        <v>2128</v>
      </c>
      <c r="Q188" s="166"/>
      <c r="R188" s="164"/>
      <c r="S188" s="164"/>
      <c r="T188" s="164"/>
      <c r="U188" s="164"/>
      <c r="V188" s="162"/>
      <c r="W188" s="158"/>
      <c r="X188" s="158"/>
      <c r="Y188" s="158"/>
      <c r="Z188" s="158"/>
      <c r="AA188" s="158"/>
      <c r="AB188" s="158"/>
      <c r="AC188" s="113">
        <v>600</v>
      </c>
      <c r="AD188" s="113">
        <v>91</v>
      </c>
      <c r="AE188" s="113">
        <v>134</v>
      </c>
      <c r="AF188" s="113">
        <v>95</v>
      </c>
      <c r="AG188" s="120">
        <v>100</v>
      </c>
      <c r="AH188" s="113">
        <v>100</v>
      </c>
      <c r="AI188" s="113">
        <v>80</v>
      </c>
    </row>
    <row r="189" spans="1:35">
      <c r="A189" s="113">
        <v>150</v>
      </c>
      <c r="B189" s="113" t="s">
        <v>178</v>
      </c>
      <c r="C189" s="120" t="s">
        <v>5408</v>
      </c>
      <c r="D189" s="124" t="s">
        <v>1109</v>
      </c>
      <c r="E189" s="124" t="s">
        <v>1109</v>
      </c>
      <c r="F189" s="113" t="s">
        <v>2333</v>
      </c>
      <c r="G189" s="113" t="s">
        <v>1973</v>
      </c>
      <c r="H189" s="113" t="s">
        <v>86</v>
      </c>
      <c r="I189" s="113" t="s">
        <v>1109</v>
      </c>
      <c r="J189" s="118" t="s">
        <v>12</v>
      </c>
      <c r="K189" s="118">
        <v>5</v>
      </c>
      <c r="L189" s="118" t="s">
        <v>5408</v>
      </c>
      <c r="M189" s="115" t="s">
        <v>1109</v>
      </c>
      <c r="N189" s="115" t="s">
        <v>6504</v>
      </c>
      <c r="O189" s="115">
        <v>2</v>
      </c>
      <c r="P189" s="115" t="s">
        <v>1109</v>
      </c>
      <c r="Q189" s="166"/>
      <c r="R189" s="164"/>
      <c r="S189" s="164"/>
      <c r="T189" s="164"/>
      <c r="U189" s="164"/>
      <c r="V189" s="162"/>
      <c r="W189" s="158"/>
      <c r="X189" s="158"/>
      <c r="Y189" s="158"/>
      <c r="Z189" s="158"/>
      <c r="AA189" s="158"/>
      <c r="AB189" s="158"/>
      <c r="AC189" s="113">
        <v>680</v>
      </c>
      <c r="AD189" s="113">
        <v>106</v>
      </c>
      <c r="AE189" s="113">
        <v>110</v>
      </c>
      <c r="AF189" s="113">
        <v>90</v>
      </c>
      <c r="AG189" s="120">
        <v>154</v>
      </c>
      <c r="AH189" s="113">
        <v>90</v>
      </c>
      <c r="AI189" s="113">
        <v>130</v>
      </c>
    </row>
    <row r="190" spans="1:35">
      <c r="A190" s="113">
        <v>151</v>
      </c>
      <c r="B190" s="113" t="s">
        <v>179</v>
      </c>
      <c r="C190" s="120" t="s">
        <v>5411</v>
      </c>
      <c r="D190" s="124" t="s">
        <v>1109</v>
      </c>
      <c r="E190" s="124" t="s">
        <v>1109</v>
      </c>
      <c r="F190" s="113" t="s">
        <v>2333</v>
      </c>
      <c r="G190" s="113" t="s">
        <v>1973</v>
      </c>
      <c r="H190" s="113" t="s">
        <v>86</v>
      </c>
      <c r="I190" s="113" t="s">
        <v>1109</v>
      </c>
      <c r="J190" s="118" t="s">
        <v>12</v>
      </c>
      <c r="K190" s="118">
        <v>5</v>
      </c>
      <c r="L190" s="118" t="s">
        <v>5411</v>
      </c>
      <c r="M190" s="115" t="s">
        <v>1109</v>
      </c>
      <c r="N190" s="115" t="s">
        <v>6504</v>
      </c>
      <c r="O190" s="115">
        <v>2</v>
      </c>
      <c r="P190" s="115" t="s">
        <v>1109</v>
      </c>
      <c r="Q190" s="166"/>
      <c r="R190" s="164"/>
      <c r="S190" s="164"/>
      <c r="T190" s="164"/>
      <c r="U190" s="164"/>
      <c r="V190" s="162"/>
      <c r="W190" s="158"/>
      <c r="X190" s="158"/>
      <c r="Y190" s="158"/>
      <c r="Z190" s="158"/>
      <c r="AA190" s="158"/>
      <c r="AB190" s="158"/>
      <c r="AC190" s="113">
        <v>600</v>
      </c>
      <c r="AD190" s="113">
        <v>100</v>
      </c>
      <c r="AE190" s="113">
        <v>100</v>
      </c>
      <c r="AF190" s="113">
        <v>100</v>
      </c>
      <c r="AG190" s="120">
        <v>100</v>
      </c>
      <c r="AH190" s="113">
        <v>100</v>
      </c>
      <c r="AI190" s="113">
        <v>100</v>
      </c>
    </row>
    <row r="191" spans="1:35">
      <c r="A191" s="113">
        <v>152</v>
      </c>
      <c r="B191" s="113" t="s">
        <v>180</v>
      </c>
      <c r="C191" s="120" t="s">
        <v>5412</v>
      </c>
      <c r="D191" s="124">
        <v>0.85</v>
      </c>
      <c r="E191" s="124">
        <v>0.15</v>
      </c>
      <c r="F191" s="113" t="s">
        <v>14</v>
      </c>
      <c r="G191" s="113" t="s">
        <v>1974</v>
      </c>
      <c r="H191" s="113" t="s">
        <v>14</v>
      </c>
      <c r="I191" s="113" t="s">
        <v>1109</v>
      </c>
      <c r="J191" s="118" t="s">
        <v>792</v>
      </c>
      <c r="K191" s="118">
        <v>4</v>
      </c>
      <c r="L191" s="118" t="s">
        <v>5412</v>
      </c>
      <c r="M191" s="115" t="s">
        <v>1109</v>
      </c>
      <c r="N191" s="115" t="s">
        <v>6505</v>
      </c>
      <c r="O191" s="115">
        <v>1.75</v>
      </c>
      <c r="P191" s="115" t="s">
        <v>1109</v>
      </c>
      <c r="Q191" s="166"/>
      <c r="R191" s="164"/>
      <c r="S191" s="164"/>
      <c r="T191" s="164"/>
      <c r="U191" s="164"/>
      <c r="V191" s="162"/>
      <c r="W191" s="158"/>
      <c r="X191" s="158"/>
      <c r="Y191" s="158"/>
      <c r="Z191" s="158"/>
      <c r="AA191" s="158"/>
      <c r="AB191" s="158"/>
      <c r="AC191" s="113">
        <v>318</v>
      </c>
      <c r="AD191" s="113">
        <v>45</v>
      </c>
      <c r="AE191" s="113">
        <v>49</v>
      </c>
      <c r="AF191" s="113">
        <v>65</v>
      </c>
      <c r="AG191" s="120">
        <v>49</v>
      </c>
      <c r="AH191" s="113">
        <v>65</v>
      </c>
      <c r="AI191" s="113">
        <v>45</v>
      </c>
    </row>
    <row r="192" spans="1:35">
      <c r="A192" s="113">
        <v>153</v>
      </c>
      <c r="B192" s="113" t="s">
        <v>181</v>
      </c>
      <c r="C192" s="120" t="s">
        <v>5413</v>
      </c>
      <c r="D192" s="124">
        <v>0.85</v>
      </c>
      <c r="E192" s="124">
        <v>0.15</v>
      </c>
      <c r="F192" s="113" t="s">
        <v>14</v>
      </c>
      <c r="G192" s="113" t="s">
        <v>1974</v>
      </c>
      <c r="H192" s="113" t="s">
        <v>14</v>
      </c>
      <c r="I192" s="113" t="s">
        <v>1109</v>
      </c>
      <c r="J192" s="118" t="s">
        <v>792</v>
      </c>
      <c r="K192" s="118">
        <v>4</v>
      </c>
      <c r="L192" s="118" t="s">
        <v>5412</v>
      </c>
      <c r="M192" s="115" t="s">
        <v>5412</v>
      </c>
      <c r="N192" s="115" t="s">
        <v>6506</v>
      </c>
      <c r="O192" s="115">
        <v>1.75</v>
      </c>
      <c r="P192" s="115" t="s">
        <v>2128</v>
      </c>
      <c r="Q192" s="166"/>
      <c r="R192" s="164"/>
      <c r="S192" s="164"/>
      <c r="T192" s="164"/>
      <c r="U192" s="164"/>
      <c r="V192" s="162"/>
      <c r="W192" s="158"/>
      <c r="X192" s="158"/>
      <c r="Y192" s="158"/>
      <c r="Z192" s="158"/>
      <c r="AA192" s="158"/>
      <c r="AB192" s="158"/>
      <c r="AC192" s="113">
        <v>405</v>
      </c>
      <c r="AD192" s="113">
        <v>60</v>
      </c>
      <c r="AE192" s="113">
        <v>62</v>
      </c>
      <c r="AF192" s="113">
        <v>80</v>
      </c>
      <c r="AG192" s="120">
        <v>63</v>
      </c>
      <c r="AH192" s="113">
        <v>80</v>
      </c>
      <c r="AI192" s="113">
        <v>60</v>
      </c>
    </row>
    <row r="193" spans="1:35">
      <c r="A193" s="113">
        <v>154</v>
      </c>
      <c r="B193" s="113" t="s">
        <v>1963</v>
      </c>
      <c r="C193" s="120" t="s">
        <v>5414</v>
      </c>
      <c r="D193" s="124">
        <v>0.85</v>
      </c>
      <c r="E193" s="124">
        <v>0.15</v>
      </c>
      <c r="F193" s="113" t="s">
        <v>14</v>
      </c>
      <c r="G193" s="113" t="s">
        <v>1974</v>
      </c>
      <c r="H193" s="113" t="s">
        <v>14</v>
      </c>
      <c r="I193" s="113" t="s">
        <v>1109</v>
      </c>
      <c r="J193" s="118" t="s">
        <v>792</v>
      </c>
      <c r="K193" s="118">
        <v>4</v>
      </c>
      <c r="L193" s="118" t="s">
        <v>5412</v>
      </c>
      <c r="M193" s="115" t="s">
        <v>5413</v>
      </c>
      <c r="N193" s="115" t="s">
        <v>6504</v>
      </c>
      <c r="O193" s="115">
        <v>1.75</v>
      </c>
      <c r="P193" s="115" t="s">
        <v>2128</v>
      </c>
      <c r="Q193" s="166"/>
      <c r="R193" s="164"/>
      <c r="S193" s="164"/>
      <c r="T193" s="164"/>
      <c r="U193" s="164"/>
      <c r="V193" s="162"/>
      <c r="W193" s="158"/>
      <c r="X193" s="158"/>
      <c r="Y193" s="158"/>
      <c r="Z193" s="158"/>
      <c r="AA193" s="158"/>
      <c r="AB193" s="158"/>
      <c r="AC193" s="113">
        <v>525</v>
      </c>
      <c r="AD193" s="113">
        <v>80</v>
      </c>
      <c r="AE193" s="113">
        <v>82</v>
      </c>
      <c r="AF193" s="113">
        <v>100</v>
      </c>
      <c r="AG193" s="120">
        <v>83</v>
      </c>
      <c r="AH193" s="113">
        <v>100</v>
      </c>
      <c r="AI193" s="113">
        <v>80</v>
      </c>
    </row>
    <row r="194" spans="1:35">
      <c r="A194" s="113">
        <v>155</v>
      </c>
      <c r="B194" s="113" t="s">
        <v>182</v>
      </c>
      <c r="C194" s="120" t="s">
        <v>5415</v>
      </c>
      <c r="D194" s="124">
        <v>0.85</v>
      </c>
      <c r="E194" s="124">
        <v>0.15</v>
      </c>
      <c r="F194" s="113" t="s">
        <v>2332</v>
      </c>
      <c r="G194" s="113" t="s">
        <v>1974</v>
      </c>
      <c r="H194" s="113" t="s">
        <v>19</v>
      </c>
      <c r="I194" s="113" t="s">
        <v>1109</v>
      </c>
      <c r="J194" s="118" t="s">
        <v>792</v>
      </c>
      <c r="K194" s="118">
        <v>4</v>
      </c>
      <c r="L194" s="118" t="s">
        <v>5415</v>
      </c>
      <c r="M194" s="115" t="s">
        <v>1109</v>
      </c>
      <c r="N194" s="115" t="s">
        <v>6505</v>
      </c>
      <c r="O194" s="115">
        <v>1.75</v>
      </c>
      <c r="P194" s="115" t="s">
        <v>1109</v>
      </c>
      <c r="Q194" s="166"/>
      <c r="R194" s="164"/>
      <c r="S194" s="164"/>
      <c r="T194" s="164"/>
      <c r="U194" s="164"/>
      <c r="V194" s="162"/>
      <c r="W194" s="158"/>
      <c r="X194" s="158"/>
      <c r="Y194" s="158"/>
      <c r="Z194" s="158"/>
      <c r="AA194" s="158"/>
      <c r="AB194" s="158"/>
      <c r="AC194" s="113">
        <v>309</v>
      </c>
      <c r="AD194" s="113">
        <v>39</v>
      </c>
      <c r="AE194" s="113">
        <v>52</v>
      </c>
      <c r="AF194" s="113">
        <v>43</v>
      </c>
      <c r="AG194" s="120">
        <v>60</v>
      </c>
      <c r="AH194" s="113">
        <v>50</v>
      </c>
      <c r="AI194" s="113">
        <v>65</v>
      </c>
    </row>
    <row r="195" spans="1:35">
      <c r="A195" s="113">
        <v>156</v>
      </c>
      <c r="B195" s="113" t="s">
        <v>183</v>
      </c>
      <c r="C195" s="120" t="s">
        <v>5416</v>
      </c>
      <c r="D195" s="124">
        <v>0.85</v>
      </c>
      <c r="E195" s="124">
        <v>0.15</v>
      </c>
      <c r="F195" s="113" t="s">
        <v>2332</v>
      </c>
      <c r="G195" s="113" t="s">
        <v>1974</v>
      </c>
      <c r="H195" s="113" t="s">
        <v>19</v>
      </c>
      <c r="I195" s="113" t="s">
        <v>1109</v>
      </c>
      <c r="J195" s="118" t="s">
        <v>792</v>
      </c>
      <c r="K195" s="118">
        <v>4</v>
      </c>
      <c r="L195" s="118" t="s">
        <v>5415</v>
      </c>
      <c r="M195" s="115" t="s">
        <v>5415</v>
      </c>
      <c r="N195" s="115" t="s">
        <v>6506</v>
      </c>
      <c r="O195" s="115">
        <v>1.75</v>
      </c>
      <c r="P195" s="115" t="s">
        <v>2128</v>
      </c>
      <c r="Q195" s="166"/>
      <c r="R195" s="164"/>
      <c r="S195" s="164"/>
      <c r="T195" s="164"/>
      <c r="U195" s="164"/>
      <c r="V195" s="162"/>
      <c r="W195" s="158"/>
      <c r="X195" s="158"/>
      <c r="Y195" s="158"/>
      <c r="Z195" s="158"/>
      <c r="AA195" s="158"/>
      <c r="AB195" s="158"/>
      <c r="AC195" s="113">
        <v>405</v>
      </c>
      <c r="AD195" s="113">
        <v>58</v>
      </c>
      <c r="AE195" s="113">
        <v>64</v>
      </c>
      <c r="AF195" s="113">
        <v>58</v>
      </c>
      <c r="AG195" s="120">
        <v>80</v>
      </c>
      <c r="AH195" s="113">
        <v>65</v>
      </c>
      <c r="AI195" s="113">
        <v>80</v>
      </c>
    </row>
    <row r="196" spans="1:35">
      <c r="A196" s="113">
        <v>157</v>
      </c>
      <c r="B196" s="113" t="s">
        <v>184</v>
      </c>
      <c r="C196" s="120" t="s">
        <v>5417</v>
      </c>
      <c r="D196" s="124">
        <v>0.85</v>
      </c>
      <c r="E196" s="124">
        <v>0.15</v>
      </c>
      <c r="F196" s="113" t="s">
        <v>2332</v>
      </c>
      <c r="G196" s="113" t="s">
        <v>1974</v>
      </c>
      <c r="H196" s="113" t="s">
        <v>19</v>
      </c>
      <c r="I196" s="113" t="s">
        <v>1109</v>
      </c>
      <c r="J196" s="118" t="s">
        <v>792</v>
      </c>
      <c r="K196" s="118">
        <v>4</v>
      </c>
      <c r="L196" s="118" t="s">
        <v>5415</v>
      </c>
      <c r="M196" s="115" t="s">
        <v>5416</v>
      </c>
      <c r="N196" s="115" t="s">
        <v>6504</v>
      </c>
      <c r="O196" s="115">
        <v>1.75</v>
      </c>
      <c r="P196" s="115" t="s">
        <v>2128</v>
      </c>
      <c r="Q196" s="166"/>
      <c r="R196" s="164"/>
      <c r="S196" s="164"/>
      <c r="T196" s="164"/>
      <c r="U196" s="164"/>
      <c r="V196" s="162"/>
      <c r="W196" s="158"/>
      <c r="X196" s="158"/>
      <c r="Y196" s="158"/>
      <c r="Z196" s="158"/>
      <c r="AA196" s="158"/>
      <c r="AB196" s="158"/>
      <c r="AC196" s="113">
        <v>534</v>
      </c>
      <c r="AD196" s="113">
        <v>78</v>
      </c>
      <c r="AE196" s="113">
        <v>84</v>
      </c>
      <c r="AF196" s="113">
        <v>78</v>
      </c>
      <c r="AG196" s="120">
        <v>109</v>
      </c>
      <c r="AH196" s="113">
        <v>85</v>
      </c>
      <c r="AI196" s="113">
        <v>100</v>
      </c>
    </row>
    <row r="197" spans="1:35">
      <c r="A197" s="113">
        <v>157</v>
      </c>
      <c r="B197" s="113" t="s">
        <v>2877</v>
      </c>
      <c r="C197" s="120" t="s">
        <v>5418</v>
      </c>
      <c r="D197" s="124">
        <v>0.85</v>
      </c>
      <c r="E197" s="124">
        <v>0.15</v>
      </c>
      <c r="F197" s="113" t="s">
        <v>2332</v>
      </c>
      <c r="G197" s="113" t="s">
        <v>4319</v>
      </c>
      <c r="H197" s="113" t="s">
        <v>19</v>
      </c>
      <c r="I197" s="113" t="s">
        <v>119</v>
      </c>
      <c r="J197" s="118" t="s">
        <v>792</v>
      </c>
      <c r="K197" s="118">
        <v>4</v>
      </c>
      <c r="L197" s="118" t="s">
        <v>5415</v>
      </c>
      <c r="M197" s="115" t="s">
        <v>5416</v>
      </c>
      <c r="N197" s="115" t="s">
        <v>6504</v>
      </c>
      <c r="O197" s="115">
        <v>1.75</v>
      </c>
      <c r="P197" s="115" t="s">
        <v>2128</v>
      </c>
      <c r="Q197" s="166"/>
      <c r="R197" s="164"/>
      <c r="S197" s="164"/>
      <c r="T197" s="164"/>
      <c r="U197" s="164"/>
      <c r="V197" s="162"/>
      <c r="W197" s="158"/>
      <c r="X197" s="158"/>
      <c r="Y197" s="158"/>
      <c r="Z197" s="158"/>
      <c r="AA197" s="158"/>
      <c r="AB197" s="158"/>
      <c r="AC197" s="113">
        <v>534</v>
      </c>
      <c r="AD197" s="113">
        <v>73</v>
      </c>
      <c r="AE197" s="113">
        <v>84</v>
      </c>
      <c r="AF197" s="113">
        <v>78</v>
      </c>
      <c r="AG197" s="120">
        <v>119</v>
      </c>
      <c r="AH197" s="113">
        <v>85</v>
      </c>
      <c r="AI197" s="113">
        <v>95</v>
      </c>
    </row>
    <row r="198" spans="1:35">
      <c r="A198" s="113">
        <v>158</v>
      </c>
      <c r="B198" s="113" t="s">
        <v>185</v>
      </c>
      <c r="C198" s="120" t="s">
        <v>5419</v>
      </c>
      <c r="D198" s="124">
        <v>0.85</v>
      </c>
      <c r="E198" s="124">
        <v>0.15</v>
      </c>
      <c r="F198" s="113" t="s">
        <v>2331</v>
      </c>
      <c r="G198" s="113" t="s">
        <v>1974</v>
      </c>
      <c r="H198" s="113" t="s">
        <v>25</v>
      </c>
      <c r="I198" s="113" t="s">
        <v>1109</v>
      </c>
      <c r="J198" s="118" t="s">
        <v>792</v>
      </c>
      <c r="K198" s="118">
        <v>4</v>
      </c>
      <c r="L198" s="118" t="s">
        <v>5419</v>
      </c>
      <c r="M198" s="115" t="s">
        <v>1109</v>
      </c>
      <c r="N198" s="115" t="s">
        <v>6505</v>
      </c>
      <c r="O198" s="115">
        <v>1.75</v>
      </c>
      <c r="P198" s="115" t="s">
        <v>1109</v>
      </c>
      <c r="Q198" s="166"/>
      <c r="R198" s="164"/>
      <c r="S198" s="164"/>
      <c r="T198" s="164"/>
      <c r="U198" s="164"/>
      <c r="V198" s="162"/>
      <c r="W198" s="158"/>
      <c r="X198" s="158"/>
      <c r="Y198" s="158"/>
      <c r="Z198" s="158"/>
      <c r="AA198" s="158"/>
      <c r="AB198" s="158"/>
      <c r="AC198" s="113">
        <v>314</v>
      </c>
      <c r="AD198" s="113">
        <v>50</v>
      </c>
      <c r="AE198" s="113">
        <v>65</v>
      </c>
      <c r="AF198" s="113">
        <v>64</v>
      </c>
      <c r="AG198" s="120">
        <v>44</v>
      </c>
      <c r="AH198" s="113">
        <v>48</v>
      </c>
      <c r="AI198" s="113">
        <v>43</v>
      </c>
    </row>
    <row r="199" spans="1:35">
      <c r="A199" s="113">
        <v>159</v>
      </c>
      <c r="B199" s="113" t="s">
        <v>186</v>
      </c>
      <c r="C199" s="120" t="s">
        <v>5420</v>
      </c>
      <c r="D199" s="124">
        <v>0.85</v>
      </c>
      <c r="E199" s="124">
        <v>0.15</v>
      </c>
      <c r="F199" s="113" t="s">
        <v>2331</v>
      </c>
      <c r="G199" s="113" t="s">
        <v>1974</v>
      </c>
      <c r="H199" s="113" t="s">
        <v>25</v>
      </c>
      <c r="I199" s="113" t="s">
        <v>1109</v>
      </c>
      <c r="J199" s="118" t="s">
        <v>792</v>
      </c>
      <c r="K199" s="118">
        <v>4</v>
      </c>
      <c r="L199" s="118" t="s">
        <v>5419</v>
      </c>
      <c r="M199" s="115" t="s">
        <v>5419</v>
      </c>
      <c r="N199" s="115" t="s">
        <v>6506</v>
      </c>
      <c r="O199" s="115">
        <v>1.75</v>
      </c>
      <c r="P199" s="115" t="s">
        <v>2128</v>
      </c>
      <c r="Q199" s="166"/>
      <c r="R199" s="164"/>
      <c r="S199" s="164"/>
      <c r="T199" s="164"/>
      <c r="U199" s="164"/>
      <c r="V199" s="162"/>
      <c r="W199" s="158"/>
      <c r="X199" s="158"/>
      <c r="Y199" s="158"/>
      <c r="Z199" s="158"/>
      <c r="AA199" s="158"/>
      <c r="AB199" s="158"/>
      <c r="AC199" s="113">
        <v>405</v>
      </c>
      <c r="AD199" s="113">
        <v>65</v>
      </c>
      <c r="AE199" s="113">
        <v>80</v>
      </c>
      <c r="AF199" s="113">
        <v>80</v>
      </c>
      <c r="AG199" s="120">
        <v>59</v>
      </c>
      <c r="AH199" s="113">
        <v>63</v>
      </c>
      <c r="AI199" s="113">
        <v>58</v>
      </c>
    </row>
    <row r="200" spans="1:35">
      <c r="A200" s="113">
        <v>160</v>
      </c>
      <c r="B200" s="113" t="s">
        <v>187</v>
      </c>
      <c r="C200" s="120" t="s">
        <v>5421</v>
      </c>
      <c r="D200" s="124">
        <v>0.85</v>
      </c>
      <c r="E200" s="124">
        <v>0.15</v>
      </c>
      <c r="F200" s="113" t="s">
        <v>2331</v>
      </c>
      <c r="G200" s="113" t="s">
        <v>1974</v>
      </c>
      <c r="H200" s="113" t="s">
        <v>25</v>
      </c>
      <c r="I200" s="113" t="s">
        <v>1109</v>
      </c>
      <c r="J200" s="118" t="s">
        <v>792</v>
      </c>
      <c r="K200" s="118">
        <v>4</v>
      </c>
      <c r="L200" s="118" t="s">
        <v>5419</v>
      </c>
      <c r="M200" s="115" t="s">
        <v>5420</v>
      </c>
      <c r="N200" s="115" t="s">
        <v>6504</v>
      </c>
      <c r="O200" s="115">
        <v>1.75</v>
      </c>
      <c r="P200" s="115" t="s">
        <v>2128</v>
      </c>
      <c r="Q200" s="166"/>
      <c r="R200" s="164"/>
      <c r="S200" s="164"/>
      <c r="T200" s="164"/>
      <c r="U200" s="164"/>
      <c r="V200" s="162"/>
      <c r="W200" s="158"/>
      <c r="X200" s="158"/>
      <c r="Y200" s="158"/>
      <c r="Z200" s="158"/>
      <c r="AA200" s="158"/>
      <c r="AB200" s="158"/>
      <c r="AC200" s="113">
        <v>530</v>
      </c>
      <c r="AD200" s="113">
        <v>85</v>
      </c>
      <c r="AE200" s="113">
        <v>105</v>
      </c>
      <c r="AF200" s="113">
        <v>100</v>
      </c>
      <c r="AG200" s="120">
        <v>79</v>
      </c>
      <c r="AH200" s="113">
        <v>83</v>
      </c>
      <c r="AI200" s="113">
        <v>78</v>
      </c>
    </row>
    <row r="201" spans="1:35">
      <c r="A201" s="113">
        <v>161</v>
      </c>
      <c r="B201" s="113" t="s">
        <v>188</v>
      </c>
      <c r="C201" s="120" t="s">
        <v>5422</v>
      </c>
      <c r="D201" s="124">
        <v>0.5</v>
      </c>
      <c r="E201" s="124">
        <v>0.5</v>
      </c>
      <c r="F201" s="113" t="s">
        <v>2332</v>
      </c>
      <c r="G201" s="113" t="s">
        <v>1974</v>
      </c>
      <c r="H201" s="113" t="s">
        <v>36</v>
      </c>
      <c r="I201" s="113" t="s">
        <v>1109</v>
      </c>
      <c r="J201" s="118" t="s">
        <v>2129</v>
      </c>
      <c r="K201" s="118">
        <v>1</v>
      </c>
      <c r="L201" s="118" t="s">
        <v>5422</v>
      </c>
      <c r="M201" s="115" t="s">
        <v>1109</v>
      </c>
      <c r="N201" s="115" t="s">
        <v>6505</v>
      </c>
      <c r="O201" s="115">
        <v>1</v>
      </c>
      <c r="P201" s="115" t="s">
        <v>1109</v>
      </c>
      <c r="Q201" s="166"/>
      <c r="R201" s="164"/>
      <c r="S201" s="164"/>
      <c r="T201" s="164"/>
      <c r="U201" s="164"/>
      <c r="V201" s="162"/>
      <c r="W201" s="158"/>
      <c r="X201" s="158"/>
      <c r="Y201" s="158"/>
      <c r="Z201" s="158"/>
      <c r="AA201" s="158"/>
      <c r="AB201" s="158"/>
      <c r="AC201" s="113">
        <v>215</v>
      </c>
      <c r="AD201" s="113">
        <v>35</v>
      </c>
      <c r="AE201" s="113">
        <v>46</v>
      </c>
      <c r="AF201" s="113">
        <v>34</v>
      </c>
      <c r="AG201" s="120">
        <v>35</v>
      </c>
      <c r="AH201" s="113">
        <v>45</v>
      </c>
      <c r="AI201" s="113">
        <v>20</v>
      </c>
    </row>
    <row r="202" spans="1:35">
      <c r="A202" s="113">
        <v>162</v>
      </c>
      <c r="B202" s="113" t="s">
        <v>189</v>
      </c>
      <c r="C202" s="120" t="s">
        <v>5423</v>
      </c>
      <c r="D202" s="124">
        <v>0.5</v>
      </c>
      <c r="E202" s="124">
        <v>0.5</v>
      </c>
      <c r="F202" s="113" t="s">
        <v>2332</v>
      </c>
      <c r="G202" s="113" t="s">
        <v>1974</v>
      </c>
      <c r="H202" s="113" t="s">
        <v>36</v>
      </c>
      <c r="I202" s="113" t="s">
        <v>1109</v>
      </c>
      <c r="J202" s="118" t="s">
        <v>2129</v>
      </c>
      <c r="K202" s="118">
        <v>1</v>
      </c>
      <c r="L202" s="118" t="s">
        <v>5422</v>
      </c>
      <c r="M202" s="115" t="s">
        <v>5422</v>
      </c>
      <c r="N202" s="115" t="s">
        <v>6504</v>
      </c>
      <c r="O202" s="115">
        <v>1</v>
      </c>
      <c r="P202" s="115" t="s">
        <v>2128</v>
      </c>
      <c r="Q202" s="166"/>
      <c r="R202" s="164"/>
      <c r="S202" s="164"/>
      <c r="T202" s="164"/>
      <c r="U202" s="164"/>
      <c r="V202" s="162"/>
      <c r="W202" s="158"/>
      <c r="X202" s="158"/>
      <c r="Y202" s="158"/>
      <c r="Z202" s="158"/>
      <c r="AA202" s="158"/>
      <c r="AB202" s="158"/>
      <c r="AC202" s="113">
        <v>415</v>
      </c>
      <c r="AD202" s="113">
        <v>85</v>
      </c>
      <c r="AE202" s="113">
        <v>76</v>
      </c>
      <c r="AF202" s="113">
        <v>64</v>
      </c>
      <c r="AG202" s="120">
        <v>45</v>
      </c>
      <c r="AH202" s="113">
        <v>55</v>
      </c>
      <c r="AI202" s="113">
        <v>90</v>
      </c>
    </row>
    <row r="203" spans="1:35">
      <c r="A203" s="113">
        <v>163</v>
      </c>
      <c r="B203" s="113" t="s">
        <v>190</v>
      </c>
      <c r="C203" s="120" t="s">
        <v>5424</v>
      </c>
      <c r="D203" s="124">
        <v>0.5</v>
      </c>
      <c r="E203" s="124">
        <v>0.5</v>
      </c>
      <c r="F203" s="113" t="s">
        <v>22</v>
      </c>
      <c r="G203" s="113" t="s">
        <v>1974</v>
      </c>
      <c r="H203" s="113" t="s">
        <v>36</v>
      </c>
      <c r="I203" s="113" t="s">
        <v>22</v>
      </c>
      <c r="J203" s="118" t="s">
        <v>2129</v>
      </c>
      <c r="K203" s="118">
        <v>1</v>
      </c>
      <c r="L203" s="118" t="s">
        <v>5424</v>
      </c>
      <c r="M203" s="115" t="s">
        <v>1109</v>
      </c>
      <c r="N203" s="115" t="s">
        <v>6505</v>
      </c>
      <c r="O203" s="115">
        <v>1</v>
      </c>
      <c r="P203" s="115" t="s">
        <v>1109</v>
      </c>
      <c r="Q203" s="166"/>
      <c r="R203" s="164"/>
      <c r="S203" s="164"/>
      <c r="T203" s="164"/>
      <c r="U203" s="164"/>
      <c r="V203" s="162"/>
      <c r="W203" s="158"/>
      <c r="X203" s="158"/>
      <c r="Y203" s="158"/>
      <c r="Z203" s="158"/>
      <c r="AA203" s="158"/>
      <c r="AB203" s="158"/>
      <c r="AC203" s="113">
        <v>262</v>
      </c>
      <c r="AD203" s="113">
        <v>60</v>
      </c>
      <c r="AE203" s="113">
        <v>30</v>
      </c>
      <c r="AF203" s="113">
        <v>30</v>
      </c>
      <c r="AG203" s="120">
        <v>36</v>
      </c>
      <c r="AH203" s="113">
        <v>56</v>
      </c>
      <c r="AI203" s="113">
        <v>50</v>
      </c>
    </row>
    <row r="204" spans="1:35">
      <c r="A204" s="113">
        <v>164</v>
      </c>
      <c r="B204" s="113" t="s">
        <v>191</v>
      </c>
      <c r="C204" s="120" t="s">
        <v>5425</v>
      </c>
      <c r="D204" s="124">
        <v>0.5</v>
      </c>
      <c r="E204" s="124">
        <v>0.5</v>
      </c>
      <c r="F204" s="113" t="s">
        <v>22</v>
      </c>
      <c r="G204" s="113" t="s">
        <v>1974</v>
      </c>
      <c r="H204" s="113" t="s">
        <v>36</v>
      </c>
      <c r="I204" s="113" t="s">
        <v>22</v>
      </c>
      <c r="J204" s="118" t="s">
        <v>2129</v>
      </c>
      <c r="K204" s="118">
        <v>1</v>
      </c>
      <c r="L204" s="118" t="s">
        <v>5424</v>
      </c>
      <c r="M204" s="115" t="s">
        <v>5424</v>
      </c>
      <c r="N204" s="115" t="s">
        <v>6504</v>
      </c>
      <c r="O204" s="115">
        <v>1</v>
      </c>
      <c r="P204" s="115" t="s">
        <v>2128</v>
      </c>
      <c r="Q204" s="166"/>
      <c r="R204" s="164"/>
      <c r="S204" s="164"/>
      <c r="T204" s="164"/>
      <c r="U204" s="164"/>
      <c r="V204" s="162"/>
      <c r="W204" s="158"/>
      <c r="X204" s="158"/>
      <c r="Y204" s="158"/>
      <c r="Z204" s="158"/>
      <c r="AA204" s="158"/>
      <c r="AB204" s="158"/>
      <c r="AC204" s="113">
        <v>452</v>
      </c>
      <c r="AD204" s="113">
        <v>100</v>
      </c>
      <c r="AE204" s="113">
        <v>50</v>
      </c>
      <c r="AF204" s="113">
        <v>50</v>
      </c>
      <c r="AG204" s="120">
        <v>86</v>
      </c>
      <c r="AH204" s="113">
        <v>96</v>
      </c>
      <c r="AI204" s="113">
        <v>70</v>
      </c>
    </row>
    <row r="205" spans="1:35">
      <c r="A205" s="113">
        <v>165</v>
      </c>
      <c r="B205" s="113" t="s">
        <v>192</v>
      </c>
      <c r="C205" s="120" t="s">
        <v>5426</v>
      </c>
      <c r="D205" s="124">
        <v>0.5</v>
      </c>
      <c r="E205" s="124">
        <v>0.5</v>
      </c>
      <c r="F205" s="113" t="s">
        <v>29</v>
      </c>
      <c r="G205" s="113" t="s">
        <v>1974</v>
      </c>
      <c r="H205" s="113" t="s">
        <v>29</v>
      </c>
      <c r="I205" s="113" t="s">
        <v>22</v>
      </c>
      <c r="J205" s="118" t="s">
        <v>2129</v>
      </c>
      <c r="K205" s="118">
        <v>1</v>
      </c>
      <c r="L205" s="118" t="s">
        <v>5426</v>
      </c>
      <c r="M205" s="115" t="s">
        <v>1109</v>
      </c>
      <c r="N205" s="115" t="s">
        <v>6505</v>
      </c>
      <c r="O205" s="115">
        <v>1</v>
      </c>
      <c r="P205" s="115" t="s">
        <v>1109</v>
      </c>
      <c r="Q205" s="166"/>
      <c r="R205" s="164"/>
      <c r="S205" s="164"/>
      <c r="T205" s="164"/>
      <c r="U205" s="164"/>
      <c r="V205" s="162"/>
      <c r="W205" s="158"/>
      <c r="X205" s="158"/>
      <c r="Y205" s="158"/>
      <c r="Z205" s="158"/>
      <c r="AA205" s="158"/>
      <c r="AB205" s="158"/>
      <c r="AC205" s="113">
        <v>265</v>
      </c>
      <c r="AD205" s="113">
        <v>40</v>
      </c>
      <c r="AE205" s="113">
        <v>20</v>
      </c>
      <c r="AF205" s="113">
        <v>30</v>
      </c>
      <c r="AG205" s="120">
        <v>40</v>
      </c>
      <c r="AH205" s="113">
        <v>80</v>
      </c>
      <c r="AI205" s="113">
        <v>55</v>
      </c>
    </row>
    <row r="206" spans="1:35">
      <c r="A206" s="113">
        <v>166</v>
      </c>
      <c r="B206" s="113" t="s">
        <v>193</v>
      </c>
      <c r="C206" s="120" t="s">
        <v>5427</v>
      </c>
      <c r="D206" s="124">
        <v>0.5</v>
      </c>
      <c r="E206" s="124">
        <v>0.5</v>
      </c>
      <c r="F206" s="113" t="s">
        <v>29</v>
      </c>
      <c r="G206" s="113" t="s">
        <v>1974</v>
      </c>
      <c r="H206" s="113" t="s">
        <v>29</v>
      </c>
      <c r="I206" s="113" t="s">
        <v>22</v>
      </c>
      <c r="J206" s="118" t="s">
        <v>2129</v>
      </c>
      <c r="K206" s="118">
        <v>1</v>
      </c>
      <c r="L206" s="118" t="s">
        <v>5426</v>
      </c>
      <c r="M206" s="115" t="s">
        <v>5426</v>
      </c>
      <c r="N206" s="115" t="s">
        <v>6504</v>
      </c>
      <c r="O206" s="115">
        <v>1</v>
      </c>
      <c r="P206" s="115" t="s">
        <v>2128</v>
      </c>
      <c r="Q206" s="166"/>
      <c r="R206" s="164"/>
      <c r="S206" s="164"/>
      <c r="T206" s="164"/>
      <c r="U206" s="164"/>
      <c r="V206" s="162"/>
      <c r="W206" s="158"/>
      <c r="X206" s="158"/>
      <c r="Y206" s="158"/>
      <c r="Z206" s="158"/>
      <c r="AA206" s="158"/>
      <c r="AB206" s="158"/>
      <c r="AC206" s="113">
        <v>390</v>
      </c>
      <c r="AD206" s="113">
        <v>55</v>
      </c>
      <c r="AE206" s="113">
        <v>35</v>
      </c>
      <c r="AF206" s="113">
        <v>50</v>
      </c>
      <c r="AG206" s="120">
        <v>55</v>
      </c>
      <c r="AH206" s="113">
        <v>110</v>
      </c>
      <c r="AI206" s="113">
        <v>85</v>
      </c>
    </row>
    <row r="207" spans="1:35">
      <c r="A207" s="113">
        <v>167</v>
      </c>
      <c r="B207" s="113" t="s">
        <v>194</v>
      </c>
      <c r="C207" s="120" t="s">
        <v>5428</v>
      </c>
      <c r="D207" s="124">
        <v>0.5</v>
      </c>
      <c r="E207" s="124">
        <v>0.5</v>
      </c>
      <c r="F207" s="113" t="s">
        <v>29</v>
      </c>
      <c r="G207" s="113" t="s">
        <v>1974</v>
      </c>
      <c r="H207" s="113" t="s">
        <v>29</v>
      </c>
      <c r="I207" s="113" t="s">
        <v>15</v>
      </c>
      <c r="J207" s="118" t="s">
        <v>2129</v>
      </c>
      <c r="K207" s="118">
        <v>1</v>
      </c>
      <c r="L207" s="118" t="s">
        <v>5428</v>
      </c>
      <c r="M207" s="115" t="s">
        <v>1109</v>
      </c>
      <c r="N207" s="115" t="s">
        <v>6505</v>
      </c>
      <c r="O207" s="115">
        <v>1</v>
      </c>
      <c r="P207" s="115" t="s">
        <v>1109</v>
      </c>
      <c r="Q207" s="166"/>
      <c r="R207" s="164"/>
      <c r="S207" s="164"/>
      <c r="T207" s="164"/>
      <c r="U207" s="164"/>
      <c r="V207" s="162"/>
      <c r="W207" s="158"/>
      <c r="X207" s="158"/>
      <c r="Y207" s="158"/>
      <c r="Z207" s="158"/>
      <c r="AA207" s="158"/>
      <c r="AB207" s="158"/>
      <c r="AC207" s="113">
        <v>250</v>
      </c>
      <c r="AD207" s="113">
        <v>40</v>
      </c>
      <c r="AE207" s="113">
        <v>60</v>
      </c>
      <c r="AF207" s="113">
        <v>40</v>
      </c>
      <c r="AG207" s="120">
        <v>40</v>
      </c>
      <c r="AH207" s="113">
        <v>40</v>
      </c>
      <c r="AI207" s="113">
        <v>30</v>
      </c>
    </row>
    <row r="208" spans="1:35">
      <c r="A208" s="113">
        <v>168</v>
      </c>
      <c r="B208" s="113" t="s">
        <v>195</v>
      </c>
      <c r="C208" s="120" t="s">
        <v>5429</v>
      </c>
      <c r="D208" s="124">
        <v>0.5</v>
      </c>
      <c r="E208" s="124">
        <v>0.5</v>
      </c>
      <c r="F208" s="113" t="s">
        <v>29</v>
      </c>
      <c r="G208" s="113" t="s">
        <v>1974</v>
      </c>
      <c r="H208" s="113" t="s">
        <v>29</v>
      </c>
      <c r="I208" s="113" t="s">
        <v>15</v>
      </c>
      <c r="J208" s="118" t="s">
        <v>2129</v>
      </c>
      <c r="K208" s="118">
        <v>1</v>
      </c>
      <c r="L208" s="118" t="s">
        <v>5428</v>
      </c>
      <c r="M208" s="115" t="s">
        <v>5428</v>
      </c>
      <c r="N208" s="115" t="s">
        <v>6504</v>
      </c>
      <c r="O208" s="115">
        <v>1</v>
      </c>
      <c r="P208" s="115" t="s">
        <v>2128</v>
      </c>
      <c r="Q208" s="166"/>
      <c r="R208" s="164"/>
      <c r="S208" s="164"/>
      <c r="T208" s="164"/>
      <c r="U208" s="164"/>
      <c r="V208" s="162"/>
      <c r="W208" s="158"/>
      <c r="X208" s="158"/>
      <c r="Y208" s="158"/>
      <c r="Z208" s="158"/>
      <c r="AA208" s="158"/>
      <c r="AB208" s="158"/>
      <c r="AC208" s="113">
        <v>400</v>
      </c>
      <c r="AD208" s="113">
        <v>70</v>
      </c>
      <c r="AE208" s="113">
        <v>90</v>
      </c>
      <c r="AF208" s="113">
        <v>70</v>
      </c>
      <c r="AG208" s="120">
        <v>60</v>
      </c>
      <c r="AH208" s="113">
        <v>70</v>
      </c>
      <c r="AI208" s="113">
        <v>40</v>
      </c>
    </row>
    <row r="209" spans="1:35">
      <c r="A209" s="113">
        <v>169</v>
      </c>
      <c r="B209" s="113" t="s">
        <v>196</v>
      </c>
      <c r="C209" s="120" t="s">
        <v>5430</v>
      </c>
      <c r="D209" s="124">
        <v>0.5</v>
      </c>
      <c r="E209" s="124">
        <v>0.5</v>
      </c>
      <c r="F209" s="113" t="s">
        <v>22</v>
      </c>
      <c r="G209" s="113" t="s">
        <v>1974</v>
      </c>
      <c r="H209" s="113" t="s">
        <v>15</v>
      </c>
      <c r="I209" s="113" t="s">
        <v>22</v>
      </c>
      <c r="J209" s="118" t="s">
        <v>2129</v>
      </c>
      <c r="K209" s="118">
        <v>1</v>
      </c>
      <c r="L209" s="118" t="s">
        <v>5264</v>
      </c>
      <c r="M209" s="115" t="s">
        <v>5265</v>
      </c>
      <c r="N209" s="115" t="s">
        <v>6504</v>
      </c>
      <c r="O209" s="115">
        <v>1</v>
      </c>
      <c r="P209" s="115" t="s">
        <v>2128</v>
      </c>
      <c r="Q209" s="166"/>
      <c r="R209" s="164"/>
      <c r="S209" s="164"/>
      <c r="T209" s="164"/>
      <c r="U209" s="164"/>
      <c r="V209" s="162"/>
      <c r="W209" s="158"/>
      <c r="X209" s="158"/>
      <c r="Y209" s="158"/>
      <c r="Z209" s="158"/>
      <c r="AA209" s="158"/>
      <c r="AB209" s="158"/>
      <c r="AC209" s="113">
        <v>535</v>
      </c>
      <c r="AD209" s="113">
        <v>85</v>
      </c>
      <c r="AE209" s="113">
        <v>90</v>
      </c>
      <c r="AF209" s="113">
        <v>80</v>
      </c>
      <c r="AG209" s="120">
        <v>70</v>
      </c>
      <c r="AH209" s="113">
        <v>80</v>
      </c>
      <c r="AI209" s="113">
        <v>130</v>
      </c>
    </row>
    <row r="210" spans="1:35">
      <c r="A210" s="113">
        <v>170</v>
      </c>
      <c r="B210" s="113" t="s">
        <v>197</v>
      </c>
      <c r="C210" s="120" t="s">
        <v>5431</v>
      </c>
      <c r="D210" s="124">
        <v>0.5</v>
      </c>
      <c r="E210" s="124">
        <v>0.5</v>
      </c>
      <c r="F210" s="113" t="s">
        <v>2337</v>
      </c>
      <c r="G210" s="113" t="s">
        <v>1974</v>
      </c>
      <c r="H210" s="113" t="s">
        <v>25</v>
      </c>
      <c r="I210" s="113" t="s">
        <v>46</v>
      </c>
      <c r="J210" s="118" t="s">
        <v>2129</v>
      </c>
      <c r="K210" s="118">
        <v>2</v>
      </c>
      <c r="L210" s="118" t="s">
        <v>5431</v>
      </c>
      <c r="M210" s="115" t="s">
        <v>1109</v>
      </c>
      <c r="N210" s="115" t="s">
        <v>6505</v>
      </c>
      <c r="O210" s="115">
        <v>1.25</v>
      </c>
      <c r="P210" s="115" t="s">
        <v>1109</v>
      </c>
      <c r="Q210" s="166"/>
      <c r="R210" s="164"/>
      <c r="S210" s="164"/>
      <c r="T210" s="164"/>
      <c r="U210" s="164"/>
      <c r="V210" s="162"/>
      <c r="W210" s="158"/>
      <c r="X210" s="158"/>
      <c r="Y210" s="158"/>
      <c r="Z210" s="158"/>
      <c r="AA210" s="158"/>
      <c r="AB210" s="158"/>
      <c r="AC210" s="113">
        <v>330</v>
      </c>
      <c r="AD210" s="113">
        <v>75</v>
      </c>
      <c r="AE210" s="113">
        <v>38</v>
      </c>
      <c r="AF210" s="113">
        <v>38</v>
      </c>
      <c r="AG210" s="120">
        <v>56</v>
      </c>
      <c r="AH210" s="113">
        <v>56</v>
      </c>
      <c r="AI210" s="113">
        <v>67</v>
      </c>
    </row>
    <row r="211" spans="1:35">
      <c r="A211" s="113">
        <v>171</v>
      </c>
      <c r="B211" s="113" t="s">
        <v>198</v>
      </c>
      <c r="C211" s="120" t="s">
        <v>5432</v>
      </c>
      <c r="D211" s="124">
        <v>0.5</v>
      </c>
      <c r="E211" s="124">
        <v>0.5</v>
      </c>
      <c r="F211" s="113" t="s">
        <v>2337</v>
      </c>
      <c r="G211" s="113" t="s">
        <v>1974</v>
      </c>
      <c r="H211" s="113" t="s">
        <v>25</v>
      </c>
      <c r="I211" s="113" t="s">
        <v>46</v>
      </c>
      <c r="J211" s="118" t="s">
        <v>2129</v>
      </c>
      <c r="K211" s="118">
        <v>2</v>
      </c>
      <c r="L211" s="118" t="s">
        <v>5431</v>
      </c>
      <c r="M211" s="115" t="s">
        <v>5431</v>
      </c>
      <c r="N211" s="115" t="s">
        <v>6504</v>
      </c>
      <c r="O211" s="115">
        <v>1.25</v>
      </c>
      <c r="P211" s="115" t="s">
        <v>2128</v>
      </c>
      <c r="Q211" s="166"/>
      <c r="R211" s="164"/>
      <c r="S211" s="164"/>
      <c r="T211" s="164"/>
      <c r="U211" s="164"/>
      <c r="V211" s="162"/>
      <c r="W211" s="158"/>
      <c r="X211" s="158"/>
      <c r="Y211" s="158"/>
      <c r="Z211" s="158"/>
      <c r="AA211" s="158"/>
      <c r="AB211" s="158"/>
      <c r="AC211" s="113">
        <v>460</v>
      </c>
      <c r="AD211" s="113">
        <v>125</v>
      </c>
      <c r="AE211" s="113">
        <v>58</v>
      </c>
      <c r="AF211" s="113">
        <v>58</v>
      </c>
      <c r="AG211" s="120">
        <v>76</v>
      </c>
      <c r="AH211" s="113">
        <v>76</v>
      </c>
      <c r="AI211" s="113">
        <v>67</v>
      </c>
    </row>
    <row r="212" spans="1:35">
      <c r="A212" s="113">
        <v>172</v>
      </c>
      <c r="B212" s="113" t="s">
        <v>199</v>
      </c>
      <c r="C212" s="120" t="s">
        <v>5433</v>
      </c>
      <c r="D212" s="124">
        <v>0.5</v>
      </c>
      <c r="E212" s="124">
        <v>0.5</v>
      </c>
      <c r="F212" s="113" t="s">
        <v>2333</v>
      </c>
      <c r="G212" s="113" t="s">
        <v>1974</v>
      </c>
      <c r="H212" s="113" t="s">
        <v>46</v>
      </c>
      <c r="I212" s="113" t="s">
        <v>1109</v>
      </c>
      <c r="J212" s="118" t="s">
        <v>2129</v>
      </c>
      <c r="K212" s="118">
        <v>2</v>
      </c>
      <c r="L212" s="118" t="s">
        <v>5433</v>
      </c>
      <c r="M212" s="115" t="s">
        <v>1109</v>
      </c>
      <c r="N212" s="115" t="s">
        <v>6507</v>
      </c>
      <c r="O212" s="115">
        <v>1.5</v>
      </c>
      <c r="P212" s="115" t="s">
        <v>1109</v>
      </c>
      <c r="Q212" s="166">
        <v>0.1</v>
      </c>
      <c r="R212" s="164"/>
      <c r="S212" s="164"/>
      <c r="T212" s="164"/>
      <c r="U212" s="164"/>
      <c r="V212" s="162"/>
      <c r="W212" s="158"/>
      <c r="X212" s="158"/>
      <c r="Y212" s="158"/>
      <c r="Z212" s="158"/>
      <c r="AA212" s="158"/>
      <c r="AB212" s="158"/>
      <c r="AC212" s="113">
        <v>205</v>
      </c>
      <c r="AD212" s="113">
        <v>20</v>
      </c>
      <c r="AE212" s="113">
        <v>40</v>
      </c>
      <c r="AF212" s="113">
        <v>15</v>
      </c>
      <c r="AG212" s="120">
        <v>35</v>
      </c>
      <c r="AH212" s="113">
        <v>35</v>
      </c>
      <c r="AI212" s="113">
        <v>60</v>
      </c>
    </row>
    <row r="213" spans="1:35">
      <c r="A213" s="113">
        <v>173</v>
      </c>
      <c r="B213" s="113" t="s">
        <v>200</v>
      </c>
      <c r="C213" s="120" t="s">
        <v>5434</v>
      </c>
      <c r="D213" s="124">
        <v>0.25</v>
      </c>
      <c r="E213" s="124">
        <v>0.75</v>
      </c>
      <c r="F213" s="113" t="s">
        <v>2333</v>
      </c>
      <c r="G213" s="113" t="s">
        <v>1974</v>
      </c>
      <c r="H213" s="113" t="s">
        <v>56</v>
      </c>
      <c r="I213" s="113" t="s">
        <v>1109</v>
      </c>
      <c r="J213" s="118" t="s">
        <v>2129</v>
      </c>
      <c r="K213" s="118">
        <v>2</v>
      </c>
      <c r="L213" s="118" t="s">
        <v>5434</v>
      </c>
      <c r="M213" s="115" t="s">
        <v>1109</v>
      </c>
      <c r="N213" s="115" t="s">
        <v>6507</v>
      </c>
      <c r="O213" s="115">
        <v>1.5</v>
      </c>
      <c r="P213" s="115" t="s">
        <v>1109</v>
      </c>
      <c r="Q213" s="166">
        <v>0.1</v>
      </c>
      <c r="R213" s="164"/>
      <c r="S213" s="164"/>
      <c r="T213" s="164"/>
      <c r="U213" s="164"/>
      <c r="V213" s="162"/>
      <c r="W213" s="158"/>
      <c r="X213" s="158"/>
      <c r="Y213" s="158"/>
      <c r="Z213" s="158"/>
      <c r="AA213" s="158"/>
      <c r="AB213" s="158"/>
      <c r="AC213" s="113">
        <v>218</v>
      </c>
      <c r="AD213" s="113">
        <v>50</v>
      </c>
      <c r="AE213" s="113">
        <v>25</v>
      </c>
      <c r="AF213" s="113">
        <v>28</v>
      </c>
      <c r="AG213" s="120">
        <v>45</v>
      </c>
      <c r="AH213" s="113">
        <v>55</v>
      </c>
      <c r="AI213" s="113">
        <v>15</v>
      </c>
    </row>
    <row r="214" spans="1:35">
      <c r="A214" s="113">
        <v>174</v>
      </c>
      <c r="B214" s="113" t="s">
        <v>201</v>
      </c>
      <c r="C214" s="120" t="s">
        <v>5435</v>
      </c>
      <c r="D214" s="124">
        <v>0.25</v>
      </c>
      <c r="E214" s="124">
        <v>0.75</v>
      </c>
      <c r="F214" s="113" t="s">
        <v>2333</v>
      </c>
      <c r="G214" s="113" t="s">
        <v>1974</v>
      </c>
      <c r="H214" s="113" t="s">
        <v>36</v>
      </c>
      <c r="I214" s="113" t="s">
        <v>56</v>
      </c>
      <c r="J214" s="118" t="s">
        <v>2129</v>
      </c>
      <c r="K214" s="118">
        <v>2</v>
      </c>
      <c r="L214" s="118" t="s">
        <v>5435</v>
      </c>
      <c r="M214" s="115" t="s">
        <v>1109</v>
      </c>
      <c r="N214" s="115" t="s">
        <v>6507</v>
      </c>
      <c r="O214" s="115">
        <v>1.5</v>
      </c>
      <c r="P214" s="115" t="s">
        <v>1109</v>
      </c>
      <c r="Q214" s="166">
        <v>0.1</v>
      </c>
      <c r="R214" s="164"/>
      <c r="S214" s="164"/>
      <c r="T214" s="164"/>
      <c r="U214" s="164"/>
      <c r="V214" s="162"/>
      <c r="W214" s="158"/>
      <c r="X214" s="158"/>
      <c r="Y214" s="158"/>
      <c r="Z214" s="158"/>
      <c r="AA214" s="158"/>
      <c r="AB214" s="158"/>
      <c r="AC214" s="113">
        <v>210</v>
      </c>
      <c r="AD214" s="113">
        <v>90</v>
      </c>
      <c r="AE214" s="113">
        <v>30</v>
      </c>
      <c r="AF214" s="113">
        <v>15</v>
      </c>
      <c r="AG214" s="120">
        <v>40</v>
      </c>
      <c r="AH214" s="113">
        <v>20</v>
      </c>
      <c r="AI214" s="113">
        <v>15</v>
      </c>
    </row>
    <row r="215" spans="1:35">
      <c r="A215" s="113">
        <v>175</v>
      </c>
      <c r="B215" s="113" t="s">
        <v>202</v>
      </c>
      <c r="C215" s="120" t="s">
        <v>5436</v>
      </c>
      <c r="D215" s="124">
        <v>0.85</v>
      </c>
      <c r="E215" s="124">
        <v>0.15</v>
      </c>
      <c r="F215" s="113" t="s">
        <v>2333</v>
      </c>
      <c r="G215" s="113" t="s">
        <v>1974</v>
      </c>
      <c r="H215" s="113" t="s">
        <v>56</v>
      </c>
      <c r="I215" s="113" t="s">
        <v>1109</v>
      </c>
      <c r="J215" s="118" t="s">
        <v>2129</v>
      </c>
      <c r="K215" s="118">
        <v>2</v>
      </c>
      <c r="L215" s="118" t="s">
        <v>5436</v>
      </c>
      <c r="M215" s="115" t="s">
        <v>1109</v>
      </c>
      <c r="N215" s="115" t="s">
        <v>6507</v>
      </c>
      <c r="O215" s="115">
        <v>1.5</v>
      </c>
      <c r="P215" s="115" t="s">
        <v>1109</v>
      </c>
      <c r="Q215" s="166">
        <v>0.1</v>
      </c>
      <c r="R215" s="164"/>
      <c r="S215" s="164"/>
      <c r="T215" s="164"/>
      <c r="U215" s="164"/>
      <c r="V215" s="162"/>
      <c r="W215" s="158"/>
      <c r="X215" s="158"/>
      <c r="Y215" s="158"/>
      <c r="Z215" s="158"/>
      <c r="AA215" s="158"/>
      <c r="AB215" s="158"/>
      <c r="AC215" s="113">
        <v>245</v>
      </c>
      <c r="AD215" s="113">
        <v>35</v>
      </c>
      <c r="AE215" s="113">
        <v>20</v>
      </c>
      <c r="AF215" s="113">
        <v>65</v>
      </c>
      <c r="AG215" s="120">
        <v>40</v>
      </c>
      <c r="AH215" s="113">
        <v>65</v>
      </c>
      <c r="AI215" s="113">
        <v>20</v>
      </c>
    </row>
    <row r="216" spans="1:35">
      <c r="A216" s="113">
        <v>176</v>
      </c>
      <c r="B216" s="113" t="s">
        <v>203</v>
      </c>
      <c r="C216" s="120" t="s">
        <v>5437</v>
      </c>
      <c r="D216" s="124">
        <v>0.85</v>
      </c>
      <c r="E216" s="124">
        <v>0.15</v>
      </c>
      <c r="F216" s="113" t="s">
        <v>56</v>
      </c>
      <c r="G216" s="113" t="s">
        <v>1974</v>
      </c>
      <c r="H216" s="113" t="s">
        <v>56</v>
      </c>
      <c r="I216" s="113" t="s">
        <v>22</v>
      </c>
      <c r="J216" s="118" t="s">
        <v>2129</v>
      </c>
      <c r="K216" s="118">
        <v>2</v>
      </c>
      <c r="L216" s="118" t="s">
        <v>5436</v>
      </c>
      <c r="M216" s="115" t="s">
        <v>5436</v>
      </c>
      <c r="N216" s="115" t="s">
        <v>6505</v>
      </c>
      <c r="O216" s="115">
        <v>1.25</v>
      </c>
      <c r="P216" s="115" t="s">
        <v>2128</v>
      </c>
      <c r="Q216" s="166">
        <v>1</v>
      </c>
      <c r="R216" s="164"/>
      <c r="S216" s="164"/>
      <c r="T216" s="164"/>
      <c r="U216" s="164"/>
      <c r="V216" s="162"/>
      <c r="W216" s="158" t="s">
        <v>6531</v>
      </c>
      <c r="X216" s="158"/>
      <c r="Y216" s="158">
        <v>70</v>
      </c>
      <c r="Z216" s="158">
        <v>6</v>
      </c>
      <c r="AA216" s="158"/>
      <c r="AB216" s="158"/>
      <c r="AC216" s="113">
        <v>405</v>
      </c>
      <c r="AD216" s="113">
        <v>55</v>
      </c>
      <c r="AE216" s="113">
        <v>40</v>
      </c>
      <c r="AF216" s="113">
        <v>85</v>
      </c>
      <c r="AG216" s="120">
        <v>80</v>
      </c>
      <c r="AH216" s="113">
        <v>105</v>
      </c>
      <c r="AI216" s="113">
        <v>40</v>
      </c>
    </row>
    <row r="217" spans="1:35">
      <c r="A217" s="113">
        <v>177</v>
      </c>
      <c r="B217" s="113" t="s">
        <v>204</v>
      </c>
      <c r="C217" s="120" t="s">
        <v>5438</v>
      </c>
      <c r="D217" s="124">
        <v>0.5</v>
      </c>
      <c r="E217" s="124">
        <v>0.5</v>
      </c>
      <c r="F217" s="113" t="s">
        <v>22</v>
      </c>
      <c r="G217" s="113" t="s">
        <v>1974</v>
      </c>
      <c r="H217" s="113" t="s">
        <v>86</v>
      </c>
      <c r="I217" s="113" t="s">
        <v>22</v>
      </c>
      <c r="J217" s="118" t="s">
        <v>2129</v>
      </c>
      <c r="K217" s="118">
        <v>2</v>
      </c>
      <c r="L217" s="118" t="s">
        <v>5438</v>
      </c>
      <c r="M217" s="115" t="s">
        <v>1109</v>
      </c>
      <c r="N217" s="115" t="s">
        <v>6505</v>
      </c>
      <c r="O217" s="115">
        <v>1.25</v>
      </c>
      <c r="P217" s="115" t="s">
        <v>1109</v>
      </c>
      <c r="Q217" s="166"/>
      <c r="R217" s="164"/>
      <c r="S217" s="164"/>
      <c r="T217" s="164"/>
      <c r="U217" s="164"/>
      <c r="V217" s="162"/>
      <c r="W217" s="158"/>
      <c r="X217" s="158"/>
      <c r="Y217" s="158"/>
      <c r="Z217" s="158"/>
      <c r="AA217" s="158"/>
      <c r="AB217" s="158"/>
      <c r="AC217" s="113">
        <v>320</v>
      </c>
      <c r="AD217" s="113">
        <v>40</v>
      </c>
      <c r="AE217" s="113">
        <v>50</v>
      </c>
      <c r="AF217" s="113">
        <v>45</v>
      </c>
      <c r="AG217" s="120">
        <v>70</v>
      </c>
      <c r="AH217" s="113">
        <v>45</v>
      </c>
      <c r="AI217" s="113">
        <v>70</v>
      </c>
    </row>
    <row r="218" spans="1:35">
      <c r="A218" s="113">
        <v>178</v>
      </c>
      <c r="B218" s="113" t="s">
        <v>205</v>
      </c>
      <c r="C218" s="120" t="s">
        <v>5439</v>
      </c>
      <c r="D218" s="124">
        <v>0.5</v>
      </c>
      <c r="E218" s="124">
        <v>0.5</v>
      </c>
      <c r="F218" s="113" t="s">
        <v>22</v>
      </c>
      <c r="G218" s="113" t="s">
        <v>1974</v>
      </c>
      <c r="H218" s="113" t="s">
        <v>86</v>
      </c>
      <c r="I218" s="113" t="s">
        <v>22</v>
      </c>
      <c r="J218" s="118" t="s">
        <v>2129</v>
      </c>
      <c r="K218" s="118">
        <v>2</v>
      </c>
      <c r="L218" s="118" t="s">
        <v>5438</v>
      </c>
      <c r="M218" s="115" t="s">
        <v>5438</v>
      </c>
      <c r="N218" s="115" t="s">
        <v>6504</v>
      </c>
      <c r="O218" s="115">
        <v>1.25</v>
      </c>
      <c r="P218" s="115" t="s">
        <v>2128</v>
      </c>
      <c r="Q218" s="166"/>
      <c r="R218" s="164"/>
      <c r="S218" s="164"/>
      <c r="T218" s="164"/>
      <c r="U218" s="164"/>
      <c r="V218" s="162"/>
      <c r="W218" s="158"/>
      <c r="X218" s="158"/>
      <c r="Y218" s="158"/>
      <c r="Z218" s="158"/>
      <c r="AA218" s="158"/>
      <c r="AB218" s="158"/>
      <c r="AC218" s="113">
        <v>470</v>
      </c>
      <c r="AD218" s="113">
        <v>65</v>
      </c>
      <c r="AE218" s="113">
        <v>75</v>
      </c>
      <c r="AF218" s="113">
        <v>70</v>
      </c>
      <c r="AG218" s="120">
        <v>95</v>
      </c>
      <c r="AH218" s="113">
        <v>70</v>
      </c>
      <c r="AI218" s="113">
        <v>95</v>
      </c>
    </row>
    <row r="219" spans="1:35">
      <c r="A219" s="113">
        <v>179</v>
      </c>
      <c r="B219" s="113" t="s">
        <v>206</v>
      </c>
      <c r="C219" s="120" t="s">
        <v>5440</v>
      </c>
      <c r="D219" s="124">
        <v>0.5</v>
      </c>
      <c r="E219" s="124">
        <v>0.5</v>
      </c>
      <c r="F219" s="113" t="s">
        <v>2332</v>
      </c>
      <c r="G219" s="113" t="s">
        <v>1974</v>
      </c>
      <c r="H219" s="113" t="s">
        <v>46</v>
      </c>
      <c r="I219" s="113" t="s">
        <v>1109</v>
      </c>
      <c r="J219" s="118" t="s">
        <v>2129</v>
      </c>
      <c r="K219" s="118">
        <v>1</v>
      </c>
      <c r="L219" s="118" t="s">
        <v>5440</v>
      </c>
      <c r="M219" s="115" t="s">
        <v>1109</v>
      </c>
      <c r="N219" s="115" t="s">
        <v>6505</v>
      </c>
      <c r="O219" s="115">
        <v>1</v>
      </c>
      <c r="P219" s="115" t="s">
        <v>1109</v>
      </c>
      <c r="Q219" s="166"/>
      <c r="R219" s="164"/>
      <c r="S219" s="164"/>
      <c r="T219" s="164"/>
      <c r="U219" s="164"/>
      <c r="V219" s="162"/>
      <c r="W219" s="158"/>
      <c r="X219" s="158"/>
      <c r="Y219" s="158"/>
      <c r="Z219" s="158"/>
      <c r="AA219" s="158"/>
      <c r="AB219" s="158"/>
      <c r="AC219" s="113">
        <v>280</v>
      </c>
      <c r="AD219" s="113">
        <v>55</v>
      </c>
      <c r="AE219" s="113">
        <v>40</v>
      </c>
      <c r="AF219" s="113">
        <v>40</v>
      </c>
      <c r="AG219" s="120">
        <v>65</v>
      </c>
      <c r="AH219" s="113">
        <v>45</v>
      </c>
      <c r="AI219" s="113">
        <v>35</v>
      </c>
    </row>
    <row r="220" spans="1:35">
      <c r="A220" s="113">
        <v>180</v>
      </c>
      <c r="B220" s="113" t="s">
        <v>207</v>
      </c>
      <c r="C220" s="120" t="s">
        <v>5441</v>
      </c>
      <c r="D220" s="124">
        <v>0.5</v>
      </c>
      <c r="E220" s="124">
        <v>0.5</v>
      </c>
      <c r="F220" s="113" t="s">
        <v>2332</v>
      </c>
      <c r="G220" s="113" t="s">
        <v>1974</v>
      </c>
      <c r="H220" s="113" t="s">
        <v>46</v>
      </c>
      <c r="I220" s="113" t="s">
        <v>1109</v>
      </c>
      <c r="J220" s="118" t="s">
        <v>2129</v>
      </c>
      <c r="K220" s="118">
        <v>1</v>
      </c>
      <c r="L220" s="118" t="s">
        <v>5440</v>
      </c>
      <c r="M220" s="115" t="s">
        <v>5440</v>
      </c>
      <c r="N220" s="115" t="s">
        <v>6506</v>
      </c>
      <c r="O220" s="115">
        <v>1</v>
      </c>
      <c r="P220" s="115" t="s">
        <v>2128</v>
      </c>
      <c r="Q220" s="166"/>
      <c r="R220" s="164"/>
      <c r="S220" s="164"/>
      <c r="T220" s="164"/>
      <c r="U220" s="164"/>
      <c r="V220" s="162"/>
      <c r="W220" s="158"/>
      <c r="X220" s="158"/>
      <c r="Y220" s="158"/>
      <c r="Z220" s="158"/>
      <c r="AA220" s="158"/>
      <c r="AB220" s="158"/>
      <c r="AC220" s="113">
        <v>365</v>
      </c>
      <c r="AD220" s="113">
        <v>70</v>
      </c>
      <c r="AE220" s="113">
        <v>55</v>
      </c>
      <c r="AF220" s="113">
        <v>55</v>
      </c>
      <c r="AG220" s="120">
        <v>80</v>
      </c>
      <c r="AH220" s="113">
        <v>60</v>
      </c>
      <c r="AI220" s="113">
        <v>45</v>
      </c>
    </row>
    <row r="221" spans="1:35">
      <c r="A221" s="113">
        <v>181</v>
      </c>
      <c r="B221" s="113" t="s">
        <v>208</v>
      </c>
      <c r="C221" s="120" t="s">
        <v>5442</v>
      </c>
      <c r="D221" s="124">
        <v>0.5</v>
      </c>
      <c r="E221" s="124">
        <v>0.5</v>
      </c>
      <c r="F221" s="113" t="s">
        <v>2332</v>
      </c>
      <c r="G221" s="113" t="s">
        <v>1974</v>
      </c>
      <c r="H221" s="113" t="s">
        <v>46</v>
      </c>
      <c r="I221" s="113" t="s">
        <v>1109</v>
      </c>
      <c r="J221" s="118" t="s">
        <v>2129</v>
      </c>
      <c r="K221" s="118">
        <v>1</v>
      </c>
      <c r="L221" s="118" t="s">
        <v>5440</v>
      </c>
      <c r="M221" s="115" t="s">
        <v>5441</v>
      </c>
      <c r="N221" s="115" t="s">
        <v>6504</v>
      </c>
      <c r="O221" s="115">
        <v>1</v>
      </c>
      <c r="P221" s="115" t="s">
        <v>2128</v>
      </c>
      <c r="Q221" s="166"/>
      <c r="R221" s="164"/>
      <c r="S221" s="164"/>
      <c r="T221" s="164"/>
      <c r="U221" s="164"/>
      <c r="V221" s="162"/>
      <c r="W221" s="158"/>
      <c r="X221" s="158"/>
      <c r="Y221" s="158"/>
      <c r="Z221" s="158"/>
      <c r="AA221" s="158"/>
      <c r="AB221" s="158"/>
      <c r="AC221" s="113">
        <v>510</v>
      </c>
      <c r="AD221" s="113">
        <v>90</v>
      </c>
      <c r="AE221" s="113">
        <v>75</v>
      </c>
      <c r="AF221" s="113">
        <v>85</v>
      </c>
      <c r="AG221" s="120">
        <v>115</v>
      </c>
      <c r="AH221" s="113">
        <v>90</v>
      </c>
      <c r="AI221" s="113">
        <v>55</v>
      </c>
    </row>
    <row r="222" spans="1:35">
      <c r="A222" s="113">
        <v>182</v>
      </c>
      <c r="B222" s="113" t="s">
        <v>209</v>
      </c>
      <c r="C222" s="120" t="s">
        <v>5444</v>
      </c>
      <c r="D222" s="124">
        <v>0.5</v>
      </c>
      <c r="E222" s="124">
        <v>0.5</v>
      </c>
      <c r="F222" s="113" t="s">
        <v>14</v>
      </c>
      <c r="G222" s="113" t="s">
        <v>1974</v>
      </c>
      <c r="H222" s="113" t="s">
        <v>14</v>
      </c>
      <c r="I222" s="113" t="s">
        <v>1109</v>
      </c>
      <c r="J222" s="118" t="s">
        <v>2129</v>
      </c>
      <c r="K222" s="118">
        <v>1</v>
      </c>
      <c r="L222" s="118" t="s">
        <v>5266</v>
      </c>
      <c r="M222" s="115" t="s">
        <v>5267</v>
      </c>
      <c r="N222" s="115" t="s">
        <v>6504</v>
      </c>
      <c r="O222" s="115">
        <v>1</v>
      </c>
      <c r="P222" s="115" t="s">
        <v>2130</v>
      </c>
      <c r="Q222" s="166"/>
      <c r="R222" s="164"/>
      <c r="S222" s="164"/>
      <c r="T222" s="164"/>
      <c r="U222" s="164"/>
      <c r="V222" s="162"/>
      <c r="W222" s="158"/>
      <c r="X222" s="158"/>
      <c r="Y222" s="158"/>
      <c r="Z222" s="158"/>
      <c r="AA222" s="158"/>
      <c r="AB222" s="158"/>
      <c r="AC222" s="113">
        <v>490</v>
      </c>
      <c r="AD222" s="113">
        <v>75</v>
      </c>
      <c r="AE222" s="113">
        <v>80</v>
      </c>
      <c r="AF222" s="113">
        <v>95</v>
      </c>
      <c r="AG222" s="120">
        <v>90</v>
      </c>
      <c r="AH222" s="113">
        <v>100</v>
      </c>
      <c r="AI222" s="113">
        <v>50</v>
      </c>
    </row>
    <row r="223" spans="1:35">
      <c r="A223" s="113">
        <v>183</v>
      </c>
      <c r="B223" s="113" t="s">
        <v>210</v>
      </c>
      <c r="C223" s="120" t="s">
        <v>5445</v>
      </c>
      <c r="D223" s="124">
        <v>0.5</v>
      </c>
      <c r="E223" s="124">
        <v>0.5</v>
      </c>
      <c r="F223" s="113" t="s">
        <v>56</v>
      </c>
      <c r="G223" s="113" t="s">
        <v>1974</v>
      </c>
      <c r="H223" s="113" t="s">
        <v>25</v>
      </c>
      <c r="I223" s="113" t="s">
        <v>56</v>
      </c>
      <c r="J223" s="118" t="s">
        <v>2129</v>
      </c>
      <c r="K223" s="118">
        <v>1</v>
      </c>
      <c r="L223" s="118" t="s">
        <v>5576</v>
      </c>
      <c r="M223" s="115" t="s">
        <v>5576</v>
      </c>
      <c r="N223" s="115" t="s">
        <v>6505</v>
      </c>
      <c r="O223" s="115">
        <v>1</v>
      </c>
      <c r="P223" s="115" t="s">
        <v>2128</v>
      </c>
      <c r="Q223" s="166">
        <v>1</v>
      </c>
      <c r="R223" s="164"/>
      <c r="S223" s="164"/>
      <c r="T223" s="164"/>
      <c r="U223" s="164"/>
      <c r="V223" s="162"/>
      <c r="W223" s="158" t="s">
        <v>6531</v>
      </c>
      <c r="X223" s="158"/>
      <c r="Y223" s="158">
        <v>70</v>
      </c>
      <c r="Z223" s="158">
        <v>6</v>
      </c>
      <c r="AA223" s="158"/>
      <c r="AB223" s="158"/>
      <c r="AC223" s="113">
        <v>250</v>
      </c>
      <c r="AD223" s="113">
        <v>70</v>
      </c>
      <c r="AE223" s="113">
        <v>20</v>
      </c>
      <c r="AF223" s="113">
        <v>50</v>
      </c>
      <c r="AG223" s="120">
        <v>20</v>
      </c>
      <c r="AH223" s="113">
        <v>50</v>
      </c>
      <c r="AI223" s="113">
        <v>40</v>
      </c>
    </row>
    <row r="224" spans="1:35">
      <c r="A224" s="113">
        <v>184</v>
      </c>
      <c r="B224" s="113" t="s">
        <v>211</v>
      </c>
      <c r="C224" s="120" t="s">
        <v>5446</v>
      </c>
      <c r="D224" s="124">
        <v>0.5</v>
      </c>
      <c r="E224" s="124">
        <v>0.5</v>
      </c>
      <c r="F224" s="113" t="s">
        <v>56</v>
      </c>
      <c r="G224" s="113" t="s">
        <v>1974</v>
      </c>
      <c r="H224" s="113" t="s">
        <v>25</v>
      </c>
      <c r="I224" s="113" t="s">
        <v>56</v>
      </c>
      <c r="J224" s="118" t="s">
        <v>2129</v>
      </c>
      <c r="K224" s="118">
        <v>1</v>
      </c>
      <c r="L224" s="118" t="s">
        <v>5576</v>
      </c>
      <c r="M224" s="115" t="s">
        <v>5445</v>
      </c>
      <c r="N224" s="115" t="s">
        <v>6504</v>
      </c>
      <c r="O224" s="115">
        <v>1</v>
      </c>
      <c r="P224" s="115" t="s">
        <v>2128</v>
      </c>
      <c r="Q224" s="166">
        <v>2</v>
      </c>
      <c r="R224" s="164"/>
      <c r="S224" s="164"/>
      <c r="T224" s="164"/>
      <c r="U224" s="164"/>
      <c r="V224" s="162"/>
      <c r="W224" s="158"/>
      <c r="X224" s="158"/>
      <c r="Y224" s="158"/>
      <c r="Z224" s="158"/>
      <c r="AA224" s="158" t="s">
        <v>6540</v>
      </c>
      <c r="AB224" s="158">
        <v>10</v>
      </c>
      <c r="AC224" s="113">
        <v>420</v>
      </c>
      <c r="AD224" s="113">
        <v>100</v>
      </c>
      <c r="AE224" s="113">
        <v>50</v>
      </c>
      <c r="AF224" s="113">
        <v>80</v>
      </c>
      <c r="AG224" s="120">
        <v>60</v>
      </c>
      <c r="AH224" s="113">
        <v>80</v>
      </c>
      <c r="AI224" s="113">
        <v>50</v>
      </c>
    </row>
    <row r="225" spans="1:35">
      <c r="A225" s="113">
        <v>185</v>
      </c>
      <c r="B225" s="113" t="s">
        <v>212</v>
      </c>
      <c r="C225" s="120" t="s">
        <v>5447</v>
      </c>
      <c r="D225" s="124">
        <v>0.5</v>
      </c>
      <c r="E225" s="124">
        <v>0.5</v>
      </c>
      <c r="F225" s="113" t="s">
        <v>2112</v>
      </c>
      <c r="G225" s="113" t="s">
        <v>1974</v>
      </c>
      <c r="H225" s="113" t="s">
        <v>98</v>
      </c>
      <c r="I225" s="113" t="s">
        <v>1109</v>
      </c>
      <c r="J225" s="118" t="s">
        <v>2129</v>
      </c>
      <c r="K225" s="118">
        <v>3</v>
      </c>
      <c r="L225" s="118" t="s">
        <v>5740</v>
      </c>
      <c r="M225" s="115" t="s">
        <v>5740</v>
      </c>
      <c r="N225" s="115" t="s">
        <v>6504</v>
      </c>
      <c r="O225" s="115">
        <v>1.5</v>
      </c>
      <c r="P225" s="115" t="s">
        <v>2128</v>
      </c>
      <c r="Q225" s="166">
        <v>2</v>
      </c>
      <c r="R225" s="164">
        <v>50</v>
      </c>
      <c r="S225" s="164"/>
      <c r="T225" s="164"/>
      <c r="U225" s="164"/>
      <c r="V225" s="162"/>
      <c r="W225" s="158" t="s">
        <v>6531</v>
      </c>
      <c r="X225" s="158"/>
      <c r="Y225" s="158">
        <v>70</v>
      </c>
      <c r="Z225" s="158">
        <v>6</v>
      </c>
      <c r="AA225" s="158"/>
      <c r="AB225" s="158"/>
      <c r="AC225" s="113">
        <v>410</v>
      </c>
      <c r="AD225" s="113">
        <v>70</v>
      </c>
      <c r="AE225" s="113">
        <v>100</v>
      </c>
      <c r="AF225" s="113">
        <v>115</v>
      </c>
      <c r="AG225" s="120">
        <v>30</v>
      </c>
      <c r="AH225" s="113">
        <v>65</v>
      </c>
      <c r="AI225" s="113">
        <v>30</v>
      </c>
    </row>
    <row r="226" spans="1:35">
      <c r="A226" s="113">
        <v>186</v>
      </c>
      <c r="B226" s="113" t="s">
        <v>213</v>
      </c>
      <c r="C226" s="120" t="s">
        <v>5448</v>
      </c>
      <c r="D226" s="124">
        <v>0.5</v>
      </c>
      <c r="E226" s="124">
        <v>0.5</v>
      </c>
      <c r="F226" s="113" t="s">
        <v>2331</v>
      </c>
      <c r="G226" s="113" t="s">
        <v>1974</v>
      </c>
      <c r="H226" s="113" t="s">
        <v>25</v>
      </c>
      <c r="I226" s="113" t="s">
        <v>1109</v>
      </c>
      <c r="J226" s="118" t="s">
        <v>2129</v>
      </c>
      <c r="K226" s="118">
        <v>1</v>
      </c>
      <c r="L226" s="118" t="s">
        <v>5290</v>
      </c>
      <c r="M226" s="115" t="s">
        <v>5291</v>
      </c>
      <c r="N226" s="115" t="s">
        <v>6504</v>
      </c>
      <c r="O226" s="115">
        <v>1</v>
      </c>
      <c r="P226" s="115" t="s">
        <v>2130</v>
      </c>
      <c r="Q226" s="166"/>
      <c r="R226" s="164"/>
      <c r="S226" s="164"/>
      <c r="T226" s="164"/>
      <c r="U226" s="164"/>
      <c r="V226" s="162"/>
      <c r="W226" s="158"/>
      <c r="X226" s="158"/>
      <c r="Y226" s="158"/>
      <c r="Z226" s="158"/>
      <c r="AA226" s="158"/>
      <c r="AB226" s="158"/>
      <c r="AC226" s="113">
        <v>500</v>
      </c>
      <c r="AD226" s="113">
        <v>90</v>
      </c>
      <c r="AE226" s="113">
        <v>75</v>
      </c>
      <c r="AF226" s="113">
        <v>75</v>
      </c>
      <c r="AG226" s="120">
        <v>90</v>
      </c>
      <c r="AH226" s="113">
        <v>100</v>
      </c>
      <c r="AI226" s="113">
        <v>70</v>
      </c>
    </row>
    <row r="227" spans="1:35">
      <c r="A227" s="113">
        <v>187</v>
      </c>
      <c r="B227" s="113" t="s">
        <v>214</v>
      </c>
      <c r="C227" s="120" t="s">
        <v>5449</v>
      </c>
      <c r="D227" s="124">
        <v>0.5</v>
      </c>
      <c r="E227" s="124">
        <v>0.5</v>
      </c>
      <c r="F227" s="113" t="s">
        <v>56</v>
      </c>
      <c r="G227" s="113" t="s">
        <v>1974</v>
      </c>
      <c r="H227" s="113" t="s">
        <v>14</v>
      </c>
      <c r="I227" s="113" t="s">
        <v>22</v>
      </c>
      <c r="J227" s="118" t="s">
        <v>2129</v>
      </c>
      <c r="K227" s="118">
        <v>1</v>
      </c>
      <c r="L227" s="118" t="s">
        <v>5449</v>
      </c>
      <c r="M227" s="115" t="s">
        <v>1109</v>
      </c>
      <c r="N227" s="115" t="s">
        <v>6505</v>
      </c>
      <c r="O227" s="115">
        <v>1</v>
      </c>
      <c r="P227" s="115" t="s">
        <v>1109</v>
      </c>
      <c r="Q227" s="166"/>
      <c r="R227" s="164"/>
      <c r="S227" s="164"/>
      <c r="T227" s="164"/>
      <c r="U227" s="164"/>
      <c r="V227" s="162"/>
      <c r="W227" s="158"/>
      <c r="X227" s="158"/>
      <c r="Y227" s="158"/>
      <c r="Z227" s="158"/>
      <c r="AA227" s="158"/>
      <c r="AB227" s="158"/>
      <c r="AC227" s="113">
        <v>250</v>
      </c>
      <c r="AD227" s="113">
        <v>35</v>
      </c>
      <c r="AE227" s="113">
        <v>35</v>
      </c>
      <c r="AF227" s="113">
        <v>40</v>
      </c>
      <c r="AG227" s="120">
        <v>35</v>
      </c>
      <c r="AH227" s="113">
        <v>55</v>
      </c>
      <c r="AI227" s="113">
        <v>50</v>
      </c>
    </row>
    <row r="228" spans="1:35">
      <c r="A228" s="113">
        <v>188</v>
      </c>
      <c r="B228" s="113" t="s">
        <v>215</v>
      </c>
      <c r="C228" s="120" t="s">
        <v>5450</v>
      </c>
      <c r="D228" s="124">
        <v>0.5</v>
      </c>
      <c r="E228" s="124">
        <v>0.5</v>
      </c>
      <c r="F228" s="113" t="s">
        <v>56</v>
      </c>
      <c r="G228" s="113" t="s">
        <v>1974</v>
      </c>
      <c r="H228" s="113" t="s">
        <v>14</v>
      </c>
      <c r="I228" s="113" t="s">
        <v>22</v>
      </c>
      <c r="J228" s="118" t="s">
        <v>2129</v>
      </c>
      <c r="K228" s="118">
        <v>1</v>
      </c>
      <c r="L228" s="118" t="s">
        <v>5449</v>
      </c>
      <c r="M228" s="115" t="s">
        <v>5449</v>
      </c>
      <c r="N228" s="115" t="s">
        <v>6506</v>
      </c>
      <c r="O228" s="115">
        <v>1</v>
      </c>
      <c r="P228" s="115" t="s">
        <v>2128</v>
      </c>
      <c r="Q228" s="166"/>
      <c r="R228" s="164"/>
      <c r="S228" s="164"/>
      <c r="T228" s="164"/>
      <c r="U228" s="164"/>
      <c r="V228" s="162"/>
      <c r="W228" s="158"/>
      <c r="X228" s="158"/>
      <c r="Y228" s="158"/>
      <c r="Z228" s="158"/>
      <c r="AA228" s="158"/>
      <c r="AB228" s="158"/>
      <c r="AC228" s="113">
        <v>340</v>
      </c>
      <c r="AD228" s="113">
        <v>55</v>
      </c>
      <c r="AE228" s="113">
        <v>45</v>
      </c>
      <c r="AF228" s="113">
        <v>50</v>
      </c>
      <c r="AG228" s="120">
        <v>45</v>
      </c>
      <c r="AH228" s="113">
        <v>65</v>
      </c>
      <c r="AI228" s="113">
        <v>80</v>
      </c>
    </row>
    <row r="229" spans="1:35">
      <c r="A229" s="113">
        <v>189</v>
      </c>
      <c r="B229" s="113" t="s">
        <v>216</v>
      </c>
      <c r="C229" s="120" t="s">
        <v>5451</v>
      </c>
      <c r="D229" s="124">
        <v>0.5</v>
      </c>
      <c r="E229" s="124">
        <v>0.5</v>
      </c>
      <c r="F229" s="113" t="s">
        <v>56</v>
      </c>
      <c r="G229" s="113" t="s">
        <v>1974</v>
      </c>
      <c r="H229" s="113" t="s">
        <v>14</v>
      </c>
      <c r="I229" s="113" t="s">
        <v>22</v>
      </c>
      <c r="J229" s="118" t="s">
        <v>2129</v>
      </c>
      <c r="K229" s="118">
        <v>1</v>
      </c>
      <c r="L229" s="118" t="s">
        <v>5449</v>
      </c>
      <c r="M229" s="115" t="s">
        <v>5450</v>
      </c>
      <c r="N229" s="115" t="s">
        <v>6504</v>
      </c>
      <c r="O229" s="115">
        <v>1</v>
      </c>
      <c r="P229" s="115" t="s">
        <v>2128</v>
      </c>
      <c r="Q229" s="166"/>
      <c r="R229" s="164"/>
      <c r="S229" s="164"/>
      <c r="T229" s="164"/>
      <c r="U229" s="164"/>
      <c r="V229" s="162"/>
      <c r="W229" s="158"/>
      <c r="X229" s="158"/>
      <c r="Y229" s="158"/>
      <c r="Z229" s="158"/>
      <c r="AA229" s="158"/>
      <c r="AB229" s="158"/>
      <c r="AC229" s="113">
        <v>460</v>
      </c>
      <c r="AD229" s="113">
        <v>75</v>
      </c>
      <c r="AE229" s="113">
        <v>55</v>
      </c>
      <c r="AF229" s="113">
        <v>70</v>
      </c>
      <c r="AG229" s="120">
        <v>55</v>
      </c>
      <c r="AH229" s="113">
        <v>95</v>
      </c>
      <c r="AI229" s="113">
        <v>110</v>
      </c>
    </row>
    <row r="230" spans="1:35">
      <c r="A230" s="113">
        <v>190</v>
      </c>
      <c r="B230" s="113" t="s">
        <v>217</v>
      </c>
      <c r="C230" s="120" t="s">
        <v>5452</v>
      </c>
      <c r="D230" s="124">
        <v>0.5</v>
      </c>
      <c r="E230" s="124">
        <v>0.5</v>
      </c>
      <c r="F230" s="113" t="s">
        <v>2332</v>
      </c>
      <c r="G230" s="113" t="s">
        <v>1974</v>
      </c>
      <c r="H230" s="113" t="s">
        <v>36</v>
      </c>
      <c r="I230" s="113" t="s">
        <v>1109</v>
      </c>
      <c r="J230" s="118" t="s">
        <v>2129</v>
      </c>
      <c r="K230" s="118">
        <v>2</v>
      </c>
      <c r="L230" s="118" t="s">
        <v>5452</v>
      </c>
      <c r="M230" s="115" t="s">
        <v>1109</v>
      </c>
      <c r="N230" s="115" t="s">
        <v>6505</v>
      </c>
      <c r="O230" s="115">
        <v>1.25</v>
      </c>
      <c r="P230" s="115" t="s">
        <v>1109</v>
      </c>
      <c r="Q230" s="166"/>
      <c r="R230" s="164"/>
      <c r="S230" s="164"/>
      <c r="T230" s="164"/>
      <c r="U230" s="164"/>
      <c r="V230" s="162"/>
      <c r="W230" s="158"/>
      <c r="X230" s="158"/>
      <c r="Y230" s="158"/>
      <c r="Z230" s="158"/>
      <c r="AA230" s="158"/>
      <c r="AB230" s="158"/>
      <c r="AC230" s="113">
        <v>360</v>
      </c>
      <c r="AD230" s="113">
        <v>55</v>
      </c>
      <c r="AE230" s="113">
        <v>70</v>
      </c>
      <c r="AF230" s="113">
        <v>55</v>
      </c>
      <c r="AG230" s="120">
        <v>40</v>
      </c>
      <c r="AH230" s="113">
        <v>55</v>
      </c>
      <c r="AI230" s="113">
        <v>85</v>
      </c>
    </row>
    <row r="231" spans="1:35">
      <c r="A231" s="113">
        <v>191</v>
      </c>
      <c r="B231" s="113" t="s">
        <v>218</v>
      </c>
      <c r="C231" s="120" t="s">
        <v>5453</v>
      </c>
      <c r="D231" s="124">
        <v>0.5</v>
      </c>
      <c r="E231" s="124">
        <v>0.5</v>
      </c>
      <c r="F231" s="113" t="s">
        <v>14</v>
      </c>
      <c r="G231" s="113" t="s">
        <v>1974</v>
      </c>
      <c r="H231" s="113" t="s">
        <v>14</v>
      </c>
      <c r="I231" s="113" t="s">
        <v>1109</v>
      </c>
      <c r="J231" s="118" t="s">
        <v>2129</v>
      </c>
      <c r="K231" s="118">
        <v>2</v>
      </c>
      <c r="L231" s="118" t="s">
        <v>5453</v>
      </c>
      <c r="M231" s="115" t="s">
        <v>1109</v>
      </c>
      <c r="N231" s="115" t="s">
        <v>6505</v>
      </c>
      <c r="O231" s="115">
        <v>1.25</v>
      </c>
      <c r="P231" s="115" t="s">
        <v>1109</v>
      </c>
      <c r="Q231" s="166"/>
      <c r="R231" s="164"/>
      <c r="S231" s="164"/>
      <c r="T231" s="164"/>
      <c r="U231" s="164"/>
      <c r="V231" s="162"/>
      <c r="W231" s="158"/>
      <c r="X231" s="158"/>
      <c r="Y231" s="158"/>
      <c r="Z231" s="158"/>
      <c r="AA231" s="158"/>
      <c r="AB231" s="158"/>
      <c r="AC231" s="113">
        <v>180</v>
      </c>
      <c r="AD231" s="113">
        <v>30</v>
      </c>
      <c r="AE231" s="113">
        <v>30</v>
      </c>
      <c r="AF231" s="113">
        <v>30</v>
      </c>
      <c r="AG231" s="120">
        <v>30</v>
      </c>
      <c r="AH231" s="113">
        <v>30</v>
      </c>
      <c r="AI231" s="113">
        <v>30</v>
      </c>
    </row>
    <row r="232" spans="1:35">
      <c r="A232" s="113">
        <v>192</v>
      </c>
      <c r="B232" s="113" t="s">
        <v>219</v>
      </c>
      <c r="C232" s="120" t="s">
        <v>5454</v>
      </c>
      <c r="D232" s="124">
        <v>0.5</v>
      </c>
      <c r="E232" s="124">
        <v>0.5</v>
      </c>
      <c r="F232" s="113" t="s">
        <v>14</v>
      </c>
      <c r="G232" s="113" t="s">
        <v>1974</v>
      </c>
      <c r="H232" s="113" t="s">
        <v>14</v>
      </c>
      <c r="I232" s="113" t="s">
        <v>1109</v>
      </c>
      <c r="J232" s="118" t="s">
        <v>2129</v>
      </c>
      <c r="K232" s="118">
        <v>2</v>
      </c>
      <c r="L232" s="118" t="s">
        <v>5453</v>
      </c>
      <c r="M232" s="115" t="s">
        <v>5453</v>
      </c>
      <c r="N232" s="115" t="s">
        <v>6504</v>
      </c>
      <c r="O232" s="115">
        <v>1.25</v>
      </c>
      <c r="P232" s="115" t="s">
        <v>1803</v>
      </c>
      <c r="Q232" s="166"/>
      <c r="R232" s="164"/>
      <c r="S232" s="164"/>
      <c r="T232" s="164"/>
      <c r="U232" s="164"/>
      <c r="V232" s="162"/>
      <c r="W232" s="158"/>
      <c r="X232" s="158"/>
      <c r="Y232" s="158"/>
      <c r="Z232" s="158"/>
      <c r="AA232" s="158"/>
      <c r="AB232" s="158"/>
      <c r="AC232" s="113">
        <v>425</v>
      </c>
      <c r="AD232" s="113">
        <v>75</v>
      </c>
      <c r="AE232" s="113">
        <v>75</v>
      </c>
      <c r="AF232" s="113">
        <v>55</v>
      </c>
      <c r="AG232" s="120">
        <v>105</v>
      </c>
      <c r="AH232" s="113">
        <v>85</v>
      </c>
      <c r="AI232" s="113">
        <v>30</v>
      </c>
    </row>
    <row r="233" spans="1:35">
      <c r="A233" s="113">
        <v>193</v>
      </c>
      <c r="B233" s="113" t="s">
        <v>220</v>
      </c>
      <c r="C233" s="120" t="s">
        <v>5455</v>
      </c>
      <c r="D233" s="124">
        <v>0.5</v>
      </c>
      <c r="E233" s="124">
        <v>0.5</v>
      </c>
      <c r="F233" s="113" t="s">
        <v>29</v>
      </c>
      <c r="G233" s="113" t="s">
        <v>1974</v>
      </c>
      <c r="H233" s="113" t="s">
        <v>29</v>
      </c>
      <c r="I233" s="113" t="s">
        <v>22</v>
      </c>
      <c r="J233" s="118" t="s">
        <v>2129</v>
      </c>
      <c r="K233" s="118">
        <v>3</v>
      </c>
      <c r="L233" s="118" t="s">
        <v>5455</v>
      </c>
      <c r="M233" s="115" t="s">
        <v>1109</v>
      </c>
      <c r="N233" s="115" t="s">
        <v>6505</v>
      </c>
      <c r="O233" s="115">
        <v>1.5</v>
      </c>
      <c r="P233" s="115" t="s">
        <v>1109</v>
      </c>
      <c r="Q233" s="166"/>
      <c r="R233" s="164"/>
      <c r="S233" s="164"/>
      <c r="T233" s="164"/>
      <c r="U233" s="164"/>
      <c r="V233" s="162"/>
      <c r="W233" s="158"/>
      <c r="X233" s="158"/>
      <c r="Y233" s="158"/>
      <c r="Z233" s="158"/>
      <c r="AA233" s="158"/>
      <c r="AB233" s="158"/>
      <c r="AC233" s="113">
        <v>390</v>
      </c>
      <c r="AD233" s="113">
        <v>65</v>
      </c>
      <c r="AE233" s="113">
        <v>65</v>
      </c>
      <c r="AF233" s="113">
        <v>45</v>
      </c>
      <c r="AG233" s="120">
        <v>75</v>
      </c>
      <c r="AH233" s="113">
        <v>45</v>
      </c>
      <c r="AI233" s="113">
        <v>95</v>
      </c>
    </row>
    <row r="234" spans="1:35">
      <c r="A234" s="113">
        <v>194</v>
      </c>
      <c r="B234" s="113" t="s">
        <v>221</v>
      </c>
      <c r="C234" s="120" t="s">
        <v>5456</v>
      </c>
      <c r="D234" s="124">
        <v>0.5</v>
      </c>
      <c r="E234" s="124">
        <v>0.5</v>
      </c>
      <c r="F234" s="113" t="s">
        <v>2331</v>
      </c>
      <c r="G234" s="113" t="s">
        <v>1974</v>
      </c>
      <c r="H234" s="113" t="s">
        <v>25</v>
      </c>
      <c r="I234" s="113" t="s">
        <v>49</v>
      </c>
      <c r="J234" s="118" t="s">
        <v>2129</v>
      </c>
      <c r="K234" s="118">
        <v>1</v>
      </c>
      <c r="L234" s="118" t="s">
        <v>5456</v>
      </c>
      <c r="M234" s="115" t="s">
        <v>1109</v>
      </c>
      <c r="N234" s="115" t="s">
        <v>6505</v>
      </c>
      <c r="O234" s="115">
        <v>1</v>
      </c>
      <c r="P234" s="115" t="s">
        <v>1109</v>
      </c>
      <c r="Q234" s="166"/>
      <c r="R234" s="164"/>
      <c r="S234" s="164"/>
      <c r="T234" s="164"/>
      <c r="U234" s="164"/>
      <c r="V234" s="162"/>
      <c r="W234" s="158"/>
      <c r="X234" s="158"/>
      <c r="Y234" s="158"/>
      <c r="Z234" s="158"/>
      <c r="AA234" s="158"/>
      <c r="AB234" s="158"/>
      <c r="AC234" s="113">
        <v>210</v>
      </c>
      <c r="AD234" s="113">
        <v>55</v>
      </c>
      <c r="AE234" s="113">
        <v>45</v>
      </c>
      <c r="AF234" s="113">
        <v>45</v>
      </c>
      <c r="AG234" s="120">
        <v>25</v>
      </c>
      <c r="AH234" s="113">
        <v>25</v>
      </c>
      <c r="AI234" s="113">
        <v>15</v>
      </c>
    </row>
    <row r="235" spans="1:35">
      <c r="A235" s="113">
        <v>194</v>
      </c>
      <c r="B235" s="113" t="s">
        <v>6390</v>
      </c>
      <c r="C235" s="120" t="s">
        <v>5457</v>
      </c>
      <c r="D235" s="124">
        <v>0.5</v>
      </c>
      <c r="E235" s="124">
        <v>0.5</v>
      </c>
      <c r="F235" s="113" t="s">
        <v>2331</v>
      </c>
      <c r="G235" s="113" t="s">
        <v>5208</v>
      </c>
      <c r="H235" s="113" t="s">
        <v>15</v>
      </c>
      <c r="I235" s="113" t="s">
        <v>1109</v>
      </c>
      <c r="J235" s="118" t="s">
        <v>2129</v>
      </c>
      <c r="K235" s="118">
        <v>1</v>
      </c>
      <c r="L235" s="118" t="s">
        <v>5456</v>
      </c>
      <c r="M235" s="115" t="s">
        <v>1109</v>
      </c>
      <c r="N235" s="115" t="s">
        <v>6505</v>
      </c>
      <c r="O235" s="115">
        <v>1</v>
      </c>
      <c r="P235" s="115" t="s">
        <v>1109</v>
      </c>
      <c r="Q235" s="166"/>
      <c r="R235" s="164"/>
      <c r="S235" s="164"/>
      <c r="T235" s="164"/>
      <c r="U235" s="164"/>
      <c r="V235" s="162"/>
      <c r="W235" s="158"/>
      <c r="X235" s="158"/>
      <c r="Y235" s="158"/>
      <c r="Z235" s="158"/>
      <c r="AA235" s="158"/>
      <c r="AB235" s="158"/>
      <c r="AC235" s="113">
        <v>210</v>
      </c>
      <c r="AD235" s="113">
        <v>55</v>
      </c>
      <c r="AE235" s="113">
        <v>45</v>
      </c>
      <c r="AF235" s="113">
        <v>45</v>
      </c>
      <c r="AG235" s="120">
        <v>25</v>
      </c>
      <c r="AH235" s="113">
        <v>25</v>
      </c>
      <c r="AI235" s="113">
        <v>15</v>
      </c>
    </row>
    <row r="236" spans="1:35">
      <c r="A236" s="113">
        <v>195</v>
      </c>
      <c r="B236" s="113" t="s">
        <v>222</v>
      </c>
      <c r="C236" s="120" t="s">
        <v>5458</v>
      </c>
      <c r="D236" s="124">
        <v>0.5</v>
      </c>
      <c r="E236" s="124">
        <v>0.5</v>
      </c>
      <c r="F236" s="113" t="s">
        <v>2331</v>
      </c>
      <c r="G236" s="113" t="s">
        <v>1974</v>
      </c>
      <c r="H236" s="113" t="s">
        <v>25</v>
      </c>
      <c r="I236" s="113" t="s">
        <v>49</v>
      </c>
      <c r="J236" s="118" t="s">
        <v>2129</v>
      </c>
      <c r="K236" s="118">
        <v>1</v>
      </c>
      <c r="L236" s="118" t="s">
        <v>5456</v>
      </c>
      <c r="M236" s="115" t="s">
        <v>5456</v>
      </c>
      <c r="N236" s="115" t="s">
        <v>6504</v>
      </c>
      <c r="O236" s="115">
        <v>1</v>
      </c>
      <c r="P236" s="115" t="s">
        <v>2128</v>
      </c>
      <c r="Q236" s="166"/>
      <c r="R236" s="164"/>
      <c r="S236" s="164"/>
      <c r="T236" s="164"/>
      <c r="U236" s="164"/>
      <c r="V236" s="162"/>
      <c r="W236" s="158"/>
      <c r="X236" s="158"/>
      <c r="Y236" s="158"/>
      <c r="Z236" s="158"/>
      <c r="AA236" s="158"/>
      <c r="AB236" s="158"/>
      <c r="AC236" s="113">
        <v>430</v>
      </c>
      <c r="AD236" s="113">
        <v>95</v>
      </c>
      <c r="AE236" s="113">
        <v>85</v>
      </c>
      <c r="AF236" s="113">
        <v>85</v>
      </c>
      <c r="AG236" s="120">
        <v>65</v>
      </c>
      <c r="AH236" s="113">
        <v>65</v>
      </c>
      <c r="AI236" s="113">
        <v>35</v>
      </c>
    </row>
    <row r="237" spans="1:35">
      <c r="A237" s="113">
        <v>196</v>
      </c>
      <c r="B237" s="113" t="s">
        <v>223</v>
      </c>
      <c r="C237" s="120" t="s">
        <v>5459</v>
      </c>
      <c r="D237" s="124">
        <v>0.85</v>
      </c>
      <c r="E237" s="124">
        <v>0.15</v>
      </c>
      <c r="F237" s="113" t="s">
        <v>2332</v>
      </c>
      <c r="G237" s="113" t="s">
        <v>1974</v>
      </c>
      <c r="H237" s="113" t="s">
        <v>86</v>
      </c>
      <c r="I237" s="113" t="s">
        <v>1109</v>
      </c>
      <c r="J237" s="118" t="s">
        <v>2129</v>
      </c>
      <c r="K237" s="118">
        <v>2</v>
      </c>
      <c r="L237" s="118" t="s">
        <v>5386</v>
      </c>
      <c r="M237" s="115" t="s">
        <v>5386</v>
      </c>
      <c r="N237" s="115" t="s">
        <v>6504</v>
      </c>
      <c r="O237" s="115">
        <v>1.25</v>
      </c>
      <c r="P237" s="115" t="s">
        <v>1803</v>
      </c>
      <c r="Q237" s="166">
        <v>2</v>
      </c>
      <c r="R237" s="164"/>
      <c r="S237" s="164">
        <v>70</v>
      </c>
      <c r="T237" s="164"/>
      <c r="U237" s="164"/>
      <c r="V237" s="162"/>
      <c r="W237" s="158" t="s">
        <v>6531</v>
      </c>
      <c r="X237" s="158"/>
      <c r="Y237" s="158">
        <v>80</v>
      </c>
      <c r="Z237" s="158">
        <v>8</v>
      </c>
      <c r="AA237" s="158"/>
      <c r="AB237" s="158"/>
      <c r="AC237" s="113">
        <v>525</v>
      </c>
      <c r="AD237" s="113">
        <v>65</v>
      </c>
      <c r="AE237" s="113">
        <v>65</v>
      </c>
      <c r="AF237" s="113">
        <v>60</v>
      </c>
      <c r="AG237" s="120">
        <v>130</v>
      </c>
      <c r="AH237" s="113">
        <v>95</v>
      </c>
      <c r="AI237" s="113">
        <v>110</v>
      </c>
    </row>
    <row r="238" spans="1:35">
      <c r="A238" s="113">
        <v>197</v>
      </c>
      <c r="B238" s="113" t="s">
        <v>224</v>
      </c>
      <c r="C238" s="120" t="s">
        <v>5460</v>
      </c>
      <c r="D238" s="124">
        <v>0.85</v>
      </c>
      <c r="E238" s="124">
        <v>0.15</v>
      </c>
      <c r="F238" s="113" t="s">
        <v>2332</v>
      </c>
      <c r="G238" s="113" t="s">
        <v>1974</v>
      </c>
      <c r="H238" s="113" t="s">
        <v>158</v>
      </c>
      <c r="I238" s="113" t="s">
        <v>1109</v>
      </c>
      <c r="J238" s="118" t="s">
        <v>2129</v>
      </c>
      <c r="K238" s="118">
        <v>2</v>
      </c>
      <c r="L238" s="118" t="s">
        <v>5386</v>
      </c>
      <c r="M238" s="115" t="s">
        <v>5386</v>
      </c>
      <c r="N238" s="115" t="s">
        <v>6504</v>
      </c>
      <c r="O238" s="115">
        <v>1.25</v>
      </c>
      <c r="P238" s="115" t="s">
        <v>1803</v>
      </c>
      <c r="Q238" s="166">
        <v>2</v>
      </c>
      <c r="R238" s="164"/>
      <c r="S238" s="164"/>
      <c r="T238" s="164"/>
      <c r="U238" s="164">
        <v>70</v>
      </c>
      <c r="V238" s="162"/>
      <c r="W238" s="158" t="s">
        <v>6531</v>
      </c>
      <c r="X238" s="158"/>
      <c r="Y238" s="158">
        <v>80</v>
      </c>
      <c r="Z238" s="158">
        <v>8</v>
      </c>
      <c r="AA238" s="158"/>
      <c r="AB238" s="158"/>
      <c r="AC238" s="113">
        <v>525</v>
      </c>
      <c r="AD238" s="113">
        <v>95</v>
      </c>
      <c r="AE238" s="113">
        <v>65</v>
      </c>
      <c r="AF238" s="113">
        <v>110</v>
      </c>
      <c r="AG238" s="120">
        <v>60</v>
      </c>
      <c r="AH238" s="113">
        <v>130</v>
      </c>
      <c r="AI238" s="113">
        <v>65</v>
      </c>
    </row>
    <row r="239" spans="1:35">
      <c r="A239" s="113">
        <v>198</v>
      </c>
      <c r="B239" s="113" t="s">
        <v>225</v>
      </c>
      <c r="C239" s="120" t="s">
        <v>5461</v>
      </c>
      <c r="D239" s="124">
        <v>0.5</v>
      </c>
      <c r="E239" s="124">
        <v>0.5</v>
      </c>
      <c r="F239" s="113" t="s">
        <v>22</v>
      </c>
      <c r="G239" s="113" t="s">
        <v>1974</v>
      </c>
      <c r="H239" s="113" t="s">
        <v>158</v>
      </c>
      <c r="I239" s="113" t="s">
        <v>22</v>
      </c>
      <c r="J239" s="118" t="s">
        <v>2129</v>
      </c>
      <c r="K239" s="118">
        <v>2</v>
      </c>
      <c r="L239" s="118" t="s">
        <v>5461</v>
      </c>
      <c r="M239" s="115" t="s">
        <v>1109</v>
      </c>
      <c r="N239" s="115" t="s">
        <v>6505</v>
      </c>
      <c r="O239" s="115">
        <v>1.25</v>
      </c>
      <c r="P239" s="115" t="s">
        <v>1109</v>
      </c>
      <c r="Q239" s="166"/>
      <c r="R239" s="164"/>
      <c r="S239" s="164"/>
      <c r="T239" s="164"/>
      <c r="U239" s="164"/>
      <c r="V239" s="162"/>
      <c r="W239" s="158"/>
      <c r="X239" s="158"/>
      <c r="Y239" s="158"/>
      <c r="Z239" s="158"/>
      <c r="AA239" s="158"/>
      <c r="AB239" s="158"/>
      <c r="AC239" s="113">
        <v>405</v>
      </c>
      <c r="AD239" s="113">
        <v>60</v>
      </c>
      <c r="AE239" s="113">
        <v>85</v>
      </c>
      <c r="AF239" s="113">
        <v>42</v>
      </c>
      <c r="AG239" s="120">
        <v>85</v>
      </c>
      <c r="AH239" s="113">
        <v>42</v>
      </c>
      <c r="AI239" s="113">
        <v>91</v>
      </c>
    </row>
    <row r="240" spans="1:35">
      <c r="A240" s="113">
        <v>199</v>
      </c>
      <c r="B240" s="113" t="s">
        <v>226</v>
      </c>
      <c r="C240" s="120" t="s">
        <v>5462</v>
      </c>
      <c r="D240" s="124">
        <v>0.5</v>
      </c>
      <c r="E240" s="124">
        <v>0.5</v>
      </c>
      <c r="F240" s="113" t="s">
        <v>2331</v>
      </c>
      <c r="G240" s="113" t="s">
        <v>1974</v>
      </c>
      <c r="H240" s="113" t="s">
        <v>25</v>
      </c>
      <c r="I240" s="113" t="s">
        <v>86</v>
      </c>
      <c r="J240" s="118" t="s">
        <v>2129</v>
      </c>
      <c r="K240" s="118">
        <v>2</v>
      </c>
      <c r="L240" s="118" t="s">
        <v>5315</v>
      </c>
      <c r="M240" s="115" t="s">
        <v>5315</v>
      </c>
      <c r="N240" s="115" t="s">
        <v>6504</v>
      </c>
      <c r="O240" s="115">
        <v>1.25</v>
      </c>
      <c r="P240" s="115" t="s">
        <v>2130</v>
      </c>
      <c r="Q240" s="166"/>
      <c r="R240" s="164"/>
      <c r="S240" s="164"/>
      <c r="T240" s="164"/>
      <c r="U240" s="164"/>
      <c r="V240" s="162"/>
      <c r="W240" s="158"/>
      <c r="X240" s="158"/>
      <c r="Y240" s="158"/>
      <c r="Z240" s="158"/>
      <c r="AA240" s="158"/>
      <c r="AB240" s="158"/>
      <c r="AC240" s="113">
        <v>490</v>
      </c>
      <c r="AD240" s="113">
        <v>95</v>
      </c>
      <c r="AE240" s="113">
        <v>75</v>
      </c>
      <c r="AF240" s="113">
        <v>80</v>
      </c>
      <c r="AG240" s="120">
        <v>100</v>
      </c>
      <c r="AH240" s="113">
        <v>110</v>
      </c>
      <c r="AI240" s="113">
        <v>30</v>
      </c>
    </row>
    <row r="241" spans="1:35">
      <c r="A241" s="113">
        <v>199</v>
      </c>
      <c r="B241" s="113" t="s">
        <v>6426</v>
      </c>
      <c r="C241" s="120" t="s">
        <v>5463</v>
      </c>
      <c r="D241" s="124">
        <v>0.5</v>
      </c>
      <c r="E241" s="124">
        <v>0.5</v>
      </c>
      <c r="F241" s="113" t="s">
        <v>2331</v>
      </c>
      <c r="G241" s="113" t="s">
        <v>2703</v>
      </c>
      <c r="H241" s="113" t="s">
        <v>15</v>
      </c>
      <c r="I241" s="113" t="s">
        <v>86</v>
      </c>
      <c r="J241" s="118" t="s">
        <v>2129</v>
      </c>
      <c r="K241" s="118">
        <v>2</v>
      </c>
      <c r="L241" s="118" t="s">
        <v>5315</v>
      </c>
      <c r="M241" s="120" t="s">
        <v>5316</v>
      </c>
      <c r="N241" s="115" t="s">
        <v>6504</v>
      </c>
      <c r="O241" s="115">
        <v>1.25</v>
      </c>
      <c r="P241" s="115" t="s">
        <v>2130</v>
      </c>
      <c r="Q241" s="166"/>
      <c r="R241" s="164"/>
      <c r="S241" s="164"/>
      <c r="T241" s="164"/>
      <c r="U241" s="164"/>
      <c r="V241" s="162"/>
      <c r="W241" s="158"/>
      <c r="X241" s="158"/>
      <c r="Y241" s="158"/>
      <c r="Z241" s="158"/>
      <c r="AA241" s="158"/>
      <c r="AB241" s="158"/>
      <c r="AC241" s="113">
        <v>490</v>
      </c>
      <c r="AD241" s="113">
        <v>95</v>
      </c>
      <c r="AE241" s="113">
        <v>65</v>
      </c>
      <c r="AF241" s="113">
        <v>80</v>
      </c>
      <c r="AG241" s="120">
        <v>110</v>
      </c>
      <c r="AH241" s="113">
        <v>110</v>
      </c>
      <c r="AI241" s="113">
        <v>30</v>
      </c>
    </row>
    <row r="242" spans="1:35">
      <c r="A242" s="113">
        <v>200</v>
      </c>
      <c r="B242" s="113" t="s">
        <v>227</v>
      </c>
      <c r="C242" s="120" t="s">
        <v>5464</v>
      </c>
      <c r="D242" s="124">
        <v>0.5</v>
      </c>
      <c r="E242" s="124">
        <v>0.5</v>
      </c>
      <c r="F242" s="113" t="s">
        <v>2336</v>
      </c>
      <c r="G242" s="113" t="s">
        <v>1974</v>
      </c>
      <c r="H242" s="113" t="s">
        <v>119</v>
      </c>
      <c r="I242" s="113" t="s">
        <v>1109</v>
      </c>
      <c r="J242" s="118" t="s">
        <v>2129</v>
      </c>
      <c r="K242" s="118">
        <v>3</v>
      </c>
      <c r="L242" s="118" t="s">
        <v>5464</v>
      </c>
      <c r="M242" s="115" t="s">
        <v>1109</v>
      </c>
      <c r="N242" s="115" t="s">
        <v>6505</v>
      </c>
      <c r="O242" s="115">
        <v>1.5</v>
      </c>
      <c r="P242" s="115" t="s">
        <v>1109</v>
      </c>
      <c r="Q242" s="166"/>
      <c r="R242" s="164"/>
      <c r="S242" s="164"/>
      <c r="T242" s="164"/>
      <c r="U242" s="164"/>
      <c r="V242" s="162"/>
      <c r="W242" s="158"/>
      <c r="X242" s="158"/>
      <c r="Y242" s="158"/>
      <c r="Z242" s="158"/>
      <c r="AA242" s="158"/>
      <c r="AB242" s="158"/>
      <c r="AC242" s="113">
        <v>435</v>
      </c>
      <c r="AD242" s="113">
        <v>60</v>
      </c>
      <c r="AE242" s="113">
        <v>60</v>
      </c>
      <c r="AF242" s="113">
        <v>60</v>
      </c>
      <c r="AG242" s="120">
        <v>85</v>
      </c>
      <c r="AH242" s="113">
        <v>85</v>
      </c>
      <c r="AI242" s="113">
        <v>85</v>
      </c>
    </row>
    <row r="243" spans="1:35">
      <c r="A243" s="113">
        <v>201</v>
      </c>
      <c r="B243" s="113" t="s">
        <v>228</v>
      </c>
      <c r="C243" s="120" t="s">
        <v>5465</v>
      </c>
      <c r="D243" s="124" t="s">
        <v>1109</v>
      </c>
      <c r="E243" s="124" t="s">
        <v>1109</v>
      </c>
      <c r="F243" s="113" t="s">
        <v>2333</v>
      </c>
      <c r="G243" s="113" t="s">
        <v>1974</v>
      </c>
      <c r="H243" s="113" t="s">
        <v>86</v>
      </c>
      <c r="I243" s="113" t="s">
        <v>1109</v>
      </c>
      <c r="J243" s="118" t="s">
        <v>2129</v>
      </c>
      <c r="K243" s="118">
        <v>2</v>
      </c>
      <c r="L243" s="118" t="s">
        <v>5465</v>
      </c>
      <c r="M243" s="115" t="s">
        <v>1109</v>
      </c>
      <c r="N243" s="115" t="s">
        <v>6504</v>
      </c>
      <c r="O243" s="115">
        <v>1.25</v>
      </c>
      <c r="P243" s="115" t="s">
        <v>1109</v>
      </c>
      <c r="Q243" s="166"/>
      <c r="R243" s="164"/>
      <c r="S243" s="164"/>
      <c r="T243" s="164"/>
      <c r="U243" s="164"/>
      <c r="V243" s="162"/>
      <c r="W243" s="158"/>
      <c r="X243" s="158"/>
      <c r="Y243" s="158"/>
      <c r="Z243" s="158"/>
      <c r="AA243" s="158"/>
      <c r="AB243" s="158"/>
      <c r="AC243" s="113">
        <v>336</v>
      </c>
      <c r="AD243" s="113">
        <v>48</v>
      </c>
      <c r="AE243" s="113">
        <v>72</v>
      </c>
      <c r="AF243" s="113">
        <v>48</v>
      </c>
      <c r="AG243" s="120">
        <v>72</v>
      </c>
      <c r="AH243" s="113">
        <v>48</v>
      </c>
      <c r="AI243" s="113">
        <v>48</v>
      </c>
    </row>
    <row r="244" spans="1:35">
      <c r="A244" s="113">
        <v>202</v>
      </c>
      <c r="B244" s="113" t="s">
        <v>229</v>
      </c>
      <c r="C244" s="120" t="s">
        <v>5466</v>
      </c>
      <c r="D244" s="124">
        <v>0.5</v>
      </c>
      <c r="E244" s="124">
        <v>0.5</v>
      </c>
      <c r="F244" s="113" t="s">
        <v>2336</v>
      </c>
      <c r="G244" s="113" t="s">
        <v>1974</v>
      </c>
      <c r="H244" s="113" t="s">
        <v>86</v>
      </c>
      <c r="I244" s="113" t="s">
        <v>1109</v>
      </c>
      <c r="J244" s="118" t="s">
        <v>2129</v>
      </c>
      <c r="K244" s="118">
        <v>3</v>
      </c>
      <c r="L244" s="118" t="s">
        <v>5648</v>
      </c>
      <c r="M244" s="115" t="s">
        <v>5648</v>
      </c>
      <c r="N244" s="115" t="s">
        <v>6504</v>
      </c>
      <c r="O244" s="115">
        <v>1.5</v>
      </c>
      <c r="P244" s="115" t="s">
        <v>2128</v>
      </c>
      <c r="Q244" s="166">
        <v>2</v>
      </c>
      <c r="R244" s="164"/>
      <c r="S244" s="164"/>
      <c r="T244" s="164"/>
      <c r="U244" s="164"/>
      <c r="V244" s="162"/>
      <c r="W244" s="158" t="s">
        <v>6531</v>
      </c>
      <c r="X244" s="158"/>
      <c r="Y244" s="158">
        <v>70</v>
      </c>
      <c r="Z244" s="158">
        <v>6</v>
      </c>
      <c r="AA244" s="158"/>
      <c r="AB244" s="158"/>
      <c r="AC244" s="113">
        <v>405</v>
      </c>
      <c r="AD244" s="113">
        <v>190</v>
      </c>
      <c r="AE244" s="113">
        <v>33</v>
      </c>
      <c r="AF244" s="113">
        <v>58</v>
      </c>
      <c r="AG244" s="120">
        <v>33</v>
      </c>
      <c r="AH244" s="113">
        <v>58</v>
      </c>
      <c r="AI244" s="113">
        <v>33</v>
      </c>
    </row>
    <row r="245" spans="1:35">
      <c r="A245" s="113">
        <v>203</v>
      </c>
      <c r="B245" s="113" t="s">
        <v>230</v>
      </c>
      <c r="C245" s="120" t="s">
        <v>5467</v>
      </c>
      <c r="D245" s="124">
        <v>0.5</v>
      </c>
      <c r="E245" s="124">
        <v>0.5</v>
      </c>
      <c r="F245" s="113" t="s">
        <v>2332</v>
      </c>
      <c r="G245" s="113" t="s">
        <v>1974</v>
      </c>
      <c r="H245" s="113" t="s">
        <v>36</v>
      </c>
      <c r="I245" s="113" t="s">
        <v>86</v>
      </c>
      <c r="J245" s="118" t="s">
        <v>2129</v>
      </c>
      <c r="K245" s="118">
        <v>3</v>
      </c>
      <c r="L245" s="118" t="s">
        <v>5467</v>
      </c>
      <c r="M245" s="115" t="s">
        <v>1109</v>
      </c>
      <c r="N245" s="115" t="s">
        <v>6505</v>
      </c>
      <c r="O245" s="115">
        <v>1.5</v>
      </c>
      <c r="P245" s="115" t="s">
        <v>1109</v>
      </c>
      <c r="Q245" s="166"/>
      <c r="R245" s="164"/>
      <c r="S245" s="164"/>
      <c r="T245" s="164"/>
      <c r="U245" s="164"/>
      <c r="V245" s="162"/>
      <c r="W245" s="158"/>
      <c r="X245" s="158"/>
      <c r="Y245" s="158"/>
      <c r="Z245" s="158"/>
      <c r="AA245" s="158"/>
      <c r="AB245" s="158"/>
      <c r="AC245" s="113">
        <v>455</v>
      </c>
      <c r="AD245" s="113">
        <v>70</v>
      </c>
      <c r="AE245" s="113">
        <v>80</v>
      </c>
      <c r="AF245" s="113">
        <v>65</v>
      </c>
      <c r="AG245" s="120">
        <v>90</v>
      </c>
      <c r="AH245" s="113">
        <v>65</v>
      </c>
      <c r="AI245" s="113">
        <v>85</v>
      </c>
    </row>
    <row r="246" spans="1:35">
      <c r="A246" s="113">
        <v>204</v>
      </c>
      <c r="B246" s="113" t="s">
        <v>231</v>
      </c>
      <c r="C246" s="120" t="s">
        <v>5468</v>
      </c>
      <c r="D246" s="124">
        <v>0.5</v>
      </c>
      <c r="E246" s="124">
        <v>0.5</v>
      </c>
      <c r="F246" s="113" t="s">
        <v>29</v>
      </c>
      <c r="G246" s="113" t="s">
        <v>1974</v>
      </c>
      <c r="H246" s="113" t="s">
        <v>29</v>
      </c>
      <c r="I246" s="113" t="s">
        <v>1109</v>
      </c>
      <c r="J246" s="118" t="s">
        <v>2129</v>
      </c>
      <c r="K246" s="118">
        <v>2</v>
      </c>
      <c r="L246" s="118" t="s">
        <v>5468</v>
      </c>
      <c r="M246" s="115" t="s">
        <v>1109</v>
      </c>
      <c r="N246" s="115" t="s">
        <v>6505</v>
      </c>
      <c r="O246" s="115">
        <v>1.25</v>
      </c>
      <c r="P246" s="115" t="s">
        <v>1109</v>
      </c>
      <c r="Q246" s="166"/>
      <c r="R246" s="164"/>
      <c r="S246" s="164"/>
      <c r="T246" s="164"/>
      <c r="U246" s="164"/>
      <c r="V246" s="162"/>
      <c r="W246" s="158"/>
      <c r="X246" s="158"/>
      <c r="Y246" s="158"/>
      <c r="Z246" s="158"/>
      <c r="AA246" s="158"/>
      <c r="AB246" s="158"/>
      <c r="AC246" s="113">
        <v>290</v>
      </c>
      <c r="AD246" s="113">
        <v>50</v>
      </c>
      <c r="AE246" s="113">
        <v>65</v>
      </c>
      <c r="AF246" s="113">
        <v>90</v>
      </c>
      <c r="AG246" s="120">
        <v>35</v>
      </c>
      <c r="AH246" s="113">
        <v>35</v>
      </c>
      <c r="AI246" s="113">
        <v>15</v>
      </c>
    </row>
    <row r="247" spans="1:35">
      <c r="A247" s="113">
        <v>205</v>
      </c>
      <c r="B247" s="113" t="s">
        <v>232</v>
      </c>
      <c r="C247" s="120" t="s">
        <v>5469</v>
      </c>
      <c r="D247" s="124">
        <v>0.5</v>
      </c>
      <c r="E247" s="124">
        <v>0.5</v>
      </c>
      <c r="F247" s="113" t="s">
        <v>29</v>
      </c>
      <c r="G247" s="113" t="s">
        <v>1974</v>
      </c>
      <c r="H247" s="113" t="s">
        <v>29</v>
      </c>
      <c r="I247" s="113" t="s">
        <v>106</v>
      </c>
      <c r="J247" s="118" t="s">
        <v>2129</v>
      </c>
      <c r="K247" s="118">
        <v>2</v>
      </c>
      <c r="L247" s="118" t="s">
        <v>5468</v>
      </c>
      <c r="M247" s="115" t="s">
        <v>5468</v>
      </c>
      <c r="N247" s="115" t="s">
        <v>6504</v>
      </c>
      <c r="O247" s="115">
        <v>1.25</v>
      </c>
      <c r="P247" s="115" t="s">
        <v>2128</v>
      </c>
      <c r="Q247" s="166"/>
      <c r="R247" s="164"/>
      <c r="S247" s="164"/>
      <c r="T247" s="164"/>
      <c r="U247" s="164"/>
      <c r="V247" s="162"/>
      <c r="W247" s="158"/>
      <c r="X247" s="158"/>
      <c r="Y247" s="158"/>
      <c r="Z247" s="158"/>
      <c r="AA247" s="158"/>
      <c r="AB247" s="158"/>
      <c r="AC247" s="113">
        <v>465</v>
      </c>
      <c r="AD247" s="113">
        <v>75</v>
      </c>
      <c r="AE247" s="113">
        <v>90</v>
      </c>
      <c r="AF247" s="113">
        <v>140</v>
      </c>
      <c r="AG247" s="120">
        <v>60</v>
      </c>
      <c r="AH247" s="113">
        <v>60</v>
      </c>
      <c r="AI247" s="113">
        <v>40</v>
      </c>
    </row>
    <row r="248" spans="1:35">
      <c r="A248" s="113">
        <v>206</v>
      </c>
      <c r="B248" s="113" t="s">
        <v>233</v>
      </c>
      <c r="C248" s="120" t="s">
        <v>5470</v>
      </c>
      <c r="D248" s="124">
        <v>0.5</v>
      </c>
      <c r="E248" s="124">
        <v>0.5</v>
      </c>
      <c r="F248" s="113" t="s">
        <v>2332</v>
      </c>
      <c r="G248" s="113" t="s">
        <v>1974</v>
      </c>
      <c r="H248" s="113" t="s">
        <v>36</v>
      </c>
      <c r="I248" s="113" t="s">
        <v>1109</v>
      </c>
      <c r="J248" s="118" t="s">
        <v>2129</v>
      </c>
      <c r="K248" s="118">
        <v>2</v>
      </c>
      <c r="L248" s="118" t="s">
        <v>5470</v>
      </c>
      <c r="M248" s="115" t="s">
        <v>1109</v>
      </c>
      <c r="N248" s="115" t="s">
        <v>6505</v>
      </c>
      <c r="O248" s="115">
        <v>1.25</v>
      </c>
      <c r="P248" s="115" t="s">
        <v>1109</v>
      </c>
      <c r="Q248" s="166"/>
      <c r="R248" s="164"/>
      <c r="S248" s="164"/>
      <c r="T248" s="164"/>
      <c r="U248" s="164"/>
      <c r="V248" s="162"/>
      <c r="W248" s="158"/>
      <c r="X248" s="158"/>
      <c r="Y248" s="158"/>
      <c r="Z248" s="158"/>
      <c r="AA248" s="158"/>
      <c r="AB248" s="158"/>
      <c r="AC248" s="113">
        <v>415</v>
      </c>
      <c r="AD248" s="113">
        <v>100</v>
      </c>
      <c r="AE248" s="113">
        <v>70</v>
      </c>
      <c r="AF248" s="113">
        <v>70</v>
      </c>
      <c r="AG248" s="120">
        <v>65</v>
      </c>
      <c r="AH248" s="113">
        <v>65</v>
      </c>
      <c r="AI248" s="113">
        <v>45</v>
      </c>
    </row>
    <row r="249" spans="1:35">
      <c r="A249" s="113">
        <v>207</v>
      </c>
      <c r="B249" s="113" t="s">
        <v>234</v>
      </c>
      <c r="C249" s="120" t="s">
        <v>5471</v>
      </c>
      <c r="D249" s="124">
        <v>0.5</v>
      </c>
      <c r="E249" s="124">
        <v>0.5</v>
      </c>
      <c r="F249" s="113" t="s">
        <v>29</v>
      </c>
      <c r="G249" s="113" t="s">
        <v>1974</v>
      </c>
      <c r="H249" s="113" t="s">
        <v>49</v>
      </c>
      <c r="I249" s="113" t="s">
        <v>22</v>
      </c>
      <c r="J249" s="118" t="s">
        <v>2129</v>
      </c>
      <c r="K249" s="118">
        <v>3</v>
      </c>
      <c r="L249" s="118" t="s">
        <v>5471</v>
      </c>
      <c r="M249" s="115" t="s">
        <v>1109</v>
      </c>
      <c r="N249" s="115" t="s">
        <v>6505</v>
      </c>
      <c r="O249" s="115">
        <v>1.5</v>
      </c>
      <c r="P249" s="115" t="s">
        <v>1109</v>
      </c>
      <c r="Q249" s="166"/>
      <c r="R249" s="164"/>
      <c r="S249" s="164"/>
      <c r="T249" s="164"/>
      <c r="U249" s="164"/>
      <c r="V249" s="162"/>
      <c r="W249" s="158"/>
      <c r="X249" s="158"/>
      <c r="Y249" s="158"/>
      <c r="Z249" s="158"/>
      <c r="AA249" s="158"/>
      <c r="AB249" s="158"/>
      <c r="AC249" s="113">
        <v>430</v>
      </c>
      <c r="AD249" s="113">
        <v>65</v>
      </c>
      <c r="AE249" s="113">
        <v>75</v>
      </c>
      <c r="AF249" s="113">
        <v>105</v>
      </c>
      <c r="AG249" s="120">
        <v>35</v>
      </c>
      <c r="AH249" s="113">
        <v>65</v>
      </c>
      <c r="AI249" s="113">
        <v>85</v>
      </c>
    </row>
    <row r="250" spans="1:35">
      <c r="A250" s="113">
        <v>208</v>
      </c>
      <c r="B250" s="113" t="s">
        <v>235</v>
      </c>
      <c r="C250" s="120" t="s">
        <v>5472</v>
      </c>
      <c r="D250" s="124">
        <v>0.5</v>
      </c>
      <c r="E250" s="124">
        <v>0.5</v>
      </c>
      <c r="F250" s="113" t="s">
        <v>2112</v>
      </c>
      <c r="G250" s="113" t="s">
        <v>1974</v>
      </c>
      <c r="H250" s="113" t="s">
        <v>106</v>
      </c>
      <c r="I250" s="113" t="s">
        <v>49</v>
      </c>
      <c r="J250" s="118" t="s">
        <v>2129</v>
      </c>
      <c r="K250" s="118">
        <v>3</v>
      </c>
      <c r="L250" s="118" t="s">
        <v>5338</v>
      </c>
      <c r="M250" s="115" t="s">
        <v>5338</v>
      </c>
      <c r="N250" s="115" t="s">
        <v>6504</v>
      </c>
      <c r="O250" s="115">
        <v>1.5</v>
      </c>
      <c r="P250" s="115" t="s">
        <v>2130</v>
      </c>
      <c r="Q250" s="166"/>
      <c r="R250" s="164"/>
      <c r="S250" s="164"/>
      <c r="T250" s="164"/>
      <c r="U250" s="164"/>
      <c r="V250" s="162"/>
      <c r="W250" s="158"/>
      <c r="X250" s="158"/>
      <c r="Y250" s="158"/>
      <c r="Z250" s="158"/>
      <c r="AA250" s="158"/>
      <c r="AB250" s="158"/>
      <c r="AC250" s="113">
        <v>510</v>
      </c>
      <c r="AD250" s="113">
        <v>75</v>
      </c>
      <c r="AE250" s="113">
        <v>85</v>
      </c>
      <c r="AF250" s="113">
        <v>200</v>
      </c>
      <c r="AG250" s="120">
        <v>55</v>
      </c>
      <c r="AH250" s="113">
        <v>65</v>
      </c>
      <c r="AI250" s="113">
        <v>30</v>
      </c>
    </row>
    <row r="251" spans="1:35">
      <c r="A251" s="113">
        <v>209</v>
      </c>
      <c r="B251" s="113" t="s">
        <v>236</v>
      </c>
      <c r="C251" s="120" t="s">
        <v>5474</v>
      </c>
      <c r="D251" s="124">
        <v>0.25</v>
      </c>
      <c r="E251" s="124">
        <v>0.75</v>
      </c>
      <c r="F251" s="113" t="s">
        <v>2332</v>
      </c>
      <c r="G251" s="113" t="s">
        <v>1974</v>
      </c>
      <c r="H251" s="113" t="s">
        <v>56</v>
      </c>
      <c r="I251" s="113" t="s">
        <v>1109</v>
      </c>
      <c r="J251" s="118" t="s">
        <v>2129</v>
      </c>
      <c r="K251" s="118">
        <v>2</v>
      </c>
      <c r="L251" s="118" t="s">
        <v>5474</v>
      </c>
      <c r="M251" s="115" t="s">
        <v>1109</v>
      </c>
      <c r="N251" s="115" t="s">
        <v>6505</v>
      </c>
      <c r="O251" s="115">
        <v>1.25</v>
      </c>
      <c r="P251" s="115" t="s">
        <v>1109</v>
      </c>
      <c r="Q251" s="166"/>
      <c r="R251" s="164"/>
      <c r="S251" s="164"/>
      <c r="T251" s="164"/>
      <c r="U251" s="164"/>
      <c r="V251" s="162"/>
      <c r="W251" s="158"/>
      <c r="X251" s="158"/>
      <c r="Y251" s="158"/>
      <c r="Z251" s="158"/>
      <c r="AA251" s="158"/>
      <c r="AB251" s="158"/>
      <c r="AC251" s="113">
        <v>300</v>
      </c>
      <c r="AD251" s="113">
        <v>60</v>
      </c>
      <c r="AE251" s="113">
        <v>80</v>
      </c>
      <c r="AF251" s="113">
        <v>50</v>
      </c>
      <c r="AG251" s="120">
        <v>40</v>
      </c>
      <c r="AH251" s="113">
        <v>40</v>
      </c>
      <c r="AI251" s="113">
        <v>30</v>
      </c>
    </row>
    <row r="252" spans="1:35">
      <c r="A252" s="113">
        <v>210</v>
      </c>
      <c r="B252" s="113" t="s">
        <v>237</v>
      </c>
      <c r="C252" s="120" t="s">
        <v>5475</v>
      </c>
      <c r="D252" s="124">
        <v>0.25</v>
      </c>
      <c r="E252" s="124">
        <v>0.75</v>
      </c>
      <c r="F252" s="113" t="s">
        <v>2332</v>
      </c>
      <c r="G252" s="113" t="s">
        <v>1974</v>
      </c>
      <c r="H252" s="113" t="s">
        <v>56</v>
      </c>
      <c r="I252" s="113" t="s">
        <v>1109</v>
      </c>
      <c r="J252" s="118" t="s">
        <v>2129</v>
      </c>
      <c r="K252" s="118">
        <v>2</v>
      </c>
      <c r="L252" s="118" t="s">
        <v>5474</v>
      </c>
      <c r="M252" s="115" t="s">
        <v>5474</v>
      </c>
      <c r="N252" s="115" t="s">
        <v>6504</v>
      </c>
      <c r="O252" s="115">
        <v>1.25</v>
      </c>
      <c r="P252" s="115" t="s">
        <v>2128</v>
      </c>
      <c r="Q252" s="166"/>
      <c r="R252" s="164"/>
      <c r="S252" s="164"/>
      <c r="T252" s="164"/>
      <c r="U252" s="164"/>
      <c r="V252" s="162"/>
      <c r="W252" s="158"/>
      <c r="X252" s="158"/>
      <c r="Y252" s="158"/>
      <c r="Z252" s="158"/>
      <c r="AA252" s="158"/>
      <c r="AB252" s="158"/>
      <c r="AC252" s="113">
        <v>450</v>
      </c>
      <c r="AD252" s="113">
        <v>90</v>
      </c>
      <c r="AE252" s="113">
        <v>120</v>
      </c>
      <c r="AF252" s="113">
        <v>75</v>
      </c>
      <c r="AG252" s="120">
        <v>60</v>
      </c>
      <c r="AH252" s="113">
        <v>60</v>
      </c>
      <c r="AI252" s="113">
        <v>45</v>
      </c>
    </row>
    <row r="253" spans="1:35">
      <c r="A253" s="113">
        <v>211</v>
      </c>
      <c r="B253" s="113" t="s">
        <v>238</v>
      </c>
      <c r="C253" s="120" t="s">
        <v>5476</v>
      </c>
      <c r="D253" s="124">
        <v>0.5</v>
      </c>
      <c r="E253" s="124">
        <v>0.5</v>
      </c>
      <c r="F253" s="113" t="s">
        <v>2337</v>
      </c>
      <c r="G253" s="113" t="s">
        <v>1974</v>
      </c>
      <c r="H253" s="113" t="s">
        <v>25</v>
      </c>
      <c r="I253" s="113" t="s">
        <v>15</v>
      </c>
      <c r="J253" s="118" t="s">
        <v>2129</v>
      </c>
      <c r="K253" s="118">
        <v>2</v>
      </c>
      <c r="L253" s="118" t="s">
        <v>5476</v>
      </c>
      <c r="M253" s="115" t="s">
        <v>1109</v>
      </c>
      <c r="N253" s="115" t="s">
        <v>6504</v>
      </c>
      <c r="O253" s="115">
        <v>1.25</v>
      </c>
      <c r="P253" s="115" t="s">
        <v>1109</v>
      </c>
      <c r="Q253" s="166"/>
      <c r="R253" s="164"/>
      <c r="S253" s="164"/>
      <c r="T253" s="164"/>
      <c r="U253" s="164"/>
      <c r="V253" s="162"/>
      <c r="W253" s="158"/>
      <c r="X253" s="158"/>
      <c r="Y253" s="158"/>
      <c r="Z253" s="158"/>
      <c r="AA253" s="158"/>
      <c r="AB253" s="158"/>
      <c r="AC253" s="113">
        <v>440</v>
      </c>
      <c r="AD253" s="113">
        <v>65</v>
      </c>
      <c r="AE253" s="113">
        <v>95</v>
      </c>
      <c r="AF253" s="113">
        <v>85</v>
      </c>
      <c r="AG253" s="120">
        <v>55</v>
      </c>
      <c r="AH253" s="113">
        <v>55</v>
      </c>
      <c r="AI253" s="113">
        <v>85</v>
      </c>
    </row>
    <row r="254" spans="1:35">
      <c r="A254" s="113">
        <v>211</v>
      </c>
      <c r="B254" s="113" t="s">
        <v>2885</v>
      </c>
      <c r="C254" s="120" t="s">
        <v>5477</v>
      </c>
      <c r="D254" s="124">
        <v>0.5</v>
      </c>
      <c r="E254" s="124">
        <v>0.5</v>
      </c>
      <c r="F254" s="113" t="s">
        <v>2337</v>
      </c>
      <c r="G254" s="113" t="s">
        <v>4319</v>
      </c>
      <c r="H254" s="113" t="s">
        <v>158</v>
      </c>
      <c r="I254" s="113" t="s">
        <v>15</v>
      </c>
      <c r="J254" s="118" t="s">
        <v>2129</v>
      </c>
      <c r="K254" s="118">
        <v>2</v>
      </c>
      <c r="L254" s="118" t="s">
        <v>5476</v>
      </c>
      <c r="M254" s="115" t="s">
        <v>1109</v>
      </c>
      <c r="N254" s="115" t="s">
        <v>6505</v>
      </c>
      <c r="O254" s="115">
        <v>1.25</v>
      </c>
      <c r="P254" s="115" t="s">
        <v>1109</v>
      </c>
      <c r="Q254" s="166"/>
      <c r="R254" s="164"/>
      <c r="S254" s="164"/>
      <c r="T254" s="164"/>
      <c r="U254" s="164"/>
      <c r="V254" s="162"/>
      <c r="W254" s="158"/>
      <c r="X254" s="158"/>
      <c r="Y254" s="158"/>
      <c r="Z254" s="158"/>
      <c r="AA254" s="158"/>
      <c r="AB254" s="158"/>
      <c r="AC254" s="113">
        <v>440</v>
      </c>
      <c r="AD254" s="113">
        <v>65</v>
      </c>
      <c r="AE254" s="113">
        <v>95</v>
      </c>
      <c r="AF254" s="113">
        <v>85</v>
      </c>
      <c r="AG254" s="120">
        <v>55</v>
      </c>
      <c r="AH254" s="113">
        <v>55</v>
      </c>
      <c r="AI254" s="113">
        <v>85</v>
      </c>
    </row>
    <row r="255" spans="1:35">
      <c r="A255" s="113">
        <v>212</v>
      </c>
      <c r="B255" s="113" t="s">
        <v>239</v>
      </c>
      <c r="C255" s="120" t="s">
        <v>5478</v>
      </c>
      <c r="D255" s="124">
        <v>0.5</v>
      </c>
      <c r="E255" s="124">
        <v>0.5</v>
      </c>
      <c r="F255" s="113" t="s">
        <v>29</v>
      </c>
      <c r="G255" s="113" t="s">
        <v>1974</v>
      </c>
      <c r="H255" s="113" t="s">
        <v>29</v>
      </c>
      <c r="I255" s="113" t="s">
        <v>106</v>
      </c>
      <c r="J255" s="118" t="s">
        <v>2129</v>
      </c>
      <c r="K255" s="118">
        <v>3</v>
      </c>
      <c r="L255" s="118" t="s">
        <v>5373</v>
      </c>
      <c r="M255" s="115" t="s">
        <v>5373</v>
      </c>
      <c r="N255" s="115" t="s">
        <v>6504</v>
      </c>
      <c r="O255" s="115">
        <v>1.5</v>
      </c>
      <c r="P255" s="115" t="s">
        <v>2130</v>
      </c>
      <c r="Q255" s="166"/>
      <c r="R255" s="164"/>
      <c r="S255" s="164"/>
      <c r="T255" s="164"/>
      <c r="U255" s="164"/>
      <c r="V255" s="162"/>
      <c r="W255" s="158"/>
      <c r="X255" s="158"/>
      <c r="Y255" s="158"/>
      <c r="Z255" s="158"/>
      <c r="AA255" s="158"/>
      <c r="AB255" s="158"/>
      <c r="AC255" s="113">
        <v>500</v>
      </c>
      <c r="AD255" s="113">
        <v>70</v>
      </c>
      <c r="AE255" s="113">
        <v>130</v>
      </c>
      <c r="AF255" s="113">
        <v>100</v>
      </c>
      <c r="AG255" s="120">
        <v>55</v>
      </c>
      <c r="AH255" s="113">
        <v>80</v>
      </c>
      <c r="AI255" s="113">
        <v>65</v>
      </c>
    </row>
    <row r="256" spans="1:35">
      <c r="A256" s="113">
        <v>213</v>
      </c>
      <c r="B256" s="113" t="s">
        <v>240</v>
      </c>
      <c r="C256" s="120" t="s">
        <v>5480</v>
      </c>
      <c r="D256" s="124">
        <v>0.5</v>
      </c>
      <c r="E256" s="124">
        <v>0.5</v>
      </c>
      <c r="F256" s="113" t="s">
        <v>29</v>
      </c>
      <c r="G256" s="113" t="s">
        <v>1974</v>
      </c>
      <c r="H256" s="113" t="s">
        <v>29</v>
      </c>
      <c r="I256" s="113" t="s">
        <v>98</v>
      </c>
      <c r="J256" s="118" t="s">
        <v>2129</v>
      </c>
      <c r="K256" s="118">
        <v>3</v>
      </c>
      <c r="L256" s="118" t="s">
        <v>5480</v>
      </c>
      <c r="M256" s="115" t="s">
        <v>1109</v>
      </c>
      <c r="N256" s="115" t="s">
        <v>6504</v>
      </c>
      <c r="O256" s="115">
        <v>1.5</v>
      </c>
      <c r="P256" s="115" t="s">
        <v>1109</v>
      </c>
      <c r="Q256" s="166"/>
      <c r="R256" s="164"/>
      <c r="S256" s="164"/>
      <c r="T256" s="164"/>
      <c r="U256" s="164"/>
      <c r="V256" s="162"/>
      <c r="W256" s="158"/>
      <c r="X256" s="158"/>
      <c r="Y256" s="158"/>
      <c r="Z256" s="158"/>
      <c r="AA256" s="158"/>
      <c r="AB256" s="158"/>
      <c r="AC256" s="113">
        <v>505</v>
      </c>
      <c r="AD256" s="113">
        <v>20</v>
      </c>
      <c r="AE256" s="113">
        <v>10</v>
      </c>
      <c r="AF256" s="113">
        <v>230</v>
      </c>
      <c r="AG256" s="120">
        <v>10</v>
      </c>
      <c r="AH256" s="113">
        <v>230</v>
      </c>
      <c r="AI256" s="113">
        <v>5</v>
      </c>
    </row>
    <row r="257" spans="1:35">
      <c r="A257" s="113">
        <v>214</v>
      </c>
      <c r="B257" s="113" t="s">
        <v>241</v>
      </c>
      <c r="C257" s="120" t="s">
        <v>5481</v>
      </c>
      <c r="D257" s="124">
        <v>0.5</v>
      </c>
      <c r="E257" s="124">
        <v>0.5</v>
      </c>
      <c r="F257" s="113" t="s">
        <v>29</v>
      </c>
      <c r="G257" s="113" t="s">
        <v>1974</v>
      </c>
      <c r="H257" s="113" t="s">
        <v>29</v>
      </c>
      <c r="I257" s="113" t="s">
        <v>78</v>
      </c>
      <c r="J257" s="118" t="s">
        <v>2129</v>
      </c>
      <c r="K257" s="118">
        <v>3</v>
      </c>
      <c r="L257" s="118" t="s">
        <v>5481</v>
      </c>
      <c r="M257" s="115" t="s">
        <v>1109</v>
      </c>
      <c r="N257" s="115" t="s">
        <v>6504</v>
      </c>
      <c r="O257" s="115">
        <v>1.5</v>
      </c>
      <c r="P257" s="115" t="s">
        <v>1109</v>
      </c>
      <c r="Q257" s="166"/>
      <c r="R257" s="164"/>
      <c r="S257" s="164"/>
      <c r="T257" s="164"/>
      <c r="U257" s="164"/>
      <c r="V257" s="162"/>
      <c r="W257" s="158"/>
      <c r="X257" s="158"/>
      <c r="Y257" s="158"/>
      <c r="Z257" s="158"/>
      <c r="AA257" s="158"/>
      <c r="AB257" s="158"/>
      <c r="AC257" s="113">
        <v>500</v>
      </c>
      <c r="AD257" s="113">
        <v>80</v>
      </c>
      <c r="AE257" s="113">
        <v>125</v>
      </c>
      <c r="AF257" s="113">
        <v>75</v>
      </c>
      <c r="AG257" s="120">
        <v>40</v>
      </c>
      <c r="AH257" s="113">
        <v>95</v>
      </c>
      <c r="AI257" s="113">
        <v>85</v>
      </c>
    </row>
    <row r="258" spans="1:35">
      <c r="A258" s="113">
        <v>215</v>
      </c>
      <c r="B258" s="113" t="s">
        <v>242</v>
      </c>
      <c r="C258" s="120" t="s">
        <v>5483</v>
      </c>
      <c r="D258" s="124">
        <v>0.5</v>
      </c>
      <c r="E258" s="124">
        <v>0.5</v>
      </c>
      <c r="F258" s="113" t="s">
        <v>2332</v>
      </c>
      <c r="G258" s="113" t="s">
        <v>1974</v>
      </c>
      <c r="H258" s="113" t="s">
        <v>158</v>
      </c>
      <c r="I258" s="113" t="s">
        <v>113</v>
      </c>
      <c r="J258" s="118" t="s">
        <v>2129</v>
      </c>
      <c r="K258" s="118">
        <v>2</v>
      </c>
      <c r="L258" s="118" t="s">
        <v>5483</v>
      </c>
      <c r="M258" s="115" t="s">
        <v>1109</v>
      </c>
      <c r="N258" s="115" t="s">
        <v>6505</v>
      </c>
      <c r="O258" s="115">
        <v>1.25</v>
      </c>
      <c r="P258" s="115" t="s">
        <v>1109</v>
      </c>
      <c r="Q258" s="166"/>
      <c r="R258" s="164"/>
      <c r="S258" s="164"/>
      <c r="T258" s="164"/>
      <c r="U258" s="164"/>
      <c r="V258" s="162"/>
      <c r="W258" s="158"/>
      <c r="X258" s="158"/>
      <c r="Y258" s="158"/>
      <c r="Z258" s="158"/>
      <c r="AA258" s="158"/>
      <c r="AB258" s="158"/>
      <c r="AC258" s="113">
        <v>430</v>
      </c>
      <c r="AD258" s="113">
        <v>55</v>
      </c>
      <c r="AE258" s="113">
        <v>95</v>
      </c>
      <c r="AF258" s="113">
        <v>55</v>
      </c>
      <c r="AG258" s="120">
        <v>35</v>
      </c>
      <c r="AH258" s="113">
        <v>75</v>
      </c>
      <c r="AI258" s="113">
        <v>115</v>
      </c>
    </row>
    <row r="259" spans="1:35">
      <c r="A259" s="113">
        <v>215</v>
      </c>
      <c r="B259" s="113" t="s">
        <v>2891</v>
      </c>
      <c r="C259" s="120" t="s">
        <v>5484</v>
      </c>
      <c r="D259" s="124">
        <v>0.5</v>
      </c>
      <c r="E259" s="124">
        <v>0.5</v>
      </c>
      <c r="F259" s="113" t="s">
        <v>2332</v>
      </c>
      <c r="G259" s="113" t="s">
        <v>4319</v>
      </c>
      <c r="H259" s="113" t="s">
        <v>78</v>
      </c>
      <c r="I259" s="113" t="s">
        <v>15</v>
      </c>
      <c r="J259" s="118" t="s">
        <v>2129</v>
      </c>
      <c r="K259" s="118">
        <v>2</v>
      </c>
      <c r="L259" s="118" t="s">
        <v>5483</v>
      </c>
      <c r="M259" s="115" t="s">
        <v>1109</v>
      </c>
      <c r="N259" s="115" t="s">
        <v>6505</v>
      </c>
      <c r="O259" s="115">
        <v>1.25</v>
      </c>
      <c r="P259" s="115" t="s">
        <v>1109</v>
      </c>
      <c r="Q259" s="166"/>
      <c r="R259" s="164"/>
      <c r="S259" s="164"/>
      <c r="T259" s="164"/>
      <c r="U259" s="164"/>
      <c r="V259" s="162"/>
      <c r="W259" s="158"/>
      <c r="X259" s="158"/>
      <c r="Y259" s="158"/>
      <c r="Z259" s="158"/>
      <c r="AA259" s="158"/>
      <c r="AB259" s="158"/>
      <c r="AC259" s="113">
        <v>430</v>
      </c>
      <c r="AD259" s="113">
        <v>55</v>
      </c>
      <c r="AE259" s="113">
        <v>95</v>
      </c>
      <c r="AF259" s="113">
        <v>55</v>
      </c>
      <c r="AG259" s="120">
        <v>35</v>
      </c>
      <c r="AH259" s="113">
        <v>75</v>
      </c>
      <c r="AI259" s="113">
        <v>115</v>
      </c>
    </row>
    <row r="260" spans="1:35">
      <c r="A260" s="113">
        <v>216</v>
      </c>
      <c r="B260" s="113" t="s">
        <v>243</v>
      </c>
      <c r="C260" s="120" t="s">
        <v>5485</v>
      </c>
      <c r="D260" s="124">
        <v>0.5</v>
      </c>
      <c r="E260" s="124">
        <v>0.5</v>
      </c>
      <c r="F260" s="113" t="s">
        <v>2332</v>
      </c>
      <c r="G260" s="113" t="s">
        <v>1974</v>
      </c>
      <c r="H260" s="113" t="s">
        <v>36</v>
      </c>
      <c r="I260" s="113" t="s">
        <v>1109</v>
      </c>
      <c r="J260" s="118" t="s">
        <v>2129</v>
      </c>
      <c r="K260" s="118">
        <v>2</v>
      </c>
      <c r="L260" s="118" t="s">
        <v>5485</v>
      </c>
      <c r="M260" s="115" t="s">
        <v>1109</v>
      </c>
      <c r="N260" s="115" t="s">
        <v>6505</v>
      </c>
      <c r="O260" s="115">
        <v>1.25</v>
      </c>
      <c r="P260" s="115" t="s">
        <v>1109</v>
      </c>
      <c r="Q260" s="166"/>
      <c r="R260" s="164"/>
      <c r="S260" s="164"/>
      <c r="T260" s="164"/>
      <c r="U260" s="164"/>
      <c r="V260" s="162"/>
      <c r="W260" s="158"/>
      <c r="X260" s="158"/>
      <c r="Y260" s="158"/>
      <c r="Z260" s="158"/>
      <c r="AA260" s="158"/>
      <c r="AB260" s="158"/>
      <c r="AC260" s="113">
        <v>330</v>
      </c>
      <c r="AD260" s="113">
        <v>60</v>
      </c>
      <c r="AE260" s="113">
        <v>80</v>
      </c>
      <c r="AF260" s="113">
        <v>50</v>
      </c>
      <c r="AG260" s="120">
        <v>50</v>
      </c>
      <c r="AH260" s="113">
        <v>50</v>
      </c>
      <c r="AI260" s="113">
        <v>40</v>
      </c>
    </row>
    <row r="261" spans="1:35">
      <c r="A261" s="113">
        <v>217</v>
      </c>
      <c r="B261" s="113" t="s">
        <v>244</v>
      </c>
      <c r="C261" s="120" t="s">
        <v>5486</v>
      </c>
      <c r="D261" s="124">
        <v>0.5</v>
      </c>
      <c r="E261" s="124">
        <v>0.5</v>
      </c>
      <c r="F261" s="113" t="s">
        <v>2332</v>
      </c>
      <c r="G261" s="113" t="s">
        <v>1974</v>
      </c>
      <c r="H261" s="113" t="s">
        <v>36</v>
      </c>
      <c r="I261" s="113" t="s">
        <v>1109</v>
      </c>
      <c r="J261" s="118" t="s">
        <v>2129</v>
      </c>
      <c r="K261" s="118">
        <v>2</v>
      </c>
      <c r="L261" s="118" t="s">
        <v>5485</v>
      </c>
      <c r="M261" s="115" t="s">
        <v>5485</v>
      </c>
      <c r="N261" s="115" t="s">
        <v>6506</v>
      </c>
      <c r="O261" s="115">
        <v>1.25</v>
      </c>
      <c r="P261" s="115" t="s">
        <v>2128</v>
      </c>
      <c r="Q261" s="166"/>
      <c r="R261" s="164"/>
      <c r="S261" s="164"/>
      <c r="T261" s="164"/>
      <c r="U261" s="164"/>
      <c r="V261" s="162"/>
      <c r="W261" s="158"/>
      <c r="X261" s="158"/>
      <c r="Y261" s="158"/>
      <c r="Z261" s="158"/>
      <c r="AA261" s="158"/>
      <c r="AB261" s="158"/>
      <c r="AC261" s="113">
        <v>500</v>
      </c>
      <c r="AD261" s="113">
        <v>90</v>
      </c>
      <c r="AE261" s="113">
        <v>130</v>
      </c>
      <c r="AF261" s="113">
        <v>75</v>
      </c>
      <c r="AG261" s="120">
        <v>75</v>
      </c>
      <c r="AH261" s="113">
        <v>75</v>
      </c>
      <c r="AI261" s="113">
        <v>55</v>
      </c>
    </row>
    <row r="262" spans="1:35">
      <c r="A262" s="113">
        <v>218</v>
      </c>
      <c r="B262" s="113" t="s">
        <v>245</v>
      </c>
      <c r="C262" s="120" t="s">
        <v>5487</v>
      </c>
      <c r="D262" s="124">
        <v>0.5</v>
      </c>
      <c r="E262" s="124">
        <v>0.5</v>
      </c>
      <c r="F262" s="113" t="s">
        <v>2336</v>
      </c>
      <c r="G262" s="113" t="s">
        <v>1974</v>
      </c>
      <c r="H262" s="113" t="s">
        <v>19</v>
      </c>
      <c r="I262" s="113" t="s">
        <v>1109</v>
      </c>
      <c r="J262" s="118" t="s">
        <v>2129</v>
      </c>
      <c r="K262" s="118">
        <v>3</v>
      </c>
      <c r="L262" s="118" t="s">
        <v>5487</v>
      </c>
      <c r="M262" s="115" t="s">
        <v>1109</v>
      </c>
      <c r="N262" s="115" t="s">
        <v>6505</v>
      </c>
      <c r="O262" s="115">
        <v>1.5</v>
      </c>
      <c r="P262" s="115" t="s">
        <v>1109</v>
      </c>
      <c r="Q262" s="166"/>
      <c r="R262" s="164"/>
      <c r="S262" s="164"/>
      <c r="T262" s="164"/>
      <c r="U262" s="164"/>
      <c r="V262" s="162"/>
      <c r="W262" s="158"/>
      <c r="X262" s="158"/>
      <c r="Y262" s="158"/>
      <c r="Z262" s="158"/>
      <c r="AA262" s="158"/>
      <c r="AB262" s="158"/>
      <c r="AC262" s="113">
        <v>250</v>
      </c>
      <c r="AD262" s="113">
        <v>40</v>
      </c>
      <c r="AE262" s="113">
        <v>40</v>
      </c>
      <c r="AF262" s="113">
        <v>40</v>
      </c>
      <c r="AG262" s="120">
        <v>70</v>
      </c>
      <c r="AH262" s="113">
        <v>40</v>
      </c>
      <c r="AI262" s="113">
        <v>20</v>
      </c>
    </row>
    <row r="263" spans="1:35">
      <c r="A263" s="113">
        <v>219</v>
      </c>
      <c r="B263" s="113" t="s">
        <v>246</v>
      </c>
      <c r="C263" s="120" t="s">
        <v>5488</v>
      </c>
      <c r="D263" s="124">
        <v>0.5</v>
      </c>
      <c r="E263" s="124">
        <v>0.5</v>
      </c>
      <c r="F263" s="113" t="s">
        <v>2336</v>
      </c>
      <c r="G263" s="113" t="s">
        <v>1974</v>
      </c>
      <c r="H263" s="113" t="s">
        <v>19</v>
      </c>
      <c r="I263" s="113" t="s">
        <v>98</v>
      </c>
      <c r="J263" s="118" t="s">
        <v>2129</v>
      </c>
      <c r="K263" s="118">
        <v>3</v>
      </c>
      <c r="L263" s="118" t="s">
        <v>5487</v>
      </c>
      <c r="M263" s="115" t="s">
        <v>5487</v>
      </c>
      <c r="N263" s="115" t="s">
        <v>6504</v>
      </c>
      <c r="O263" s="115">
        <v>1.5</v>
      </c>
      <c r="P263" s="115" t="s">
        <v>2128</v>
      </c>
      <c r="Q263" s="166"/>
      <c r="R263" s="164"/>
      <c r="S263" s="164"/>
      <c r="T263" s="164"/>
      <c r="U263" s="164"/>
      <c r="V263" s="162"/>
      <c r="W263" s="158"/>
      <c r="X263" s="158"/>
      <c r="Y263" s="158"/>
      <c r="Z263" s="158"/>
      <c r="AA263" s="158"/>
      <c r="AB263" s="158"/>
      <c r="AC263" s="113">
        <v>430</v>
      </c>
      <c r="AD263" s="113">
        <v>60</v>
      </c>
      <c r="AE263" s="113">
        <v>50</v>
      </c>
      <c r="AF263" s="113">
        <v>120</v>
      </c>
      <c r="AG263" s="120">
        <v>90</v>
      </c>
      <c r="AH263" s="113">
        <v>80</v>
      </c>
      <c r="AI263" s="113">
        <v>30</v>
      </c>
    </row>
    <row r="264" spans="1:35">
      <c r="A264" s="113">
        <v>220</v>
      </c>
      <c r="B264" s="113" t="s">
        <v>247</v>
      </c>
      <c r="C264" s="120" t="s">
        <v>5489</v>
      </c>
      <c r="D264" s="124">
        <v>0.5</v>
      </c>
      <c r="E264" s="124">
        <v>0.5</v>
      </c>
      <c r="F264" s="113" t="s">
        <v>2332</v>
      </c>
      <c r="G264" s="113" t="s">
        <v>1974</v>
      </c>
      <c r="H264" s="113" t="s">
        <v>113</v>
      </c>
      <c r="I264" s="113" t="s">
        <v>49</v>
      </c>
      <c r="J264" s="118" t="s">
        <v>2129</v>
      </c>
      <c r="K264" s="118">
        <v>1</v>
      </c>
      <c r="L264" s="118" t="s">
        <v>5489</v>
      </c>
      <c r="M264" s="115" t="s">
        <v>1109</v>
      </c>
      <c r="N264" s="115" t="s">
        <v>6505</v>
      </c>
      <c r="O264" s="115">
        <v>1</v>
      </c>
      <c r="P264" s="115" t="s">
        <v>1109</v>
      </c>
      <c r="Q264" s="166"/>
      <c r="R264" s="164"/>
      <c r="S264" s="164"/>
      <c r="T264" s="164"/>
      <c r="U264" s="164"/>
      <c r="V264" s="162"/>
      <c r="W264" s="158"/>
      <c r="X264" s="158"/>
      <c r="Y264" s="158"/>
      <c r="Z264" s="158"/>
      <c r="AA264" s="158"/>
      <c r="AB264" s="158"/>
      <c r="AC264" s="113">
        <v>250</v>
      </c>
      <c r="AD264" s="113">
        <v>50</v>
      </c>
      <c r="AE264" s="113">
        <v>50</v>
      </c>
      <c r="AF264" s="113">
        <v>40</v>
      </c>
      <c r="AG264" s="120">
        <v>30</v>
      </c>
      <c r="AH264" s="113">
        <v>30</v>
      </c>
      <c r="AI264" s="113">
        <v>50</v>
      </c>
    </row>
    <row r="265" spans="1:35">
      <c r="A265" s="113">
        <v>221</v>
      </c>
      <c r="B265" s="113" t="s">
        <v>248</v>
      </c>
      <c r="C265" s="120" t="s">
        <v>5490</v>
      </c>
      <c r="D265" s="124">
        <v>0.5</v>
      </c>
      <c r="E265" s="124">
        <v>0.5</v>
      </c>
      <c r="F265" s="113" t="s">
        <v>2332</v>
      </c>
      <c r="G265" s="113" t="s">
        <v>1974</v>
      </c>
      <c r="H265" s="113" t="s">
        <v>113</v>
      </c>
      <c r="I265" s="113" t="s">
        <v>49</v>
      </c>
      <c r="J265" s="118" t="s">
        <v>2129</v>
      </c>
      <c r="K265" s="118">
        <v>1</v>
      </c>
      <c r="L265" s="118" t="s">
        <v>5489</v>
      </c>
      <c r="M265" s="115" t="s">
        <v>5489</v>
      </c>
      <c r="N265" s="115" t="s">
        <v>6506</v>
      </c>
      <c r="O265" s="115">
        <v>1</v>
      </c>
      <c r="P265" s="115" t="s">
        <v>2128</v>
      </c>
      <c r="Q265" s="166"/>
      <c r="R265" s="164"/>
      <c r="S265" s="164"/>
      <c r="T265" s="164"/>
      <c r="U265" s="164"/>
      <c r="V265" s="162"/>
      <c r="W265" s="158"/>
      <c r="X265" s="158"/>
      <c r="Y265" s="158"/>
      <c r="Z265" s="158"/>
      <c r="AA265" s="158"/>
      <c r="AB265" s="158"/>
      <c r="AC265" s="113">
        <v>450</v>
      </c>
      <c r="AD265" s="113">
        <v>100</v>
      </c>
      <c r="AE265" s="113">
        <v>100</v>
      </c>
      <c r="AF265" s="113">
        <v>80</v>
      </c>
      <c r="AG265" s="120">
        <v>60</v>
      </c>
      <c r="AH265" s="113">
        <v>60</v>
      </c>
      <c r="AI265" s="113">
        <v>50</v>
      </c>
    </row>
    <row r="266" spans="1:35">
      <c r="A266" s="113">
        <v>222</v>
      </c>
      <c r="B266" s="113" t="s">
        <v>249</v>
      </c>
      <c r="C266" s="120" t="s">
        <v>5491</v>
      </c>
      <c r="D266" s="124">
        <v>0.25</v>
      </c>
      <c r="E266" s="124">
        <v>0.75</v>
      </c>
      <c r="F266" s="113" t="s">
        <v>2335</v>
      </c>
      <c r="G266" s="113" t="s">
        <v>1974</v>
      </c>
      <c r="H266" s="113" t="s">
        <v>25</v>
      </c>
      <c r="I266" s="113" t="s">
        <v>98</v>
      </c>
      <c r="J266" s="118" t="s">
        <v>2129</v>
      </c>
      <c r="K266" s="118">
        <v>3</v>
      </c>
      <c r="L266" s="118" t="s">
        <v>5491</v>
      </c>
      <c r="M266" s="115" t="s">
        <v>1109</v>
      </c>
      <c r="N266" s="115" t="s">
        <v>6504</v>
      </c>
      <c r="O266" s="115">
        <v>1.5</v>
      </c>
      <c r="P266" s="115" t="s">
        <v>1109</v>
      </c>
      <c r="Q266" s="166"/>
      <c r="R266" s="164"/>
      <c r="S266" s="164"/>
      <c r="T266" s="164"/>
      <c r="U266" s="164"/>
      <c r="V266" s="162"/>
      <c r="W266" s="158"/>
      <c r="X266" s="158"/>
      <c r="Y266" s="158"/>
      <c r="Z266" s="158"/>
      <c r="AA266" s="158"/>
      <c r="AB266" s="158"/>
      <c r="AC266" s="113">
        <v>410</v>
      </c>
      <c r="AD266" s="113">
        <v>65</v>
      </c>
      <c r="AE266" s="113">
        <v>55</v>
      </c>
      <c r="AF266" s="113">
        <v>95</v>
      </c>
      <c r="AG266" s="120">
        <v>65</v>
      </c>
      <c r="AH266" s="113">
        <v>95</v>
      </c>
      <c r="AI266" s="113">
        <v>35</v>
      </c>
    </row>
    <row r="267" spans="1:35">
      <c r="A267" s="113">
        <v>222</v>
      </c>
      <c r="B267" s="113" t="s">
        <v>6445</v>
      </c>
      <c r="C267" s="120" t="s">
        <v>5492</v>
      </c>
      <c r="D267" s="124">
        <v>0.25</v>
      </c>
      <c r="E267" s="124">
        <v>0.75</v>
      </c>
      <c r="F267" s="113" t="s">
        <v>2335</v>
      </c>
      <c r="G267" s="113" t="s">
        <v>2703</v>
      </c>
      <c r="H267" s="113" t="s">
        <v>119</v>
      </c>
      <c r="I267" s="113" t="s">
        <v>1109</v>
      </c>
      <c r="J267" s="118" t="s">
        <v>2129</v>
      </c>
      <c r="K267" s="118">
        <v>3</v>
      </c>
      <c r="L267" s="118" t="s">
        <v>5491</v>
      </c>
      <c r="M267" s="115" t="s">
        <v>1109</v>
      </c>
      <c r="N267" s="115" t="s">
        <v>6505</v>
      </c>
      <c r="O267" s="115">
        <v>1.5</v>
      </c>
      <c r="P267" s="115" t="s">
        <v>1109</v>
      </c>
      <c r="Q267" s="166"/>
      <c r="R267" s="164"/>
      <c r="S267" s="164"/>
      <c r="T267" s="164"/>
      <c r="U267" s="164"/>
      <c r="V267" s="162"/>
      <c r="W267" s="158"/>
      <c r="X267" s="158"/>
      <c r="Y267" s="158"/>
      <c r="Z267" s="158"/>
      <c r="AA267" s="158"/>
      <c r="AB267" s="158"/>
      <c r="AC267" s="113">
        <v>410</v>
      </c>
      <c r="AD267" s="113">
        <v>60</v>
      </c>
      <c r="AE267" s="113">
        <v>55</v>
      </c>
      <c r="AF267" s="113">
        <v>100</v>
      </c>
      <c r="AG267" s="120">
        <v>65</v>
      </c>
      <c r="AH267" s="113">
        <v>100</v>
      </c>
      <c r="AI267" s="113">
        <v>30</v>
      </c>
    </row>
    <row r="268" spans="1:35">
      <c r="A268" s="113">
        <v>223</v>
      </c>
      <c r="B268" s="113" t="s">
        <v>250</v>
      </c>
      <c r="C268" s="120" t="s">
        <v>5493</v>
      </c>
      <c r="D268" s="124">
        <v>0.5</v>
      </c>
      <c r="E268" s="124">
        <v>0.5</v>
      </c>
      <c r="F268" s="113" t="s">
        <v>2337</v>
      </c>
      <c r="G268" s="113" t="s">
        <v>1974</v>
      </c>
      <c r="H268" s="113" t="s">
        <v>25</v>
      </c>
      <c r="I268" s="113" t="s">
        <v>1109</v>
      </c>
      <c r="J268" s="118" t="s">
        <v>2129</v>
      </c>
      <c r="K268" s="118">
        <v>1</v>
      </c>
      <c r="L268" s="118" t="s">
        <v>5493</v>
      </c>
      <c r="M268" s="115" t="s">
        <v>1109</v>
      </c>
      <c r="N268" s="115" t="s">
        <v>6505</v>
      </c>
      <c r="O268" s="115">
        <v>1</v>
      </c>
      <c r="P268" s="115" t="s">
        <v>1109</v>
      </c>
      <c r="Q268" s="166"/>
      <c r="R268" s="164"/>
      <c r="S268" s="164"/>
      <c r="T268" s="164"/>
      <c r="U268" s="164"/>
      <c r="V268" s="162"/>
      <c r="W268" s="158"/>
      <c r="X268" s="158"/>
      <c r="Y268" s="158"/>
      <c r="Z268" s="158"/>
      <c r="AA268" s="158"/>
      <c r="AB268" s="158"/>
      <c r="AC268" s="113">
        <v>300</v>
      </c>
      <c r="AD268" s="113">
        <v>35</v>
      </c>
      <c r="AE268" s="113">
        <v>65</v>
      </c>
      <c r="AF268" s="113">
        <v>35</v>
      </c>
      <c r="AG268" s="120">
        <v>65</v>
      </c>
      <c r="AH268" s="113">
        <v>35</v>
      </c>
      <c r="AI268" s="113">
        <v>65</v>
      </c>
    </row>
    <row r="269" spans="1:35">
      <c r="A269" s="113">
        <v>224</v>
      </c>
      <c r="B269" s="113" t="s">
        <v>251</v>
      </c>
      <c r="C269" s="120" t="s">
        <v>5494</v>
      </c>
      <c r="D269" s="124">
        <v>0.5</v>
      </c>
      <c r="E269" s="124">
        <v>0.5</v>
      </c>
      <c r="F269" s="113" t="s">
        <v>2337</v>
      </c>
      <c r="G269" s="113" t="s">
        <v>1974</v>
      </c>
      <c r="H269" s="113" t="s">
        <v>25</v>
      </c>
      <c r="I269" s="113" t="s">
        <v>1109</v>
      </c>
      <c r="J269" s="118" t="s">
        <v>2129</v>
      </c>
      <c r="K269" s="118">
        <v>1</v>
      </c>
      <c r="L269" s="118" t="s">
        <v>5493</v>
      </c>
      <c r="M269" s="115" t="s">
        <v>5493</v>
      </c>
      <c r="N269" s="115" t="s">
        <v>6504</v>
      </c>
      <c r="O269" s="115">
        <v>1</v>
      </c>
      <c r="P269" s="115" t="s">
        <v>2128</v>
      </c>
      <c r="Q269" s="166"/>
      <c r="R269" s="164"/>
      <c r="S269" s="164"/>
      <c r="T269" s="164"/>
      <c r="U269" s="164"/>
      <c r="V269" s="162"/>
      <c r="W269" s="158"/>
      <c r="X269" s="158"/>
      <c r="Y269" s="158"/>
      <c r="Z269" s="158"/>
      <c r="AA269" s="158"/>
      <c r="AB269" s="158"/>
      <c r="AC269" s="113">
        <v>480</v>
      </c>
      <c r="AD269" s="113">
        <v>75</v>
      </c>
      <c r="AE269" s="113">
        <v>105</v>
      </c>
      <c r="AF269" s="113">
        <v>75</v>
      </c>
      <c r="AG269" s="120">
        <v>105</v>
      </c>
      <c r="AH269" s="113">
        <v>75</v>
      </c>
      <c r="AI269" s="113">
        <v>45</v>
      </c>
    </row>
    <row r="270" spans="1:35">
      <c r="A270" s="113">
        <v>225</v>
      </c>
      <c r="B270" s="113" t="s">
        <v>252</v>
      </c>
      <c r="C270" s="120" t="s">
        <v>5495</v>
      </c>
      <c r="D270" s="124">
        <v>0.5</v>
      </c>
      <c r="E270" s="124">
        <v>0.5</v>
      </c>
      <c r="F270" s="113" t="s">
        <v>2332</v>
      </c>
      <c r="G270" s="113" t="s">
        <v>1974</v>
      </c>
      <c r="H270" s="113" t="s">
        <v>113</v>
      </c>
      <c r="I270" s="113" t="s">
        <v>22</v>
      </c>
      <c r="J270" s="118" t="s">
        <v>2129</v>
      </c>
      <c r="K270" s="118">
        <v>3</v>
      </c>
      <c r="L270" s="118" t="s">
        <v>5495</v>
      </c>
      <c r="M270" s="115" t="s">
        <v>1109</v>
      </c>
      <c r="N270" s="115" t="s">
        <v>6504</v>
      </c>
      <c r="O270" s="115">
        <v>1.5</v>
      </c>
      <c r="P270" s="115" t="s">
        <v>1109</v>
      </c>
      <c r="Q270" s="166"/>
      <c r="R270" s="164"/>
      <c r="S270" s="164"/>
      <c r="T270" s="164"/>
      <c r="U270" s="164"/>
      <c r="V270" s="162"/>
      <c r="W270" s="158"/>
      <c r="X270" s="158"/>
      <c r="Y270" s="158"/>
      <c r="Z270" s="158"/>
      <c r="AA270" s="158"/>
      <c r="AB270" s="158"/>
      <c r="AC270" s="113">
        <v>330</v>
      </c>
      <c r="AD270" s="113">
        <v>45</v>
      </c>
      <c r="AE270" s="113">
        <v>55</v>
      </c>
      <c r="AF270" s="113">
        <v>45</v>
      </c>
      <c r="AG270" s="120">
        <v>65</v>
      </c>
      <c r="AH270" s="113">
        <v>45</v>
      </c>
      <c r="AI270" s="113">
        <v>75</v>
      </c>
    </row>
    <row r="271" spans="1:35">
      <c r="A271" s="113">
        <v>226</v>
      </c>
      <c r="B271" s="113" t="s">
        <v>253</v>
      </c>
      <c r="C271" s="120" t="s">
        <v>5496</v>
      </c>
      <c r="D271" s="124">
        <v>0.5</v>
      </c>
      <c r="E271" s="124">
        <v>0.5</v>
      </c>
      <c r="F271" s="113" t="s">
        <v>2335</v>
      </c>
      <c r="G271" s="113" t="s">
        <v>1974</v>
      </c>
      <c r="H271" s="113" t="s">
        <v>25</v>
      </c>
      <c r="I271" s="113" t="s">
        <v>22</v>
      </c>
      <c r="J271" s="118" t="s">
        <v>2129</v>
      </c>
      <c r="K271" s="118">
        <v>3</v>
      </c>
      <c r="L271" s="118" t="s">
        <v>5762</v>
      </c>
      <c r="M271" s="115" t="s">
        <v>5762</v>
      </c>
      <c r="N271" s="115" t="s">
        <v>6504</v>
      </c>
      <c r="O271" s="115">
        <v>1.5</v>
      </c>
      <c r="P271" s="115" t="s">
        <v>2128</v>
      </c>
      <c r="Q271" s="166">
        <v>2</v>
      </c>
      <c r="R271" s="164"/>
      <c r="S271" s="164"/>
      <c r="T271" s="164"/>
      <c r="U271" s="164"/>
      <c r="V271" s="162"/>
      <c r="W271" s="158" t="s">
        <v>6531</v>
      </c>
      <c r="X271" s="158"/>
      <c r="Y271" s="158">
        <v>70</v>
      </c>
      <c r="Z271" s="158">
        <v>6</v>
      </c>
      <c r="AA271" s="158" t="s">
        <v>6541</v>
      </c>
      <c r="AB271" s="158">
        <v>10</v>
      </c>
      <c r="AC271" s="113">
        <v>485</v>
      </c>
      <c r="AD271" s="113">
        <v>85</v>
      </c>
      <c r="AE271" s="113">
        <v>40</v>
      </c>
      <c r="AF271" s="113">
        <v>70</v>
      </c>
      <c r="AG271" s="120">
        <v>80</v>
      </c>
      <c r="AH271" s="113">
        <v>140</v>
      </c>
      <c r="AI271" s="113">
        <v>70</v>
      </c>
    </row>
    <row r="272" spans="1:35">
      <c r="A272" s="113">
        <v>227</v>
      </c>
      <c r="B272" s="113" t="s">
        <v>254</v>
      </c>
      <c r="C272" s="120" t="s">
        <v>5497</v>
      </c>
      <c r="D272" s="124">
        <v>0.5</v>
      </c>
      <c r="E272" s="124">
        <v>0.5</v>
      </c>
      <c r="F272" s="113" t="s">
        <v>22</v>
      </c>
      <c r="G272" s="113" t="s">
        <v>1974</v>
      </c>
      <c r="H272" s="113" t="s">
        <v>106</v>
      </c>
      <c r="I272" s="113" t="s">
        <v>22</v>
      </c>
      <c r="J272" s="118" t="s">
        <v>2129</v>
      </c>
      <c r="K272" s="118">
        <v>3</v>
      </c>
      <c r="L272" s="118" t="s">
        <v>5497</v>
      </c>
      <c r="M272" s="115" t="s">
        <v>1109</v>
      </c>
      <c r="N272" s="115" t="s">
        <v>6504</v>
      </c>
      <c r="O272" s="115">
        <v>1.5</v>
      </c>
      <c r="P272" s="115" t="s">
        <v>1109</v>
      </c>
      <c r="Q272" s="166"/>
      <c r="R272" s="164"/>
      <c r="S272" s="164"/>
      <c r="T272" s="164"/>
      <c r="U272" s="164"/>
      <c r="V272" s="162"/>
      <c r="W272" s="158"/>
      <c r="X272" s="158"/>
      <c r="Y272" s="158"/>
      <c r="Z272" s="158"/>
      <c r="AA272" s="158"/>
      <c r="AB272" s="158"/>
      <c r="AC272" s="113">
        <v>465</v>
      </c>
      <c r="AD272" s="113">
        <v>65</v>
      </c>
      <c r="AE272" s="113">
        <v>80</v>
      </c>
      <c r="AF272" s="113">
        <v>140</v>
      </c>
      <c r="AG272" s="120">
        <v>40</v>
      </c>
      <c r="AH272" s="113">
        <v>70</v>
      </c>
      <c r="AI272" s="113">
        <v>70</v>
      </c>
    </row>
    <row r="273" spans="1:35">
      <c r="A273" s="113">
        <v>228</v>
      </c>
      <c r="B273" s="113" t="s">
        <v>255</v>
      </c>
      <c r="C273" s="120" t="s">
        <v>5498</v>
      </c>
      <c r="D273" s="124">
        <v>0.5</v>
      </c>
      <c r="E273" s="124">
        <v>0.5</v>
      </c>
      <c r="F273" s="113" t="s">
        <v>2332</v>
      </c>
      <c r="G273" s="113" t="s">
        <v>1974</v>
      </c>
      <c r="H273" s="113" t="s">
        <v>158</v>
      </c>
      <c r="I273" s="113" t="s">
        <v>19</v>
      </c>
      <c r="J273" s="118" t="s">
        <v>2129</v>
      </c>
      <c r="K273" s="118">
        <v>3</v>
      </c>
      <c r="L273" s="118" t="s">
        <v>5498</v>
      </c>
      <c r="M273" s="115" t="s">
        <v>1109</v>
      </c>
      <c r="N273" s="115" t="s">
        <v>6505</v>
      </c>
      <c r="O273" s="115">
        <v>1.5</v>
      </c>
      <c r="P273" s="115" t="s">
        <v>1109</v>
      </c>
      <c r="Q273" s="166"/>
      <c r="R273" s="164"/>
      <c r="S273" s="164"/>
      <c r="T273" s="164"/>
      <c r="U273" s="164"/>
      <c r="V273" s="162"/>
      <c r="W273" s="158"/>
      <c r="X273" s="158"/>
      <c r="Y273" s="158"/>
      <c r="Z273" s="158"/>
      <c r="AA273" s="158"/>
      <c r="AB273" s="158"/>
      <c r="AC273" s="113">
        <v>330</v>
      </c>
      <c r="AD273" s="113">
        <v>45</v>
      </c>
      <c r="AE273" s="113">
        <v>60</v>
      </c>
      <c r="AF273" s="113">
        <v>30</v>
      </c>
      <c r="AG273" s="120">
        <v>80</v>
      </c>
      <c r="AH273" s="113">
        <v>50</v>
      </c>
      <c r="AI273" s="113">
        <v>65</v>
      </c>
    </row>
    <row r="274" spans="1:35">
      <c r="A274" s="113">
        <v>229</v>
      </c>
      <c r="B274" s="113" t="s">
        <v>256</v>
      </c>
      <c r="C274" s="120" t="s">
        <v>5499</v>
      </c>
      <c r="D274" s="124">
        <v>0.5</v>
      </c>
      <c r="E274" s="124">
        <v>0.5</v>
      </c>
      <c r="F274" s="113" t="s">
        <v>2332</v>
      </c>
      <c r="G274" s="113" t="s">
        <v>1974</v>
      </c>
      <c r="H274" s="113" t="s">
        <v>158</v>
      </c>
      <c r="I274" s="113" t="s">
        <v>19</v>
      </c>
      <c r="J274" s="118" t="s">
        <v>2129</v>
      </c>
      <c r="K274" s="118">
        <v>3</v>
      </c>
      <c r="L274" s="118" t="s">
        <v>5498</v>
      </c>
      <c r="M274" s="115" t="s">
        <v>5498</v>
      </c>
      <c r="N274" s="115" t="s">
        <v>6504</v>
      </c>
      <c r="O274" s="115">
        <v>1.5</v>
      </c>
      <c r="P274" s="115" t="s">
        <v>2128</v>
      </c>
      <c r="Q274" s="166"/>
      <c r="R274" s="164"/>
      <c r="S274" s="164"/>
      <c r="T274" s="164"/>
      <c r="U274" s="164"/>
      <c r="V274" s="162"/>
      <c r="W274" s="158"/>
      <c r="X274" s="158"/>
      <c r="Y274" s="158"/>
      <c r="Z274" s="158"/>
      <c r="AA274" s="158"/>
      <c r="AB274" s="158"/>
      <c r="AC274" s="113">
        <v>500</v>
      </c>
      <c r="AD274" s="113">
        <v>75</v>
      </c>
      <c r="AE274" s="113">
        <v>90</v>
      </c>
      <c r="AF274" s="113">
        <v>50</v>
      </c>
      <c r="AG274" s="120">
        <v>110</v>
      </c>
      <c r="AH274" s="113">
        <v>80</v>
      </c>
      <c r="AI274" s="113">
        <v>95</v>
      </c>
    </row>
    <row r="275" spans="1:35">
      <c r="A275" s="113">
        <v>230</v>
      </c>
      <c r="B275" s="113" t="s">
        <v>257</v>
      </c>
      <c r="C275" s="120" t="s">
        <v>5501</v>
      </c>
      <c r="D275" s="124">
        <v>0.5</v>
      </c>
      <c r="E275" s="124">
        <v>0.5</v>
      </c>
      <c r="F275" s="113" t="s">
        <v>23</v>
      </c>
      <c r="G275" s="113" t="s">
        <v>1974</v>
      </c>
      <c r="H275" s="113" t="s">
        <v>25</v>
      </c>
      <c r="I275" s="113" t="s">
        <v>23</v>
      </c>
      <c r="J275" s="118" t="s">
        <v>2129</v>
      </c>
      <c r="K275" s="118">
        <v>2</v>
      </c>
      <c r="L275" s="118" t="s">
        <v>5365</v>
      </c>
      <c r="M275" s="115" t="s">
        <v>5366</v>
      </c>
      <c r="N275" s="115" t="s">
        <v>6504</v>
      </c>
      <c r="O275" s="115">
        <v>1.25</v>
      </c>
      <c r="P275" s="115" t="s">
        <v>2130</v>
      </c>
      <c r="Q275" s="166"/>
      <c r="R275" s="164"/>
      <c r="S275" s="164"/>
      <c r="T275" s="164"/>
      <c r="U275" s="164"/>
      <c r="V275" s="162"/>
      <c r="W275" s="158"/>
      <c r="X275" s="158"/>
      <c r="Y275" s="158"/>
      <c r="Z275" s="158"/>
      <c r="AA275" s="158"/>
      <c r="AB275" s="158"/>
      <c r="AC275" s="113">
        <v>540</v>
      </c>
      <c r="AD275" s="113">
        <v>75</v>
      </c>
      <c r="AE275" s="113">
        <v>95</v>
      </c>
      <c r="AF275" s="113">
        <v>95</v>
      </c>
      <c r="AG275" s="120">
        <v>95</v>
      </c>
      <c r="AH275" s="113">
        <v>95</v>
      </c>
      <c r="AI275" s="113">
        <v>85</v>
      </c>
    </row>
    <row r="276" spans="1:35">
      <c r="A276" s="113">
        <v>231</v>
      </c>
      <c r="B276" s="113" t="s">
        <v>258</v>
      </c>
      <c r="C276" s="120" t="s">
        <v>5502</v>
      </c>
      <c r="D276" s="124">
        <v>0.5</v>
      </c>
      <c r="E276" s="124">
        <v>0.5</v>
      </c>
      <c r="F276" s="113" t="s">
        <v>2332</v>
      </c>
      <c r="G276" s="113" t="s">
        <v>1974</v>
      </c>
      <c r="H276" s="113" t="s">
        <v>49</v>
      </c>
      <c r="I276" s="113" t="s">
        <v>1109</v>
      </c>
      <c r="J276" s="118" t="s">
        <v>2129</v>
      </c>
      <c r="K276" s="118">
        <v>3</v>
      </c>
      <c r="L276" s="118" t="s">
        <v>5502</v>
      </c>
      <c r="M276" s="115" t="s">
        <v>1109</v>
      </c>
      <c r="N276" s="115" t="s">
        <v>6505</v>
      </c>
      <c r="O276" s="115">
        <v>1.5</v>
      </c>
      <c r="P276" s="115" t="s">
        <v>1109</v>
      </c>
      <c r="Q276" s="166"/>
      <c r="R276" s="164"/>
      <c r="S276" s="164"/>
      <c r="T276" s="164"/>
      <c r="U276" s="164"/>
      <c r="V276" s="162"/>
      <c r="W276" s="158"/>
      <c r="X276" s="158"/>
      <c r="Y276" s="158"/>
      <c r="Z276" s="158"/>
      <c r="AA276" s="158"/>
      <c r="AB276" s="158"/>
      <c r="AC276" s="113">
        <v>330</v>
      </c>
      <c r="AD276" s="113">
        <v>90</v>
      </c>
      <c r="AE276" s="113">
        <v>60</v>
      </c>
      <c r="AF276" s="113">
        <v>60</v>
      </c>
      <c r="AG276" s="120">
        <v>40</v>
      </c>
      <c r="AH276" s="113">
        <v>40</v>
      </c>
      <c r="AI276" s="113">
        <v>40</v>
      </c>
    </row>
    <row r="277" spans="1:35">
      <c r="A277" s="113">
        <v>232</v>
      </c>
      <c r="B277" s="113" t="s">
        <v>259</v>
      </c>
      <c r="C277" s="120" t="s">
        <v>5503</v>
      </c>
      <c r="D277" s="124">
        <v>0.5</v>
      </c>
      <c r="E277" s="124">
        <v>0.5</v>
      </c>
      <c r="F277" s="113" t="s">
        <v>2332</v>
      </c>
      <c r="G277" s="113" t="s">
        <v>1974</v>
      </c>
      <c r="H277" s="113" t="s">
        <v>49</v>
      </c>
      <c r="I277" s="113" t="s">
        <v>1109</v>
      </c>
      <c r="J277" s="118" t="s">
        <v>2129</v>
      </c>
      <c r="K277" s="118">
        <v>3</v>
      </c>
      <c r="L277" s="118" t="s">
        <v>5502</v>
      </c>
      <c r="M277" s="115" t="s">
        <v>5502</v>
      </c>
      <c r="N277" s="115" t="s">
        <v>6504</v>
      </c>
      <c r="O277" s="115">
        <v>1.5</v>
      </c>
      <c r="P277" s="115" t="s">
        <v>2128</v>
      </c>
      <c r="Q277" s="166"/>
      <c r="R277" s="164"/>
      <c r="S277" s="164"/>
      <c r="T277" s="164"/>
      <c r="U277" s="164"/>
      <c r="V277" s="162"/>
      <c r="W277" s="158"/>
      <c r="X277" s="158"/>
      <c r="Y277" s="158"/>
      <c r="Z277" s="158"/>
      <c r="AA277" s="158"/>
      <c r="AB277" s="158"/>
      <c r="AC277" s="113">
        <v>500</v>
      </c>
      <c r="AD277" s="113">
        <v>90</v>
      </c>
      <c r="AE277" s="113">
        <v>120</v>
      </c>
      <c r="AF277" s="113">
        <v>120</v>
      </c>
      <c r="AG277" s="120">
        <v>60</v>
      </c>
      <c r="AH277" s="113">
        <v>60</v>
      </c>
      <c r="AI277" s="113">
        <v>50</v>
      </c>
    </row>
    <row r="278" spans="1:35">
      <c r="A278" s="113">
        <v>233</v>
      </c>
      <c r="B278" s="113" t="s">
        <v>260</v>
      </c>
      <c r="C278" s="120" t="s">
        <v>5504</v>
      </c>
      <c r="D278" s="124" t="s">
        <v>1109</v>
      </c>
      <c r="E278" s="124" t="s">
        <v>1109</v>
      </c>
      <c r="F278" s="113" t="s">
        <v>2112</v>
      </c>
      <c r="G278" s="113" t="s">
        <v>1974</v>
      </c>
      <c r="H278" s="113" t="s">
        <v>36</v>
      </c>
      <c r="I278" s="113" t="s">
        <v>1109</v>
      </c>
      <c r="J278" s="118" t="s">
        <v>2129</v>
      </c>
      <c r="K278" s="118">
        <v>3</v>
      </c>
      <c r="L278" s="118" t="s">
        <v>5391</v>
      </c>
      <c r="M278" s="115" t="s">
        <v>5391</v>
      </c>
      <c r="N278" s="115" t="s">
        <v>6506</v>
      </c>
      <c r="O278" s="115">
        <v>1.5</v>
      </c>
      <c r="P278" s="115" t="s">
        <v>2130</v>
      </c>
      <c r="Q278" s="166"/>
      <c r="R278" s="164"/>
      <c r="S278" s="164"/>
      <c r="T278" s="164"/>
      <c r="U278" s="164"/>
      <c r="V278" s="162"/>
      <c r="W278" s="158"/>
      <c r="X278" s="158"/>
      <c r="Y278" s="158"/>
      <c r="Z278" s="158"/>
      <c r="AA278" s="158"/>
      <c r="AB278" s="158"/>
      <c r="AC278" s="113">
        <v>515</v>
      </c>
      <c r="AD278" s="113">
        <v>85</v>
      </c>
      <c r="AE278" s="113">
        <v>80</v>
      </c>
      <c r="AF278" s="113">
        <v>90</v>
      </c>
      <c r="AG278" s="120">
        <v>105</v>
      </c>
      <c r="AH278" s="113">
        <v>95</v>
      </c>
      <c r="AI278" s="113">
        <v>60</v>
      </c>
    </row>
    <row r="279" spans="1:35">
      <c r="A279" s="113">
        <v>234</v>
      </c>
      <c r="B279" s="113" t="s">
        <v>261</v>
      </c>
      <c r="C279" s="120" t="s">
        <v>5505</v>
      </c>
      <c r="D279" s="124">
        <v>0.5</v>
      </c>
      <c r="E279" s="124">
        <v>0.5</v>
      </c>
      <c r="F279" s="113" t="s">
        <v>2332</v>
      </c>
      <c r="G279" s="113" t="s">
        <v>1974</v>
      </c>
      <c r="H279" s="113" t="s">
        <v>36</v>
      </c>
      <c r="I279" s="113" t="s">
        <v>1109</v>
      </c>
      <c r="J279" s="118" t="s">
        <v>2129</v>
      </c>
      <c r="K279" s="118">
        <v>3</v>
      </c>
      <c r="L279" s="118" t="s">
        <v>5505</v>
      </c>
      <c r="M279" s="115" t="s">
        <v>1109</v>
      </c>
      <c r="N279" s="115" t="s">
        <v>6505</v>
      </c>
      <c r="O279" s="115">
        <v>1.5</v>
      </c>
      <c r="P279" s="115" t="s">
        <v>1109</v>
      </c>
      <c r="Q279" s="166"/>
      <c r="R279" s="164"/>
      <c r="S279" s="164"/>
      <c r="T279" s="164"/>
      <c r="U279" s="164"/>
      <c r="V279" s="162"/>
      <c r="W279" s="158"/>
      <c r="X279" s="158"/>
      <c r="Y279" s="158"/>
      <c r="Z279" s="158"/>
      <c r="AA279" s="158"/>
      <c r="AB279" s="158"/>
      <c r="AC279" s="113">
        <v>465</v>
      </c>
      <c r="AD279" s="113">
        <v>73</v>
      </c>
      <c r="AE279" s="113">
        <v>95</v>
      </c>
      <c r="AF279" s="113">
        <v>62</v>
      </c>
      <c r="AG279" s="120">
        <v>85</v>
      </c>
      <c r="AH279" s="113">
        <v>65</v>
      </c>
      <c r="AI279" s="113">
        <v>85</v>
      </c>
    </row>
    <row r="280" spans="1:35">
      <c r="A280" s="113">
        <v>235</v>
      </c>
      <c r="B280" s="113" t="s">
        <v>262</v>
      </c>
      <c r="C280" s="120" t="s">
        <v>5506</v>
      </c>
      <c r="D280" s="124">
        <v>0.5</v>
      </c>
      <c r="E280" s="124">
        <v>0.5</v>
      </c>
      <c r="F280" s="113" t="s">
        <v>2332</v>
      </c>
      <c r="G280" s="113" t="s">
        <v>1974</v>
      </c>
      <c r="H280" s="113" t="s">
        <v>36</v>
      </c>
      <c r="I280" s="113" t="s">
        <v>1109</v>
      </c>
      <c r="J280" s="118" t="s">
        <v>2129</v>
      </c>
      <c r="K280" s="118">
        <v>3</v>
      </c>
      <c r="L280" s="118" t="s">
        <v>5506</v>
      </c>
      <c r="M280" s="115" t="s">
        <v>1109</v>
      </c>
      <c r="N280" s="115" t="s">
        <v>6504</v>
      </c>
      <c r="O280" s="115">
        <v>1.5</v>
      </c>
      <c r="P280" s="115" t="s">
        <v>1109</v>
      </c>
      <c r="Q280" s="166"/>
      <c r="R280" s="164"/>
      <c r="S280" s="164"/>
      <c r="T280" s="164"/>
      <c r="U280" s="164"/>
      <c r="V280" s="162"/>
      <c r="W280" s="158"/>
      <c r="X280" s="158"/>
      <c r="Y280" s="158"/>
      <c r="Z280" s="158"/>
      <c r="AA280" s="158"/>
      <c r="AB280" s="158"/>
      <c r="AC280" s="113">
        <v>250</v>
      </c>
      <c r="AD280" s="113">
        <v>55</v>
      </c>
      <c r="AE280" s="113">
        <v>20</v>
      </c>
      <c r="AF280" s="113">
        <v>35</v>
      </c>
      <c r="AG280" s="120">
        <v>20</v>
      </c>
      <c r="AH280" s="113">
        <v>45</v>
      </c>
      <c r="AI280" s="113">
        <v>75</v>
      </c>
    </row>
    <row r="281" spans="1:35">
      <c r="A281" s="113">
        <v>236</v>
      </c>
      <c r="B281" s="113" t="s">
        <v>263</v>
      </c>
      <c r="C281" s="120" t="s">
        <v>5507</v>
      </c>
      <c r="D281" s="124">
        <v>1</v>
      </c>
      <c r="E281" s="124">
        <v>0</v>
      </c>
      <c r="F281" s="113" t="s">
        <v>2333</v>
      </c>
      <c r="G281" s="113" t="s">
        <v>1974</v>
      </c>
      <c r="H281" s="113" t="s">
        <v>78</v>
      </c>
      <c r="I281" s="113" t="s">
        <v>1109</v>
      </c>
      <c r="J281" s="118" t="s">
        <v>2129</v>
      </c>
      <c r="K281" s="118">
        <v>3</v>
      </c>
      <c r="L281" s="118" t="s">
        <v>5507</v>
      </c>
      <c r="M281" s="115" t="s">
        <v>1109</v>
      </c>
      <c r="N281" s="115" t="s">
        <v>6507</v>
      </c>
      <c r="O281" s="115">
        <v>1.5</v>
      </c>
      <c r="P281" s="115" t="s">
        <v>1109</v>
      </c>
      <c r="Q281" s="166">
        <v>0.1</v>
      </c>
      <c r="R281" s="164"/>
      <c r="S281" s="164"/>
      <c r="T281" s="164"/>
      <c r="U281" s="164"/>
      <c r="V281" s="162"/>
      <c r="W281" s="158"/>
      <c r="X281" s="158"/>
      <c r="Y281" s="158"/>
      <c r="Z281" s="158"/>
      <c r="AA281" s="158"/>
      <c r="AB281" s="158"/>
      <c r="AC281" s="113">
        <v>210</v>
      </c>
      <c r="AD281" s="113">
        <v>35</v>
      </c>
      <c r="AE281" s="113">
        <v>35</v>
      </c>
      <c r="AF281" s="113">
        <v>35</v>
      </c>
      <c r="AG281" s="120">
        <v>35</v>
      </c>
      <c r="AH281" s="113">
        <v>35</v>
      </c>
      <c r="AI281" s="113">
        <v>35</v>
      </c>
    </row>
    <row r="282" spans="1:35">
      <c r="A282" s="113">
        <v>237</v>
      </c>
      <c r="B282" s="113" t="s">
        <v>264</v>
      </c>
      <c r="C282" s="120" t="s">
        <v>5508</v>
      </c>
      <c r="D282" s="124">
        <v>1</v>
      </c>
      <c r="E282" s="124">
        <v>0</v>
      </c>
      <c r="F282" s="113" t="s">
        <v>2334</v>
      </c>
      <c r="G282" s="113" t="s">
        <v>1974</v>
      </c>
      <c r="H282" s="113" t="s">
        <v>78</v>
      </c>
      <c r="I282" s="113" t="s">
        <v>1109</v>
      </c>
      <c r="J282" s="118" t="s">
        <v>2129</v>
      </c>
      <c r="K282" s="118">
        <v>3</v>
      </c>
      <c r="L282" s="118" t="s">
        <v>5507</v>
      </c>
      <c r="M282" s="115" t="s">
        <v>5507</v>
      </c>
      <c r="N282" s="115" t="s">
        <v>6504</v>
      </c>
      <c r="O282" s="115">
        <v>1.5</v>
      </c>
      <c r="P282" s="115" t="s">
        <v>2128</v>
      </c>
      <c r="Q282" s="166">
        <v>2</v>
      </c>
      <c r="R282" s="164">
        <v>50</v>
      </c>
      <c r="S282" s="164"/>
      <c r="T282" s="164"/>
      <c r="U282" s="164">
        <v>50</v>
      </c>
      <c r="V282" s="162"/>
      <c r="W282" s="158"/>
      <c r="X282" s="158"/>
      <c r="Y282" s="158"/>
      <c r="Z282" s="158"/>
      <c r="AA282" s="158"/>
      <c r="AB282" s="158"/>
      <c r="AC282" s="113">
        <v>455</v>
      </c>
      <c r="AD282" s="113">
        <v>50</v>
      </c>
      <c r="AE282" s="113">
        <v>95</v>
      </c>
      <c r="AF282" s="113">
        <v>95</v>
      </c>
      <c r="AG282" s="120">
        <v>35</v>
      </c>
      <c r="AH282" s="113">
        <v>110</v>
      </c>
      <c r="AI282" s="113">
        <v>70</v>
      </c>
    </row>
    <row r="283" spans="1:35">
      <c r="A283" s="113">
        <v>238</v>
      </c>
      <c r="B283" s="113" t="s">
        <v>265</v>
      </c>
      <c r="C283" s="120" t="s">
        <v>5509</v>
      </c>
      <c r="D283" s="124">
        <v>0</v>
      </c>
      <c r="E283" s="124">
        <v>1</v>
      </c>
      <c r="F283" s="113" t="s">
        <v>2333</v>
      </c>
      <c r="G283" s="113" t="s">
        <v>1974</v>
      </c>
      <c r="H283" s="113" t="s">
        <v>113</v>
      </c>
      <c r="I283" s="113" t="s">
        <v>86</v>
      </c>
      <c r="J283" s="118" t="s">
        <v>2129</v>
      </c>
      <c r="K283" s="118">
        <v>3</v>
      </c>
      <c r="L283" s="118" t="s">
        <v>5509</v>
      </c>
      <c r="M283" s="115" t="s">
        <v>1109</v>
      </c>
      <c r="N283" s="115" t="s">
        <v>6507</v>
      </c>
      <c r="O283" s="115">
        <v>1.5</v>
      </c>
      <c r="P283" s="115" t="s">
        <v>1109</v>
      </c>
      <c r="Q283" s="166">
        <v>0.1</v>
      </c>
      <c r="R283" s="164"/>
      <c r="S283" s="164"/>
      <c r="T283" s="164"/>
      <c r="U283" s="164"/>
      <c r="V283" s="162"/>
      <c r="W283" s="158"/>
      <c r="X283" s="158"/>
      <c r="Y283" s="158"/>
      <c r="Z283" s="158"/>
      <c r="AA283" s="158"/>
      <c r="AB283" s="158"/>
      <c r="AC283" s="113">
        <v>305</v>
      </c>
      <c r="AD283" s="113">
        <v>45</v>
      </c>
      <c r="AE283" s="113">
        <v>30</v>
      </c>
      <c r="AF283" s="113">
        <v>15</v>
      </c>
      <c r="AG283" s="120">
        <v>85</v>
      </c>
      <c r="AH283" s="113">
        <v>65</v>
      </c>
      <c r="AI283" s="113">
        <v>65</v>
      </c>
    </row>
    <row r="284" spans="1:35">
      <c r="A284" s="113">
        <v>239</v>
      </c>
      <c r="B284" s="113" t="s">
        <v>266</v>
      </c>
      <c r="C284" s="120" t="s">
        <v>5510</v>
      </c>
      <c r="D284" s="124">
        <v>0.75</v>
      </c>
      <c r="E284" s="124">
        <v>0.25</v>
      </c>
      <c r="F284" s="113" t="s">
        <v>2333</v>
      </c>
      <c r="G284" s="113" t="s">
        <v>1974</v>
      </c>
      <c r="H284" s="113" t="s">
        <v>46</v>
      </c>
      <c r="I284" s="113" t="s">
        <v>1109</v>
      </c>
      <c r="J284" s="118" t="s">
        <v>2129</v>
      </c>
      <c r="K284" s="118">
        <v>3</v>
      </c>
      <c r="L284" s="118" t="s">
        <v>5510</v>
      </c>
      <c r="M284" s="115" t="s">
        <v>1109</v>
      </c>
      <c r="N284" s="115" t="s">
        <v>6507</v>
      </c>
      <c r="O284" s="115">
        <v>1.5</v>
      </c>
      <c r="P284" s="115" t="s">
        <v>1109</v>
      </c>
      <c r="Q284" s="166">
        <v>0.1</v>
      </c>
      <c r="R284" s="164"/>
      <c r="S284" s="164"/>
      <c r="T284" s="164"/>
      <c r="U284" s="164"/>
      <c r="V284" s="162"/>
      <c r="W284" s="158"/>
      <c r="X284" s="158"/>
      <c r="Y284" s="158"/>
      <c r="Z284" s="158"/>
      <c r="AA284" s="158"/>
      <c r="AB284" s="158"/>
      <c r="AC284" s="113">
        <v>360</v>
      </c>
      <c r="AD284" s="113">
        <v>45</v>
      </c>
      <c r="AE284" s="113">
        <v>63</v>
      </c>
      <c r="AF284" s="113">
        <v>37</v>
      </c>
      <c r="AG284" s="120">
        <v>65</v>
      </c>
      <c r="AH284" s="113">
        <v>55</v>
      </c>
      <c r="AI284" s="113">
        <v>95</v>
      </c>
    </row>
    <row r="285" spans="1:35">
      <c r="A285" s="113">
        <v>240</v>
      </c>
      <c r="B285" s="113" t="s">
        <v>267</v>
      </c>
      <c r="C285" s="120" t="s">
        <v>5511</v>
      </c>
      <c r="D285" s="124">
        <v>0.75</v>
      </c>
      <c r="E285" s="124">
        <v>0.25</v>
      </c>
      <c r="F285" s="113" t="s">
        <v>2333</v>
      </c>
      <c r="G285" s="113" t="s">
        <v>1974</v>
      </c>
      <c r="H285" s="113" t="s">
        <v>19</v>
      </c>
      <c r="I285" s="113" t="s">
        <v>1109</v>
      </c>
      <c r="J285" s="118" t="s">
        <v>2129</v>
      </c>
      <c r="K285" s="118">
        <v>3</v>
      </c>
      <c r="L285" s="118" t="s">
        <v>5511</v>
      </c>
      <c r="M285" s="115" t="s">
        <v>1109</v>
      </c>
      <c r="N285" s="115" t="s">
        <v>6507</v>
      </c>
      <c r="O285" s="115">
        <v>1.5</v>
      </c>
      <c r="P285" s="115" t="s">
        <v>1109</v>
      </c>
      <c r="Q285" s="166">
        <v>0.1</v>
      </c>
      <c r="R285" s="164"/>
      <c r="S285" s="164"/>
      <c r="T285" s="164"/>
      <c r="U285" s="164"/>
      <c r="V285" s="162"/>
      <c r="W285" s="158"/>
      <c r="X285" s="158"/>
      <c r="Y285" s="158"/>
      <c r="Z285" s="158"/>
      <c r="AA285" s="158"/>
      <c r="AB285" s="158"/>
      <c r="AC285" s="113">
        <v>365</v>
      </c>
      <c r="AD285" s="113">
        <v>45</v>
      </c>
      <c r="AE285" s="113">
        <v>75</v>
      </c>
      <c r="AF285" s="113">
        <v>37</v>
      </c>
      <c r="AG285" s="120">
        <v>70</v>
      </c>
      <c r="AH285" s="113">
        <v>55</v>
      </c>
      <c r="AI285" s="113">
        <v>83</v>
      </c>
    </row>
    <row r="286" spans="1:35">
      <c r="A286" s="113">
        <v>241</v>
      </c>
      <c r="B286" s="113" t="s">
        <v>268</v>
      </c>
      <c r="C286" s="120" t="s">
        <v>5512</v>
      </c>
      <c r="D286" s="124">
        <v>0</v>
      </c>
      <c r="E286" s="124">
        <v>1</v>
      </c>
      <c r="F286" s="113" t="s">
        <v>2332</v>
      </c>
      <c r="G286" s="113" t="s">
        <v>1974</v>
      </c>
      <c r="H286" s="113" t="s">
        <v>36</v>
      </c>
      <c r="I286" s="113" t="s">
        <v>1109</v>
      </c>
      <c r="J286" s="118" t="s">
        <v>2129</v>
      </c>
      <c r="K286" s="118">
        <v>3</v>
      </c>
      <c r="L286" s="118" t="s">
        <v>5512</v>
      </c>
      <c r="M286" s="115" t="s">
        <v>1109</v>
      </c>
      <c r="N286" s="115" t="s">
        <v>6504</v>
      </c>
      <c r="O286" s="115">
        <v>1.5</v>
      </c>
      <c r="P286" s="115" t="s">
        <v>1109</v>
      </c>
      <c r="Q286" s="166"/>
      <c r="R286" s="164"/>
      <c r="S286" s="164"/>
      <c r="T286" s="164"/>
      <c r="U286" s="164"/>
      <c r="V286" s="162"/>
      <c r="W286" s="158"/>
      <c r="X286" s="158"/>
      <c r="Y286" s="158"/>
      <c r="Z286" s="158"/>
      <c r="AA286" s="158"/>
      <c r="AB286" s="158"/>
      <c r="AC286" s="113">
        <v>490</v>
      </c>
      <c r="AD286" s="113">
        <v>95</v>
      </c>
      <c r="AE286" s="113">
        <v>80</v>
      </c>
      <c r="AF286" s="113">
        <v>105</v>
      </c>
      <c r="AG286" s="120">
        <v>40</v>
      </c>
      <c r="AH286" s="113">
        <v>70</v>
      </c>
      <c r="AI286" s="113">
        <v>100</v>
      </c>
    </row>
    <row r="287" spans="1:35">
      <c r="A287" s="113">
        <v>242</v>
      </c>
      <c r="B287" s="113" t="s">
        <v>269</v>
      </c>
      <c r="C287" s="120" t="s">
        <v>5513</v>
      </c>
      <c r="D287" s="124">
        <v>0</v>
      </c>
      <c r="E287" s="124">
        <v>1</v>
      </c>
      <c r="F287" s="113" t="s">
        <v>56</v>
      </c>
      <c r="G287" s="113" t="s">
        <v>1974</v>
      </c>
      <c r="H287" s="113" t="s">
        <v>36</v>
      </c>
      <c r="I287" s="113" t="s">
        <v>1109</v>
      </c>
      <c r="J287" s="118" t="s">
        <v>2129</v>
      </c>
      <c r="K287" s="118">
        <v>3</v>
      </c>
      <c r="L287" s="118" t="s">
        <v>5742</v>
      </c>
      <c r="M287" s="115" t="s">
        <v>5361</v>
      </c>
      <c r="N287" s="115" t="s">
        <v>6504</v>
      </c>
      <c r="O287" s="115">
        <v>1.5</v>
      </c>
      <c r="P287" s="115" t="s">
        <v>2128</v>
      </c>
      <c r="Q287" s="166">
        <v>2</v>
      </c>
      <c r="R287" s="164"/>
      <c r="S287" s="164"/>
      <c r="T287" s="164">
        <v>80</v>
      </c>
      <c r="U287" s="164"/>
      <c r="V287" s="162"/>
      <c r="W287" s="158" t="s">
        <v>6531</v>
      </c>
      <c r="X287" s="158"/>
      <c r="Y287" s="158">
        <v>70</v>
      </c>
      <c r="Z287" s="158">
        <v>8</v>
      </c>
      <c r="AA287" s="158"/>
      <c r="AB287" s="158"/>
      <c r="AC287" s="113">
        <v>540</v>
      </c>
      <c r="AD287" s="113">
        <v>255</v>
      </c>
      <c r="AE287" s="113">
        <v>10</v>
      </c>
      <c r="AF287" s="113">
        <v>10</v>
      </c>
      <c r="AG287" s="120">
        <v>75</v>
      </c>
      <c r="AH287" s="113">
        <v>135</v>
      </c>
      <c r="AI287" s="113">
        <v>55</v>
      </c>
    </row>
    <row r="288" spans="1:35">
      <c r="A288" s="113">
        <v>243</v>
      </c>
      <c r="B288" s="113" t="s">
        <v>270</v>
      </c>
      <c r="C288" s="120" t="s">
        <v>5514</v>
      </c>
      <c r="D288" s="124" t="s">
        <v>1109</v>
      </c>
      <c r="E288" s="124" t="s">
        <v>1109</v>
      </c>
      <c r="F288" s="113" t="s">
        <v>2333</v>
      </c>
      <c r="G288" s="113" t="s">
        <v>1974</v>
      </c>
      <c r="H288" s="113" t="s">
        <v>46</v>
      </c>
      <c r="I288" s="113" t="s">
        <v>1109</v>
      </c>
      <c r="J288" s="118" t="s">
        <v>12</v>
      </c>
      <c r="K288" s="118">
        <v>5</v>
      </c>
      <c r="L288" s="118" t="s">
        <v>5514</v>
      </c>
      <c r="M288" s="115" t="s">
        <v>1109</v>
      </c>
      <c r="N288" s="115" t="s">
        <v>6504</v>
      </c>
      <c r="O288" s="115">
        <v>2</v>
      </c>
      <c r="P288" s="115" t="s">
        <v>1109</v>
      </c>
      <c r="Q288" s="166"/>
      <c r="R288" s="164"/>
      <c r="S288" s="164"/>
      <c r="T288" s="164"/>
      <c r="U288" s="164"/>
      <c r="V288" s="162"/>
      <c r="W288" s="158"/>
      <c r="X288" s="158"/>
      <c r="Y288" s="158"/>
      <c r="Z288" s="158"/>
      <c r="AA288" s="158"/>
      <c r="AB288" s="158"/>
      <c r="AC288" s="113">
        <v>580</v>
      </c>
      <c r="AD288" s="113">
        <v>90</v>
      </c>
      <c r="AE288" s="113">
        <v>85</v>
      </c>
      <c r="AF288" s="113">
        <v>75</v>
      </c>
      <c r="AG288" s="120">
        <v>115</v>
      </c>
      <c r="AH288" s="113">
        <v>100</v>
      </c>
      <c r="AI288" s="113">
        <v>115</v>
      </c>
    </row>
    <row r="289" spans="1:35">
      <c r="A289" s="113">
        <v>244</v>
      </c>
      <c r="B289" s="113" t="s">
        <v>271</v>
      </c>
      <c r="C289" s="120" t="s">
        <v>5515</v>
      </c>
      <c r="D289" s="124" t="s">
        <v>1109</v>
      </c>
      <c r="E289" s="124" t="s">
        <v>1109</v>
      </c>
      <c r="F289" s="113" t="s">
        <v>2333</v>
      </c>
      <c r="G289" s="113" t="s">
        <v>1974</v>
      </c>
      <c r="H289" s="113" t="s">
        <v>19</v>
      </c>
      <c r="I289" s="113" t="s">
        <v>1109</v>
      </c>
      <c r="J289" s="118" t="s">
        <v>12</v>
      </c>
      <c r="K289" s="118">
        <v>5</v>
      </c>
      <c r="L289" s="118" t="s">
        <v>5515</v>
      </c>
      <c r="M289" s="115" t="s">
        <v>1109</v>
      </c>
      <c r="N289" s="115" t="s">
        <v>6504</v>
      </c>
      <c r="O289" s="115">
        <v>2</v>
      </c>
      <c r="P289" s="115" t="s">
        <v>1109</v>
      </c>
      <c r="Q289" s="166"/>
      <c r="R289" s="164"/>
      <c r="S289" s="164"/>
      <c r="T289" s="164"/>
      <c r="U289" s="164"/>
      <c r="V289" s="162"/>
      <c r="W289" s="158"/>
      <c r="X289" s="158"/>
      <c r="Y289" s="158"/>
      <c r="Z289" s="158"/>
      <c r="AA289" s="158"/>
      <c r="AB289" s="158"/>
      <c r="AC289" s="113">
        <v>580</v>
      </c>
      <c r="AD289" s="113">
        <v>115</v>
      </c>
      <c r="AE289" s="113">
        <v>115</v>
      </c>
      <c r="AF289" s="113">
        <v>85</v>
      </c>
      <c r="AG289" s="120">
        <v>90</v>
      </c>
      <c r="AH289" s="113">
        <v>75</v>
      </c>
      <c r="AI289" s="113">
        <v>100</v>
      </c>
    </row>
    <row r="290" spans="1:35">
      <c r="A290" s="113">
        <v>245</v>
      </c>
      <c r="B290" s="113" t="s">
        <v>272</v>
      </c>
      <c r="C290" s="120" t="s">
        <v>5516</v>
      </c>
      <c r="D290" s="124" t="s">
        <v>1109</v>
      </c>
      <c r="E290" s="124" t="s">
        <v>1109</v>
      </c>
      <c r="F290" s="113" t="s">
        <v>2333</v>
      </c>
      <c r="G290" s="113" t="s">
        <v>1974</v>
      </c>
      <c r="H290" s="113" t="s">
        <v>25</v>
      </c>
      <c r="I290" s="113" t="s">
        <v>1109</v>
      </c>
      <c r="J290" s="118" t="s">
        <v>12</v>
      </c>
      <c r="K290" s="118">
        <v>5</v>
      </c>
      <c r="L290" s="118" t="s">
        <v>5516</v>
      </c>
      <c r="M290" s="115" t="s">
        <v>1109</v>
      </c>
      <c r="N290" s="115" t="s">
        <v>6504</v>
      </c>
      <c r="O290" s="115">
        <v>2</v>
      </c>
      <c r="P290" s="115" t="s">
        <v>1109</v>
      </c>
      <c r="Q290" s="166"/>
      <c r="R290" s="164"/>
      <c r="S290" s="164"/>
      <c r="T290" s="164"/>
      <c r="U290" s="164"/>
      <c r="V290" s="162"/>
      <c r="W290" s="158"/>
      <c r="X290" s="158"/>
      <c r="Y290" s="158"/>
      <c r="Z290" s="158"/>
      <c r="AA290" s="158"/>
      <c r="AB290" s="158"/>
      <c r="AC290" s="113">
        <v>580</v>
      </c>
      <c r="AD290" s="113">
        <v>100</v>
      </c>
      <c r="AE290" s="113">
        <v>75</v>
      </c>
      <c r="AF290" s="113">
        <v>115</v>
      </c>
      <c r="AG290" s="120">
        <v>90</v>
      </c>
      <c r="AH290" s="113">
        <v>115</v>
      </c>
      <c r="AI290" s="113">
        <v>85</v>
      </c>
    </row>
    <row r="291" spans="1:35">
      <c r="A291" s="113">
        <v>246</v>
      </c>
      <c r="B291" s="113" t="s">
        <v>273</v>
      </c>
      <c r="C291" s="120" t="s">
        <v>5517</v>
      </c>
      <c r="D291" s="124">
        <v>0.5</v>
      </c>
      <c r="E291" s="124">
        <v>0.5</v>
      </c>
      <c r="F291" s="113" t="s">
        <v>2330</v>
      </c>
      <c r="G291" s="113" t="s">
        <v>1974</v>
      </c>
      <c r="H291" s="113" t="s">
        <v>98</v>
      </c>
      <c r="I291" s="113" t="s">
        <v>49</v>
      </c>
      <c r="J291" s="118" t="s">
        <v>2129</v>
      </c>
      <c r="K291" s="118">
        <v>3</v>
      </c>
      <c r="L291" s="118" t="s">
        <v>5517</v>
      </c>
      <c r="M291" s="115" t="s">
        <v>1109</v>
      </c>
      <c r="N291" s="115" t="s">
        <v>6505</v>
      </c>
      <c r="O291" s="115">
        <v>1.5</v>
      </c>
      <c r="P291" s="115" t="s">
        <v>1109</v>
      </c>
      <c r="Q291" s="166"/>
      <c r="R291" s="164"/>
      <c r="S291" s="164"/>
      <c r="T291" s="164"/>
      <c r="U291" s="164"/>
      <c r="V291" s="162"/>
      <c r="W291" s="158"/>
      <c r="X291" s="158"/>
      <c r="Y291" s="158"/>
      <c r="Z291" s="158"/>
      <c r="AA291" s="158"/>
      <c r="AB291" s="158"/>
      <c r="AC291" s="113">
        <v>300</v>
      </c>
      <c r="AD291" s="113">
        <v>50</v>
      </c>
      <c r="AE291" s="113">
        <v>64</v>
      </c>
      <c r="AF291" s="113">
        <v>50</v>
      </c>
      <c r="AG291" s="120">
        <v>45</v>
      </c>
      <c r="AH291" s="113">
        <v>50</v>
      </c>
      <c r="AI291" s="113">
        <v>41</v>
      </c>
    </row>
    <row r="292" spans="1:35">
      <c r="A292" s="113">
        <v>247</v>
      </c>
      <c r="B292" s="113" t="s">
        <v>274</v>
      </c>
      <c r="C292" s="120" t="s">
        <v>5518</v>
      </c>
      <c r="D292" s="124">
        <v>0.5</v>
      </c>
      <c r="E292" s="124">
        <v>0.5</v>
      </c>
      <c r="F292" s="113" t="s">
        <v>2330</v>
      </c>
      <c r="G292" s="113" t="s">
        <v>1974</v>
      </c>
      <c r="H292" s="113" t="s">
        <v>98</v>
      </c>
      <c r="I292" s="113" t="s">
        <v>49</v>
      </c>
      <c r="J292" s="118" t="s">
        <v>2129</v>
      </c>
      <c r="K292" s="118">
        <v>3</v>
      </c>
      <c r="L292" s="118" t="s">
        <v>5517</v>
      </c>
      <c r="M292" s="115" t="s">
        <v>5517</v>
      </c>
      <c r="N292" s="115" t="s">
        <v>6506</v>
      </c>
      <c r="O292" s="115">
        <v>1.5</v>
      </c>
      <c r="P292" s="115" t="s">
        <v>2128</v>
      </c>
      <c r="Q292" s="166"/>
      <c r="R292" s="164"/>
      <c r="S292" s="164"/>
      <c r="T292" s="164"/>
      <c r="U292" s="164"/>
      <c r="V292" s="162"/>
      <c r="W292" s="158"/>
      <c r="X292" s="158"/>
      <c r="Y292" s="158"/>
      <c r="Z292" s="158"/>
      <c r="AA292" s="158"/>
      <c r="AB292" s="158"/>
      <c r="AC292" s="113">
        <v>410</v>
      </c>
      <c r="AD292" s="113">
        <v>70</v>
      </c>
      <c r="AE292" s="113">
        <v>84</v>
      </c>
      <c r="AF292" s="113">
        <v>70</v>
      </c>
      <c r="AG292" s="120">
        <v>65</v>
      </c>
      <c r="AH292" s="113">
        <v>70</v>
      </c>
      <c r="AI292" s="113">
        <v>51</v>
      </c>
    </row>
    <row r="293" spans="1:35">
      <c r="A293" s="113">
        <v>248</v>
      </c>
      <c r="B293" s="113" t="s">
        <v>275</v>
      </c>
      <c r="C293" s="120" t="s">
        <v>5519</v>
      </c>
      <c r="D293" s="124">
        <v>0.5</v>
      </c>
      <c r="E293" s="124">
        <v>0.5</v>
      </c>
      <c r="F293" s="113" t="s">
        <v>2330</v>
      </c>
      <c r="G293" s="113" t="s">
        <v>1974</v>
      </c>
      <c r="H293" s="113" t="s">
        <v>98</v>
      </c>
      <c r="I293" s="113" t="s">
        <v>158</v>
      </c>
      <c r="J293" s="118" t="s">
        <v>2129</v>
      </c>
      <c r="K293" s="118">
        <v>3</v>
      </c>
      <c r="L293" s="118" t="s">
        <v>5517</v>
      </c>
      <c r="M293" s="115" t="s">
        <v>5518</v>
      </c>
      <c r="N293" s="115" t="s">
        <v>6504</v>
      </c>
      <c r="O293" s="115">
        <v>1.5</v>
      </c>
      <c r="P293" s="115" t="s">
        <v>2128</v>
      </c>
      <c r="Q293" s="166"/>
      <c r="R293" s="164"/>
      <c r="S293" s="164"/>
      <c r="T293" s="164"/>
      <c r="U293" s="164"/>
      <c r="V293" s="162"/>
      <c r="W293" s="158"/>
      <c r="X293" s="158"/>
      <c r="Y293" s="158"/>
      <c r="Z293" s="158"/>
      <c r="AA293" s="158"/>
      <c r="AB293" s="158"/>
      <c r="AC293" s="113">
        <v>600</v>
      </c>
      <c r="AD293" s="113">
        <v>100</v>
      </c>
      <c r="AE293" s="113">
        <v>134</v>
      </c>
      <c r="AF293" s="113">
        <v>110</v>
      </c>
      <c r="AG293" s="120">
        <v>95</v>
      </c>
      <c r="AH293" s="113">
        <v>100</v>
      </c>
      <c r="AI293" s="113">
        <v>61</v>
      </c>
    </row>
    <row r="294" spans="1:35">
      <c r="A294" s="113">
        <v>249</v>
      </c>
      <c r="B294" s="113" t="s">
        <v>276</v>
      </c>
      <c r="C294" s="120" t="s">
        <v>5521</v>
      </c>
      <c r="D294" s="124" t="s">
        <v>1109</v>
      </c>
      <c r="E294" s="124" t="s">
        <v>1109</v>
      </c>
      <c r="F294" s="113" t="s">
        <v>2333</v>
      </c>
      <c r="G294" s="113" t="s">
        <v>1974</v>
      </c>
      <c r="H294" s="113" t="s">
        <v>86</v>
      </c>
      <c r="I294" s="113" t="s">
        <v>22</v>
      </c>
      <c r="J294" s="118" t="s">
        <v>12</v>
      </c>
      <c r="K294" s="118">
        <v>5</v>
      </c>
      <c r="L294" s="118" t="s">
        <v>5521</v>
      </c>
      <c r="M294" s="115" t="s">
        <v>1109</v>
      </c>
      <c r="N294" s="115" t="s">
        <v>6504</v>
      </c>
      <c r="O294" s="115">
        <v>2</v>
      </c>
      <c r="P294" s="115" t="s">
        <v>1109</v>
      </c>
      <c r="Q294" s="166"/>
      <c r="R294" s="164"/>
      <c r="S294" s="164"/>
      <c r="T294" s="164"/>
      <c r="U294" s="164"/>
      <c r="V294" s="162"/>
      <c r="W294" s="158"/>
      <c r="X294" s="158"/>
      <c r="Y294" s="158"/>
      <c r="Z294" s="158"/>
      <c r="AA294" s="158"/>
      <c r="AB294" s="158"/>
      <c r="AC294" s="113">
        <v>680</v>
      </c>
      <c r="AD294" s="113">
        <v>106</v>
      </c>
      <c r="AE294" s="113">
        <v>90</v>
      </c>
      <c r="AF294" s="113">
        <v>130</v>
      </c>
      <c r="AG294" s="120">
        <v>90</v>
      </c>
      <c r="AH294" s="113">
        <v>154</v>
      </c>
      <c r="AI294" s="113">
        <v>110</v>
      </c>
    </row>
    <row r="295" spans="1:35">
      <c r="A295" s="113">
        <v>250</v>
      </c>
      <c r="B295" s="113" t="s">
        <v>1489</v>
      </c>
      <c r="C295" s="120" t="s">
        <v>5522</v>
      </c>
      <c r="D295" s="124" t="s">
        <v>1109</v>
      </c>
      <c r="E295" s="124" t="s">
        <v>1109</v>
      </c>
      <c r="F295" s="113" t="s">
        <v>2333</v>
      </c>
      <c r="G295" s="113" t="s">
        <v>1974</v>
      </c>
      <c r="H295" s="113" t="s">
        <v>19</v>
      </c>
      <c r="I295" s="113" t="s">
        <v>22</v>
      </c>
      <c r="J295" s="118" t="s">
        <v>12</v>
      </c>
      <c r="K295" s="118">
        <v>5</v>
      </c>
      <c r="L295" s="118" t="s">
        <v>5522</v>
      </c>
      <c r="M295" s="115" t="s">
        <v>1109</v>
      </c>
      <c r="N295" s="115" t="s">
        <v>6504</v>
      </c>
      <c r="O295" s="115">
        <v>2</v>
      </c>
      <c r="P295" s="115" t="s">
        <v>1109</v>
      </c>
      <c r="Q295" s="166"/>
      <c r="R295" s="164"/>
      <c r="S295" s="164"/>
      <c r="T295" s="164"/>
      <c r="U295" s="164"/>
      <c r="V295" s="162"/>
      <c r="W295" s="158"/>
      <c r="X295" s="158"/>
      <c r="Y295" s="158"/>
      <c r="Z295" s="158"/>
      <c r="AA295" s="158"/>
      <c r="AB295" s="158"/>
      <c r="AC295" s="113">
        <v>680</v>
      </c>
      <c r="AD295" s="113">
        <v>106</v>
      </c>
      <c r="AE295" s="113">
        <v>130</v>
      </c>
      <c r="AF295" s="113">
        <v>90</v>
      </c>
      <c r="AG295" s="120">
        <v>110</v>
      </c>
      <c r="AH295" s="113">
        <v>154</v>
      </c>
      <c r="AI295" s="113">
        <v>90</v>
      </c>
    </row>
    <row r="296" spans="1:35">
      <c r="A296" s="113">
        <v>251</v>
      </c>
      <c r="B296" s="113" t="s">
        <v>278</v>
      </c>
      <c r="C296" s="120" t="s">
        <v>5523</v>
      </c>
      <c r="D296" s="124" t="s">
        <v>1109</v>
      </c>
      <c r="E296" s="124" t="s">
        <v>1109</v>
      </c>
      <c r="F296" s="113" t="s">
        <v>2333</v>
      </c>
      <c r="G296" s="113" t="s">
        <v>1974</v>
      </c>
      <c r="H296" s="113" t="s">
        <v>86</v>
      </c>
      <c r="I296" s="113" t="s">
        <v>14</v>
      </c>
      <c r="J296" s="118" t="s">
        <v>12</v>
      </c>
      <c r="K296" s="118">
        <v>5</v>
      </c>
      <c r="L296" s="118" t="s">
        <v>5523</v>
      </c>
      <c r="M296" s="115" t="s">
        <v>1109</v>
      </c>
      <c r="N296" s="115" t="s">
        <v>6504</v>
      </c>
      <c r="O296" s="115">
        <v>2</v>
      </c>
      <c r="P296" s="115" t="s">
        <v>1109</v>
      </c>
      <c r="Q296" s="166"/>
      <c r="R296" s="164"/>
      <c r="S296" s="164"/>
      <c r="T296" s="164"/>
      <c r="U296" s="164"/>
      <c r="V296" s="162"/>
      <c r="W296" s="158"/>
      <c r="X296" s="158"/>
      <c r="Y296" s="158"/>
      <c r="Z296" s="158"/>
      <c r="AA296" s="158"/>
      <c r="AB296" s="158"/>
      <c r="AC296" s="113">
        <v>600</v>
      </c>
      <c r="AD296" s="113">
        <v>100</v>
      </c>
      <c r="AE296" s="113">
        <v>100</v>
      </c>
      <c r="AF296" s="113">
        <v>100</v>
      </c>
      <c r="AG296" s="120">
        <v>100</v>
      </c>
      <c r="AH296" s="113">
        <v>100</v>
      </c>
      <c r="AI296" s="113">
        <v>100</v>
      </c>
    </row>
    <row r="297" spans="1:35">
      <c r="A297" s="113">
        <v>252</v>
      </c>
      <c r="B297" s="113" t="s">
        <v>279</v>
      </c>
      <c r="C297" s="120" t="s">
        <v>5524</v>
      </c>
      <c r="D297" s="124">
        <v>0.85</v>
      </c>
      <c r="E297" s="124">
        <v>0.15</v>
      </c>
      <c r="F297" s="113" t="s">
        <v>23</v>
      </c>
      <c r="G297" s="113" t="s">
        <v>2119</v>
      </c>
      <c r="H297" s="113" t="s">
        <v>14</v>
      </c>
      <c r="I297" s="113" t="s">
        <v>1109</v>
      </c>
      <c r="J297" s="118" t="s">
        <v>792</v>
      </c>
      <c r="K297" s="118">
        <v>4</v>
      </c>
      <c r="L297" s="118" t="s">
        <v>5524</v>
      </c>
      <c r="M297" s="115" t="s">
        <v>1109</v>
      </c>
      <c r="N297" s="115" t="s">
        <v>6505</v>
      </c>
      <c r="O297" s="115">
        <v>1.75</v>
      </c>
      <c r="P297" s="115" t="s">
        <v>1109</v>
      </c>
      <c r="Q297" s="166"/>
      <c r="R297" s="164"/>
      <c r="S297" s="164"/>
      <c r="T297" s="164"/>
      <c r="U297" s="164"/>
      <c r="V297" s="162"/>
      <c r="W297" s="158"/>
      <c r="X297" s="158"/>
      <c r="Y297" s="158"/>
      <c r="Z297" s="158"/>
      <c r="AA297" s="158"/>
      <c r="AB297" s="158"/>
      <c r="AC297" s="113">
        <v>310</v>
      </c>
      <c r="AD297" s="113">
        <v>40</v>
      </c>
      <c r="AE297" s="113">
        <v>45</v>
      </c>
      <c r="AF297" s="113">
        <v>35</v>
      </c>
      <c r="AG297" s="120">
        <v>65</v>
      </c>
      <c r="AH297" s="113">
        <v>55</v>
      </c>
      <c r="AI297" s="113">
        <v>70</v>
      </c>
    </row>
    <row r="298" spans="1:35">
      <c r="A298" s="113">
        <v>253</v>
      </c>
      <c r="B298" s="113" t="s">
        <v>280</v>
      </c>
      <c r="C298" s="120" t="s">
        <v>5525</v>
      </c>
      <c r="D298" s="124">
        <v>0.85</v>
      </c>
      <c r="E298" s="124">
        <v>0.15</v>
      </c>
      <c r="F298" s="113" t="s">
        <v>23</v>
      </c>
      <c r="G298" s="113" t="s">
        <v>2119</v>
      </c>
      <c r="H298" s="113" t="s">
        <v>14</v>
      </c>
      <c r="I298" s="113" t="s">
        <v>1109</v>
      </c>
      <c r="J298" s="118" t="s">
        <v>792</v>
      </c>
      <c r="K298" s="118">
        <v>4</v>
      </c>
      <c r="L298" s="118" t="s">
        <v>5524</v>
      </c>
      <c r="M298" s="115" t="s">
        <v>5524</v>
      </c>
      <c r="N298" s="115" t="s">
        <v>6506</v>
      </c>
      <c r="O298" s="115">
        <v>1.75</v>
      </c>
      <c r="P298" s="115" t="s">
        <v>2128</v>
      </c>
      <c r="Q298" s="166"/>
      <c r="R298" s="164"/>
      <c r="S298" s="164"/>
      <c r="T298" s="164"/>
      <c r="U298" s="164"/>
      <c r="V298" s="162"/>
      <c r="W298" s="158"/>
      <c r="X298" s="158"/>
      <c r="Y298" s="158"/>
      <c r="Z298" s="158"/>
      <c r="AA298" s="158"/>
      <c r="AB298" s="158"/>
      <c r="AC298" s="113">
        <v>405</v>
      </c>
      <c r="AD298" s="113">
        <v>50</v>
      </c>
      <c r="AE298" s="113">
        <v>65</v>
      </c>
      <c r="AF298" s="113">
        <v>45</v>
      </c>
      <c r="AG298" s="120">
        <v>85</v>
      </c>
      <c r="AH298" s="113">
        <v>65</v>
      </c>
      <c r="AI298" s="113">
        <v>95</v>
      </c>
    </row>
    <row r="299" spans="1:35">
      <c r="A299" s="113">
        <v>254</v>
      </c>
      <c r="B299" s="113" t="s">
        <v>281</v>
      </c>
      <c r="C299" s="120" t="s">
        <v>5526</v>
      </c>
      <c r="D299" s="124">
        <v>0.85</v>
      </c>
      <c r="E299" s="124">
        <v>0.15</v>
      </c>
      <c r="F299" s="113" t="s">
        <v>23</v>
      </c>
      <c r="G299" s="113" t="s">
        <v>2119</v>
      </c>
      <c r="H299" s="113" t="s">
        <v>14</v>
      </c>
      <c r="I299" s="113" t="s">
        <v>1109</v>
      </c>
      <c r="J299" s="118" t="s">
        <v>792</v>
      </c>
      <c r="K299" s="118">
        <v>4</v>
      </c>
      <c r="L299" s="118" t="s">
        <v>5524</v>
      </c>
      <c r="M299" s="115" t="s">
        <v>5525</v>
      </c>
      <c r="N299" s="115" t="s">
        <v>6504</v>
      </c>
      <c r="O299" s="115">
        <v>1.75</v>
      </c>
      <c r="P299" s="115" t="s">
        <v>2128</v>
      </c>
      <c r="Q299" s="166"/>
      <c r="R299" s="164"/>
      <c r="S299" s="164"/>
      <c r="T299" s="164"/>
      <c r="U299" s="164"/>
      <c r="V299" s="162"/>
      <c r="W299" s="158"/>
      <c r="X299" s="158"/>
      <c r="Y299" s="158"/>
      <c r="Z299" s="158"/>
      <c r="AA299" s="158"/>
      <c r="AB299" s="158"/>
      <c r="AC299" s="113">
        <v>530</v>
      </c>
      <c r="AD299" s="113">
        <v>70</v>
      </c>
      <c r="AE299" s="113">
        <v>85</v>
      </c>
      <c r="AF299" s="113">
        <v>65</v>
      </c>
      <c r="AG299" s="120">
        <v>105</v>
      </c>
      <c r="AH299" s="113">
        <v>85</v>
      </c>
      <c r="AI299" s="113">
        <v>120</v>
      </c>
    </row>
    <row r="300" spans="1:35">
      <c r="A300" s="113">
        <v>255</v>
      </c>
      <c r="B300" s="113" t="s">
        <v>282</v>
      </c>
      <c r="C300" s="120" t="s">
        <v>5528</v>
      </c>
      <c r="D300" s="124">
        <v>0.85</v>
      </c>
      <c r="E300" s="124">
        <v>0.15</v>
      </c>
      <c r="F300" s="113" t="s">
        <v>2332</v>
      </c>
      <c r="G300" s="113" t="s">
        <v>2119</v>
      </c>
      <c r="H300" s="113" t="s">
        <v>19</v>
      </c>
      <c r="I300" s="113" t="s">
        <v>1109</v>
      </c>
      <c r="J300" s="118" t="s">
        <v>792</v>
      </c>
      <c r="K300" s="118">
        <v>4</v>
      </c>
      <c r="L300" s="118" t="s">
        <v>5528</v>
      </c>
      <c r="M300" s="115" t="s">
        <v>1109</v>
      </c>
      <c r="N300" s="115" t="s">
        <v>6505</v>
      </c>
      <c r="O300" s="115">
        <v>1.75</v>
      </c>
      <c r="P300" s="115" t="s">
        <v>1109</v>
      </c>
      <c r="Q300" s="166"/>
      <c r="R300" s="164"/>
      <c r="S300" s="164"/>
      <c r="T300" s="164"/>
      <c r="U300" s="164"/>
      <c r="V300" s="162"/>
      <c r="W300" s="158"/>
      <c r="X300" s="158"/>
      <c r="Y300" s="158"/>
      <c r="Z300" s="158"/>
      <c r="AA300" s="158"/>
      <c r="AB300" s="158"/>
      <c r="AC300" s="113">
        <v>310</v>
      </c>
      <c r="AD300" s="113">
        <v>45</v>
      </c>
      <c r="AE300" s="113">
        <v>60</v>
      </c>
      <c r="AF300" s="113">
        <v>40</v>
      </c>
      <c r="AG300" s="120">
        <v>70</v>
      </c>
      <c r="AH300" s="113">
        <v>50</v>
      </c>
      <c r="AI300" s="113">
        <v>45</v>
      </c>
    </row>
    <row r="301" spans="1:35">
      <c r="A301" s="113">
        <v>256</v>
      </c>
      <c r="B301" s="113" t="s">
        <v>283</v>
      </c>
      <c r="C301" s="120" t="s">
        <v>5529</v>
      </c>
      <c r="D301" s="124">
        <v>0.85</v>
      </c>
      <c r="E301" s="124">
        <v>0.15</v>
      </c>
      <c r="F301" s="113" t="s">
        <v>2332</v>
      </c>
      <c r="G301" s="113" t="s">
        <v>2119</v>
      </c>
      <c r="H301" s="113" t="s">
        <v>19</v>
      </c>
      <c r="I301" s="113" t="s">
        <v>78</v>
      </c>
      <c r="J301" s="118" t="s">
        <v>792</v>
      </c>
      <c r="K301" s="118">
        <v>4</v>
      </c>
      <c r="L301" s="118" t="s">
        <v>5528</v>
      </c>
      <c r="M301" s="115" t="s">
        <v>5528</v>
      </c>
      <c r="N301" s="115" t="s">
        <v>6506</v>
      </c>
      <c r="O301" s="115">
        <v>1.75</v>
      </c>
      <c r="P301" s="115" t="s">
        <v>2128</v>
      </c>
      <c r="Q301" s="166"/>
      <c r="R301" s="164"/>
      <c r="S301" s="164"/>
      <c r="T301" s="164"/>
      <c r="U301" s="164"/>
      <c r="V301" s="162"/>
      <c r="W301" s="158"/>
      <c r="X301" s="158"/>
      <c r="Y301" s="158"/>
      <c r="Z301" s="158"/>
      <c r="AA301" s="158"/>
      <c r="AB301" s="158"/>
      <c r="AC301" s="113">
        <v>405</v>
      </c>
      <c r="AD301" s="113">
        <v>60</v>
      </c>
      <c r="AE301" s="113">
        <v>85</v>
      </c>
      <c r="AF301" s="113">
        <v>60</v>
      </c>
      <c r="AG301" s="120">
        <v>85</v>
      </c>
      <c r="AH301" s="113">
        <v>60</v>
      </c>
      <c r="AI301" s="113">
        <v>55</v>
      </c>
    </row>
    <row r="302" spans="1:35">
      <c r="A302" s="113">
        <v>257</v>
      </c>
      <c r="B302" s="113" t="s">
        <v>284</v>
      </c>
      <c r="C302" s="120" t="s">
        <v>5530</v>
      </c>
      <c r="D302" s="124">
        <v>0.85</v>
      </c>
      <c r="E302" s="124">
        <v>0.15</v>
      </c>
      <c r="F302" s="113" t="s">
        <v>2332</v>
      </c>
      <c r="G302" s="113" t="s">
        <v>2119</v>
      </c>
      <c r="H302" s="113" t="s">
        <v>19</v>
      </c>
      <c r="I302" s="113" t="s">
        <v>78</v>
      </c>
      <c r="J302" s="118" t="s">
        <v>792</v>
      </c>
      <c r="K302" s="118">
        <v>4</v>
      </c>
      <c r="L302" s="118" t="s">
        <v>5528</v>
      </c>
      <c r="M302" s="115" t="s">
        <v>5529</v>
      </c>
      <c r="N302" s="115" t="s">
        <v>6504</v>
      </c>
      <c r="O302" s="115">
        <v>1.75</v>
      </c>
      <c r="P302" s="115" t="s">
        <v>2128</v>
      </c>
      <c r="Q302" s="166"/>
      <c r="R302" s="164"/>
      <c r="S302" s="164"/>
      <c r="T302" s="164"/>
      <c r="U302" s="164"/>
      <c r="V302" s="162"/>
      <c r="W302" s="158"/>
      <c r="X302" s="158"/>
      <c r="Y302" s="158"/>
      <c r="Z302" s="158"/>
      <c r="AA302" s="158"/>
      <c r="AB302" s="158"/>
      <c r="AC302" s="113">
        <v>530</v>
      </c>
      <c r="AD302" s="113">
        <v>80</v>
      </c>
      <c r="AE302" s="113">
        <v>120</v>
      </c>
      <c r="AF302" s="113">
        <v>70</v>
      </c>
      <c r="AG302" s="120">
        <v>110</v>
      </c>
      <c r="AH302" s="113">
        <v>70</v>
      </c>
      <c r="AI302" s="113">
        <v>80</v>
      </c>
    </row>
    <row r="303" spans="1:35">
      <c r="A303" s="113">
        <v>258</v>
      </c>
      <c r="B303" s="113" t="s">
        <v>285</v>
      </c>
      <c r="C303" s="120" t="s">
        <v>5532</v>
      </c>
      <c r="D303" s="124">
        <v>0.85</v>
      </c>
      <c r="E303" s="124">
        <v>0.15</v>
      </c>
      <c r="F303" s="113" t="s">
        <v>2331</v>
      </c>
      <c r="G303" s="113" t="s">
        <v>2119</v>
      </c>
      <c r="H303" s="113" t="s">
        <v>25</v>
      </c>
      <c r="I303" s="113" t="s">
        <v>1109</v>
      </c>
      <c r="J303" s="118" t="s">
        <v>792</v>
      </c>
      <c r="K303" s="118">
        <v>4</v>
      </c>
      <c r="L303" s="118" t="s">
        <v>5532</v>
      </c>
      <c r="M303" s="115" t="s">
        <v>1109</v>
      </c>
      <c r="N303" s="115" t="s">
        <v>6505</v>
      </c>
      <c r="O303" s="115">
        <v>1.75</v>
      </c>
      <c r="P303" s="115" t="s">
        <v>1109</v>
      </c>
      <c r="Q303" s="166"/>
      <c r="R303" s="164"/>
      <c r="S303" s="164"/>
      <c r="T303" s="164"/>
      <c r="U303" s="164"/>
      <c r="V303" s="162"/>
      <c r="W303" s="158"/>
      <c r="X303" s="158"/>
      <c r="Y303" s="158"/>
      <c r="Z303" s="158"/>
      <c r="AA303" s="158"/>
      <c r="AB303" s="158"/>
      <c r="AC303" s="113">
        <v>310</v>
      </c>
      <c r="AD303" s="113">
        <v>50</v>
      </c>
      <c r="AE303" s="113">
        <v>70</v>
      </c>
      <c r="AF303" s="113">
        <v>50</v>
      </c>
      <c r="AG303" s="120">
        <v>50</v>
      </c>
      <c r="AH303" s="113">
        <v>50</v>
      </c>
      <c r="AI303" s="113">
        <v>40</v>
      </c>
    </row>
    <row r="304" spans="1:35">
      <c r="A304" s="113">
        <v>259</v>
      </c>
      <c r="B304" s="113" t="s">
        <v>286</v>
      </c>
      <c r="C304" s="120" t="s">
        <v>5533</v>
      </c>
      <c r="D304" s="124">
        <v>0.85</v>
      </c>
      <c r="E304" s="124">
        <v>0.15</v>
      </c>
      <c r="F304" s="113" t="s">
        <v>2331</v>
      </c>
      <c r="G304" s="113" t="s">
        <v>2119</v>
      </c>
      <c r="H304" s="113" t="s">
        <v>25</v>
      </c>
      <c r="I304" s="113" t="s">
        <v>49</v>
      </c>
      <c r="J304" s="118" t="s">
        <v>792</v>
      </c>
      <c r="K304" s="118">
        <v>4</v>
      </c>
      <c r="L304" s="118" t="s">
        <v>5532</v>
      </c>
      <c r="M304" s="115" t="s">
        <v>5532</v>
      </c>
      <c r="N304" s="115" t="s">
        <v>6506</v>
      </c>
      <c r="O304" s="115">
        <v>1.75</v>
      </c>
      <c r="P304" s="115" t="s">
        <v>2128</v>
      </c>
      <c r="Q304" s="166"/>
      <c r="R304" s="164"/>
      <c r="S304" s="164"/>
      <c r="T304" s="164"/>
      <c r="U304" s="164"/>
      <c r="V304" s="162"/>
      <c r="W304" s="158"/>
      <c r="X304" s="158"/>
      <c r="Y304" s="158"/>
      <c r="Z304" s="158"/>
      <c r="AA304" s="158"/>
      <c r="AB304" s="158"/>
      <c r="AC304" s="113">
        <v>405</v>
      </c>
      <c r="AD304" s="113">
        <v>70</v>
      </c>
      <c r="AE304" s="113">
        <v>85</v>
      </c>
      <c r="AF304" s="113">
        <v>70</v>
      </c>
      <c r="AG304" s="120">
        <v>60</v>
      </c>
      <c r="AH304" s="113">
        <v>70</v>
      </c>
      <c r="AI304" s="113">
        <v>50</v>
      </c>
    </row>
    <row r="305" spans="1:35">
      <c r="A305" s="113">
        <v>260</v>
      </c>
      <c r="B305" s="113" t="s">
        <v>287</v>
      </c>
      <c r="C305" s="120" t="s">
        <v>5534</v>
      </c>
      <c r="D305" s="124">
        <v>0.85</v>
      </c>
      <c r="E305" s="124">
        <v>0.15</v>
      </c>
      <c r="F305" s="113" t="s">
        <v>2331</v>
      </c>
      <c r="G305" s="113" t="s">
        <v>2119</v>
      </c>
      <c r="H305" s="113" t="s">
        <v>25</v>
      </c>
      <c r="I305" s="113" t="s">
        <v>49</v>
      </c>
      <c r="J305" s="118" t="s">
        <v>792</v>
      </c>
      <c r="K305" s="118">
        <v>4</v>
      </c>
      <c r="L305" s="118" t="s">
        <v>5532</v>
      </c>
      <c r="M305" s="115" t="s">
        <v>5533</v>
      </c>
      <c r="N305" s="115" t="s">
        <v>6504</v>
      </c>
      <c r="O305" s="115">
        <v>1.75</v>
      </c>
      <c r="P305" s="115" t="s">
        <v>2128</v>
      </c>
      <c r="Q305" s="166"/>
      <c r="R305" s="164"/>
      <c r="S305" s="164"/>
      <c r="T305" s="164"/>
      <c r="U305" s="164"/>
      <c r="V305" s="162"/>
      <c r="W305" s="158"/>
      <c r="X305" s="158"/>
      <c r="Y305" s="158"/>
      <c r="Z305" s="158"/>
      <c r="AA305" s="158"/>
      <c r="AB305" s="158"/>
      <c r="AC305" s="113">
        <v>535</v>
      </c>
      <c r="AD305" s="113">
        <v>100</v>
      </c>
      <c r="AE305" s="113">
        <v>110</v>
      </c>
      <c r="AF305" s="113">
        <v>90</v>
      </c>
      <c r="AG305" s="120">
        <v>85</v>
      </c>
      <c r="AH305" s="113">
        <v>90</v>
      </c>
      <c r="AI305" s="113">
        <v>60</v>
      </c>
    </row>
    <row r="306" spans="1:35">
      <c r="A306" s="113">
        <v>261</v>
      </c>
      <c r="B306" s="113" t="s">
        <v>288</v>
      </c>
      <c r="C306" s="120" t="s">
        <v>5536</v>
      </c>
      <c r="D306" s="124">
        <v>0.5</v>
      </c>
      <c r="E306" s="124">
        <v>0.5</v>
      </c>
      <c r="F306" s="113" t="s">
        <v>2332</v>
      </c>
      <c r="G306" s="113" t="s">
        <v>2119</v>
      </c>
      <c r="H306" s="113" t="s">
        <v>158</v>
      </c>
      <c r="I306" s="113" t="s">
        <v>1109</v>
      </c>
      <c r="J306" s="118" t="s">
        <v>2129</v>
      </c>
      <c r="K306" s="118">
        <v>1</v>
      </c>
      <c r="L306" s="118" t="s">
        <v>5536</v>
      </c>
      <c r="M306" s="115" t="s">
        <v>1109</v>
      </c>
      <c r="N306" s="115" t="s">
        <v>6505</v>
      </c>
      <c r="O306" s="115">
        <v>1</v>
      </c>
      <c r="P306" s="115" t="s">
        <v>1109</v>
      </c>
      <c r="Q306" s="166"/>
      <c r="R306" s="164"/>
      <c r="S306" s="164"/>
      <c r="T306" s="164"/>
      <c r="U306" s="164"/>
      <c r="V306" s="162"/>
      <c r="W306" s="158"/>
      <c r="X306" s="158"/>
      <c r="Y306" s="158"/>
      <c r="Z306" s="158"/>
      <c r="AA306" s="158"/>
      <c r="AB306" s="158"/>
      <c r="AC306" s="113">
        <v>220</v>
      </c>
      <c r="AD306" s="113">
        <v>35</v>
      </c>
      <c r="AE306" s="113">
        <v>55</v>
      </c>
      <c r="AF306" s="113">
        <v>35</v>
      </c>
      <c r="AG306" s="120">
        <v>30</v>
      </c>
      <c r="AH306" s="113">
        <v>30</v>
      </c>
      <c r="AI306" s="113">
        <v>35</v>
      </c>
    </row>
    <row r="307" spans="1:35">
      <c r="A307" s="113">
        <v>262</v>
      </c>
      <c r="B307" s="113" t="s">
        <v>289</v>
      </c>
      <c r="C307" s="120" t="s">
        <v>5537</v>
      </c>
      <c r="D307" s="124">
        <v>0.5</v>
      </c>
      <c r="E307" s="124">
        <v>0.5</v>
      </c>
      <c r="F307" s="113" t="s">
        <v>2332</v>
      </c>
      <c r="G307" s="113" t="s">
        <v>2119</v>
      </c>
      <c r="H307" s="113" t="s">
        <v>158</v>
      </c>
      <c r="I307" s="113" t="s">
        <v>1109</v>
      </c>
      <c r="J307" s="118" t="s">
        <v>2129</v>
      </c>
      <c r="K307" s="118">
        <v>1</v>
      </c>
      <c r="L307" s="118" t="s">
        <v>5536</v>
      </c>
      <c r="M307" s="115" t="s">
        <v>5536</v>
      </c>
      <c r="N307" s="115" t="s">
        <v>6504</v>
      </c>
      <c r="O307" s="115">
        <v>1</v>
      </c>
      <c r="P307" s="115" t="s">
        <v>2128</v>
      </c>
      <c r="Q307" s="166"/>
      <c r="R307" s="164"/>
      <c r="S307" s="164"/>
      <c r="T307" s="164"/>
      <c r="U307" s="164"/>
      <c r="V307" s="162"/>
      <c r="W307" s="158"/>
      <c r="X307" s="158"/>
      <c r="Y307" s="158"/>
      <c r="Z307" s="158"/>
      <c r="AA307" s="158"/>
      <c r="AB307" s="158"/>
      <c r="AC307" s="113">
        <v>420</v>
      </c>
      <c r="AD307" s="113">
        <v>70</v>
      </c>
      <c r="AE307" s="113">
        <v>90</v>
      </c>
      <c r="AF307" s="113">
        <v>70</v>
      </c>
      <c r="AG307" s="120">
        <v>60</v>
      </c>
      <c r="AH307" s="113">
        <v>60</v>
      </c>
      <c r="AI307" s="113">
        <v>70</v>
      </c>
    </row>
    <row r="308" spans="1:35">
      <c r="A308" s="113">
        <v>263</v>
      </c>
      <c r="B308" s="113" t="s">
        <v>290</v>
      </c>
      <c r="C308" s="120" t="s">
        <v>5538</v>
      </c>
      <c r="D308" s="124">
        <v>0.5</v>
      </c>
      <c r="E308" s="124">
        <v>0.5</v>
      </c>
      <c r="F308" s="113" t="s">
        <v>2332</v>
      </c>
      <c r="G308" s="113" t="s">
        <v>2119</v>
      </c>
      <c r="H308" s="113" t="s">
        <v>36</v>
      </c>
      <c r="I308" s="113" t="s">
        <v>1109</v>
      </c>
      <c r="J308" s="118" t="s">
        <v>2129</v>
      </c>
      <c r="K308" s="118">
        <v>1</v>
      </c>
      <c r="L308" s="118" t="s">
        <v>5538</v>
      </c>
      <c r="M308" s="115" t="s">
        <v>1109</v>
      </c>
      <c r="N308" s="115" t="s">
        <v>6505</v>
      </c>
      <c r="O308" s="115">
        <v>1</v>
      </c>
      <c r="P308" s="115" t="s">
        <v>1109</v>
      </c>
      <c r="Q308" s="166"/>
      <c r="R308" s="164"/>
      <c r="S308" s="164"/>
      <c r="T308" s="164"/>
      <c r="U308" s="164"/>
      <c r="V308" s="162"/>
      <c r="W308" s="158"/>
      <c r="X308" s="158"/>
      <c r="Y308" s="158"/>
      <c r="Z308" s="158"/>
      <c r="AA308" s="158"/>
      <c r="AB308" s="158"/>
      <c r="AC308" s="113">
        <v>240</v>
      </c>
      <c r="AD308" s="113">
        <v>38</v>
      </c>
      <c r="AE308" s="113">
        <v>30</v>
      </c>
      <c r="AF308" s="113">
        <v>41</v>
      </c>
      <c r="AG308" s="120">
        <v>30</v>
      </c>
      <c r="AH308" s="113">
        <v>41</v>
      </c>
      <c r="AI308" s="113">
        <v>60</v>
      </c>
    </row>
    <row r="309" spans="1:35">
      <c r="A309" s="113">
        <v>263</v>
      </c>
      <c r="B309" s="113" t="s">
        <v>6460</v>
      </c>
      <c r="C309" s="120" t="s">
        <v>5539</v>
      </c>
      <c r="D309" s="124">
        <v>0.5</v>
      </c>
      <c r="E309" s="124">
        <v>0.5</v>
      </c>
      <c r="F309" s="113" t="s">
        <v>2332</v>
      </c>
      <c r="G309" s="113" t="s">
        <v>2703</v>
      </c>
      <c r="H309" s="113" t="s">
        <v>158</v>
      </c>
      <c r="I309" s="113" t="s">
        <v>36</v>
      </c>
      <c r="J309" s="118" t="s">
        <v>2129</v>
      </c>
      <c r="K309" s="118">
        <v>1</v>
      </c>
      <c r="L309" s="118" t="s">
        <v>5538</v>
      </c>
      <c r="M309" s="115" t="s">
        <v>1109</v>
      </c>
      <c r="N309" s="115" t="s">
        <v>6505</v>
      </c>
      <c r="O309" s="115">
        <v>1</v>
      </c>
      <c r="P309" s="115" t="s">
        <v>1109</v>
      </c>
      <c r="Q309" s="166"/>
      <c r="R309" s="164"/>
      <c r="S309" s="164"/>
      <c r="T309" s="164"/>
      <c r="U309" s="164"/>
      <c r="V309" s="162"/>
      <c r="W309" s="158"/>
      <c r="X309" s="158"/>
      <c r="Y309" s="158"/>
      <c r="Z309" s="158"/>
      <c r="AA309" s="158"/>
      <c r="AB309" s="158"/>
      <c r="AC309" s="113">
        <v>240</v>
      </c>
      <c r="AD309" s="113">
        <v>38</v>
      </c>
      <c r="AE309" s="113">
        <v>30</v>
      </c>
      <c r="AF309" s="113">
        <v>41</v>
      </c>
      <c r="AG309" s="120">
        <v>30</v>
      </c>
      <c r="AH309" s="113">
        <v>41</v>
      </c>
      <c r="AI309" s="113">
        <v>60</v>
      </c>
    </row>
    <row r="310" spans="1:35">
      <c r="A310" s="113">
        <v>264</v>
      </c>
      <c r="B310" s="113" t="s">
        <v>291</v>
      </c>
      <c r="C310" s="120" t="s">
        <v>5540</v>
      </c>
      <c r="D310" s="124">
        <v>0.5</v>
      </c>
      <c r="E310" s="124">
        <v>0.5</v>
      </c>
      <c r="F310" s="113" t="s">
        <v>2332</v>
      </c>
      <c r="G310" s="113" t="s">
        <v>2119</v>
      </c>
      <c r="H310" s="113" t="s">
        <v>36</v>
      </c>
      <c r="I310" s="113" t="s">
        <v>1109</v>
      </c>
      <c r="J310" s="118" t="s">
        <v>2129</v>
      </c>
      <c r="K310" s="118">
        <v>1</v>
      </c>
      <c r="L310" s="118" t="s">
        <v>5538</v>
      </c>
      <c r="M310" s="115" t="s">
        <v>5538</v>
      </c>
      <c r="N310" s="115" t="s">
        <v>6504</v>
      </c>
      <c r="O310" s="115">
        <v>1</v>
      </c>
      <c r="P310" s="115" t="s">
        <v>2128</v>
      </c>
      <c r="Q310" s="166"/>
      <c r="R310" s="164"/>
      <c r="S310" s="164"/>
      <c r="T310" s="164"/>
      <c r="U310" s="164"/>
      <c r="V310" s="162"/>
      <c r="W310" s="158"/>
      <c r="X310" s="158"/>
      <c r="Y310" s="158"/>
      <c r="Z310" s="158"/>
      <c r="AA310" s="158"/>
      <c r="AB310" s="158"/>
      <c r="AC310" s="113">
        <v>420</v>
      </c>
      <c r="AD310" s="113">
        <v>78</v>
      </c>
      <c r="AE310" s="113">
        <v>70</v>
      </c>
      <c r="AF310" s="113">
        <v>61</v>
      </c>
      <c r="AG310" s="120">
        <v>50</v>
      </c>
      <c r="AH310" s="113">
        <v>61</v>
      </c>
      <c r="AI310" s="113">
        <v>100</v>
      </c>
    </row>
    <row r="311" spans="1:35">
      <c r="A311" s="113">
        <v>264</v>
      </c>
      <c r="B311" s="113" t="s">
        <v>6450</v>
      </c>
      <c r="C311" s="120" t="s">
        <v>5541</v>
      </c>
      <c r="D311" s="124">
        <v>0.5</v>
      </c>
      <c r="E311" s="124">
        <v>0.5</v>
      </c>
      <c r="F311" s="113" t="s">
        <v>2332</v>
      </c>
      <c r="G311" s="113" t="s">
        <v>2703</v>
      </c>
      <c r="H311" s="113" t="s">
        <v>158</v>
      </c>
      <c r="I311" s="113" t="s">
        <v>36</v>
      </c>
      <c r="J311" s="118" t="s">
        <v>2129</v>
      </c>
      <c r="K311" s="118">
        <v>1</v>
      </c>
      <c r="L311" s="118" t="s">
        <v>5538</v>
      </c>
      <c r="M311" s="113" t="s">
        <v>5539</v>
      </c>
      <c r="N311" s="115" t="s">
        <v>6506</v>
      </c>
      <c r="O311" s="115">
        <v>1</v>
      </c>
      <c r="P311" s="115" t="s">
        <v>2128</v>
      </c>
      <c r="Q311" s="166"/>
      <c r="R311" s="164"/>
      <c r="S311" s="164"/>
      <c r="T311" s="164"/>
      <c r="U311" s="164"/>
      <c r="V311" s="162"/>
      <c r="W311" s="158"/>
      <c r="X311" s="158"/>
      <c r="Y311" s="158"/>
      <c r="Z311" s="158"/>
      <c r="AA311" s="158"/>
      <c r="AB311" s="158"/>
      <c r="AC311" s="113">
        <v>420</v>
      </c>
      <c r="AD311" s="113">
        <v>78</v>
      </c>
      <c r="AE311" s="113">
        <v>70</v>
      </c>
      <c r="AF311" s="113">
        <v>61</v>
      </c>
      <c r="AG311" s="120">
        <v>50</v>
      </c>
      <c r="AH311" s="113">
        <v>61</v>
      </c>
      <c r="AI311" s="113">
        <v>100</v>
      </c>
    </row>
    <row r="312" spans="1:35">
      <c r="A312" s="113">
        <v>265</v>
      </c>
      <c r="B312" s="113" t="s">
        <v>292</v>
      </c>
      <c r="C312" s="120" t="s">
        <v>5542</v>
      </c>
      <c r="D312" s="124">
        <v>0.5</v>
      </c>
      <c r="E312" s="124">
        <v>0.5</v>
      </c>
      <c r="F312" s="113" t="s">
        <v>29</v>
      </c>
      <c r="G312" s="113" t="s">
        <v>2119</v>
      </c>
      <c r="H312" s="113" t="s">
        <v>29</v>
      </c>
      <c r="I312" s="113" t="s">
        <v>1109</v>
      </c>
      <c r="J312" s="118" t="s">
        <v>2129</v>
      </c>
      <c r="K312" s="118">
        <v>1</v>
      </c>
      <c r="L312" s="118" t="s">
        <v>5542</v>
      </c>
      <c r="M312" s="115" t="s">
        <v>1109</v>
      </c>
      <c r="N312" s="115" t="s">
        <v>6505</v>
      </c>
      <c r="O312" s="115">
        <v>1</v>
      </c>
      <c r="P312" s="115" t="s">
        <v>1109</v>
      </c>
      <c r="Q312" s="166"/>
      <c r="R312" s="164"/>
      <c r="S312" s="164"/>
      <c r="T312" s="164"/>
      <c r="U312" s="164"/>
      <c r="V312" s="162"/>
      <c r="W312" s="158"/>
      <c r="X312" s="158"/>
      <c r="Y312" s="158"/>
      <c r="Z312" s="158"/>
      <c r="AA312" s="158"/>
      <c r="AB312" s="158"/>
      <c r="AC312" s="113">
        <v>195</v>
      </c>
      <c r="AD312" s="113">
        <v>45</v>
      </c>
      <c r="AE312" s="113">
        <v>45</v>
      </c>
      <c r="AF312" s="113">
        <v>35</v>
      </c>
      <c r="AG312" s="120">
        <v>20</v>
      </c>
      <c r="AH312" s="113">
        <v>30</v>
      </c>
      <c r="AI312" s="113">
        <v>20</v>
      </c>
    </row>
    <row r="313" spans="1:35">
      <c r="A313" s="113">
        <v>266</v>
      </c>
      <c r="B313" s="113" t="s">
        <v>293</v>
      </c>
      <c r="C313" s="120" t="s">
        <v>5543</v>
      </c>
      <c r="D313" s="124">
        <v>0</v>
      </c>
      <c r="E313" s="124">
        <v>1</v>
      </c>
      <c r="F313" s="113" t="s">
        <v>29</v>
      </c>
      <c r="G313" s="113" t="s">
        <v>2119</v>
      </c>
      <c r="H313" s="113" t="s">
        <v>29</v>
      </c>
      <c r="I313" s="113" t="s">
        <v>1109</v>
      </c>
      <c r="J313" s="118" t="s">
        <v>2129</v>
      </c>
      <c r="K313" s="118">
        <v>1</v>
      </c>
      <c r="L313" s="118" t="s">
        <v>5542</v>
      </c>
      <c r="M313" s="115" t="s">
        <v>5542</v>
      </c>
      <c r="N313" s="115" t="s">
        <v>6506</v>
      </c>
      <c r="O313" s="115">
        <v>1</v>
      </c>
      <c r="P313" s="115" t="s">
        <v>2128</v>
      </c>
      <c r="Q313" s="166"/>
      <c r="R313" s="164"/>
      <c r="S313" s="164"/>
      <c r="T313" s="164"/>
      <c r="U313" s="164"/>
      <c r="V313" s="162"/>
      <c r="W313" s="158"/>
      <c r="X313" s="158"/>
      <c r="Y313" s="158"/>
      <c r="Z313" s="158"/>
      <c r="AA313" s="158"/>
      <c r="AB313" s="158"/>
      <c r="AC313" s="113">
        <v>205</v>
      </c>
      <c r="AD313" s="113">
        <v>50</v>
      </c>
      <c r="AE313" s="113">
        <v>35</v>
      </c>
      <c r="AF313" s="113">
        <v>55</v>
      </c>
      <c r="AG313" s="120">
        <v>25</v>
      </c>
      <c r="AH313" s="113">
        <v>25</v>
      </c>
      <c r="AI313" s="113">
        <v>15</v>
      </c>
    </row>
    <row r="314" spans="1:35">
      <c r="A314" s="113">
        <v>267</v>
      </c>
      <c r="B314" s="113" t="s">
        <v>294</v>
      </c>
      <c r="C314" s="120" t="s">
        <v>5544</v>
      </c>
      <c r="D314" s="124">
        <v>0</v>
      </c>
      <c r="E314" s="124">
        <v>1</v>
      </c>
      <c r="F314" s="113" t="s">
        <v>29</v>
      </c>
      <c r="G314" s="113" t="s">
        <v>2119</v>
      </c>
      <c r="H314" s="113" t="s">
        <v>29</v>
      </c>
      <c r="I314" s="113" t="s">
        <v>22</v>
      </c>
      <c r="J314" s="118" t="s">
        <v>2129</v>
      </c>
      <c r="K314" s="118">
        <v>1</v>
      </c>
      <c r="L314" s="118" t="s">
        <v>5542</v>
      </c>
      <c r="M314" s="115" t="s">
        <v>5543</v>
      </c>
      <c r="N314" s="115" t="s">
        <v>6504</v>
      </c>
      <c r="O314" s="115">
        <v>1</v>
      </c>
      <c r="P314" s="115" t="s">
        <v>2128</v>
      </c>
      <c r="Q314" s="166"/>
      <c r="R314" s="164"/>
      <c r="S314" s="164"/>
      <c r="T314" s="164"/>
      <c r="U314" s="164"/>
      <c r="V314" s="162"/>
      <c r="W314" s="158"/>
      <c r="X314" s="158"/>
      <c r="Y314" s="158"/>
      <c r="Z314" s="158"/>
      <c r="AA314" s="158"/>
      <c r="AB314" s="158"/>
      <c r="AC314" s="113">
        <v>395</v>
      </c>
      <c r="AD314" s="113">
        <v>60</v>
      </c>
      <c r="AE314" s="113">
        <v>70</v>
      </c>
      <c r="AF314" s="113">
        <v>50</v>
      </c>
      <c r="AG314" s="120">
        <v>100</v>
      </c>
      <c r="AH314" s="113">
        <v>50</v>
      </c>
      <c r="AI314" s="113">
        <v>65</v>
      </c>
    </row>
    <row r="315" spans="1:35">
      <c r="A315" s="113">
        <v>268</v>
      </c>
      <c r="B315" s="113" t="s">
        <v>295</v>
      </c>
      <c r="C315" s="120" t="s">
        <v>5545</v>
      </c>
      <c r="D315" s="124">
        <v>1</v>
      </c>
      <c r="E315" s="124">
        <v>0</v>
      </c>
      <c r="F315" s="113" t="s">
        <v>29</v>
      </c>
      <c r="G315" s="113" t="s">
        <v>2119</v>
      </c>
      <c r="H315" s="113" t="s">
        <v>29</v>
      </c>
      <c r="I315" s="113" t="s">
        <v>1109</v>
      </c>
      <c r="J315" s="118" t="s">
        <v>2129</v>
      </c>
      <c r="K315" s="118">
        <v>1</v>
      </c>
      <c r="L315" s="118" t="s">
        <v>5542</v>
      </c>
      <c r="M315" s="115" t="s">
        <v>5542</v>
      </c>
      <c r="N315" s="115" t="s">
        <v>6506</v>
      </c>
      <c r="O315" s="115">
        <v>1</v>
      </c>
      <c r="P315" s="115" t="s">
        <v>2128</v>
      </c>
      <c r="Q315" s="166"/>
      <c r="R315" s="164"/>
      <c r="S315" s="164"/>
      <c r="T315" s="164"/>
      <c r="U315" s="164"/>
      <c r="V315" s="162"/>
      <c r="W315" s="158"/>
      <c r="X315" s="158"/>
      <c r="Y315" s="158"/>
      <c r="Z315" s="158"/>
      <c r="AA315" s="158"/>
      <c r="AB315" s="158"/>
      <c r="AC315" s="113">
        <v>205</v>
      </c>
      <c r="AD315" s="113">
        <v>50</v>
      </c>
      <c r="AE315" s="113">
        <v>35</v>
      </c>
      <c r="AF315" s="113">
        <v>55</v>
      </c>
      <c r="AG315" s="120">
        <v>25</v>
      </c>
      <c r="AH315" s="113">
        <v>25</v>
      </c>
      <c r="AI315" s="113">
        <v>15</v>
      </c>
    </row>
    <row r="316" spans="1:35">
      <c r="A316" s="113">
        <v>269</v>
      </c>
      <c r="B316" s="113" t="s">
        <v>296</v>
      </c>
      <c r="C316" s="120" t="s">
        <v>5546</v>
      </c>
      <c r="D316" s="124">
        <v>1</v>
      </c>
      <c r="E316" s="124">
        <v>0</v>
      </c>
      <c r="F316" s="113" t="s">
        <v>29</v>
      </c>
      <c r="G316" s="113" t="s">
        <v>2119</v>
      </c>
      <c r="H316" s="113" t="s">
        <v>29</v>
      </c>
      <c r="I316" s="113" t="s">
        <v>15</v>
      </c>
      <c r="J316" s="118" t="s">
        <v>2129</v>
      </c>
      <c r="K316" s="118">
        <v>1</v>
      </c>
      <c r="L316" s="118" t="s">
        <v>5542</v>
      </c>
      <c r="M316" s="115" t="s">
        <v>5545</v>
      </c>
      <c r="N316" s="115" t="s">
        <v>6504</v>
      </c>
      <c r="O316" s="115">
        <v>1</v>
      </c>
      <c r="P316" s="115" t="s">
        <v>2128</v>
      </c>
      <c r="Q316" s="166"/>
      <c r="R316" s="164"/>
      <c r="S316" s="164"/>
      <c r="T316" s="164"/>
      <c r="U316" s="164"/>
      <c r="V316" s="162"/>
      <c r="W316" s="158"/>
      <c r="X316" s="158"/>
      <c r="Y316" s="158"/>
      <c r="Z316" s="158"/>
      <c r="AA316" s="158"/>
      <c r="AB316" s="158"/>
      <c r="AC316" s="113">
        <v>385</v>
      </c>
      <c r="AD316" s="113">
        <v>60</v>
      </c>
      <c r="AE316" s="113">
        <v>50</v>
      </c>
      <c r="AF316" s="113">
        <v>70</v>
      </c>
      <c r="AG316" s="120">
        <v>50</v>
      </c>
      <c r="AH316" s="113">
        <v>90</v>
      </c>
      <c r="AI316" s="113">
        <v>65</v>
      </c>
    </row>
    <row r="317" spans="1:35">
      <c r="A317" s="113">
        <v>270</v>
      </c>
      <c r="B317" s="113" t="s">
        <v>297</v>
      </c>
      <c r="C317" s="120" t="s">
        <v>5547</v>
      </c>
      <c r="D317" s="124">
        <v>0.5</v>
      </c>
      <c r="E317" s="124">
        <v>0.5</v>
      </c>
      <c r="F317" s="113" t="s">
        <v>2331</v>
      </c>
      <c r="G317" s="113" t="s">
        <v>2119</v>
      </c>
      <c r="H317" s="113" t="s">
        <v>25</v>
      </c>
      <c r="I317" s="113" t="s">
        <v>14</v>
      </c>
      <c r="J317" s="118" t="s">
        <v>2129</v>
      </c>
      <c r="K317" s="118">
        <v>2</v>
      </c>
      <c r="L317" s="118" t="s">
        <v>5547</v>
      </c>
      <c r="M317" s="115" t="s">
        <v>1109</v>
      </c>
      <c r="N317" s="115" t="s">
        <v>6505</v>
      </c>
      <c r="O317" s="115">
        <v>1.25</v>
      </c>
      <c r="P317" s="115" t="s">
        <v>1109</v>
      </c>
      <c r="Q317" s="166"/>
      <c r="R317" s="164"/>
      <c r="S317" s="164"/>
      <c r="T317" s="164"/>
      <c r="U317" s="164"/>
      <c r="V317" s="162"/>
      <c r="W317" s="158"/>
      <c r="X317" s="158"/>
      <c r="Y317" s="158"/>
      <c r="Z317" s="158"/>
      <c r="AA317" s="158"/>
      <c r="AB317" s="158"/>
      <c r="AC317" s="113">
        <v>220</v>
      </c>
      <c r="AD317" s="113">
        <v>40</v>
      </c>
      <c r="AE317" s="113">
        <v>30</v>
      </c>
      <c r="AF317" s="113">
        <v>30</v>
      </c>
      <c r="AG317" s="120">
        <v>40</v>
      </c>
      <c r="AH317" s="113">
        <v>50</v>
      </c>
      <c r="AI317" s="113">
        <v>30</v>
      </c>
    </row>
    <row r="318" spans="1:35">
      <c r="A318" s="113">
        <v>271</v>
      </c>
      <c r="B318" s="113" t="s">
        <v>298</v>
      </c>
      <c r="C318" s="120" t="s">
        <v>5548</v>
      </c>
      <c r="D318" s="124">
        <v>0.5</v>
      </c>
      <c r="E318" s="124">
        <v>0.5</v>
      </c>
      <c r="F318" s="113" t="s">
        <v>2331</v>
      </c>
      <c r="G318" s="113" t="s">
        <v>2119</v>
      </c>
      <c r="H318" s="113" t="s">
        <v>25</v>
      </c>
      <c r="I318" s="113" t="s">
        <v>14</v>
      </c>
      <c r="J318" s="118" t="s">
        <v>2129</v>
      </c>
      <c r="K318" s="118">
        <v>2</v>
      </c>
      <c r="L318" s="118" t="s">
        <v>5547</v>
      </c>
      <c r="M318" s="115" t="s">
        <v>5547</v>
      </c>
      <c r="N318" s="115" t="s">
        <v>6506</v>
      </c>
      <c r="O318" s="115">
        <v>1.25</v>
      </c>
      <c r="P318" s="115" t="s">
        <v>2128</v>
      </c>
      <c r="Q318" s="166"/>
      <c r="R318" s="164"/>
      <c r="S318" s="164"/>
      <c r="T318" s="164"/>
      <c r="U318" s="164"/>
      <c r="V318" s="162"/>
      <c r="W318" s="158"/>
      <c r="X318" s="158"/>
      <c r="Y318" s="158"/>
      <c r="Z318" s="158"/>
      <c r="AA318" s="158"/>
      <c r="AB318" s="158"/>
      <c r="AC318" s="113">
        <v>340</v>
      </c>
      <c r="AD318" s="113">
        <v>60</v>
      </c>
      <c r="AE318" s="113">
        <v>50</v>
      </c>
      <c r="AF318" s="113">
        <v>50</v>
      </c>
      <c r="AG318" s="120">
        <v>60</v>
      </c>
      <c r="AH318" s="113">
        <v>70</v>
      </c>
      <c r="AI318" s="113">
        <v>50</v>
      </c>
    </row>
    <row r="319" spans="1:35">
      <c r="A319" s="113">
        <v>272</v>
      </c>
      <c r="B319" s="113" t="s">
        <v>299</v>
      </c>
      <c r="C319" s="120" t="s">
        <v>5549</v>
      </c>
      <c r="D319" s="124">
        <v>0.5</v>
      </c>
      <c r="E319" s="124">
        <v>0.5</v>
      </c>
      <c r="F319" s="113" t="s">
        <v>2331</v>
      </c>
      <c r="G319" s="113" t="s">
        <v>2119</v>
      </c>
      <c r="H319" s="113" t="s">
        <v>25</v>
      </c>
      <c r="I319" s="113" t="s">
        <v>14</v>
      </c>
      <c r="J319" s="118" t="s">
        <v>2129</v>
      </c>
      <c r="K319" s="118">
        <v>2</v>
      </c>
      <c r="L319" s="118" t="s">
        <v>5547</v>
      </c>
      <c r="M319" s="115" t="s">
        <v>5548</v>
      </c>
      <c r="N319" s="115" t="s">
        <v>6504</v>
      </c>
      <c r="O319" s="115">
        <v>1.25</v>
      </c>
      <c r="P319" s="115" t="s">
        <v>1803</v>
      </c>
      <c r="Q319" s="166"/>
      <c r="R319" s="164"/>
      <c r="S319" s="164"/>
      <c r="T319" s="164"/>
      <c r="U319" s="164"/>
      <c r="V319" s="162"/>
      <c r="W319" s="158"/>
      <c r="X319" s="158"/>
      <c r="Y319" s="158"/>
      <c r="Z319" s="158"/>
      <c r="AA319" s="158"/>
      <c r="AB319" s="158"/>
      <c r="AC319" s="113">
        <v>480</v>
      </c>
      <c r="AD319" s="113">
        <v>80</v>
      </c>
      <c r="AE319" s="113">
        <v>70</v>
      </c>
      <c r="AF319" s="113">
        <v>70</v>
      </c>
      <c r="AG319" s="120">
        <v>90</v>
      </c>
      <c r="AH319" s="113">
        <v>100</v>
      </c>
      <c r="AI319" s="113">
        <v>70</v>
      </c>
    </row>
    <row r="320" spans="1:35">
      <c r="A320" s="113">
        <v>273</v>
      </c>
      <c r="B320" s="113" t="s">
        <v>300</v>
      </c>
      <c r="C320" s="120" t="s">
        <v>5550</v>
      </c>
      <c r="D320" s="124">
        <v>0.5</v>
      </c>
      <c r="E320" s="124">
        <v>0.5</v>
      </c>
      <c r="F320" s="113" t="s">
        <v>14</v>
      </c>
      <c r="G320" s="113" t="s">
        <v>2119</v>
      </c>
      <c r="H320" s="113" t="s">
        <v>14</v>
      </c>
      <c r="I320" s="113" t="s">
        <v>1109</v>
      </c>
      <c r="J320" s="118" t="s">
        <v>2129</v>
      </c>
      <c r="K320" s="118">
        <v>2</v>
      </c>
      <c r="L320" s="118" t="s">
        <v>5550</v>
      </c>
      <c r="M320" s="115" t="s">
        <v>1109</v>
      </c>
      <c r="N320" s="115" t="s">
        <v>6505</v>
      </c>
      <c r="O320" s="115">
        <v>1.25</v>
      </c>
      <c r="P320" s="115" t="s">
        <v>1109</v>
      </c>
      <c r="Q320" s="166"/>
      <c r="R320" s="164"/>
      <c r="S320" s="164"/>
      <c r="T320" s="164"/>
      <c r="U320" s="164"/>
      <c r="V320" s="162"/>
      <c r="W320" s="158"/>
      <c r="X320" s="158"/>
      <c r="Y320" s="158"/>
      <c r="Z320" s="158"/>
      <c r="AA320" s="158"/>
      <c r="AB320" s="158"/>
      <c r="AC320" s="113">
        <v>220</v>
      </c>
      <c r="AD320" s="113">
        <v>40</v>
      </c>
      <c r="AE320" s="113">
        <v>40</v>
      </c>
      <c r="AF320" s="113">
        <v>50</v>
      </c>
      <c r="AG320" s="120">
        <v>30</v>
      </c>
      <c r="AH320" s="113">
        <v>30</v>
      </c>
      <c r="AI320" s="113">
        <v>30</v>
      </c>
    </row>
    <row r="321" spans="1:35">
      <c r="A321" s="113">
        <v>274</v>
      </c>
      <c r="B321" s="113" t="s">
        <v>301</v>
      </c>
      <c r="C321" s="120" t="s">
        <v>5551</v>
      </c>
      <c r="D321" s="124">
        <v>0.5</v>
      </c>
      <c r="E321" s="124">
        <v>0.5</v>
      </c>
      <c r="F321" s="113" t="s">
        <v>14</v>
      </c>
      <c r="G321" s="113" t="s">
        <v>2119</v>
      </c>
      <c r="H321" s="113" t="s">
        <v>14</v>
      </c>
      <c r="I321" s="113" t="s">
        <v>158</v>
      </c>
      <c r="J321" s="118" t="s">
        <v>2129</v>
      </c>
      <c r="K321" s="118">
        <v>2</v>
      </c>
      <c r="L321" s="118" t="s">
        <v>5550</v>
      </c>
      <c r="M321" s="115" t="s">
        <v>5550</v>
      </c>
      <c r="N321" s="115" t="s">
        <v>6506</v>
      </c>
      <c r="O321" s="115">
        <v>1.25</v>
      </c>
      <c r="P321" s="115" t="s">
        <v>2128</v>
      </c>
      <c r="Q321" s="166"/>
      <c r="R321" s="164"/>
      <c r="S321" s="164"/>
      <c r="T321" s="164"/>
      <c r="U321" s="164"/>
      <c r="V321" s="162"/>
      <c r="W321" s="158"/>
      <c r="X321" s="158"/>
      <c r="Y321" s="158"/>
      <c r="Z321" s="158"/>
      <c r="AA321" s="158"/>
      <c r="AB321" s="158"/>
      <c r="AC321" s="113">
        <v>340</v>
      </c>
      <c r="AD321" s="113">
        <v>70</v>
      </c>
      <c r="AE321" s="113">
        <v>70</v>
      </c>
      <c r="AF321" s="113">
        <v>40</v>
      </c>
      <c r="AG321" s="120">
        <v>60</v>
      </c>
      <c r="AH321" s="113">
        <v>40</v>
      </c>
      <c r="AI321" s="113">
        <v>60</v>
      </c>
    </row>
    <row r="322" spans="1:35">
      <c r="A322" s="113">
        <v>275</v>
      </c>
      <c r="B322" s="113" t="s">
        <v>302</v>
      </c>
      <c r="C322" s="120" t="s">
        <v>5552</v>
      </c>
      <c r="D322" s="124">
        <v>0.5</v>
      </c>
      <c r="E322" s="124">
        <v>0.5</v>
      </c>
      <c r="F322" s="113" t="s">
        <v>14</v>
      </c>
      <c r="G322" s="113" t="s">
        <v>2119</v>
      </c>
      <c r="H322" s="113" t="s">
        <v>14</v>
      </c>
      <c r="I322" s="113" t="s">
        <v>158</v>
      </c>
      <c r="J322" s="118" t="s">
        <v>2129</v>
      </c>
      <c r="K322" s="118">
        <v>2</v>
      </c>
      <c r="L322" s="118" t="s">
        <v>5550</v>
      </c>
      <c r="M322" s="115" t="s">
        <v>5551</v>
      </c>
      <c r="N322" s="115" t="s">
        <v>6504</v>
      </c>
      <c r="O322" s="115">
        <v>1.25</v>
      </c>
      <c r="P322" s="115" t="s">
        <v>1803</v>
      </c>
      <c r="Q322" s="166"/>
      <c r="R322" s="164"/>
      <c r="S322" s="164"/>
      <c r="T322" s="164"/>
      <c r="U322" s="164"/>
      <c r="V322" s="162"/>
      <c r="W322" s="158"/>
      <c r="X322" s="158"/>
      <c r="Y322" s="158"/>
      <c r="Z322" s="158"/>
      <c r="AA322" s="158"/>
      <c r="AB322" s="158"/>
      <c r="AC322" s="113">
        <v>480</v>
      </c>
      <c r="AD322" s="113">
        <v>90</v>
      </c>
      <c r="AE322" s="113">
        <v>100</v>
      </c>
      <c r="AF322" s="113">
        <v>60</v>
      </c>
      <c r="AG322" s="120">
        <v>90</v>
      </c>
      <c r="AH322" s="113">
        <v>60</v>
      </c>
      <c r="AI322" s="113">
        <v>80</v>
      </c>
    </row>
    <row r="323" spans="1:35">
      <c r="A323" s="113">
        <v>276</v>
      </c>
      <c r="B323" s="113" t="s">
        <v>303</v>
      </c>
      <c r="C323" s="120" t="s">
        <v>5553</v>
      </c>
      <c r="D323" s="124">
        <v>0.5</v>
      </c>
      <c r="E323" s="124">
        <v>0.5</v>
      </c>
      <c r="F323" s="113" t="s">
        <v>22</v>
      </c>
      <c r="G323" s="113" t="s">
        <v>2119</v>
      </c>
      <c r="H323" s="113" t="s">
        <v>36</v>
      </c>
      <c r="I323" s="113" t="s">
        <v>22</v>
      </c>
      <c r="J323" s="118" t="s">
        <v>2129</v>
      </c>
      <c r="K323" s="118">
        <v>1</v>
      </c>
      <c r="L323" s="118" t="s">
        <v>5553</v>
      </c>
      <c r="M323" s="115" t="s">
        <v>1109</v>
      </c>
      <c r="N323" s="115" t="s">
        <v>6505</v>
      </c>
      <c r="O323" s="115">
        <v>1</v>
      </c>
      <c r="P323" s="115" t="s">
        <v>1109</v>
      </c>
      <c r="Q323" s="166"/>
      <c r="R323" s="164"/>
      <c r="S323" s="164"/>
      <c r="T323" s="164"/>
      <c r="U323" s="164"/>
      <c r="V323" s="162"/>
      <c r="W323" s="158"/>
      <c r="X323" s="158"/>
      <c r="Y323" s="158"/>
      <c r="Z323" s="158"/>
      <c r="AA323" s="158"/>
      <c r="AB323" s="158"/>
      <c r="AC323" s="113">
        <v>270</v>
      </c>
      <c r="AD323" s="113">
        <v>40</v>
      </c>
      <c r="AE323" s="113">
        <v>55</v>
      </c>
      <c r="AF323" s="113">
        <v>30</v>
      </c>
      <c r="AG323" s="120">
        <v>30</v>
      </c>
      <c r="AH323" s="113">
        <v>30</v>
      </c>
      <c r="AI323" s="113">
        <v>85</v>
      </c>
    </row>
    <row r="324" spans="1:35">
      <c r="A324" s="113">
        <v>277</v>
      </c>
      <c r="B324" s="113" t="s">
        <v>304</v>
      </c>
      <c r="C324" s="120" t="s">
        <v>5554</v>
      </c>
      <c r="D324" s="124">
        <v>0.5</v>
      </c>
      <c r="E324" s="124">
        <v>0.5</v>
      </c>
      <c r="F324" s="113" t="s">
        <v>22</v>
      </c>
      <c r="G324" s="113" t="s">
        <v>2119</v>
      </c>
      <c r="H324" s="113" t="s">
        <v>36</v>
      </c>
      <c r="I324" s="113" t="s">
        <v>22</v>
      </c>
      <c r="J324" s="118" t="s">
        <v>2129</v>
      </c>
      <c r="K324" s="118">
        <v>1</v>
      </c>
      <c r="L324" s="118" t="s">
        <v>5553</v>
      </c>
      <c r="M324" s="115" t="s">
        <v>5553</v>
      </c>
      <c r="N324" s="115" t="s">
        <v>6504</v>
      </c>
      <c r="O324" s="115">
        <v>1</v>
      </c>
      <c r="P324" s="115" t="s">
        <v>2128</v>
      </c>
      <c r="Q324" s="166"/>
      <c r="R324" s="164"/>
      <c r="S324" s="164"/>
      <c r="T324" s="164"/>
      <c r="U324" s="164"/>
      <c r="V324" s="162"/>
      <c r="W324" s="158"/>
      <c r="X324" s="158"/>
      <c r="Y324" s="158"/>
      <c r="Z324" s="158"/>
      <c r="AA324" s="158"/>
      <c r="AB324" s="158"/>
      <c r="AC324" s="113">
        <v>455</v>
      </c>
      <c r="AD324" s="113">
        <v>60</v>
      </c>
      <c r="AE324" s="113">
        <v>85</v>
      </c>
      <c r="AF324" s="113">
        <v>60</v>
      </c>
      <c r="AG324" s="120">
        <v>75</v>
      </c>
      <c r="AH324" s="113">
        <v>50</v>
      </c>
      <c r="AI324" s="113">
        <v>125</v>
      </c>
    </row>
    <row r="325" spans="1:35">
      <c r="A325" s="113">
        <v>278</v>
      </c>
      <c r="B325" s="113" t="s">
        <v>305</v>
      </c>
      <c r="C325" s="120" t="s">
        <v>5555</v>
      </c>
      <c r="D325" s="124">
        <v>0.5</v>
      </c>
      <c r="E325" s="124">
        <v>0.5</v>
      </c>
      <c r="F325" s="113" t="s">
        <v>22</v>
      </c>
      <c r="G325" s="113" t="s">
        <v>2119</v>
      </c>
      <c r="H325" s="113" t="s">
        <v>25</v>
      </c>
      <c r="I325" s="113" t="s">
        <v>22</v>
      </c>
      <c r="J325" s="118" t="s">
        <v>2129</v>
      </c>
      <c r="K325" s="118">
        <v>1</v>
      </c>
      <c r="L325" s="118" t="s">
        <v>5555</v>
      </c>
      <c r="M325" s="115" t="s">
        <v>1109</v>
      </c>
      <c r="N325" s="115" t="s">
        <v>6505</v>
      </c>
      <c r="O325" s="115">
        <v>1</v>
      </c>
      <c r="P325" s="115" t="s">
        <v>1109</v>
      </c>
      <c r="Q325" s="166"/>
      <c r="R325" s="164"/>
      <c r="S325" s="164"/>
      <c r="T325" s="164"/>
      <c r="U325" s="164"/>
      <c r="V325" s="162"/>
      <c r="W325" s="158"/>
      <c r="X325" s="158"/>
      <c r="Y325" s="158"/>
      <c r="Z325" s="158"/>
      <c r="AA325" s="158"/>
      <c r="AB325" s="158"/>
      <c r="AC325" s="113">
        <v>270</v>
      </c>
      <c r="AD325" s="113">
        <v>40</v>
      </c>
      <c r="AE325" s="113">
        <v>30</v>
      </c>
      <c r="AF325" s="113">
        <v>30</v>
      </c>
      <c r="AG325" s="120">
        <v>55</v>
      </c>
      <c r="AH325" s="113">
        <v>30</v>
      </c>
      <c r="AI325" s="113">
        <v>85</v>
      </c>
    </row>
    <row r="326" spans="1:35">
      <c r="A326" s="113">
        <v>279</v>
      </c>
      <c r="B326" s="113" t="s">
        <v>306</v>
      </c>
      <c r="C326" s="120" t="s">
        <v>5556</v>
      </c>
      <c r="D326" s="124">
        <v>0.5</v>
      </c>
      <c r="E326" s="124">
        <v>0.5</v>
      </c>
      <c r="F326" s="113" t="s">
        <v>22</v>
      </c>
      <c r="G326" s="113" t="s">
        <v>2119</v>
      </c>
      <c r="H326" s="113" t="s">
        <v>25</v>
      </c>
      <c r="I326" s="113" t="s">
        <v>22</v>
      </c>
      <c r="J326" s="118" t="s">
        <v>2129</v>
      </c>
      <c r="K326" s="118">
        <v>1</v>
      </c>
      <c r="L326" s="118" t="s">
        <v>5555</v>
      </c>
      <c r="M326" s="115" t="s">
        <v>5555</v>
      </c>
      <c r="N326" s="115" t="s">
        <v>6504</v>
      </c>
      <c r="O326" s="115">
        <v>1</v>
      </c>
      <c r="P326" s="115" t="s">
        <v>2128</v>
      </c>
      <c r="Q326" s="166"/>
      <c r="R326" s="164"/>
      <c r="S326" s="164"/>
      <c r="T326" s="164"/>
      <c r="U326" s="164"/>
      <c r="V326" s="162"/>
      <c r="W326" s="158"/>
      <c r="X326" s="158"/>
      <c r="Y326" s="158"/>
      <c r="Z326" s="158"/>
      <c r="AA326" s="158"/>
      <c r="AB326" s="158"/>
      <c r="AC326" s="113">
        <v>440</v>
      </c>
      <c r="AD326" s="113">
        <v>60</v>
      </c>
      <c r="AE326" s="113">
        <v>50</v>
      </c>
      <c r="AF326" s="113">
        <v>100</v>
      </c>
      <c r="AG326" s="120">
        <v>95</v>
      </c>
      <c r="AH326" s="113">
        <v>70</v>
      </c>
      <c r="AI326" s="113">
        <v>65</v>
      </c>
    </row>
    <row r="327" spans="1:35">
      <c r="A327" s="113">
        <v>280</v>
      </c>
      <c r="B327" s="113" t="s">
        <v>307</v>
      </c>
      <c r="C327" s="120" t="s">
        <v>5557</v>
      </c>
      <c r="D327" s="124">
        <v>0.5</v>
      </c>
      <c r="E327" s="124">
        <v>0.5</v>
      </c>
      <c r="F327" s="113" t="s">
        <v>2334</v>
      </c>
      <c r="G327" s="113" t="s">
        <v>2119</v>
      </c>
      <c r="H327" s="113" t="s">
        <v>86</v>
      </c>
      <c r="I327" s="113" t="s">
        <v>56</v>
      </c>
      <c r="J327" s="118" t="s">
        <v>2129</v>
      </c>
      <c r="K327" s="118">
        <v>3</v>
      </c>
      <c r="L327" s="118" t="s">
        <v>5557</v>
      </c>
      <c r="M327" s="115" t="s">
        <v>1109</v>
      </c>
      <c r="N327" s="115" t="s">
        <v>6505</v>
      </c>
      <c r="O327" s="115">
        <v>1.5</v>
      </c>
      <c r="P327" s="115" t="s">
        <v>1109</v>
      </c>
      <c r="Q327" s="166"/>
      <c r="R327" s="164"/>
      <c r="S327" s="164"/>
      <c r="T327" s="164"/>
      <c r="U327" s="164"/>
      <c r="V327" s="162"/>
      <c r="W327" s="158"/>
      <c r="X327" s="158"/>
      <c r="Y327" s="158"/>
      <c r="Z327" s="158"/>
      <c r="AA327" s="158"/>
      <c r="AB327" s="158"/>
      <c r="AC327" s="113">
        <v>198</v>
      </c>
      <c r="AD327" s="113">
        <v>28</v>
      </c>
      <c r="AE327" s="113">
        <v>25</v>
      </c>
      <c r="AF327" s="113">
        <v>25</v>
      </c>
      <c r="AG327" s="120">
        <v>45</v>
      </c>
      <c r="AH327" s="113">
        <v>35</v>
      </c>
      <c r="AI327" s="113">
        <v>40</v>
      </c>
    </row>
    <row r="328" spans="1:35">
      <c r="A328" s="113">
        <v>281</v>
      </c>
      <c r="B328" s="113" t="s">
        <v>308</v>
      </c>
      <c r="C328" s="120" t="s">
        <v>5558</v>
      </c>
      <c r="D328" s="124">
        <v>0.5</v>
      </c>
      <c r="E328" s="124">
        <v>0.5</v>
      </c>
      <c r="F328" s="113" t="s">
        <v>2334</v>
      </c>
      <c r="G328" s="113" t="s">
        <v>2119</v>
      </c>
      <c r="H328" s="113" t="s">
        <v>86</v>
      </c>
      <c r="I328" s="113" t="s">
        <v>56</v>
      </c>
      <c r="J328" s="118" t="s">
        <v>2129</v>
      </c>
      <c r="K328" s="118">
        <v>3</v>
      </c>
      <c r="L328" s="118" t="s">
        <v>5557</v>
      </c>
      <c r="M328" s="115" t="s">
        <v>5557</v>
      </c>
      <c r="N328" s="115" t="s">
        <v>6506</v>
      </c>
      <c r="O328" s="115">
        <v>1.5</v>
      </c>
      <c r="P328" s="115" t="s">
        <v>2128</v>
      </c>
      <c r="Q328" s="166"/>
      <c r="R328" s="164"/>
      <c r="S328" s="164"/>
      <c r="T328" s="164"/>
      <c r="U328" s="164"/>
      <c r="V328" s="162"/>
      <c r="W328" s="158"/>
      <c r="X328" s="158"/>
      <c r="Y328" s="158"/>
      <c r="Z328" s="158"/>
      <c r="AA328" s="158"/>
      <c r="AB328" s="158"/>
      <c r="AC328" s="113">
        <v>278</v>
      </c>
      <c r="AD328" s="113">
        <v>38</v>
      </c>
      <c r="AE328" s="113">
        <v>35</v>
      </c>
      <c r="AF328" s="113">
        <v>35</v>
      </c>
      <c r="AG328" s="120">
        <v>65</v>
      </c>
      <c r="AH328" s="113">
        <v>55</v>
      </c>
      <c r="AI328" s="113">
        <v>50</v>
      </c>
    </row>
    <row r="329" spans="1:35">
      <c r="A329" s="113">
        <v>282</v>
      </c>
      <c r="B329" s="113" t="s">
        <v>309</v>
      </c>
      <c r="C329" s="120" t="s">
        <v>5559</v>
      </c>
      <c r="D329" s="124">
        <v>0</v>
      </c>
      <c r="E329" s="124">
        <v>1</v>
      </c>
      <c r="F329" s="113" t="s">
        <v>2334</v>
      </c>
      <c r="G329" s="113" t="s">
        <v>2119</v>
      </c>
      <c r="H329" s="113" t="s">
        <v>86</v>
      </c>
      <c r="I329" s="113" t="s">
        <v>56</v>
      </c>
      <c r="J329" s="118" t="s">
        <v>2129</v>
      </c>
      <c r="K329" s="118">
        <v>3</v>
      </c>
      <c r="L329" s="118" t="s">
        <v>5557</v>
      </c>
      <c r="M329" s="115" t="s">
        <v>5558</v>
      </c>
      <c r="N329" s="115" t="s">
        <v>6504</v>
      </c>
      <c r="O329" s="115">
        <v>1.5</v>
      </c>
      <c r="P329" s="115" t="s">
        <v>2128</v>
      </c>
      <c r="Q329" s="166"/>
      <c r="R329" s="164"/>
      <c r="S329" s="164"/>
      <c r="T329" s="164"/>
      <c r="U329" s="164"/>
      <c r="V329" s="162"/>
      <c r="W329" s="158"/>
      <c r="X329" s="158"/>
      <c r="Y329" s="158"/>
      <c r="Z329" s="158"/>
      <c r="AA329" s="158"/>
      <c r="AB329" s="158"/>
      <c r="AC329" s="113">
        <v>518</v>
      </c>
      <c r="AD329" s="113">
        <v>68</v>
      </c>
      <c r="AE329" s="113">
        <v>65</v>
      </c>
      <c r="AF329" s="113">
        <v>65</v>
      </c>
      <c r="AG329" s="120">
        <v>125</v>
      </c>
      <c r="AH329" s="113">
        <v>115</v>
      </c>
      <c r="AI329" s="113">
        <v>80</v>
      </c>
    </row>
    <row r="330" spans="1:35">
      <c r="A330" s="113">
        <v>283</v>
      </c>
      <c r="B330" s="113" t="s">
        <v>310</v>
      </c>
      <c r="C330" s="120" t="s">
        <v>5561</v>
      </c>
      <c r="D330" s="124">
        <v>0.5</v>
      </c>
      <c r="E330" s="124">
        <v>0.5</v>
      </c>
      <c r="F330" s="113" t="s">
        <v>29</v>
      </c>
      <c r="G330" s="113" t="s">
        <v>2119</v>
      </c>
      <c r="H330" s="113" t="s">
        <v>29</v>
      </c>
      <c r="I330" s="113" t="s">
        <v>25</v>
      </c>
      <c r="J330" s="118" t="s">
        <v>2129</v>
      </c>
      <c r="K330" s="118">
        <v>1</v>
      </c>
      <c r="L330" s="118" t="s">
        <v>5561</v>
      </c>
      <c r="M330" s="115" t="s">
        <v>1109</v>
      </c>
      <c r="N330" s="115" t="s">
        <v>6505</v>
      </c>
      <c r="O330" s="115">
        <v>1</v>
      </c>
      <c r="P330" s="115" t="s">
        <v>1109</v>
      </c>
      <c r="Q330" s="166"/>
      <c r="R330" s="164"/>
      <c r="S330" s="164"/>
      <c r="T330" s="164"/>
      <c r="U330" s="164"/>
      <c r="V330" s="162"/>
      <c r="W330" s="158"/>
      <c r="X330" s="158"/>
      <c r="Y330" s="158"/>
      <c r="Z330" s="158"/>
      <c r="AA330" s="158"/>
      <c r="AB330" s="158"/>
      <c r="AC330" s="113">
        <v>269</v>
      </c>
      <c r="AD330" s="113">
        <v>40</v>
      </c>
      <c r="AE330" s="113">
        <v>30</v>
      </c>
      <c r="AF330" s="113">
        <v>32</v>
      </c>
      <c r="AG330" s="120">
        <v>50</v>
      </c>
      <c r="AH330" s="113">
        <v>52</v>
      </c>
      <c r="AI330" s="113">
        <v>65</v>
      </c>
    </row>
    <row r="331" spans="1:35">
      <c r="A331" s="113">
        <v>284</v>
      </c>
      <c r="B331" s="113" t="s">
        <v>311</v>
      </c>
      <c r="C331" s="120" t="s">
        <v>5562</v>
      </c>
      <c r="D331" s="124">
        <v>0.5</v>
      </c>
      <c r="E331" s="124">
        <v>0.5</v>
      </c>
      <c r="F331" s="113" t="s">
        <v>29</v>
      </c>
      <c r="G331" s="113" t="s">
        <v>2119</v>
      </c>
      <c r="H331" s="113" t="s">
        <v>29</v>
      </c>
      <c r="I331" s="113" t="s">
        <v>22</v>
      </c>
      <c r="J331" s="118" t="s">
        <v>2129</v>
      </c>
      <c r="K331" s="118">
        <v>1</v>
      </c>
      <c r="L331" s="118" t="s">
        <v>5561</v>
      </c>
      <c r="M331" s="115" t="s">
        <v>5561</v>
      </c>
      <c r="N331" s="115" t="s">
        <v>6504</v>
      </c>
      <c r="O331" s="115">
        <v>1</v>
      </c>
      <c r="P331" s="115" t="s">
        <v>2128</v>
      </c>
      <c r="Q331" s="166"/>
      <c r="R331" s="164"/>
      <c r="S331" s="164"/>
      <c r="T331" s="164"/>
      <c r="U331" s="164"/>
      <c r="V331" s="162"/>
      <c r="W331" s="158"/>
      <c r="X331" s="158"/>
      <c r="Y331" s="158"/>
      <c r="Z331" s="158"/>
      <c r="AA331" s="158"/>
      <c r="AB331" s="158"/>
      <c r="AC331" s="113">
        <v>454</v>
      </c>
      <c r="AD331" s="113">
        <v>70</v>
      </c>
      <c r="AE331" s="113">
        <v>60</v>
      </c>
      <c r="AF331" s="113">
        <v>62</v>
      </c>
      <c r="AG331" s="120">
        <v>100</v>
      </c>
      <c r="AH331" s="113">
        <v>82</v>
      </c>
      <c r="AI331" s="113">
        <v>80</v>
      </c>
    </row>
    <row r="332" spans="1:35">
      <c r="A332" s="113">
        <v>285</v>
      </c>
      <c r="B332" s="113" t="s">
        <v>312</v>
      </c>
      <c r="C332" s="120" t="s">
        <v>5563</v>
      </c>
      <c r="D332" s="124">
        <v>0.5</v>
      </c>
      <c r="E332" s="124">
        <v>0.5</v>
      </c>
      <c r="F332" s="113" t="s">
        <v>14</v>
      </c>
      <c r="G332" s="113" t="s">
        <v>2119</v>
      </c>
      <c r="H332" s="113" t="s">
        <v>14</v>
      </c>
      <c r="I332" s="113" t="s">
        <v>1109</v>
      </c>
      <c r="J332" s="118" t="s">
        <v>2129</v>
      </c>
      <c r="K332" s="118">
        <v>2</v>
      </c>
      <c r="L332" s="118" t="s">
        <v>5563</v>
      </c>
      <c r="M332" s="115" t="s">
        <v>1109</v>
      </c>
      <c r="N332" s="115" t="s">
        <v>6505</v>
      </c>
      <c r="O332" s="115">
        <v>1.25</v>
      </c>
      <c r="P332" s="115" t="s">
        <v>1109</v>
      </c>
      <c r="Q332" s="166"/>
      <c r="R332" s="164"/>
      <c r="S332" s="164"/>
      <c r="T332" s="164"/>
      <c r="U332" s="164"/>
      <c r="V332" s="162"/>
      <c r="W332" s="158"/>
      <c r="X332" s="158"/>
      <c r="Y332" s="158"/>
      <c r="Z332" s="158"/>
      <c r="AA332" s="158"/>
      <c r="AB332" s="158"/>
      <c r="AC332" s="113">
        <v>295</v>
      </c>
      <c r="AD332" s="113">
        <v>60</v>
      </c>
      <c r="AE332" s="113">
        <v>40</v>
      </c>
      <c r="AF332" s="113">
        <v>60</v>
      </c>
      <c r="AG332" s="120">
        <v>40</v>
      </c>
      <c r="AH332" s="113">
        <v>60</v>
      </c>
      <c r="AI332" s="113">
        <v>35</v>
      </c>
    </row>
    <row r="333" spans="1:35">
      <c r="A333" s="113">
        <v>286</v>
      </c>
      <c r="B333" s="113" t="s">
        <v>313</v>
      </c>
      <c r="C333" s="120" t="s">
        <v>5564</v>
      </c>
      <c r="D333" s="124">
        <v>0.5</v>
      </c>
      <c r="E333" s="124">
        <v>0.5</v>
      </c>
      <c r="F333" s="113" t="s">
        <v>14</v>
      </c>
      <c r="G333" s="113" t="s">
        <v>2119</v>
      </c>
      <c r="H333" s="113" t="s">
        <v>14</v>
      </c>
      <c r="I333" s="113" t="s">
        <v>78</v>
      </c>
      <c r="J333" s="118" t="s">
        <v>2129</v>
      </c>
      <c r="K333" s="118">
        <v>2</v>
      </c>
      <c r="L333" s="118" t="s">
        <v>5563</v>
      </c>
      <c r="M333" s="115" t="s">
        <v>5563</v>
      </c>
      <c r="N333" s="115" t="s">
        <v>6504</v>
      </c>
      <c r="O333" s="115">
        <v>1.25</v>
      </c>
      <c r="P333" s="115" t="s">
        <v>2128</v>
      </c>
      <c r="Q333" s="166"/>
      <c r="R333" s="164"/>
      <c r="S333" s="164"/>
      <c r="T333" s="164"/>
      <c r="U333" s="164"/>
      <c r="V333" s="162"/>
      <c r="W333" s="158"/>
      <c r="X333" s="158"/>
      <c r="Y333" s="158"/>
      <c r="Z333" s="158"/>
      <c r="AA333" s="158"/>
      <c r="AB333" s="158"/>
      <c r="AC333" s="113">
        <v>460</v>
      </c>
      <c r="AD333" s="113">
        <v>60</v>
      </c>
      <c r="AE333" s="113">
        <v>130</v>
      </c>
      <c r="AF333" s="113">
        <v>80</v>
      </c>
      <c r="AG333" s="120">
        <v>60</v>
      </c>
      <c r="AH333" s="113">
        <v>60</v>
      </c>
      <c r="AI333" s="113">
        <v>70</v>
      </c>
    </row>
    <row r="334" spans="1:35">
      <c r="A334" s="113">
        <v>287</v>
      </c>
      <c r="B334" s="113" t="s">
        <v>314</v>
      </c>
      <c r="C334" s="120" t="s">
        <v>5565</v>
      </c>
      <c r="D334" s="124">
        <v>0.5</v>
      </c>
      <c r="E334" s="124">
        <v>0.5</v>
      </c>
      <c r="F334" s="113" t="s">
        <v>2332</v>
      </c>
      <c r="G334" s="113" t="s">
        <v>2119</v>
      </c>
      <c r="H334" s="113" t="s">
        <v>36</v>
      </c>
      <c r="I334" s="113" t="s">
        <v>1109</v>
      </c>
      <c r="J334" s="118" t="s">
        <v>2129</v>
      </c>
      <c r="K334" s="118">
        <v>2</v>
      </c>
      <c r="L334" s="118" t="s">
        <v>5565</v>
      </c>
      <c r="M334" s="115" t="s">
        <v>1109</v>
      </c>
      <c r="N334" s="115" t="s">
        <v>6505</v>
      </c>
      <c r="O334" s="115">
        <v>1.25</v>
      </c>
      <c r="P334" s="115" t="s">
        <v>1109</v>
      </c>
      <c r="Q334" s="166"/>
      <c r="R334" s="164"/>
      <c r="S334" s="164"/>
      <c r="T334" s="164"/>
      <c r="U334" s="164"/>
      <c r="V334" s="162"/>
      <c r="W334" s="158"/>
      <c r="X334" s="158"/>
      <c r="Y334" s="158"/>
      <c r="Z334" s="158"/>
      <c r="AA334" s="158"/>
      <c r="AB334" s="158"/>
      <c r="AC334" s="113">
        <v>280</v>
      </c>
      <c r="AD334" s="113">
        <v>60</v>
      </c>
      <c r="AE334" s="113">
        <v>60</v>
      </c>
      <c r="AF334" s="113">
        <v>60</v>
      </c>
      <c r="AG334" s="120">
        <v>35</v>
      </c>
      <c r="AH334" s="113">
        <v>35</v>
      </c>
      <c r="AI334" s="113">
        <v>30</v>
      </c>
    </row>
    <row r="335" spans="1:35">
      <c r="A335" s="113">
        <v>288</v>
      </c>
      <c r="B335" s="113" t="s">
        <v>315</v>
      </c>
      <c r="C335" s="120" t="s">
        <v>5566</v>
      </c>
      <c r="D335" s="124">
        <v>0.5</v>
      </c>
      <c r="E335" s="124">
        <v>0.5</v>
      </c>
      <c r="F335" s="113" t="s">
        <v>2332</v>
      </c>
      <c r="G335" s="113" t="s">
        <v>2119</v>
      </c>
      <c r="H335" s="113" t="s">
        <v>36</v>
      </c>
      <c r="I335" s="113" t="s">
        <v>1109</v>
      </c>
      <c r="J335" s="118" t="s">
        <v>2129</v>
      </c>
      <c r="K335" s="118">
        <v>2</v>
      </c>
      <c r="L335" s="118" t="s">
        <v>5565</v>
      </c>
      <c r="M335" s="115" t="s">
        <v>5565</v>
      </c>
      <c r="N335" s="115" t="s">
        <v>6506</v>
      </c>
      <c r="O335" s="115">
        <v>1.25</v>
      </c>
      <c r="P335" s="115" t="s">
        <v>2128</v>
      </c>
      <c r="Q335" s="166"/>
      <c r="R335" s="164"/>
      <c r="S335" s="164"/>
      <c r="T335" s="164"/>
      <c r="U335" s="164"/>
      <c r="V335" s="162"/>
      <c r="W335" s="158"/>
      <c r="X335" s="158"/>
      <c r="Y335" s="158"/>
      <c r="Z335" s="158"/>
      <c r="AA335" s="158"/>
      <c r="AB335" s="158"/>
      <c r="AC335" s="113">
        <v>440</v>
      </c>
      <c r="AD335" s="113">
        <v>80</v>
      </c>
      <c r="AE335" s="113">
        <v>80</v>
      </c>
      <c r="AF335" s="113">
        <v>80</v>
      </c>
      <c r="AG335" s="120">
        <v>55</v>
      </c>
      <c r="AH335" s="113">
        <v>55</v>
      </c>
      <c r="AI335" s="113">
        <v>90</v>
      </c>
    </row>
    <row r="336" spans="1:35">
      <c r="A336" s="113">
        <v>289</v>
      </c>
      <c r="B336" s="113" t="s">
        <v>316</v>
      </c>
      <c r="C336" s="120" t="s">
        <v>5567</v>
      </c>
      <c r="D336" s="124">
        <v>0.5</v>
      </c>
      <c r="E336" s="124">
        <v>0.5</v>
      </c>
      <c r="F336" s="113" t="s">
        <v>2332</v>
      </c>
      <c r="G336" s="113" t="s">
        <v>2119</v>
      </c>
      <c r="H336" s="113" t="s">
        <v>36</v>
      </c>
      <c r="I336" s="113" t="s">
        <v>1109</v>
      </c>
      <c r="J336" s="118" t="s">
        <v>2129</v>
      </c>
      <c r="K336" s="118">
        <v>2</v>
      </c>
      <c r="L336" s="118" t="s">
        <v>5565</v>
      </c>
      <c r="M336" s="115" t="s">
        <v>5566</v>
      </c>
      <c r="N336" s="115" t="s">
        <v>6504</v>
      </c>
      <c r="O336" s="115">
        <v>1.25</v>
      </c>
      <c r="P336" s="115" t="s">
        <v>2128</v>
      </c>
      <c r="Q336" s="166"/>
      <c r="R336" s="164"/>
      <c r="S336" s="164"/>
      <c r="T336" s="164"/>
      <c r="U336" s="164"/>
      <c r="V336" s="162"/>
      <c r="W336" s="158"/>
      <c r="X336" s="158"/>
      <c r="Y336" s="158"/>
      <c r="Z336" s="158"/>
      <c r="AA336" s="158"/>
      <c r="AB336" s="158"/>
      <c r="AC336" s="113">
        <v>670</v>
      </c>
      <c r="AD336" s="113">
        <v>150</v>
      </c>
      <c r="AE336" s="113">
        <v>160</v>
      </c>
      <c r="AF336" s="113">
        <v>100</v>
      </c>
      <c r="AG336" s="120">
        <v>95</v>
      </c>
      <c r="AH336" s="113">
        <v>65</v>
      </c>
      <c r="AI336" s="113">
        <v>100</v>
      </c>
    </row>
    <row r="337" spans="1:35">
      <c r="A337" s="113">
        <v>290</v>
      </c>
      <c r="B337" s="113" t="s">
        <v>317</v>
      </c>
      <c r="C337" s="120" t="s">
        <v>5568</v>
      </c>
      <c r="D337" s="124">
        <v>0.5</v>
      </c>
      <c r="E337" s="124">
        <v>0.5</v>
      </c>
      <c r="F337" s="113" t="s">
        <v>29</v>
      </c>
      <c r="G337" s="113" t="s">
        <v>2119</v>
      </c>
      <c r="H337" s="113" t="s">
        <v>29</v>
      </c>
      <c r="I337" s="113" t="s">
        <v>49</v>
      </c>
      <c r="J337" s="118" t="s">
        <v>2129</v>
      </c>
      <c r="K337" s="118">
        <v>2</v>
      </c>
      <c r="L337" s="118" t="s">
        <v>5568</v>
      </c>
      <c r="M337" s="115" t="s">
        <v>1109</v>
      </c>
      <c r="N337" s="115" t="s">
        <v>6505</v>
      </c>
      <c r="O337" s="115">
        <v>1.25</v>
      </c>
      <c r="P337" s="115" t="s">
        <v>1109</v>
      </c>
      <c r="Q337" s="166"/>
      <c r="R337" s="164"/>
      <c r="S337" s="164"/>
      <c r="T337" s="164"/>
      <c r="U337" s="164"/>
      <c r="V337" s="162"/>
      <c r="W337" s="158"/>
      <c r="X337" s="158"/>
      <c r="Y337" s="158"/>
      <c r="Z337" s="158"/>
      <c r="AA337" s="158"/>
      <c r="AB337" s="158"/>
      <c r="AC337" s="113">
        <v>266</v>
      </c>
      <c r="AD337" s="113">
        <v>31</v>
      </c>
      <c r="AE337" s="113">
        <v>45</v>
      </c>
      <c r="AF337" s="113">
        <v>90</v>
      </c>
      <c r="AG337" s="120">
        <v>30</v>
      </c>
      <c r="AH337" s="113">
        <v>30</v>
      </c>
      <c r="AI337" s="113">
        <v>40</v>
      </c>
    </row>
    <row r="338" spans="1:35">
      <c r="A338" s="113">
        <v>291</v>
      </c>
      <c r="B338" s="113" t="s">
        <v>318</v>
      </c>
      <c r="C338" s="120" t="s">
        <v>5569</v>
      </c>
      <c r="D338" s="124">
        <v>0.5</v>
      </c>
      <c r="E338" s="124">
        <v>0.5</v>
      </c>
      <c r="F338" s="113" t="s">
        <v>29</v>
      </c>
      <c r="G338" s="113" t="s">
        <v>2119</v>
      </c>
      <c r="H338" s="113" t="s">
        <v>29</v>
      </c>
      <c r="I338" s="113" t="s">
        <v>22</v>
      </c>
      <c r="J338" s="118" t="s">
        <v>2129</v>
      </c>
      <c r="K338" s="118">
        <v>2</v>
      </c>
      <c r="L338" s="118" t="s">
        <v>5568</v>
      </c>
      <c r="M338" s="115" t="s">
        <v>5568</v>
      </c>
      <c r="N338" s="115" t="s">
        <v>6504</v>
      </c>
      <c r="O338" s="115">
        <v>1.25</v>
      </c>
      <c r="P338" s="115" t="s">
        <v>2128</v>
      </c>
      <c r="Q338" s="166"/>
      <c r="R338" s="164"/>
      <c r="S338" s="164"/>
      <c r="T338" s="164"/>
      <c r="U338" s="164"/>
      <c r="V338" s="162"/>
      <c r="W338" s="158"/>
      <c r="X338" s="158"/>
      <c r="Y338" s="158"/>
      <c r="Z338" s="158"/>
      <c r="AA338" s="158"/>
      <c r="AB338" s="158"/>
      <c r="AC338" s="113">
        <v>456</v>
      </c>
      <c r="AD338" s="113">
        <v>61</v>
      </c>
      <c r="AE338" s="113">
        <v>90</v>
      </c>
      <c r="AF338" s="113">
        <v>45</v>
      </c>
      <c r="AG338" s="120">
        <v>50</v>
      </c>
      <c r="AH338" s="113">
        <v>50</v>
      </c>
      <c r="AI338" s="113">
        <v>160</v>
      </c>
    </row>
    <row r="339" spans="1:35">
      <c r="A339" s="113">
        <v>292</v>
      </c>
      <c r="B339" s="113" t="s">
        <v>319</v>
      </c>
      <c r="C339" s="120" t="s">
        <v>5570</v>
      </c>
      <c r="D339" s="124" t="s">
        <v>1109</v>
      </c>
      <c r="E339" s="124" t="s">
        <v>1109</v>
      </c>
      <c r="F339" s="113" t="s">
        <v>2112</v>
      </c>
      <c r="G339" s="113" t="s">
        <v>2119</v>
      </c>
      <c r="H339" s="113" t="s">
        <v>29</v>
      </c>
      <c r="I339" s="113" t="s">
        <v>119</v>
      </c>
      <c r="J339" s="118" t="s">
        <v>2129</v>
      </c>
      <c r="K339" s="118">
        <v>2</v>
      </c>
      <c r="L339" s="118" t="s">
        <v>5568</v>
      </c>
      <c r="M339" s="115" t="s">
        <v>5568</v>
      </c>
      <c r="N339" s="115" t="s">
        <v>6504</v>
      </c>
      <c r="O339" s="115">
        <v>1.25</v>
      </c>
      <c r="P339" s="115" t="s">
        <v>814</v>
      </c>
      <c r="Q339" s="166"/>
      <c r="R339" s="164"/>
      <c r="S339" s="164"/>
      <c r="T339" s="164"/>
      <c r="U339" s="164"/>
      <c r="V339" s="162"/>
      <c r="W339" s="158"/>
      <c r="X339" s="158"/>
      <c r="Y339" s="158"/>
      <c r="Z339" s="158"/>
      <c r="AA339" s="158"/>
      <c r="AB339" s="158"/>
      <c r="AC339" s="113">
        <v>236</v>
      </c>
      <c r="AD339" s="113">
        <v>1</v>
      </c>
      <c r="AE339" s="113">
        <v>90</v>
      </c>
      <c r="AF339" s="113">
        <v>45</v>
      </c>
      <c r="AG339" s="120">
        <v>30</v>
      </c>
      <c r="AH339" s="113">
        <v>30</v>
      </c>
      <c r="AI339" s="113">
        <v>40</v>
      </c>
    </row>
    <row r="340" spans="1:35">
      <c r="A340" s="113">
        <v>293</v>
      </c>
      <c r="B340" s="113" t="s">
        <v>320</v>
      </c>
      <c r="C340" s="120" t="s">
        <v>5571</v>
      </c>
      <c r="D340" s="124">
        <v>0.5</v>
      </c>
      <c r="E340" s="124">
        <v>0.5</v>
      </c>
      <c r="F340" s="113" t="s">
        <v>2332</v>
      </c>
      <c r="G340" s="113" t="s">
        <v>2119</v>
      </c>
      <c r="H340" s="113" t="s">
        <v>36</v>
      </c>
      <c r="I340" s="113" t="s">
        <v>1109</v>
      </c>
      <c r="J340" s="118" t="s">
        <v>2129</v>
      </c>
      <c r="K340" s="118">
        <v>1</v>
      </c>
      <c r="L340" s="118" t="s">
        <v>5571</v>
      </c>
      <c r="M340" s="115" t="s">
        <v>1109</v>
      </c>
      <c r="N340" s="115" t="s">
        <v>6505</v>
      </c>
      <c r="O340" s="115">
        <v>1</v>
      </c>
      <c r="P340" s="115" t="s">
        <v>1109</v>
      </c>
      <c r="Q340" s="166"/>
      <c r="R340" s="164"/>
      <c r="S340" s="164"/>
      <c r="T340" s="164"/>
      <c r="U340" s="164"/>
      <c r="V340" s="162"/>
      <c r="W340" s="158"/>
      <c r="X340" s="158"/>
      <c r="Y340" s="158"/>
      <c r="Z340" s="158"/>
      <c r="AA340" s="158"/>
      <c r="AB340" s="158"/>
      <c r="AC340" s="113">
        <v>240</v>
      </c>
      <c r="AD340" s="113">
        <v>64</v>
      </c>
      <c r="AE340" s="113">
        <v>51</v>
      </c>
      <c r="AF340" s="113">
        <v>23</v>
      </c>
      <c r="AG340" s="120">
        <v>51</v>
      </c>
      <c r="AH340" s="113">
        <v>23</v>
      </c>
      <c r="AI340" s="113">
        <v>28</v>
      </c>
    </row>
    <row r="341" spans="1:35">
      <c r="A341" s="113">
        <v>294</v>
      </c>
      <c r="B341" s="113" t="s">
        <v>321</v>
      </c>
      <c r="C341" s="120" t="s">
        <v>5572</v>
      </c>
      <c r="D341" s="124">
        <v>0.5</v>
      </c>
      <c r="E341" s="124">
        <v>0.5</v>
      </c>
      <c r="F341" s="113" t="s">
        <v>2332</v>
      </c>
      <c r="G341" s="113" t="s">
        <v>2119</v>
      </c>
      <c r="H341" s="113" t="s">
        <v>36</v>
      </c>
      <c r="I341" s="113" t="s">
        <v>1109</v>
      </c>
      <c r="J341" s="118" t="s">
        <v>2129</v>
      </c>
      <c r="K341" s="118">
        <v>1</v>
      </c>
      <c r="L341" s="118" t="s">
        <v>5571</v>
      </c>
      <c r="M341" s="115" t="s">
        <v>5571</v>
      </c>
      <c r="N341" s="115" t="s">
        <v>6506</v>
      </c>
      <c r="O341" s="115">
        <v>1</v>
      </c>
      <c r="P341" s="115" t="s">
        <v>2128</v>
      </c>
      <c r="Q341" s="166"/>
      <c r="R341" s="164"/>
      <c r="S341" s="164"/>
      <c r="T341" s="164"/>
      <c r="U341" s="164"/>
      <c r="V341" s="162"/>
      <c r="W341" s="158"/>
      <c r="X341" s="158"/>
      <c r="Y341" s="158"/>
      <c r="Z341" s="158"/>
      <c r="AA341" s="158"/>
      <c r="AB341" s="158"/>
      <c r="AC341" s="113">
        <v>360</v>
      </c>
      <c r="AD341" s="113">
        <v>84</v>
      </c>
      <c r="AE341" s="113">
        <v>71</v>
      </c>
      <c r="AF341" s="113">
        <v>43</v>
      </c>
      <c r="AG341" s="120">
        <v>71</v>
      </c>
      <c r="AH341" s="113">
        <v>43</v>
      </c>
      <c r="AI341" s="113">
        <v>48</v>
      </c>
    </row>
    <row r="342" spans="1:35">
      <c r="A342" s="113">
        <v>295</v>
      </c>
      <c r="B342" s="113" t="s">
        <v>322</v>
      </c>
      <c r="C342" s="120" t="s">
        <v>5573</v>
      </c>
      <c r="D342" s="124">
        <v>0.5</v>
      </c>
      <c r="E342" s="124">
        <v>0.5</v>
      </c>
      <c r="F342" s="113" t="s">
        <v>2332</v>
      </c>
      <c r="G342" s="113" t="s">
        <v>2119</v>
      </c>
      <c r="H342" s="113" t="s">
        <v>36</v>
      </c>
      <c r="I342" s="113" t="s">
        <v>1109</v>
      </c>
      <c r="J342" s="118" t="s">
        <v>2129</v>
      </c>
      <c r="K342" s="118">
        <v>1</v>
      </c>
      <c r="L342" s="118" t="s">
        <v>5571</v>
      </c>
      <c r="M342" s="115" t="s">
        <v>5572</v>
      </c>
      <c r="N342" s="115" t="s">
        <v>6504</v>
      </c>
      <c r="O342" s="115">
        <v>1</v>
      </c>
      <c r="P342" s="115" t="s">
        <v>2128</v>
      </c>
      <c r="Q342" s="166"/>
      <c r="R342" s="164"/>
      <c r="S342" s="164"/>
      <c r="T342" s="164"/>
      <c r="U342" s="164"/>
      <c r="V342" s="162"/>
      <c r="W342" s="158"/>
      <c r="X342" s="158"/>
      <c r="Y342" s="158"/>
      <c r="Z342" s="158"/>
      <c r="AA342" s="158"/>
      <c r="AB342" s="158"/>
      <c r="AC342" s="113">
        <v>490</v>
      </c>
      <c r="AD342" s="113">
        <v>104</v>
      </c>
      <c r="AE342" s="113">
        <v>91</v>
      </c>
      <c r="AF342" s="113">
        <v>63</v>
      </c>
      <c r="AG342" s="120">
        <v>91</v>
      </c>
      <c r="AH342" s="113">
        <v>73</v>
      </c>
      <c r="AI342" s="113">
        <v>68</v>
      </c>
    </row>
    <row r="343" spans="1:35">
      <c r="A343" s="113">
        <v>296</v>
      </c>
      <c r="B343" s="113" t="s">
        <v>323</v>
      </c>
      <c r="C343" s="120" t="s">
        <v>5574</v>
      </c>
      <c r="D343" s="124">
        <v>0.75</v>
      </c>
      <c r="E343" s="124">
        <v>0.25</v>
      </c>
      <c r="F343" s="113" t="s">
        <v>2334</v>
      </c>
      <c r="G343" s="113" t="s">
        <v>2119</v>
      </c>
      <c r="H343" s="113" t="s">
        <v>78</v>
      </c>
      <c r="I343" s="113" t="s">
        <v>1109</v>
      </c>
      <c r="J343" s="118" t="s">
        <v>2129</v>
      </c>
      <c r="K343" s="118">
        <v>1</v>
      </c>
      <c r="L343" s="118" t="s">
        <v>5574</v>
      </c>
      <c r="M343" s="115" t="s">
        <v>1109</v>
      </c>
      <c r="N343" s="115" t="s">
        <v>6505</v>
      </c>
      <c r="O343" s="115">
        <v>1</v>
      </c>
      <c r="P343" s="115" t="s">
        <v>1109</v>
      </c>
      <c r="Q343" s="166"/>
      <c r="R343" s="164"/>
      <c r="S343" s="164"/>
      <c r="T343" s="164"/>
      <c r="U343" s="164"/>
      <c r="V343" s="162"/>
      <c r="W343" s="158"/>
      <c r="X343" s="158"/>
      <c r="Y343" s="158"/>
      <c r="Z343" s="158"/>
      <c r="AA343" s="158"/>
      <c r="AB343" s="158"/>
      <c r="AC343" s="113">
        <v>237</v>
      </c>
      <c r="AD343" s="113">
        <v>72</v>
      </c>
      <c r="AE343" s="113">
        <v>60</v>
      </c>
      <c r="AF343" s="113">
        <v>30</v>
      </c>
      <c r="AG343" s="120">
        <v>20</v>
      </c>
      <c r="AH343" s="113">
        <v>30</v>
      </c>
      <c r="AI343" s="113">
        <v>25</v>
      </c>
    </row>
    <row r="344" spans="1:35">
      <c r="A344" s="113">
        <v>297</v>
      </c>
      <c r="B344" s="113" t="s">
        <v>324</v>
      </c>
      <c r="C344" s="120" t="s">
        <v>5575</v>
      </c>
      <c r="D344" s="124">
        <v>0.75</v>
      </c>
      <c r="E344" s="124">
        <v>0.25</v>
      </c>
      <c r="F344" s="113" t="s">
        <v>2334</v>
      </c>
      <c r="G344" s="113" t="s">
        <v>2119</v>
      </c>
      <c r="H344" s="113" t="s">
        <v>78</v>
      </c>
      <c r="I344" s="113" t="s">
        <v>1109</v>
      </c>
      <c r="J344" s="118" t="s">
        <v>2129</v>
      </c>
      <c r="K344" s="118">
        <v>1</v>
      </c>
      <c r="L344" s="118" t="s">
        <v>5574</v>
      </c>
      <c r="M344" s="115" t="s">
        <v>5574</v>
      </c>
      <c r="N344" s="115" t="s">
        <v>6504</v>
      </c>
      <c r="O344" s="115">
        <v>1</v>
      </c>
      <c r="P344" s="115" t="s">
        <v>2128</v>
      </c>
      <c r="Q344" s="166"/>
      <c r="R344" s="164"/>
      <c r="S344" s="164"/>
      <c r="T344" s="164"/>
      <c r="U344" s="164"/>
      <c r="V344" s="162"/>
      <c r="W344" s="158"/>
      <c r="X344" s="158"/>
      <c r="Y344" s="158"/>
      <c r="Z344" s="158"/>
      <c r="AA344" s="158"/>
      <c r="AB344" s="158"/>
      <c r="AC344" s="113">
        <v>474</v>
      </c>
      <c r="AD344" s="113">
        <v>144</v>
      </c>
      <c r="AE344" s="113">
        <v>120</v>
      </c>
      <c r="AF344" s="113">
        <v>60</v>
      </c>
      <c r="AG344" s="120">
        <v>40</v>
      </c>
      <c r="AH344" s="113">
        <v>60</v>
      </c>
      <c r="AI344" s="113">
        <v>50</v>
      </c>
    </row>
    <row r="345" spans="1:35">
      <c r="A345" s="113">
        <v>298</v>
      </c>
      <c r="B345" s="113" t="s">
        <v>325</v>
      </c>
      <c r="C345" s="120" t="s">
        <v>5576</v>
      </c>
      <c r="D345" s="124">
        <v>0.25</v>
      </c>
      <c r="E345" s="124">
        <v>0.75</v>
      </c>
      <c r="F345" s="113" t="s">
        <v>2333</v>
      </c>
      <c r="G345" s="113" t="s">
        <v>2119</v>
      </c>
      <c r="H345" s="113" t="s">
        <v>36</v>
      </c>
      <c r="I345" s="113" t="s">
        <v>56</v>
      </c>
      <c r="J345" s="118" t="s">
        <v>2129</v>
      </c>
      <c r="K345" s="118">
        <v>1</v>
      </c>
      <c r="L345" s="118" t="s">
        <v>5576</v>
      </c>
      <c r="M345" s="115" t="s">
        <v>1109</v>
      </c>
      <c r="N345" s="115" t="s">
        <v>6507</v>
      </c>
      <c r="O345" s="115">
        <v>1.5</v>
      </c>
      <c r="P345" s="115" t="s">
        <v>1109</v>
      </c>
      <c r="Q345" s="166">
        <v>0.1</v>
      </c>
      <c r="R345" s="164"/>
      <c r="S345" s="164"/>
      <c r="T345" s="164"/>
      <c r="U345" s="164"/>
      <c r="V345" s="162"/>
      <c r="W345" s="158"/>
      <c r="X345" s="158"/>
      <c r="Y345" s="158"/>
      <c r="Z345" s="158"/>
      <c r="AA345" s="158"/>
      <c r="AB345" s="158"/>
      <c r="AC345" s="113">
        <v>190</v>
      </c>
      <c r="AD345" s="113">
        <v>50</v>
      </c>
      <c r="AE345" s="113">
        <v>20</v>
      </c>
      <c r="AF345" s="113">
        <v>40</v>
      </c>
      <c r="AG345" s="120">
        <v>20</v>
      </c>
      <c r="AH345" s="113">
        <v>40</v>
      </c>
      <c r="AI345" s="113">
        <v>20</v>
      </c>
    </row>
    <row r="346" spans="1:35">
      <c r="A346" s="113">
        <v>299</v>
      </c>
      <c r="B346" s="113" t="s">
        <v>326</v>
      </c>
      <c r="C346" s="120" t="s">
        <v>5577</v>
      </c>
      <c r="D346" s="124">
        <v>0.5</v>
      </c>
      <c r="E346" s="124">
        <v>0.5</v>
      </c>
      <c r="F346" s="113" t="s">
        <v>2112</v>
      </c>
      <c r="G346" s="113" t="s">
        <v>2119</v>
      </c>
      <c r="H346" s="113" t="s">
        <v>98</v>
      </c>
      <c r="I346" s="113" t="s">
        <v>1109</v>
      </c>
      <c r="J346" s="118" t="s">
        <v>2129</v>
      </c>
      <c r="K346" s="118">
        <v>3</v>
      </c>
      <c r="L346" s="118" t="s">
        <v>5577</v>
      </c>
      <c r="M346" s="115" t="s">
        <v>1109</v>
      </c>
      <c r="N346" s="115" t="s">
        <v>6505</v>
      </c>
      <c r="O346" s="115">
        <v>1.5</v>
      </c>
      <c r="P346" s="115" t="s">
        <v>1109</v>
      </c>
      <c r="Q346" s="166"/>
      <c r="R346" s="164"/>
      <c r="S346" s="164"/>
      <c r="T346" s="164"/>
      <c r="U346" s="164"/>
      <c r="V346" s="162"/>
      <c r="W346" s="158"/>
      <c r="X346" s="158"/>
      <c r="Y346" s="158"/>
      <c r="Z346" s="158"/>
      <c r="AA346" s="158"/>
      <c r="AB346" s="158"/>
      <c r="AC346" s="113">
        <v>375</v>
      </c>
      <c r="AD346" s="113">
        <v>30</v>
      </c>
      <c r="AE346" s="113">
        <v>45</v>
      </c>
      <c r="AF346" s="113">
        <v>135</v>
      </c>
      <c r="AG346" s="120">
        <v>45</v>
      </c>
      <c r="AH346" s="113">
        <v>90</v>
      </c>
      <c r="AI346" s="113">
        <v>30</v>
      </c>
    </row>
    <row r="347" spans="1:35">
      <c r="A347" s="113">
        <v>300</v>
      </c>
      <c r="B347" s="113" t="s">
        <v>327</v>
      </c>
      <c r="C347" s="120" t="s">
        <v>5578</v>
      </c>
      <c r="D347" s="124">
        <v>0.25</v>
      </c>
      <c r="E347" s="124">
        <v>0.75</v>
      </c>
      <c r="F347" s="113" t="s">
        <v>56</v>
      </c>
      <c r="G347" s="113" t="s">
        <v>2119</v>
      </c>
      <c r="H347" s="113" t="s">
        <v>36</v>
      </c>
      <c r="I347" s="113" t="s">
        <v>1109</v>
      </c>
      <c r="J347" s="118" t="s">
        <v>2129</v>
      </c>
      <c r="K347" s="118">
        <v>2</v>
      </c>
      <c r="L347" s="118" t="s">
        <v>5578</v>
      </c>
      <c r="M347" s="115" t="s">
        <v>1109</v>
      </c>
      <c r="N347" s="115" t="s">
        <v>6505</v>
      </c>
      <c r="O347" s="115">
        <v>1.25</v>
      </c>
      <c r="P347" s="115" t="s">
        <v>1109</v>
      </c>
      <c r="Q347" s="166"/>
      <c r="R347" s="164"/>
      <c r="S347" s="164"/>
      <c r="T347" s="164"/>
      <c r="U347" s="164"/>
      <c r="V347" s="162"/>
      <c r="W347" s="158"/>
      <c r="X347" s="158"/>
      <c r="Y347" s="158"/>
      <c r="Z347" s="158"/>
      <c r="AA347" s="158"/>
      <c r="AB347" s="158"/>
      <c r="AC347" s="113">
        <v>260</v>
      </c>
      <c r="AD347" s="113">
        <v>50</v>
      </c>
      <c r="AE347" s="113">
        <v>45</v>
      </c>
      <c r="AF347" s="113">
        <v>45</v>
      </c>
      <c r="AG347" s="120">
        <v>35</v>
      </c>
      <c r="AH347" s="113">
        <v>35</v>
      </c>
      <c r="AI347" s="113">
        <v>50</v>
      </c>
    </row>
    <row r="348" spans="1:35">
      <c r="A348" s="113">
        <v>301</v>
      </c>
      <c r="B348" s="113" t="s">
        <v>328</v>
      </c>
      <c r="C348" s="120" t="s">
        <v>5579</v>
      </c>
      <c r="D348" s="124">
        <v>0.25</v>
      </c>
      <c r="E348" s="124">
        <v>0.75</v>
      </c>
      <c r="F348" s="113" t="s">
        <v>56</v>
      </c>
      <c r="G348" s="113" t="s">
        <v>2119</v>
      </c>
      <c r="H348" s="113" t="s">
        <v>36</v>
      </c>
      <c r="I348" s="113" t="s">
        <v>1109</v>
      </c>
      <c r="J348" s="118" t="s">
        <v>2129</v>
      </c>
      <c r="K348" s="118">
        <v>2</v>
      </c>
      <c r="L348" s="118" t="s">
        <v>5578</v>
      </c>
      <c r="M348" s="115" t="s">
        <v>5578</v>
      </c>
      <c r="N348" s="115" t="s">
        <v>6504</v>
      </c>
      <c r="O348" s="115">
        <v>1.25</v>
      </c>
      <c r="P348" s="115" t="s">
        <v>1803</v>
      </c>
      <c r="Q348" s="166"/>
      <c r="R348" s="164"/>
      <c r="S348" s="164"/>
      <c r="T348" s="164"/>
      <c r="U348" s="164"/>
      <c r="V348" s="162"/>
      <c r="W348" s="158"/>
      <c r="X348" s="158"/>
      <c r="Y348" s="158"/>
      <c r="Z348" s="158"/>
      <c r="AA348" s="158"/>
      <c r="AB348" s="158"/>
      <c r="AC348" s="113">
        <v>400</v>
      </c>
      <c r="AD348" s="113">
        <v>70</v>
      </c>
      <c r="AE348" s="113">
        <v>65</v>
      </c>
      <c r="AF348" s="113">
        <v>65</v>
      </c>
      <c r="AG348" s="120">
        <v>55</v>
      </c>
      <c r="AH348" s="113">
        <v>55</v>
      </c>
      <c r="AI348" s="113">
        <v>90</v>
      </c>
    </row>
    <row r="349" spans="1:35">
      <c r="A349" s="113">
        <v>302</v>
      </c>
      <c r="B349" s="113" t="s">
        <v>329</v>
      </c>
      <c r="C349" s="120" t="s">
        <v>5580</v>
      </c>
      <c r="D349" s="124">
        <v>0.5</v>
      </c>
      <c r="E349" s="124">
        <v>0.5</v>
      </c>
      <c r="F349" s="113" t="s">
        <v>2334</v>
      </c>
      <c r="G349" s="113" t="s">
        <v>2119</v>
      </c>
      <c r="H349" s="113" t="s">
        <v>158</v>
      </c>
      <c r="I349" s="113" t="s">
        <v>119</v>
      </c>
      <c r="J349" s="118" t="s">
        <v>2129</v>
      </c>
      <c r="K349" s="118">
        <v>3</v>
      </c>
      <c r="L349" s="118" t="s">
        <v>5580</v>
      </c>
      <c r="M349" s="115" t="s">
        <v>1109</v>
      </c>
      <c r="N349" s="115" t="s">
        <v>6504</v>
      </c>
      <c r="O349" s="115">
        <v>1.5</v>
      </c>
      <c r="P349" s="115" t="s">
        <v>1109</v>
      </c>
      <c r="Q349" s="166"/>
      <c r="R349" s="164"/>
      <c r="S349" s="164"/>
      <c r="T349" s="164"/>
      <c r="U349" s="164"/>
      <c r="V349" s="162"/>
      <c r="W349" s="158"/>
      <c r="X349" s="158"/>
      <c r="Y349" s="158"/>
      <c r="Z349" s="158"/>
      <c r="AA349" s="158"/>
      <c r="AB349" s="158"/>
      <c r="AC349" s="113">
        <v>380</v>
      </c>
      <c r="AD349" s="113">
        <v>50</v>
      </c>
      <c r="AE349" s="113">
        <v>75</v>
      </c>
      <c r="AF349" s="113">
        <v>75</v>
      </c>
      <c r="AG349" s="120">
        <v>65</v>
      </c>
      <c r="AH349" s="113">
        <v>65</v>
      </c>
      <c r="AI349" s="113">
        <v>50</v>
      </c>
    </row>
    <row r="350" spans="1:35">
      <c r="A350" s="113">
        <v>303</v>
      </c>
      <c r="B350" s="113" t="s">
        <v>330</v>
      </c>
      <c r="C350" s="120" t="s">
        <v>5582</v>
      </c>
      <c r="D350" s="124">
        <v>0.5</v>
      </c>
      <c r="E350" s="124">
        <v>0.5</v>
      </c>
      <c r="F350" s="113" t="s">
        <v>56</v>
      </c>
      <c r="G350" s="113" t="s">
        <v>2119</v>
      </c>
      <c r="H350" s="113" t="s">
        <v>106</v>
      </c>
      <c r="I350" s="113" t="s">
        <v>56</v>
      </c>
      <c r="J350" s="118" t="s">
        <v>2129</v>
      </c>
      <c r="K350" s="118">
        <v>3</v>
      </c>
      <c r="L350" s="118" t="s">
        <v>5582</v>
      </c>
      <c r="M350" s="115" t="s">
        <v>1109</v>
      </c>
      <c r="N350" s="115" t="s">
        <v>6504</v>
      </c>
      <c r="O350" s="115">
        <v>1.5</v>
      </c>
      <c r="P350" s="115" t="s">
        <v>1109</v>
      </c>
      <c r="Q350" s="166"/>
      <c r="R350" s="164"/>
      <c r="S350" s="164"/>
      <c r="T350" s="164"/>
      <c r="U350" s="164"/>
      <c r="V350" s="162"/>
      <c r="W350" s="158"/>
      <c r="X350" s="158"/>
      <c r="Y350" s="158"/>
      <c r="Z350" s="158"/>
      <c r="AA350" s="158"/>
      <c r="AB350" s="158"/>
      <c r="AC350" s="113">
        <v>380</v>
      </c>
      <c r="AD350" s="113">
        <v>50</v>
      </c>
      <c r="AE350" s="113">
        <v>85</v>
      </c>
      <c r="AF350" s="113">
        <v>85</v>
      </c>
      <c r="AG350" s="120">
        <v>55</v>
      </c>
      <c r="AH350" s="113">
        <v>55</v>
      </c>
      <c r="AI350" s="113">
        <v>50</v>
      </c>
    </row>
    <row r="351" spans="1:35">
      <c r="A351" s="113">
        <v>304</v>
      </c>
      <c r="B351" s="113" t="s">
        <v>331</v>
      </c>
      <c r="C351" s="120" t="s">
        <v>5584</v>
      </c>
      <c r="D351" s="124">
        <v>0.5</v>
      </c>
      <c r="E351" s="124">
        <v>0.5</v>
      </c>
      <c r="F351" s="113" t="s">
        <v>2330</v>
      </c>
      <c r="G351" s="113" t="s">
        <v>2119</v>
      </c>
      <c r="H351" s="113" t="s">
        <v>106</v>
      </c>
      <c r="I351" s="113" t="s">
        <v>98</v>
      </c>
      <c r="J351" s="118" t="s">
        <v>2129</v>
      </c>
      <c r="K351" s="118">
        <v>3</v>
      </c>
      <c r="L351" s="118" t="s">
        <v>5584</v>
      </c>
      <c r="M351" s="115" t="s">
        <v>1109</v>
      </c>
      <c r="N351" s="115" t="s">
        <v>6505</v>
      </c>
      <c r="O351" s="115">
        <v>1.5</v>
      </c>
      <c r="P351" s="115" t="s">
        <v>1109</v>
      </c>
      <c r="Q351" s="166"/>
      <c r="R351" s="164"/>
      <c r="S351" s="164"/>
      <c r="T351" s="164"/>
      <c r="U351" s="164"/>
      <c r="V351" s="162"/>
      <c r="W351" s="158"/>
      <c r="X351" s="158"/>
      <c r="Y351" s="158"/>
      <c r="Z351" s="158"/>
      <c r="AA351" s="158"/>
      <c r="AB351" s="158"/>
      <c r="AC351" s="113">
        <v>330</v>
      </c>
      <c r="AD351" s="113">
        <v>50</v>
      </c>
      <c r="AE351" s="113">
        <v>70</v>
      </c>
      <c r="AF351" s="113">
        <v>100</v>
      </c>
      <c r="AG351" s="120">
        <v>40</v>
      </c>
      <c r="AH351" s="113">
        <v>40</v>
      </c>
      <c r="AI351" s="113">
        <v>30</v>
      </c>
    </row>
    <row r="352" spans="1:35">
      <c r="A352" s="113">
        <v>305</v>
      </c>
      <c r="B352" s="113" t="s">
        <v>332</v>
      </c>
      <c r="C352" s="120" t="s">
        <v>5585</v>
      </c>
      <c r="D352" s="124">
        <v>0.5</v>
      </c>
      <c r="E352" s="124">
        <v>0.5</v>
      </c>
      <c r="F352" s="113" t="s">
        <v>2330</v>
      </c>
      <c r="G352" s="113" t="s">
        <v>2119</v>
      </c>
      <c r="H352" s="113" t="s">
        <v>106</v>
      </c>
      <c r="I352" s="113" t="s">
        <v>98</v>
      </c>
      <c r="J352" s="118" t="s">
        <v>2129</v>
      </c>
      <c r="K352" s="118">
        <v>3</v>
      </c>
      <c r="L352" s="118" t="s">
        <v>5584</v>
      </c>
      <c r="M352" s="115" t="s">
        <v>5584</v>
      </c>
      <c r="N352" s="115" t="s">
        <v>6506</v>
      </c>
      <c r="O352" s="115">
        <v>1.5</v>
      </c>
      <c r="P352" s="115" t="s">
        <v>2128</v>
      </c>
      <c r="Q352" s="166"/>
      <c r="R352" s="164"/>
      <c r="S352" s="164"/>
      <c r="T352" s="164"/>
      <c r="U352" s="164"/>
      <c r="V352" s="162"/>
      <c r="W352" s="158"/>
      <c r="X352" s="158"/>
      <c r="Y352" s="158"/>
      <c r="Z352" s="158"/>
      <c r="AA352" s="158"/>
      <c r="AB352" s="158"/>
      <c r="AC352" s="113">
        <v>430</v>
      </c>
      <c r="AD352" s="113">
        <v>60</v>
      </c>
      <c r="AE352" s="113">
        <v>90</v>
      </c>
      <c r="AF352" s="113">
        <v>140</v>
      </c>
      <c r="AG352" s="120">
        <v>50</v>
      </c>
      <c r="AH352" s="113">
        <v>50</v>
      </c>
      <c r="AI352" s="113">
        <v>40</v>
      </c>
    </row>
    <row r="353" spans="1:35">
      <c r="A353" s="113">
        <v>306</v>
      </c>
      <c r="B353" s="113" t="s">
        <v>333</v>
      </c>
      <c r="C353" s="120" t="s">
        <v>5586</v>
      </c>
      <c r="D353" s="124">
        <v>0.5</v>
      </c>
      <c r="E353" s="124">
        <v>0.5</v>
      </c>
      <c r="F353" s="113" t="s">
        <v>2330</v>
      </c>
      <c r="G353" s="113" t="s">
        <v>2119</v>
      </c>
      <c r="H353" s="113" t="s">
        <v>106</v>
      </c>
      <c r="I353" s="113" t="s">
        <v>98</v>
      </c>
      <c r="J353" s="118" t="s">
        <v>2129</v>
      </c>
      <c r="K353" s="118">
        <v>3</v>
      </c>
      <c r="L353" s="118" t="s">
        <v>5584</v>
      </c>
      <c r="M353" s="115" t="s">
        <v>5585</v>
      </c>
      <c r="N353" s="115" t="s">
        <v>6504</v>
      </c>
      <c r="O353" s="115">
        <v>1.5</v>
      </c>
      <c r="P353" s="115" t="s">
        <v>2128</v>
      </c>
      <c r="Q353" s="166"/>
      <c r="R353" s="164"/>
      <c r="S353" s="164"/>
      <c r="T353" s="164"/>
      <c r="U353" s="164"/>
      <c r="V353" s="162"/>
      <c r="W353" s="158"/>
      <c r="X353" s="158"/>
      <c r="Y353" s="158"/>
      <c r="Z353" s="158"/>
      <c r="AA353" s="158"/>
      <c r="AB353" s="158"/>
      <c r="AC353" s="113">
        <v>530</v>
      </c>
      <c r="AD353" s="113">
        <v>70</v>
      </c>
      <c r="AE353" s="113">
        <v>110</v>
      </c>
      <c r="AF353" s="113">
        <v>180</v>
      </c>
      <c r="AG353" s="120">
        <v>60</v>
      </c>
      <c r="AH353" s="113">
        <v>60</v>
      </c>
      <c r="AI353" s="113">
        <v>50</v>
      </c>
    </row>
    <row r="354" spans="1:35">
      <c r="A354" s="113">
        <v>307</v>
      </c>
      <c r="B354" s="113" t="s">
        <v>334</v>
      </c>
      <c r="C354" s="120" t="s">
        <v>5588</v>
      </c>
      <c r="D354" s="124">
        <v>0.5</v>
      </c>
      <c r="E354" s="124">
        <v>0.5</v>
      </c>
      <c r="F354" s="113" t="s">
        <v>2334</v>
      </c>
      <c r="G354" s="113" t="s">
        <v>2119</v>
      </c>
      <c r="H354" s="113" t="s">
        <v>78</v>
      </c>
      <c r="I354" s="113" t="s">
        <v>86</v>
      </c>
      <c r="J354" s="118" t="s">
        <v>2129</v>
      </c>
      <c r="K354" s="118">
        <v>2</v>
      </c>
      <c r="L354" s="118" t="s">
        <v>5588</v>
      </c>
      <c r="M354" s="115" t="s">
        <v>1109</v>
      </c>
      <c r="N354" s="115" t="s">
        <v>6505</v>
      </c>
      <c r="O354" s="115">
        <v>1.25</v>
      </c>
      <c r="P354" s="115" t="s">
        <v>1109</v>
      </c>
      <c r="Q354" s="166"/>
      <c r="R354" s="164"/>
      <c r="S354" s="164"/>
      <c r="T354" s="164"/>
      <c r="U354" s="164"/>
      <c r="V354" s="162"/>
      <c r="W354" s="158"/>
      <c r="X354" s="158"/>
      <c r="Y354" s="158"/>
      <c r="Z354" s="158"/>
      <c r="AA354" s="158"/>
      <c r="AB354" s="158"/>
      <c r="AC354" s="113">
        <v>280</v>
      </c>
      <c r="AD354" s="113">
        <v>30</v>
      </c>
      <c r="AE354" s="113">
        <v>40</v>
      </c>
      <c r="AF354" s="113">
        <v>55</v>
      </c>
      <c r="AG354" s="120">
        <v>40</v>
      </c>
      <c r="AH354" s="113">
        <v>55</v>
      </c>
      <c r="AI354" s="113">
        <v>60</v>
      </c>
    </row>
    <row r="355" spans="1:35">
      <c r="A355" s="113">
        <v>308</v>
      </c>
      <c r="B355" s="113" t="s">
        <v>335</v>
      </c>
      <c r="C355" s="120" t="s">
        <v>5589</v>
      </c>
      <c r="D355" s="124">
        <v>0.5</v>
      </c>
      <c r="E355" s="124">
        <v>0.5</v>
      </c>
      <c r="F355" s="113" t="s">
        <v>2334</v>
      </c>
      <c r="G355" s="113" t="s">
        <v>2119</v>
      </c>
      <c r="H355" s="113" t="s">
        <v>78</v>
      </c>
      <c r="I355" s="113" t="s">
        <v>86</v>
      </c>
      <c r="J355" s="118" t="s">
        <v>2129</v>
      </c>
      <c r="K355" s="118">
        <v>2</v>
      </c>
      <c r="L355" s="137" t="s">
        <v>5588</v>
      </c>
      <c r="M355" s="115" t="s">
        <v>5588</v>
      </c>
      <c r="N355" s="115" t="s">
        <v>6504</v>
      </c>
      <c r="O355" s="115">
        <v>1.25</v>
      </c>
      <c r="P355" s="115" t="s">
        <v>2128</v>
      </c>
      <c r="Q355" s="166"/>
      <c r="R355" s="164"/>
      <c r="S355" s="164"/>
      <c r="T355" s="164"/>
      <c r="U355" s="164"/>
      <c r="V355" s="162"/>
      <c r="W355" s="158"/>
      <c r="X355" s="158"/>
      <c r="Y355" s="158"/>
      <c r="Z355" s="158"/>
      <c r="AA355" s="158"/>
      <c r="AB355" s="158"/>
      <c r="AC355" s="113">
        <v>410</v>
      </c>
      <c r="AD355" s="113">
        <v>60</v>
      </c>
      <c r="AE355" s="113">
        <v>60</v>
      </c>
      <c r="AF355" s="113">
        <v>75</v>
      </c>
      <c r="AG355" s="120">
        <v>60</v>
      </c>
      <c r="AH355" s="113">
        <v>75</v>
      </c>
      <c r="AI355" s="113">
        <v>80</v>
      </c>
    </row>
    <row r="356" spans="1:35">
      <c r="A356" s="113">
        <v>309</v>
      </c>
      <c r="B356" s="113" t="s">
        <v>336</v>
      </c>
      <c r="C356" s="120" t="s">
        <v>5591</v>
      </c>
      <c r="D356" s="124">
        <v>0.5</v>
      </c>
      <c r="E356" s="124">
        <v>0.5</v>
      </c>
      <c r="F356" s="113" t="s">
        <v>2332</v>
      </c>
      <c r="G356" s="113" t="s">
        <v>2119</v>
      </c>
      <c r="H356" s="113" t="s">
        <v>46</v>
      </c>
      <c r="I356" s="113" t="s">
        <v>1109</v>
      </c>
      <c r="J356" s="118" t="s">
        <v>2129</v>
      </c>
      <c r="K356" s="118">
        <v>2</v>
      </c>
      <c r="L356" s="118" t="s">
        <v>5591</v>
      </c>
      <c r="M356" s="115" t="s">
        <v>1109</v>
      </c>
      <c r="N356" s="115" t="s">
        <v>6505</v>
      </c>
      <c r="O356" s="115">
        <v>1.25</v>
      </c>
      <c r="P356" s="115" t="s">
        <v>1109</v>
      </c>
      <c r="Q356" s="166"/>
      <c r="R356" s="164"/>
      <c r="S356" s="164"/>
      <c r="T356" s="164"/>
      <c r="U356" s="164"/>
      <c r="V356" s="162"/>
      <c r="W356" s="158"/>
      <c r="X356" s="158"/>
      <c r="Y356" s="158"/>
      <c r="Z356" s="158"/>
      <c r="AA356" s="158"/>
      <c r="AB356" s="158"/>
      <c r="AC356" s="113">
        <v>295</v>
      </c>
      <c r="AD356" s="113">
        <v>40</v>
      </c>
      <c r="AE356" s="113">
        <v>45</v>
      </c>
      <c r="AF356" s="113">
        <v>40</v>
      </c>
      <c r="AG356" s="120">
        <v>65</v>
      </c>
      <c r="AH356" s="113">
        <v>40</v>
      </c>
      <c r="AI356" s="113">
        <v>65</v>
      </c>
    </row>
    <row r="357" spans="1:35">
      <c r="A357" s="113">
        <v>310</v>
      </c>
      <c r="B357" s="113" t="s">
        <v>337</v>
      </c>
      <c r="C357" s="120" t="s">
        <v>5592</v>
      </c>
      <c r="D357" s="124">
        <v>0.5</v>
      </c>
      <c r="E357" s="124">
        <v>0.5</v>
      </c>
      <c r="F357" s="113" t="s">
        <v>2332</v>
      </c>
      <c r="G357" s="113" t="s">
        <v>2119</v>
      </c>
      <c r="H357" s="113" t="s">
        <v>46</v>
      </c>
      <c r="I357" s="113" t="s">
        <v>1109</v>
      </c>
      <c r="J357" s="118" t="s">
        <v>2129</v>
      </c>
      <c r="K357" s="118">
        <v>2</v>
      </c>
      <c r="L357" s="118" t="s">
        <v>5591</v>
      </c>
      <c r="M357" s="115" t="s">
        <v>5591</v>
      </c>
      <c r="N357" s="115" t="s">
        <v>6504</v>
      </c>
      <c r="O357" s="115">
        <v>1.25</v>
      </c>
      <c r="P357" s="115" t="s">
        <v>2128</v>
      </c>
      <c r="Q357" s="166"/>
      <c r="R357" s="164"/>
      <c r="S357" s="164"/>
      <c r="T357" s="164"/>
      <c r="U357" s="164"/>
      <c r="V357" s="162"/>
      <c r="W357" s="158"/>
      <c r="X357" s="158"/>
      <c r="Y357" s="158"/>
      <c r="Z357" s="158"/>
      <c r="AA357" s="158"/>
      <c r="AB357" s="158"/>
      <c r="AC357" s="113">
        <v>475</v>
      </c>
      <c r="AD357" s="113">
        <v>70</v>
      </c>
      <c r="AE357" s="113">
        <v>75</v>
      </c>
      <c r="AF357" s="113">
        <v>60</v>
      </c>
      <c r="AG357" s="120">
        <v>105</v>
      </c>
      <c r="AH357" s="113">
        <v>60</v>
      </c>
      <c r="AI357" s="113">
        <v>105</v>
      </c>
    </row>
    <row r="358" spans="1:35">
      <c r="A358" s="113">
        <v>311</v>
      </c>
      <c r="B358" s="113" t="s">
        <v>338</v>
      </c>
      <c r="C358" s="120" t="s">
        <v>5594</v>
      </c>
      <c r="D358" s="124">
        <v>0.5</v>
      </c>
      <c r="E358" s="124">
        <v>0.5</v>
      </c>
      <c r="F358" s="113" t="s">
        <v>56</v>
      </c>
      <c r="G358" s="113" t="s">
        <v>2119</v>
      </c>
      <c r="H358" s="113" t="s">
        <v>46</v>
      </c>
      <c r="I358" s="113" t="s">
        <v>1109</v>
      </c>
      <c r="J358" s="118" t="s">
        <v>2129</v>
      </c>
      <c r="K358" s="118">
        <v>2</v>
      </c>
      <c r="L358" s="118" t="s">
        <v>5594</v>
      </c>
      <c r="M358" s="115" t="s">
        <v>1109</v>
      </c>
      <c r="N358" s="115" t="s">
        <v>6504</v>
      </c>
      <c r="O358" s="115">
        <v>1.25</v>
      </c>
      <c r="P358" s="115" t="s">
        <v>1109</v>
      </c>
      <c r="Q358" s="166"/>
      <c r="R358" s="164"/>
      <c r="S358" s="164"/>
      <c r="T358" s="164"/>
      <c r="U358" s="164"/>
      <c r="V358" s="162"/>
      <c r="W358" s="158"/>
      <c r="X358" s="158"/>
      <c r="Y358" s="158"/>
      <c r="Z358" s="158"/>
      <c r="AA358" s="158"/>
      <c r="AB358" s="158"/>
      <c r="AC358" s="113">
        <v>405</v>
      </c>
      <c r="AD358" s="113">
        <v>60</v>
      </c>
      <c r="AE358" s="113">
        <v>50</v>
      </c>
      <c r="AF358" s="113">
        <v>40</v>
      </c>
      <c r="AG358" s="120">
        <v>85</v>
      </c>
      <c r="AH358" s="113">
        <v>75</v>
      </c>
      <c r="AI358" s="113">
        <v>95</v>
      </c>
    </row>
    <row r="359" spans="1:35">
      <c r="A359" s="113">
        <v>312</v>
      </c>
      <c r="B359" s="113" t="s">
        <v>339</v>
      </c>
      <c r="C359" s="120" t="s">
        <v>5595</v>
      </c>
      <c r="D359" s="124">
        <v>0.5</v>
      </c>
      <c r="E359" s="124">
        <v>0.5</v>
      </c>
      <c r="F359" s="113" t="s">
        <v>56</v>
      </c>
      <c r="G359" s="113" t="s">
        <v>2119</v>
      </c>
      <c r="H359" s="113" t="s">
        <v>46</v>
      </c>
      <c r="I359" s="113" t="s">
        <v>1109</v>
      </c>
      <c r="J359" s="118" t="s">
        <v>2129</v>
      </c>
      <c r="K359" s="118">
        <v>2</v>
      </c>
      <c r="L359" s="118" t="s">
        <v>5595</v>
      </c>
      <c r="M359" s="115" t="s">
        <v>1109</v>
      </c>
      <c r="N359" s="115" t="s">
        <v>6504</v>
      </c>
      <c r="O359" s="115">
        <v>1.25</v>
      </c>
      <c r="P359" s="115" t="s">
        <v>1109</v>
      </c>
      <c r="Q359" s="166"/>
      <c r="R359" s="164"/>
      <c r="S359" s="164"/>
      <c r="T359" s="164"/>
      <c r="U359" s="164"/>
      <c r="V359" s="162"/>
      <c r="W359" s="158"/>
      <c r="X359" s="158"/>
      <c r="Y359" s="158"/>
      <c r="Z359" s="158"/>
      <c r="AA359" s="158"/>
      <c r="AB359" s="158"/>
      <c r="AC359" s="113">
        <v>405</v>
      </c>
      <c r="AD359" s="113">
        <v>60</v>
      </c>
      <c r="AE359" s="113">
        <v>40</v>
      </c>
      <c r="AF359" s="113">
        <v>50</v>
      </c>
      <c r="AG359" s="120">
        <v>75</v>
      </c>
      <c r="AH359" s="113">
        <v>85</v>
      </c>
      <c r="AI359" s="113">
        <v>95</v>
      </c>
    </row>
    <row r="360" spans="1:35">
      <c r="A360" s="113">
        <v>313</v>
      </c>
      <c r="B360" s="113" t="s">
        <v>340</v>
      </c>
      <c r="C360" s="120" t="s">
        <v>5596</v>
      </c>
      <c r="D360" s="124">
        <v>1</v>
      </c>
      <c r="E360" s="124">
        <v>0</v>
      </c>
      <c r="F360" s="113" t="s">
        <v>29</v>
      </c>
      <c r="G360" s="113" t="s">
        <v>2119</v>
      </c>
      <c r="H360" s="113" t="s">
        <v>29</v>
      </c>
      <c r="I360" s="113" t="s">
        <v>1109</v>
      </c>
      <c r="J360" s="118" t="s">
        <v>2129</v>
      </c>
      <c r="K360" s="118">
        <v>2</v>
      </c>
      <c r="L360" s="118" t="s">
        <v>5596</v>
      </c>
      <c r="M360" s="115" t="s">
        <v>1109</v>
      </c>
      <c r="N360" s="115" t="s">
        <v>6504</v>
      </c>
      <c r="O360" s="115">
        <v>1.25</v>
      </c>
      <c r="P360" s="115" t="s">
        <v>1109</v>
      </c>
      <c r="Q360" s="166"/>
      <c r="R360" s="164"/>
      <c r="S360" s="164"/>
      <c r="T360" s="164"/>
      <c r="U360" s="164"/>
      <c r="V360" s="162"/>
      <c r="W360" s="158"/>
      <c r="X360" s="158"/>
      <c r="Y360" s="158"/>
      <c r="Z360" s="158"/>
      <c r="AA360" s="158"/>
      <c r="AB360" s="158"/>
      <c r="AC360" s="113">
        <v>430</v>
      </c>
      <c r="AD360" s="113">
        <v>65</v>
      </c>
      <c r="AE360" s="113">
        <v>73</v>
      </c>
      <c r="AF360" s="113">
        <v>75</v>
      </c>
      <c r="AG360" s="120">
        <v>47</v>
      </c>
      <c r="AH360" s="113">
        <v>85</v>
      </c>
      <c r="AI360" s="113">
        <v>85</v>
      </c>
    </row>
    <row r="361" spans="1:35">
      <c r="A361" s="113">
        <v>314</v>
      </c>
      <c r="B361" s="113" t="s">
        <v>341</v>
      </c>
      <c r="C361" s="120" t="s">
        <v>5597</v>
      </c>
      <c r="D361" s="124">
        <v>0</v>
      </c>
      <c r="E361" s="124">
        <v>1</v>
      </c>
      <c r="F361" s="113" t="s">
        <v>29</v>
      </c>
      <c r="G361" s="113" t="s">
        <v>2119</v>
      </c>
      <c r="H361" s="113" t="s">
        <v>29</v>
      </c>
      <c r="I361" s="113" t="s">
        <v>1109</v>
      </c>
      <c r="J361" s="118" t="s">
        <v>2129</v>
      </c>
      <c r="K361" s="118">
        <v>2</v>
      </c>
      <c r="L361" s="118" t="s">
        <v>5597</v>
      </c>
      <c r="M361" s="115" t="s">
        <v>1109</v>
      </c>
      <c r="N361" s="115" t="s">
        <v>6504</v>
      </c>
      <c r="O361" s="115">
        <v>1.25</v>
      </c>
      <c r="P361" s="115" t="s">
        <v>1109</v>
      </c>
      <c r="Q361" s="166"/>
      <c r="R361" s="164"/>
      <c r="S361" s="164"/>
      <c r="T361" s="164"/>
      <c r="U361" s="164"/>
      <c r="V361" s="162"/>
      <c r="W361" s="158"/>
      <c r="X361" s="158"/>
      <c r="Y361" s="158"/>
      <c r="Z361" s="158"/>
      <c r="AA361" s="158"/>
      <c r="AB361" s="158"/>
      <c r="AC361" s="113">
        <v>430</v>
      </c>
      <c r="AD361" s="113">
        <v>65</v>
      </c>
      <c r="AE361" s="113">
        <v>47</v>
      </c>
      <c r="AF361" s="113">
        <v>75</v>
      </c>
      <c r="AG361" s="120">
        <v>73</v>
      </c>
      <c r="AH361" s="113">
        <v>85</v>
      </c>
      <c r="AI361" s="113">
        <v>85</v>
      </c>
    </row>
    <row r="362" spans="1:35">
      <c r="A362" s="113">
        <v>315</v>
      </c>
      <c r="B362" s="113" t="s">
        <v>342</v>
      </c>
      <c r="C362" s="120" t="s">
        <v>5598</v>
      </c>
      <c r="D362" s="124">
        <v>0.5</v>
      </c>
      <c r="E362" s="124">
        <v>0.5</v>
      </c>
      <c r="F362" s="113" t="s">
        <v>14</v>
      </c>
      <c r="G362" s="113" t="s">
        <v>2119</v>
      </c>
      <c r="H362" s="113" t="s">
        <v>14</v>
      </c>
      <c r="I362" s="113" t="s">
        <v>15</v>
      </c>
      <c r="J362" s="118" t="s">
        <v>2129</v>
      </c>
      <c r="K362" s="118">
        <v>2</v>
      </c>
      <c r="L362" s="118" t="s">
        <v>5705</v>
      </c>
      <c r="M362" s="115" t="s">
        <v>5705</v>
      </c>
      <c r="N362" s="115" t="s">
        <v>6505</v>
      </c>
      <c r="O362" s="115">
        <v>1.25</v>
      </c>
      <c r="P362" s="115" t="s">
        <v>2128</v>
      </c>
      <c r="Q362" s="166">
        <v>1</v>
      </c>
      <c r="R362" s="164"/>
      <c r="S362" s="164"/>
      <c r="T362" s="164"/>
      <c r="U362" s="164"/>
      <c r="V362" s="162"/>
      <c r="W362" s="158" t="s">
        <v>6531</v>
      </c>
      <c r="X362" s="158"/>
      <c r="Y362" s="158">
        <v>70</v>
      </c>
      <c r="Z362" s="158">
        <v>6</v>
      </c>
      <c r="AA362" s="158"/>
      <c r="AB362" s="158"/>
      <c r="AC362" s="113">
        <v>400</v>
      </c>
      <c r="AD362" s="113">
        <v>50</v>
      </c>
      <c r="AE362" s="113">
        <v>60</v>
      </c>
      <c r="AF362" s="113">
        <v>45</v>
      </c>
      <c r="AG362" s="120">
        <v>100</v>
      </c>
      <c r="AH362" s="113">
        <v>80</v>
      </c>
      <c r="AI362" s="113">
        <v>65</v>
      </c>
    </row>
    <row r="363" spans="1:35">
      <c r="A363" s="113">
        <v>316</v>
      </c>
      <c r="B363" s="113" t="s">
        <v>343</v>
      </c>
      <c r="C363" s="120" t="s">
        <v>5599</v>
      </c>
      <c r="D363" s="124">
        <v>0.5</v>
      </c>
      <c r="E363" s="124">
        <v>0.5</v>
      </c>
      <c r="F363" s="113" t="s">
        <v>2336</v>
      </c>
      <c r="G363" s="113" t="s">
        <v>2119</v>
      </c>
      <c r="H363" s="113" t="s">
        <v>15</v>
      </c>
      <c r="I363" s="113" t="s">
        <v>1109</v>
      </c>
      <c r="J363" s="118" t="s">
        <v>2129</v>
      </c>
      <c r="K363" s="118">
        <v>1</v>
      </c>
      <c r="L363" s="118" t="s">
        <v>5599</v>
      </c>
      <c r="M363" s="115" t="s">
        <v>1109</v>
      </c>
      <c r="N363" s="115" t="s">
        <v>6505</v>
      </c>
      <c r="O363" s="115">
        <v>1</v>
      </c>
      <c r="P363" s="115" t="s">
        <v>1109</v>
      </c>
      <c r="Q363" s="166"/>
      <c r="R363" s="164"/>
      <c r="S363" s="164"/>
      <c r="T363" s="164"/>
      <c r="U363" s="164"/>
      <c r="V363" s="162"/>
      <c r="W363" s="158"/>
      <c r="X363" s="158"/>
      <c r="Y363" s="158"/>
      <c r="Z363" s="158"/>
      <c r="AA363" s="158"/>
      <c r="AB363" s="158"/>
      <c r="AC363" s="113">
        <v>302</v>
      </c>
      <c r="AD363" s="113">
        <v>70</v>
      </c>
      <c r="AE363" s="113">
        <v>43</v>
      </c>
      <c r="AF363" s="113">
        <v>53</v>
      </c>
      <c r="AG363" s="120">
        <v>43</v>
      </c>
      <c r="AH363" s="113">
        <v>53</v>
      </c>
      <c r="AI363" s="113">
        <v>40</v>
      </c>
    </row>
    <row r="364" spans="1:35">
      <c r="A364" s="113">
        <v>317</v>
      </c>
      <c r="B364" s="113" t="s">
        <v>344</v>
      </c>
      <c r="C364" s="120" t="s">
        <v>5600</v>
      </c>
      <c r="D364" s="124">
        <v>0.5</v>
      </c>
      <c r="E364" s="124">
        <v>0.5</v>
      </c>
      <c r="F364" s="113" t="s">
        <v>2336</v>
      </c>
      <c r="G364" s="113" t="s">
        <v>2119</v>
      </c>
      <c r="H364" s="113" t="s">
        <v>15</v>
      </c>
      <c r="I364" s="113" t="s">
        <v>1109</v>
      </c>
      <c r="J364" s="118" t="s">
        <v>2129</v>
      </c>
      <c r="K364" s="118">
        <v>1</v>
      </c>
      <c r="L364" s="118" t="s">
        <v>5599</v>
      </c>
      <c r="M364" s="115" t="s">
        <v>5599</v>
      </c>
      <c r="N364" s="115" t="s">
        <v>6504</v>
      </c>
      <c r="O364" s="115">
        <v>1</v>
      </c>
      <c r="P364" s="115" t="s">
        <v>2128</v>
      </c>
      <c r="Q364" s="166"/>
      <c r="R364" s="164"/>
      <c r="S364" s="164"/>
      <c r="T364" s="164"/>
      <c r="U364" s="164"/>
      <c r="V364" s="162"/>
      <c r="W364" s="158"/>
      <c r="X364" s="158"/>
      <c r="Y364" s="158"/>
      <c r="Z364" s="158"/>
      <c r="AA364" s="158"/>
      <c r="AB364" s="158"/>
      <c r="AC364" s="113">
        <v>467</v>
      </c>
      <c r="AD364" s="113">
        <v>100</v>
      </c>
      <c r="AE364" s="113">
        <v>73</v>
      </c>
      <c r="AF364" s="113">
        <v>83</v>
      </c>
      <c r="AG364" s="120">
        <v>73</v>
      </c>
      <c r="AH364" s="113">
        <v>83</v>
      </c>
      <c r="AI364" s="113">
        <v>55</v>
      </c>
    </row>
    <row r="365" spans="1:35">
      <c r="A365" s="113">
        <v>318</v>
      </c>
      <c r="B365" s="113" t="s">
        <v>345</v>
      </c>
      <c r="C365" s="120" t="s">
        <v>5601</v>
      </c>
      <c r="D365" s="124">
        <v>0.5</v>
      </c>
      <c r="E365" s="124">
        <v>0.5</v>
      </c>
      <c r="F365" s="113" t="s">
        <v>2335</v>
      </c>
      <c r="G365" s="113" t="s">
        <v>2119</v>
      </c>
      <c r="H365" s="113" t="s">
        <v>25</v>
      </c>
      <c r="I365" s="113" t="s">
        <v>158</v>
      </c>
      <c r="J365" s="118" t="s">
        <v>2129</v>
      </c>
      <c r="K365" s="118">
        <v>2</v>
      </c>
      <c r="L365" s="118" t="s">
        <v>5601</v>
      </c>
      <c r="M365" s="115" t="s">
        <v>1109</v>
      </c>
      <c r="N365" s="115" t="s">
        <v>6505</v>
      </c>
      <c r="O365" s="115">
        <v>1.25</v>
      </c>
      <c r="P365" s="115" t="s">
        <v>1109</v>
      </c>
      <c r="Q365" s="166"/>
      <c r="R365" s="164"/>
      <c r="S365" s="164"/>
      <c r="T365" s="164"/>
      <c r="U365" s="164"/>
      <c r="V365" s="162"/>
      <c r="W365" s="158"/>
      <c r="X365" s="158"/>
      <c r="Y365" s="158"/>
      <c r="Z365" s="158"/>
      <c r="AA365" s="158"/>
      <c r="AB365" s="158"/>
      <c r="AC365" s="113">
        <v>305</v>
      </c>
      <c r="AD365" s="113">
        <v>45</v>
      </c>
      <c r="AE365" s="113">
        <v>90</v>
      </c>
      <c r="AF365" s="113">
        <v>20</v>
      </c>
      <c r="AG365" s="120">
        <v>65</v>
      </c>
      <c r="AH365" s="113">
        <v>20</v>
      </c>
      <c r="AI365" s="113">
        <v>65</v>
      </c>
    </row>
    <row r="366" spans="1:35">
      <c r="A366" s="113">
        <v>319</v>
      </c>
      <c r="B366" s="113" t="s">
        <v>346</v>
      </c>
      <c r="C366" s="120" t="s">
        <v>5602</v>
      </c>
      <c r="D366" s="124">
        <v>0.5</v>
      </c>
      <c r="E366" s="124">
        <v>0.5</v>
      </c>
      <c r="F366" s="113" t="s">
        <v>2335</v>
      </c>
      <c r="G366" s="113" t="s">
        <v>2119</v>
      </c>
      <c r="H366" s="113" t="s">
        <v>25</v>
      </c>
      <c r="I366" s="113" t="s">
        <v>158</v>
      </c>
      <c r="J366" s="118" t="s">
        <v>2129</v>
      </c>
      <c r="K366" s="118">
        <v>2</v>
      </c>
      <c r="L366" s="118" t="s">
        <v>5601</v>
      </c>
      <c r="M366" s="115" t="s">
        <v>5601</v>
      </c>
      <c r="N366" s="115" t="s">
        <v>6504</v>
      </c>
      <c r="O366" s="115">
        <v>1.25</v>
      </c>
      <c r="P366" s="115" t="s">
        <v>2128</v>
      </c>
      <c r="Q366" s="166"/>
      <c r="R366" s="164"/>
      <c r="S366" s="164"/>
      <c r="T366" s="164"/>
      <c r="U366" s="164"/>
      <c r="V366" s="162"/>
      <c r="W366" s="158"/>
      <c r="X366" s="158"/>
      <c r="Y366" s="158"/>
      <c r="Z366" s="158"/>
      <c r="AA366" s="158"/>
      <c r="AB366" s="158"/>
      <c r="AC366" s="113">
        <v>460</v>
      </c>
      <c r="AD366" s="113">
        <v>70</v>
      </c>
      <c r="AE366" s="113">
        <v>120</v>
      </c>
      <c r="AF366" s="113">
        <v>40</v>
      </c>
      <c r="AG366" s="120">
        <v>95</v>
      </c>
      <c r="AH366" s="113">
        <v>40</v>
      </c>
      <c r="AI366" s="113">
        <v>95</v>
      </c>
    </row>
    <row r="367" spans="1:35">
      <c r="A367" s="113">
        <v>320</v>
      </c>
      <c r="B367" s="113" t="s">
        <v>347</v>
      </c>
      <c r="C367" s="120" t="s">
        <v>5604</v>
      </c>
      <c r="D367" s="124">
        <v>0.5</v>
      </c>
      <c r="E367" s="124">
        <v>0.5</v>
      </c>
      <c r="F367" s="113" t="s">
        <v>2335</v>
      </c>
      <c r="G367" s="113" t="s">
        <v>2119</v>
      </c>
      <c r="H367" s="113" t="s">
        <v>25</v>
      </c>
      <c r="I367" s="113" t="s">
        <v>1109</v>
      </c>
      <c r="J367" s="118" t="s">
        <v>2129</v>
      </c>
      <c r="K367" s="118">
        <v>2</v>
      </c>
      <c r="L367" s="118" t="s">
        <v>5604</v>
      </c>
      <c r="M367" s="115" t="s">
        <v>1109</v>
      </c>
      <c r="N367" s="115" t="s">
        <v>6505</v>
      </c>
      <c r="O367" s="115">
        <v>1.25</v>
      </c>
      <c r="P367" s="115" t="s">
        <v>1109</v>
      </c>
      <c r="Q367" s="166"/>
      <c r="R367" s="164"/>
      <c r="S367" s="164"/>
      <c r="T367" s="164"/>
      <c r="U367" s="164"/>
      <c r="V367" s="162"/>
      <c r="W367" s="158"/>
      <c r="X367" s="158"/>
      <c r="Y367" s="158"/>
      <c r="Z367" s="158"/>
      <c r="AA367" s="158"/>
      <c r="AB367" s="158"/>
      <c r="AC367" s="113">
        <v>400</v>
      </c>
      <c r="AD367" s="113">
        <v>130</v>
      </c>
      <c r="AE367" s="113">
        <v>70</v>
      </c>
      <c r="AF367" s="113">
        <v>35</v>
      </c>
      <c r="AG367" s="120">
        <v>70</v>
      </c>
      <c r="AH367" s="113">
        <v>35</v>
      </c>
      <c r="AI367" s="113">
        <v>60</v>
      </c>
    </row>
    <row r="368" spans="1:35">
      <c r="A368" s="113">
        <v>321</v>
      </c>
      <c r="B368" s="113" t="s">
        <v>348</v>
      </c>
      <c r="C368" s="120" t="s">
        <v>5605</v>
      </c>
      <c r="D368" s="124">
        <v>0.5</v>
      </c>
      <c r="E368" s="124">
        <v>0.5</v>
      </c>
      <c r="F368" s="113" t="s">
        <v>2335</v>
      </c>
      <c r="G368" s="113" t="s">
        <v>2119</v>
      </c>
      <c r="H368" s="113" t="s">
        <v>25</v>
      </c>
      <c r="I368" s="113" t="s">
        <v>1109</v>
      </c>
      <c r="J368" s="118" t="s">
        <v>2129</v>
      </c>
      <c r="K368" s="118">
        <v>2</v>
      </c>
      <c r="L368" s="118" t="s">
        <v>5604</v>
      </c>
      <c r="M368" s="115" t="s">
        <v>5604</v>
      </c>
      <c r="N368" s="115" t="s">
        <v>6504</v>
      </c>
      <c r="O368" s="115">
        <v>1.25</v>
      </c>
      <c r="P368" s="115" t="s">
        <v>2128</v>
      </c>
      <c r="Q368" s="166"/>
      <c r="R368" s="164"/>
      <c r="S368" s="164"/>
      <c r="T368" s="164"/>
      <c r="U368" s="164"/>
      <c r="V368" s="162"/>
      <c r="W368" s="158"/>
      <c r="X368" s="158"/>
      <c r="Y368" s="158"/>
      <c r="Z368" s="158"/>
      <c r="AA368" s="158"/>
      <c r="AB368" s="158"/>
      <c r="AC368" s="113">
        <v>500</v>
      </c>
      <c r="AD368" s="113">
        <v>170</v>
      </c>
      <c r="AE368" s="113">
        <v>90</v>
      </c>
      <c r="AF368" s="113">
        <v>45</v>
      </c>
      <c r="AG368" s="120">
        <v>90</v>
      </c>
      <c r="AH368" s="113">
        <v>45</v>
      </c>
      <c r="AI368" s="113">
        <v>60</v>
      </c>
    </row>
    <row r="369" spans="1:35">
      <c r="A369" s="113">
        <v>322</v>
      </c>
      <c r="B369" s="113" t="s">
        <v>349</v>
      </c>
      <c r="C369" s="120" t="s">
        <v>5606</v>
      </c>
      <c r="D369" s="124">
        <v>0.5</v>
      </c>
      <c r="E369" s="124">
        <v>0.5</v>
      </c>
      <c r="F369" s="113" t="s">
        <v>2332</v>
      </c>
      <c r="G369" s="113" t="s">
        <v>2119</v>
      </c>
      <c r="H369" s="113" t="s">
        <v>19</v>
      </c>
      <c r="I369" s="113" t="s">
        <v>49</v>
      </c>
      <c r="J369" s="118" t="s">
        <v>2129</v>
      </c>
      <c r="K369" s="118">
        <v>2</v>
      </c>
      <c r="L369" s="118" t="s">
        <v>5606</v>
      </c>
      <c r="M369" s="115" t="s">
        <v>1109</v>
      </c>
      <c r="N369" s="115" t="s">
        <v>6505</v>
      </c>
      <c r="O369" s="115">
        <v>1.25</v>
      </c>
      <c r="P369" s="115" t="s">
        <v>1109</v>
      </c>
      <c r="Q369" s="166"/>
      <c r="R369" s="164"/>
      <c r="S369" s="164"/>
      <c r="T369" s="164"/>
      <c r="U369" s="164"/>
      <c r="V369" s="162"/>
      <c r="W369" s="158"/>
      <c r="X369" s="158"/>
      <c r="Y369" s="158"/>
      <c r="Z369" s="158"/>
      <c r="AA369" s="158"/>
      <c r="AB369" s="158"/>
      <c r="AC369" s="113">
        <v>305</v>
      </c>
      <c r="AD369" s="113">
        <v>60</v>
      </c>
      <c r="AE369" s="113">
        <v>60</v>
      </c>
      <c r="AF369" s="113">
        <v>40</v>
      </c>
      <c r="AG369" s="120">
        <v>65</v>
      </c>
      <c r="AH369" s="113">
        <v>45</v>
      </c>
      <c r="AI369" s="113">
        <v>35</v>
      </c>
    </row>
    <row r="370" spans="1:35">
      <c r="A370" s="113">
        <v>323</v>
      </c>
      <c r="B370" s="113" t="s">
        <v>350</v>
      </c>
      <c r="C370" s="120" t="s">
        <v>5607</v>
      </c>
      <c r="D370" s="124">
        <v>0.5</v>
      </c>
      <c r="E370" s="124">
        <v>0.5</v>
      </c>
      <c r="F370" s="113" t="s">
        <v>2332</v>
      </c>
      <c r="G370" s="113" t="s">
        <v>2119</v>
      </c>
      <c r="H370" s="113" t="s">
        <v>19</v>
      </c>
      <c r="I370" s="113" t="s">
        <v>49</v>
      </c>
      <c r="J370" s="118" t="s">
        <v>2129</v>
      </c>
      <c r="K370" s="118">
        <v>2</v>
      </c>
      <c r="L370" s="118" t="s">
        <v>5606</v>
      </c>
      <c r="M370" s="115" t="s">
        <v>5606</v>
      </c>
      <c r="N370" s="115" t="s">
        <v>6504</v>
      </c>
      <c r="O370" s="115">
        <v>1.25</v>
      </c>
      <c r="P370" s="115" t="s">
        <v>2128</v>
      </c>
      <c r="Q370" s="166"/>
      <c r="R370" s="164"/>
      <c r="S370" s="164"/>
      <c r="T370" s="164"/>
      <c r="U370" s="164"/>
      <c r="V370" s="162"/>
      <c r="W370" s="158"/>
      <c r="X370" s="158"/>
      <c r="Y370" s="158"/>
      <c r="Z370" s="158"/>
      <c r="AA370" s="158"/>
      <c r="AB370" s="158"/>
      <c r="AC370" s="113">
        <v>460</v>
      </c>
      <c r="AD370" s="113">
        <v>70</v>
      </c>
      <c r="AE370" s="113">
        <v>100</v>
      </c>
      <c r="AF370" s="113">
        <v>70</v>
      </c>
      <c r="AG370" s="120">
        <v>105</v>
      </c>
      <c r="AH370" s="113">
        <v>75</v>
      </c>
      <c r="AI370" s="113">
        <v>40</v>
      </c>
    </row>
    <row r="371" spans="1:35">
      <c r="A371" s="113">
        <v>324</v>
      </c>
      <c r="B371" s="113" t="s">
        <v>351</v>
      </c>
      <c r="C371" s="120" t="s">
        <v>5609</v>
      </c>
      <c r="D371" s="124">
        <v>0.5</v>
      </c>
      <c r="E371" s="124">
        <v>0.5</v>
      </c>
      <c r="F371" s="113" t="s">
        <v>2332</v>
      </c>
      <c r="G371" s="113" t="s">
        <v>2119</v>
      </c>
      <c r="H371" s="113" t="s">
        <v>19</v>
      </c>
      <c r="I371" s="113" t="s">
        <v>1109</v>
      </c>
      <c r="J371" s="118" t="s">
        <v>2129</v>
      </c>
      <c r="K371" s="118">
        <v>3</v>
      </c>
      <c r="L371" s="118" t="s">
        <v>5609</v>
      </c>
      <c r="M371" s="115" t="s">
        <v>1109</v>
      </c>
      <c r="N371" s="115" t="s">
        <v>6504</v>
      </c>
      <c r="O371" s="115">
        <v>1.5</v>
      </c>
      <c r="P371" s="115" t="s">
        <v>1109</v>
      </c>
      <c r="Q371" s="166"/>
      <c r="R371" s="164"/>
      <c r="S371" s="164"/>
      <c r="T371" s="164"/>
      <c r="U371" s="164"/>
      <c r="V371" s="162"/>
      <c r="W371" s="158"/>
      <c r="X371" s="158"/>
      <c r="Y371" s="158"/>
      <c r="Z371" s="158"/>
      <c r="AA371" s="158"/>
      <c r="AB371" s="158"/>
      <c r="AC371" s="113">
        <v>470</v>
      </c>
      <c r="AD371" s="113">
        <v>70</v>
      </c>
      <c r="AE371" s="113">
        <v>85</v>
      </c>
      <c r="AF371" s="113">
        <v>140</v>
      </c>
      <c r="AG371" s="120">
        <v>85</v>
      </c>
      <c r="AH371" s="113">
        <v>70</v>
      </c>
      <c r="AI371" s="113">
        <v>20</v>
      </c>
    </row>
    <row r="372" spans="1:35">
      <c r="A372" s="113">
        <v>325</v>
      </c>
      <c r="B372" s="113" t="s">
        <v>352</v>
      </c>
      <c r="C372" s="120" t="s">
        <v>5610</v>
      </c>
      <c r="D372" s="124">
        <v>0.5</v>
      </c>
      <c r="E372" s="124">
        <v>0.5</v>
      </c>
      <c r="F372" s="113" t="s">
        <v>2332</v>
      </c>
      <c r="G372" s="113" t="s">
        <v>2119</v>
      </c>
      <c r="H372" s="113" t="s">
        <v>86</v>
      </c>
      <c r="I372" s="113" t="s">
        <v>1109</v>
      </c>
      <c r="J372" s="118" t="s">
        <v>2129</v>
      </c>
      <c r="K372" s="118">
        <v>2</v>
      </c>
      <c r="L372" s="118" t="s">
        <v>5610</v>
      </c>
      <c r="M372" s="115" t="s">
        <v>1109</v>
      </c>
      <c r="N372" s="115" t="s">
        <v>6505</v>
      </c>
      <c r="O372" s="115">
        <v>1.25</v>
      </c>
      <c r="P372" s="115" t="s">
        <v>1109</v>
      </c>
      <c r="Q372" s="166"/>
      <c r="R372" s="164"/>
      <c r="S372" s="164"/>
      <c r="T372" s="164"/>
      <c r="U372" s="164"/>
      <c r="V372" s="162"/>
      <c r="W372" s="158"/>
      <c r="X372" s="158"/>
      <c r="Y372" s="158"/>
      <c r="Z372" s="158"/>
      <c r="AA372" s="158"/>
      <c r="AB372" s="158"/>
      <c r="AC372" s="113">
        <v>330</v>
      </c>
      <c r="AD372" s="113">
        <v>60</v>
      </c>
      <c r="AE372" s="113">
        <v>25</v>
      </c>
      <c r="AF372" s="113">
        <v>35</v>
      </c>
      <c r="AG372" s="120">
        <v>70</v>
      </c>
      <c r="AH372" s="113">
        <v>80</v>
      </c>
      <c r="AI372" s="113">
        <v>60</v>
      </c>
    </row>
    <row r="373" spans="1:35">
      <c r="A373" s="113">
        <v>326</v>
      </c>
      <c r="B373" s="113" t="s">
        <v>353</v>
      </c>
      <c r="C373" s="120" t="s">
        <v>5611</v>
      </c>
      <c r="D373" s="124">
        <v>0.5</v>
      </c>
      <c r="E373" s="124">
        <v>0.5</v>
      </c>
      <c r="F373" s="113" t="s">
        <v>2332</v>
      </c>
      <c r="G373" s="113" t="s">
        <v>2119</v>
      </c>
      <c r="H373" s="113" t="s">
        <v>86</v>
      </c>
      <c r="I373" s="113" t="s">
        <v>1109</v>
      </c>
      <c r="J373" s="118" t="s">
        <v>2129</v>
      </c>
      <c r="K373" s="118">
        <v>2</v>
      </c>
      <c r="L373" s="118" t="s">
        <v>5610</v>
      </c>
      <c r="M373" s="115" t="s">
        <v>5610</v>
      </c>
      <c r="N373" s="115" t="s">
        <v>6504</v>
      </c>
      <c r="O373" s="115">
        <v>1.25</v>
      </c>
      <c r="P373" s="115" t="s">
        <v>2128</v>
      </c>
      <c r="Q373" s="166"/>
      <c r="R373" s="164"/>
      <c r="S373" s="164"/>
      <c r="T373" s="164"/>
      <c r="U373" s="164"/>
      <c r="V373" s="162"/>
      <c r="W373" s="158"/>
      <c r="X373" s="158"/>
      <c r="Y373" s="158"/>
      <c r="Z373" s="158"/>
      <c r="AA373" s="158"/>
      <c r="AB373" s="158"/>
      <c r="AC373" s="113">
        <v>470</v>
      </c>
      <c r="AD373" s="113">
        <v>80</v>
      </c>
      <c r="AE373" s="113">
        <v>45</v>
      </c>
      <c r="AF373" s="113">
        <v>65</v>
      </c>
      <c r="AG373" s="120">
        <v>90</v>
      </c>
      <c r="AH373" s="113">
        <v>110</v>
      </c>
      <c r="AI373" s="113">
        <v>80</v>
      </c>
    </row>
    <row r="374" spans="1:35">
      <c r="A374" s="113">
        <v>327</v>
      </c>
      <c r="B374" s="113" t="s">
        <v>354</v>
      </c>
      <c r="C374" s="120" t="s">
        <v>5612</v>
      </c>
      <c r="D374" s="124">
        <v>0.5</v>
      </c>
      <c r="E374" s="124">
        <v>0.5</v>
      </c>
      <c r="F374" s="113" t="s">
        <v>2332</v>
      </c>
      <c r="G374" s="113" t="s">
        <v>2119</v>
      </c>
      <c r="H374" s="113" t="s">
        <v>36</v>
      </c>
      <c r="I374" s="113" t="s">
        <v>1109</v>
      </c>
      <c r="J374" s="118" t="s">
        <v>2129</v>
      </c>
      <c r="K374" s="118">
        <v>2</v>
      </c>
      <c r="L374" s="118" t="s">
        <v>5612</v>
      </c>
      <c r="M374" s="115" t="s">
        <v>1109</v>
      </c>
      <c r="N374" s="115" t="s">
        <v>6504</v>
      </c>
      <c r="O374" s="115">
        <v>1.25</v>
      </c>
      <c r="P374" s="115" t="s">
        <v>1109</v>
      </c>
      <c r="Q374" s="166"/>
      <c r="R374" s="164"/>
      <c r="S374" s="164"/>
      <c r="T374" s="164"/>
      <c r="U374" s="164"/>
      <c r="V374" s="162"/>
      <c r="W374" s="158"/>
      <c r="X374" s="158"/>
      <c r="Y374" s="158"/>
      <c r="Z374" s="158"/>
      <c r="AA374" s="158"/>
      <c r="AB374" s="158"/>
      <c r="AC374" s="113">
        <v>360</v>
      </c>
      <c r="AD374" s="113">
        <v>60</v>
      </c>
      <c r="AE374" s="113">
        <v>60</v>
      </c>
      <c r="AF374" s="113">
        <v>60</v>
      </c>
      <c r="AG374" s="120">
        <v>60</v>
      </c>
      <c r="AH374" s="113">
        <v>60</v>
      </c>
      <c r="AI374" s="113">
        <v>60</v>
      </c>
    </row>
    <row r="375" spans="1:35">
      <c r="A375" s="113">
        <v>328</v>
      </c>
      <c r="B375" s="113" t="s">
        <v>355</v>
      </c>
      <c r="C375" s="120" t="s">
        <v>5613</v>
      </c>
      <c r="D375" s="124">
        <v>0.5</v>
      </c>
      <c r="E375" s="124">
        <v>0.5</v>
      </c>
      <c r="F375" s="113" t="s">
        <v>23</v>
      </c>
      <c r="G375" s="113" t="s">
        <v>2119</v>
      </c>
      <c r="H375" s="113" t="s">
        <v>49</v>
      </c>
      <c r="I375" s="113" t="s">
        <v>1109</v>
      </c>
      <c r="J375" s="118" t="s">
        <v>2129</v>
      </c>
      <c r="K375" s="118">
        <v>3</v>
      </c>
      <c r="L375" s="118" t="s">
        <v>5613</v>
      </c>
      <c r="M375" s="115" t="s">
        <v>1109</v>
      </c>
      <c r="N375" s="115" t="s">
        <v>6505</v>
      </c>
      <c r="O375" s="115">
        <v>1.5</v>
      </c>
      <c r="P375" s="115" t="s">
        <v>1109</v>
      </c>
      <c r="Q375" s="166"/>
      <c r="R375" s="164"/>
      <c r="S375" s="164"/>
      <c r="T375" s="164"/>
      <c r="U375" s="164"/>
      <c r="V375" s="162"/>
      <c r="W375" s="158"/>
      <c r="X375" s="158"/>
      <c r="Y375" s="158"/>
      <c r="Z375" s="158"/>
      <c r="AA375" s="158"/>
      <c r="AB375" s="158"/>
      <c r="AC375" s="113">
        <v>290</v>
      </c>
      <c r="AD375" s="113">
        <v>45</v>
      </c>
      <c r="AE375" s="113">
        <v>100</v>
      </c>
      <c r="AF375" s="113">
        <v>45</v>
      </c>
      <c r="AG375" s="120">
        <v>45</v>
      </c>
      <c r="AH375" s="113">
        <v>45</v>
      </c>
      <c r="AI375" s="113">
        <v>10</v>
      </c>
    </row>
    <row r="376" spans="1:35">
      <c r="A376" s="113">
        <v>329</v>
      </c>
      <c r="B376" s="113" t="s">
        <v>356</v>
      </c>
      <c r="C376" s="120" t="s">
        <v>5614</v>
      </c>
      <c r="D376" s="124">
        <v>0.5</v>
      </c>
      <c r="E376" s="124">
        <v>0.5</v>
      </c>
      <c r="F376" s="113" t="s">
        <v>23</v>
      </c>
      <c r="G376" s="113" t="s">
        <v>2119</v>
      </c>
      <c r="H376" s="113" t="s">
        <v>49</v>
      </c>
      <c r="I376" s="113" t="s">
        <v>23</v>
      </c>
      <c r="J376" s="118" t="s">
        <v>2129</v>
      </c>
      <c r="K376" s="118">
        <v>3</v>
      </c>
      <c r="L376" s="118" t="s">
        <v>5613</v>
      </c>
      <c r="M376" s="115" t="s">
        <v>5613</v>
      </c>
      <c r="N376" s="115" t="s">
        <v>6506</v>
      </c>
      <c r="O376" s="115">
        <v>1.5</v>
      </c>
      <c r="P376" s="115" t="s">
        <v>2128</v>
      </c>
      <c r="Q376" s="166"/>
      <c r="R376" s="164"/>
      <c r="S376" s="164"/>
      <c r="T376" s="164"/>
      <c r="U376" s="164"/>
      <c r="V376" s="162"/>
      <c r="W376" s="158"/>
      <c r="X376" s="158"/>
      <c r="Y376" s="158"/>
      <c r="Z376" s="158"/>
      <c r="AA376" s="158"/>
      <c r="AB376" s="158"/>
      <c r="AC376" s="113">
        <v>340</v>
      </c>
      <c r="AD376" s="113">
        <v>50</v>
      </c>
      <c r="AE376" s="113">
        <v>70</v>
      </c>
      <c r="AF376" s="113">
        <v>50</v>
      </c>
      <c r="AG376" s="120">
        <v>50</v>
      </c>
      <c r="AH376" s="113">
        <v>50</v>
      </c>
      <c r="AI376" s="113">
        <v>70</v>
      </c>
    </row>
    <row r="377" spans="1:35">
      <c r="A377" s="113">
        <v>330</v>
      </c>
      <c r="B377" s="113" t="s">
        <v>357</v>
      </c>
      <c r="C377" s="120" t="s">
        <v>5615</v>
      </c>
      <c r="D377" s="124">
        <v>0.5</v>
      </c>
      <c r="E377" s="124">
        <v>0.5</v>
      </c>
      <c r="F377" s="113" t="s">
        <v>23</v>
      </c>
      <c r="G377" s="113" t="s">
        <v>2119</v>
      </c>
      <c r="H377" s="113" t="s">
        <v>49</v>
      </c>
      <c r="I377" s="113" t="s">
        <v>23</v>
      </c>
      <c r="J377" s="118" t="s">
        <v>2129</v>
      </c>
      <c r="K377" s="118">
        <v>3</v>
      </c>
      <c r="L377" s="118" t="s">
        <v>5613</v>
      </c>
      <c r="M377" s="115" t="s">
        <v>5614</v>
      </c>
      <c r="N377" s="115" t="s">
        <v>6504</v>
      </c>
      <c r="O377" s="115">
        <v>1.5</v>
      </c>
      <c r="P377" s="115" t="s">
        <v>2128</v>
      </c>
      <c r="Q377" s="166"/>
      <c r="R377" s="164"/>
      <c r="S377" s="164"/>
      <c r="T377" s="164"/>
      <c r="U377" s="164"/>
      <c r="V377" s="162"/>
      <c r="W377" s="158"/>
      <c r="X377" s="158"/>
      <c r="Y377" s="158"/>
      <c r="Z377" s="158"/>
      <c r="AA377" s="158"/>
      <c r="AB377" s="158"/>
      <c r="AC377" s="113">
        <v>520</v>
      </c>
      <c r="AD377" s="113">
        <v>80</v>
      </c>
      <c r="AE377" s="113">
        <v>100</v>
      </c>
      <c r="AF377" s="113">
        <v>80</v>
      </c>
      <c r="AG377" s="120">
        <v>80</v>
      </c>
      <c r="AH377" s="113">
        <v>80</v>
      </c>
      <c r="AI377" s="113">
        <v>100</v>
      </c>
    </row>
    <row r="378" spans="1:35">
      <c r="A378" s="113">
        <v>331</v>
      </c>
      <c r="B378" s="113" t="s">
        <v>358</v>
      </c>
      <c r="C378" s="120" t="s">
        <v>5616</v>
      </c>
      <c r="D378" s="124">
        <v>0.5</v>
      </c>
      <c r="E378" s="124">
        <v>0.5</v>
      </c>
      <c r="F378" s="113" t="s">
        <v>2334</v>
      </c>
      <c r="G378" s="113" t="s">
        <v>2119</v>
      </c>
      <c r="H378" s="113" t="s">
        <v>14</v>
      </c>
      <c r="I378" s="113" t="s">
        <v>1109</v>
      </c>
      <c r="J378" s="118" t="s">
        <v>2129</v>
      </c>
      <c r="K378" s="118">
        <v>2</v>
      </c>
      <c r="L378" s="118" t="s">
        <v>5616</v>
      </c>
      <c r="M378" s="115" t="s">
        <v>1109</v>
      </c>
      <c r="N378" s="115" t="s">
        <v>6505</v>
      </c>
      <c r="O378" s="115">
        <v>1.25</v>
      </c>
      <c r="P378" s="115" t="s">
        <v>1109</v>
      </c>
      <c r="Q378" s="166"/>
      <c r="R378" s="164"/>
      <c r="S378" s="164"/>
      <c r="T378" s="164"/>
      <c r="U378" s="164"/>
      <c r="V378" s="162"/>
      <c r="W378" s="158"/>
      <c r="X378" s="158"/>
      <c r="Y378" s="158"/>
      <c r="Z378" s="158"/>
      <c r="AA378" s="158"/>
      <c r="AB378" s="158"/>
      <c r="AC378" s="113">
        <v>335</v>
      </c>
      <c r="AD378" s="113">
        <v>50</v>
      </c>
      <c r="AE378" s="113">
        <v>85</v>
      </c>
      <c r="AF378" s="113">
        <v>40</v>
      </c>
      <c r="AG378" s="120">
        <v>85</v>
      </c>
      <c r="AH378" s="113">
        <v>40</v>
      </c>
      <c r="AI378" s="113">
        <v>35</v>
      </c>
    </row>
    <row r="379" spans="1:35">
      <c r="A379" s="113">
        <v>332</v>
      </c>
      <c r="B379" s="113" t="s">
        <v>359</v>
      </c>
      <c r="C379" s="120" t="s">
        <v>5617</v>
      </c>
      <c r="D379" s="124">
        <v>0.5</v>
      </c>
      <c r="E379" s="124">
        <v>0.5</v>
      </c>
      <c r="F379" s="113" t="s">
        <v>2334</v>
      </c>
      <c r="G379" s="113" t="s">
        <v>2119</v>
      </c>
      <c r="H379" s="113" t="s">
        <v>14</v>
      </c>
      <c r="I379" s="113" t="s">
        <v>158</v>
      </c>
      <c r="J379" s="118" t="s">
        <v>2129</v>
      </c>
      <c r="K379" s="118">
        <v>2</v>
      </c>
      <c r="L379" s="118" t="s">
        <v>5616</v>
      </c>
      <c r="M379" s="115" t="s">
        <v>5616</v>
      </c>
      <c r="N379" s="115" t="s">
        <v>6504</v>
      </c>
      <c r="O379" s="115">
        <v>1.25</v>
      </c>
      <c r="P379" s="115" t="s">
        <v>2128</v>
      </c>
      <c r="Q379" s="166"/>
      <c r="R379" s="164"/>
      <c r="S379" s="164"/>
      <c r="T379" s="164"/>
      <c r="U379" s="164"/>
      <c r="V379" s="162"/>
      <c r="W379" s="158"/>
      <c r="X379" s="158"/>
      <c r="Y379" s="158"/>
      <c r="Z379" s="158"/>
      <c r="AA379" s="158"/>
      <c r="AB379" s="158"/>
      <c r="AC379" s="113">
        <v>475</v>
      </c>
      <c r="AD379" s="113">
        <v>70</v>
      </c>
      <c r="AE379" s="113">
        <v>115</v>
      </c>
      <c r="AF379" s="113">
        <v>60</v>
      </c>
      <c r="AG379" s="120">
        <v>115</v>
      </c>
      <c r="AH379" s="113">
        <v>60</v>
      </c>
      <c r="AI379" s="113">
        <v>55</v>
      </c>
    </row>
    <row r="380" spans="1:35">
      <c r="A380" s="113">
        <v>333</v>
      </c>
      <c r="B380" s="113" t="s">
        <v>360</v>
      </c>
      <c r="C380" s="120" t="s">
        <v>5618</v>
      </c>
      <c r="D380" s="124">
        <v>0.5</v>
      </c>
      <c r="E380" s="124">
        <v>0.5</v>
      </c>
      <c r="F380" s="113" t="s">
        <v>22</v>
      </c>
      <c r="G380" s="113" t="s">
        <v>2119</v>
      </c>
      <c r="H380" s="113" t="s">
        <v>36</v>
      </c>
      <c r="I380" s="113" t="s">
        <v>22</v>
      </c>
      <c r="J380" s="118" t="s">
        <v>2129</v>
      </c>
      <c r="K380" s="118">
        <v>3</v>
      </c>
      <c r="L380" s="118" t="s">
        <v>5618</v>
      </c>
      <c r="M380" s="115" t="s">
        <v>1109</v>
      </c>
      <c r="N380" s="115" t="s">
        <v>6505</v>
      </c>
      <c r="O380" s="115">
        <v>1.5</v>
      </c>
      <c r="P380" s="115" t="s">
        <v>1109</v>
      </c>
      <c r="Q380" s="166"/>
      <c r="R380" s="164"/>
      <c r="S380" s="164"/>
      <c r="T380" s="164"/>
      <c r="U380" s="164"/>
      <c r="V380" s="162"/>
      <c r="W380" s="158"/>
      <c r="X380" s="158"/>
      <c r="Y380" s="158"/>
      <c r="Z380" s="158"/>
      <c r="AA380" s="158"/>
      <c r="AB380" s="158"/>
      <c r="AC380" s="113">
        <v>310</v>
      </c>
      <c r="AD380" s="113">
        <v>45</v>
      </c>
      <c r="AE380" s="113">
        <v>40</v>
      </c>
      <c r="AF380" s="113">
        <v>60</v>
      </c>
      <c r="AG380" s="120">
        <v>40</v>
      </c>
      <c r="AH380" s="113">
        <v>75</v>
      </c>
      <c r="AI380" s="113">
        <v>50</v>
      </c>
    </row>
    <row r="381" spans="1:35">
      <c r="A381" s="113">
        <v>334</v>
      </c>
      <c r="B381" s="113" t="s">
        <v>361</v>
      </c>
      <c r="C381" s="120" t="s">
        <v>5619</v>
      </c>
      <c r="D381" s="124">
        <v>0.5</v>
      </c>
      <c r="E381" s="124">
        <v>0.5</v>
      </c>
      <c r="F381" s="113" t="s">
        <v>22</v>
      </c>
      <c r="G381" s="113" t="s">
        <v>2119</v>
      </c>
      <c r="H381" s="113" t="s">
        <v>23</v>
      </c>
      <c r="I381" s="113" t="s">
        <v>22</v>
      </c>
      <c r="J381" s="118" t="s">
        <v>2129</v>
      </c>
      <c r="K381" s="118">
        <v>3</v>
      </c>
      <c r="L381" s="118" t="s">
        <v>5618</v>
      </c>
      <c r="M381" s="115" t="s">
        <v>5618</v>
      </c>
      <c r="N381" s="115" t="s">
        <v>6504</v>
      </c>
      <c r="O381" s="115">
        <v>1.5</v>
      </c>
      <c r="P381" s="115" t="s">
        <v>2128</v>
      </c>
      <c r="Q381" s="166"/>
      <c r="R381" s="164"/>
      <c r="S381" s="164"/>
      <c r="T381" s="164"/>
      <c r="U381" s="164"/>
      <c r="V381" s="162"/>
      <c r="W381" s="158"/>
      <c r="X381" s="158"/>
      <c r="Y381" s="158"/>
      <c r="Z381" s="158"/>
      <c r="AA381" s="158"/>
      <c r="AB381" s="158"/>
      <c r="AC381" s="113">
        <v>490</v>
      </c>
      <c r="AD381" s="113">
        <v>75</v>
      </c>
      <c r="AE381" s="113">
        <v>70</v>
      </c>
      <c r="AF381" s="113">
        <v>90</v>
      </c>
      <c r="AG381" s="120">
        <v>70</v>
      </c>
      <c r="AH381" s="113">
        <v>105</v>
      </c>
      <c r="AI381" s="113">
        <v>80</v>
      </c>
    </row>
    <row r="382" spans="1:35">
      <c r="A382" s="113">
        <v>335</v>
      </c>
      <c r="B382" s="113" t="s">
        <v>362</v>
      </c>
      <c r="C382" s="120" t="s">
        <v>5621</v>
      </c>
      <c r="D382" s="124">
        <v>0.5</v>
      </c>
      <c r="E382" s="124">
        <v>0.5</v>
      </c>
      <c r="F382" s="113" t="s">
        <v>2332</v>
      </c>
      <c r="G382" s="113" t="s">
        <v>2119</v>
      </c>
      <c r="H382" s="113" t="s">
        <v>36</v>
      </c>
      <c r="I382" s="113" t="s">
        <v>1109</v>
      </c>
      <c r="J382" s="118" t="s">
        <v>2129</v>
      </c>
      <c r="K382" s="118">
        <v>3</v>
      </c>
      <c r="L382" s="118" t="s">
        <v>5621</v>
      </c>
      <c r="M382" s="115" t="s">
        <v>1109</v>
      </c>
      <c r="N382" s="115" t="s">
        <v>6504</v>
      </c>
      <c r="O382" s="115">
        <v>1.5</v>
      </c>
      <c r="P382" s="115" t="s">
        <v>1109</v>
      </c>
      <c r="Q382" s="166"/>
      <c r="R382" s="164"/>
      <c r="S382" s="164"/>
      <c r="T382" s="164"/>
      <c r="U382" s="164"/>
      <c r="V382" s="162"/>
      <c r="W382" s="158"/>
      <c r="X382" s="158"/>
      <c r="Y382" s="158"/>
      <c r="Z382" s="158"/>
      <c r="AA382" s="158"/>
      <c r="AB382" s="158"/>
      <c r="AC382" s="113">
        <v>458</v>
      </c>
      <c r="AD382" s="113">
        <v>73</v>
      </c>
      <c r="AE382" s="113">
        <v>115</v>
      </c>
      <c r="AF382" s="113">
        <v>60</v>
      </c>
      <c r="AG382" s="120">
        <v>60</v>
      </c>
      <c r="AH382" s="113">
        <v>60</v>
      </c>
      <c r="AI382" s="113">
        <v>90</v>
      </c>
    </row>
    <row r="383" spans="1:35">
      <c r="A383" s="113">
        <v>336</v>
      </c>
      <c r="B383" s="113" t="s">
        <v>363</v>
      </c>
      <c r="C383" s="120" t="s">
        <v>5622</v>
      </c>
      <c r="D383" s="124">
        <v>0.5</v>
      </c>
      <c r="E383" s="124">
        <v>0.5</v>
      </c>
      <c r="F383" s="113" t="s">
        <v>2332</v>
      </c>
      <c r="G383" s="113" t="s">
        <v>2119</v>
      </c>
      <c r="H383" s="113" t="s">
        <v>15</v>
      </c>
      <c r="I383" s="113" t="s">
        <v>1109</v>
      </c>
      <c r="J383" s="118" t="s">
        <v>2129</v>
      </c>
      <c r="K383" s="118">
        <v>3</v>
      </c>
      <c r="L383" s="118" t="s">
        <v>5622</v>
      </c>
      <c r="M383" s="115" t="s">
        <v>1109</v>
      </c>
      <c r="N383" s="115" t="s">
        <v>6504</v>
      </c>
      <c r="O383" s="115">
        <v>1.5</v>
      </c>
      <c r="P383" s="115" t="s">
        <v>1109</v>
      </c>
      <c r="Q383" s="166"/>
      <c r="R383" s="164"/>
      <c r="S383" s="164"/>
      <c r="T383" s="164"/>
      <c r="U383" s="164"/>
      <c r="V383" s="162"/>
      <c r="W383" s="158"/>
      <c r="X383" s="158"/>
      <c r="Y383" s="158"/>
      <c r="Z383" s="158"/>
      <c r="AA383" s="158"/>
      <c r="AB383" s="158"/>
      <c r="AC383" s="113">
        <v>458</v>
      </c>
      <c r="AD383" s="113">
        <v>73</v>
      </c>
      <c r="AE383" s="113">
        <v>100</v>
      </c>
      <c r="AF383" s="113">
        <v>60</v>
      </c>
      <c r="AG383" s="120">
        <v>100</v>
      </c>
      <c r="AH383" s="113">
        <v>60</v>
      </c>
      <c r="AI383" s="113">
        <v>65</v>
      </c>
    </row>
    <row r="384" spans="1:35">
      <c r="A384" s="113">
        <v>337</v>
      </c>
      <c r="B384" s="113" t="s">
        <v>364</v>
      </c>
      <c r="C384" s="120" t="s">
        <v>5623</v>
      </c>
      <c r="D384" s="124" t="s">
        <v>1109</v>
      </c>
      <c r="E384" s="124" t="s">
        <v>1109</v>
      </c>
      <c r="F384" s="113" t="s">
        <v>2112</v>
      </c>
      <c r="G384" s="113" t="s">
        <v>2119</v>
      </c>
      <c r="H384" s="113" t="s">
        <v>98</v>
      </c>
      <c r="I384" s="113" t="s">
        <v>86</v>
      </c>
      <c r="J384" s="118" t="s">
        <v>2129</v>
      </c>
      <c r="K384" s="118">
        <v>3</v>
      </c>
      <c r="L384" s="118" t="s">
        <v>5623</v>
      </c>
      <c r="M384" s="115" t="s">
        <v>1109</v>
      </c>
      <c r="N384" s="115" t="s">
        <v>6504</v>
      </c>
      <c r="O384" s="115">
        <v>1.5</v>
      </c>
      <c r="P384" s="115" t="s">
        <v>1109</v>
      </c>
      <c r="Q384" s="166"/>
      <c r="R384" s="164"/>
      <c r="S384" s="164"/>
      <c r="T384" s="164"/>
      <c r="U384" s="164"/>
      <c r="V384" s="162"/>
      <c r="W384" s="158"/>
      <c r="X384" s="158"/>
      <c r="Y384" s="158"/>
      <c r="Z384" s="158"/>
      <c r="AA384" s="158"/>
      <c r="AB384" s="158"/>
      <c r="AC384" s="113">
        <v>460</v>
      </c>
      <c r="AD384" s="113">
        <v>90</v>
      </c>
      <c r="AE384" s="113">
        <v>55</v>
      </c>
      <c r="AF384" s="113">
        <v>65</v>
      </c>
      <c r="AG384" s="120">
        <v>95</v>
      </c>
      <c r="AH384" s="113">
        <v>85</v>
      </c>
      <c r="AI384" s="113">
        <v>70</v>
      </c>
    </row>
    <row r="385" spans="1:35">
      <c r="A385" s="113">
        <v>338</v>
      </c>
      <c r="B385" s="113" t="s">
        <v>365</v>
      </c>
      <c r="C385" s="120" t="s">
        <v>5624</v>
      </c>
      <c r="D385" s="124" t="s">
        <v>1109</v>
      </c>
      <c r="E385" s="124" t="s">
        <v>1109</v>
      </c>
      <c r="F385" s="113" t="s">
        <v>2112</v>
      </c>
      <c r="G385" s="113" t="s">
        <v>2119</v>
      </c>
      <c r="H385" s="113" t="s">
        <v>98</v>
      </c>
      <c r="I385" s="113" t="s">
        <v>86</v>
      </c>
      <c r="J385" s="118" t="s">
        <v>2129</v>
      </c>
      <c r="K385" s="118">
        <v>3</v>
      </c>
      <c r="L385" s="118" t="s">
        <v>5624</v>
      </c>
      <c r="M385" s="115" t="s">
        <v>1109</v>
      </c>
      <c r="N385" s="115" t="s">
        <v>6504</v>
      </c>
      <c r="O385" s="115">
        <v>1.5</v>
      </c>
      <c r="P385" s="115" t="s">
        <v>1109</v>
      </c>
      <c r="Q385" s="166"/>
      <c r="R385" s="164"/>
      <c r="S385" s="164"/>
      <c r="T385" s="164"/>
      <c r="U385" s="164"/>
      <c r="V385" s="162"/>
      <c r="W385" s="158"/>
      <c r="X385" s="158"/>
      <c r="Y385" s="158"/>
      <c r="Z385" s="158"/>
      <c r="AA385" s="158"/>
      <c r="AB385" s="158"/>
      <c r="AC385" s="113">
        <v>460</v>
      </c>
      <c r="AD385" s="113">
        <v>90</v>
      </c>
      <c r="AE385" s="113">
        <v>95</v>
      </c>
      <c r="AF385" s="113">
        <v>85</v>
      </c>
      <c r="AG385" s="120">
        <v>55</v>
      </c>
      <c r="AH385" s="113">
        <v>65</v>
      </c>
      <c r="AI385" s="113">
        <v>70</v>
      </c>
    </row>
    <row r="386" spans="1:35">
      <c r="A386" s="113">
        <v>339</v>
      </c>
      <c r="B386" s="113" t="s">
        <v>366</v>
      </c>
      <c r="C386" s="120" t="s">
        <v>5625</v>
      </c>
      <c r="D386" s="124">
        <v>0.5</v>
      </c>
      <c r="E386" s="124">
        <v>0.5</v>
      </c>
      <c r="F386" s="113" t="s">
        <v>2331</v>
      </c>
      <c r="G386" s="113" t="s">
        <v>2119</v>
      </c>
      <c r="H386" s="113" t="s">
        <v>25</v>
      </c>
      <c r="I386" s="113" t="s">
        <v>49</v>
      </c>
      <c r="J386" s="118" t="s">
        <v>2129</v>
      </c>
      <c r="K386" s="118">
        <v>2</v>
      </c>
      <c r="L386" s="118" t="s">
        <v>5625</v>
      </c>
      <c r="M386" s="115" t="s">
        <v>1109</v>
      </c>
      <c r="N386" s="115" t="s">
        <v>6505</v>
      </c>
      <c r="O386" s="115">
        <v>1.25</v>
      </c>
      <c r="P386" s="115" t="s">
        <v>1109</v>
      </c>
      <c r="Q386" s="166"/>
      <c r="R386" s="164"/>
      <c r="S386" s="164"/>
      <c r="T386" s="164"/>
      <c r="U386" s="164"/>
      <c r="V386" s="162"/>
      <c r="W386" s="158"/>
      <c r="X386" s="158"/>
      <c r="Y386" s="158"/>
      <c r="Z386" s="158"/>
      <c r="AA386" s="158"/>
      <c r="AB386" s="158"/>
      <c r="AC386" s="113">
        <v>288</v>
      </c>
      <c r="AD386" s="113">
        <v>50</v>
      </c>
      <c r="AE386" s="113">
        <v>48</v>
      </c>
      <c r="AF386" s="113">
        <v>43</v>
      </c>
      <c r="AG386" s="120">
        <v>46</v>
      </c>
      <c r="AH386" s="113">
        <v>41</v>
      </c>
      <c r="AI386" s="113">
        <v>60</v>
      </c>
    </row>
    <row r="387" spans="1:35">
      <c r="A387" s="113">
        <v>340</v>
      </c>
      <c r="B387" s="113" t="s">
        <v>367</v>
      </c>
      <c r="C387" s="120" t="s">
        <v>5626</v>
      </c>
      <c r="D387" s="124">
        <v>0.5</v>
      </c>
      <c r="E387" s="124">
        <v>0.5</v>
      </c>
      <c r="F387" s="113" t="s">
        <v>2331</v>
      </c>
      <c r="G387" s="113" t="s">
        <v>2119</v>
      </c>
      <c r="H387" s="113" t="s">
        <v>25</v>
      </c>
      <c r="I387" s="113" t="s">
        <v>49</v>
      </c>
      <c r="J387" s="118" t="s">
        <v>2129</v>
      </c>
      <c r="K387" s="118">
        <v>2</v>
      </c>
      <c r="L387" s="118" t="s">
        <v>5625</v>
      </c>
      <c r="M387" s="115" t="s">
        <v>5625</v>
      </c>
      <c r="N387" s="115" t="s">
        <v>6504</v>
      </c>
      <c r="O387" s="115">
        <v>1.25</v>
      </c>
      <c r="P387" s="115" t="s">
        <v>2128</v>
      </c>
      <c r="Q387" s="166"/>
      <c r="R387" s="164"/>
      <c r="S387" s="164"/>
      <c r="T387" s="164"/>
      <c r="U387" s="164"/>
      <c r="V387" s="162"/>
      <c r="W387" s="158"/>
      <c r="X387" s="158"/>
      <c r="Y387" s="158"/>
      <c r="Z387" s="158"/>
      <c r="AA387" s="158"/>
      <c r="AB387" s="158"/>
      <c r="AC387" s="113">
        <v>468</v>
      </c>
      <c r="AD387" s="113">
        <v>110</v>
      </c>
      <c r="AE387" s="113">
        <v>78</v>
      </c>
      <c r="AF387" s="113">
        <v>73</v>
      </c>
      <c r="AG387" s="120">
        <v>76</v>
      </c>
      <c r="AH387" s="113">
        <v>71</v>
      </c>
      <c r="AI387" s="113">
        <v>60</v>
      </c>
    </row>
    <row r="388" spans="1:35">
      <c r="A388" s="113">
        <v>341</v>
      </c>
      <c r="B388" s="113" t="s">
        <v>368</v>
      </c>
      <c r="C388" s="120" t="s">
        <v>5627</v>
      </c>
      <c r="D388" s="124">
        <v>0.5</v>
      </c>
      <c r="E388" s="124">
        <v>0.5</v>
      </c>
      <c r="F388" s="113" t="s">
        <v>2331</v>
      </c>
      <c r="G388" s="113" t="s">
        <v>2119</v>
      </c>
      <c r="H388" s="113" t="s">
        <v>25</v>
      </c>
      <c r="I388" s="113" t="s">
        <v>1109</v>
      </c>
      <c r="J388" s="118" t="s">
        <v>2129</v>
      </c>
      <c r="K388" s="118">
        <v>2</v>
      </c>
      <c r="L388" s="118" t="s">
        <v>5627</v>
      </c>
      <c r="M388" s="115" t="s">
        <v>1109</v>
      </c>
      <c r="N388" s="115" t="s">
        <v>6505</v>
      </c>
      <c r="O388" s="115">
        <v>1.25</v>
      </c>
      <c r="P388" s="115" t="s">
        <v>1109</v>
      </c>
      <c r="Q388" s="166"/>
      <c r="R388" s="164"/>
      <c r="S388" s="164"/>
      <c r="T388" s="164"/>
      <c r="U388" s="164"/>
      <c r="V388" s="162"/>
      <c r="W388" s="158"/>
      <c r="X388" s="158"/>
      <c r="Y388" s="158"/>
      <c r="Z388" s="158"/>
      <c r="AA388" s="158"/>
      <c r="AB388" s="158"/>
      <c r="AC388" s="113">
        <v>308</v>
      </c>
      <c r="AD388" s="113">
        <v>43</v>
      </c>
      <c r="AE388" s="113">
        <v>80</v>
      </c>
      <c r="AF388" s="113">
        <v>65</v>
      </c>
      <c r="AG388" s="120">
        <v>50</v>
      </c>
      <c r="AH388" s="113">
        <v>35</v>
      </c>
      <c r="AI388" s="113">
        <v>35</v>
      </c>
    </row>
    <row r="389" spans="1:35">
      <c r="A389" s="113">
        <v>342</v>
      </c>
      <c r="B389" s="113" t="s">
        <v>369</v>
      </c>
      <c r="C389" s="120" t="s">
        <v>5628</v>
      </c>
      <c r="D389" s="124">
        <v>0.5</v>
      </c>
      <c r="E389" s="124">
        <v>0.5</v>
      </c>
      <c r="F389" s="113" t="s">
        <v>2331</v>
      </c>
      <c r="G389" s="113" t="s">
        <v>2119</v>
      </c>
      <c r="H389" s="113" t="s">
        <v>25</v>
      </c>
      <c r="I389" s="113" t="s">
        <v>158</v>
      </c>
      <c r="J389" s="118" t="s">
        <v>2129</v>
      </c>
      <c r="K389" s="118">
        <v>2</v>
      </c>
      <c r="L389" s="118" t="s">
        <v>5627</v>
      </c>
      <c r="M389" s="115" t="s">
        <v>5627</v>
      </c>
      <c r="N389" s="115" t="s">
        <v>6504</v>
      </c>
      <c r="O389" s="115">
        <v>1.25</v>
      </c>
      <c r="P389" s="115" t="s">
        <v>2128</v>
      </c>
      <c r="Q389" s="166"/>
      <c r="R389" s="164"/>
      <c r="S389" s="164"/>
      <c r="T389" s="164"/>
      <c r="U389" s="164"/>
      <c r="V389" s="162"/>
      <c r="W389" s="158"/>
      <c r="X389" s="158"/>
      <c r="Y389" s="158"/>
      <c r="Z389" s="158"/>
      <c r="AA389" s="158"/>
      <c r="AB389" s="158"/>
      <c r="AC389" s="113">
        <v>468</v>
      </c>
      <c r="AD389" s="113">
        <v>63</v>
      </c>
      <c r="AE389" s="113">
        <v>120</v>
      </c>
      <c r="AF389" s="113">
        <v>85</v>
      </c>
      <c r="AG389" s="120">
        <v>90</v>
      </c>
      <c r="AH389" s="113">
        <v>55</v>
      </c>
      <c r="AI389" s="113">
        <v>55</v>
      </c>
    </row>
    <row r="390" spans="1:35">
      <c r="A390" s="113">
        <v>343</v>
      </c>
      <c r="B390" s="113" t="s">
        <v>370</v>
      </c>
      <c r="C390" s="120" t="s">
        <v>5629</v>
      </c>
      <c r="D390" s="124" t="s">
        <v>1109</v>
      </c>
      <c r="E390" s="124" t="s">
        <v>1109</v>
      </c>
      <c r="F390" s="113" t="s">
        <v>2112</v>
      </c>
      <c r="G390" s="113" t="s">
        <v>2119</v>
      </c>
      <c r="H390" s="113" t="s">
        <v>49</v>
      </c>
      <c r="I390" s="113" t="s">
        <v>86</v>
      </c>
      <c r="J390" s="118" t="s">
        <v>2129</v>
      </c>
      <c r="K390" s="118">
        <v>2</v>
      </c>
      <c r="L390" s="118" t="s">
        <v>5629</v>
      </c>
      <c r="M390" s="115" t="s">
        <v>1109</v>
      </c>
      <c r="N390" s="115" t="s">
        <v>6505</v>
      </c>
      <c r="O390" s="115">
        <v>1.25</v>
      </c>
      <c r="P390" s="115" t="s">
        <v>1109</v>
      </c>
      <c r="Q390" s="166"/>
      <c r="R390" s="164"/>
      <c r="S390" s="164"/>
      <c r="T390" s="164"/>
      <c r="U390" s="164"/>
      <c r="V390" s="162"/>
      <c r="W390" s="158"/>
      <c r="X390" s="158"/>
      <c r="Y390" s="158"/>
      <c r="Z390" s="158"/>
      <c r="AA390" s="158"/>
      <c r="AB390" s="158"/>
      <c r="AC390" s="113">
        <v>300</v>
      </c>
      <c r="AD390" s="113">
        <v>40</v>
      </c>
      <c r="AE390" s="113">
        <v>40</v>
      </c>
      <c r="AF390" s="113">
        <v>55</v>
      </c>
      <c r="AG390" s="120">
        <v>40</v>
      </c>
      <c r="AH390" s="113">
        <v>70</v>
      </c>
      <c r="AI390" s="113">
        <v>55</v>
      </c>
    </row>
    <row r="391" spans="1:35">
      <c r="A391" s="113">
        <v>344</v>
      </c>
      <c r="B391" s="113" t="s">
        <v>371</v>
      </c>
      <c r="C391" s="120" t="s">
        <v>5630</v>
      </c>
      <c r="D391" s="124" t="s">
        <v>1109</v>
      </c>
      <c r="E391" s="124" t="s">
        <v>1109</v>
      </c>
      <c r="F391" s="113" t="s">
        <v>2112</v>
      </c>
      <c r="G391" s="113" t="s">
        <v>2119</v>
      </c>
      <c r="H391" s="113" t="s">
        <v>49</v>
      </c>
      <c r="I391" s="113" t="s">
        <v>86</v>
      </c>
      <c r="J391" s="118" t="s">
        <v>2129</v>
      </c>
      <c r="K391" s="118">
        <v>2</v>
      </c>
      <c r="L391" s="118" t="s">
        <v>5629</v>
      </c>
      <c r="M391" s="115" t="s">
        <v>5629</v>
      </c>
      <c r="N391" s="115" t="s">
        <v>6504</v>
      </c>
      <c r="O391" s="115">
        <v>1.25</v>
      </c>
      <c r="P391" s="115" t="s">
        <v>2128</v>
      </c>
      <c r="Q391" s="166"/>
      <c r="R391" s="164"/>
      <c r="S391" s="164"/>
      <c r="T391" s="164"/>
      <c r="U391" s="164"/>
      <c r="V391" s="162"/>
      <c r="W391" s="158"/>
      <c r="X391" s="158"/>
      <c r="Y391" s="158"/>
      <c r="Z391" s="158"/>
      <c r="AA391" s="158"/>
      <c r="AB391" s="158"/>
      <c r="AC391" s="113">
        <v>500</v>
      </c>
      <c r="AD391" s="113">
        <v>60</v>
      </c>
      <c r="AE391" s="113">
        <v>70</v>
      </c>
      <c r="AF391" s="113">
        <v>105</v>
      </c>
      <c r="AG391" s="120">
        <v>70</v>
      </c>
      <c r="AH391" s="113">
        <v>120</v>
      </c>
      <c r="AI391" s="113">
        <v>75</v>
      </c>
    </row>
    <row r="392" spans="1:35">
      <c r="A392" s="113">
        <v>345</v>
      </c>
      <c r="B392" s="113" t="s">
        <v>372</v>
      </c>
      <c r="C392" s="120" t="s">
        <v>5631</v>
      </c>
      <c r="D392" s="124">
        <v>0.85</v>
      </c>
      <c r="E392" s="124">
        <v>0.15</v>
      </c>
      <c r="F392" s="113" t="s">
        <v>2335</v>
      </c>
      <c r="G392" s="113" t="s">
        <v>2119</v>
      </c>
      <c r="H392" s="113" t="s">
        <v>98</v>
      </c>
      <c r="I392" s="113" t="s">
        <v>14</v>
      </c>
      <c r="J392" s="118" t="s">
        <v>2129</v>
      </c>
      <c r="K392" s="118">
        <v>3</v>
      </c>
      <c r="L392" s="118" t="s">
        <v>5631</v>
      </c>
      <c r="M392" s="115" t="s">
        <v>1109</v>
      </c>
      <c r="N392" s="115" t="s">
        <v>6505</v>
      </c>
      <c r="O392" s="115">
        <v>1.5</v>
      </c>
      <c r="P392" s="115" t="s">
        <v>1109</v>
      </c>
      <c r="Q392" s="166"/>
      <c r="R392" s="164"/>
      <c r="S392" s="164"/>
      <c r="T392" s="164"/>
      <c r="U392" s="164"/>
      <c r="V392" s="162"/>
      <c r="W392" s="158"/>
      <c r="X392" s="158"/>
      <c r="Y392" s="158"/>
      <c r="Z392" s="158"/>
      <c r="AA392" s="158"/>
      <c r="AB392" s="158"/>
      <c r="AC392" s="113">
        <v>355</v>
      </c>
      <c r="AD392" s="113">
        <v>66</v>
      </c>
      <c r="AE392" s="113">
        <v>41</v>
      </c>
      <c r="AF392" s="113">
        <v>77</v>
      </c>
      <c r="AG392" s="120">
        <v>61</v>
      </c>
      <c r="AH392" s="113">
        <v>87</v>
      </c>
      <c r="AI392" s="113">
        <v>23</v>
      </c>
    </row>
    <row r="393" spans="1:35">
      <c r="A393" s="113">
        <v>346</v>
      </c>
      <c r="B393" s="113" t="s">
        <v>373</v>
      </c>
      <c r="C393" s="120" t="s">
        <v>5632</v>
      </c>
      <c r="D393" s="124">
        <v>0.85</v>
      </c>
      <c r="E393" s="124">
        <v>0.15</v>
      </c>
      <c r="F393" s="113" t="s">
        <v>2335</v>
      </c>
      <c r="G393" s="113" t="s">
        <v>2119</v>
      </c>
      <c r="H393" s="113" t="s">
        <v>98</v>
      </c>
      <c r="I393" s="113" t="s">
        <v>14</v>
      </c>
      <c r="J393" s="118" t="s">
        <v>2129</v>
      </c>
      <c r="K393" s="118">
        <v>3</v>
      </c>
      <c r="L393" s="118" t="s">
        <v>5631</v>
      </c>
      <c r="M393" s="115" t="s">
        <v>5631</v>
      </c>
      <c r="N393" s="115" t="s">
        <v>6504</v>
      </c>
      <c r="O393" s="115">
        <v>1.5</v>
      </c>
      <c r="P393" s="115" t="s">
        <v>2128</v>
      </c>
      <c r="Q393" s="166"/>
      <c r="R393" s="164"/>
      <c r="S393" s="164"/>
      <c r="T393" s="164"/>
      <c r="U393" s="164"/>
      <c r="V393" s="162"/>
      <c r="W393" s="158"/>
      <c r="X393" s="158"/>
      <c r="Y393" s="158"/>
      <c r="Z393" s="158"/>
      <c r="AA393" s="158"/>
      <c r="AB393" s="158"/>
      <c r="AC393" s="113">
        <v>495</v>
      </c>
      <c r="AD393" s="113">
        <v>86</v>
      </c>
      <c r="AE393" s="113">
        <v>81</v>
      </c>
      <c r="AF393" s="113">
        <v>97</v>
      </c>
      <c r="AG393" s="120">
        <v>81</v>
      </c>
      <c r="AH393" s="113">
        <v>107</v>
      </c>
      <c r="AI393" s="113">
        <v>43</v>
      </c>
    </row>
    <row r="394" spans="1:35">
      <c r="A394" s="113">
        <v>347</v>
      </c>
      <c r="B394" s="113" t="s">
        <v>374</v>
      </c>
      <c r="C394" s="120" t="s">
        <v>5633</v>
      </c>
      <c r="D394" s="124">
        <v>0.85</v>
      </c>
      <c r="E394" s="124">
        <v>0.15</v>
      </c>
      <c r="F394" s="113" t="s">
        <v>2335</v>
      </c>
      <c r="G394" s="113" t="s">
        <v>2119</v>
      </c>
      <c r="H394" s="113" t="s">
        <v>98</v>
      </c>
      <c r="I394" s="113" t="s">
        <v>29</v>
      </c>
      <c r="J394" s="118" t="s">
        <v>2129</v>
      </c>
      <c r="K394" s="118">
        <v>3</v>
      </c>
      <c r="L394" s="118" t="s">
        <v>5633</v>
      </c>
      <c r="M394" s="115" t="s">
        <v>1109</v>
      </c>
      <c r="N394" s="115" t="s">
        <v>6505</v>
      </c>
      <c r="O394" s="115">
        <v>1.5</v>
      </c>
      <c r="P394" s="115" t="s">
        <v>1109</v>
      </c>
      <c r="Q394" s="166"/>
      <c r="R394" s="164"/>
      <c r="S394" s="164"/>
      <c r="T394" s="164"/>
      <c r="U394" s="164"/>
      <c r="V394" s="162"/>
      <c r="W394" s="158"/>
      <c r="X394" s="158"/>
      <c r="Y394" s="158"/>
      <c r="Z394" s="158"/>
      <c r="AA394" s="158"/>
      <c r="AB394" s="158"/>
      <c r="AC394" s="113">
        <v>355</v>
      </c>
      <c r="AD394" s="113">
        <v>45</v>
      </c>
      <c r="AE394" s="113">
        <v>95</v>
      </c>
      <c r="AF394" s="113">
        <v>50</v>
      </c>
      <c r="AG394" s="120">
        <v>40</v>
      </c>
      <c r="AH394" s="113">
        <v>50</v>
      </c>
      <c r="AI394" s="113">
        <v>75</v>
      </c>
    </row>
    <row r="395" spans="1:35">
      <c r="A395" s="113">
        <v>348</v>
      </c>
      <c r="B395" s="113" t="s">
        <v>375</v>
      </c>
      <c r="C395" s="120" t="s">
        <v>5634</v>
      </c>
      <c r="D395" s="124">
        <v>0.85</v>
      </c>
      <c r="E395" s="124">
        <v>0.15</v>
      </c>
      <c r="F395" s="113" t="s">
        <v>2335</v>
      </c>
      <c r="G395" s="113" t="s">
        <v>2119</v>
      </c>
      <c r="H395" s="113" t="s">
        <v>98</v>
      </c>
      <c r="I395" s="113" t="s">
        <v>29</v>
      </c>
      <c r="J395" s="118" t="s">
        <v>2129</v>
      </c>
      <c r="K395" s="118">
        <v>3</v>
      </c>
      <c r="L395" s="118" t="s">
        <v>5633</v>
      </c>
      <c r="M395" s="115" t="s">
        <v>5633</v>
      </c>
      <c r="N395" s="115" t="s">
        <v>6504</v>
      </c>
      <c r="O395" s="115">
        <v>1.5</v>
      </c>
      <c r="P395" s="115" t="s">
        <v>2128</v>
      </c>
      <c r="Q395" s="166"/>
      <c r="R395" s="164"/>
      <c r="S395" s="164"/>
      <c r="T395" s="164"/>
      <c r="U395" s="164"/>
      <c r="V395" s="162"/>
      <c r="W395" s="158"/>
      <c r="X395" s="158"/>
      <c r="Y395" s="158"/>
      <c r="Z395" s="158"/>
      <c r="AA395" s="158"/>
      <c r="AB395" s="158"/>
      <c r="AC395" s="113">
        <v>495</v>
      </c>
      <c r="AD395" s="113">
        <v>75</v>
      </c>
      <c r="AE395" s="113">
        <v>125</v>
      </c>
      <c r="AF395" s="113">
        <v>100</v>
      </c>
      <c r="AG395" s="120">
        <v>70</v>
      </c>
      <c r="AH395" s="113">
        <v>80</v>
      </c>
      <c r="AI395" s="113">
        <v>45</v>
      </c>
    </row>
    <row r="396" spans="1:35">
      <c r="A396" s="113">
        <v>349</v>
      </c>
      <c r="B396" s="113" t="s">
        <v>376</v>
      </c>
      <c r="C396" s="120" t="s">
        <v>5635</v>
      </c>
      <c r="D396" s="124">
        <v>0.5</v>
      </c>
      <c r="E396" s="124">
        <v>0.5</v>
      </c>
      <c r="F396" s="113" t="s">
        <v>2331</v>
      </c>
      <c r="G396" s="113" t="s">
        <v>2119</v>
      </c>
      <c r="H396" s="113" t="s">
        <v>25</v>
      </c>
      <c r="I396" s="113" t="s">
        <v>1109</v>
      </c>
      <c r="J396" s="118" t="s">
        <v>2129</v>
      </c>
      <c r="K396" s="118">
        <v>3</v>
      </c>
      <c r="L396" s="118" t="s">
        <v>5635</v>
      </c>
      <c r="M396" s="115" t="s">
        <v>1109</v>
      </c>
      <c r="N396" s="115" t="s">
        <v>6505</v>
      </c>
      <c r="O396" s="115">
        <v>1.5</v>
      </c>
      <c r="P396" s="115" t="s">
        <v>1109</v>
      </c>
      <c r="Q396" s="166"/>
      <c r="R396" s="164"/>
      <c r="S396" s="164"/>
      <c r="T396" s="164"/>
      <c r="U396" s="164"/>
      <c r="V396" s="162"/>
      <c r="W396" s="158"/>
      <c r="X396" s="158"/>
      <c r="Y396" s="158"/>
      <c r="Z396" s="158"/>
      <c r="AA396" s="158"/>
      <c r="AB396" s="158"/>
      <c r="AC396" s="113">
        <v>200</v>
      </c>
      <c r="AD396" s="113">
        <v>20</v>
      </c>
      <c r="AE396" s="113">
        <v>15</v>
      </c>
      <c r="AF396" s="113">
        <v>20</v>
      </c>
      <c r="AG396" s="120">
        <v>10</v>
      </c>
      <c r="AH396" s="113">
        <v>55</v>
      </c>
      <c r="AI396" s="113">
        <v>80</v>
      </c>
    </row>
    <row r="397" spans="1:35">
      <c r="A397" s="113">
        <v>350</v>
      </c>
      <c r="B397" s="113" t="s">
        <v>377</v>
      </c>
      <c r="C397" s="120" t="s">
        <v>5636</v>
      </c>
      <c r="D397" s="124">
        <v>0.5</v>
      </c>
      <c r="E397" s="124">
        <v>0.5</v>
      </c>
      <c r="F397" s="113" t="s">
        <v>2331</v>
      </c>
      <c r="G397" s="113" t="s">
        <v>2119</v>
      </c>
      <c r="H397" s="113" t="s">
        <v>25</v>
      </c>
      <c r="I397" s="113" t="s">
        <v>1109</v>
      </c>
      <c r="J397" s="118" t="s">
        <v>2129</v>
      </c>
      <c r="K397" s="118">
        <v>3</v>
      </c>
      <c r="L397" s="118" t="s">
        <v>5635</v>
      </c>
      <c r="M397" s="115" t="s">
        <v>5635</v>
      </c>
      <c r="N397" s="115" t="s">
        <v>6504</v>
      </c>
      <c r="O397" s="115">
        <v>1.5</v>
      </c>
      <c r="P397" s="115" t="s">
        <v>2130</v>
      </c>
      <c r="Q397" s="166"/>
      <c r="R397" s="164"/>
      <c r="S397" s="164"/>
      <c r="T397" s="164"/>
      <c r="U397" s="164"/>
      <c r="V397" s="162"/>
      <c r="W397" s="158"/>
      <c r="X397" s="158"/>
      <c r="Y397" s="158"/>
      <c r="Z397" s="158"/>
      <c r="AA397" s="158"/>
      <c r="AB397" s="158"/>
      <c r="AC397" s="113">
        <v>540</v>
      </c>
      <c r="AD397" s="113">
        <v>95</v>
      </c>
      <c r="AE397" s="113">
        <v>60</v>
      </c>
      <c r="AF397" s="113">
        <v>79</v>
      </c>
      <c r="AG397" s="120">
        <v>100</v>
      </c>
      <c r="AH397" s="113">
        <v>125</v>
      </c>
      <c r="AI397" s="113">
        <v>81</v>
      </c>
    </row>
    <row r="398" spans="1:35">
      <c r="A398" s="113">
        <v>351</v>
      </c>
      <c r="B398" s="113" t="s">
        <v>378</v>
      </c>
      <c r="C398" s="120" t="s">
        <v>5637</v>
      </c>
      <c r="D398" s="124">
        <v>0.5</v>
      </c>
      <c r="E398" s="124">
        <v>0.5</v>
      </c>
      <c r="F398" s="113" t="s">
        <v>2336</v>
      </c>
      <c r="G398" s="113" t="s">
        <v>2119</v>
      </c>
      <c r="H398" s="113" t="s">
        <v>36</v>
      </c>
      <c r="I398" s="113" t="s">
        <v>1109</v>
      </c>
      <c r="J398" s="118" t="s">
        <v>2129</v>
      </c>
      <c r="K398" s="118">
        <v>3</v>
      </c>
      <c r="L398" s="118" t="s">
        <v>5637</v>
      </c>
      <c r="M398" s="115" t="s">
        <v>1109</v>
      </c>
      <c r="N398" s="115" t="s">
        <v>6504</v>
      </c>
      <c r="O398" s="115">
        <v>1.5</v>
      </c>
      <c r="P398" s="115" t="s">
        <v>1109</v>
      </c>
      <c r="Q398" s="166"/>
      <c r="R398" s="164"/>
      <c r="S398" s="164"/>
      <c r="T398" s="164"/>
      <c r="U398" s="164"/>
      <c r="V398" s="162"/>
      <c r="W398" s="158"/>
      <c r="X398" s="158"/>
      <c r="Y398" s="158"/>
      <c r="Z398" s="158"/>
      <c r="AA398" s="158"/>
      <c r="AB398" s="158"/>
      <c r="AC398" s="113">
        <v>420</v>
      </c>
      <c r="AD398" s="113">
        <v>70</v>
      </c>
      <c r="AE398" s="113">
        <v>70</v>
      </c>
      <c r="AF398" s="113">
        <v>70</v>
      </c>
      <c r="AG398" s="120">
        <v>70</v>
      </c>
      <c r="AH398" s="113">
        <v>70</v>
      </c>
      <c r="AI398" s="113">
        <v>70</v>
      </c>
    </row>
    <row r="399" spans="1:35">
      <c r="A399" s="113">
        <v>352</v>
      </c>
      <c r="B399" s="113" t="s">
        <v>379</v>
      </c>
      <c r="C399" s="120" t="s">
        <v>5638</v>
      </c>
      <c r="D399" s="124">
        <v>0.5</v>
      </c>
      <c r="E399" s="124">
        <v>0.5</v>
      </c>
      <c r="F399" s="113" t="s">
        <v>2332</v>
      </c>
      <c r="G399" s="113" t="s">
        <v>2119</v>
      </c>
      <c r="H399" s="113" t="s">
        <v>36</v>
      </c>
      <c r="I399" s="113" t="s">
        <v>1109</v>
      </c>
      <c r="J399" s="118" t="s">
        <v>2129</v>
      </c>
      <c r="K399" s="118">
        <v>3</v>
      </c>
      <c r="L399" s="118" t="s">
        <v>5638</v>
      </c>
      <c r="M399" s="115" t="s">
        <v>1109</v>
      </c>
      <c r="N399" s="115" t="s">
        <v>6504</v>
      </c>
      <c r="O399" s="115">
        <v>1.5</v>
      </c>
      <c r="P399" s="115" t="s">
        <v>1109</v>
      </c>
      <c r="Q399" s="166"/>
      <c r="R399" s="164"/>
      <c r="S399" s="164"/>
      <c r="T399" s="164"/>
      <c r="U399" s="164"/>
      <c r="V399" s="162"/>
      <c r="W399" s="158"/>
      <c r="X399" s="158"/>
      <c r="Y399" s="158"/>
      <c r="Z399" s="158"/>
      <c r="AA399" s="158"/>
      <c r="AB399" s="158"/>
      <c r="AC399" s="113">
        <v>440</v>
      </c>
      <c r="AD399" s="113">
        <v>60</v>
      </c>
      <c r="AE399" s="113">
        <v>90</v>
      </c>
      <c r="AF399" s="113">
        <v>70</v>
      </c>
      <c r="AG399" s="120">
        <v>60</v>
      </c>
      <c r="AH399" s="113">
        <v>120</v>
      </c>
      <c r="AI399" s="113">
        <v>40</v>
      </c>
    </row>
    <row r="400" spans="1:35">
      <c r="A400" s="113">
        <v>353</v>
      </c>
      <c r="B400" s="113" t="s">
        <v>380</v>
      </c>
      <c r="C400" s="120" t="s">
        <v>5639</v>
      </c>
      <c r="D400" s="124">
        <v>0.5</v>
      </c>
      <c r="E400" s="124">
        <v>0.5</v>
      </c>
      <c r="F400" s="113" t="s">
        <v>2336</v>
      </c>
      <c r="G400" s="113" t="s">
        <v>2119</v>
      </c>
      <c r="H400" s="113" t="s">
        <v>119</v>
      </c>
      <c r="I400" s="113" t="s">
        <v>1109</v>
      </c>
      <c r="J400" s="118" t="s">
        <v>2129</v>
      </c>
      <c r="K400" s="118">
        <v>2</v>
      </c>
      <c r="L400" s="118" t="s">
        <v>5639</v>
      </c>
      <c r="M400" s="115" t="s">
        <v>1109</v>
      </c>
      <c r="N400" s="115" t="s">
        <v>6505</v>
      </c>
      <c r="O400" s="115">
        <v>1.25</v>
      </c>
      <c r="P400" s="115" t="s">
        <v>1109</v>
      </c>
      <c r="Q400" s="166"/>
      <c r="R400" s="164"/>
      <c r="S400" s="164"/>
      <c r="T400" s="164"/>
      <c r="U400" s="164"/>
      <c r="V400" s="162"/>
      <c r="W400" s="158"/>
      <c r="X400" s="158"/>
      <c r="Y400" s="158"/>
      <c r="Z400" s="158"/>
      <c r="AA400" s="158"/>
      <c r="AB400" s="158"/>
      <c r="AC400" s="113">
        <v>295</v>
      </c>
      <c r="AD400" s="113">
        <v>44</v>
      </c>
      <c r="AE400" s="113">
        <v>75</v>
      </c>
      <c r="AF400" s="113">
        <v>35</v>
      </c>
      <c r="AG400" s="120">
        <v>63</v>
      </c>
      <c r="AH400" s="113">
        <v>33</v>
      </c>
      <c r="AI400" s="113">
        <v>45</v>
      </c>
    </row>
    <row r="401" spans="1:35">
      <c r="A401" s="113">
        <v>354</v>
      </c>
      <c r="B401" s="113" t="s">
        <v>381</v>
      </c>
      <c r="C401" s="120" t="s">
        <v>5640</v>
      </c>
      <c r="D401" s="124">
        <v>0.5</v>
      </c>
      <c r="E401" s="124">
        <v>0.5</v>
      </c>
      <c r="F401" s="113" t="s">
        <v>2336</v>
      </c>
      <c r="G401" s="113" t="s">
        <v>2119</v>
      </c>
      <c r="H401" s="113" t="s">
        <v>119</v>
      </c>
      <c r="I401" s="113" t="s">
        <v>1109</v>
      </c>
      <c r="J401" s="118" t="s">
        <v>2129</v>
      </c>
      <c r="K401" s="118">
        <v>2</v>
      </c>
      <c r="L401" s="118" t="s">
        <v>5639</v>
      </c>
      <c r="M401" s="115" t="s">
        <v>5639</v>
      </c>
      <c r="N401" s="115" t="s">
        <v>6504</v>
      </c>
      <c r="O401" s="115">
        <v>1.25</v>
      </c>
      <c r="P401" s="115" t="s">
        <v>2128</v>
      </c>
      <c r="Q401" s="166"/>
      <c r="R401" s="164"/>
      <c r="S401" s="164"/>
      <c r="T401" s="164"/>
      <c r="U401" s="164"/>
      <c r="V401" s="162"/>
      <c r="W401" s="158"/>
      <c r="X401" s="158"/>
      <c r="Y401" s="158"/>
      <c r="Z401" s="158"/>
      <c r="AA401" s="158"/>
      <c r="AB401" s="158"/>
      <c r="AC401" s="113">
        <v>455</v>
      </c>
      <c r="AD401" s="113">
        <v>64</v>
      </c>
      <c r="AE401" s="113">
        <v>115</v>
      </c>
      <c r="AF401" s="113">
        <v>65</v>
      </c>
      <c r="AG401" s="120">
        <v>83</v>
      </c>
      <c r="AH401" s="113">
        <v>63</v>
      </c>
      <c r="AI401" s="113">
        <v>65</v>
      </c>
    </row>
    <row r="402" spans="1:35">
      <c r="A402" s="113">
        <v>355</v>
      </c>
      <c r="B402" s="113" t="s">
        <v>382</v>
      </c>
      <c r="C402" s="120" t="s">
        <v>5642</v>
      </c>
      <c r="D402" s="124">
        <v>0.5</v>
      </c>
      <c r="E402" s="124">
        <v>0.5</v>
      </c>
      <c r="F402" s="113" t="s">
        <v>2336</v>
      </c>
      <c r="G402" s="113" t="s">
        <v>2119</v>
      </c>
      <c r="H402" s="113" t="s">
        <v>119</v>
      </c>
      <c r="I402" s="113" t="s">
        <v>1109</v>
      </c>
      <c r="J402" s="118" t="s">
        <v>2129</v>
      </c>
      <c r="K402" s="118">
        <v>2</v>
      </c>
      <c r="L402" s="118" t="s">
        <v>5642</v>
      </c>
      <c r="M402" s="115" t="s">
        <v>1109</v>
      </c>
      <c r="N402" s="115" t="s">
        <v>6505</v>
      </c>
      <c r="O402" s="115">
        <v>1.25</v>
      </c>
      <c r="P402" s="115" t="s">
        <v>1109</v>
      </c>
      <c r="Q402" s="166"/>
      <c r="R402" s="164"/>
      <c r="S402" s="164"/>
      <c r="T402" s="164"/>
      <c r="U402" s="164"/>
      <c r="V402" s="162"/>
      <c r="W402" s="158"/>
      <c r="X402" s="158"/>
      <c r="Y402" s="158"/>
      <c r="Z402" s="158"/>
      <c r="AA402" s="158"/>
      <c r="AB402" s="158"/>
      <c r="AC402" s="113">
        <v>295</v>
      </c>
      <c r="AD402" s="113">
        <v>20</v>
      </c>
      <c r="AE402" s="113">
        <v>40</v>
      </c>
      <c r="AF402" s="113">
        <v>90</v>
      </c>
      <c r="AG402" s="120">
        <v>30</v>
      </c>
      <c r="AH402" s="113">
        <v>90</v>
      </c>
      <c r="AI402" s="113">
        <v>25</v>
      </c>
    </row>
    <row r="403" spans="1:35">
      <c r="A403" s="113">
        <v>356</v>
      </c>
      <c r="B403" s="113" t="s">
        <v>383</v>
      </c>
      <c r="C403" s="120" t="s">
        <v>5643</v>
      </c>
      <c r="D403" s="124">
        <v>0.5</v>
      </c>
      <c r="E403" s="124">
        <v>0.5</v>
      </c>
      <c r="F403" s="113" t="s">
        <v>2336</v>
      </c>
      <c r="G403" s="113" t="s">
        <v>2119</v>
      </c>
      <c r="H403" s="113" t="s">
        <v>119</v>
      </c>
      <c r="I403" s="113" t="s">
        <v>1109</v>
      </c>
      <c r="J403" s="118" t="s">
        <v>2129</v>
      </c>
      <c r="K403" s="118">
        <v>2</v>
      </c>
      <c r="L403" s="118" t="s">
        <v>5642</v>
      </c>
      <c r="M403" s="115" t="s">
        <v>5642</v>
      </c>
      <c r="N403" s="115" t="s">
        <v>6506</v>
      </c>
      <c r="O403" s="115">
        <v>1.25</v>
      </c>
      <c r="P403" s="115" t="s">
        <v>2128</v>
      </c>
      <c r="Q403" s="166"/>
      <c r="R403" s="164"/>
      <c r="S403" s="164"/>
      <c r="T403" s="164"/>
      <c r="U403" s="164"/>
      <c r="V403" s="162"/>
      <c r="W403" s="158"/>
      <c r="X403" s="158"/>
      <c r="Y403" s="158"/>
      <c r="Z403" s="158"/>
      <c r="AA403" s="158"/>
      <c r="AB403" s="158"/>
      <c r="AC403" s="113">
        <v>455</v>
      </c>
      <c r="AD403" s="113">
        <v>40</v>
      </c>
      <c r="AE403" s="113">
        <v>70</v>
      </c>
      <c r="AF403" s="113">
        <v>130</v>
      </c>
      <c r="AG403" s="120">
        <v>60</v>
      </c>
      <c r="AH403" s="113">
        <v>130</v>
      </c>
      <c r="AI403" s="113">
        <v>25</v>
      </c>
    </row>
    <row r="404" spans="1:35">
      <c r="A404" s="113">
        <v>357</v>
      </c>
      <c r="B404" s="113" t="s">
        <v>384</v>
      </c>
      <c r="C404" s="120" t="s">
        <v>5644</v>
      </c>
      <c r="D404" s="124">
        <v>0.5</v>
      </c>
      <c r="E404" s="124">
        <v>0.5</v>
      </c>
      <c r="F404" s="113" t="s">
        <v>14</v>
      </c>
      <c r="G404" s="113" t="s">
        <v>2119</v>
      </c>
      <c r="H404" s="113" t="s">
        <v>14</v>
      </c>
      <c r="I404" s="113" t="s">
        <v>22</v>
      </c>
      <c r="J404" s="118" t="s">
        <v>2129</v>
      </c>
      <c r="K404" s="118">
        <v>3</v>
      </c>
      <c r="L404" s="118" t="s">
        <v>5644</v>
      </c>
      <c r="M404" s="115" t="s">
        <v>1109</v>
      </c>
      <c r="N404" s="115" t="s">
        <v>6504</v>
      </c>
      <c r="O404" s="115">
        <v>1.5</v>
      </c>
      <c r="P404" s="115" t="s">
        <v>1109</v>
      </c>
      <c r="Q404" s="166"/>
      <c r="R404" s="164"/>
      <c r="S404" s="164"/>
      <c r="T404" s="164"/>
      <c r="U404" s="164"/>
      <c r="V404" s="162"/>
      <c r="W404" s="158"/>
      <c r="X404" s="158"/>
      <c r="Y404" s="158"/>
      <c r="Z404" s="158"/>
      <c r="AA404" s="158"/>
      <c r="AB404" s="158"/>
      <c r="AC404" s="113">
        <v>460</v>
      </c>
      <c r="AD404" s="113">
        <v>99</v>
      </c>
      <c r="AE404" s="113">
        <v>68</v>
      </c>
      <c r="AF404" s="113">
        <v>83</v>
      </c>
      <c r="AG404" s="120">
        <v>72</v>
      </c>
      <c r="AH404" s="113">
        <v>87</v>
      </c>
      <c r="AI404" s="113">
        <v>51</v>
      </c>
    </row>
    <row r="405" spans="1:35">
      <c r="A405" s="113">
        <v>358</v>
      </c>
      <c r="B405" s="113" t="s">
        <v>385</v>
      </c>
      <c r="C405" s="120" t="s">
        <v>5645</v>
      </c>
      <c r="D405" s="124">
        <v>0.5</v>
      </c>
      <c r="E405" s="124">
        <v>0.5</v>
      </c>
      <c r="F405" s="113" t="s">
        <v>2336</v>
      </c>
      <c r="G405" s="113" t="s">
        <v>2119</v>
      </c>
      <c r="H405" s="113" t="s">
        <v>86</v>
      </c>
      <c r="I405" s="113" t="s">
        <v>1109</v>
      </c>
      <c r="J405" s="118" t="s">
        <v>2129</v>
      </c>
      <c r="K405" s="118">
        <v>3</v>
      </c>
      <c r="L405" s="118" t="s">
        <v>5735</v>
      </c>
      <c r="M405" s="115" t="s">
        <v>5735</v>
      </c>
      <c r="N405" s="115" t="s">
        <v>6504</v>
      </c>
      <c r="O405" s="115">
        <v>1.5</v>
      </c>
      <c r="P405" s="115" t="s">
        <v>2128</v>
      </c>
      <c r="Q405" s="166">
        <v>2</v>
      </c>
      <c r="R405" s="164"/>
      <c r="S405" s="164"/>
      <c r="T405" s="164"/>
      <c r="U405" s="164"/>
      <c r="V405" s="162"/>
      <c r="W405" s="158" t="s">
        <v>6531</v>
      </c>
      <c r="X405" s="158"/>
      <c r="Y405" s="158">
        <v>70</v>
      </c>
      <c r="Z405" s="158">
        <v>6</v>
      </c>
      <c r="AA405" s="158"/>
      <c r="AB405" s="158"/>
      <c r="AC405" s="113">
        <v>455</v>
      </c>
      <c r="AD405" s="113">
        <v>75</v>
      </c>
      <c r="AE405" s="113">
        <v>50</v>
      </c>
      <c r="AF405" s="113">
        <v>80</v>
      </c>
      <c r="AG405" s="120">
        <v>95</v>
      </c>
      <c r="AH405" s="113">
        <v>90</v>
      </c>
      <c r="AI405" s="113">
        <v>65</v>
      </c>
    </row>
    <row r="406" spans="1:35">
      <c r="A406" s="113">
        <v>359</v>
      </c>
      <c r="B406" s="113" t="s">
        <v>386</v>
      </c>
      <c r="C406" s="120" t="s">
        <v>5646</v>
      </c>
      <c r="D406" s="124">
        <v>0.5</v>
      </c>
      <c r="E406" s="124">
        <v>0.5</v>
      </c>
      <c r="F406" s="113" t="s">
        <v>2332</v>
      </c>
      <c r="G406" s="113" t="s">
        <v>2119</v>
      </c>
      <c r="H406" s="113" t="s">
        <v>158</v>
      </c>
      <c r="I406" s="113" t="s">
        <v>1109</v>
      </c>
      <c r="J406" s="118" t="s">
        <v>2129</v>
      </c>
      <c r="K406" s="118">
        <v>3</v>
      </c>
      <c r="L406" s="118" t="s">
        <v>5646</v>
      </c>
      <c r="M406" s="115" t="s">
        <v>1109</v>
      </c>
      <c r="N406" s="115" t="s">
        <v>6504</v>
      </c>
      <c r="O406" s="115">
        <v>1.5</v>
      </c>
      <c r="P406" s="115" t="s">
        <v>1109</v>
      </c>
      <c r="Q406" s="166"/>
      <c r="R406" s="164"/>
      <c r="S406" s="164"/>
      <c r="T406" s="164"/>
      <c r="U406" s="164"/>
      <c r="V406" s="162"/>
      <c r="W406" s="158"/>
      <c r="X406" s="158"/>
      <c r="Y406" s="158"/>
      <c r="Z406" s="158"/>
      <c r="AA406" s="158"/>
      <c r="AB406" s="158"/>
      <c r="AC406" s="113">
        <v>465</v>
      </c>
      <c r="AD406" s="113">
        <v>65</v>
      </c>
      <c r="AE406" s="113">
        <v>130</v>
      </c>
      <c r="AF406" s="113">
        <v>60</v>
      </c>
      <c r="AG406" s="120">
        <v>75</v>
      </c>
      <c r="AH406" s="113">
        <v>60</v>
      </c>
      <c r="AI406" s="113">
        <v>75</v>
      </c>
    </row>
    <row r="407" spans="1:35">
      <c r="A407" s="113">
        <v>360</v>
      </c>
      <c r="B407" s="113" t="s">
        <v>387</v>
      </c>
      <c r="C407" s="120" t="s">
        <v>5648</v>
      </c>
      <c r="D407" s="124">
        <v>0.5</v>
      </c>
      <c r="E407" s="124">
        <v>0.5</v>
      </c>
      <c r="F407" s="113" t="s">
        <v>2333</v>
      </c>
      <c r="G407" s="113" t="s">
        <v>2119</v>
      </c>
      <c r="H407" s="113" t="s">
        <v>86</v>
      </c>
      <c r="I407" s="113" t="s">
        <v>1109</v>
      </c>
      <c r="J407" s="118" t="s">
        <v>2129</v>
      </c>
      <c r="K407" s="118">
        <v>3</v>
      </c>
      <c r="L407" s="118" t="s">
        <v>5648</v>
      </c>
      <c r="M407" s="115" t="s">
        <v>1109</v>
      </c>
      <c r="N407" s="115" t="s">
        <v>6507</v>
      </c>
      <c r="O407" s="115">
        <v>1.5</v>
      </c>
      <c r="P407" s="115" t="s">
        <v>1109</v>
      </c>
      <c r="Q407" s="166">
        <v>0.1</v>
      </c>
      <c r="R407" s="164"/>
      <c r="S407" s="164"/>
      <c r="T407" s="164"/>
      <c r="U407" s="164"/>
      <c r="V407" s="162"/>
      <c r="W407" s="158"/>
      <c r="X407" s="158"/>
      <c r="Y407" s="158"/>
      <c r="Z407" s="158"/>
      <c r="AA407" s="158"/>
      <c r="AB407" s="158"/>
      <c r="AC407" s="113">
        <v>260</v>
      </c>
      <c r="AD407" s="113">
        <v>95</v>
      </c>
      <c r="AE407" s="113">
        <v>23</v>
      </c>
      <c r="AF407" s="113">
        <v>48</v>
      </c>
      <c r="AG407" s="120">
        <v>23</v>
      </c>
      <c r="AH407" s="113">
        <v>48</v>
      </c>
      <c r="AI407" s="113">
        <v>23</v>
      </c>
    </row>
    <row r="408" spans="1:35">
      <c r="A408" s="113">
        <v>361</v>
      </c>
      <c r="B408" s="113" t="s">
        <v>388</v>
      </c>
      <c r="C408" s="120" t="s">
        <v>5649</v>
      </c>
      <c r="D408" s="124">
        <v>0.5</v>
      </c>
      <c r="E408" s="124">
        <v>0.5</v>
      </c>
      <c r="F408" s="113" t="s">
        <v>2112</v>
      </c>
      <c r="G408" s="113" t="s">
        <v>2119</v>
      </c>
      <c r="H408" s="113" t="s">
        <v>113</v>
      </c>
      <c r="I408" s="113" t="s">
        <v>1109</v>
      </c>
      <c r="J408" s="118" t="s">
        <v>2129</v>
      </c>
      <c r="K408" s="118">
        <v>2</v>
      </c>
      <c r="L408" s="118" t="s">
        <v>5649</v>
      </c>
      <c r="M408" s="115" t="s">
        <v>1109</v>
      </c>
      <c r="N408" s="115" t="s">
        <v>6505</v>
      </c>
      <c r="O408" s="115">
        <v>1.25</v>
      </c>
      <c r="P408" s="115" t="s">
        <v>1109</v>
      </c>
      <c r="Q408" s="166"/>
      <c r="R408" s="164"/>
      <c r="S408" s="164"/>
      <c r="T408" s="164"/>
      <c r="U408" s="164"/>
      <c r="V408" s="162"/>
      <c r="W408" s="158"/>
      <c r="X408" s="158"/>
      <c r="Y408" s="158"/>
      <c r="Z408" s="158"/>
      <c r="AA408" s="158"/>
      <c r="AB408" s="158"/>
      <c r="AC408" s="113">
        <v>300</v>
      </c>
      <c r="AD408" s="113">
        <v>50</v>
      </c>
      <c r="AE408" s="113">
        <v>50</v>
      </c>
      <c r="AF408" s="113">
        <v>50</v>
      </c>
      <c r="AG408" s="120">
        <v>50</v>
      </c>
      <c r="AH408" s="113">
        <v>50</v>
      </c>
      <c r="AI408" s="113">
        <v>50</v>
      </c>
    </row>
    <row r="409" spans="1:35">
      <c r="A409" s="113">
        <v>362</v>
      </c>
      <c r="B409" s="113" t="s">
        <v>389</v>
      </c>
      <c r="C409" s="120" t="s">
        <v>5650</v>
      </c>
      <c r="D409" s="124">
        <v>1</v>
      </c>
      <c r="E409" s="124">
        <v>0</v>
      </c>
      <c r="F409" s="113" t="s">
        <v>2112</v>
      </c>
      <c r="G409" s="113" t="s">
        <v>2119</v>
      </c>
      <c r="H409" s="113" t="s">
        <v>113</v>
      </c>
      <c r="I409" s="113" t="s">
        <v>1109</v>
      </c>
      <c r="J409" s="118" t="s">
        <v>2129</v>
      </c>
      <c r="K409" s="118">
        <v>2</v>
      </c>
      <c r="L409" s="118" t="s">
        <v>5649</v>
      </c>
      <c r="M409" s="115" t="s">
        <v>5649</v>
      </c>
      <c r="N409" s="115" t="s">
        <v>6504</v>
      </c>
      <c r="O409" s="115">
        <v>1.25</v>
      </c>
      <c r="P409" s="115" t="s">
        <v>2128</v>
      </c>
      <c r="Q409" s="166"/>
      <c r="R409" s="164"/>
      <c r="S409" s="164"/>
      <c r="T409" s="164"/>
      <c r="U409" s="164"/>
      <c r="V409" s="162"/>
      <c r="W409" s="158"/>
      <c r="X409" s="158"/>
      <c r="Y409" s="158"/>
      <c r="Z409" s="158"/>
      <c r="AA409" s="158"/>
      <c r="AB409" s="158"/>
      <c r="AC409" s="113">
        <v>480</v>
      </c>
      <c r="AD409" s="113">
        <v>80</v>
      </c>
      <c r="AE409" s="113">
        <v>80</v>
      </c>
      <c r="AF409" s="113">
        <v>80</v>
      </c>
      <c r="AG409" s="120">
        <v>80</v>
      </c>
      <c r="AH409" s="113">
        <v>80</v>
      </c>
      <c r="AI409" s="113">
        <v>80</v>
      </c>
    </row>
    <row r="410" spans="1:35">
      <c r="A410" s="113">
        <v>363</v>
      </c>
      <c r="B410" s="113" t="s">
        <v>390</v>
      </c>
      <c r="C410" s="120" t="s">
        <v>5652</v>
      </c>
      <c r="D410" s="124">
        <v>0.5</v>
      </c>
      <c r="E410" s="124">
        <v>0.5</v>
      </c>
      <c r="F410" s="113" t="s">
        <v>2335</v>
      </c>
      <c r="G410" s="113" t="s">
        <v>2119</v>
      </c>
      <c r="H410" s="113" t="s">
        <v>113</v>
      </c>
      <c r="I410" s="113" t="s">
        <v>25</v>
      </c>
      <c r="J410" s="118" t="s">
        <v>2129</v>
      </c>
      <c r="K410" s="118">
        <v>2</v>
      </c>
      <c r="L410" s="118" t="s">
        <v>5652</v>
      </c>
      <c r="M410" s="115" t="s">
        <v>1109</v>
      </c>
      <c r="N410" s="115" t="s">
        <v>6505</v>
      </c>
      <c r="O410" s="115">
        <v>1.25</v>
      </c>
      <c r="P410" s="115" t="s">
        <v>1109</v>
      </c>
      <c r="Q410" s="166"/>
      <c r="R410" s="164"/>
      <c r="S410" s="164"/>
      <c r="T410" s="164"/>
      <c r="U410" s="164"/>
      <c r="V410" s="162"/>
      <c r="W410" s="158"/>
      <c r="X410" s="158"/>
      <c r="Y410" s="158"/>
      <c r="Z410" s="158"/>
      <c r="AA410" s="158"/>
      <c r="AB410" s="158"/>
      <c r="AC410" s="113">
        <v>290</v>
      </c>
      <c r="AD410" s="113">
        <v>70</v>
      </c>
      <c r="AE410" s="113">
        <v>40</v>
      </c>
      <c r="AF410" s="113">
        <v>50</v>
      </c>
      <c r="AG410" s="120">
        <v>55</v>
      </c>
      <c r="AH410" s="113">
        <v>50</v>
      </c>
      <c r="AI410" s="113">
        <v>25</v>
      </c>
    </row>
    <row r="411" spans="1:35">
      <c r="A411" s="113">
        <v>364</v>
      </c>
      <c r="B411" s="113" t="s">
        <v>391</v>
      </c>
      <c r="C411" s="120" t="s">
        <v>5653</v>
      </c>
      <c r="D411" s="124">
        <v>0.5</v>
      </c>
      <c r="E411" s="124">
        <v>0.5</v>
      </c>
      <c r="F411" s="113" t="s">
        <v>2335</v>
      </c>
      <c r="G411" s="113" t="s">
        <v>2119</v>
      </c>
      <c r="H411" s="113" t="s">
        <v>113</v>
      </c>
      <c r="I411" s="113" t="s">
        <v>25</v>
      </c>
      <c r="J411" s="118" t="s">
        <v>2129</v>
      </c>
      <c r="K411" s="118">
        <v>2</v>
      </c>
      <c r="L411" s="118" t="s">
        <v>5652</v>
      </c>
      <c r="M411" s="115" t="s">
        <v>5652</v>
      </c>
      <c r="N411" s="115" t="s">
        <v>6506</v>
      </c>
      <c r="O411" s="115">
        <v>1.25</v>
      </c>
      <c r="P411" s="115" t="s">
        <v>2128</v>
      </c>
      <c r="Q411" s="166"/>
      <c r="R411" s="164"/>
      <c r="S411" s="164"/>
      <c r="T411" s="164"/>
      <c r="U411" s="164"/>
      <c r="V411" s="162"/>
      <c r="W411" s="158"/>
      <c r="X411" s="158"/>
      <c r="Y411" s="158"/>
      <c r="Z411" s="158"/>
      <c r="AA411" s="158"/>
      <c r="AB411" s="158"/>
      <c r="AC411" s="113">
        <v>410</v>
      </c>
      <c r="AD411" s="113">
        <v>90</v>
      </c>
      <c r="AE411" s="113">
        <v>60</v>
      </c>
      <c r="AF411" s="113">
        <v>70</v>
      </c>
      <c r="AG411" s="120">
        <v>75</v>
      </c>
      <c r="AH411" s="113">
        <v>70</v>
      </c>
      <c r="AI411" s="113">
        <v>45</v>
      </c>
    </row>
    <row r="412" spans="1:35">
      <c r="A412" s="113">
        <v>365</v>
      </c>
      <c r="B412" s="113" t="s">
        <v>392</v>
      </c>
      <c r="C412" s="120" t="s">
        <v>5654</v>
      </c>
      <c r="D412" s="124">
        <v>0.5</v>
      </c>
      <c r="E412" s="124">
        <v>0.5</v>
      </c>
      <c r="F412" s="113" t="s">
        <v>2335</v>
      </c>
      <c r="G412" s="113" t="s">
        <v>2119</v>
      </c>
      <c r="H412" s="113" t="s">
        <v>113</v>
      </c>
      <c r="I412" s="113" t="s">
        <v>25</v>
      </c>
      <c r="J412" s="118" t="s">
        <v>2129</v>
      </c>
      <c r="K412" s="118">
        <v>2</v>
      </c>
      <c r="L412" s="118" t="s">
        <v>5652</v>
      </c>
      <c r="M412" s="115" t="s">
        <v>5653</v>
      </c>
      <c r="N412" s="115" t="s">
        <v>6504</v>
      </c>
      <c r="O412" s="115">
        <v>1.25</v>
      </c>
      <c r="P412" s="115" t="s">
        <v>2128</v>
      </c>
      <c r="Q412" s="166"/>
      <c r="R412" s="164"/>
      <c r="S412" s="164"/>
      <c r="T412" s="164"/>
      <c r="U412" s="164"/>
      <c r="V412" s="162"/>
      <c r="W412" s="158"/>
      <c r="X412" s="158"/>
      <c r="Y412" s="158"/>
      <c r="Z412" s="158"/>
      <c r="AA412" s="158"/>
      <c r="AB412" s="158"/>
      <c r="AC412" s="113">
        <v>530</v>
      </c>
      <c r="AD412" s="113">
        <v>110</v>
      </c>
      <c r="AE412" s="113">
        <v>80</v>
      </c>
      <c r="AF412" s="113">
        <v>90</v>
      </c>
      <c r="AG412" s="120">
        <v>95</v>
      </c>
      <c r="AH412" s="113">
        <v>90</v>
      </c>
      <c r="AI412" s="113">
        <v>65</v>
      </c>
    </row>
    <row r="413" spans="1:35">
      <c r="A413" s="113">
        <v>366</v>
      </c>
      <c r="B413" s="113" t="s">
        <v>393</v>
      </c>
      <c r="C413" s="120" t="s">
        <v>5655</v>
      </c>
      <c r="D413" s="124">
        <v>0.5</v>
      </c>
      <c r="E413" s="124">
        <v>0.5</v>
      </c>
      <c r="F413" s="113" t="s">
        <v>2337</v>
      </c>
      <c r="G413" s="113" t="s">
        <v>2119</v>
      </c>
      <c r="H413" s="113" t="s">
        <v>25</v>
      </c>
      <c r="I413" s="113" t="s">
        <v>1109</v>
      </c>
      <c r="J413" s="118" t="s">
        <v>2129</v>
      </c>
      <c r="K413" s="118">
        <v>2</v>
      </c>
      <c r="L413" s="118" t="s">
        <v>5655</v>
      </c>
      <c r="M413" s="115" t="s">
        <v>1109</v>
      </c>
      <c r="N413" s="115" t="s">
        <v>6505</v>
      </c>
      <c r="O413" s="115">
        <v>1.25</v>
      </c>
      <c r="P413" s="115" t="s">
        <v>1109</v>
      </c>
      <c r="Q413" s="166"/>
      <c r="R413" s="164"/>
      <c r="S413" s="164"/>
      <c r="T413" s="164"/>
      <c r="U413" s="164"/>
      <c r="V413" s="162"/>
      <c r="W413" s="158"/>
      <c r="X413" s="158"/>
      <c r="Y413" s="158"/>
      <c r="Z413" s="158"/>
      <c r="AA413" s="158"/>
      <c r="AB413" s="158"/>
      <c r="AC413" s="113">
        <v>345</v>
      </c>
      <c r="AD413" s="113">
        <v>35</v>
      </c>
      <c r="AE413" s="113">
        <v>64</v>
      </c>
      <c r="AF413" s="113">
        <v>85</v>
      </c>
      <c r="AG413" s="120">
        <v>74</v>
      </c>
      <c r="AH413" s="113">
        <v>55</v>
      </c>
      <c r="AI413" s="113">
        <v>32</v>
      </c>
    </row>
    <row r="414" spans="1:35">
      <c r="A414" s="113">
        <v>367</v>
      </c>
      <c r="B414" s="113" t="s">
        <v>394</v>
      </c>
      <c r="C414" s="120" t="s">
        <v>5656</v>
      </c>
      <c r="D414" s="124">
        <v>0.5</v>
      </c>
      <c r="E414" s="124">
        <v>0.5</v>
      </c>
      <c r="F414" s="113" t="s">
        <v>2337</v>
      </c>
      <c r="G414" s="113" t="s">
        <v>2119</v>
      </c>
      <c r="H414" s="113" t="s">
        <v>25</v>
      </c>
      <c r="I414" s="113" t="s">
        <v>1109</v>
      </c>
      <c r="J414" s="118" t="s">
        <v>2129</v>
      </c>
      <c r="K414" s="118">
        <v>2</v>
      </c>
      <c r="L414" s="118" t="s">
        <v>5655</v>
      </c>
      <c r="M414" s="115" t="s">
        <v>5655</v>
      </c>
      <c r="N414" s="115" t="s">
        <v>6504</v>
      </c>
      <c r="O414" s="115">
        <v>1.25</v>
      </c>
      <c r="P414" s="115" t="s">
        <v>2130</v>
      </c>
      <c r="Q414" s="166"/>
      <c r="R414" s="164"/>
      <c r="S414" s="164"/>
      <c r="T414" s="164"/>
      <c r="U414" s="164"/>
      <c r="V414" s="162"/>
      <c r="W414" s="158"/>
      <c r="X414" s="158"/>
      <c r="Y414" s="158"/>
      <c r="Z414" s="158"/>
      <c r="AA414" s="158"/>
      <c r="AB414" s="158"/>
      <c r="AC414" s="113">
        <v>485</v>
      </c>
      <c r="AD414" s="113">
        <v>55</v>
      </c>
      <c r="AE414" s="113">
        <v>104</v>
      </c>
      <c r="AF414" s="113">
        <v>105</v>
      </c>
      <c r="AG414" s="120">
        <v>94</v>
      </c>
      <c r="AH414" s="113">
        <v>75</v>
      </c>
      <c r="AI414" s="113">
        <v>52</v>
      </c>
    </row>
    <row r="415" spans="1:35">
      <c r="A415" s="113">
        <v>368</v>
      </c>
      <c r="B415" s="113" t="s">
        <v>395</v>
      </c>
      <c r="C415" s="120" t="s">
        <v>5657</v>
      </c>
      <c r="D415" s="124">
        <v>0.5</v>
      </c>
      <c r="E415" s="124">
        <v>0.5</v>
      </c>
      <c r="F415" s="113" t="s">
        <v>2337</v>
      </c>
      <c r="G415" s="113" t="s">
        <v>2119</v>
      </c>
      <c r="H415" s="113" t="s">
        <v>25</v>
      </c>
      <c r="I415" s="113" t="s">
        <v>1109</v>
      </c>
      <c r="J415" s="118" t="s">
        <v>2129</v>
      </c>
      <c r="K415" s="118">
        <v>2</v>
      </c>
      <c r="L415" s="118" t="s">
        <v>5655</v>
      </c>
      <c r="M415" s="115" t="s">
        <v>5655</v>
      </c>
      <c r="N415" s="115" t="s">
        <v>6504</v>
      </c>
      <c r="O415" s="115">
        <v>1.25</v>
      </c>
      <c r="P415" s="115" t="s">
        <v>2130</v>
      </c>
      <c r="Q415" s="166"/>
      <c r="R415" s="164"/>
      <c r="S415" s="164"/>
      <c r="T415" s="164"/>
      <c r="U415" s="164"/>
      <c r="V415" s="162"/>
      <c r="W415" s="158"/>
      <c r="X415" s="158"/>
      <c r="Y415" s="158"/>
      <c r="Z415" s="158"/>
      <c r="AA415" s="158"/>
      <c r="AB415" s="158"/>
      <c r="AC415" s="113">
        <v>485</v>
      </c>
      <c r="AD415" s="113">
        <v>55</v>
      </c>
      <c r="AE415" s="113">
        <v>84</v>
      </c>
      <c r="AF415" s="113">
        <v>105</v>
      </c>
      <c r="AG415" s="120">
        <v>114</v>
      </c>
      <c r="AH415" s="113">
        <v>75</v>
      </c>
      <c r="AI415" s="113">
        <v>52</v>
      </c>
    </row>
    <row r="416" spans="1:35">
      <c r="A416" s="113">
        <v>369</v>
      </c>
      <c r="B416" s="113" t="s">
        <v>396</v>
      </c>
      <c r="C416" s="120" t="s">
        <v>5658</v>
      </c>
      <c r="D416" s="124">
        <v>0.85</v>
      </c>
      <c r="E416" s="124">
        <v>0.15</v>
      </c>
      <c r="F416" s="113" t="s">
        <v>2337</v>
      </c>
      <c r="G416" s="113" t="s">
        <v>2119</v>
      </c>
      <c r="H416" s="113" t="s">
        <v>25</v>
      </c>
      <c r="I416" s="113" t="s">
        <v>98</v>
      </c>
      <c r="J416" s="118" t="s">
        <v>2129</v>
      </c>
      <c r="K416" s="118">
        <v>3</v>
      </c>
      <c r="L416" s="118" t="s">
        <v>5658</v>
      </c>
      <c r="M416" s="115" t="s">
        <v>1109</v>
      </c>
      <c r="N416" s="115" t="s">
        <v>6504</v>
      </c>
      <c r="O416" s="115">
        <v>1.5</v>
      </c>
      <c r="P416" s="115" t="s">
        <v>1109</v>
      </c>
      <c r="Q416" s="166"/>
      <c r="R416" s="164"/>
      <c r="S416" s="164"/>
      <c r="T416" s="164"/>
      <c r="U416" s="164"/>
      <c r="V416" s="162"/>
      <c r="W416" s="158"/>
      <c r="X416" s="158"/>
      <c r="Y416" s="158"/>
      <c r="Z416" s="158"/>
      <c r="AA416" s="158"/>
      <c r="AB416" s="158"/>
      <c r="AC416" s="113">
        <v>485</v>
      </c>
      <c r="AD416" s="113">
        <v>100</v>
      </c>
      <c r="AE416" s="113">
        <v>90</v>
      </c>
      <c r="AF416" s="113">
        <v>130</v>
      </c>
      <c r="AG416" s="120">
        <v>45</v>
      </c>
      <c r="AH416" s="113">
        <v>65</v>
      </c>
      <c r="AI416" s="113">
        <v>55</v>
      </c>
    </row>
    <row r="417" spans="1:35">
      <c r="A417" s="113">
        <v>370</v>
      </c>
      <c r="B417" s="113" t="s">
        <v>397</v>
      </c>
      <c r="C417" s="120" t="s">
        <v>5659</v>
      </c>
      <c r="D417" s="124">
        <v>0.25</v>
      </c>
      <c r="E417" s="124">
        <v>0.75</v>
      </c>
      <c r="F417" s="113" t="s">
        <v>2335</v>
      </c>
      <c r="G417" s="113" t="s">
        <v>2119</v>
      </c>
      <c r="H417" s="113" t="s">
        <v>25</v>
      </c>
      <c r="I417" s="113" t="s">
        <v>1109</v>
      </c>
      <c r="J417" s="118" t="s">
        <v>2129</v>
      </c>
      <c r="K417" s="118">
        <v>2</v>
      </c>
      <c r="L417" s="118" t="s">
        <v>5659</v>
      </c>
      <c r="M417" s="115" t="s">
        <v>1109</v>
      </c>
      <c r="N417" s="115" t="s">
        <v>6504</v>
      </c>
      <c r="O417" s="115">
        <v>1.25</v>
      </c>
      <c r="P417" s="115" t="s">
        <v>1109</v>
      </c>
      <c r="Q417" s="166"/>
      <c r="R417" s="164"/>
      <c r="S417" s="164"/>
      <c r="T417" s="164"/>
      <c r="U417" s="164"/>
      <c r="V417" s="162"/>
      <c r="W417" s="158"/>
      <c r="X417" s="158"/>
      <c r="Y417" s="158"/>
      <c r="Z417" s="158"/>
      <c r="AA417" s="158"/>
      <c r="AB417" s="158"/>
      <c r="AC417" s="113">
        <v>330</v>
      </c>
      <c r="AD417" s="113">
        <v>43</v>
      </c>
      <c r="AE417" s="113">
        <v>30</v>
      </c>
      <c r="AF417" s="113">
        <v>55</v>
      </c>
      <c r="AG417" s="120">
        <v>40</v>
      </c>
      <c r="AH417" s="113">
        <v>65</v>
      </c>
      <c r="AI417" s="113">
        <v>97</v>
      </c>
    </row>
    <row r="418" spans="1:35">
      <c r="A418" s="113">
        <v>371</v>
      </c>
      <c r="B418" s="113" t="s">
        <v>398</v>
      </c>
      <c r="C418" s="120" t="s">
        <v>5660</v>
      </c>
      <c r="D418" s="124">
        <v>0.5</v>
      </c>
      <c r="E418" s="124">
        <v>0.5</v>
      </c>
      <c r="F418" s="113" t="s">
        <v>23</v>
      </c>
      <c r="G418" s="113" t="s">
        <v>2119</v>
      </c>
      <c r="H418" s="113" t="s">
        <v>23</v>
      </c>
      <c r="I418" s="113" t="s">
        <v>1109</v>
      </c>
      <c r="J418" s="118" t="s">
        <v>2129</v>
      </c>
      <c r="K418" s="118">
        <v>3</v>
      </c>
      <c r="L418" s="118" t="s">
        <v>5660</v>
      </c>
      <c r="M418" s="115" t="s">
        <v>1109</v>
      </c>
      <c r="N418" s="115" t="s">
        <v>6505</v>
      </c>
      <c r="O418" s="115">
        <v>1.5</v>
      </c>
      <c r="P418" s="115" t="s">
        <v>1109</v>
      </c>
      <c r="Q418" s="166"/>
      <c r="R418" s="164"/>
      <c r="S418" s="164"/>
      <c r="T418" s="164"/>
      <c r="U418" s="164"/>
      <c r="V418" s="162"/>
      <c r="W418" s="158"/>
      <c r="X418" s="158"/>
      <c r="Y418" s="158"/>
      <c r="Z418" s="158"/>
      <c r="AA418" s="158"/>
      <c r="AB418" s="158"/>
      <c r="AC418" s="113">
        <v>300</v>
      </c>
      <c r="AD418" s="113">
        <v>45</v>
      </c>
      <c r="AE418" s="113">
        <v>75</v>
      </c>
      <c r="AF418" s="113">
        <v>60</v>
      </c>
      <c r="AG418" s="120">
        <v>40</v>
      </c>
      <c r="AH418" s="113">
        <v>30</v>
      </c>
      <c r="AI418" s="113">
        <v>50</v>
      </c>
    </row>
    <row r="419" spans="1:35">
      <c r="A419" s="113">
        <v>372</v>
      </c>
      <c r="B419" s="113" t="s">
        <v>399</v>
      </c>
      <c r="C419" s="120" t="s">
        <v>5661</v>
      </c>
      <c r="D419" s="124">
        <v>0.5</v>
      </c>
      <c r="E419" s="124">
        <v>0.5</v>
      </c>
      <c r="F419" s="113" t="s">
        <v>23</v>
      </c>
      <c r="G419" s="113" t="s">
        <v>2119</v>
      </c>
      <c r="H419" s="113" t="s">
        <v>23</v>
      </c>
      <c r="I419" s="113" t="s">
        <v>1109</v>
      </c>
      <c r="J419" s="118" t="s">
        <v>2129</v>
      </c>
      <c r="K419" s="118">
        <v>3</v>
      </c>
      <c r="L419" s="118" t="s">
        <v>5660</v>
      </c>
      <c r="M419" s="115" t="s">
        <v>5660</v>
      </c>
      <c r="N419" s="115" t="s">
        <v>6506</v>
      </c>
      <c r="O419" s="115">
        <v>1.5</v>
      </c>
      <c r="P419" s="115" t="s">
        <v>2128</v>
      </c>
      <c r="Q419" s="166"/>
      <c r="R419" s="164"/>
      <c r="S419" s="164"/>
      <c r="T419" s="164"/>
      <c r="U419" s="164"/>
      <c r="V419" s="162"/>
      <c r="W419" s="158"/>
      <c r="X419" s="158"/>
      <c r="Y419" s="158"/>
      <c r="Z419" s="158"/>
      <c r="AA419" s="158"/>
      <c r="AB419" s="158"/>
      <c r="AC419" s="113">
        <v>420</v>
      </c>
      <c r="AD419" s="113">
        <v>65</v>
      </c>
      <c r="AE419" s="113">
        <v>95</v>
      </c>
      <c r="AF419" s="113">
        <v>100</v>
      </c>
      <c r="AG419" s="120">
        <v>60</v>
      </c>
      <c r="AH419" s="113">
        <v>50</v>
      </c>
      <c r="AI419" s="113">
        <v>50</v>
      </c>
    </row>
    <row r="420" spans="1:35">
      <c r="A420" s="113">
        <v>373</v>
      </c>
      <c r="B420" s="113" t="s">
        <v>400</v>
      </c>
      <c r="C420" s="120" t="s">
        <v>5662</v>
      </c>
      <c r="D420" s="124">
        <v>0.5</v>
      </c>
      <c r="E420" s="124">
        <v>0.5</v>
      </c>
      <c r="F420" s="113" t="s">
        <v>23</v>
      </c>
      <c r="G420" s="113" t="s">
        <v>2119</v>
      </c>
      <c r="H420" s="113" t="s">
        <v>23</v>
      </c>
      <c r="I420" s="113" t="s">
        <v>22</v>
      </c>
      <c r="J420" s="118" t="s">
        <v>2129</v>
      </c>
      <c r="K420" s="118">
        <v>3</v>
      </c>
      <c r="L420" s="118" t="s">
        <v>5660</v>
      </c>
      <c r="M420" s="115" t="s">
        <v>5661</v>
      </c>
      <c r="N420" s="115" t="s">
        <v>6504</v>
      </c>
      <c r="O420" s="115">
        <v>1.5</v>
      </c>
      <c r="P420" s="115" t="s">
        <v>2128</v>
      </c>
      <c r="Q420" s="166"/>
      <c r="R420" s="164"/>
      <c r="S420" s="164"/>
      <c r="T420" s="164"/>
      <c r="U420" s="164"/>
      <c r="V420" s="162"/>
      <c r="W420" s="158"/>
      <c r="X420" s="158"/>
      <c r="Y420" s="158"/>
      <c r="Z420" s="158"/>
      <c r="AA420" s="158"/>
      <c r="AB420" s="158"/>
      <c r="AC420" s="113">
        <v>600</v>
      </c>
      <c r="AD420" s="113">
        <v>95</v>
      </c>
      <c r="AE420" s="113">
        <v>135</v>
      </c>
      <c r="AF420" s="113">
        <v>80</v>
      </c>
      <c r="AG420" s="120">
        <v>110</v>
      </c>
      <c r="AH420" s="113">
        <v>80</v>
      </c>
      <c r="AI420" s="113">
        <v>100</v>
      </c>
    </row>
    <row r="421" spans="1:35">
      <c r="A421" s="113">
        <v>374</v>
      </c>
      <c r="B421" s="113" t="s">
        <v>401</v>
      </c>
      <c r="C421" s="120" t="s">
        <v>5664</v>
      </c>
      <c r="D421" s="124" t="s">
        <v>1109</v>
      </c>
      <c r="E421" s="124" t="s">
        <v>1109</v>
      </c>
      <c r="F421" s="113" t="s">
        <v>2112</v>
      </c>
      <c r="G421" s="113" t="s">
        <v>2119</v>
      </c>
      <c r="H421" s="113" t="s">
        <v>106</v>
      </c>
      <c r="I421" s="113" t="s">
        <v>86</v>
      </c>
      <c r="J421" s="118" t="s">
        <v>2129</v>
      </c>
      <c r="K421" s="118">
        <v>3</v>
      </c>
      <c r="L421" s="118" t="s">
        <v>5664</v>
      </c>
      <c r="M421" s="115" t="s">
        <v>1109</v>
      </c>
      <c r="N421" s="115" t="s">
        <v>6505</v>
      </c>
      <c r="O421" s="115">
        <v>1.5</v>
      </c>
      <c r="P421" s="115" t="s">
        <v>1109</v>
      </c>
      <c r="Q421" s="166"/>
      <c r="R421" s="164"/>
      <c r="S421" s="164"/>
      <c r="T421" s="164"/>
      <c r="U421" s="164"/>
      <c r="V421" s="162"/>
      <c r="W421" s="158"/>
      <c r="X421" s="158"/>
      <c r="Y421" s="158"/>
      <c r="Z421" s="158"/>
      <c r="AA421" s="158"/>
      <c r="AB421" s="158"/>
      <c r="AC421" s="113">
        <v>300</v>
      </c>
      <c r="AD421" s="113">
        <v>40</v>
      </c>
      <c r="AE421" s="113">
        <v>55</v>
      </c>
      <c r="AF421" s="113">
        <v>80</v>
      </c>
      <c r="AG421" s="120">
        <v>35</v>
      </c>
      <c r="AH421" s="113">
        <v>60</v>
      </c>
      <c r="AI421" s="113">
        <v>30</v>
      </c>
    </row>
    <row r="422" spans="1:35">
      <c r="A422" s="113">
        <v>375</v>
      </c>
      <c r="B422" s="113" t="s">
        <v>402</v>
      </c>
      <c r="C422" s="120" t="s">
        <v>5665</v>
      </c>
      <c r="D422" s="124" t="s">
        <v>1109</v>
      </c>
      <c r="E422" s="124" t="s">
        <v>1109</v>
      </c>
      <c r="F422" s="113" t="s">
        <v>2112</v>
      </c>
      <c r="G422" s="113" t="s">
        <v>2119</v>
      </c>
      <c r="H422" s="113" t="s">
        <v>106</v>
      </c>
      <c r="I422" s="113" t="s">
        <v>86</v>
      </c>
      <c r="J422" s="118" t="s">
        <v>2129</v>
      </c>
      <c r="K422" s="118">
        <v>3</v>
      </c>
      <c r="L422" s="118" t="s">
        <v>5664</v>
      </c>
      <c r="M422" s="115" t="s">
        <v>5664</v>
      </c>
      <c r="N422" s="115" t="s">
        <v>6506</v>
      </c>
      <c r="O422" s="115">
        <v>1.5</v>
      </c>
      <c r="P422" s="115" t="s">
        <v>2128</v>
      </c>
      <c r="Q422" s="166"/>
      <c r="R422" s="164"/>
      <c r="S422" s="164"/>
      <c r="T422" s="164"/>
      <c r="U422" s="164"/>
      <c r="V422" s="162"/>
      <c r="W422" s="158"/>
      <c r="X422" s="158"/>
      <c r="Y422" s="158"/>
      <c r="Z422" s="158"/>
      <c r="AA422" s="158"/>
      <c r="AB422" s="158"/>
      <c r="AC422" s="113">
        <v>420</v>
      </c>
      <c r="AD422" s="113">
        <v>60</v>
      </c>
      <c r="AE422" s="113">
        <v>75</v>
      </c>
      <c r="AF422" s="113">
        <v>100</v>
      </c>
      <c r="AG422" s="120">
        <v>55</v>
      </c>
      <c r="AH422" s="113">
        <v>80</v>
      </c>
      <c r="AI422" s="113">
        <v>50</v>
      </c>
    </row>
    <row r="423" spans="1:35">
      <c r="A423" s="113">
        <v>376</v>
      </c>
      <c r="B423" s="113" t="s">
        <v>403</v>
      </c>
      <c r="C423" s="120" t="s">
        <v>5666</v>
      </c>
      <c r="D423" s="124" t="s">
        <v>1109</v>
      </c>
      <c r="E423" s="124" t="s">
        <v>1109</v>
      </c>
      <c r="F423" s="113" t="s">
        <v>2112</v>
      </c>
      <c r="G423" s="113" t="s">
        <v>2119</v>
      </c>
      <c r="H423" s="113" t="s">
        <v>106</v>
      </c>
      <c r="I423" s="113" t="s">
        <v>86</v>
      </c>
      <c r="J423" s="118" t="s">
        <v>2129</v>
      </c>
      <c r="K423" s="118">
        <v>3</v>
      </c>
      <c r="L423" s="118" t="s">
        <v>5664</v>
      </c>
      <c r="M423" s="115" t="s">
        <v>5665</v>
      </c>
      <c r="N423" s="115" t="s">
        <v>6504</v>
      </c>
      <c r="O423" s="115">
        <v>1.5</v>
      </c>
      <c r="P423" s="115" t="s">
        <v>2128</v>
      </c>
      <c r="Q423" s="166"/>
      <c r="R423" s="164"/>
      <c r="S423" s="164"/>
      <c r="T423" s="164"/>
      <c r="U423" s="164"/>
      <c r="V423" s="162"/>
      <c r="W423" s="158"/>
      <c r="X423" s="158"/>
      <c r="Y423" s="158"/>
      <c r="Z423" s="158"/>
      <c r="AA423" s="158"/>
      <c r="AB423" s="158"/>
      <c r="AC423" s="113">
        <v>600</v>
      </c>
      <c r="AD423" s="113">
        <v>80</v>
      </c>
      <c r="AE423" s="113">
        <v>135</v>
      </c>
      <c r="AF423" s="113">
        <v>130</v>
      </c>
      <c r="AG423" s="120">
        <v>95</v>
      </c>
      <c r="AH423" s="113">
        <v>90</v>
      </c>
      <c r="AI423" s="113">
        <v>70</v>
      </c>
    </row>
    <row r="424" spans="1:35">
      <c r="A424" s="113">
        <v>377</v>
      </c>
      <c r="B424" s="113" t="s">
        <v>404</v>
      </c>
      <c r="C424" s="120" t="s">
        <v>5668</v>
      </c>
      <c r="D424" s="124" t="s">
        <v>1109</v>
      </c>
      <c r="E424" s="124" t="s">
        <v>1109</v>
      </c>
      <c r="F424" s="113" t="s">
        <v>2333</v>
      </c>
      <c r="G424" s="113" t="s">
        <v>2119</v>
      </c>
      <c r="H424" s="113" t="s">
        <v>98</v>
      </c>
      <c r="I424" s="113" t="s">
        <v>1109</v>
      </c>
      <c r="J424" s="118" t="s">
        <v>12</v>
      </c>
      <c r="K424" s="118">
        <v>5</v>
      </c>
      <c r="L424" s="118" t="s">
        <v>5668</v>
      </c>
      <c r="M424" s="115" t="s">
        <v>1109</v>
      </c>
      <c r="N424" s="115" t="s">
        <v>6504</v>
      </c>
      <c r="O424" s="115">
        <v>2</v>
      </c>
      <c r="P424" s="115" t="s">
        <v>1109</v>
      </c>
      <c r="Q424" s="166"/>
      <c r="R424" s="164"/>
      <c r="S424" s="164"/>
      <c r="T424" s="164"/>
      <c r="U424" s="164"/>
      <c r="V424" s="162"/>
      <c r="W424" s="158"/>
      <c r="X424" s="158"/>
      <c r="Y424" s="158"/>
      <c r="Z424" s="158"/>
      <c r="AA424" s="158"/>
      <c r="AB424" s="158"/>
      <c r="AC424" s="113">
        <v>580</v>
      </c>
      <c r="AD424" s="113">
        <v>80</v>
      </c>
      <c r="AE424" s="113">
        <v>100</v>
      </c>
      <c r="AF424" s="113">
        <v>200</v>
      </c>
      <c r="AG424" s="120">
        <v>50</v>
      </c>
      <c r="AH424" s="113">
        <v>100</v>
      </c>
      <c r="AI424" s="113">
        <v>50</v>
      </c>
    </row>
    <row r="425" spans="1:35">
      <c r="A425" s="113">
        <v>378</v>
      </c>
      <c r="B425" s="113" t="s">
        <v>405</v>
      </c>
      <c r="C425" s="120" t="s">
        <v>5669</v>
      </c>
      <c r="D425" s="124" t="s">
        <v>1109</v>
      </c>
      <c r="E425" s="124" t="s">
        <v>1109</v>
      </c>
      <c r="F425" s="113" t="s">
        <v>2333</v>
      </c>
      <c r="G425" s="113" t="s">
        <v>2119</v>
      </c>
      <c r="H425" s="113" t="s">
        <v>113</v>
      </c>
      <c r="I425" s="113" t="s">
        <v>1109</v>
      </c>
      <c r="J425" s="118" t="s">
        <v>12</v>
      </c>
      <c r="K425" s="118">
        <v>5</v>
      </c>
      <c r="L425" s="118" t="s">
        <v>5669</v>
      </c>
      <c r="M425" s="115" t="s">
        <v>1109</v>
      </c>
      <c r="N425" s="115" t="s">
        <v>6504</v>
      </c>
      <c r="O425" s="115">
        <v>2</v>
      </c>
      <c r="P425" s="115" t="s">
        <v>1109</v>
      </c>
      <c r="Q425" s="166"/>
      <c r="R425" s="164"/>
      <c r="S425" s="164"/>
      <c r="T425" s="164"/>
      <c r="U425" s="164"/>
      <c r="V425" s="162"/>
      <c r="W425" s="158"/>
      <c r="X425" s="158"/>
      <c r="Y425" s="158"/>
      <c r="Z425" s="158"/>
      <c r="AA425" s="158"/>
      <c r="AB425" s="158"/>
      <c r="AC425" s="113">
        <v>580</v>
      </c>
      <c r="AD425" s="113">
        <v>80</v>
      </c>
      <c r="AE425" s="113">
        <v>50</v>
      </c>
      <c r="AF425" s="113">
        <v>100</v>
      </c>
      <c r="AG425" s="120">
        <v>100</v>
      </c>
      <c r="AH425" s="113">
        <v>200</v>
      </c>
      <c r="AI425" s="113">
        <v>50</v>
      </c>
    </row>
    <row r="426" spans="1:35">
      <c r="A426" s="113">
        <v>379</v>
      </c>
      <c r="B426" s="113" t="s">
        <v>406</v>
      </c>
      <c r="C426" s="120" t="s">
        <v>5670</v>
      </c>
      <c r="D426" s="124" t="s">
        <v>1109</v>
      </c>
      <c r="E426" s="124" t="s">
        <v>1109</v>
      </c>
      <c r="F426" s="113" t="s">
        <v>2333</v>
      </c>
      <c r="G426" s="113" t="s">
        <v>2119</v>
      </c>
      <c r="H426" s="113" t="s">
        <v>106</v>
      </c>
      <c r="I426" s="113" t="s">
        <v>1109</v>
      </c>
      <c r="J426" s="118" t="s">
        <v>12</v>
      </c>
      <c r="K426" s="118">
        <v>5</v>
      </c>
      <c r="L426" s="118" t="s">
        <v>5670</v>
      </c>
      <c r="M426" s="115" t="s">
        <v>1109</v>
      </c>
      <c r="N426" s="115" t="s">
        <v>6504</v>
      </c>
      <c r="O426" s="115">
        <v>2</v>
      </c>
      <c r="P426" s="115" t="s">
        <v>1109</v>
      </c>
      <c r="Q426" s="166"/>
      <c r="R426" s="164"/>
      <c r="S426" s="164"/>
      <c r="T426" s="164"/>
      <c r="U426" s="164"/>
      <c r="V426" s="162"/>
      <c r="W426" s="158"/>
      <c r="X426" s="158"/>
      <c r="Y426" s="158"/>
      <c r="Z426" s="158"/>
      <c r="AA426" s="158"/>
      <c r="AB426" s="158"/>
      <c r="AC426" s="113">
        <v>580</v>
      </c>
      <c r="AD426" s="113">
        <v>80</v>
      </c>
      <c r="AE426" s="113">
        <v>75</v>
      </c>
      <c r="AF426" s="113">
        <v>150</v>
      </c>
      <c r="AG426" s="120">
        <v>75</v>
      </c>
      <c r="AH426" s="113">
        <v>150</v>
      </c>
      <c r="AI426" s="113">
        <v>50</v>
      </c>
    </row>
    <row r="427" spans="1:35">
      <c r="A427" s="113">
        <v>380</v>
      </c>
      <c r="B427" s="113" t="s">
        <v>407</v>
      </c>
      <c r="C427" s="120" t="s">
        <v>5671</v>
      </c>
      <c r="D427" s="124">
        <v>0</v>
      </c>
      <c r="E427" s="124">
        <v>1</v>
      </c>
      <c r="F427" s="113" t="s">
        <v>2333</v>
      </c>
      <c r="G427" s="113" t="s">
        <v>2119</v>
      </c>
      <c r="H427" s="113" t="s">
        <v>23</v>
      </c>
      <c r="I427" s="113" t="s">
        <v>86</v>
      </c>
      <c r="J427" s="118" t="s">
        <v>12</v>
      </c>
      <c r="K427" s="118">
        <v>5</v>
      </c>
      <c r="L427" s="118" t="s">
        <v>5671</v>
      </c>
      <c r="M427" s="115" t="s">
        <v>1109</v>
      </c>
      <c r="N427" s="115" t="s">
        <v>6504</v>
      </c>
      <c r="O427" s="115">
        <v>2</v>
      </c>
      <c r="P427" s="115" t="s">
        <v>1109</v>
      </c>
      <c r="Q427" s="166"/>
      <c r="R427" s="164"/>
      <c r="S427" s="164"/>
      <c r="T427" s="164"/>
      <c r="U427" s="164"/>
      <c r="V427" s="162"/>
      <c r="W427" s="158"/>
      <c r="X427" s="158"/>
      <c r="Y427" s="158"/>
      <c r="Z427" s="158"/>
      <c r="AA427" s="158"/>
      <c r="AB427" s="158"/>
      <c r="AC427" s="113">
        <v>600</v>
      </c>
      <c r="AD427" s="113">
        <v>80</v>
      </c>
      <c r="AE427" s="113">
        <v>80</v>
      </c>
      <c r="AF427" s="113">
        <v>90</v>
      </c>
      <c r="AG427" s="120">
        <v>110</v>
      </c>
      <c r="AH427" s="113">
        <v>130</v>
      </c>
      <c r="AI427" s="113">
        <v>110</v>
      </c>
    </row>
    <row r="428" spans="1:35">
      <c r="A428" s="113">
        <v>381</v>
      </c>
      <c r="B428" s="113" t="s">
        <v>408</v>
      </c>
      <c r="C428" s="120" t="s">
        <v>5673</v>
      </c>
      <c r="D428" s="124">
        <v>1</v>
      </c>
      <c r="E428" s="124">
        <v>0</v>
      </c>
      <c r="F428" s="113" t="s">
        <v>2333</v>
      </c>
      <c r="G428" s="113" t="s">
        <v>2119</v>
      </c>
      <c r="H428" s="113" t="s">
        <v>23</v>
      </c>
      <c r="I428" s="113" t="s">
        <v>86</v>
      </c>
      <c r="J428" s="118" t="s">
        <v>12</v>
      </c>
      <c r="K428" s="118">
        <v>5</v>
      </c>
      <c r="L428" s="118" t="s">
        <v>5673</v>
      </c>
      <c r="M428" s="115" t="s">
        <v>1109</v>
      </c>
      <c r="N428" s="115" t="s">
        <v>6504</v>
      </c>
      <c r="O428" s="115">
        <v>2</v>
      </c>
      <c r="P428" s="115" t="s">
        <v>1109</v>
      </c>
      <c r="Q428" s="166"/>
      <c r="R428" s="164"/>
      <c r="S428" s="164"/>
      <c r="T428" s="164"/>
      <c r="U428" s="164"/>
      <c r="V428" s="162"/>
      <c r="W428" s="158"/>
      <c r="X428" s="158"/>
      <c r="Y428" s="158"/>
      <c r="Z428" s="158"/>
      <c r="AA428" s="158"/>
      <c r="AB428" s="158"/>
      <c r="AC428" s="113">
        <v>600</v>
      </c>
      <c r="AD428" s="113">
        <v>80</v>
      </c>
      <c r="AE428" s="113">
        <v>90</v>
      </c>
      <c r="AF428" s="113">
        <v>80</v>
      </c>
      <c r="AG428" s="120">
        <v>130</v>
      </c>
      <c r="AH428" s="113">
        <v>110</v>
      </c>
      <c r="AI428" s="113">
        <v>110</v>
      </c>
    </row>
    <row r="429" spans="1:35">
      <c r="A429" s="113">
        <v>382</v>
      </c>
      <c r="B429" s="113" t="s">
        <v>409</v>
      </c>
      <c r="C429" s="120" t="s">
        <v>5675</v>
      </c>
      <c r="D429" s="124" t="s">
        <v>1109</v>
      </c>
      <c r="E429" s="124" t="s">
        <v>1109</v>
      </c>
      <c r="F429" s="113" t="s">
        <v>2333</v>
      </c>
      <c r="G429" s="113" t="s">
        <v>2119</v>
      </c>
      <c r="H429" s="113" t="s">
        <v>25</v>
      </c>
      <c r="I429" s="113" t="s">
        <v>1109</v>
      </c>
      <c r="J429" s="118" t="s">
        <v>12</v>
      </c>
      <c r="K429" s="118">
        <v>5</v>
      </c>
      <c r="L429" s="118" t="s">
        <v>5675</v>
      </c>
      <c r="M429" s="115" t="s">
        <v>1109</v>
      </c>
      <c r="N429" s="115" t="s">
        <v>6504</v>
      </c>
      <c r="O429" s="115">
        <v>2</v>
      </c>
      <c r="P429" s="115" t="s">
        <v>1109</v>
      </c>
      <c r="Q429" s="166"/>
      <c r="R429" s="164"/>
      <c r="S429" s="164"/>
      <c r="T429" s="164"/>
      <c r="U429" s="164"/>
      <c r="V429" s="162"/>
      <c r="W429" s="158"/>
      <c r="X429" s="158"/>
      <c r="Y429" s="158"/>
      <c r="Z429" s="158"/>
      <c r="AA429" s="158"/>
      <c r="AB429" s="158"/>
      <c r="AC429" s="113">
        <v>670</v>
      </c>
      <c r="AD429" s="113">
        <v>100</v>
      </c>
      <c r="AE429" s="113">
        <v>100</v>
      </c>
      <c r="AF429" s="113">
        <v>90</v>
      </c>
      <c r="AG429" s="120">
        <v>150</v>
      </c>
      <c r="AH429" s="113">
        <v>140</v>
      </c>
      <c r="AI429" s="113">
        <v>90</v>
      </c>
    </row>
    <row r="430" spans="1:35">
      <c r="A430" s="113">
        <v>383</v>
      </c>
      <c r="B430" s="113" t="s">
        <v>411</v>
      </c>
      <c r="C430" s="120" t="s">
        <v>5677</v>
      </c>
      <c r="D430" s="124" t="s">
        <v>1109</v>
      </c>
      <c r="E430" s="124" t="s">
        <v>1109</v>
      </c>
      <c r="F430" s="113" t="s">
        <v>2333</v>
      </c>
      <c r="G430" s="113" t="s">
        <v>2119</v>
      </c>
      <c r="H430" s="113" t="s">
        <v>49</v>
      </c>
      <c r="I430" s="113" t="s">
        <v>1109</v>
      </c>
      <c r="J430" s="118" t="s">
        <v>12</v>
      </c>
      <c r="K430" s="118">
        <v>5</v>
      </c>
      <c r="L430" s="118" t="s">
        <v>5677</v>
      </c>
      <c r="M430" s="115" t="s">
        <v>1109</v>
      </c>
      <c r="N430" s="115" t="s">
        <v>6504</v>
      </c>
      <c r="O430" s="115">
        <v>2</v>
      </c>
      <c r="P430" s="115" t="s">
        <v>1109</v>
      </c>
      <c r="Q430" s="166"/>
      <c r="R430" s="164"/>
      <c r="S430" s="164"/>
      <c r="T430" s="164"/>
      <c r="U430" s="164"/>
      <c r="V430" s="162"/>
      <c r="W430" s="158"/>
      <c r="X430" s="158"/>
      <c r="Y430" s="158"/>
      <c r="Z430" s="158"/>
      <c r="AA430" s="158"/>
      <c r="AB430" s="158"/>
      <c r="AC430" s="113">
        <v>670</v>
      </c>
      <c r="AD430" s="113">
        <v>100</v>
      </c>
      <c r="AE430" s="113">
        <v>150</v>
      </c>
      <c r="AF430" s="113">
        <v>140</v>
      </c>
      <c r="AG430" s="120">
        <v>100</v>
      </c>
      <c r="AH430" s="113">
        <v>90</v>
      </c>
      <c r="AI430" s="113">
        <v>90</v>
      </c>
    </row>
    <row r="431" spans="1:35">
      <c r="A431" s="113">
        <v>384</v>
      </c>
      <c r="B431" s="113" t="s">
        <v>413</v>
      </c>
      <c r="C431" s="120" t="s">
        <v>5679</v>
      </c>
      <c r="D431" s="124" t="s">
        <v>1109</v>
      </c>
      <c r="E431" s="124" t="s">
        <v>1109</v>
      </c>
      <c r="F431" s="113" t="s">
        <v>2333</v>
      </c>
      <c r="G431" s="113" t="s">
        <v>2119</v>
      </c>
      <c r="H431" s="113" t="s">
        <v>23</v>
      </c>
      <c r="I431" s="113" t="s">
        <v>22</v>
      </c>
      <c r="J431" s="118" t="s">
        <v>12</v>
      </c>
      <c r="K431" s="118">
        <v>5</v>
      </c>
      <c r="L431" s="118" t="s">
        <v>5679</v>
      </c>
      <c r="M431" s="115" t="s">
        <v>1109</v>
      </c>
      <c r="N431" s="115" t="s">
        <v>6504</v>
      </c>
      <c r="O431" s="115">
        <v>2</v>
      </c>
      <c r="P431" s="115" t="s">
        <v>1109</v>
      </c>
      <c r="Q431" s="166"/>
      <c r="R431" s="164"/>
      <c r="S431" s="164"/>
      <c r="T431" s="164"/>
      <c r="U431" s="164"/>
      <c r="V431" s="162"/>
      <c r="W431" s="158"/>
      <c r="X431" s="158"/>
      <c r="Y431" s="158"/>
      <c r="Z431" s="158"/>
      <c r="AA431" s="158"/>
      <c r="AB431" s="158"/>
      <c r="AC431" s="113">
        <v>680</v>
      </c>
      <c r="AD431" s="113">
        <v>105</v>
      </c>
      <c r="AE431" s="113">
        <v>150</v>
      </c>
      <c r="AF431" s="113">
        <v>90</v>
      </c>
      <c r="AG431" s="120">
        <v>150</v>
      </c>
      <c r="AH431" s="113">
        <v>90</v>
      </c>
      <c r="AI431" s="113">
        <v>95</v>
      </c>
    </row>
    <row r="432" spans="1:35">
      <c r="A432" s="113">
        <v>385</v>
      </c>
      <c r="B432" s="113" t="s">
        <v>414</v>
      </c>
      <c r="C432" s="120" t="s">
        <v>5681</v>
      </c>
      <c r="D432" s="124" t="s">
        <v>1109</v>
      </c>
      <c r="E432" s="124" t="s">
        <v>1109</v>
      </c>
      <c r="F432" s="113" t="s">
        <v>2333</v>
      </c>
      <c r="G432" s="113" t="s">
        <v>2119</v>
      </c>
      <c r="H432" s="113" t="s">
        <v>106</v>
      </c>
      <c r="I432" s="113" t="s">
        <v>86</v>
      </c>
      <c r="J432" s="118" t="s">
        <v>12</v>
      </c>
      <c r="K432" s="118">
        <v>5</v>
      </c>
      <c r="L432" s="118" t="s">
        <v>5681</v>
      </c>
      <c r="M432" s="115" t="s">
        <v>1109</v>
      </c>
      <c r="N432" s="115" t="s">
        <v>6504</v>
      </c>
      <c r="O432" s="115">
        <v>2</v>
      </c>
      <c r="P432" s="115" t="s">
        <v>1109</v>
      </c>
      <c r="Q432" s="166"/>
      <c r="R432" s="164"/>
      <c r="S432" s="164"/>
      <c r="T432" s="164"/>
      <c r="U432" s="164"/>
      <c r="V432" s="162"/>
      <c r="W432" s="158"/>
      <c r="X432" s="158"/>
      <c r="Y432" s="158"/>
      <c r="Z432" s="158"/>
      <c r="AA432" s="158"/>
      <c r="AB432" s="158"/>
      <c r="AC432" s="113">
        <v>600</v>
      </c>
      <c r="AD432" s="113">
        <v>100</v>
      </c>
      <c r="AE432" s="113">
        <v>100</v>
      </c>
      <c r="AF432" s="113">
        <v>100</v>
      </c>
      <c r="AG432" s="120">
        <v>100</v>
      </c>
      <c r="AH432" s="113">
        <v>100</v>
      </c>
      <c r="AI432" s="113">
        <v>100</v>
      </c>
    </row>
    <row r="433" spans="1:35">
      <c r="A433" s="113">
        <v>386</v>
      </c>
      <c r="B433" s="113" t="s">
        <v>2133</v>
      </c>
      <c r="C433" s="120" t="s">
        <v>5682</v>
      </c>
      <c r="D433" s="124" t="s">
        <v>1109</v>
      </c>
      <c r="E433" s="124" t="s">
        <v>1109</v>
      </c>
      <c r="F433" s="113" t="s">
        <v>2333</v>
      </c>
      <c r="G433" s="113" t="s">
        <v>2119</v>
      </c>
      <c r="H433" s="113" t="s">
        <v>86</v>
      </c>
      <c r="I433" s="113" t="s">
        <v>1109</v>
      </c>
      <c r="J433" s="118" t="s">
        <v>12</v>
      </c>
      <c r="K433" s="118">
        <v>5</v>
      </c>
      <c r="L433" s="118" t="s">
        <v>5682</v>
      </c>
      <c r="M433" s="115" t="s">
        <v>1109</v>
      </c>
      <c r="N433" s="115" t="s">
        <v>6504</v>
      </c>
      <c r="O433" s="115">
        <v>2</v>
      </c>
      <c r="P433" s="115" t="s">
        <v>1109</v>
      </c>
      <c r="Q433" s="166"/>
      <c r="R433" s="164"/>
      <c r="S433" s="164"/>
      <c r="T433" s="164"/>
      <c r="U433" s="164"/>
      <c r="V433" s="162"/>
      <c r="W433" s="158"/>
      <c r="X433" s="158"/>
      <c r="Y433" s="158"/>
      <c r="Z433" s="158"/>
      <c r="AA433" s="158"/>
      <c r="AB433" s="158"/>
      <c r="AC433" s="113">
        <v>600</v>
      </c>
      <c r="AD433" s="113">
        <v>50</v>
      </c>
      <c r="AE433" s="113">
        <v>150</v>
      </c>
      <c r="AF433" s="113">
        <v>50</v>
      </c>
      <c r="AG433" s="120">
        <v>150</v>
      </c>
      <c r="AH433" s="113">
        <v>50</v>
      </c>
      <c r="AI433" s="113">
        <v>150</v>
      </c>
    </row>
    <row r="434" spans="1:35">
      <c r="A434" s="113">
        <v>386</v>
      </c>
      <c r="B434" s="113" t="s">
        <v>2948</v>
      </c>
      <c r="C434" s="120" t="s">
        <v>5683</v>
      </c>
      <c r="D434" s="124" t="s">
        <v>1109</v>
      </c>
      <c r="E434" s="124" t="s">
        <v>1109</v>
      </c>
      <c r="F434" s="113" t="s">
        <v>2333</v>
      </c>
      <c r="G434" s="113" t="s">
        <v>2119</v>
      </c>
      <c r="H434" s="113" t="s">
        <v>86</v>
      </c>
      <c r="I434" s="113" t="s">
        <v>1109</v>
      </c>
      <c r="J434" s="118" t="s">
        <v>12</v>
      </c>
      <c r="K434" s="118">
        <v>5</v>
      </c>
      <c r="L434" s="118" t="s">
        <v>5682</v>
      </c>
      <c r="M434" s="115" t="s">
        <v>1109</v>
      </c>
      <c r="N434" s="115" t="s">
        <v>6504</v>
      </c>
      <c r="O434" s="115">
        <v>2</v>
      </c>
      <c r="P434" s="115" t="s">
        <v>1109</v>
      </c>
      <c r="Q434" s="166"/>
      <c r="R434" s="164"/>
      <c r="S434" s="164"/>
      <c r="T434" s="164"/>
      <c r="U434" s="164"/>
      <c r="V434" s="162"/>
      <c r="W434" s="158"/>
      <c r="X434" s="158"/>
      <c r="Y434" s="158"/>
      <c r="Z434" s="158"/>
      <c r="AA434" s="158"/>
      <c r="AB434" s="158"/>
      <c r="AC434" s="113">
        <v>600</v>
      </c>
      <c r="AD434" s="113">
        <v>50</v>
      </c>
      <c r="AE434" s="113">
        <v>180</v>
      </c>
      <c r="AF434" s="113">
        <v>20</v>
      </c>
      <c r="AG434" s="120">
        <v>180</v>
      </c>
      <c r="AH434" s="113">
        <v>20</v>
      </c>
      <c r="AI434" s="113">
        <v>150</v>
      </c>
    </row>
    <row r="435" spans="1:35">
      <c r="A435" s="113">
        <v>386</v>
      </c>
      <c r="B435" s="113" t="s">
        <v>2950</v>
      </c>
      <c r="C435" s="120" t="s">
        <v>5684</v>
      </c>
      <c r="D435" s="124" t="s">
        <v>1109</v>
      </c>
      <c r="E435" s="124" t="s">
        <v>1109</v>
      </c>
      <c r="F435" s="113" t="s">
        <v>2333</v>
      </c>
      <c r="G435" s="113" t="s">
        <v>2119</v>
      </c>
      <c r="H435" s="113" t="s">
        <v>86</v>
      </c>
      <c r="I435" s="113" t="s">
        <v>1109</v>
      </c>
      <c r="J435" s="118" t="s">
        <v>12</v>
      </c>
      <c r="K435" s="118">
        <v>5</v>
      </c>
      <c r="L435" s="118" t="s">
        <v>5682</v>
      </c>
      <c r="M435" s="115" t="s">
        <v>1109</v>
      </c>
      <c r="N435" s="115" t="s">
        <v>6504</v>
      </c>
      <c r="O435" s="115">
        <v>2</v>
      </c>
      <c r="P435" s="115" t="s">
        <v>1109</v>
      </c>
      <c r="Q435" s="166"/>
      <c r="R435" s="164"/>
      <c r="S435" s="164"/>
      <c r="T435" s="164"/>
      <c r="U435" s="164"/>
      <c r="V435" s="162"/>
      <c r="W435" s="158"/>
      <c r="X435" s="158"/>
      <c r="Y435" s="158"/>
      <c r="Z435" s="158"/>
      <c r="AA435" s="158"/>
      <c r="AB435" s="158"/>
      <c r="AC435" s="113">
        <v>600</v>
      </c>
      <c r="AD435" s="113">
        <v>50</v>
      </c>
      <c r="AE435" s="113">
        <v>70</v>
      </c>
      <c r="AF435" s="113">
        <v>160</v>
      </c>
      <c r="AG435" s="120">
        <v>70</v>
      </c>
      <c r="AH435" s="113">
        <v>160</v>
      </c>
      <c r="AI435" s="113">
        <v>90</v>
      </c>
    </row>
    <row r="436" spans="1:35">
      <c r="A436" s="113">
        <v>386</v>
      </c>
      <c r="B436" s="113" t="s">
        <v>2952</v>
      </c>
      <c r="C436" s="120" t="s">
        <v>5685</v>
      </c>
      <c r="D436" s="124" t="s">
        <v>1109</v>
      </c>
      <c r="E436" s="124" t="s">
        <v>1109</v>
      </c>
      <c r="F436" s="113" t="s">
        <v>2333</v>
      </c>
      <c r="G436" s="113" t="s">
        <v>2119</v>
      </c>
      <c r="H436" s="113" t="s">
        <v>86</v>
      </c>
      <c r="I436" s="113" t="s">
        <v>1109</v>
      </c>
      <c r="J436" s="118" t="s">
        <v>12</v>
      </c>
      <c r="K436" s="118">
        <v>5</v>
      </c>
      <c r="L436" s="118" t="s">
        <v>5682</v>
      </c>
      <c r="M436" s="115" t="s">
        <v>1109</v>
      </c>
      <c r="N436" s="115" t="s">
        <v>6504</v>
      </c>
      <c r="O436" s="115">
        <v>2</v>
      </c>
      <c r="P436" s="115" t="s">
        <v>1109</v>
      </c>
      <c r="Q436" s="166"/>
      <c r="R436" s="164"/>
      <c r="S436" s="164"/>
      <c r="T436" s="164"/>
      <c r="U436" s="164"/>
      <c r="V436" s="162"/>
      <c r="W436" s="158"/>
      <c r="X436" s="158"/>
      <c r="Y436" s="158"/>
      <c r="Z436" s="158"/>
      <c r="AA436" s="158"/>
      <c r="AB436" s="158"/>
      <c r="AC436" s="113">
        <v>600</v>
      </c>
      <c r="AD436" s="113">
        <v>50</v>
      </c>
      <c r="AE436" s="113">
        <v>95</v>
      </c>
      <c r="AF436" s="113">
        <v>90</v>
      </c>
      <c r="AG436" s="120">
        <v>95</v>
      </c>
      <c r="AH436" s="113">
        <v>90</v>
      </c>
      <c r="AI436" s="113">
        <v>180</v>
      </c>
    </row>
    <row r="437" spans="1:35">
      <c r="A437" s="113">
        <v>387</v>
      </c>
      <c r="B437" s="113" t="s">
        <v>419</v>
      </c>
      <c r="C437" s="120" t="s">
        <v>5686</v>
      </c>
      <c r="D437" s="124">
        <v>0.85</v>
      </c>
      <c r="E437" s="124">
        <v>0.15</v>
      </c>
      <c r="F437" s="113" t="s">
        <v>14</v>
      </c>
      <c r="G437" s="113" t="s">
        <v>2120</v>
      </c>
      <c r="H437" s="113" t="s">
        <v>14</v>
      </c>
      <c r="I437" s="113" t="s">
        <v>1109</v>
      </c>
      <c r="J437" s="118" t="s">
        <v>792</v>
      </c>
      <c r="K437" s="118">
        <v>4</v>
      </c>
      <c r="L437" s="118" t="s">
        <v>5686</v>
      </c>
      <c r="M437" s="115" t="s">
        <v>1109</v>
      </c>
      <c r="N437" s="115" t="s">
        <v>6505</v>
      </c>
      <c r="O437" s="115">
        <v>1.75</v>
      </c>
      <c r="P437" s="115" t="s">
        <v>1109</v>
      </c>
      <c r="Q437" s="166"/>
      <c r="R437" s="164"/>
      <c r="S437" s="164"/>
      <c r="T437" s="164"/>
      <c r="U437" s="164"/>
      <c r="V437" s="162"/>
      <c r="W437" s="158"/>
      <c r="X437" s="158"/>
      <c r="Y437" s="158"/>
      <c r="Z437" s="158"/>
      <c r="AA437" s="158"/>
      <c r="AB437" s="158"/>
      <c r="AC437" s="113">
        <v>318</v>
      </c>
      <c r="AD437" s="113">
        <v>55</v>
      </c>
      <c r="AE437" s="113">
        <v>68</v>
      </c>
      <c r="AF437" s="113">
        <v>64</v>
      </c>
      <c r="AG437" s="120">
        <v>45</v>
      </c>
      <c r="AH437" s="113">
        <v>55</v>
      </c>
      <c r="AI437" s="113">
        <v>31</v>
      </c>
    </row>
    <row r="438" spans="1:35">
      <c r="A438" s="113">
        <v>388</v>
      </c>
      <c r="B438" s="113" t="s">
        <v>420</v>
      </c>
      <c r="C438" s="120" t="s">
        <v>5687</v>
      </c>
      <c r="D438" s="124">
        <v>0.85</v>
      </c>
      <c r="E438" s="124">
        <v>0.15</v>
      </c>
      <c r="F438" s="113" t="s">
        <v>14</v>
      </c>
      <c r="G438" s="113" t="s">
        <v>2120</v>
      </c>
      <c r="H438" s="113" t="s">
        <v>14</v>
      </c>
      <c r="I438" s="113" t="s">
        <v>1109</v>
      </c>
      <c r="J438" s="118" t="s">
        <v>792</v>
      </c>
      <c r="K438" s="118">
        <v>4</v>
      </c>
      <c r="L438" s="118" t="s">
        <v>5686</v>
      </c>
      <c r="M438" s="115" t="s">
        <v>5686</v>
      </c>
      <c r="N438" s="115" t="s">
        <v>6506</v>
      </c>
      <c r="O438" s="115">
        <v>1.75</v>
      </c>
      <c r="P438" s="115" t="s">
        <v>2128</v>
      </c>
      <c r="Q438" s="166"/>
      <c r="R438" s="164"/>
      <c r="S438" s="164"/>
      <c r="T438" s="164"/>
      <c r="U438" s="164"/>
      <c r="V438" s="162"/>
      <c r="W438" s="158"/>
      <c r="X438" s="158"/>
      <c r="Y438" s="158"/>
      <c r="Z438" s="158"/>
      <c r="AA438" s="158"/>
      <c r="AB438" s="158"/>
      <c r="AC438" s="113">
        <v>405</v>
      </c>
      <c r="AD438" s="113">
        <v>75</v>
      </c>
      <c r="AE438" s="113">
        <v>89</v>
      </c>
      <c r="AF438" s="113">
        <v>85</v>
      </c>
      <c r="AG438" s="120">
        <v>55</v>
      </c>
      <c r="AH438" s="113">
        <v>65</v>
      </c>
      <c r="AI438" s="113">
        <v>36</v>
      </c>
    </row>
    <row r="439" spans="1:35">
      <c r="A439" s="113">
        <v>389</v>
      </c>
      <c r="B439" s="113" t="s">
        <v>421</v>
      </c>
      <c r="C439" s="120" t="s">
        <v>5688</v>
      </c>
      <c r="D439" s="124">
        <v>0.85</v>
      </c>
      <c r="E439" s="124">
        <v>0.15</v>
      </c>
      <c r="F439" s="113" t="s">
        <v>14</v>
      </c>
      <c r="G439" s="113" t="s">
        <v>2120</v>
      </c>
      <c r="H439" s="113" t="s">
        <v>14</v>
      </c>
      <c r="I439" s="113" t="s">
        <v>49</v>
      </c>
      <c r="J439" s="118" t="s">
        <v>792</v>
      </c>
      <c r="K439" s="118">
        <v>4</v>
      </c>
      <c r="L439" s="118" t="s">
        <v>5686</v>
      </c>
      <c r="M439" s="115" t="s">
        <v>5687</v>
      </c>
      <c r="N439" s="115" t="s">
        <v>6504</v>
      </c>
      <c r="O439" s="115">
        <v>1.75</v>
      </c>
      <c r="P439" s="115" t="s">
        <v>2128</v>
      </c>
      <c r="Q439" s="166"/>
      <c r="R439" s="164"/>
      <c r="S439" s="164"/>
      <c r="T439" s="164"/>
      <c r="U439" s="164"/>
      <c r="V439" s="162"/>
      <c r="W439" s="158"/>
      <c r="X439" s="158"/>
      <c r="Y439" s="158"/>
      <c r="Z439" s="158"/>
      <c r="AA439" s="158"/>
      <c r="AB439" s="158"/>
      <c r="AC439" s="113">
        <v>525</v>
      </c>
      <c r="AD439" s="113">
        <v>95</v>
      </c>
      <c r="AE439" s="113">
        <v>109</v>
      </c>
      <c r="AF439" s="113">
        <v>105</v>
      </c>
      <c r="AG439" s="120">
        <v>75</v>
      </c>
      <c r="AH439" s="113">
        <v>85</v>
      </c>
      <c r="AI439" s="113">
        <v>56</v>
      </c>
    </row>
    <row r="440" spans="1:35">
      <c r="A440" s="113">
        <v>390</v>
      </c>
      <c r="B440" s="113" t="s">
        <v>422</v>
      </c>
      <c r="C440" s="120" t="s">
        <v>5689</v>
      </c>
      <c r="D440" s="124">
        <v>0.85</v>
      </c>
      <c r="E440" s="124">
        <v>0.15</v>
      </c>
      <c r="F440" s="113" t="s">
        <v>2334</v>
      </c>
      <c r="G440" s="113" t="s">
        <v>2120</v>
      </c>
      <c r="H440" s="113" t="s">
        <v>19</v>
      </c>
      <c r="I440" s="113" t="s">
        <v>1109</v>
      </c>
      <c r="J440" s="118" t="s">
        <v>792</v>
      </c>
      <c r="K440" s="118">
        <v>4</v>
      </c>
      <c r="L440" s="118" t="s">
        <v>5689</v>
      </c>
      <c r="M440" s="115" t="s">
        <v>1109</v>
      </c>
      <c r="N440" s="115" t="s">
        <v>6505</v>
      </c>
      <c r="O440" s="115">
        <v>1.75</v>
      </c>
      <c r="P440" s="115" t="s">
        <v>1109</v>
      </c>
      <c r="Q440" s="166"/>
      <c r="R440" s="164"/>
      <c r="S440" s="164"/>
      <c r="T440" s="164"/>
      <c r="U440" s="164"/>
      <c r="V440" s="162"/>
      <c r="W440" s="158"/>
      <c r="X440" s="158"/>
      <c r="Y440" s="158"/>
      <c r="Z440" s="158"/>
      <c r="AA440" s="158"/>
      <c r="AB440" s="158"/>
      <c r="AC440" s="113">
        <v>309</v>
      </c>
      <c r="AD440" s="113">
        <v>44</v>
      </c>
      <c r="AE440" s="113">
        <v>58</v>
      </c>
      <c r="AF440" s="113">
        <v>44</v>
      </c>
      <c r="AG440" s="120">
        <v>58</v>
      </c>
      <c r="AH440" s="113">
        <v>44</v>
      </c>
      <c r="AI440" s="113">
        <v>61</v>
      </c>
    </row>
    <row r="441" spans="1:35">
      <c r="A441" s="113">
        <v>391</v>
      </c>
      <c r="B441" s="113" t="s">
        <v>423</v>
      </c>
      <c r="C441" s="120" t="s">
        <v>5690</v>
      </c>
      <c r="D441" s="124">
        <v>0.85</v>
      </c>
      <c r="E441" s="124">
        <v>0.15</v>
      </c>
      <c r="F441" s="113" t="s">
        <v>2334</v>
      </c>
      <c r="G441" s="113" t="s">
        <v>2120</v>
      </c>
      <c r="H441" s="113" t="s">
        <v>19</v>
      </c>
      <c r="I441" s="113" t="s">
        <v>78</v>
      </c>
      <c r="J441" s="118" t="s">
        <v>792</v>
      </c>
      <c r="K441" s="118">
        <v>4</v>
      </c>
      <c r="L441" s="118" t="s">
        <v>5689</v>
      </c>
      <c r="M441" s="115" t="s">
        <v>5689</v>
      </c>
      <c r="N441" s="115" t="s">
        <v>6506</v>
      </c>
      <c r="O441" s="115">
        <v>1.75</v>
      </c>
      <c r="P441" s="115" t="s">
        <v>2128</v>
      </c>
      <c r="Q441" s="166"/>
      <c r="R441" s="164"/>
      <c r="S441" s="164"/>
      <c r="T441" s="164"/>
      <c r="U441" s="164"/>
      <c r="V441" s="162"/>
      <c r="W441" s="158"/>
      <c r="X441" s="158"/>
      <c r="Y441" s="158"/>
      <c r="Z441" s="158"/>
      <c r="AA441" s="158"/>
      <c r="AB441" s="158"/>
      <c r="AC441" s="113">
        <v>405</v>
      </c>
      <c r="AD441" s="113">
        <v>64</v>
      </c>
      <c r="AE441" s="113">
        <v>78</v>
      </c>
      <c r="AF441" s="113">
        <v>52</v>
      </c>
      <c r="AG441" s="120">
        <v>78</v>
      </c>
      <c r="AH441" s="113">
        <v>52</v>
      </c>
      <c r="AI441" s="113">
        <v>81</v>
      </c>
    </row>
    <row r="442" spans="1:35">
      <c r="A442" s="113">
        <v>392</v>
      </c>
      <c r="B442" s="113" t="s">
        <v>424</v>
      </c>
      <c r="C442" s="120" t="s">
        <v>5691</v>
      </c>
      <c r="D442" s="124">
        <v>0.85</v>
      </c>
      <c r="E442" s="124">
        <v>0.15</v>
      </c>
      <c r="F442" s="113" t="s">
        <v>2334</v>
      </c>
      <c r="G442" s="113" t="s">
        <v>2120</v>
      </c>
      <c r="H442" s="113" t="s">
        <v>19</v>
      </c>
      <c r="I442" s="113" t="s">
        <v>78</v>
      </c>
      <c r="J442" s="118" t="s">
        <v>792</v>
      </c>
      <c r="K442" s="118">
        <v>4</v>
      </c>
      <c r="L442" s="118" t="s">
        <v>5689</v>
      </c>
      <c r="M442" s="115" t="s">
        <v>5690</v>
      </c>
      <c r="N442" s="115" t="s">
        <v>6504</v>
      </c>
      <c r="O442" s="115">
        <v>1.75</v>
      </c>
      <c r="P442" s="115" t="s">
        <v>2128</v>
      </c>
      <c r="Q442" s="166"/>
      <c r="R442" s="164"/>
      <c r="S442" s="164"/>
      <c r="T442" s="164"/>
      <c r="U442" s="164"/>
      <c r="V442" s="162"/>
      <c r="W442" s="158"/>
      <c r="X442" s="158"/>
      <c r="Y442" s="158"/>
      <c r="Z442" s="158"/>
      <c r="AA442" s="158"/>
      <c r="AB442" s="158"/>
      <c r="AC442" s="113">
        <v>534</v>
      </c>
      <c r="AD442" s="113">
        <v>76</v>
      </c>
      <c r="AE442" s="113">
        <v>104</v>
      </c>
      <c r="AF442" s="113">
        <v>71</v>
      </c>
      <c r="AG442" s="120">
        <v>104</v>
      </c>
      <c r="AH442" s="113">
        <v>71</v>
      </c>
      <c r="AI442" s="113">
        <v>108</v>
      </c>
    </row>
    <row r="443" spans="1:35">
      <c r="A443" s="113">
        <v>393</v>
      </c>
      <c r="B443" s="113" t="s">
        <v>425</v>
      </c>
      <c r="C443" s="120" t="s">
        <v>5692</v>
      </c>
      <c r="D443" s="124">
        <v>0.85</v>
      </c>
      <c r="E443" s="124">
        <v>0.15</v>
      </c>
      <c r="F443" s="113" t="s">
        <v>2331</v>
      </c>
      <c r="G443" s="113" t="s">
        <v>2120</v>
      </c>
      <c r="H443" s="113" t="s">
        <v>25</v>
      </c>
      <c r="I443" s="113" t="s">
        <v>1109</v>
      </c>
      <c r="J443" s="118" t="s">
        <v>792</v>
      </c>
      <c r="K443" s="118">
        <v>4</v>
      </c>
      <c r="L443" s="118" t="s">
        <v>5692</v>
      </c>
      <c r="M443" s="115" t="s">
        <v>1109</v>
      </c>
      <c r="N443" s="115" t="s">
        <v>6505</v>
      </c>
      <c r="O443" s="115">
        <v>1.75</v>
      </c>
      <c r="P443" s="115" t="s">
        <v>1109</v>
      </c>
      <c r="Q443" s="166"/>
      <c r="R443" s="164"/>
      <c r="S443" s="164"/>
      <c r="T443" s="164"/>
      <c r="U443" s="164"/>
      <c r="V443" s="162"/>
      <c r="W443" s="158"/>
      <c r="X443" s="158"/>
      <c r="Y443" s="158"/>
      <c r="Z443" s="158"/>
      <c r="AA443" s="158"/>
      <c r="AB443" s="158"/>
      <c r="AC443" s="113">
        <v>314</v>
      </c>
      <c r="AD443" s="113">
        <v>53</v>
      </c>
      <c r="AE443" s="113">
        <v>51</v>
      </c>
      <c r="AF443" s="113">
        <v>53</v>
      </c>
      <c r="AG443" s="120">
        <v>61</v>
      </c>
      <c r="AH443" s="113">
        <v>56</v>
      </c>
      <c r="AI443" s="113">
        <v>40</v>
      </c>
    </row>
    <row r="444" spans="1:35">
      <c r="A444" s="113">
        <v>394</v>
      </c>
      <c r="B444" s="113" t="s">
        <v>426</v>
      </c>
      <c r="C444" s="120" t="s">
        <v>5693</v>
      </c>
      <c r="D444" s="124">
        <v>0.85</v>
      </c>
      <c r="E444" s="124">
        <v>0.15</v>
      </c>
      <c r="F444" s="113" t="s">
        <v>2331</v>
      </c>
      <c r="G444" s="113" t="s">
        <v>2120</v>
      </c>
      <c r="H444" s="113" t="s">
        <v>25</v>
      </c>
      <c r="I444" s="113" t="s">
        <v>1109</v>
      </c>
      <c r="J444" s="118" t="s">
        <v>792</v>
      </c>
      <c r="K444" s="118">
        <v>4</v>
      </c>
      <c r="L444" s="118" t="s">
        <v>5692</v>
      </c>
      <c r="M444" s="115" t="s">
        <v>5692</v>
      </c>
      <c r="N444" s="115" t="s">
        <v>6506</v>
      </c>
      <c r="O444" s="115">
        <v>1.75</v>
      </c>
      <c r="P444" s="115" t="s">
        <v>2128</v>
      </c>
      <c r="Q444" s="166"/>
      <c r="R444" s="164"/>
      <c r="S444" s="164"/>
      <c r="T444" s="164"/>
      <c r="U444" s="164"/>
      <c r="V444" s="162"/>
      <c r="W444" s="158"/>
      <c r="X444" s="158"/>
      <c r="Y444" s="158"/>
      <c r="Z444" s="158"/>
      <c r="AA444" s="158"/>
      <c r="AB444" s="158"/>
      <c r="AC444" s="113">
        <v>405</v>
      </c>
      <c r="AD444" s="113">
        <v>64</v>
      </c>
      <c r="AE444" s="113">
        <v>66</v>
      </c>
      <c r="AF444" s="113">
        <v>68</v>
      </c>
      <c r="AG444" s="120">
        <v>81</v>
      </c>
      <c r="AH444" s="113">
        <v>76</v>
      </c>
      <c r="AI444" s="113">
        <v>50</v>
      </c>
    </row>
    <row r="445" spans="1:35">
      <c r="A445" s="113">
        <v>395</v>
      </c>
      <c r="B445" s="113" t="s">
        <v>427</v>
      </c>
      <c r="C445" s="120" t="s">
        <v>5694</v>
      </c>
      <c r="D445" s="124">
        <v>0.85</v>
      </c>
      <c r="E445" s="124">
        <v>0.15</v>
      </c>
      <c r="F445" s="113" t="s">
        <v>2331</v>
      </c>
      <c r="G445" s="113" t="s">
        <v>2120</v>
      </c>
      <c r="H445" s="113" t="s">
        <v>25</v>
      </c>
      <c r="I445" s="113" t="s">
        <v>106</v>
      </c>
      <c r="J445" s="118" t="s">
        <v>792</v>
      </c>
      <c r="K445" s="118">
        <v>4</v>
      </c>
      <c r="L445" s="118" t="s">
        <v>5692</v>
      </c>
      <c r="M445" s="115" t="s">
        <v>5693</v>
      </c>
      <c r="N445" s="115" t="s">
        <v>6504</v>
      </c>
      <c r="O445" s="115">
        <v>1.75</v>
      </c>
      <c r="P445" s="115" t="s">
        <v>2128</v>
      </c>
      <c r="Q445" s="166"/>
      <c r="R445" s="164"/>
      <c r="S445" s="164"/>
      <c r="T445" s="164"/>
      <c r="U445" s="164"/>
      <c r="V445" s="162"/>
      <c r="W445" s="158"/>
      <c r="X445" s="158"/>
      <c r="Y445" s="158"/>
      <c r="Z445" s="158"/>
      <c r="AA445" s="158"/>
      <c r="AB445" s="158"/>
      <c r="AC445" s="113">
        <v>530</v>
      </c>
      <c r="AD445" s="113">
        <v>84</v>
      </c>
      <c r="AE445" s="113">
        <v>86</v>
      </c>
      <c r="AF445" s="113">
        <v>88</v>
      </c>
      <c r="AG445" s="120">
        <v>111</v>
      </c>
      <c r="AH445" s="113">
        <v>101</v>
      </c>
      <c r="AI445" s="113">
        <v>60</v>
      </c>
    </row>
    <row r="446" spans="1:35">
      <c r="A446" s="113">
        <v>396</v>
      </c>
      <c r="B446" s="113" t="s">
        <v>428</v>
      </c>
      <c r="C446" s="120" t="s">
        <v>5695</v>
      </c>
      <c r="D446" s="124">
        <v>0.5</v>
      </c>
      <c r="E446" s="124">
        <v>0.5</v>
      </c>
      <c r="F446" s="113" t="s">
        <v>22</v>
      </c>
      <c r="G446" s="113" t="s">
        <v>2120</v>
      </c>
      <c r="H446" s="113" t="s">
        <v>36</v>
      </c>
      <c r="I446" s="113" t="s">
        <v>22</v>
      </c>
      <c r="J446" s="118" t="s">
        <v>2129</v>
      </c>
      <c r="K446" s="118">
        <v>1</v>
      </c>
      <c r="L446" s="118" t="s">
        <v>5695</v>
      </c>
      <c r="M446" s="115" t="s">
        <v>1109</v>
      </c>
      <c r="N446" s="115" t="s">
        <v>6505</v>
      </c>
      <c r="O446" s="115">
        <v>1</v>
      </c>
      <c r="P446" s="115" t="s">
        <v>1109</v>
      </c>
      <c r="Q446" s="166"/>
      <c r="R446" s="164"/>
      <c r="S446" s="164"/>
      <c r="T446" s="164"/>
      <c r="U446" s="164"/>
      <c r="V446" s="162"/>
      <c r="W446" s="158"/>
      <c r="X446" s="158"/>
      <c r="Y446" s="158"/>
      <c r="Z446" s="158"/>
      <c r="AA446" s="158"/>
      <c r="AB446" s="158"/>
      <c r="AC446" s="113">
        <v>245</v>
      </c>
      <c r="AD446" s="113">
        <v>40</v>
      </c>
      <c r="AE446" s="113">
        <v>55</v>
      </c>
      <c r="AF446" s="113">
        <v>30</v>
      </c>
      <c r="AG446" s="120">
        <v>30</v>
      </c>
      <c r="AH446" s="113">
        <v>30</v>
      </c>
      <c r="AI446" s="113">
        <v>60</v>
      </c>
    </row>
    <row r="447" spans="1:35">
      <c r="A447" s="113">
        <v>397</v>
      </c>
      <c r="B447" s="113" t="s">
        <v>429</v>
      </c>
      <c r="C447" s="120" t="s">
        <v>5696</v>
      </c>
      <c r="D447" s="124">
        <v>0.5</v>
      </c>
      <c r="E447" s="124">
        <v>0.5</v>
      </c>
      <c r="F447" s="113" t="s">
        <v>22</v>
      </c>
      <c r="G447" s="113" t="s">
        <v>2120</v>
      </c>
      <c r="H447" s="113" t="s">
        <v>36</v>
      </c>
      <c r="I447" s="113" t="s">
        <v>22</v>
      </c>
      <c r="J447" s="118" t="s">
        <v>2129</v>
      </c>
      <c r="K447" s="118">
        <v>1</v>
      </c>
      <c r="L447" s="118" t="s">
        <v>5695</v>
      </c>
      <c r="M447" s="115" t="s">
        <v>5695</v>
      </c>
      <c r="N447" s="115" t="s">
        <v>6506</v>
      </c>
      <c r="O447" s="115">
        <v>1</v>
      </c>
      <c r="P447" s="115" t="s">
        <v>2128</v>
      </c>
      <c r="Q447" s="166"/>
      <c r="R447" s="164"/>
      <c r="S447" s="164"/>
      <c r="T447" s="164"/>
      <c r="U447" s="164"/>
      <c r="V447" s="162"/>
      <c r="W447" s="158"/>
      <c r="X447" s="158"/>
      <c r="Y447" s="158"/>
      <c r="Z447" s="158"/>
      <c r="AA447" s="158"/>
      <c r="AB447" s="158"/>
      <c r="AC447" s="113">
        <v>340</v>
      </c>
      <c r="AD447" s="113">
        <v>55</v>
      </c>
      <c r="AE447" s="113">
        <v>75</v>
      </c>
      <c r="AF447" s="113">
        <v>50</v>
      </c>
      <c r="AG447" s="120">
        <v>40</v>
      </c>
      <c r="AH447" s="113">
        <v>40</v>
      </c>
      <c r="AI447" s="113">
        <v>80</v>
      </c>
    </row>
    <row r="448" spans="1:35">
      <c r="A448" s="113">
        <v>398</v>
      </c>
      <c r="B448" s="113" t="s">
        <v>430</v>
      </c>
      <c r="C448" s="120" t="s">
        <v>5697</v>
      </c>
      <c r="D448" s="124">
        <v>0.5</v>
      </c>
      <c r="E448" s="124">
        <v>0.5</v>
      </c>
      <c r="F448" s="113" t="s">
        <v>22</v>
      </c>
      <c r="G448" s="113" t="s">
        <v>2120</v>
      </c>
      <c r="H448" s="113" t="s">
        <v>36</v>
      </c>
      <c r="I448" s="113" t="s">
        <v>22</v>
      </c>
      <c r="J448" s="118" t="s">
        <v>2129</v>
      </c>
      <c r="K448" s="118">
        <v>1</v>
      </c>
      <c r="L448" s="118" t="s">
        <v>5695</v>
      </c>
      <c r="M448" s="115" t="s">
        <v>5696</v>
      </c>
      <c r="N448" s="115" t="s">
        <v>6504</v>
      </c>
      <c r="O448" s="115">
        <v>1</v>
      </c>
      <c r="P448" s="115" t="s">
        <v>2128</v>
      </c>
      <c r="Q448" s="166"/>
      <c r="R448" s="164"/>
      <c r="S448" s="164"/>
      <c r="T448" s="164"/>
      <c r="U448" s="164"/>
      <c r="V448" s="162"/>
      <c r="W448" s="158"/>
      <c r="X448" s="158"/>
      <c r="Y448" s="158"/>
      <c r="Z448" s="158"/>
      <c r="AA448" s="158"/>
      <c r="AB448" s="158"/>
      <c r="AC448" s="113">
        <v>485</v>
      </c>
      <c r="AD448" s="113">
        <v>85</v>
      </c>
      <c r="AE448" s="113">
        <v>120</v>
      </c>
      <c r="AF448" s="113">
        <v>70</v>
      </c>
      <c r="AG448" s="120">
        <v>50</v>
      </c>
      <c r="AH448" s="113">
        <v>60</v>
      </c>
      <c r="AI448" s="113">
        <v>100</v>
      </c>
    </row>
    <row r="449" spans="1:35">
      <c r="A449" s="113">
        <v>399</v>
      </c>
      <c r="B449" s="113" t="s">
        <v>431</v>
      </c>
      <c r="C449" s="120" t="s">
        <v>5698</v>
      </c>
      <c r="D449" s="124">
        <v>0.5</v>
      </c>
      <c r="E449" s="124">
        <v>0.5</v>
      </c>
      <c r="F449" s="113" t="s">
        <v>2332</v>
      </c>
      <c r="G449" s="113" t="s">
        <v>2120</v>
      </c>
      <c r="H449" s="113" t="s">
        <v>36</v>
      </c>
      <c r="I449" s="113" t="s">
        <v>1109</v>
      </c>
      <c r="J449" s="118" t="s">
        <v>2129</v>
      </c>
      <c r="K449" s="118">
        <v>1</v>
      </c>
      <c r="L449" s="118" t="s">
        <v>5698</v>
      </c>
      <c r="M449" s="115" t="s">
        <v>1109</v>
      </c>
      <c r="N449" s="115" t="s">
        <v>6505</v>
      </c>
      <c r="O449" s="115">
        <v>1</v>
      </c>
      <c r="P449" s="115" t="s">
        <v>1109</v>
      </c>
      <c r="Q449" s="166"/>
      <c r="R449" s="164"/>
      <c r="S449" s="164"/>
      <c r="T449" s="164"/>
      <c r="U449" s="164"/>
      <c r="V449" s="162"/>
      <c r="W449" s="158"/>
      <c r="X449" s="158"/>
      <c r="Y449" s="158"/>
      <c r="Z449" s="158"/>
      <c r="AA449" s="158"/>
      <c r="AB449" s="158"/>
      <c r="AC449" s="113">
        <v>250</v>
      </c>
      <c r="AD449" s="113">
        <v>59</v>
      </c>
      <c r="AE449" s="113">
        <v>45</v>
      </c>
      <c r="AF449" s="113">
        <v>40</v>
      </c>
      <c r="AG449" s="120">
        <v>35</v>
      </c>
      <c r="AH449" s="113">
        <v>40</v>
      </c>
      <c r="AI449" s="113">
        <v>31</v>
      </c>
    </row>
    <row r="450" spans="1:35">
      <c r="A450" s="113">
        <v>400</v>
      </c>
      <c r="B450" s="113" t="s">
        <v>432</v>
      </c>
      <c r="C450" s="120" t="s">
        <v>5699</v>
      </c>
      <c r="D450" s="124">
        <v>0.5</v>
      </c>
      <c r="E450" s="124">
        <v>0.5</v>
      </c>
      <c r="F450" s="113" t="s">
        <v>2332</v>
      </c>
      <c r="G450" s="113" t="s">
        <v>2120</v>
      </c>
      <c r="H450" s="113" t="s">
        <v>36</v>
      </c>
      <c r="I450" s="113" t="s">
        <v>25</v>
      </c>
      <c r="J450" s="118" t="s">
        <v>2129</v>
      </c>
      <c r="K450" s="118">
        <v>1</v>
      </c>
      <c r="L450" s="118" t="s">
        <v>5698</v>
      </c>
      <c r="M450" s="115" t="s">
        <v>5698</v>
      </c>
      <c r="N450" s="115" t="s">
        <v>6504</v>
      </c>
      <c r="O450" s="115">
        <v>1</v>
      </c>
      <c r="P450" s="115" t="s">
        <v>2128</v>
      </c>
      <c r="Q450" s="166"/>
      <c r="R450" s="164"/>
      <c r="S450" s="164"/>
      <c r="T450" s="164"/>
      <c r="U450" s="164"/>
      <c r="V450" s="162"/>
      <c r="W450" s="158"/>
      <c r="X450" s="158"/>
      <c r="Y450" s="158"/>
      <c r="Z450" s="158"/>
      <c r="AA450" s="158"/>
      <c r="AB450" s="158"/>
      <c r="AC450" s="113">
        <v>410</v>
      </c>
      <c r="AD450" s="113">
        <v>79</v>
      </c>
      <c r="AE450" s="113">
        <v>85</v>
      </c>
      <c r="AF450" s="113">
        <v>60</v>
      </c>
      <c r="AG450" s="120">
        <v>55</v>
      </c>
      <c r="AH450" s="113">
        <v>60</v>
      </c>
      <c r="AI450" s="113">
        <v>71</v>
      </c>
    </row>
    <row r="451" spans="1:35">
      <c r="A451" s="113">
        <v>401</v>
      </c>
      <c r="B451" s="113" t="s">
        <v>433</v>
      </c>
      <c r="C451" s="120" t="s">
        <v>5700</v>
      </c>
      <c r="D451" s="124">
        <v>0.5</v>
      </c>
      <c r="E451" s="124">
        <v>0.5</v>
      </c>
      <c r="F451" s="113" t="s">
        <v>29</v>
      </c>
      <c r="G451" s="113" t="s">
        <v>2120</v>
      </c>
      <c r="H451" s="113" t="s">
        <v>29</v>
      </c>
      <c r="I451" s="113" t="s">
        <v>1109</v>
      </c>
      <c r="J451" s="118" t="s">
        <v>2129</v>
      </c>
      <c r="K451" s="118">
        <v>1</v>
      </c>
      <c r="L451" s="118" t="s">
        <v>5700</v>
      </c>
      <c r="M451" s="115" t="s">
        <v>1109</v>
      </c>
      <c r="N451" s="115" t="s">
        <v>6505</v>
      </c>
      <c r="O451" s="115">
        <v>1</v>
      </c>
      <c r="P451" s="115" t="s">
        <v>1109</v>
      </c>
      <c r="Q451" s="166"/>
      <c r="R451" s="164"/>
      <c r="S451" s="164"/>
      <c r="T451" s="164"/>
      <c r="U451" s="164"/>
      <c r="V451" s="162"/>
      <c r="W451" s="158"/>
      <c r="X451" s="158"/>
      <c r="Y451" s="158"/>
      <c r="Z451" s="158"/>
      <c r="AA451" s="158"/>
      <c r="AB451" s="158"/>
      <c r="AC451" s="113">
        <v>194</v>
      </c>
      <c r="AD451" s="113">
        <v>37</v>
      </c>
      <c r="AE451" s="113">
        <v>25</v>
      </c>
      <c r="AF451" s="113">
        <v>41</v>
      </c>
      <c r="AG451" s="120">
        <v>25</v>
      </c>
      <c r="AH451" s="113">
        <v>41</v>
      </c>
      <c r="AI451" s="113">
        <v>25</v>
      </c>
    </row>
    <row r="452" spans="1:35">
      <c r="A452" s="113">
        <v>402</v>
      </c>
      <c r="B452" s="113" t="s">
        <v>434</v>
      </c>
      <c r="C452" s="120" t="s">
        <v>5701</v>
      </c>
      <c r="D452" s="124">
        <v>0.5</v>
      </c>
      <c r="E452" s="124">
        <v>0.5</v>
      </c>
      <c r="F452" s="113" t="s">
        <v>29</v>
      </c>
      <c r="G452" s="113" t="s">
        <v>2120</v>
      </c>
      <c r="H452" s="113" t="s">
        <v>29</v>
      </c>
      <c r="I452" s="113" t="s">
        <v>1109</v>
      </c>
      <c r="J452" s="118" t="s">
        <v>2129</v>
      </c>
      <c r="K452" s="118">
        <v>1</v>
      </c>
      <c r="L452" s="118" t="s">
        <v>5700</v>
      </c>
      <c r="M452" s="115" t="s">
        <v>5700</v>
      </c>
      <c r="N452" s="115" t="s">
        <v>6504</v>
      </c>
      <c r="O452" s="115">
        <v>1</v>
      </c>
      <c r="P452" s="115" t="s">
        <v>2128</v>
      </c>
      <c r="Q452" s="166"/>
      <c r="R452" s="164"/>
      <c r="S452" s="164"/>
      <c r="T452" s="164"/>
      <c r="U452" s="164"/>
      <c r="V452" s="162"/>
      <c r="W452" s="158"/>
      <c r="X452" s="158"/>
      <c r="Y452" s="158"/>
      <c r="Z452" s="158"/>
      <c r="AA452" s="158"/>
      <c r="AB452" s="158"/>
      <c r="AC452" s="113">
        <v>384</v>
      </c>
      <c r="AD452" s="113">
        <v>77</v>
      </c>
      <c r="AE452" s="113">
        <v>85</v>
      </c>
      <c r="AF452" s="113">
        <v>51</v>
      </c>
      <c r="AG452" s="120">
        <v>55</v>
      </c>
      <c r="AH452" s="113">
        <v>51</v>
      </c>
      <c r="AI452" s="113">
        <v>65</v>
      </c>
    </row>
    <row r="453" spans="1:35">
      <c r="A453" s="113">
        <v>403</v>
      </c>
      <c r="B453" s="113" t="s">
        <v>435</v>
      </c>
      <c r="C453" s="120" t="s">
        <v>5702</v>
      </c>
      <c r="D453" s="124">
        <v>0.5</v>
      </c>
      <c r="E453" s="124">
        <v>0.5</v>
      </c>
      <c r="F453" s="113" t="s">
        <v>2332</v>
      </c>
      <c r="G453" s="113" t="s">
        <v>2120</v>
      </c>
      <c r="H453" s="113" t="s">
        <v>46</v>
      </c>
      <c r="I453" s="113" t="s">
        <v>1109</v>
      </c>
      <c r="J453" s="118" t="s">
        <v>2129</v>
      </c>
      <c r="K453" s="118">
        <v>1</v>
      </c>
      <c r="L453" s="118" t="s">
        <v>5702</v>
      </c>
      <c r="M453" s="115" t="s">
        <v>1109</v>
      </c>
      <c r="N453" s="115" t="s">
        <v>6505</v>
      </c>
      <c r="O453" s="115">
        <v>1</v>
      </c>
      <c r="P453" s="115" t="s">
        <v>1109</v>
      </c>
      <c r="Q453" s="166"/>
      <c r="R453" s="164"/>
      <c r="S453" s="164"/>
      <c r="T453" s="164"/>
      <c r="U453" s="164"/>
      <c r="V453" s="162"/>
      <c r="W453" s="158"/>
      <c r="X453" s="158"/>
      <c r="Y453" s="158"/>
      <c r="Z453" s="158"/>
      <c r="AA453" s="158"/>
      <c r="AB453" s="158"/>
      <c r="AC453" s="113">
        <v>263</v>
      </c>
      <c r="AD453" s="113">
        <v>45</v>
      </c>
      <c r="AE453" s="113">
        <v>65</v>
      </c>
      <c r="AF453" s="113">
        <v>34</v>
      </c>
      <c r="AG453" s="120">
        <v>40</v>
      </c>
      <c r="AH453" s="113">
        <v>34</v>
      </c>
      <c r="AI453" s="113">
        <v>45</v>
      </c>
    </row>
    <row r="454" spans="1:35">
      <c r="A454" s="113">
        <v>404</v>
      </c>
      <c r="B454" s="113" t="s">
        <v>436</v>
      </c>
      <c r="C454" s="120" t="s">
        <v>5703</v>
      </c>
      <c r="D454" s="124">
        <v>0.5</v>
      </c>
      <c r="E454" s="124">
        <v>0.5</v>
      </c>
      <c r="F454" s="113" t="s">
        <v>2332</v>
      </c>
      <c r="G454" s="113" t="s">
        <v>2120</v>
      </c>
      <c r="H454" s="113" t="s">
        <v>46</v>
      </c>
      <c r="I454" s="113" t="s">
        <v>1109</v>
      </c>
      <c r="J454" s="118" t="s">
        <v>2129</v>
      </c>
      <c r="K454" s="118">
        <v>1</v>
      </c>
      <c r="L454" s="118" t="s">
        <v>5702</v>
      </c>
      <c r="M454" s="115" t="s">
        <v>5702</v>
      </c>
      <c r="N454" s="115" t="s">
        <v>6506</v>
      </c>
      <c r="O454" s="115">
        <v>1</v>
      </c>
      <c r="P454" s="115" t="s">
        <v>2128</v>
      </c>
      <c r="Q454" s="166"/>
      <c r="R454" s="164"/>
      <c r="S454" s="164"/>
      <c r="T454" s="164"/>
      <c r="U454" s="164"/>
      <c r="V454" s="162"/>
      <c r="W454" s="158"/>
      <c r="X454" s="158"/>
      <c r="Y454" s="158"/>
      <c r="Z454" s="158"/>
      <c r="AA454" s="158"/>
      <c r="AB454" s="158"/>
      <c r="AC454" s="113">
        <v>363</v>
      </c>
      <c r="AD454" s="113">
        <v>60</v>
      </c>
      <c r="AE454" s="113">
        <v>85</v>
      </c>
      <c r="AF454" s="113">
        <v>49</v>
      </c>
      <c r="AG454" s="120">
        <v>60</v>
      </c>
      <c r="AH454" s="113">
        <v>49</v>
      </c>
      <c r="AI454" s="113">
        <v>60</v>
      </c>
    </row>
    <row r="455" spans="1:35">
      <c r="A455" s="113">
        <v>405</v>
      </c>
      <c r="B455" s="113" t="s">
        <v>437</v>
      </c>
      <c r="C455" s="120" t="s">
        <v>5704</v>
      </c>
      <c r="D455" s="124">
        <v>0.5</v>
      </c>
      <c r="E455" s="124">
        <v>0.5</v>
      </c>
      <c r="F455" s="113" t="s">
        <v>2332</v>
      </c>
      <c r="G455" s="113" t="s">
        <v>2120</v>
      </c>
      <c r="H455" s="113" t="s">
        <v>46</v>
      </c>
      <c r="I455" s="113" t="s">
        <v>1109</v>
      </c>
      <c r="J455" s="118" t="s">
        <v>2129</v>
      </c>
      <c r="K455" s="118">
        <v>1</v>
      </c>
      <c r="L455" s="118" t="s">
        <v>5702</v>
      </c>
      <c r="M455" s="115" t="s">
        <v>5703</v>
      </c>
      <c r="N455" s="115" t="s">
        <v>6504</v>
      </c>
      <c r="O455" s="115">
        <v>1</v>
      </c>
      <c r="P455" s="115" t="s">
        <v>2128</v>
      </c>
      <c r="Q455" s="166"/>
      <c r="R455" s="164"/>
      <c r="S455" s="164"/>
      <c r="T455" s="164"/>
      <c r="U455" s="164"/>
      <c r="V455" s="162"/>
      <c r="W455" s="158"/>
      <c r="X455" s="158"/>
      <c r="Y455" s="158"/>
      <c r="Z455" s="158"/>
      <c r="AA455" s="158"/>
      <c r="AB455" s="158"/>
      <c r="AC455" s="113">
        <v>523</v>
      </c>
      <c r="AD455" s="113">
        <v>80</v>
      </c>
      <c r="AE455" s="113">
        <v>120</v>
      </c>
      <c r="AF455" s="113">
        <v>79</v>
      </c>
      <c r="AG455" s="120">
        <v>95</v>
      </c>
      <c r="AH455" s="113">
        <v>79</v>
      </c>
      <c r="AI455" s="113">
        <v>70</v>
      </c>
    </row>
    <row r="456" spans="1:35">
      <c r="A456" s="113">
        <v>406</v>
      </c>
      <c r="B456" s="113" t="s">
        <v>438</v>
      </c>
      <c r="C456" s="120" t="s">
        <v>5705</v>
      </c>
      <c r="D456" s="124">
        <v>0.5</v>
      </c>
      <c r="E456" s="124">
        <v>0.5</v>
      </c>
      <c r="F456" s="113" t="s">
        <v>2333</v>
      </c>
      <c r="G456" s="113" t="s">
        <v>2120</v>
      </c>
      <c r="H456" s="113" t="s">
        <v>14</v>
      </c>
      <c r="I456" s="113" t="s">
        <v>15</v>
      </c>
      <c r="J456" s="118" t="s">
        <v>2129</v>
      </c>
      <c r="K456" s="118">
        <v>2</v>
      </c>
      <c r="L456" s="118" t="s">
        <v>5705</v>
      </c>
      <c r="M456" s="115" t="s">
        <v>1109</v>
      </c>
      <c r="N456" s="115" t="s">
        <v>6507</v>
      </c>
      <c r="O456" s="115">
        <v>1.5</v>
      </c>
      <c r="P456" s="115" t="s">
        <v>1109</v>
      </c>
      <c r="Q456" s="166">
        <v>0.1</v>
      </c>
      <c r="R456" s="164"/>
      <c r="S456" s="164"/>
      <c r="T456" s="164"/>
      <c r="U456" s="164"/>
      <c r="V456" s="162"/>
      <c r="W456" s="158"/>
      <c r="X456" s="158"/>
      <c r="Y456" s="158"/>
      <c r="Z456" s="158"/>
      <c r="AA456" s="158"/>
      <c r="AB456" s="158"/>
      <c r="AC456" s="113">
        <v>280</v>
      </c>
      <c r="AD456" s="113">
        <v>40</v>
      </c>
      <c r="AE456" s="113">
        <v>30</v>
      </c>
      <c r="AF456" s="113">
        <v>35</v>
      </c>
      <c r="AG456" s="120">
        <v>50</v>
      </c>
      <c r="AH456" s="113">
        <v>70</v>
      </c>
      <c r="AI456" s="113">
        <v>55</v>
      </c>
    </row>
    <row r="457" spans="1:35">
      <c r="A457" s="113">
        <v>407</v>
      </c>
      <c r="B457" s="113" t="s">
        <v>439</v>
      </c>
      <c r="C457" s="120" t="s">
        <v>5706</v>
      </c>
      <c r="D457" s="124">
        <v>0.5</v>
      </c>
      <c r="E457" s="124">
        <v>0.5</v>
      </c>
      <c r="F457" s="113" t="s">
        <v>14</v>
      </c>
      <c r="G457" s="113" t="s">
        <v>2120</v>
      </c>
      <c r="H457" s="113" t="s">
        <v>14</v>
      </c>
      <c r="I457" s="113" t="s">
        <v>15</v>
      </c>
      <c r="J457" s="118" t="s">
        <v>2129</v>
      </c>
      <c r="K457" s="118">
        <v>2</v>
      </c>
      <c r="L457" s="118" t="s">
        <v>5705</v>
      </c>
      <c r="M457" s="115" t="s">
        <v>5598</v>
      </c>
      <c r="N457" s="115" t="s">
        <v>6504</v>
      </c>
      <c r="O457" s="115">
        <v>1.25</v>
      </c>
      <c r="P457" s="115" t="s">
        <v>1803</v>
      </c>
      <c r="Q457" s="166">
        <v>2</v>
      </c>
      <c r="R457" s="164"/>
      <c r="S457" s="164"/>
      <c r="T457" s="164"/>
      <c r="U457" s="164"/>
      <c r="V457" s="162" t="s">
        <v>6543</v>
      </c>
      <c r="W457" s="158"/>
      <c r="X457" s="158"/>
      <c r="Y457" s="158"/>
      <c r="Z457" s="158"/>
      <c r="AA457" s="158"/>
      <c r="AB457" s="158"/>
      <c r="AC457" s="113">
        <v>515</v>
      </c>
      <c r="AD457" s="113">
        <v>60</v>
      </c>
      <c r="AE457" s="113">
        <v>70</v>
      </c>
      <c r="AF457" s="113">
        <v>65</v>
      </c>
      <c r="AG457" s="120">
        <v>125</v>
      </c>
      <c r="AH457" s="113">
        <v>105</v>
      </c>
      <c r="AI457" s="113">
        <v>90</v>
      </c>
    </row>
    <row r="458" spans="1:35">
      <c r="A458" s="113">
        <v>408</v>
      </c>
      <c r="B458" s="113" t="s">
        <v>440</v>
      </c>
      <c r="C458" s="120" t="s">
        <v>5707</v>
      </c>
      <c r="D458" s="124">
        <v>0.85</v>
      </c>
      <c r="E458" s="124">
        <v>0.15</v>
      </c>
      <c r="F458" s="113" t="s">
        <v>2330</v>
      </c>
      <c r="G458" s="113" t="s">
        <v>2120</v>
      </c>
      <c r="H458" s="113" t="s">
        <v>98</v>
      </c>
      <c r="I458" s="113" t="s">
        <v>1109</v>
      </c>
      <c r="J458" s="118" t="s">
        <v>2129</v>
      </c>
      <c r="K458" s="118">
        <v>3</v>
      </c>
      <c r="L458" s="118" t="s">
        <v>5707</v>
      </c>
      <c r="M458" s="115" t="s">
        <v>1109</v>
      </c>
      <c r="N458" s="115" t="s">
        <v>6505</v>
      </c>
      <c r="O458" s="115">
        <v>1.5</v>
      </c>
      <c r="P458" s="115" t="s">
        <v>1109</v>
      </c>
      <c r="Q458" s="166"/>
      <c r="R458" s="164"/>
      <c r="S458" s="164"/>
      <c r="T458" s="164"/>
      <c r="U458" s="164"/>
      <c r="V458" s="162"/>
      <c r="W458" s="158"/>
      <c r="X458" s="158"/>
      <c r="Y458" s="158"/>
      <c r="Z458" s="158"/>
      <c r="AA458" s="158"/>
      <c r="AB458" s="158"/>
      <c r="AC458" s="113">
        <v>350</v>
      </c>
      <c r="AD458" s="113">
        <v>67</v>
      </c>
      <c r="AE458" s="113">
        <v>125</v>
      </c>
      <c r="AF458" s="113">
        <v>40</v>
      </c>
      <c r="AG458" s="120">
        <v>30</v>
      </c>
      <c r="AH458" s="113">
        <v>30</v>
      </c>
      <c r="AI458" s="113">
        <v>58</v>
      </c>
    </row>
    <row r="459" spans="1:35">
      <c r="A459" s="113">
        <v>409</v>
      </c>
      <c r="B459" s="113" t="s">
        <v>441</v>
      </c>
      <c r="C459" s="120" t="s">
        <v>5708</v>
      </c>
      <c r="D459" s="124">
        <v>0.85</v>
      </c>
      <c r="E459" s="124">
        <v>0.15</v>
      </c>
      <c r="F459" s="113" t="s">
        <v>2330</v>
      </c>
      <c r="G459" s="113" t="s">
        <v>2120</v>
      </c>
      <c r="H459" s="113" t="s">
        <v>98</v>
      </c>
      <c r="I459" s="113" t="s">
        <v>1109</v>
      </c>
      <c r="J459" s="118" t="s">
        <v>2129</v>
      </c>
      <c r="K459" s="118">
        <v>3</v>
      </c>
      <c r="L459" s="118" t="s">
        <v>5707</v>
      </c>
      <c r="M459" s="115" t="s">
        <v>5707</v>
      </c>
      <c r="N459" s="115" t="s">
        <v>6504</v>
      </c>
      <c r="O459" s="115">
        <v>1.5</v>
      </c>
      <c r="P459" s="115" t="s">
        <v>2128</v>
      </c>
      <c r="Q459" s="166"/>
      <c r="R459" s="164"/>
      <c r="S459" s="164"/>
      <c r="T459" s="164"/>
      <c r="U459" s="164"/>
      <c r="V459" s="162"/>
      <c r="W459" s="158"/>
      <c r="X459" s="158"/>
      <c r="Y459" s="158"/>
      <c r="Z459" s="158"/>
      <c r="AA459" s="158"/>
      <c r="AB459" s="158"/>
      <c r="AC459" s="113">
        <v>495</v>
      </c>
      <c r="AD459" s="113">
        <v>97</v>
      </c>
      <c r="AE459" s="113">
        <v>165</v>
      </c>
      <c r="AF459" s="113">
        <v>60</v>
      </c>
      <c r="AG459" s="120">
        <v>65</v>
      </c>
      <c r="AH459" s="113">
        <v>50</v>
      </c>
      <c r="AI459" s="113">
        <v>58</v>
      </c>
    </row>
    <row r="460" spans="1:35">
      <c r="A460" s="113">
        <v>410</v>
      </c>
      <c r="B460" s="113" t="s">
        <v>442</v>
      </c>
      <c r="C460" s="120" t="s">
        <v>5709</v>
      </c>
      <c r="D460" s="124">
        <v>0.85</v>
      </c>
      <c r="E460" s="124">
        <v>0.15</v>
      </c>
      <c r="F460" s="113" t="s">
        <v>2330</v>
      </c>
      <c r="G460" s="113" t="s">
        <v>2120</v>
      </c>
      <c r="H460" s="113" t="s">
        <v>98</v>
      </c>
      <c r="I460" s="113" t="s">
        <v>106</v>
      </c>
      <c r="J460" s="118" t="s">
        <v>2129</v>
      </c>
      <c r="K460" s="118">
        <v>3</v>
      </c>
      <c r="L460" s="118" t="s">
        <v>5709</v>
      </c>
      <c r="M460" s="115" t="s">
        <v>1109</v>
      </c>
      <c r="N460" s="115" t="s">
        <v>6505</v>
      </c>
      <c r="O460" s="115">
        <v>1.5</v>
      </c>
      <c r="P460" s="115" t="s">
        <v>1109</v>
      </c>
      <c r="Q460" s="166"/>
      <c r="R460" s="164"/>
      <c r="S460" s="164"/>
      <c r="T460" s="164"/>
      <c r="U460" s="164"/>
      <c r="V460" s="162"/>
      <c r="W460" s="158"/>
      <c r="X460" s="158"/>
      <c r="Y460" s="158"/>
      <c r="Z460" s="158"/>
      <c r="AA460" s="158"/>
      <c r="AB460" s="158"/>
      <c r="AC460" s="113">
        <v>350</v>
      </c>
      <c r="AD460" s="113">
        <v>30</v>
      </c>
      <c r="AE460" s="113">
        <v>42</v>
      </c>
      <c r="AF460" s="113">
        <v>118</v>
      </c>
      <c r="AG460" s="120">
        <v>42</v>
      </c>
      <c r="AH460" s="113">
        <v>88</v>
      </c>
      <c r="AI460" s="113">
        <v>30</v>
      </c>
    </row>
    <row r="461" spans="1:35">
      <c r="A461" s="113">
        <v>411</v>
      </c>
      <c r="B461" s="113" t="s">
        <v>443</v>
      </c>
      <c r="C461" s="120" t="s">
        <v>5710</v>
      </c>
      <c r="D461" s="124">
        <v>0.85</v>
      </c>
      <c r="E461" s="124">
        <v>0.15</v>
      </c>
      <c r="F461" s="113" t="s">
        <v>2330</v>
      </c>
      <c r="G461" s="113" t="s">
        <v>2120</v>
      </c>
      <c r="H461" s="113" t="s">
        <v>98</v>
      </c>
      <c r="I461" s="113" t="s">
        <v>106</v>
      </c>
      <c r="J461" s="118" t="s">
        <v>2129</v>
      </c>
      <c r="K461" s="118">
        <v>3</v>
      </c>
      <c r="L461" s="118" t="s">
        <v>5709</v>
      </c>
      <c r="M461" s="115" t="s">
        <v>5709</v>
      </c>
      <c r="N461" s="115" t="s">
        <v>6504</v>
      </c>
      <c r="O461" s="115">
        <v>1.5</v>
      </c>
      <c r="P461" s="115" t="s">
        <v>2128</v>
      </c>
      <c r="Q461" s="166"/>
      <c r="R461" s="164"/>
      <c r="S461" s="164"/>
      <c r="T461" s="164"/>
      <c r="U461" s="164"/>
      <c r="V461" s="162"/>
      <c r="W461" s="158"/>
      <c r="X461" s="158"/>
      <c r="Y461" s="158"/>
      <c r="Z461" s="158"/>
      <c r="AA461" s="158"/>
      <c r="AB461" s="158"/>
      <c r="AC461" s="113">
        <v>495</v>
      </c>
      <c r="AD461" s="113">
        <v>60</v>
      </c>
      <c r="AE461" s="113">
        <v>52</v>
      </c>
      <c r="AF461" s="113">
        <v>168</v>
      </c>
      <c r="AG461" s="120">
        <v>47</v>
      </c>
      <c r="AH461" s="113">
        <v>138</v>
      </c>
      <c r="AI461" s="113">
        <v>30</v>
      </c>
    </row>
    <row r="462" spans="1:35">
      <c r="A462" s="113">
        <v>412</v>
      </c>
      <c r="B462" s="113" t="s">
        <v>444</v>
      </c>
      <c r="C462" s="138" t="s">
        <v>5711</v>
      </c>
      <c r="D462" s="124">
        <v>0.5</v>
      </c>
      <c r="E462" s="124">
        <v>0.5</v>
      </c>
      <c r="F462" s="113" t="s">
        <v>29</v>
      </c>
      <c r="G462" s="113" t="s">
        <v>2120</v>
      </c>
      <c r="H462" s="113" t="s">
        <v>29</v>
      </c>
      <c r="I462" s="113" t="s">
        <v>1109</v>
      </c>
      <c r="J462" s="118" t="s">
        <v>2129</v>
      </c>
      <c r="K462" s="118">
        <v>2</v>
      </c>
      <c r="L462" s="118" t="s">
        <v>5711</v>
      </c>
      <c r="M462" s="115" t="s">
        <v>1109</v>
      </c>
      <c r="N462" s="115" t="s">
        <v>6505</v>
      </c>
      <c r="O462" s="115">
        <v>1.25</v>
      </c>
      <c r="P462" s="115" t="s">
        <v>1109</v>
      </c>
      <c r="Q462" s="166"/>
      <c r="R462" s="164"/>
      <c r="S462" s="164"/>
      <c r="T462" s="164"/>
      <c r="U462" s="164"/>
      <c r="V462" s="162"/>
      <c r="W462" s="158"/>
      <c r="X462" s="158"/>
      <c r="Y462" s="158"/>
      <c r="Z462" s="158"/>
      <c r="AA462" s="158"/>
      <c r="AB462" s="158"/>
      <c r="AC462" s="113">
        <v>224</v>
      </c>
      <c r="AD462" s="113">
        <v>40</v>
      </c>
      <c r="AE462" s="113">
        <v>29</v>
      </c>
      <c r="AF462" s="113">
        <v>45</v>
      </c>
      <c r="AG462" s="120">
        <v>29</v>
      </c>
      <c r="AH462" s="113">
        <v>45</v>
      </c>
      <c r="AI462" s="113">
        <v>36</v>
      </c>
    </row>
    <row r="463" spans="1:35">
      <c r="A463" s="113">
        <v>413</v>
      </c>
      <c r="B463" s="113" t="s">
        <v>2955</v>
      </c>
      <c r="C463" s="120" t="s">
        <v>5713</v>
      </c>
      <c r="D463" s="124">
        <v>0</v>
      </c>
      <c r="E463" s="124">
        <v>1</v>
      </c>
      <c r="F463" s="113" t="s">
        <v>29</v>
      </c>
      <c r="G463" s="113" t="s">
        <v>2120</v>
      </c>
      <c r="H463" s="113" t="s">
        <v>29</v>
      </c>
      <c r="I463" s="113" t="s">
        <v>49</v>
      </c>
      <c r="J463" s="118" t="s">
        <v>2129</v>
      </c>
      <c r="K463" s="118">
        <v>2</v>
      </c>
      <c r="L463" s="118" t="s">
        <v>5711</v>
      </c>
      <c r="M463" s="115" t="s">
        <v>5711</v>
      </c>
      <c r="N463" s="115" t="s">
        <v>6504</v>
      </c>
      <c r="O463" s="115">
        <v>1.25</v>
      </c>
      <c r="P463" s="115" t="s">
        <v>2128</v>
      </c>
      <c r="Q463" s="166"/>
      <c r="R463" s="164"/>
      <c r="S463" s="164"/>
      <c r="T463" s="164"/>
      <c r="U463" s="164"/>
      <c r="V463" s="162"/>
      <c r="W463" s="158"/>
      <c r="X463" s="158"/>
      <c r="Y463" s="158"/>
      <c r="Z463" s="158"/>
      <c r="AA463" s="158"/>
      <c r="AB463" s="158"/>
      <c r="AC463" s="113">
        <v>424</v>
      </c>
      <c r="AD463" s="113">
        <v>60</v>
      </c>
      <c r="AE463" s="113">
        <v>79</v>
      </c>
      <c r="AF463" s="113">
        <v>105</v>
      </c>
      <c r="AG463" s="120">
        <v>59</v>
      </c>
      <c r="AH463" s="113">
        <v>85</v>
      </c>
      <c r="AI463" s="113">
        <v>36</v>
      </c>
    </row>
    <row r="464" spans="1:35">
      <c r="A464" s="113">
        <v>413</v>
      </c>
      <c r="B464" s="113" t="s">
        <v>2953</v>
      </c>
      <c r="C464" s="120" t="s">
        <v>5712</v>
      </c>
      <c r="D464" s="124">
        <v>0</v>
      </c>
      <c r="E464" s="124">
        <v>1</v>
      </c>
      <c r="F464" s="113" t="s">
        <v>29</v>
      </c>
      <c r="G464" s="113" t="s">
        <v>2120</v>
      </c>
      <c r="H464" s="113" t="s">
        <v>29</v>
      </c>
      <c r="I464" s="113" t="s">
        <v>14</v>
      </c>
      <c r="J464" s="118" t="s">
        <v>2129</v>
      </c>
      <c r="K464" s="118">
        <v>2</v>
      </c>
      <c r="L464" s="118" t="s">
        <v>5711</v>
      </c>
      <c r="M464" s="115" t="s">
        <v>5711</v>
      </c>
      <c r="N464" s="115" t="s">
        <v>6504</v>
      </c>
      <c r="O464" s="115">
        <v>1.25</v>
      </c>
      <c r="P464" s="115" t="s">
        <v>2128</v>
      </c>
      <c r="Q464" s="166"/>
      <c r="R464" s="164"/>
      <c r="S464" s="164"/>
      <c r="T464" s="164"/>
      <c r="U464" s="164"/>
      <c r="V464" s="162"/>
      <c r="W464" s="158"/>
      <c r="X464" s="158"/>
      <c r="Y464" s="158"/>
      <c r="Z464" s="158"/>
      <c r="AA464" s="158"/>
      <c r="AB464" s="158"/>
      <c r="AC464" s="113">
        <v>424</v>
      </c>
      <c r="AD464" s="113">
        <v>60</v>
      </c>
      <c r="AE464" s="113">
        <v>59</v>
      </c>
      <c r="AF464" s="113">
        <v>85</v>
      </c>
      <c r="AG464" s="120">
        <v>79</v>
      </c>
      <c r="AH464" s="113">
        <v>105</v>
      </c>
      <c r="AI464" s="113">
        <v>36</v>
      </c>
    </row>
    <row r="465" spans="1:35">
      <c r="A465" s="113">
        <v>413</v>
      </c>
      <c r="B465" s="113" t="s">
        <v>2957</v>
      </c>
      <c r="C465" s="120" t="s">
        <v>5714</v>
      </c>
      <c r="D465" s="124">
        <v>0</v>
      </c>
      <c r="E465" s="124">
        <v>1</v>
      </c>
      <c r="F465" s="113" t="s">
        <v>29</v>
      </c>
      <c r="G465" s="113" t="s">
        <v>2120</v>
      </c>
      <c r="H465" s="113" t="s">
        <v>29</v>
      </c>
      <c r="I465" s="113" t="s">
        <v>106</v>
      </c>
      <c r="J465" s="118" t="s">
        <v>2129</v>
      </c>
      <c r="K465" s="118">
        <v>2</v>
      </c>
      <c r="L465" s="118" t="s">
        <v>5711</v>
      </c>
      <c r="M465" s="115" t="s">
        <v>5711</v>
      </c>
      <c r="N465" s="115" t="s">
        <v>6504</v>
      </c>
      <c r="O465" s="115">
        <v>1.25</v>
      </c>
      <c r="P465" s="115" t="s">
        <v>2128</v>
      </c>
      <c r="Q465" s="166"/>
      <c r="R465" s="164"/>
      <c r="S465" s="164"/>
      <c r="T465" s="164"/>
      <c r="U465" s="164"/>
      <c r="V465" s="162"/>
      <c r="W465" s="158"/>
      <c r="X465" s="158"/>
      <c r="Y465" s="158"/>
      <c r="Z465" s="158"/>
      <c r="AA465" s="158"/>
      <c r="AB465" s="158"/>
      <c r="AC465" s="113">
        <v>424</v>
      </c>
      <c r="AD465" s="113">
        <v>60</v>
      </c>
      <c r="AE465" s="113">
        <v>69</v>
      </c>
      <c r="AF465" s="113">
        <v>95</v>
      </c>
      <c r="AG465" s="120">
        <v>69</v>
      </c>
      <c r="AH465" s="113">
        <v>95</v>
      </c>
      <c r="AI465" s="113">
        <v>36</v>
      </c>
    </row>
    <row r="466" spans="1:35">
      <c r="A466" s="113">
        <v>414</v>
      </c>
      <c r="B466" s="113" t="s">
        <v>448</v>
      </c>
      <c r="C466" s="120" t="s">
        <v>5715</v>
      </c>
      <c r="D466" s="124">
        <v>1</v>
      </c>
      <c r="E466" s="124">
        <v>0</v>
      </c>
      <c r="F466" s="113" t="s">
        <v>29</v>
      </c>
      <c r="G466" s="113" t="s">
        <v>2120</v>
      </c>
      <c r="H466" s="113" t="s">
        <v>29</v>
      </c>
      <c r="I466" s="113" t="s">
        <v>22</v>
      </c>
      <c r="J466" s="118" t="s">
        <v>2129</v>
      </c>
      <c r="K466" s="118">
        <v>2</v>
      </c>
      <c r="L466" s="118" t="s">
        <v>5711</v>
      </c>
      <c r="M466" s="115" t="s">
        <v>5711</v>
      </c>
      <c r="N466" s="115" t="s">
        <v>6504</v>
      </c>
      <c r="O466" s="115">
        <v>1.25</v>
      </c>
      <c r="P466" s="115" t="s">
        <v>2128</v>
      </c>
      <c r="Q466" s="166"/>
      <c r="R466" s="164"/>
      <c r="S466" s="164"/>
      <c r="T466" s="164"/>
      <c r="U466" s="164"/>
      <c r="V466" s="162"/>
      <c r="W466" s="158"/>
      <c r="X466" s="158"/>
      <c r="Y466" s="158"/>
      <c r="Z466" s="158"/>
      <c r="AA466" s="158"/>
      <c r="AB466" s="158"/>
      <c r="AC466" s="113">
        <v>424</v>
      </c>
      <c r="AD466" s="113">
        <v>70</v>
      </c>
      <c r="AE466" s="113">
        <v>94</v>
      </c>
      <c r="AF466" s="113">
        <v>50</v>
      </c>
      <c r="AG466" s="120">
        <v>94</v>
      </c>
      <c r="AH466" s="113">
        <v>50</v>
      </c>
      <c r="AI466" s="113">
        <v>66</v>
      </c>
    </row>
    <row r="467" spans="1:35">
      <c r="A467" s="113">
        <v>415</v>
      </c>
      <c r="B467" s="113" t="s">
        <v>449</v>
      </c>
      <c r="C467" s="120" t="s">
        <v>5716</v>
      </c>
      <c r="D467" s="124">
        <v>0.85</v>
      </c>
      <c r="E467" s="124">
        <v>0.15</v>
      </c>
      <c r="F467" s="113" t="s">
        <v>29</v>
      </c>
      <c r="G467" s="113" t="s">
        <v>2120</v>
      </c>
      <c r="H467" s="113" t="s">
        <v>29</v>
      </c>
      <c r="I467" s="113" t="s">
        <v>22</v>
      </c>
      <c r="J467" s="118" t="s">
        <v>2129</v>
      </c>
      <c r="K467" s="118">
        <v>3</v>
      </c>
      <c r="L467" s="118" t="s">
        <v>5716</v>
      </c>
      <c r="M467" s="115" t="s">
        <v>1109</v>
      </c>
      <c r="N467" s="115" t="s">
        <v>6505</v>
      </c>
      <c r="O467" s="115">
        <v>1.5</v>
      </c>
      <c r="P467" s="115" t="s">
        <v>1109</v>
      </c>
      <c r="Q467" s="166"/>
      <c r="R467" s="164"/>
      <c r="S467" s="164"/>
      <c r="T467" s="164"/>
      <c r="U467" s="164"/>
      <c r="V467" s="162"/>
      <c r="W467" s="158"/>
      <c r="X467" s="158"/>
      <c r="Y467" s="158"/>
      <c r="Z467" s="158"/>
      <c r="AA467" s="158"/>
      <c r="AB467" s="158"/>
      <c r="AC467" s="113">
        <v>244</v>
      </c>
      <c r="AD467" s="113">
        <v>30</v>
      </c>
      <c r="AE467" s="113">
        <v>30</v>
      </c>
      <c r="AF467" s="113">
        <v>42</v>
      </c>
      <c r="AG467" s="120">
        <v>30</v>
      </c>
      <c r="AH467" s="113">
        <v>42</v>
      </c>
      <c r="AI467" s="113">
        <v>70</v>
      </c>
    </row>
    <row r="468" spans="1:35">
      <c r="A468" s="113">
        <v>416</v>
      </c>
      <c r="B468" s="113" t="s">
        <v>450</v>
      </c>
      <c r="C468" s="120" t="s">
        <v>5717</v>
      </c>
      <c r="D468" s="124">
        <v>0</v>
      </c>
      <c r="E468" s="124">
        <v>1</v>
      </c>
      <c r="F468" s="113" t="s">
        <v>29</v>
      </c>
      <c r="G468" s="113" t="s">
        <v>2120</v>
      </c>
      <c r="H468" s="113" t="s">
        <v>29</v>
      </c>
      <c r="I468" s="113" t="s">
        <v>22</v>
      </c>
      <c r="J468" s="118" t="s">
        <v>2129</v>
      </c>
      <c r="K468" s="118">
        <v>3</v>
      </c>
      <c r="L468" s="118" t="s">
        <v>5716</v>
      </c>
      <c r="M468" s="115" t="s">
        <v>5716</v>
      </c>
      <c r="N468" s="115" t="s">
        <v>6504</v>
      </c>
      <c r="O468" s="115">
        <v>1.5</v>
      </c>
      <c r="P468" s="115" t="s">
        <v>2128</v>
      </c>
      <c r="Q468" s="166"/>
      <c r="R468" s="164"/>
      <c r="S468" s="164"/>
      <c r="T468" s="164"/>
      <c r="U468" s="164"/>
      <c r="V468" s="162"/>
      <c r="W468" s="158"/>
      <c r="X468" s="158"/>
      <c r="Y468" s="158"/>
      <c r="Z468" s="158"/>
      <c r="AA468" s="158"/>
      <c r="AB468" s="158"/>
      <c r="AC468" s="113">
        <v>474</v>
      </c>
      <c r="AD468" s="113">
        <v>70</v>
      </c>
      <c r="AE468" s="113">
        <v>80</v>
      </c>
      <c r="AF468" s="113">
        <v>102</v>
      </c>
      <c r="AG468" s="120">
        <v>80</v>
      </c>
      <c r="AH468" s="113">
        <v>102</v>
      </c>
      <c r="AI468" s="113">
        <v>40</v>
      </c>
    </row>
    <row r="469" spans="1:35">
      <c r="A469" s="113">
        <v>417</v>
      </c>
      <c r="B469" s="113" t="s">
        <v>451</v>
      </c>
      <c r="C469" s="120" t="s">
        <v>5718</v>
      </c>
      <c r="D469" s="124">
        <v>0.5</v>
      </c>
      <c r="E469" s="124">
        <v>0.5</v>
      </c>
      <c r="F469" s="113" t="s">
        <v>56</v>
      </c>
      <c r="G469" s="113" t="s">
        <v>2120</v>
      </c>
      <c r="H469" s="113" t="s">
        <v>46</v>
      </c>
      <c r="I469" s="113" t="s">
        <v>1109</v>
      </c>
      <c r="J469" s="118" t="s">
        <v>2129</v>
      </c>
      <c r="K469" s="118">
        <v>2</v>
      </c>
      <c r="L469" s="118" t="s">
        <v>5718</v>
      </c>
      <c r="M469" s="115" t="s">
        <v>1109</v>
      </c>
      <c r="N469" s="115" t="s">
        <v>6504</v>
      </c>
      <c r="O469" s="115">
        <v>1.25</v>
      </c>
      <c r="P469" s="115" t="s">
        <v>1109</v>
      </c>
      <c r="Q469" s="166"/>
      <c r="R469" s="164"/>
      <c r="S469" s="164"/>
      <c r="T469" s="164"/>
      <c r="U469" s="164"/>
      <c r="V469" s="162"/>
      <c r="W469" s="158"/>
      <c r="X469" s="158"/>
      <c r="Y469" s="158"/>
      <c r="Z469" s="158"/>
      <c r="AA469" s="158"/>
      <c r="AB469" s="158"/>
      <c r="AC469" s="113">
        <v>405</v>
      </c>
      <c r="AD469" s="113">
        <v>60</v>
      </c>
      <c r="AE469" s="113">
        <v>45</v>
      </c>
      <c r="AF469" s="113">
        <v>70</v>
      </c>
      <c r="AG469" s="120">
        <v>45</v>
      </c>
      <c r="AH469" s="113">
        <v>90</v>
      </c>
      <c r="AI469" s="113">
        <v>95</v>
      </c>
    </row>
    <row r="470" spans="1:35">
      <c r="A470" s="113">
        <v>418</v>
      </c>
      <c r="B470" s="113" t="s">
        <v>452</v>
      </c>
      <c r="C470" s="120" t="s">
        <v>5719</v>
      </c>
      <c r="D470" s="124">
        <v>0.5</v>
      </c>
      <c r="E470" s="124">
        <v>0.5</v>
      </c>
      <c r="F470" s="113" t="s">
        <v>2332</v>
      </c>
      <c r="G470" s="113" t="s">
        <v>2120</v>
      </c>
      <c r="H470" s="113" t="s">
        <v>25</v>
      </c>
      <c r="I470" s="113" t="s">
        <v>1109</v>
      </c>
      <c r="J470" s="118" t="s">
        <v>2129</v>
      </c>
      <c r="K470" s="118">
        <v>1</v>
      </c>
      <c r="L470" s="118" t="s">
        <v>5719</v>
      </c>
      <c r="M470" s="115" t="s">
        <v>1109</v>
      </c>
      <c r="N470" s="115" t="s">
        <v>6505</v>
      </c>
      <c r="O470" s="115">
        <v>1</v>
      </c>
      <c r="P470" s="115" t="s">
        <v>1109</v>
      </c>
      <c r="Q470" s="166"/>
      <c r="R470" s="164"/>
      <c r="S470" s="164"/>
      <c r="T470" s="164"/>
      <c r="U470" s="164"/>
      <c r="V470" s="162"/>
      <c r="W470" s="158"/>
      <c r="X470" s="158"/>
      <c r="Y470" s="158"/>
      <c r="Z470" s="158"/>
      <c r="AA470" s="158"/>
      <c r="AB470" s="158"/>
      <c r="AC470" s="113">
        <v>330</v>
      </c>
      <c r="AD470" s="113">
        <v>55</v>
      </c>
      <c r="AE470" s="113">
        <v>65</v>
      </c>
      <c r="AF470" s="113">
        <v>35</v>
      </c>
      <c r="AG470" s="120">
        <v>60</v>
      </c>
      <c r="AH470" s="113">
        <v>30</v>
      </c>
      <c r="AI470" s="113">
        <v>85</v>
      </c>
    </row>
    <row r="471" spans="1:35">
      <c r="A471" s="113">
        <v>419</v>
      </c>
      <c r="B471" s="113" t="s">
        <v>453</v>
      </c>
      <c r="C471" s="120" t="s">
        <v>5720</v>
      </c>
      <c r="D471" s="124">
        <v>0.5</v>
      </c>
      <c r="E471" s="124">
        <v>0.5</v>
      </c>
      <c r="F471" s="113" t="s">
        <v>2332</v>
      </c>
      <c r="G471" s="113" t="s">
        <v>2120</v>
      </c>
      <c r="H471" s="113" t="s">
        <v>25</v>
      </c>
      <c r="I471" s="113" t="s">
        <v>1109</v>
      </c>
      <c r="J471" s="118" t="s">
        <v>2129</v>
      </c>
      <c r="K471" s="118">
        <v>1</v>
      </c>
      <c r="L471" s="118" t="s">
        <v>5719</v>
      </c>
      <c r="M471" s="115" t="s">
        <v>5719</v>
      </c>
      <c r="N471" s="115" t="s">
        <v>6504</v>
      </c>
      <c r="O471" s="115">
        <v>1</v>
      </c>
      <c r="P471" s="115" t="s">
        <v>2128</v>
      </c>
      <c r="Q471" s="166"/>
      <c r="R471" s="164"/>
      <c r="S471" s="164"/>
      <c r="T471" s="164"/>
      <c r="U471" s="164"/>
      <c r="V471" s="162"/>
      <c r="W471" s="158"/>
      <c r="X471" s="158"/>
      <c r="Y471" s="158"/>
      <c r="Z471" s="158"/>
      <c r="AA471" s="158"/>
      <c r="AB471" s="158"/>
      <c r="AC471" s="113">
        <v>495</v>
      </c>
      <c r="AD471" s="113">
        <v>85</v>
      </c>
      <c r="AE471" s="113">
        <v>105</v>
      </c>
      <c r="AF471" s="113">
        <v>55</v>
      </c>
      <c r="AG471" s="120">
        <v>85</v>
      </c>
      <c r="AH471" s="113">
        <v>50</v>
      </c>
      <c r="AI471" s="113">
        <v>115</v>
      </c>
    </row>
    <row r="472" spans="1:35">
      <c r="A472" s="113">
        <v>420</v>
      </c>
      <c r="B472" s="113" t="s">
        <v>454</v>
      </c>
      <c r="C472" s="120" t="s">
        <v>5721</v>
      </c>
      <c r="D472" s="124">
        <v>0.5</v>
      </c>
      <c r="E472" s="124">
        <v>0.5</v>
      </c>
      <c r="F472" s="113" t="s">
        <v>14</v>
      </c>
      <c r="G472" s="113" t="s">
        <v>2120</v>
      </c>
      <c r="H472" s="113" t="s">
        <v>14</v>
      </c>
      <c r="I472" s="113" t="s">
        <v>1109</v>
      </c>
      <c r="J472" s="118" t="s">
        <v>2129</v>
      </c>
      <c r="K472" s="118">
        <v>2</v>
      </c>
      <c r="L472" s="118" t="s">
        <v>5721</v>
      </c>
      <c r="M472" s="115" t="s">
        <v>1109</v>
      </c>
      <c r="N472" s="115" t="s">
        <v>6505</v>
      </c>
      <c r="O472" s="115">
        <v>1.25</v>
      </c>
      <c r="P472" s="115" t="s">
        <v>1109</v>
      </c>
      <c r="Q472" s="166"/>
      <c r="R472" s="164"/>
      <c r="S472" s="164"/>
      <c r="T472" s="164"/>
      <c r="U472" s="164"/>
      <c r="V472" s="162"/>
      <c r="W472" s="158"/>
      <c r="X472" s="158"/>
      <c r="Y472" s="158"/>
      <c r="Z472" s="158"/>
      <c r="AA472" s="158"/>
      <c r="AB472" s="158"/>
      <c r="AC472" s="113">
        <v>275</v>
      </c>
      <c r="AD472" s="113">
        <v>45</v>
      </c>
      <c r="AE472" s="113">
        <v>35</v>
      </c>
      <c r="AF472" s="113">
        <v>45</v>
      </c>
      <c r="AG472" s="120">
        <v>62</v>
      </c>
      <c r="AH472" s="113">
        <v>53</v>
      </c>
      <c r="AI472" s="113">
        <v>35</v>
      </c>
    </row>
    <row r="473" spans="1:35">
      <c r="A473" s="113">
        <v>421</v>
      </c>
      <c r="B473" s="113" t="s">
        <v>455</v>
      </c>
      <c r="C473" s="120" t="s">
        <v>5722</v>
      </c>
      <c r="D473" s="124">
        <v>0.5</v>
      </c>
      <c r="E473" s="124">
        <v>0.5</v>
      </c>
      <c r="F473" s="113" t="s">
        <v>14</v>
      </c>
      <c r="G473" s="113" t="s">
        <v>2120</v>
      </c>
      <c r="H473" s="113" t="s">
        <v>14</v>
      </c>
      <c r="I473" s="113" t="s">
        <v>1109</v>
      </c>
      <c r="J473" s="118" t="s">
        <v>2129</v>
      </c>
      <c r="K473" s="118">
        <v>2</v>
      </c>
      <c r="L473" s="118" t="s">
        <v>5721</v>
      </c>
      <c r="M473" s="115" t="s">
        <v>5721</v>
      </c>
      <c r="N473" s="115" t="s">
        <v>6504</v>
      </c>
      <c r="O473" s="115">
        <v>1.25</v>
      </c>
      <c r="P473" s="115" t="s">
        <v>2128</v>
      </c>
      <c r="Q473" s="166"/>
      <c r="R473" s="164"/>
      <c r="S473" s="164"/>
      <c r="T473" s="164"/>
      <c r="U473" s="164"/>
      <c r="V473" s="162"/>
      <c r="W473" s="158"/>
      <c r="X473" s="158"/>
      <c r="Y473" s="158"/>
      <c r="Z473" s="158"/>
      <c r="AA473" s="158"/>
      <c r="AB473" s="158"/>
      <c r="AC473" s="113">
        <v>450</v>
      </c>
      <c r="AD473" s="113">
        <v>70</v>
      </c>
      <c r="AE473" s="113">
        <v>60</v>
      </c>
      <c r="AF473" s="113">
        <v>70</v>
      </c>
      <c r="AG473" s="120">
        <v>87</v>
      </c>
      <c r="AH473" s="113">
        <v>78</v>
      </c>
      <c r="AI473" s="113">
        <v>85</v>
      </c>
    </row>
    <row r="474" spans="1:35">
      <c r="A474" s="113">
        <v>422</v>
      </c>
      <c r="B474" s="113" t="s">
        <v>456</v>
      </c>
      <c r="C474" s="120" t="s">
        <v>5723</v>
      </c>
      <c r="D474" s="124">
        <v>0.5</v>
      </c>
      <c r="E474" s="124">
        <v>0.5</v>
      </c>
      <c r="F474" s="113" t="s">
        <v>2336</v>
      </c>
      <c r="G474" s="113" t="s">
        <v>2120</v>
      </c>
      <c r="H474" s="113" t="s">
        <v>25</v>
      </c>
      <c r="I474" s="113" t="s">
        <v>1109</v>
      </c>
      <c r="J474" s="118" t="s">
        <v>2129</v>
      </c>
      <c r="K474" s="118">
        <v>2</v>
      </c>
      <c r="L474" s="118" t="s">
        <v>5723</v>
      </c>
      <c r="M474" s="115" t="s">
        <v>1109</v>
      </c>
      <c r="N474" s="115" t="s">
        <v>6505</v>
      </c>
      <c r="O474" s="115">
        <v>1.25</v>
      </c>
      <c r="P474" s="115" t="s">
        <v>1109</v>
      </c>
      <c r="Q474" s="166"/>
      <c r="R474" s="164"/>
      <c r="S474" s="164"/>
      <c r="T474" s="164"/>
      <c r="U474" s="164"/>
      <c r="V474" s="162"/>
      <c r="W474" s="158"/>
      <c r="X474" s="158"/>
      <c r="Y474" s="158"/>
      <c r="Z474" s="158"/>
      <c r="AA474" s="158"/>
      <c r="AB474" s="158"/>
      <c r="AC474" s="113">
        <v>325</v>
      </c>
      <c r="AD474" s="113">
        <v>76</v>
      </c>
      <c r="AE474" s="113">
        <v>48</v>
      </c>
      <c r="AF474" s="113">
        <v>48</v>
      </c>
      <c r="AG474" s="120">
        <v>57</v>
      </c>
      <c r="AH474" s="113">
        <v>62</v>
      </c>
      <c r="AI474" s="113">
        <v>34</v>
      </c>
    </row>
    <row r="475" spans="1:35">
      <c r="A475" s="113">
        <v>423</v>
      </c>
      <c r="B475" s="113" t="s">
        <v>457</v>
      </c>
      <c r="C475" s="120" t="s">
        <v>5724</v>
      </c>
      <c r="D475" s="124">
        <v>0.5</v>
      </c>
      <c r="E475" s="124">
        <v>0.5</v>
      </c>
      <c r="F475" s="113" t="s">
        <v>2336</v>
      </c>
      <c r="G475" s="113" t="s">
        <v>2120</v>
      </c>
      <c r="H475" s="113" t="s">
        <v>25</v>
      </c>
      <c r="I475" s="113" t="s">
        <v>49</v>
      </c>
      <c r="J475" s="118" t="s">
        <v>2129</v>
      </c>
      <c r="K475" s="118">
        <v>2</v>
      </c>
      <c r="L475" s="118" t="s">
        <v>5723</v>
      </c>
      <c r="M475" s="115" t="s">
        <v>5723</v>
      </c>
      <c r="N475" s="115" t="s">
        <v>6504</v>
      </c>
      <c r="O475" s="115">
        <v>1.25</v>
      </c>
      <c r="P475" s="115" t="s">
        <v>2128</v>
      </c>
      <c r="Q475" s="166"/>
      <c r="R475" s="164"/>
      <c r="S475" s="164"/>
      <c r="T475" s="164"/>
      <c r="U475" s="164"/>
      <c r="V475" s="162"/>
      <c r="W475" s="158"/>
      <c r="X475" s="158"/>
      <c r="Y475" s="158"/>
      <c r="Z475" s="158"/>
      <c r="AA475" s="158"/>
      <c r="AB475" s="158"/>
      <c r="AC475" s="113">
        <v>475</v>
      </c>
      <c r="AD475" s="113">
        <v>111</v>
      </c>
      <c r="AE475" s="113">
        <v>83</v>
      </c>
      <c r="AF475" s="113">
        <v>68</v>
      </c>
      <c r="AG475" s="120">
        <v>92</v>
      </c>
      <c r="AH475" s="113">
        <v>82</v>
      </c>
      <c r="AI475" s="113">
        <v>39</v>
      </c>
    </row>
    <row r="476" spans="1:35">
      <c r="A476" s="113">
        <v>424</v>
      </c>
      <c r="B476" s="113" t="s">
        <v>458</v>
      </c>
      <c r="C476" s="120" t="s">
        <v>5725</v>
      </c>
      <c r="D476" s="124">
        <v>0.5</v>
      </c>
      <c r="E476" s="124">
        <v>0.5</v>
      </c>
      <c r="F476" s="113" t="s">
        <v>2332</v>
      </c>
      <c r="G476" s="113" t="s">
        <v>2120</v>
      </c>
      <c r="H476" s="113" t="s">
        <v>36</v>
      </c>
      <c r="I476" s="113" t="s">
        <v>1109</v>
      </c>
      <c r="J476" s="118" t="s">
        <v>2129</v>
      </c>
      <c r="K476" s="118">
        <v>2</v>
      </c>
      <c r="L476" s="118" t="s">
        <v>5452</v>
      </c>
      <c r="M476" s="115" t="s">
        <v>5452</v>
      </c>
      <c r="N476" s="115" t="s">
        <v>6504</v>
      </c>
      <c r="O476" s="115">
        <v>1.25</v>
      </c>
      <c r="P476" s="115" t="s">
        <v>2128</v>
      </c>
      <c r="Q476" s="166"/>
      <c r="R476" s="164"/>
      <c r="S476" s="164"/>
      <c r="T476" s="164"/>
      <c r="U476" s="164"/>
      <c r="V476" s="162"/>
      <c r="W476" s="158"/>
      <c r="X476" s="158"/>
      <c r="Y476" s="158"/>
      <c r="Z476" s="158"/>
      <c r="AA476" s="158"/>
      <c r="AB476" s="158"/>
      <c r="AC476" s="113">
        <v>482</v>
      </c>
      <c r="AD476" s="113">
        <v>75</v>
      </c>
      <c r="AE476" s="113">
        <v>100</v>
      </c>
      <c r="AF476" s="113">
        <v>66</v>
      </c>
      <c r="AG476" s="120">
        <v>60</v>
      </c>
      <c r="AH476" s="113">
        <v>66</v>
      </c>
      <c r="AI476" s="113">
        <v>115</v>
      </c>
    </row>
    <row r="477" spans="1:35">
      <c r="A477" s="113">
        <v>425</v>
      </c>
      <c r="B477" s="113" t="s">
        <v>459</v>
      </c>
      <c r="C477" s="120" t="s">
        <v>5726</v>
      </c>
      <c r="D477" s="124">
        <v>0.5</v>
      </c>
      <c r="E477" s="124">
        <v>0.5</v>
      </c>
      <c r="F477" s="113" t="s">
        <v>2336</v>
      </c>
      <c r="G477" s="113" t="s">
        <v>2120</v>
      </c>
      <c r="H477" s="113" t="s">
        <v>119</v>
      </c>
      <c r="I477" s="113" t="s">
        <v>22</v>
      </c>
      <c r="J477" s="118" t="s">
        <v>2129</v>
      </c>
      <c r="K477" s="118">
        <v>2</v>
      </c>
      <c r="L477" s="118" t="s">
        <v>5726</v>
      </c>
      <c r="M477" s="115" t="s">
        <v>1109</v>
      </c>
      <c r="N477" s="115" t="s">
        <v>6505</v>
      </c>
      <c r="O477" s="115">
        <v>1.25</v>
      </c>
      <c r="P477" s="115" t="s">
        <v>1109</v>
      </c>
      <c r="Q477" s="166"/>
      <c r="R477" s="164"/>
      <c r="S477" s="164"/>
      <c r="T477" s="164"/>
      <c r="U477" s="164"/>
      <c r="V477" s="162"/>
      <c r="W477" s="158"/>
      <c r="X477" s="158"/>
      <c r="Y477" s="158"/>
      <c r="Z477" s="158"/>
      <c r="AA477" s="158"/>
      <c r="AB477" s="158"/>
      <c r="AC477" s="113">
        <v>348</v>
      </c>
      <c r="AD477" s="113">
        <v>90</v>
      </c>
      <c r="AE477" s="113">
        <v>50</v>
      </c>
      <c r="AF477" s="113">
        <v>34</v>
      </c>
      <c r="AG477" s="120">
        <v>60</v>
      </c>
      <c r="AH477" s="113">
        <v>44</v>
      </c>
      <c r="AI477" s="113">
        <v>70</v>
      </c>
    </row>
    <row r="478" spans="1:35">
      <c r="A478" s="113">
        <v>426</v>
      </c>
      <c r="B478" s="113" t="s">
        <v>460</v>
      </c>
      <c r="C478" s="120" t="s">
        <v>5727</v>
      </c>
      <c r="D478" s="124">
        <v>0.5</v>
      </c>
      <c r="E478" s="124">
        <v>0.5</v>
      </c>
      <c r="F478" s="113" t="s">
        <v>2336</v>
      </c>
      <c r="G478" s="113" t="s">
        <v>2120</v>
      </c>
      <c r="H478" s="113" t="s">
        <v>119</v>
      </c>
      <c r="I478" s="113" t="s">
        <v>22</v>
      </c>
      <c r="J478" s="118" t="s">
        <v>2129</v>
      </c>
      <c r="K478" s="118">
        <v>2</v>
      </c>
      <c r="L478" s="118" t="s">
        <v>5726</v>
      </c>
      <c r="M478" s="115" t="s">
        <v>5726</v>
      </c>
      <c r="N478" s="115" t="s">
        <v>6504</v>
      </c>
      <c r="O478" s="115">
        <v>1.25</v>
      </c>
      <c r="P478" s="115" t="s">
        <v>2128</v>
      </c>
      <c r="Q478" s="166"/>
      <c r="R478" s="164"/>
      <c r="S478" s="164"/>
      <c r="T478" s="164"/>
      <c r="U478" s="164"/>
      <c r="V478" s="162"/>
      <c r="W478" s="158"/>
      <c r="X478" s="158"/>
      <c r="Y478" s="158"/>
      <c r="Z478" s="158"/>
      <c r="AA478" s="158"/>
      <c r="AB478" s="158"/>
      <c r="AC478" s="113">
        <v>498</v>
      </c>
      <c r="AD478" s="113">
        <v>150</v>
      </c>
      <c r="AE478" s="113">
        <v>80</v>
      </c>
      <c r="AF478" s="113">
        <v>44</v>
      </c>
      <c r="AG478" s="120">
        <v>90</v>
      </c>
      <c r="AH478" s="113">
        <v>54</v>
      </c>
      <c r="AI478" s="113">
        <v>80</v>
      </c>
    </row>
    <row r="479" spans="1:35">
      <c r="A479" s="113">
        <v>427</v>
      </c>
      <c r="B479" s="113" t="s">
        <v>461</v>
      </c>
      <c r="C479" s="120" t="s">
        <v>5728</v>
      </c>
      <c r="D479" s="124">
        <v>0.5</v>
      </c>
      <c r="E479" s="124">
        <v>0.5</v>
      </c>
      <c r="F479" s="113" t="s">
        <v>2334</v>
      </c>
      <c r="G479" s="113" t="s">
        <v>2120</v>
      </c>
      <c r="H479" s="113" t="s">
        <v>36</v>
      </c>
      <c r="I479" s="113" t="s">
        <v>1109</v>
      </c>
      <c r="J479" s="118" t="s">
        <v>2129</v>
      </c>
      <c r="K479" s="118">
        <v>2</v>
      </c>
      <c r="L479" s="118" t="s">
        <v>5728</v>
      </c>
      <c r="M479" s="115" t="s">
        <v>1109</v>
      </c>
      <c r="N479" s="115" t="s">
        <v>6505</v>
      </c>
      <c r="O479" s="115">
        <v>1.25</v>
      </c>
      <c r="P479" s="115" t="s">
        <v>1109</v>
      </c>
      <c r="Q479" s="166"/>
      <c r="R479" s="164"/>
      <c r="S479" s="164"/>
      <c r="T479" s="164"/>
      <c r="U479" s="164"/>
      <c r="V479" s="162"/>
      <c r="W479" s="158"/>
      <c r="X479" s="158"/>
      <c r="Y479" s="158"/>
      <c r="Z479" s="158"/>
      <c r="AA479" s="158"/>
      <c r="AB479" s="158"/>
      <c r="AC479" s="113">
        <v>350</v>
      </c>
      <c r="AD479" s="113">
        <v>55</v>
      </c>
      <c r="AE479" s="113">
        <v>66</v>
      </c>
      <c r="AF479" s="113">
        <v>44</v>
      </c>
      <c r="AG479" s="120">
        <v>44</v>
      </c>
      <c r="AH479" s="113">
        <v>56</v>
      </c>
      <c r="AI479" s="113">
        <v>85</v>
      </c>
    </row>
    <row r="480" spans="1:35">
      <c r="A480" s="113">
        <v>428</v>
      </c>
      <c r="B480" s="113" t="s">
        <v>462</v>
      </c>
      <c r="C480" s="120" t="s">
        <v>5729</v>
      </c>
      <c r="D480" s="124">
        <v>0.5</v>
      </c>
      <c r="E480" s="124">
        <v>0.5</v>
      </c>
      <c r="F480" s="113" t="s">
        <v>2334</v>
      </c>
      <c r="G480" s="113" t="s">
        <v>2120</v>
      </c>
      <c r="H480" s="113" t="s">
        <v>36</v>
      </c>
      <c r="I480" s="113" t="s">
        <v>1109</v>
      </c>
      <c r="J480" s="118" t="s">
        <v>2129</v>
      </c>
      <c r="K480" s="118">
        <v>2</v>
      </c>
      <c r="L480" s="118" t="s">
        <v>5728</v>
      </c>
      <c r="M480" s="115" t="s">
        <v>5728</v>
      </c>
      <c r="N480" s="115" t="s">
        <v>6504</v>
      </c>
      <c r="O480" s="115">
        <v>1.25</v>
      </c>
      <c r="P480" s="115" t="s">
        <v>2128</v>
      </c>
      <c r="Q480" s="166"/>
      <c r="R480" s="164"/>
      <c r="S480" s="164"/>
      <c r="T480" s="164"/>
      <c r="U480" s="164"/>
      <c r="V480" s="162"/>
      <c r="W480" s="158"/>
      <c r="X480" s="158"/>
      <c r="Y480" s="158"/>
      <c r="Z480" s="158"/>
      <c r="AA480" s="158"/>
      <c r="AB480" s="158"/>
      <c r="AC480" s="113">
        <v>480</v>
      </c>
      <c r="AD480" s="113">
        <v>65</v>
      </c>
      <c r="AE480" s="113">
        <v>76</v>
      </c>
      <c r="AF480" s="113">
        <v>84</v>
      </c>
      <c r="AG480" s="120">
        <v>54</v>
      </c>
      <c r="AH480" s="113">
        <v>96</v>
      </c>
      <c r="AI480" s="113">
        <v>105</v>
      </c>
    </row>
    <row r="481" spans="1:35">
      <c r="A481" s="113">
        <v>429</v>
      </c>
      <c r="B481" s="113" t="s">
        <v>463</v>
      </c>
      <c r="C481" s="120" t="s">
        <v>5731</v>
      </c>
      <c r="D481" s="124">
        <v>0.5</v>
      </c>
      <c r="E481" s="124">
        <v>0.5</v>
      </c>
      <c r="F481" s="113" t="s">
        <v>2336</v>
      </c>
      <c r="G481" s="113" t="s">
        <v>2120</v>
      </c>
      <c r="H481" s="113" t="s">
        <v>119</v>
      </c>
      <c r="I481" s="113" t="s">
        <v>1109</v>
      </c>
      <c r="J481" s="118" t="s">
        <v>2129</v>
      </c>
      <c r="K481" s="118">
        <v>3</v>
      </c>
      <c r="L481" s="118" t="s">
        <v>5464</v>
      </c>
      <c r="M481" s="115" t="s">
        <v>5464</v>
      </c>
      <c r="N481" s="115" t="s">
        <v>6504</v>
      </c>
      <c r="O481" s="115">
        <v>1.5</v>
      </c>
      <c r="P481" s="115" t="s">
        <v>1803</v>
      </c>
      <c r="Q481" s="166"/>
      <c r="R481" s="164"/>
      <c r="S481" s="164"/>
      <c r="T481" s="164"/>
      <c r="U481" s="164"/>
      <c r="V481" s="162"/>
      <c r="W481" s="158"/>
      <c r="X481" s="158"/>
      <c r="Y481" s="158"/>
      <c r="Z481" s="158"/>
      <c r="AA481" s="158"/>
      <c r="AB481" s="158"/>
      <c r="AC481" s="113">
        <v>495</v>
      </c>
      <c r="AD481" s="113">
        <v>60</v>
      </c>
      <c r="AE481" s="113">
        <v>60</v>
      </c>
      <c r="AF481" s="113">
        <v>60</v>
      </c>
      <c r="AG481" s="120">
        <v>105</v>
      </c>
      <c r="AH481" s="113">
        <v>105</v>
      </c>
      <c r="AI481" s="113">
        <v>105</v>
      </c>
    </row>
    <row r="482" spans="1:35">
      <c r="A482" s="113">
        <v>430</v>
      </c>
      <c r="B482" s="113" t="s">
        <v>464</v>
      </c>
      <c r="C482" s="120" t="s">
        <v>5732</v>
      </c>
      <c r="D482" s="124">
        <v>0.5</v>
      </c>
      <c r="E482" s="124">
        <v>0.5</v>
      </c>
      <c r="F482" s="113" t="s">
        <v>22</v>
      </c>
      <c r="G482" s="113" t="s">
        <v>2120</v>
      </c>
      <c r="H482" s="113" t="s">
        <v>158</v>
      </c>
      <c r="I482" s="113" t="s">
        <v>22</v>
      </c>
      <c r="J482" s="118" t="s">
        <v>2129</v>
      </c>
      <c r="K482" s="118">
        <v>2</v>
      </c>
      <c r="L482" s="118" t="s">
        <v>5461</v>
      </c>
      <c r="M482" s="115" t="s">
        <v>5461</v>
      </c>
      <c r="N482" s="115" t="s">
        <v>6504</v>
      </c>
      <c r="O482" s="115">
        <v>1.25</v>
      </c>
      <c r="P482" s="115" t="s">
        <v>1803</v>
      </c>
      <c r="Q482" s="166"/>
      <c r="R482" s="164"/>
      <c r="S482" s="164"/>
      <c r="T482" s="164"/>
      <c r="U482" s="164"/>
      <c r="V482" s="162"/>
      <c r="W482" s="158"/>
      <c r="X482" s="158"/>
      <c r="Y482" s="158"/>
      <c r="Z482" s="158"/>
      <c r="AA482" s="158"/>
      <c r="AB482" s="158"/>
      <c r="AC482" s="113">
        <v>505</v>
      </c>
      <c r="AD482" s="113">
        <v>100</v>
      </c>
      <c r="AE482" s="113">
        <v>125</v>
      </c>
      <c r="AF482" s="113">
        <v>52</v>
      </c>
      <c r="AG482" s="120">
        <v>105</v>
      </c>
      <c r="AH482" s="113">
        <v>52</v>
      </c>
      <c r="AI482" s="113">
        <v>71</v>
      </c>
    </row>
    <row r="483" spans="1:35">
      <c r="A483" s="113">
        <v>431</v>
      </c>
      <c r="B483" s="113" t="s">
        <v>465</v>
      </c>
      <c r="C483" s="120" t="s">
        <v>5733</v>
      </c>
      <c r="D483" s="124">
        <v>0.25</v>
      </c>
      <c r="E483" s="124">
        <v>0.75</v>
      </c>
      <c r="F483" s="113" t="s">
        <v>2332</v>
      </c>
      <c r="G483" s="113" t="s">
        <v>2120</v>
      </c>
      <c r="H483" s="113" t="s">
        <v>36</v>
      </c>
      <c r="I483" s="113" t="s">
        <v>1109</v>
      </c>
      <c r="J483" s="118" t="s">
        <v>2129</v>
      </c>
      <c r="K483" s="118">
        <v>1</v>
      </c>
      <c r="L483" s="118" t="s">
        <v>5733</v>
      </c>
      <c r="M483" s="115" t="s">
        <v>1109</v>
      </c>
      <c r="N483" s="115" t="s">
        <v>6505</v>
      </c>
      <c r="O483" s="115">
        <v>1</v>
      </c>
      <c r="P483" s="115" t="s">
        <v>1109</v>
      </c>
      <c r="Q483" s="166"/>
      <c r="R483" s="164"/>
      <c r="S483" s="164"/>
      <c r="T483" s="164"/>
      <c r="U483" s="164"/>
      <c r="V483" s="162"/>
      <c r="W483" s="158"/>
      <c r="X483" s="158"/>
      <c r="Y483" s="158"/>
      <c r="Z483" s="158"/>
      <c r="AA483" s="158"/>
      <c r="AB483" s="158"/>
      <c r="AC483" s="113">
        <v>310</v>
      </c>
      <c r="AD483" s="113">
        <v>49</v>
      </c>
      <c r="AE483" s="113">
        <v>55</v>
      </c>
      <c r="AF483" s="113">
        <v>42</v>
      </c>
      <c r="AG483" s="120">
        <v>42</v>
      </c>
      <c r="AH483" s="113">
        <v>37</v>
      </c>
      <c r="AI483" s="113">
        <v>85</v>
      </c>
    </row>
    <row r="484" spans="1:35">
      <c r="A484" s="113">
        <v>432</v>
      </c>
      <c r="B484" s="113" t="s">
        <v>466</v>
      </c>
      <c r="C484" s="120" t="s">
        <v>5734</v>
      </c>
      <c r="D484" s="124">
        <v>0.25</v>
      </c>
      <c r="E484" s="124">
        <v>0.75</v>
      </c>
      <c r="F484" s="113" t="s">
        <v>2332</v>
      </c>
      <c r="G484" s="113" t="s">
        <v>2120</v>
      </c>
      <c r="H484" s="113" t="s">
        <v>36</v>
      </c>
      <c r="I484" s="113" t="s">
        <v>1109</v>
      </c>
      <c r="J484" s="118" t="s">
        <v>2129</v>
      </c>
      <c r="K484" s="118">
        <v>1</v>
      </c>
      <c r="L484" s="118" t="s">
        <v>5733</v>
      </c>
      <c r="M484" s="115" t="s">
        <v>5733</v>
      </c>
      <c r="N484" s="115" t="s">
        <v>6504</v>
      </c>
      <c r="O484" s="115">
        <v>1</v>
      </c>
      <c r="P484" s="115" t="s">
        <v>2128</v>
      </c>
      <c r="Q484" s="166"/>
      <c r="R484" s="164"/>
      <c r="S484" s="164"/>
      <c r="T484" s="164"/>
      <c r="U484" s="164"/>
      <c r="V484" s="162"/>
      <c r="W484" s="158"/>
      <c r="X484" s="158"/>
      <c r="Y484" s="158"/>
      <c r="Z484" s="158"/>
      <c r="AA484" s="158"/>
      <c r="AB484" s="158"/>
      <c r="AC484" s="113">
        <v>452</v>
      </c>
      <c r="AD484" s="113">
        <v>71</v>
      </c>
      <c r="AE484" s="113">
        <v>82</v>
      </c>
      <c r="AF484" s="113">
        <v>64</v>
      </c>
      <c r="AG484" s="120">
        <v>64</v>
      </c>
      <c r="AH484" s="113">
        <v>59</v>
      </c>
      <c r="AI484" s="113">
        <v>112</v>
      </c>
    </row>
    <row r="485" spans="1:35">
      <c r="A485" s="113">
        <v>433</v>
      </c>
      <c r="B485" s="113" t="s">
        <v>467</v>
      </c>
      <c r="C485" s="120" t="s">
        <v>5735</v>
      </c>
      <c r="D485" s="124">
        <v>0.5</v>
      </c>
      <c r="E485" s="124">
        <v>0.5</v>
      </c>
      <c r="F485" s="113" t="s">
        <v>2333</v>
      </c>
      <c r="G485" s="113" t="s">
        <v>2120</v>
      </c>
      <c r="H485" s="113" t="s">
        <v>86</v>
      </c>
      <c r="I485" s="113" t="s">
        <v>1109</v>
      </c>
      <c r="J485" s="118" t="s">
        <v>2129</v>
      </c>
      <c r="K485" s="118">
        <v>3</v>
      </c>
      <c r="L485" s="118" t="s">
        <v>5735</v>
      </c>
      <c r="M485" s="115" t="s">
        <v>1109</v>
      </c>
      <c r="N485" s="115" t="s">
        <v>6507</v>
      </c>
      <c r="O485" s="115">
        <v>1.5</v>
      </c>
      <c r="P485" s="115" t="s">
        <v>1109</v>
      </c>
      <c r="Q485" s="166">
        <v>0.1</v>
      </c>
      <c r="R485" s="164"/>
      <c r="S485" s="164"/>
      <c r="T485" s="164"/>
      <c r="U485" s="164"/>
      <c r="V485" s="162"/>
      <c r="W485" s="158"/>
      <c r="X485" s="158"/>
      <c r="Y485" s="158"/>
      <c r="Z485" s="158"/>
      <c r="AA485" s="158"/>
      <c r="AB485" s="158"/>
      <c r="AC485" s="113">
        <v>285</v>
      </c>
      <c r="AD485" s="113">
        <v>45</v>
      </c>
      <c r="AE485" s="113">
        <v>30</v>
      </c>
      <c r="AF485" s="113">
        <v>50</v>
      </c>
      <c r="AG485" s="120">
        <v>65</v>
      </c>
      <c r="AH485" s="113">
        <v>50</v>
      </c>
      <c r="AI485" s="113">
        <v>45</v>
      </c>
    </row>
    <row r="486" spans="1:35">
      <c r="A486" s="113">
        <v>434</v>
      </c>
      <c r="B486" s="113" t="s">
        <v>468</v>
      </c>
      <c r="C486" s="120" t="s">
        <v>5736</v>
      </c>
      <c r="D486" s="124">
        <v>0.5</v>
      </c>
      <c r="E486" s="124">
        <v>0.5</v>
      </c>
      <c r="F486" s="113" t="s">
        <v>2332</v>
      </c>
      <c r="G486" s="113" t="s">
        <v>2120</v>
      </c>
      <c r="H486" s="113" t="s">
        <v>15</v>
      </c>
      <c r="I486" s="113" t="s">
        <v>158</v>
      </c>
      <c r="J486" s="118" t="s">
        <v>2129</v>
      </c>
      <c r="K486" s="118">
        <v>2</v>
      </c>
      <c r="L486" s="118" t="s">
        <v>5736</v>
      </c>
      <c r="M486" s="115" t="s">
        <v>1109</v>
      </c>
      <c r="N486" s="115" t="s">
        <v>6505</v>
      </c>
      <c r="O486" s="115">
        <v>1.25</v>
      </c>
      <c r="P486" s="115" t="s">
        <v>1109</v>
      </c>
      <c r="Q486" s="166"/>
      <c r="R486" s="164"/>
      <c r="S486" s="164"/>
      <c r="T486" s="164"/>
      <c r="U486" s="164"/>
      <c r="V486" s="162"/>
      <c r="W486" s="158"/>
      <c r="X486" s="158"/>
      <c r="Y486" s="158"/>
      <c r="Z486" s="158"/>
      <c r="AA486" s="158"/>
      <c r="AB486" s="158"/>
      <c r="AC486" s="113">
        <v>329</v>
      </c>
      <c r="AD486" s="113">
        <v>63</v>
      </c>
      <c r="AE486" s="113">
        <v>63</v>
      </c>
      <c r="AF486" s="113">
        <v>47</v>
      </c>
      <c r="AG486" s="120">
        <v>41</v>
      </c>
      <c r="AH486" s="113">
        <v>41</v>
      </c>
      <c r="AI486" s="113">
        <v>74</v>
      </c>
    </row>
    <row r="487" spans="1:35">
      <c r="A487" s="113">
        <v>435</v>
      </c>
      <c r="B487" s="113" t="s">
        <v>469</v>
      </c>
      <c r="C487" s="120" t="s">
        <v>5737</v>
      </c>
      <c r="D487" s="124">
        <v>0.5</v>
      </c>
      <c r="E487" s="124">
        <v>0.5</v>
      </c>
      <c r="F487" s="113" t="s">
        <v>2332</v>
      </c>
      <c r="G487" s="113" t="s">
        <v>2120</v>
      </c>
      <c r="H487" s="113" t="s">
        <v>15</v>
      </c>
      <c r="I487" s="113" t="s">
        <v>158</v>
      </c>
      <c r="J487" s="118" t="s">
        <v>2129</v>
      </c>
      <c r="K487" s="118">
        <v>2</v>
      </c>
      <c r="L487" s="118" t="s">
        <v>5736</v>
      </c>
      <c r="M487" s="115" t="s">
        <v>5736</v>
      </c>
      <c r="N487" s="115" t="s">
        <v>6504</v>
      </c>
      <c r="O487" s="115">
        <v>1.25</v>
      </c>
      <c r="P487" s="115" t="s">
        <v>2128</v>
      </c>
      <c r="Q487" s="166"/>
      <c r="R487" s="164"/>
      <c r="S487" s="164"/>
      <c r="T487" s="164"/>
      <c r="U487" s="164"/>
      <c r="V487" s="162"/>
      <c r="W487" s="158"/>
      <c r="X487" s="158"/>
      <c r="Y487" s="158"/>
      <c r="Z487" s="158"/>
      <c r="AA487" s="158"/>
      <c r="AB487" s="158"/>
      <c r="AC487" s="113">
        <v>479</v>
      </c>
      <c r="AD487" s="113">
        <v>103</v>
      </c>
      <c r="AE487" s="113">
        <v>93</v>
      </c>
      <c r="AF487" s="113">
        <v>67</v>
      </c>
      <c r="AG487" s="120">
        <v>71</v>
      </c>
      <c r="AH487" s="113">
        <v>61</v>
      </c>
      <c r="AI487" s="113">
        <v>84</v>
      </c>
    </row>
    <row r="488" spans="1:35">
      <c r="A488" s="113">
        <v>436</v>
      </c>
      <c r="B488" s="113" t="s">
        <v>470</v>
      </c>
      <c r="C488" s="120" t="s">
        <v>5738</v>
      </c>
      <c r="D488" s="124" t="s">
        <v>1109</v>
      </c>
      <c r="E488" s="124" t="s">
        <v>1109</v>
      </c>
      <c r="F488" s="113" t="s">
        <v>2112</v>
      </c>
      <c r="G488" s="113" t="s">
        <v>2120</v>
      </c>
      <c r="H488" s="113" t="s">
        <v>106</v>
      </c>
      <c r="I488" s="113" t="s">
        <v>86</v>
      </c>
      <c r="J488" s="118" t="s">
        <v>2129</v>
      </c>
      <c r="K488" s="118">
        <v>2</v>
      </c>
      <c r="L488" s="118" t="s">
        <v>5738</v>
      </c>
      <c r="M488" s="115" t="s">
        <v>1109</v>
      </c>
      <c r="N488" s="115" t="s">
        <v>6505</v>
      </c>
      <c r="O488" s="115">
        <v>1.25</v>
      </c>
      <c r="P488" s="115" t="s">
        <v>1109</v>
      </c>
      <c r="Q488" s="166"/>
      <c r="R488" s="164"/>
      <c r="S488" s="164"/>
      <c r="T488" s="164"/>
      <c r="U488" s="164"/>
      <c r="V488" s="162"/>
      <c r="W488" s="158"/>
      <c r="X488" s="158"/>
      <c r="Y488" s="158"/>
      <c r="Z488" s="158"/>
      <c r="AA488" s="158"/>
      <c r="AB488" s="158"/>
      <c r="AC488" s="113">
        <v>300</v>
      </c>
      <c r="AD488" s="113">
        <v>57</v>
      </c>
      <c r="AE488" s="113">
        <v>24</v>
      </c>
      <c r="AF488" s="113">
        <v>86</v>
      </c>
      <c r="AG488" s="120">
        <v>24</v>
      </c>
      <c r="AH488" s="113">
        <v>86</v>
      </c>
      <c r="AI488" s="113">
        <v>23</v>
      </c>
    </row>
    <row r="489" spans="1:35">
      <c r="A489" s="113">
        <v>437</v>
      </c>
      <c r="B489" s="113" t="s">
        <v>471</v>
      </c>
      <c r="C489" s="120" t="s">
        <v>5739</v>
      </c>
      <c r="D489" s="124" t="s">
        <v>1109</v>
      </c>
      <c r="E489" s="124" t="s">
        <v>1109</v>
      </c>
      <c r="F489" s="113" t="s">
        <v>2112</v>
      </c>
      <c r="G489" s="113" t="s">
        <v>2120</v>
      </c>
      <c r="H489" s="113" t="s">
        <v>106</v>
      </c>
      <c r="I489" s="113" t="s">
        <v>86</v>
      </c>
      <c r="J489" s="118" t="s">
        <v>2129</v>
      </c>
      <c r="K489" s="118">
        <v>2</v>
      </c>
      <c r="L489" s="118" t="s">
        <v>5738</v>
      </c>
      <c r="M489" s="115" t="s">
        <v>5738</v>
      </c>
      <c r="N489" s="115" t="s">
        <v>6504</v>
      </c>
      <c r="O489" s="115">
        <v>1.25</v>
      </c>
      <c r="P489" s="115" t="s">
        <v>2128</v>
      </c>
      <c r="Q489" s="166"/>
      <c r="R489" s="164"/>
      <c r="S489" s="164"/>
      <c r="T489" s="164"/>
      <c r="U489" s="164"/>
      <c r="V489" s="162"/>
      <c r="W489" s="158"/>
      <c r="X489" s="158"/>
      <c r="Y489" s="158"/>
      <c r="Z489" s="158"/>
      <c r="AA489" s="158"/>
      <c r="AB489" s="158"/>
      <c r="AC489" s="113">
        <v>500</v>
      </c>
      <c r="AD489" s="113">
        <v>67</v>
      </c>
      <c r="AE489" s="113">
        <v>89</v>
      </c>
      <c r="AF489" s="113">
        <v>116</v>
      </c>
      <c r="AG489" s="120">
        <v>79</v>
      </c>
      <c r="AH489" s="113">
        <v>116</v>
      </c>
      <c r="AI489" s="113">
        <v>33</v>
      </c>
    </row>
    <row r="490" spans="1:35">
      <c r="A490" s="113">
        <v>438</v>
      </c>
      <c r="B490" s="113" t="s">
        <v>472</v>
      </c>
      <c r="C490" s="120" t="s">
        <v>5740</v>
      </c>
      <c r="D490" s="124">
        <v>0.5</v>
      </c>
      <c r="E490" s="124">
        <v>0.5</v>
      </c>
      <c r="F490" s="113" t="s">
        <v>2333</v>
      </c>
      <c r="G490" s="113" t="s">
        <v>2120</v>
      </c>
      <c r="H490" s="113" t="s">
        <v>98</v>
      </c>
      <c r="I490" s="113" t="s">
        <v>1109</v>
      </c>
      <c r="J490" s="118" t="s">
        <v>2129</v>
      </c>
      <c r="K490" s="118">
        <v>3</v>
      </c>
      <c r="L490" s="118" t="s">
        <v>5740</v>
      </c>
      <c r="M490" s="115" t="s">
        <v>1109</v>
      </c>
      <c r="N490" s="115" t="s">
        <v>6507</v>
      </c>
      <c r="O490" s="115">
        <v>1.5</v>
      </c>
      <c r="P490" s="115" t="s">
        <v>1109</v>
      </c>
      <c r="Q490" s="166">
        <v>0.1</v>
      </c>
      <c r="R490" s="164"/>
      <c r="S490" s="164"/>
      <c r="T490" s="164"/>
      <c r="U490" s="164"/>
      <c r="V490" s="162"/>
      <c r="W490" s="158"/>
      <c r="X490" s="158"/>
      <c r="Y490" s="158"/>
      <c r="Z490" s="158"/>
      <c r="AA490" s="158"/>
      <c r="AB490" s="158"/>
      <c r="AC490" s="113">
        <v>290</v>
      </c>
      <c r="AD490" s="113">
        <v>50</v>
      </c>
      <c r="AE490" s="113">
        <v>80</v>
      </c>
      <c r="AF490" s="113">
        <v>95</v>
      </c>
      <c r="AG490" s="120">
        <v>10</v>
      </c>
      <c r="AH490" s="113">
        <v>45</v>
      </c>
      <c r="AI490" s="113">
        <v>10</v>
      </c>
    </row>
    <row r="491" spans="1:35">
      <c r="A491" s="113">
        <v>439</v>
      </c>
      <c r="B491" s="113" t="s">
        <v>473</v>
      </c>
      <c r="C491" s="120" t="s">
        <v>5741</v>
      </c>
      <c r="D491" s="124">
        <v>0.5</v>
      </c>
      <c r="E491" s="124">
        <v>0.5</v>
      </c>
      <c r="F491" s="113" t="s">
        <v>2333</v>
      </c>
      <c r="G491" s="113" t="s">
        <v>2120</v>
      </c>
      <c r="H491" s="113" t="s">
        <v>86</v>
      </c>
      <c r="I491" s="113" t="s">
        <v>56</v>
      </c>
      <c r="J491" s="118" t="s">
        <v>2129</v>
      </c>
      <c r="K491" s="118">
        <v>3</v>
      </c>
      <c r="L491" s="118" t="s">
        <v>5741</v>
      </c>
      <c r="M491" s="115" t="s">
        <v>1109</v>
      </c>
      <c r="N491" s="115" t="s">
        <v>6507</v>
      </c>
      <c r="O491" s="115">
        <v>1.5</v>
      </c>
      <c r="P491" s="115" t="s">
        <v>1109</v>
      </c>
      <c r="Q491" s="166">
        <v>0.1</v>
      </c>
      <c r="R491" s="164"/>
      <c r="S491" s="164"/>
      <c r="T491" s="164"/>
      <c r="U491" s="164"/>
      <c r="V491" s="162"/>
      <c r="W491" s="158"/>
      <c r="X491" s="158"/>
      <c r="Y491" s="158"/>
      <c r="Z491" s="158"/>
      <c r="AA491" s="158"/>
      <c r="AB491" s="158"/>
      <c r="AC491" s="113">
        <v>310</v>
      </c>
      <c r="AD491" s="113">
        <v>20</v>
      </c>
      <c r="AE491" s="113">
        <v>25</v>
      </c>
      <c r="AF491" s="113">
        <v>45</v>
      </c>
      <c r="AG491" s="120">
        <v>70</v>
      </c>
      <c r="AH491" s="113">
        <v>90</v>
      </c>
      <c r="AI491" s="113">
        <v>60</v>
      </c>
    </row>
    <row r="492" spans="1:35">
      <c r="A492" s="113">
        <v>440</v>
      </c>
      <c r="B492" s="113" t="s">
        <v>474</v>
      </c>
      <c r="C492" s="120" t="s">
        <v>5742</v>
      </c>
      <c r="D492" s="124">
        <v>0</v>
      </c>
      <c r="E492" s="124">
        <v>1</v>
      </c>
      <c r="F492" s="113" t="s">
        <v>2333</v>
      </c>
      <c r="G492" s="113" t="s">
        <v>2120</v>
      </c>
      <c r="H492" s="113" t="s">
        <v>36</v>
      </c>
      <c r="I492" s="113" t="s">
        <v>1109</v>
      </c>
      <c r="J492" s="118" t="s">
        <v>2129</v>
      </c>
      <c r="K492" s="118">
        <v>3</v>
      </c>
      <c r="L492" s="118" t="s">
        <v>5742</v>
      </c>
      <c r="M492" s="115" t="s">
        <v>1109</v>
      </c>
      <c r="N492" s="115" t="s">
        <v>6507</v>
      </c>
      <c r="O492" s="115">
        <v>1.5</v>
      </c>
      <c r="P492" s="115" t="s">
        <v>1109</v>
      </c>
      <c r="Q492" s="166">
        <v>0.1</v>
      </c>
      <c r="R492" s="164"/>
      <c r="S492" s="164"/>
      <c r="T492" s="164"/>
      <c r="U492" s="164"/>
      <c r="V492" s="162"/>
      <c r="W492" s="158"/>
      <c r="X492" s="158"/>
      <c r="Y492" s="158"/>
      <c r="Z492" s="158"/>
      <c r="AA492" s="158"/>
      <c r="AB492" s="158"/>
      <c r="AC492" s="113">
        <v>220</v>
      </c>
      <c r="AD492" s="113">
        <v>100</v>
      </c>
      <c r="AE492" s="113">
        <v>5</v>
      </c>
      <c r="AF492" s="113">
        <v>5</v>
      </c>
      <c r="AG492" s="120">
        <v>15</v>
      </c>
      <c r="AH492" s="113">
        <v>65</v>
      </c>
      <c r="AI492" s="113">
        <v>30</v>
      </c>
    </row>
    <row r="493" spans="1:35">
      <c r="A493" s="113">
        <v>441</v>
      </c>
      <c r="B493" s="113" t="s">
        <v>475</v>
      </c>
      <c r="C493" s="120" t="s">
        <v>5743</v>
      </c>
      <c r="D493" s="124">
        <v>0.5</v>
      </c>
      <c r="E493" s="124">
        <v>0.5</v>
      </c>
      <c r="F493" s="113" t="s">
        <v>22</v>
      </c>
      <c r="G493" s="113" t="s">
        <v>2120</v>
      </c>
      <c r="H493" s="113" t="s">
        <v>36</v>
      </c>
      <c r="I493" s="113" t="s">
        <v>22</v>
      </c>
      <c r="J493" s="118" t="s">
        <v>2129</v>
      </c>
      <c r="K493" s="118">
        <v>2</v>
      </c>
      <c r="L493" s="118" t="s">
        <v>5743</v>
      </c>
      <c r="M493" s="115" t="s">
        <v>1109</v>
      </c>
      <c r="N493" s="115" t="s">
        <v>6504</v>
      </c>
      <c r="O493" s="115">
        <v>1.25</v>
      </c>
      <c r="P493" s="115" t="s">
        <v>1109</v>
      </c>
      <c r="Q493" s="166"/>
      <c r="R493" s="164"/>
      <c r="S493" s="164"/>
      <c r="T493" s="164"/>
      <c r="U493" s="164"/>
      <c r="V493" s="162"/>
      <c r="W493" s="158"/>
      <c r="X493" s="158"/>
      <c r="Y493" s="158"/>
      <c r="Z493" s="158"/>
      <c r="AA493" s="158"/>
      <c r="AB493" s="158"/>
      <c r="AC493" s="113">
        <v>411</v>
      </c>
      <c r="AD493" s="113">
        <v>76</v>
      </c>
      <c r="AE493" s="113">
        <v>65</v>
      </c>
      <c r="AF493" s="113">
        <v>45</v>
      </c>
      <c r="AG493" s="120">
        <v>92</v>
      </c>
      <c r="AH493" s="113">
        <v>42</v>
      </c>
      <c r="AI493" s="113">
        <v>91</v>
      </c>
    </row>
    <row r="494" spans="1:35">
      <c r="A494" s="113">
        <v>442</v>
      </c>
      <c r="B494" s="113" t="s">
        <v>476</v>
      </c>
      <c r="C494" s="120" t="s">
        <v>5744</v>
      </c>
      <c r="D494" s="124">
        <v>0.5</v>
      </c>
      <c r="E494" s="124">
        <v>0.5</v>
      </c>
      <c r="F494" s="113" t="s">
        <v>2336</v>
      </c>
      <c r="G494" s="113" t="s">
        <v>2120</v>
      </c>
      <c r="H494" s="113" t="s">
        <v>119</v>
      </c>
      <c r="I494" s="113" t="s">
        <v>158</v>
      </c>
      <c r="J494" s="118" t="s">
        <v>2129</v>
      </c>
      <c r="K494" s="118">
        <v>3</v>
      </c>
      <c r="L494" s="118" t="s">
        <v>5744</v>
      </c>
      <c r="M494" s="115" t="s">
        <v>1109</v>
      </c>
      <c r="N494" s="115" t="s">
        <v>6504</v>
      </c>
      <c r="O494" s="115">
        <v>1.5</v>
      </c>
      <c r="P494" s="115" t="s">
        <v>1109</v>
      </c>
      <c r="Q494" s="166"/>
      <c r="R494" s="164"/>
      <c r="S494" s="164"/>
      <c r="T494" s="164"/>
      <c r="U494" s="164"/>
      <c r="V494" s="162"/>
      <c r="W494" s="158"/>
      <c r="X494" s="158"/>
      <c r="Y494" s="158"/>
      <c r="Z494" s="158"/>
      <c r="AA494" s="158"/>
      <c r="AB494" s="158"/>
      <c r="AC494" s="113">
        <v>485</v>
      </c>
      <c r="AD494" s="113">
        <v>50</v>
      </c>
      <c r="AE494" s="113">
        <v>92</v>
      </c>
      <c r="AF494" s="113">
        <v>108</v>
      </c>
      <c r="AG494" s="120">
        <v>92</v>
      </c>
      <c r="AH494" s="113">
        <v>108</v>
      </c>
      <c r="AI494" s="113">
        <v>35</v>
      </c>
    </row>
    <row r="495" spans="1:35">
      <c r="A495" s="113">
        <v>443</v>
      </c>
      <c r="B495" s="113" t="s">
        <v>477</v>
      </c>
      <c r="C495" s="120" t="s">
        <v>5745</v>
      </c>
      <c r="D495" s="124">
        <v>0.5</v>
      </c>
      <c r="E495" s="124">
        <v>0.5</v>
      </c>
      <c r="F495" s="113" t="s">
        <v>23</v>
      </c>
      <c r="G495" s="113" t="s">
        <v>2120</v>
      </c>
      <c r="H495" s="113" t="s">
        <v>23</v>
      </c>
      <c r="I495" s="113" t="s">
        <v>49</v>
      </c>
      <c r="J495" s="118" t="s">
        <v>2129</v>
      </c>
      <c r="K495" s="118">
        <v>3</v>
      </c>
      <c r="L495" s="118" t="s">
        <v>5745</v>
      </c>
      <c r="M495" s="115" t="s">
        <v>1109</v>
      </c>
      <c r="N495" s="115" t="s">
        <v>6505</v>
      </c>
      <c r="O495" s="115">
        <v>1.5</v>
      </c>
      <c r="P495" s="115" t="s">
        <v>1109</v>
      </c>
      <c r="Q495" s="166"/>
      <c r="R495" s="164"/>
      <c r="S495" s="164"/>
      <c r="T495" s="164"/>
      <c r="U495" s="164"/>
      <c r="V495" s="162"/>
      <c r="W495" s="158"/>
      <c r="X495" s="158"/>
      <c r="Y495" s="158"/>
      <c r="Z495" s="158"/>
      <c r="AA495" s="158"/>
      <c r="AB495" s="158"/>
      <c r="AC495" s="113">
        <v>300</v>
      </c>
      <c r="AD495" s="113">
        <v>58</v>
      </c>
      <c r="AE495" s="113">
        <v>70</v>
      </c>
      <c r="AF495" s="113">
        <v>45</v>
      </c>
      <c r="AG495" s="120">
        <v>40</v>
      </c>
      <c r="AH495" s="113">
        <v>45</v>
      </c>
      <c r="AI495" s="113">
        <v>42</v>
      </c>
    </row>
    <row r="496" spans="1:35">
      <c r="A496" s="113">
        <v>444</v>
      </c>
      <c r="B496" s="113" t="s">
        <v>478</v>
      </c>
      <c r="C496" s="120" t="s">
        <v>5746</v>
      </c>
      <c r="D496" s="124">
        <v>0.5</v>
      </c>
      <c r="E496" s="124">
        <v>0.5</v>
      </c>
      <c r="F496" s="113" t="s">
        <v>23</v>
      </c>
      <c r="G496" s="113" t="s">
        <v>2120</v>
      </c>
      <c r="H496" s="113" t="s">
        <v>23</v>
      </c>
      <c r="I496" s="113" t="s">
        <v>49</v>
      </c>
      <c r="J496" s="118" t="s">
        <v>2129</v>
      </c>
      <c r="K496" s="118">
        <v>3</v>
      </c>
      <c r="L496" s="118" t="s">
        <v>5745</v>
      </c>
      <c r="M496" s="115" t="s">
        <v>5745</v>
      </c>
      <c r="N496" s="115" t="s">
        <v>6506</v>
      </c>
      <c r="O496" s="115">
        <v>1.5</v>
      </c>
      <c r="P496" s="115" t="s">
        <v>2128</v>
      </c>
      <c r="Q496" s="166"/>
      <c r="R496" s="164"/>
      <c r="S496" s="164"/>
      <c r="T496" s="164"/>
      <c r="U496" s="164"/>
      <c r="V496" s="162"/>
      <c r="W496" s="158"/>
      <c r="X496" s="158"/>
      <c r="Y496" s="158"/>
      <c r="Z496" s="158"/>
      <c r="AA496" s="158"/>
      <c r="AB496" s="158"/>
      <c r="AC496" s="113">
        <v>410</v>
      </c>
      <c r="AD496" s="113">
        <v>68</v>
      </c>
      <c r="AE496" s="113">
        <v>90</v>
      </c>
      <c r="AF496" s="113">
        <v>65</v>
      </c>
      <c r="AG496" s="120">
        <v>50</v>
      </c>
      <c r="AH496" s="113">
        <v>55</v>
      </c>
      <c r="AI496" s="113">
        <v>82</v>
      </c>
    </row>
    <row r="497" spans="1:35">
      <c r="A497" s="113">
        <v>445</v>
      </c>
      <c r="B497" s="113" t="s">
        <v>479</v>
      </c>
      <c r="C497" s="120" t="s">
        <v>5747</v>
      </c>
      <c r="D497" s="124">
        <v>0.5</v>
      </c>
      <c r="E497" s="124">
        <v>0.5</v>
      </c>
      <c r="F497" s="113" t="s">
        <v>23</v>
      </c>
      <c r="G497" s="113" t="s">
        <v>2120</v>
      </c>
      <c r="H497" s="113" t="s">
        <v>23</v>
      </c>
      <c r="I497" s="113" t="s">
        <v>49</v>
      </c>
      <c r="J497" s="118" t="s">
        <v>2129</v>
      </c>
      <c r="K497" s="118">
        <v>3</v>
      </c>
      <c r="L497" s="118" t="s">
        <v>5745</v>
      </c>
      <c r="M497" s="115" t="s">
        <v>5746</v>
      </c>
      <c r="N497" s="115" t="s">
        <v>6504</v>
      </c>
      <c r="O497" s="115">
        <v>1.5</v>
      </c>
      <c r="P497" s="115" t="s">
        <v>2128</v>
      </c>
      <c r="Q497" s="166"/>
      <c r="R497" s="164"/>
      <c r="S497" s="164"/>
      <c r="T497" s="164"/>
      <c r="U497" s="164"/>
      <c r="V497" s="162"/>
      <c r="W497" s="158"/>
      <c r="X497" s="158"/>
      <c r="Y497" s="158"/>
      <c r="Z497" s="158"/>
      <c r="AA497" s="158"/>
      <c r="AB497" s="158"/>
      <c r="AC497" s="113">
        <v>600</v>
      </c>
      <c r="AD497" s="113">
        <v>108</v>
      </c>
      <c r="AE497" s="113">
        <v>130</v>
      </c>
      <c r="AF497" s="113">
        <v>95</v>
      </c>
      <c r="AG497" s="120">
        <v>80</v>
      </c>
      <c r="AH497" s="113">
        <v>85</v>
      </c>
      <c r="AI497" s="113">
        <v>102</v>
      </c>
    </row>
    <row r="498" spans="1:35">
      <c r="A498" s="113">
        <v>446</v>
      </c>
      <c r="B498" s="113" t="s">
        <v>480</v>
      </c>
      <c r="C498" s="120" t="s">
        <v>5749</v>
      </c>
      <c r="D498" s="124">
        <v>0.85</v>
      </c>
      <c r="E498" s="124">
        <v>0.15</v>
      </c>
      <c r="F498" s="113" t="s">
        <v>2333</v>
      </c>
      <c r="G498" s="113" t="s">
        <v>2120</v>
      </c>
      <c r="H498" s="113" t="s">
        <v>36</v>
      </c>
      <c r="I498" s="113" t="s">
        <v>1109</v>
      </c>
      <c r="J498" s="118" t="s">
        <v>2129</v>
      </c>
      <c r="K498" s="118">
        <v>3</v>
      </c>
      <c r="L498" s="118" t="s">
        <v>5749</v>
      </c>
      <c r="M498" s="115" t="s">
        <v>1109</v>
      </c>
      <c r="N498" s="115" t="s">
        <v>6507</v>
      </c>
      <c r="O498" s="115">
        <v>1.5</v>
      </c>
      <c r="P498" s="115" t="s">
        <v>1109</v>
      </c>
      <c r="Q498" s="166">
        <v>0.1</v>
      </c>
      <c r="R498" s="164"/>
      <c r="S498" s="164"/>
      <c r="T498" s="164"/>
      <c r="U498" s="164"/>
      <c r="V498" s="162"/>
      <c r="W498" s="158"/>
      <c r="X498" s="158"/>
      <c r="Y498" s="158"/>
      <c r="Z498" s="158"/>
      <c r="AA498" s="158"/>
      <c r="AB498" s="158"/>
      <c r="AC498" s="113">
        <v>390</v>
      </c>
      <c r="AD498" s="113">
        <v>135</v>
      </c>
      <c r="AE498" s="113">
        <v>85</v>
      </c>
      <c r="AF498" s="113">
        <v>40</v>
      </c>
      <c r="AG498" s="120">
        <v>40</v>
      </c>
      <c r="AH498" s="113">
        <v>85</v>
      </c>
      <c r="AI498" s="113">
        <v>5</v>
      </c>
    </row>
    <row r="499" spans="1:35">
      <c r="A499" s="113">
        <v>447</v>
      </c>
      <c r="B499" s="113" t="s">
        <v>481</v>
      </c>
      <c r="C499" s="120" t="s">
        <v>5750</v>
      </c>
      <c r="D499" s="124">
        <v>0.85</v>
      </c>
      <c r="E499" s="124">
        <v>0.15</v>
      </c>
      <c r="F499" s="113" t="s">
        <v>2333</v>
      </c>
      <c r="G499" s="113" t="s">
        <v>2120</v>
      </c>
      <c r="H499" s="113" t="s">
        <v>78</v>
      </c>
      <c r="I499" s="113" t="s">
        <v>1109</v>
      </c>
      <c r="J499" s="118" t="s">
        <v>2129</v>
      </c>
      <c r="K499" s="118">
        <v>3</v>
      </c>
      <c r="L499" s="118" t="s">
        <v>5750</v>
      </c>
      <c r="M499" s="115" t="s">
        <v>1109</v>
      </c>
      <c r="N499" s="115" t="s">
        <v>6507</v>
      </c>
      <c r="O499" s="115">
        <v>1.5</v>
      </c>
      <c r="P499" s="115" t="s">
        <v>1109</v>
      </c>
      <c r="Q499" s="166">
        <v>0.1</v>
      </c>
      <c r="R499" s="164"/>
      <c r="S499" s="164"/>
      <c r="T499" s="164"/>
      <c r="U499" s="164"/>
      <c r="V499" s="162"/>
      <c r="W499" s="158"/>
      <c r="X499" s="158"/>
      <c r="Y499" s="158"/>
      <c r="Z499" s="158"/>
      <c r="AA499" s="158"/>
      <c r="AB499" s="158"/>
      <c r="AC499" s="113">
        <v>285</v>
      </c>
      <c r="AD499" s="113">
        <v>40</v>
      </c>
      <c r="AE499" s="113">
        <v>70</v>
      </c>
      <c r="AF499" s="113">
        <v>40</v>
      </c>
      <c r="AG499" s="120">
        <v>35</v>
      </c>
      <c r="AH499" s="113">
        <v>40</v>
      </c>
      <c r="AI499" s="113">
        <v>60</v>
      </c>
    </row>
    <row r="500" spans="1:35">
      <c r="A500" s="113">
        <v>448</v>
      </c>
      <c r="B500" s="113" t="s">
        <v>482</v>
      </c>
      <c r="C500" s="120" t="s">
        <v>5751</v>
      </c>
      <c r="D500" s="124">
        <v>0.85</v>
      </c>
      <c r="E500" s="124">
        <v>0.15</v>
      </c>
      <c r="F500" s="113" t="s">
        <v>2334</v>
      </c>
      <c r="G500" s="113" t="s">
        <v>2120</v>
      </c>
      <c r="H500" s="113" t="s">
        <v>78</v>
      </c>
      <c r="I500" s="113" t="s">
        <v>106</v>
      </c>
      <c r="J500" s="118" t="s">
        <v>2129</v>
      </c>
      <c r="K500" s="118">
        <v>3</v>
      </c>
      <c r="L500" s="118" t="s">
        <v>5750</v>
      </c>
      <c r="M500" s="115" t="s">
        <v>5750</v>
      </c>
      <c r="N500" s="115" t="s">
        <v>6504</v>
      </c>
      <c r="O500" s="115">
        <v>1.5</v>
      </c>
      <c r="P500" s="115" t="s">
        <v>2128</v>
      </c>
      <c r="Q500" s="166">
        <v>2</v>
      </c>
      <c r="R500" s="164"/>
      <c r="S500" s="164">
        <v>70</v>
      </c>
      <c r="T500" s="164"/>
      <c r="U500" s="164">
        <v>70</v>
      </c>
      <c r="V500" s="162"/>
      <c r="W500" s="158" t="s">
        <v>6531</v>
      </c>
      <c r="X500" s="158"/>
      <c r="Y500" s="158">
        <v>70</v>
      </c>
      <c r="Z500" s="158">
        <v>8</v>
      </c>
      <c r="AA500" s="158"/>
      <c r="AB500" s="158"/>
      <c r="AC500" s="113">
        <v>525</v>
      </c>
      <c r="AD500" s="113">
        <v>70</v>
      </c>
      <c r="AE500" s="113">
        <v>110</v>
      </c>
      <c r="AF500" s="113">
        <v>70</v>
      </c>
      <c r="AG500" s="120">
        <v>115</v>
      </c>
      <c r="AH500" s="113">
        <v>70</v>
      </c>
      <c r="AI500" s="113">
        <v>90</v>
      </c>
    </row>
    <row r="501" spans="1:35">
      <c r="A501" s="113">
        <v>449</v>
      </c>
      <c r="B501" s="113" t="s">
        <v>483</v>
      </c>
      <c r="C501" s="120" t="s">
        <v>5753</v>
      </c>
      <c r="D501" s="124">
        <v>0.5</v>
      </c>
      <c r="E501" s="124">
        <v>0.5</v>
      </c>
      <c r="F501" s="113" t="s">
        <v>2332</v>
      </c>
      <c r="G501" s="113" t="s">
        <v>2120</v>
      </c>
      <c r="H501" s="113" t="s">
        <v>49</v>
      </c>
      <c r="I501" s="113" t="s">
        <v>1109</v>
      </c>
      <c r="J501" s="118" t="s">
        <v>2129</v>
      </c>
      <c r="K501" s="118">
        <v>2</v>
      </c>
      <c r="L501" s="118" t="s">
        <v>5753</v>
      </c>
      <c r="M501" s="115" t="s">
        <v>1109</v>
      </c>
      <c r="N501" s="115" t="s">
        <v>6505</v>
      </c>
      <c r="O501" s="115">
        <v>1.25</v>
      </c>
      <c r="P501" s="115" t="s">
        <v>1109</v>
      </c>
      <c r="Q501" s="166"/>
      <c r="R501" s="164"/>
      <c r="S501" s="164"/>
      <c r="T501" s="164"/>
      <c r="U501" s="164"/>
      <c r="V501" s="162"/>
      <c r="W501" s="158"/>
      <c r="X501" s="158"/>
      <c r="Y501" s="158"/>
      <c r="Z501" s="158"/>
      <c r="AA501" s="158"/>
      <c r="AB501" s="158"/>
      <c r="AC501" s="113">
        <v>330</v>
      </c>
      <c r="AD501" s="113">
        <v>68</v>
      </c>
      <c r="AE501" s="113">
        <v>72</v>
      </c>
      <c r="AF501" s="113">
        <v>78</v>
      </c>
      <c r="AG501" s="120">
        <v>38</v>
      </c>
      <c r="AH501" s="113">
        <v>42</v>
      </c>
      <c r="AI501" s="113">
        <v>32</v>
      </c>
    </row>
    <row r="502" spans="1:35">
      <c r="A502" s="113">
        <v>450</v>
      </c>
      <c r="B502" s="113" t="s">
        <v>484</v>
      </c>
      <c r="C502" s="120" t="s">
        <v>5754</v>
      </c>
      <c r="D502" s="124">
        <v>0.5</v>
      </c>
      <c r="E502" s="124">
        <v>0.5</v>
      </c>
      <c r="F502" s="113" t="s">
        <v>2332</v>
      </c>
      <c r="G502" s="113" t="s">
        <v>2120</v>
      </c>
      <c r="H502" s="113" t="s">
        <v>49</v>
      </c>
      <c r="I502" s="113" t="s">
        <v>1109</v>
      </c>
      <c r="J502" s="118" t="s">
        <v>2129</v>
      </c>
      <c r="K502" s="118">
        <v>2</v>
      </c>
      <c r="L502" s="118" t="s">
        <v>5753</v>
      </c>
      <c r="M502" s="115" t="s">
        <v>5753</v>
      </c>
      <c r="N502" s="115" t="s">
        <v>6504</v>
      </c>
      <c r="O502" s="115">
        <v>1.25</v>
      </c>
      <c r="P502" s="115" t="s">
        <v>2128</v>
      </c>
      <c r="Q502" s="166"/>
      <c r="R502" s="164"/>
      <c r="S502" s="164"/>
      <c r="T502" s="164"/>
      <c r="U502" s="164"/>
      <c r="V502" s="162"/>
      <c r="W502" s="158"/>
      <c r="X502" s="158"/>
      <c r="Y502" s="158"/>
      <c r="Z502" s="158"/>
      <c r="AA502" s="158"/>
      <c r="AB502" s="158"/>
      <c r="AC502" s="113">
        <v>525</v>
      </c>
      <c r="AD502" s="113">
        <v>108</v>
      </c>
      <c r="AE502" s="113">
        <v>112</v>
      </c>
      <c r="AF502" s="113">
        <v>118</v>
      </c>
      <c r="AG502" s="120">
        <v>68</v>
      </c>
      <c r="AH502" s="113">
        <v>72</v>
      </c>
      <c r="AI502" s="113">
        <v>47</v>
      </c>
    </row>
    <row r="503" spans="1:35">
      <c r="A503" s="113">
        <v>451</v>
      </c>
      <c r="B503" s="113" t="s">
        <v>485</v>
      </c>
      <c r="C503" s="120" t="s">
        <v>5755</v>
      </c>
      <c r="D503" s="124">
        <v>0.5</v>
      </c>
      <c r="E503" s="124">
        <v>0.5</v>
      </c>
      <c r="F503" s="113" t="s">
        <v>29</v>
      </c>
      <c r="G503" s="113" t="s">
        <v>2120</v>
      </c>
      <c r="H503" s="113" t="s">
        <v>15</v>
      </c>
      <c r="I503" s="113" t="s">
        <v>29</v>
      </c>
      <c r="J503" s="118" t="s">
        <v>2129</v>
      </c>
      <c r="K503" s="118">
        <v>2</v>
      </c>
      <c r="L503" s="118" t="s">
        <v>5755</v>
      </c>
      <c r="M503" s="115" t="s">
        <v>1109</v>
      </c>
      <c r="N503" s="115" t="s">
        <v>6505</v>
      </c>
      <c r="O503" s="115">
        <v>1.25</v>
      </c>
      <c r="P503" s="115" t="s">
        <v>1109</v>
      </c>
      <c r="Q503" s="166"/>
      <c r="R503" s="164"/>
      <c r="S503" s="164"/>
      <c r="T503" s="164"/>
      <c r="U503" s="164"/>
      <c r="V503" s="162"/>
      <c r="W503" s="158"/>
      <c r="X503" s="158"/>
      <c r="Y503" s="158"/>
      <c r="Z503" s="158"/>
      <c r="AA503" s="158"/>
      <c r="AB503" s="158"/>
      <c r="AC503" s="113">
        <v>330</v>
      </c>
      <c r="AD503" s="113">
        <v>40</v>
      </c>
      <c r="AE503" s="113">
        <v>50</v>
      </c>
      <c r="AF503" s="113">
        <v>90</v>
      </c>
      <c r="AG503" s="120">
        <v>30</v>
      </c>
      <c r="AH503" s="113">
        <v>55</v>
      </c>
      <c r="AI503" s="113">
        <v>65</v>
      </c>
    </row>
    <row r="504" spans="1:35">
      <c r="A504" s="113">
        <v>452</v>
      </c>
      <c r="B504" s="113" t="s">
        <v>486</v>
      </c>
      <c r="C504" s="120" t="s">
        <v>5756</v>
      </c>
      <c r="D504" s="124">
        <v>0.5</v>
      </c>
      <c r="E504" s="124">
        <v>0.5</v>
      </c>
      <c r="F504" s="113" t="s">
        <v>29</v>
      </c>
      <c r="G504" s="113" t="s">
        <v>2120</v>
      </c>
      <c r="H504" s="113" t="s">
        <v>15</v>
      </c>
      <c r="I504" s="113" t="s">
        <v>158</v>
      </c>
      <c r="J504" s="118" t="s">
        <v>2129</v>
      </c>
      <c r="K504" s="118">
        <v>2</v>
      </c>
      <c r="L504" s="118" t="s">
        <v>5755</v>
      </c>
      <c r="M504" s="115" t="s">
        <v>5755</v>
      </c>
      <c r="N504" s="115" t="s">
        <v>6504</v>
      </c>
      <c r="O504" s="115">
        <v>1.25</v>
      </c>
      <c r="P504" s="115" t="s">
        <v>2128</v>
      </c>
      <c r="Q504" s="166"/>
      <c r="R504" s="164"/>
      <c r="S504" s="164"/>
      <c r="T504" s="164"/>
      <c r="U504" s="164"/>
      <c r="V504" s="162"/>
      <c r="W504" s="158"/>
      <c r="X504" s="158"/>
      <c r="Y504" s="158"/>
      <c r="Z504" s="158"/>
      <c r="AA504" s="158"/>
      <c r="AB504" s="158"/>
      <c r="AC504" s="113">
        <v>500</v>
      </c>
      <c r="AD504" s="113">
        <v>70</v>
      </c>
      <c r="AE504" s="113">
        <v>90</v>
      </c>
      <c r="AF504" s="113">
        <v>110</v>
      </c>
      <c r="AG504" s="120">
        <v>60</v>
      </c>
      <c r="AH504" s="113">
        <v>75</v>
      </c>
      <c r="AI504" s="113">
        <v>95</v>
      </c>
    </row>
    <row r="505" spans="1:35">
      <c r="A505" s="113">
        <v>453</v>
      </c>
      <c r="B505" s="113" t="s">
        <v>487</v>
      </c>
      <c r="C505" s="120" t="s">
        <v>5757</v>
      </c>
      <c r="D505" s="124">
        <v>0.5</v>
      </c>
      <c r="E505" s="124">
        <v>0.5</v>
      </c>
      <c r="F505" s="113" t="s">
        <v>2334</v>
      </c>
      <c r="G505" s="113" t="s">
        <v>2120</v>
      </c>
      <c r="H505" s="113" t="s">
        <v>15</v>
      </c>
      <c r="I505" s="113" t="s">
        <v>78</v>
      </c>
      <c r="J505" s="118" t="s">
        <v>2129</v>
      </c>
      <c r="K505" s="118">
        <v>2</v>
      </c>
      <c r="L505" s="118" t="s">
        <v>5757</v>
      </c>
      <c r="M505" s="115" t="s">
        <v>1109</v>
      </c>
      <c r="N505" s="115" t="s">
        <v>6505</v>
      </c>
      <c r="O505" s="115">
        <v>1.25</v>
      </c>
      <c r="P505" s="115" t="s">
        <v>1109</v>
      </c>
      <c r="Q505" s="166"/>
      <c r="R505" s="164"/>
      <c r="S505" s="164"/>
      <c r="T505" s="164"/>
      <c r="U505" s="164"/>
      <c r="V505" s="162"/>
      <c r="W505" s="158"/>
      <c r="X505" s="158"/>
      <c r="Y505" s="158"/>
      <c r="Z505" s="158"/>
      <c r="AA505" s="158"/>
      <c r="AB505" s="158"/>
      <c r="AC505" s="113">
        <v>300</v>
      </c>
      <c r="AD505" s="113">
        <v>48</v>
      </c>
      <c r="AE505" s="113">
        <v>61</v>
      </c>
      <c r="AF505" s="113">
        <v>40</v>
      </c>
      <c r="AG505" s="120">
        <v>61</v>
      </c>
      <c r="AH505" s="113">
        <v>40</v>
      </c>
      <c r="AI505" s="113">
        <v>50</v>
      </c>
    </row>
    <row r="506" spans="1:35">
      <c r="A506" s="113">
        <v>454</v>
      </c>
      <c r="B506" s="113" t="s">
        <v>488</v>
      </c>
      <c r="C506" s="120" t="s">
        <v>5758</v>
      </c>
      <c r="D506" s="124">
        <v>0.5</v>
      </c>
      <c r="E506" s="124">
        <v>0.5</v>
      </c>
      <c r="F506" s="113" t="s">
        <v>2334</v>
      </c>
      <c r="G506" s="113" t="s">
        <v>2120</v>
      </c>
      <c r="H506" s="113" t="s">
        <v>15</v>
      </c>
      <c r="I506" s="113" t="s">
        <v>78</v>
      </c>
      <c r="J506" s="118" t="s">
        <v>2129</v>
      </c>
      <c r="K506" s="118">
        <v>2</v>
      </c>
      <c r="L506" s="118" t="s">
        <v>5757</v>
      </c>
      <c r="M506" s="115" t="s">
        <v>5757</v>
      </c>
      <c r="N506" s="115" t="s">
        <v>6504</v>
      </c>
      <c r="O506" s="115">
        <v>1.25</v>
      </c>
      <c r="P506" s="115" t="s">
        <v>2128</v>
      </c>
      <c r="Q506" s="166"/>
      <c r="R506" s="164"/>
      <c r="S506" s="164"/>
      <c r="T506" s="164"/>
      <c r="U506" s="164"/>
      <c r="V506" s="162"/>
      <c r="W506" s="158"/>
      <c r="X506" s="158"/>
      <c r="Y506" s="158"/>
      <c r="Z506" s="158"/>
      <c r="AA506" s="158"/>
      <c r="AB506" s="158"/>
      <c r="AC506" s="113">
        <v>490</v>
      </c>
      <c r="AD506" s="113">
        <v>83</v>
      </c>
      <c r="AE506" s="113">
        <v>106</v>
      </c>
      <c r="AF506" s="113">
        <v>65</v>
      </c>
      <c r="AG506" s="120">
        <v>86</v>
      </c>
      <c r="AH506" s="113">
        <v>65</v>
      </c>
      <c r="AI506" s="113">
        <v>85</v>
      </c>
    </row>
    <row r="507" spans="1:35">
      <c r="A507" s="113">
        <v>455</v>
      </c>
      <c r="B507" s="113" t="s">
        <v>489</v>
      </c>
      <c r="C507" s="120" t="s">
        <v>5759</v>
      </c>
      <c r="D507" s="124">
        <v>0.5</v>
      </c>
      <c r="E507" s="124">
        <v>0.5</v>
      </c>
      <c r="F507" s="113" t="s">
        <v>14</v>
      </c>
      <c r="G507" s="113" t="s">
        <v>2120</v>
      </c>
      <c r="H507" s="113" t="s">
        <v>14</v>
      </c>
      <c r="I507" s="113" t="s">
        <v>1109</v>
      </c>
      <c r="J507" s="118" t="s">
        <v>2129</v>
      </c>
      <c r="K507" s="118">
        <v>2</v>
      </c>
      <c r="L507" s="118" t="s">
        <v>5759</v>
      </c>
      <c r="M507" s="115" t="s">
        <v>1109</v>
      </c>
      <c r="N507" s="115" t="s">
        <v>6504</v>
      </c>
      <c r="O507" s="115">
        <v>1.25</v>
      </c>
      <c r="P507" s="115" t="s">
        <v>1109</v>
      </c>
      <c r="Q507" s="166"/>
      <c r="R507" s="164"/>
      <c r="S507" s="164"/>
      <c r="T507" s="164"/>
      <c r="U507" s="164"/>
      <c r="V507" s="162"/>
      <c r="W507" s="158"/>
      <c r="X507" s="158"/>
      <c r="Y507" s="158"/>
      <c r="Z507" s="158"/>
      <c r="AA507" s="158"/>
      <c r="AB507" s="158"/>
      <c r="AC507" s="113">
        <v>454</v>
      </c>
      <c r="AD507" s="113">
        <v>74</v>
      </c>
      <c r="AE507" s="113">
        <v>100</v>
      </c>
      <c r="AF507" s="113">
        <v>72</v>
      </c>
      <c r="AG507" s="120">
        <v>90</v>
      </c>
      <c r="AH507" s="113">
        <v>72</v>
      </c>
      <c r="AI507" s="113">
        <v>46</v>
      </c>
    </row>
    <row r="508" spans="1:35">
      <c r="A508" s="113">
        <v>456</v>
      </c>
      <c r="B508" s="113" t="s">
        <v>490</v>
      </c>
      <c r="C508" s="120" t="s">
        <v>5760</v>
      </c>
      <c r="D508" s="124">
        <v>0.5</v>
      </c>
      <c r="E508" s="124">
        <v>0.5</v>
      </c>
      <c r="F508" s="113" t="s">
        <v>2337</v>
      </c>
      <c r="G508" s="113" t="s">
        <v>2120</v>
      </c>
      <c r="H508" s="113" t="s">
        <v>25</v>
      </c>
      <c r="I508" s="113" t="s">
        <v>1109</v>
      </c>
      <c r="J508" s="118" t="s">
        <v>2129</v>
      </c>
      <c r="K508" s="118">
        <v>2</v>
      </c>
      <c r="L508" s="118" t="s">
        <v>5760</v>
      </c>
      <c r="M508" s="115" t="s">
        <v>1109</v>
      </c>
      <c r="N508" s="115" t="s">
        <v>6505</v>
      </c>
      <c r="O508" s="115">
        <v>1.25</v>
      </c>
      <c r="P508" s="115" t="s">
        <v>1109</v>
      </c>
      <c r="Q508" s="166"/>
      <c r="R508" s="164"/>
      <c r="S508" s="164"/>
      <c r="T508" s="164"/>
      <c r="U508" s="164"/>
      <c r="V508" s="162"/>
      <c r="W508" s="158"/>
      <c r="X508" s="158"/>
      <c r="Y508" s="158"/>
      <c r="Z508" s="158"/>
      <c r="AA508" s="158"/>
      <c r="AB508" s="158"/>
      <c r="AC508" s="113">
        <v>330</v>
      </c>
      <c r="AD508" s="113">
        <v>49</v>
      </c>
      <c r="AE508" s="113">
        <v>49</v>
      </c>
      <c r="AF508" s="113">
        <v>56</v>
      </c>
      <c r="AG508" s="120">
        <v>49</v>
      </c>
      <c r="AH508" s="113">
        <v>61</v>
      </c>
      <c r="AI508" s="113">
        <v>66</v>
      </c>
    </row>
    <row r="509" spans="1:35">
      <c r="A509" s="113">
        <v>457</v>
      </c>
      <c r="B509" s="113" t="s">
        <v>491</v>
      </c>
      <c r="C509" s="120" t="s">
        <v>5761</v>
      </c>
      <c r="D509" s="124">
        <v>0.5</v>
      </c>
      <c r="E509" s="124">
        <v>0.5</v>
      </c>
      <c r="F509" s="113" t="s">
        <v>2337</v>
      </c>
      <c r="G509" s="113" t="s">
        <v>2120</v>
      </c>
      <c r="H509" s="113" t="s">
        <v>25</v>
      </c>
      <c r="I509" s="113" t="s">
        <v>1109</v>
      </c>
      <c r="J509" s="118" t="s">
        <v>2129</v>
      </c>
      <c r="K509" s="118">
        <v>2</v>
      </c>
      <c r="L509" s="118" t="s">
        <v>5760</v>
      </c>
      <c r="M509" s="115" t="s">
        <v>5760</v>
      </c>
      <c r="N509" s="115" t="s">
        <v>6504</v>
      </c>
      <c r="O509" s="115">
        <v>1.25</v>
      </c>
      <c r="P509" s="115" t="s">
        <v>2128</v>
      </c>
      <c r="Q509" s="166"/>
      <c r="R509" s="164"/>
      <c r="S509" s="164"/>
      <c r="T509" s="164"/>
      <c r="U509" s="164"/>
      <c r="V509" s="162"/>
      <c r="W509" s="158"/>
      <c r="X509" s="158"/>
      <c r="Y509" s="158"/>
      <c r="Z509" s="158"/>
      <c r="AA509" s="158"/>
      <c r="AB509" s="158"/>
      <c r="AC509" s="113">
        <v>460</v>
      </c>
      <c r="AD509" s="113">
        <v>69</v>
      </c>
      <c r="AE509" s="113">
        <v>69</v>
      </c>
      <c r="AF509" s="113">
        <v>76</v>
      </c>
      <c r="AG509" s="120">
        <v>69</v>
      </c>
      <c r="AH509" s="113">
        <v>86</v>
      </c>
      <c r="AI509" s="113">
        <v>91</v>
      </c>
    </row>
    <row r="510" spans="1:35">
      <c r="A510" s="113">
        <v>458</v>
      </c>
      <c r="B510" s="113" t="s">
        <v>492</v>
      </c>
      <c r="C510" s="120" t="s">
        <v>5762</v>
      </c>
      <c r="D510" s="124">
        <v>0.5</v>
      </c>
      <c r="E510" s="124">
        <v>0.5</v>
      </c>
      <c r="F510" s="113" t="s">
        <v>2333</v>
      </c>
      <c r="G510" s="113" t="s">
        <v>2120</v>
      </c>
      <c r="H510" s="113" t="s">
        <v>25</v>
      </c>
      <c r="I510" s="113" t="s">
        <v>22</v>
      </c>
      <c r="J510" s="118" t="s">
        <v>2129</v>
      </c>
      <c r="K510" s="118">
        <v>3</v>
      </c>
      <c r="L510" s="118" t="s">
        <v>5762</v>
      </c>
      <c r="M510" s="115" t="s">
        <v>1109</v>
      </c>
      <c r="N510" s="115" t="s">
        <v>6507</v>
      </c>
      <c r="O510" s="115">
        <v>1.5</v>
      </c>
      <c r="P510" s="115" t="s">
        <v>1109</v>
      </c>
      <c r="Q510" s="166">
        <v>0.1</v>
      </c>
      <c r="R510" s="164"/>
      <c r="S510" s="164"/>
      <c r="T510" s="164"/>
      <c r="U510" s="164"/>
      <c r="V510" s="162"/>
      <c r="W510" s="158"/>
      <c r="X510" s="158"/>
      <c r="Y510" s="158"/>
      <c r="Z510" s="158"/>
      <c r="AA510" s="158"/>
      <c r="AB510" s="158"/>
      <c r="AC510" s="113">
        <v>345</v>
      </c>
      <c r="AD510" s="113">
        <v>45</v>
      </c>
      <c r="AE510" s="113">
        <v>20</v>
      </c>
      <c r="AF510" s="113">
        <v>50</v>
      </c>
      <c r="AG510" s="120">
        <v>60</v>
      </c>
      <c r="AH510" s="113">
        <v>120</v>
      </c>
      <c r="AI510" s="113">
        <v>50</v>
      </c>
    </row>
    <row r="511" spans="1:35">
      <c r="A511" s="113">
        <v>459</v>
      </c>
      <c r="B511" s="113" t="s">
        <v>493</v>
      </c>
      <c r="C511" s="120" t="s">
        <v>5763</v>
      </c>
      <c r="D511" s="124">
        <v>0.5</v>
      </c>
      <c r="E511" s="124">
        <v>0.5</v>
      </c>
      <c r="F511" s="113" t="s">
        <v>14</v>
      </c>
      <c r="G511" s="113" t="s">
        <v>2120</v>
      </c>
      <c r="H511" s="113" t="s">
        <v>14</v>
      </c>
      <c r="I511" s="113" t="s">
        <v>113</v>
      </c>
      <c r="J511" s="118" t="s">
        <v>2129</v>
      </c>
      <c r="K511" s="118">
        <v>2</v>
      </c>
      <c r="L511" s="118" t="s">
        <v>5763</v>
      </c>
      <c r="M511" s="115" t="s">
        <v>1109</v>
      </c>
      <c r="N511" s="115" t="s">
        <v>6505</v>
      </c>
      <c r="O511" s="115">
        <v>1.25</v>
      </c>
      <c r="P511" s="115" t="s">
        <v>1109</v>
      </c>
      <c r="Q511" s="166"/>
      <c r="R511" s="164"/>
      <c r="S511" s="164"/>
      <c r="T511" s="164"/>
      <c r="U511" s="164"/>
      <c r="V511" s="162"/>
      <c r="W511" s="158"/>
      <c r="X511" s="158"/>
      <c r="Y511" s="158"/>
      <c r="Z511" s="158"/>
      <c r="AA511" s="158"/>
      <c r="AB511" s="158"/>
      <c r="AC511" s="113">
        <v>334</v>
      </c>
      <c r="AD511" s="113">
        <v>60</v>
      </c>
      <c r="AE511" s="113">
        <v>62</v>
      </c>
      <c r="AF511" s="113">
        <v>50</v>
      </c>
      <c r="AG511" s="120">
        <v>62</v>
      </c>
      <c r="AH511" s="113">
        <v>60</v>
      </c>
      <c r="AI511" s="113">
        <v>40</v>
      </c>
    </row>
    <row r="512" spans="1:35">
      <c r="A512" s="113">
        <v>460</v>
      </c>
      <c r="B512" s="113" t="s">
        <v>494</v>
      </c>
      <c r="C512" s="120" t="s">
        <v>5764</v>
      </c>
      <c r="D512" s="124">
        <v>0.5</v>
      </c>
      <c r="E512" s="124">
        <v>0.5</v>
      </c>
      <c r="F512" s="113" t="s">
        <v>14</v>
      </c>
      <c r="G512" s="113" t="s">
        <v>2120</v>
      </c>
      <c r="H512" s="113" t="s">
        <v>14</v>
      </c>
      <c r="I512" s="113" t="s">
        <v>113</v>
      </c>
      <c r="J512" s="118" t="s">
        <v>2129</v>
      </c>
      <c r="K512" s="118">
        <v>2</v>
      </c>
      <c r="L512" s="118" t="s">
        <v>5763</v>
      </c>
      <c r="M512" s="115" t="s">
        <v>5763</v>
      </c>
      <c r="N512" s="115" t="s">
        <v>6504</v>
      </c>
      <c r="O512" s="115">
        <v>1.25</v>
      </c>
      <c r="P512" s="115" t="s">
        <v>2128</v>
      </c>
      <c r="Q512" s="166"/>
      <c r="R512" s="164"/>
      <c r="S512" s="164"/>
      <c r="T512" s="164"/>
      <c r="U512" s="164"/>
      <c r="V512" s="162"/>
      <c r="W512" s="158"/>
      <c r="X512" s="158"/>
      <c r="Y512" s="158"/>
      <c r="Z512" s="158"/>
      <c r="AA512" s="158"/>
      <c r="AB512" s="158"/>
      <c r="AC512" s="113">
        <v>494</v>
      </c>
      <c r="AD512" s="113">
        <v>90</v>
      </c>
      <c r="AE512" s="113">
        <v>92</v>
      </c>
      <c r="AF512" s="113">
        <v>75</v>
      </c>
      <c r="AG512" s="120">
        <v>92</v>
      </c>
      <c r="AH512" s="113">
        <v>85</v>
      </c>
      <c r="AI512" s="113">
        <v>60</v>
      </c>
    </row>
    <row r="513" spans="1:35">
      <c r="A513" s="113">
        <v>461</v>
      </c>
      <c r="B513" s="113" t="s">
        <v>495</v>
      </c>
      <c r="C513" s="120" t="s">
        <v>5766</v>
      </c>
      <c r="D513" s="124">
        <v>0.5</v>
      </c>
      <c r="E513" s="124">
        <v>0.5</v>
      </c>
      <c r="F513" s="113" t="s">
        <v>2332</v>
      </c>
      <c r="G513" s="113" t="s">
        <v>2120</v>
      </c>
      <c r="H513" s="113" t="s">
        <v>158</v>
      </c>
      <c r="I513" s="113" t="s">
        <v>113</v>
      </c>
      <c r="J513" s="118" t="s">
        <v>2129</v>
      </c>
      <c r="K513" s="118">
        <v>2</v>
      </c>
      <c r="L513" s="118" t="s">
        <v>5483</v>
      </c>
      <c r="M513" s="115" t="s">
        <v>5483</v>
      </c>
      <c r="N513" s="115" t="s">
        <v>6504</v>
      </c>
      <c r="O513" s="115">
        <v>1.25</v>
      </c>
      <c r="P513" s="115" t="s">
        <v>2130</v>
      </c>
      <c r="Q513" s="166"/>
      <c r="R513" s="164"/>
      <c r="S513" s="164"/>
      <c r="T513" s="164"/>
      <c r="U513" s="164"/>
      <c r="V513" s="162"/>
      <c r="W513" s="158"/>
      <c r="X513" s="158"/>
      <c r="Y513" s="158"/>
      <c r="Z513" s="158"/>
      <c r="AA513" s="158"/>
      <c r="AB513" s="158"/>
      <c r="AC513" s="113">
        <v>510</v>
      </c>
      <c r="AD513" s="113">
        <v>70</v>
      </c>
      <c r="AE513" s="113">
        <v>120</v>
      </c>
      <c r="AF513" s="113">
        <v>65</v>
      </c>
      <c r="AG513" s="120">
        <v>45</v>
      </c>
      <c r="AH513" s="113">
        <v>85</v>
      </c>
      <c r="AI513" s="113">
        <v>125</v>
      </c>
    </row>
    <row r="514" spans="1:35">
      <c r="A514" s="113">
        <v>462</v>
      </c>
      <c r="B514" s="113" t="s">
        <v>496</v>
      </c>
      <c r="C514" s="120" t="s">
        <v>5767</v>
      </c>
      <c r="D514" s="124" t="s">
        <v>1109</v>
      </c>
      <c r="E514" s="124" t="s">
        <v>1109</v>
      </c>
      <c r="F514" s="113" t="s">
        <v>2112</v>
      </c>
      <c r="G514" s="113" t="s">
        <v>2120</v>
      </c>
      <c r="H514" s="113" t="s">
        <v>46</v>
      </c>
      <c r="I514" s="113" t="s">
        <v>106</v>
      </c>
      <c r="J514" s="118" t="s">
        <v>2129</v>
      </c>
      <c r="K514" s="118">
        <v>1</v>
      </c>
      <c r="L514" s="118" t="s">
        <v>5320</v>
      </c>
      <c r="M514" s="115" t="s">
        <v>5766</v>
      </c>
      <c r="N514" s="115" t="s">
        <v>6504</v>
      </c>
      <c r="O514" s="115">
        <v>1</v>
      </c>
      <c r="P514" s="115" t="s">
        <v>1803</v>
      </c>
      <c r="Q514" s="166"/>
      <c r="R514" s="164"/>
      <c r="S514" s="164"/>
      <c r="T514" s="164"/>
      <c r="U514" s="164"/>
      <c r="V514" s="162"/>
      <c r="W514" s="158"/>
      <c r="X514" s="158"/>
      <c r="Y514" s="158"/>
      <c r="Z514" s="158"/>
      <c r="AA514" s="158"/>
      <c r="AB514" s="158"/>
      <c r="AC514" s="113">
        <v>535</v>
      </c>
      <c r="AD514" s="113">
        <v>70</v>
      </c>
      <c r="AE514" s="113">
        <v>70</v>
      </c>
      <c r="AF514" s="113">
        <v>115</v>
      </c>
      <c r="AG514" s="120">
        <v>130</v>
      </c>
      <c r="AH514" s="113">
        <v>90</v>
      </c>
      <c r="AI514" s="113">
        <v>60</v>
      </c>
    </row>
    <row r="515" spans="1:35">
      <c r="A515" s="113">
        <v>463</v>
      </c>
      <c r="B515" s="113" t="s">
        <v>497</v>
      </c>
      <c r="C515" s="120" t="s">
        <v>5768</v>
      </c>
      <c r="D515" s="124">
        <v>0.5</v>
      </c>
      <c r="E515" s="124">
        <v>0.5</v>
      </c>
      <c r="F515" s="113" t="s">
        <v>2330</v>
      </c>
      <c r="G515" s="113" t="s">
        <v>2120</v>
      </c>
      <c r="H515" s="113" t="s">
        <v>36</v>
      </c>
      <c r="I515" s="113" t="s">
        <v>1109</v>
      </c>
      <c r="J515" s="118" t="s">
        <v>2129</v>
      </c>
      <c r="K515" s="118">
        <v>3</v>
      </c>
      <c r="L515" s="118" t="s">
        <v>5355</v>
      </c>
      <c r="M515" s="115" t="s">
        <v>5355</v>
      </c>
      <c r="N515" s="115" t="s">
        <v>6504</v>
      </c>
      <c r="O515" s="115">
        <v>1.5</v>
      </c>
      <c r="P515" s="115" t="s">
        <v>2128</v>
      </c>
      <c r="Q515" s="166"/>
      <c r="R515" s="164"/>
      <c r="S515" s="164"/>
      <c r="T515" s="164"/>
      <c r="U515" s="164"/>
      <c r="V515" s="162"/>
      <c r="W515" s="158"/>
      <c r="X515" s="158"/>
      <c r="Y515" s="158"/>
      <c r="Z515" s="158"/>
      <c r="AA515" s="158"/>
      <c r="AB515" s="158"/>
      <c r="AC515" s="113">
        <v>515</v>
      </c>
      <c r="AD515" s="113">
        <v>110</v>
      </c>
      <c r="AE515" s="113">
        <v>85</v>
      </c>
      <c r="AF515" s="113">
        <v>95</v>
      </c>
      <c r="AG515" s="120">
        <v>80</v>
      </c>
      <c r="AH515" s="113">
        <v>95</v>
      </c>
      <c r="AI515" s="113">
        <v>50</v>
      </c>
    </row>
    <row r="516" spans="1:35">
      <c r="A516" s="113">
        <v>464</v>
      </c>
      <c r="B516" s="113" t="s">
        <v>498</v>
      </c>
      <c r="C516" s="120" t="s">
        <v>5769</v>
      </c>
      <c r="D516" s="124">
        <v>0.5</v>
      </c>
      <c r="E516" s="124">
        <v>0.5</v>
      </c>
      <c r="F516" s="113" t="s">
        <v>2332</v>
      </c>
      <c r="G516" s="113" t="s">
        <v>2120</v>
      </c>
      <c r="H516" s="113" t="s">
        <v>49</v>
      </c>
      <c r="I516" s="113" t="s">
        <v>98</v>
      </c>
      <c r="J516" s="118" t="s">
        <v>2129</v>
      </c>
      <c r="K516" s="118">
        <v>2</v>
      </c>
      <c r="L516" s="118" t="s">
        <v>5359</v>
      </c>
      <c r="M516" s="115" t="s">
        <v>5360</v>
      </c>
      <c r="N516" s="115" t="s">
        <v>6504</v>
      </c>
      <c r="O516" s="115">
        <v>1.25</v>
      </c>
      <c r="P516" s="115" t="s">
        <v>2130</v>
      </c>
      <c r="Q516" s="166"/>
      <c r="R516" s="164"/>
      <c r="S516" s="164"/>
      <c r="T516" s="164"/>
      <c r="U516" s="164"/>
      <c r="V516" s="162"/>
      <c r="W516" s="158"/>
      <c r="X516" s="158"/>
      <c r="Y516" s="158"/>
      <c r="Z516" s="158"/>
      <c r="AA516" s="158"/>
      <c r="AB516" s="158"/>
      <c r="AC516" s="113">
        <v>535</v>
      </c>
      <c r="AD516" s="113">
        <v>115</v>
      </c>
      <c r="AE516" s="113">
        <v>140</v>
      </c>
      <c r="AF516" s="113">
        <v>130</v>
      </c>
      <c r="AG516" s="120">
        <v>55</v>
      </c>
      <c r="AH516" s="113">
        <v>55</v>
      </c>
      <c r="AI516" s="113">
        <v>40</v>
      </c>
    </row>
    <row r="517" spans="1:35">
      <c r="A517" s="113">
        <v>465</v>
      </c>
      <c r="B517" s="113" t="s">
        <v>499</v>
      </c>
      <c r="C517" s="120" t="s">
        <v>5770</v>
      </c>
      <c r="D517" s="124">
        <v>0.5</v>
      </c>
      <c r="E517" s="124">
        <v>0.5</v>
      </c>
      <c r="F517" s="113" t="s">
        <v>14</v>
      </c>
      <c r="G517" s="113" t="s">
        <v>2120</v>
      </c>
      <c r="H517" s="113" t="s">
        <v>14</v>
      </c>
      <c r="I517" s="113" t="s">
        <v>1109</v>
      </c>
      <c r="J517" s="118" t="s">
        <v>2129</v>
      </c>
      <c r="K517" s="118">
        <v>2</v>
      </c>
      <c r="L517" s="118" t="s">
        <v>5362</v>
      </c>
      <c r="M517" s="115" t="s">
        <v>5362</v>
      </c>
      <c r="N517" s="115" t="s">
        <v>6504</v>
      </c>
      <c r="O517" s="115">
        <v>1.25</v>
      </c>
      <c r="P517" s="115" t="s">
        <v>2128</v>
      </c>
      <c r="Q517" s="166"/>
      <c r="R517" s="164"/>
      <c r="S517" s="164"/>
      <c r="T517" s="164"/>
      <c r="U517" s="164"/>
      <c r="V517" s="162"/>
      <c r="W517" s="158"/>
      <c r="X517" s="158"/>
      <c r="Y517" s="158"/>
      <c r="Z517" s="158"/>
      <c r="AA517" s="158"/>
      <c r="AB517" s="158"/>
      <c r="AC517" s="113">
        <v>535</v>
      </c>
      <c r="AD517" s="113">
        <v>100</v>
      </c>
      <c r="AE517" s="113">
        <v>100</v>
      </c>
      <c r="AF517" s="113">
        <v>125</v>
      </c>
      <c r="AG517" s="120">
        <v>110</v>
      </c>
      <c r="AH517" s="113">
        <v>50</v>
      </c>
      <c r="AI517" s="113">
        <v>50</v>
      </c>
    </row>
    <row r="518" spans="1:35">
      <c r="A518" s="113">
        <v>466</v>
      </c>
      <c r="B518" s="113" t="s">
        <v>500</v>
      </c>
      <c r="C518" s="120" t="s">
        <v>5771</v>
      </c>
      <c r="D518" s="124">
        <v>0.75</v>
      </c>
      <c r="E518" s="124">
        <v>0.25</v>
      </c>
      <c r="F518" s="113" t="s">
        <v>2334</v>
      </c>
      <c r="G518" s="113" t="s">
        <v>2120</v>
      </c>
      <c r="H518" s="113" t="s">
        <v>46</v>
      </c>
      <c r="I518" s="113" t="s">
        <v>1109</v>
      </c>
      <c r="J518" s="118" t="s">
        <v>2129</v>
      </c>
      <c r="K518" s="118">
        <v>3</v>
      </c>
      <c r="L518" s="118" t="s">
        <v>5510</v>
      </c>
      <c r="M518" s="115" t="s">
        <v>5375</v>
      </c>
      <c r="N518" s="115" t="s">
        <v>6504</v>
      </c>
      <c r="O518" s="115">
        <v>1.5</v>
      </c>
      <c r="P518" s="115" t="s">
        <v>2130</v>
      </c>
      <c r="Q518" s="166">
        <v>2</v>
      </c>
      <c r="R518" s="164"/>
      <c r="S518" s="164"/>
      <c r="T518" s="164"/>
      <c r="U518" s="164"/>
      <c r="V518" s="162" t="s">
        <v>6544</v>
      </c>
      <c r="W518" s="158"/>
      <c r="X518" s="158"/>
      <c r="Y518" s="158"/>
      <c r="Z518" s="158"/>
      <c r="AA518" s="158"/>
      <c r="AB518" s="158"/>
      <c r="AC518" s="113">
        <v>540</v>
      </c>
      <c r="AD518" s="113">
        <v>75</v>
      </c>
      <c r="AE518" s="113">
        <v>123</v>
      </c>
      <c r="AF518" s="113">
        <v>67</v>
      </c>
      <c r="AG518" s="120">
        <v>95</v>
      </c>
      <c r="AH518" s="113">
        <v>85</v>
      </c>
      <c r="AI518" s="113">
        <v>95</v>
      </c>
    </row>
    <row r="519" spans="1:35">
      <c r="A519" s="113">
        <v>467</v>
      </c>
      <c r="B519" s="113" t="s">
        <v>501</v>
      </c>
      <c r="C519" s="120" t="s">
        <v>5772</v>
      </c>
      <c r="D519" s="124">
        <v>0.75</v>
      </c>
      <c r="E519" s="124">
        <v>0.25</v>
      </c>
      <c r="F519" s="113" t="s">
        <v>2334</v>
      </c>
      <c r="G519" s="113" t="s">
        <v>2120</v>
      </c>
      <c r="H519" s="113" t="s">
        <v>19</v>
      </c>
      <c r="I519" s="113" t="s">
        <v>1109</v>
      </c>
      <c r="J519" s="118" t="s">
        <v>2129</v>
      </c>
      <c r="K519" s="118">
        <v>3</v>
      </c>
      <c r="L519" s="118" t="s">
        <v>5511</v>
      </c>
      <c r="M519" s="115" t="s">
        <v>5376</v>
      </c>
      <c r="N519" s="115" t="s">
        <v>6504</v>
      </c>
      <c r="O519" s="115">
        <v>1.5</v>
      </c>
      <c r="P519" s="115" t="s">
        <v>2130</v>
      </c>
      <c r="Q519" s="166">
        <v>2</v>
      </c>
      <c r="R519" s="164"/>
      <c r="S519" s="164"/>
      <c r="T519" s="164"/>
      <c r="U519" s="164"/>
      <c r="V519" s="162" t="s">
        <v>6545</v>
      </c>
      <c r="W519" s="158"/>
      <c r="X519" s="158"/>
      <c r="Y519" s="158"/>
      <c r="Z519" s="158"/>
      <c r="AA519" s="158"/>
      <c r="AB519" s="158"/>
      <c r="AC519" s="113">
        <v>540</v>
      </c>
      <c r="AD519" s="113">
        <v>75</v>
      </c>
      <c r="AE519" s="113">
        <v>95</v>
      </c>
      <c r="AF519" s="113">
        <v>67</v>
      </c>
      <c r="AG519" s="120">
        <v>125</v>
      </c>
      <c r="AH519" s="113">
        <v>95</v>
      </c>
      <c r="AI519" s="113">
        <v>83</v>
      </c>
    </row>
    <row r="520" spans="1:35">
      <c r="A520" s="113">
        <v>468</v>
      </c>
      <c r="B520" s="113" t="s">
        <v>502</v>
      </c>
      <c r="C520" s="120" t="s">
        <v>5773</v>
      </c>
      <c r="D520" s="124">
        <v>0.85</v>
      </c>
      <c r="E520" s="124">
        <v>0.15</v>
      </c>
      <c r="F520" s="113" t="s">
        <v>56</v>
      </c>
      <c r="G520" s="113" t="s">
        <v>2120</v>
      </c>
      <c r="H520" s="113" t="s">
        <v>56</v>
      </c>
      <c r="I520" s="113" t="s">
        <v>22</v>
      </c>
      <c r="J520" s="118" t="s">
        <v>2129</v>
      </c>
      <c r="K520" s="118">
        <v>2</v>
      </c>
      <c r="L520" s="118" t="s">
        <v>5436</v>
      </c>
      <c r="M520" s="115" t="s">
        <v>5437</v>
      </c>
      <c r="N520" s="115" t="s">
        <v>6504</v>
      </c>
      <c r="O520" s="115">
        <v>1.25</v>
      </c>
      <c r="P520" s="115" t="s">
        <v>1803</v>
      </c>
      <c r="Q520" s="166">
        <v>2</v>
      </c>
      <c r="R520" s="164"/>
      <c r="S520" s="164"/>
      <c r="T520" s="164"/>
      <c r="U520" s="164"/>
      <c r="V520" s="162" t="s">
        <v>6543</v>
      </c>
      <c r="W520" s="158"/>
      <c r="X520" s="158"/>
      <c r="Y520" s="158"/>
      <c r="Z520" s="158"/>
      <c r="AA520" s="158"/>
      <c r="AB520" s="158"/>
      <c r="AC520" s="113">
        <v>545</v>
      </c>
      <c r="AD520" s="113">
        <v>85</v>
      </c>
      <c r="AE520" s="113">
        <v>50</v>
      </c>
      <c r="AF520" s="113">
        <v>95</v>
      </c>
      <c r="AG520" s="120">
        <v>120</v>
      </c>
      <c r="AH520" s="113">
        <v>115</v>
      </c>
      <c r="AI520" s="113">
        <v>80</v>
      </c>
    </row>
    <row r="521" spans="1:35">
      <c r="A521" s="113">
        <v>469</v>
      </c>
      <c r="B521" s="113" t="s">
        <v>2140</v>
      </c>
      <c r="C521" s="120" t="s">
        <v>5774</v>
      </c>
      <c r="D521" s="124">
        <v>0.5</v>
      </c>
      <c r="E521" s="124">
        <v>0.5</v>
      </c>
      <c r="F521" s="113" t="s">
        <v>29</v>
      </c>
      <c r="G521" s="113" t="s">
        <v>2120</v>
      </c>
      <c r="H521" s="113" t="s">
        <v>29</v>
      </c>
      <c r="I521" s="113" t="s">
        <v>22</v>
      </c>
      <c r="J521" s="118" t="s">
        <v>2129</v>
      </c>
      <c r="K521" s="118">
        <v>3</v>
      </c>
      <c r="L521" s="118" t="s">
        <v>5455</v>
      </c>
      <c r="M521" s="115" t="s">
        <v>5455</v>
      </c>
      <c r="N521" s="115" t="s">
        <v>6504</v>
      </c>
      <c r="O521" s="115">
        <v>1.5</v>
      </c>
      <c r="P521" s="115" t="s">
        <v>2128</v>
      </c>
      <c r="Q521" s="166"/>
      <c r="R521" s="164"/>
      <c r="S521" s="164"/>
      <c r="T521" s="164"/>
      <c r="U521" s="164"/>
      <c r="V521" s="162"/>
      <c r="W521" s="158"/>
      <c r="X521" s="158"/>
      <c r="Y521" s="158"/>
      <c r="Z521" s="158"/>
      <c r="AA521" s="158"/>
      <c r="AB521" s="158"/>
      <c r="AC521" s="113">
        <v>515</v>
      </c>
      <c r="AD521" s="113">
        <v>86</v>
      </c>
      <c r="AE521" s="113">
        <v>76</v>
      </c>
      <c r="AF521" s="113">
        <v>86</v>
      </c>
      <c r="AG521" s="120">
        <v>116</v>
      </c>
      <c r="AH521" s="113">
        <v>56</v>
      </c>
      <c r="AI521" s="113">
        <v>95</v>
      </c>
    </row>
    <row r="522" spans="1:35">
      <c r="A522" s="113">
        <v>470</v>
      </c>
      <c r="B522" s="113" t="s">
        <v>503</v>
      </c>
      <c r="C522" s="120" t="s">
        <v>5775</v>
      </c>
      <c r="D522" s="124">
        <v>0.85</v>
      </c>
      <c r="E522" s="124">
        <v>0.15</v>
      </c>
      <c r="F522" s="113" t="s">
        <v>2332</v>
      </c>
      <c r="G522" s="113" t="s">
        <v>2120</v>
      </c>
      <c r="H522" s="113" t="s">
        <v>14</v>
      </c>
      <c r="I522" s="113" t="s">
        <v>1109</v>
      </c>
      <c r="J522" s="118" t="s">
        <v>2129</v>
      </c>
      <c r="K522" s="118">
        <v>2</v>
      </c>
      <c r="L522" s="118" t="s">
        <v>5386</v>
      </c>
      <c r="M522" s="115" t="s">
        <v>5386</v>
      </c>
      <c r="N522" s="115" t="s">
        <v>6504</v>
      </c>
      <c r="O522" s="115">
        <v>1.25</v>
      </c>
      <c r="P522" s="115" t="s">
        <v>1803</v>
      </c>
      <c r="Q522" s="166">
        <v>2</v>
      </c>
      <c r="R522" s="164"/>
      <c r="S522" s="164"/>
      <c r="T522" s="164"/>
      <c r="U522" s="164"/>
      <c r="V522" s="162" t="s">
        <v>6535</v>
      </c>
      <c r="W522" s="158"/>
      <c r="X522" s="158"/>
      <c r="Y522" s="158"/>
      <c r="Z522" s="158"/>
      <c r="AA522" s="158"/>
      <c r="AB522" s="158"/>
      <c r="AC522" s="113">
        <v>525</v>
      </c>
      <c r="AD522" s="113">
        <v>65</v>
      </c>
      <c r="AE522" s="113">
        <v>110</v>
      </c>
      <c r="AF522" s="113">
        <v>130</v>
      </c>
      <c r="AG522" s="120">
        <v>60</v>
      </c>
      <c r="AH522" s="113">
        <v>65</v>
      </c>
      <c r="AI522" s="113">
        <v>95</v>
      </c>
    </row>
    <row r="523" spans="1:35">
      <c r="A523" s="113">
        <v>471</v>
      </c>
      <c r="B523" s="113" t="s">
        <v>504</v>
      </c>
      <c r="C523" s="120" t="s">
        <v>5776</v>
      </c>
      <c r="D523" s="124">
        <v>0.85</v>
      </c>
      <c r="E523" s="124">
        <v>0.15</v>
      </c>
      <c r="F523" s="113" t="s">
        <v>2332</v>
      </c>
      <c r="G523" s="113" t="s">
        <v>2120</v>
      </c>
      <c r="H523" s="113" t="s">
        <v>113</v>
      </c>
      <c r="I523" s="113" t="s">
        <v>1109</v>
      </c>
      <c r="J523" s="118" t="s">
        <v>2129</v>
      </c>
      <c r="K523" s="118">
        <v>2</v>
      </c>
      <c r="L523" s="118" t="s">
        <v>5386</v>
      </c>
      <c r="M523" s="115" t="s">
        <v>5386</v>
      </c>
      <c r="N523" s="115" t="s">
        <v>6504</v>
      </c>
      <c r="O523" s="115">
        <v>1.25</v>
      </c>
      <c r="P523" s="115" t="s">
        <v>1803</v>
      </c>
      <c r="Q523" s="166">
        <v>2</v>
      </c>
      <c r="R523" s="164"/>
      <c r="S523" s="164"/>
      <c r="T523" s="164"/>
      <c r="U523" s="164"/>
      <c r="V523" s="162" t="s">
        <v>6536</v>
      </c>
      <c r="W523" s="158"/>
      <c r="X523" s="158"/>
      <c r="Y523" s="158"/>
      <c r="Z523" s="158"/>
      <c r="AA523" s="158"/>
      <c r="AB523" s="158"/>
      <c r="AC523" s="113">
        <v>525</v>
      </c>
      <c r="AD523" s="113">
        <v>65</v>
      </c>
      <c r="AE523" s="113">
        <v>60</v>
      </c>
      <c r="AF523" s="113">
        <v>110</v>
      </c>
      <c r="AG523" s="120">
        <v>130</v>
      </c>
      <c r="AH523" s="113">
        <v>95</v>
      </c>
      <c r="AI523" s="113">
        <v>65</v>
      </c>
    </row>
    <row r="524" spans="1:35">
      <c r="A524" s="113">
        <v>472</v>
      </c>
      <c r="B524" s="113" t="s">
        <v>505</v>
      </c>
      <c r="C524" s="120" t="s">
        <v>5777</v>
      </c>
      <c r="D524" s="124">
        <v>0.5</v>
      </c>
      <c r="E524" s="124">
        <v>0.5</v>
      </c>
      <c r="F524" s="113" t="s">
        <v>29</v>
      </c>
      <c r="G524" s="113" t="s">
        <v>2120</v>
      </c>
      <c r="H524" s="113" t="s">
        <v>49</v>
      </c>
      <c r="I524" s="113" t="s">
        <v>22</v>
      </c>
      <c r="J524" s="118" t="s">
        <v>2129</v>
      </c>
      <c r="K524" s="118">
        <v>3</v>
      </c>
      <c r="L524" s="118" t="s">
        <v>5471</v>
      </c>
      <c r="M524" s="115" t="s">
        <v>5471</v>
      </c>
      <c r="N524" s="115" t="s">
        <v>6504</v>
      </c>
      <c r="O524" s="115">
        <v>1.5</v>
      </c>
      <c r="P524" s="115" t="s">
        <v>2130</v>
      </c>
      <c r="Q524" s="166"/>
      <c r="R524" s="164"/>
      <c r="S524" s="164"/>
      <c r="T524" s="164"/>
      <c r="U524" s="164"/>
      <c r="V524" s="162"/>
      <c r="W524" s="158"/>
      <c r="X524" s="158"/>
      <c r="Y524" s="158"/>
      <c r="Z524" s="158"/>
      <c r="AA524" s="158"/>
      <c r="AB524" s="158"/>
      <c r="AC524" s="113">
        <v>510</v>
      </c>
      <c r="AD524" s="113">
        <v>75</v>
      </c>
      <c r="AE524" s="113">
        <v>95</v>
      </c>
      <c r="AF524" s="113">
        <v>125</v>
      </c>
      <c r="AG524" s="120">
        <v>45</v>
      </c>
      <c r="AH524" s="113">
        <v>75</v>
      </c>
      <c r="AI524" s="113">
        <v>95</v>
      </c>
    </row>
    <row r="525" spans="1:35">
      <c r="A525" s="113">
        <v>473</v>
      </c>
      <c r="B525" s="113" t="s">
        <v>506</v>
      </c>
      <c r="C525" s="120" t="s">
        <v>5778</v>
      </c>
      <c r="D525" s="124">
        <v>0.5</v>
      </c>
      <c r="E525" s="124">
        <v>0.5</v>
      </c>
      <c r="F525" s="113" t="s">
        <v>2332</v>
      </c>
      <c r="G525" s="113" t="s">
        <v>2120</v>
      </c>
      <c r="H525" s="113" t="s">
        <v>113</v>
      </c>
      <c r="I525" s="113" t="s">
        <v>49</v>
      </c>
      <c r="J525" s="118" t="s">
        <v>2129</v>
      </c>
      <c r="K525" s="118">
        <v>1</v>
      </c>
      <c r="L525" s="118" t="s">
        <v>5489</v>
      </c>
      <c r="M525" s="115" t="s">
        <v>5490</v>
      </c>
      <c r="N525" s="115" t="s">
        <v>6504</v>
      </c>
      <c r="O525" s="115">
        <v>1</v>
      </c>
      <c r="P525" s="115" t="s">
        <v>2128</v>
      </c>
      <c r="Q525" s="166"/>
      <c r="R525" s="164"/>
      <c r="S525" s="164"/>
      <c r="T525" s="164"/>
      <c r="U525" s="164"/>
      <c r="V525" s="162"/>
      <c r="W525" s="158"/>
      <c r="X525" s="158"/>
      <c r="Y525" s="158"/>
      <c r="Z525" s="158"/>
      <c r="AA525" s="158"/>
      <c r="AB525" s="158"/>
      <c r="AC525" s="113">
        <v>530</v>
      </c>
      <c r="AD525" s="113">
        <v>110</v>
      </c>
      <c r="AE525" s="113">
        <v>130</v>
      </c>
      <c r="AF525" s="113">
        <v>80</v>
      </c>
      <c r="AG525" s="120">
        <v>70</v>
      </c>
      <c r="AH525" s="113">
        <v>60</v>
      </c>
      <c r="AI525" s="113">
        <v>80</v>
      </c>
    </row>
    <row r="526" spans="1:35">
      <c r="A526" s="113">
        <v>474</v>
      </c>
      <c r="B526" s="113" t="s">
        <v>507</v>
      </c>
      <c r="C526" s="120" t="s">
        <v>5779</v>
      </c>
      <c r="D526" s="124" t="s">
        <v>1109</v>
      </c>
      <c r="E526" s="124" t="s">
        <v>1109</v>
      </c>
      <c r="F526" s="113" t="s">
        <v>2112</v>
      </c>
      <c r="G526" s="113" t="s">
        <v>2120</v>
      </c>
      <c r="H526" s="113" t="s">
        <v>36</v>
      </c>
      <c r="I526" s="113" t="s">
        <v>1109</v>
      </c>
      <c r="J526" s="118" t="s">
        <v>2129</v>
      </c>
      <c r="K526" s="118">
        <v>3</v>
      </c>
      <c r="L526" s="118" t="s">
        <v>5391</v>
      </c>
      <c r="M526" s="115" t="s">
        <v>5504</v>
      </c>
      <c r="N526" s="115" t="s">
        <v>6504</v>
      </c>
      <c r="O526" s="115">
        <v>1.5</v>
      </c>
      <c r="P526" s="115" t="s">
        <v>2130</v>
      </c>
      <c r="Q526" s="166"/>
      <c r="R526" s="164"/>
      <c r="S526" s="164"/>
      <c r="T526" s="164"/>
      <c r="U526" s="164"/>
      <c r="V526" s="162"/>
      <c r="W526" s="158"/>
      <c r="X526" s="158"/>
      <c r="Y526" s="158"/>
      <c r="Z526" s="158"/>
      <c r="AA526" s="158"/>
      <c r="AB526" s="158"/>
      <c r="AC526" s="113">
        <v>535</v>
      </c>
      <c r="AD526" s="113">
        <v>85</v>
      </c>
      <c r="AE526" s="113">
        <v>80</v>
      </c>
      <c r="AF526" s="113">
        <v>70</v>
      </c>
      <c r="AG526" s="120">
        <v>135</v>
      </c>
      <c r="AH526" s="113">
        <v>75</v>
      </c>
      <c r="AI526" s="113">
        <v>90</v>
      </c>
    </row>
    <row r="527" spans="1:35">
      <c r="A527" s="113">
        <v>475</v>
      </c>
      <c r="B527" s="113" t="s">
        <v>508</v>
      </c>
      <c r="C527" s="120" t="s">
        <v>5780</v>
      </c>
      <c r="D527" s="124">
        <v>1</v>
      </c>
      <c r="E527" s="124">
        <v>0</v>
      </c>
      <c r="F527" s="113" t="s">
        <v>2334</v>
      </c>
      <c r="G527" s="113" t="s">
        <v>2120</v>
      </c>
      <c r="H527" s="113" t="s">
        <v>86</v>
      </c>
      <c r="I527" s="113" t="s">
        <v>78</v>
      </c>
      <c r="J527" s="118" t="s">
        <v>2129</v>
      </c>
      <c r="K527" s="118">
        <v>3</v>
      </c>
      <c r="L527" s="118" t="s">
        <v>5557</v>
      </c>
      <c r="M527" s="115" t="s">
        <v>5558</v>
      </c>
      <c r="N527" s="115" t="s">
        <v>6504</v>
      </c>
      <c r="O527" s="115">
        <v>1.5</v>
      </c>
      <c r="P527" s="115" t="s">
        <v>2128</v>
      </c>
      <c r="Q527" s="166"/>
      <c r="R527" s="164"/>
      <c r="S527" s="164"/>
      <c r="T527" s="164"/>
      <c r="U527" s="164"/>
      <c r="V527" s="162"/>
      <c r="W527" s="158"/>
      <c r="X527" s="158"/>
      <c r="Y527" s="158"/>
      <c r="Z527" s="158"/>
      <c r="AA527" s="158"/>
      <c r="AB527" s="158"/>
      <c r="AC527" s="113">
        <v>518</v>
      </c>
      <c r="AD527" s="113">
        <v>68</v>
      </c>
      <c r="AE527" s="113">
        <v>125</v>
      </c>
      <c r="AF527" s="113">
        <v>65</v>
      </c>
      <c r="AG527" s="120">
        <v>65</v>
      </c>
      <c r="AH527" s="113">
        <v>115</v>
      </c>
      <c r="AI527" s="113">
        <v>80</v>
      </c>
    </row>
    <row r="528" spans="1:35">
      <c r="A528" s="113">
        <v>476</v>
      </c>
      <c r="B528" s="113" t="s">
        <v>509</v>
      </c>
      <c r="C528" s="120" t="s">
        <v>5782</v>
      </c>
      <c r="D528" s="124">
        <v>0.5</v>
      </c>
      <c r="E528" s="124">
        <v>0.5</v>
      </c>
      <c r="F528" s="113" t="s">
        <v>2112</v>
      </c>
      <c r="G528" s="113" t="s">
        <v>2120</v>
      </c>
      <c r="H528" s="113" t="s">
        <v>98</v>
      </c>
      <c r="I528" s="113" t="s">
        <v>106</v>
      </c>
      <c r="J528" s="118" t="s">
        <v>2129</v>
      </c>
      <c r="K528" s="118">
        <v>3</v>
      </c>
      <c r="L528" s="118" t="s">
        <v>5577</v>
      </c>
      <c r="M528" s="115" t="s">
        <v>5577</v>
      </c>
      <c r="N528" s="115" t="s">
        <v>6504</v>
      </c>
      <c r="O528" s="115">
        <v>1.5</v>
      </c>
      <c r="P528" s="115" t="s">
        <v>2128</v>
      </c>
      <c r="Q528" s="166"/>
      <c r="R528" s="164"/>
      <c r="S528" s="164"/>
      <c r="T528" s="164"/>
      <c r="U528" s="164"/>
      <c r="V528" s="162"/>
      <c r="W528" s="158"/>
      <c r="X528" s="158"/>
      <c r="Y528" s="158"/>
      <c r="Z528" s="158"/>
      <c r="AA528" s="158"/>
      <c r="AB528" s="158"/>
      <c r="AC528" s="113">
        <v>525</v>
      </c>
      <c r="AD528" s="113">
        <v>60</v>
      </c>
      <c r="AE528" s="113">
        <v>55</v>
      </c>
      <c r="AF528" s="113">
        <v>145</v>
      </c>
      <c r="AG528" s="120">
        <v>75</v>
      </c>
      <c r="AH528" s="113">
        <v>150</v>
      </c>
      <c r="AI528" s="113">
        <v>40</v>
      </c>
    </row>
    <row r="529" spans="1:35">
      <c r="A529" s="113">
        <v>477</v>
      </c>
      <c r="B529" s="113" t="s">
        <v>510</v>
      </c>
      <c r="C529" s="120" t="s">
        <v>5783</v>
      </c>
      <c r="D529" s="124">
        <v>0.5</v>
      </c>
      <c r="E529" s="124">
        <v>0.5</v>
      </c>
      <c r="F529" s="113" t="s">
        <v>2336</v>
      </c>
      <c r="G529" s="113" t="s">
        <v>2120</v>
      </c>
      <c r="H529" s="113" t="s">
        <v>119</v>
      </c>
      <c r="I529" s="113" t="s">
        <v>1109</v>
      </c>
      <c r="J529" s="118" t="s">
        <v>2129</v>
      </c>
      <c r="K529" s="118">
        <v>2</v>
      </c>
      <c r="L529" s="118" t="s">
        <v>5642</v>
      </c>
      <c r="M529" s="115" t="s">
        <v>5643</v>
      </c>
      <c r="N529" s="115" t="s">
        <v>6504</v>
      </c>
      <c r="O529" s="115">
        <v>1.25</v>
      </c>
      <c r="P529" s="115" t="s">
        <v>2130</v>
      </c>
      <c r="Q529" s="166"/>
      <c r="R529" s="164"/>
      <c r="S529" s="164"/>
      <c r="T529" s="164"/>
      <c r="U529" s="164"/>
      <c r="V529" s="162"/>
      <c r="W529" s="158"/>
      <c r="X529" s="158"/>
      <c r="Y529" s="158"/>
      <c r="Z529" s="158"/>
      <c r="AA529" s="158"/>
      <c r="AB529" s="158"/>
      <c r="AC529" s="113">
        <v>525</v>
      </c>
      <c r="AD529" s="113">
        <v>45</v>
      </c>
      <c r="AE529" s="113">
        <v>100</v>
      </c>
      <c r="AF529" s="113">
        <v>135</v>
      </c>
      <c r="AG529" s="120">
        <v>65</v>
      </c>
      <c r="AH529" s="113">
        <v>135</v>
      </c>
      <c r="AI529" s="113">
        <v>45</v>
      </c>
    </row>
    <row r="530" spans="1:35">
      <c r="A530" s="113">
        <v>478</v>
      </c>
      <c r="B530" s="113" t="s">
        <v>511</v>
      </c>
      <c r="C530" s="120" t="s">
        <v>5784</v>
      </c>
      <c r="D530" s="124">
        <v>0</v>
      </c>
      <c r="E530" s="124">
        <v>1</v>
      </c>
      <c r="F530" s="113" t="s">
        <v>56</v>
      </c>
      <c r="G530" s="113" t="s">
        <v>2120</v>
      </c>
      <c r="H530" s="113" t="s">
        <v>113</v>
      </c>
      <c r="I530" s="113" t="s">
        <v>119</v>
      </c>
      <c r="J530" s="118" t="s">
        <v>2129</v>
      </c>
      <c r="K530" s="118">
        <v>2</v>
      </c>
      <c r="L530" s="118" t="s">
        <v>5649</v>
      </c>
      <c r="M530" s="115" t="s">
        <v>5649</v>
      </c>
      <c r="N530" s="115" t="s">
        <v>6504</v>
      </c>
      <c r="O530" s="115">
        <v>1.25</v>
      </c>
      <c r="P530" s="115" t="s">
        <v>1803</v>
      </c>
      <c r="Q530" s="166"/>
      <c r="R530" s="164"/>
      <c r="S530" s="164"/>
      <c r="T530" s="164"/>
      <c r="U530" s="164"/>
      <c r="V530" s="162"/>
      <c r="W530" s="158"/>
      <c r="X530" s="158"/>
      <c r="Y530" s="158"/>
      <c r="Z530" s="158"/>
      <c r="AA530" s="158"/>
      <c r="AB530" s="158"/>
      <c r="AC530" s="113">
        <v>480</v>
      </c>
      <c r="AD530" s="113">
        <v>70</v>
      </c>
      <c r="AE530" s="113">
        <v>80</v>
      </c>
      <c r="AF530" s="113">
        <v>70</v>
      </c>
      <c r="AG530" s="120">
        <v>80</v>
      </c>
      <c r="AH530" s="113">
        <v>70</v>
      </c>
      <c r="AI530" s="113">
        <v>110</v>
      </c>
    </row>
    <row r="531" spans="1:35">
      <c r="A531" s="113">
        <v>479</v>
      </c>
      <c r="B531" s="113" t="s">
        <v>512</v>
      </c>
      <c r="C531" s="120" t="s">
        <v>5785</v>
      </c>
      <c r="D531" s="124" t="s">
        <v>1109</v>
      </c>
      <c r="E531" s="124" t="s">
        <v>1109</v>
      </c>
      <c r="F531" s="113" t="s">
        <v>2336</v>
      </c>
      <c r="G531" s="113" t="s">
        <v>2120</v>
      </c>
      <c r="H531" s="113" t="s">
        <v>46</v>
      </c>
      <c r="I531" s="113" t="s">
        <v>119</v>
      </c>
      <c r="J531" s="118" t="s">
        <v>2129</v>
      </c>
      <c r="K531" s="118">
        <v>3</v>
      </c>
      <c r="L531" s="118" t="s">
        <v>5785</v>
      </c>
      <c r="M531" s="115" t="s">
        <v>1109</v>
      </c>
      <c r="N531" s="115" t="s">
        <v>6504</v>
      </c>
      <c r="O531" s="115">
        <v>1.5</v>
      </c>
      <c r="P531" s="115" t="s">
        <v>1109</v>
      </c>
      <c r="Q531" s="166"/>
      <c r="R531" s="164"/>
      <c r="S531" s="164"/>
      <c r="T531" s="164"/>
      <c r="U531" s="164"/>
      <c r="V531" s="162"/>
      <c r="W531" s="158"/>
      <c r="X531" s="158"/>
      <c r="Y531" s="158"/>
      <c r="Z531" s="158"/>
      <c r="AA531" s="158"/>
      <c r="AB531" s="158"/>
      <c r="AC531" s="113">
        <v>440</v>
      </c>
      <c r="AD531" s="113">
        <v>50</v>
      </c>
      <c r="AE531" s="113">
        <v>50</v>
      </c>
      <c r="AF531" s="113">
        <v>77</v>
      </c>
      <c r="AG531" s="120">
        <v>95</v>
      </c>
      <c r="AH531" s="113">
        <v>77</v>
      </c>
      <c r="AI531" s="113">
        <v>91</v>
      </c>
    </row>
    <row r="532" spans="1:35">
      <c r="A532" s="113">
        <v>479</v>
      </c>
      <c r="B532" s="113" t="s">
        <v>2971</v>
      </c>
      <c r="C532" s="120" t="s">
        <v>5790</v>
      </c>
      <c r="D532" s="124" t="s">
        <v>1109</v>
      </c>
      <c r="E532" s="124" t="s">
        <v>1109</v>
      </c>
      <c r="F532" s="113" t="s">
        <v>2336</v>
      </c>
      <c r="G532" s="113" t="s">
        <v>2120</v>
      </c>
      <c r="H532" s="113" t="s">
        <v>46</v>
      </c>
      <c r="I532" s="113" t="s">
        <v>25</v>
      </c>
      <c r="J532" s="118" t="s">
        <v>2129</v>
      </c>
      <c r="K532" s="118">
        <v>3</v>
      </c>
      <c r="L532" s="118" t="s">
        <v>5785</v>
      </c>
      <c r="M532" s="115" t="s">
        <v>1109</v>
      </c>
      <c r="N532" s="115" t="s">
        <v>6504</v>
      </c>
      <c r="O532" s="115">
        <v>1.5</v>
      </c>
      <c r="P532" s="115" t="s">
        <v>1109</v>
      </c>
      <c r="Q532" s="166"/>
      <c r="R532" s="164"/>
      <c r="S532" s="164"/>
      <c r="T532" s="164"/>
      <c r="U532" s="164"/>
      <c r="V532" s="162"/>
      <c r="W532" s="158"/>
      <c r="X532" s="158"/>
      <c r="Y532" s="158"/>
      <c r="Z532" s="158"/>
      <c r="AA532" s="158"/>
      <c r="AB532" s="158"/>
      <c r="AC532" s="113">
        <v>520</v>
      </c>
      <c r="AD532" s="113">
        <v>50</v>
      </c>
      <c r="AE532" s="113">
        <v>65</v>
      </c>
      <c r="AF532" s="113">
        <v>107</v>
      </c>
      <c r="AG532" s="120">
        <v>105</v>
      </c>
      <c r="AH532" s="113">
        <v>107</v>
      </c>
      <c r="AI532" s="113">
        <v>86</v>
      </c>
    </row>
    <row r="533" spans="1:35">
      <c r="A533" s="113">
        <v>479</v>
      </c>
      <c r="B533" s="113" t="s">
        <v>2969</v>
      </c>
      <c r="C533" s="120" t="s">
        <v>5788</v>
      </c>
      <c r="D533" s="124" t="s">
        <v>1109</v>
      </c>
      <c r="E533" s="124" t="s">
        <v>1109</v>
      </c>
      <c r="F533" s="113" t="s">
        <v>2336</v>
      </c>
      <c r="G533" s="113" t="s">
        <v>2120</v>
      </c>
      <c r="H533" s="113" t="s">
        <v>46</v>
      </c>
      <c r="I533" s="113" t="s">
        <v>19</v>
      </c>
      <c r="J533" s="118" t="s">
        <v>2129</v>
      </c>
      <c r="K533" s="118">
        <v>3</v>
      </c>
      <c r="L533" s="118" t="s">
        <v>5785</v>
      </c>
      <c r="M533" s="115" t="s">
        <v>1109</v>
      </c>
      <c r="N533" s="115" t="s">
        <v>6504</v>
      </c>
      <c r="O533" s="115">
        <v>1.5</v>
      </c>
      <c r="P533" s="115" t="s">
        <v>1109</v>
      </c>
      <c r="Q533" s="166"/>
      <c r="R533" s="164"/>
      <c r="S533" s="164"/>
      <c r="T533" s="164"/>
      <c r="U533" s="164"/>
      <c r="V533" s="162"/>
      <c r="W533" s="158"/>
      <c r="X533" s="158"/>
      <c r="Y533" s="158"/>
      <c r="Z533" s="158"/>
      <c r="AA533" s="158"/>
      <c r="AB533" s="158"/>
      <c r="AC533" s="113">
        <v>520</v>
      </c>
      <c r="AD533" s="113">
        <v>50</v>
      </c>
      <c r="AE533" s="113">
        <v>65</v>
      </c>
      <c r="AF533" s="113">
        <v>107</v>
      </c>
      <c r="AG533" s="120">
        <v>105</v>
      </c>
      <c r="AH533" s="113">
        <v>107</v>
      </c>
      <c r="AI533" s="113">
        <v>86</v>
      </c>
    </row>
    <row r="534" spans="1:35">
      <c r="A534" s="113">
        <v>479</v>
      </c>
      <c r="B534" s="113" t="s">
        <v>2973</v>
      </c>
      <c r="C534" s="120" t="s">
        <v>5787</v>
      </c>
      <c r="D534" s="124" t="s">
        <v>1109</v>
      </c>
      <c r="E534" s="124" t="s">
        <v>1109</v>
      </c>
      <c r="F534" s="113" t="s">
        <v>2336</v>
      </c>
      <c r="G534" s="113" t="s">
        <v>2120</v>
      </c>
      <c r="H534" s="113" t="s">
        <v>46</v>
      </c>
      <c r="I534" s="113" t="s">
        <v>113</v>
      </c>
      <c r="J534" s="118" t="s">
        <v>2129</v>
      </c>
      <c r="K534" s="118">
        <v>3</v>
      </c>
      <c r="L534" s="118" t="s">
        <v>5785</v>
      </c>
      <c r="M534" s="115" t="s">
        <v>1109</v>
      </c>
      <c r="N534" s="115" t="s">
        <v>6504</v>
      </c>
      <c r="O534" s="115">
        <v>1.5</v>
      </c>
      <c r="P534" s="115" t="s">
        <v>1109</v>
      </c>
      <c r="Q534" s="166"/>
      <c r="R534" s="164"/>
      <c r="S534" s="164"/>
      <c r="T534" s="164"/>
      <c r="U534" s="164"/>
      <c r="V534" s="162"/>
      <c r="W534" s="158"/>
      <c r="X534" s="158"/>
      <c r="Y534" s="158"/>
      <c r="Z534" s="158"/>
      <c r="AA534" s="158"/>
      <c r="AB534" s="158"/>
      <c r="AC534" s="113">
        <v>520</v>
      </c>
      <c r="AD534" s="113">
        <v>50</v>
      </c>
      <c r="AE534" s="113">
        <v>65</v>
      </c>
      <c r="AF534" s="113">
        <v>107</v>
      </c>
      <c r="AG534" s="120">
        <v>105</v>
      </c>
      <c r="AH534" s="113">
        <v>107</v>
      </c>
      <c r="AI534" s="113">
        <v>86</v>
      </c>
    </row>
    <row r="535" spans="1:35">
      <c r="A535" s="113">
        <v>479</v>
      </c>
      <c r="B535" s="113" t="s">
        <v>2977</v>
      </c>
      <c r="C535" s="120" t="s">
        <v>5789</v>
      </c>
      <c r="D535" s="124" t="s">
        <v>1109</v>
      </c>
      <c r="E535" s="124" t="s">
        <v>1109</v>
      </c>
      <c r="F535" s="113" t="s">
        <v>2336</v>
      </c>
      <c r="G535" s="113" t="s">
        <v>2120</v>
      </c>
      <c r="H535" s="113" t="s">
        <v>46</v>
      </c>
      <c r="I535" s="113" t="s">
        <v>14</v>
      </c>
      <c r="J535" s="118" t="s">
        <v>2129</v>
      </c>
      <c r="K535" s="118">
        <v>3</v>
      </c>
      <c r="L535" s="118" t="s">
        <v>5785</v>
      </c>
      <c r="M535" s="115" t="s">
        <v>1109</v>
      </c>
      <c r="N535" s="115" t="s">
        <v>6504</v>
      </c>
      <c r="O535" s="115">
        <v>1.5</v>
      </c>
      <c r="P535" s="115" t="s">
        <v>1109</v>
      </c>
      <c r="Q535" s="166"/>
      <c r="R535" s="164"/>
      <c r="S535" s="164"/>
      <c r="T535" s="164"/>
      <c r="U535" s="164"/>
      <c r="V535" s="162"/>
      <c r="W535" s="158"/>
      <c r="X535" s="158"/>
      <c r="Y535" s="158"/>
      <c r="Z535" s="158"/>
      <c r="AA535" s="158"/>
      <c r="AB535" s="158"/>
      <c r="AC535" s="113">
        <v>520</v>
      </c>
      <c r="AD535" s="113">
        <v>50</v>
      </c>
      <c r="AE535" s="113">
        <v>65</v>
      </c>
      <c r="AF535" s="113">
        <v>107</v>
      </c>
      <c r="AG535" s="120">
        <v>105</v>
      </c>
      <c r="AH535" s="113">
        <v>107</v>
      </c>
      <c r="AI535" s="113">
        <v>86</v>
      </c>
    </row>
    <row r="536" spans="1:35">
      <c r="A536" s="113">
        <v>479</v>
      </c>
      <c r="B536" s="113" t="s">
        <v>2975</v>
      </c>
      <c r="C536" s="120" t="s">
        <v>5786</v>
      </c>
      <c r="D536" s="124" t="s">
        <v>1109</v>
      </c>
      <c r="E536" s="124" t="s">
        <v>1109</v>
      </c>
      <c r="F536" s="113" t="s">
        <v>2336</v>
      </c>
      <c r="G536" s="113" t="s">
        <v>2120</v>
      </c>
      <c r="H536" s="113" t="s">
        <v>46</v>
      </c>
      <c r="I536" s="113" t="s">
        <v>22</v>
      </c>
      <c r="J536" s="118" t="s">
        <v>2129</v>
      </c>
      <c r="K536" s="118">
        <v>3</v>
      </c>
      <c r="L536" s="118" t="s">
        <v>5785</v>
      </c>
      <c r="M536" s="115" t="s">
        <v>1109</v>
      </c>
      <c r="N536" s="115" t="s">
        <v>6504</v>
      </c>
      <c r="O536" s="115">
        <v>1.5</v>
      </c>
      <c r="P536" s="115" t="s">
        <v>1109</v>
      </c>
      <c r="Q536" s="166"/>
      <c r="R536" s="164"/>
      <c r="S536" s="164"/>
      <c r="T536" s="164"/>
      <c r="U536" s="164"/>
      <c r="V536" s="162"/>
      <c r="W536" s="158"/>
      <c r="X536" s="158"/>
      <c r="Y536" s="158"/>
      <c r="Z536" s="158"/>
      <c r="AA536" s="158"/>
      <c r="AB536" s="158"/>
      <c r="AC536" s="113">
        <v>520</v>
      </c>
      <c r="AD536" s="113">
        <v>50</v>
      </c>
      <c r="AE536" s="113">
        <v>65</v>
      </c>
      <c r="AF536" s="113">
        <v>107</v>
      </c>
      <c r="AG536" s="120">
        <v>105</v>
      </c>
      <c r="AH536" s="113">
        <v>107</v>
      </c>
      <c r="AI536" s="113">
        <v>86</v>
      </c>
    </row>
    <row r="537" spans="1:35">
      <c r="A537" s="113">
        <v>480</v>
      </c>
      <c r="B537" s="113" t="s">
        <v>518</v>
      </c>
      <c r="C537" s="120" t="s">
        <v>5791</v>
      </c>
      <c r="D537" s="124" t="s">
        <v>1109</v>
      </c>
      <c r="E537" s="124" t="s">
        <v>1109</v>
      </c>
      <c r="F537" s="113" t="s">
        <v>2333</v>
      </c>
      <c r="G537" s="113" t="s">
        <v>2120</v>
      </c>
      <c r="H537" s="113" t="s">
        <v>86</v>
      </c>
      <c r="I537" s="113" t="s">
        <v>1109</v>
      </c>
      <c r="J537" s="118" t="s">
        <v>12</v>
      </c>
      <c r="K537" s="118">
        <v>5</v>
      </c>
      <c r="L537" s="118" t="s">
        <v>5791</v>
      </c>
      <c r="M537" s="115" t="s">
        <v>1109</v>
      </c>
      <c r="N537" s="115" t="s">
        <v>6504</v>
      </c>
      <c r="O537" s="115">
        <v>2</v>
      </c>
      <c r="P537" s="115" t="s">
        <v>1109</v>
      </c>
      <c r="Q537" s="166"/>
      <c r="R537" s="164"/>
      <c r="S537" s="164"/>
      <c r="T537" s="164"/>
      <c r="U537" s="164"/>
      <c r="V537" s="162"/>
      <c r="W537" s="158"/>
      <c r="X537" s="158"/>
      <c r="Y537" s="158"/>
      <c r="Z537" s="158"/>
      <c r="AA537" s="158"/>
      <c r="AB537" s="158"/>
      <c r="AC537" s="113">
        <v>580</v>
      </c>
      <c r="AD537" s="113">
        <v>75</v>
      </c>
      <c r="AE537" s="113">
        <v>75</v>
      </c>
      <c r="AF537" s="113">
        <v>130</v>
      </c>
      <c r="AG537" s="120">
        <v>75</v>
      </c>
      <c r="AH537" s="113">
        <v>130</v>
      </c>
      <c r="AI537" s="113">
        <v>95</v>
      </c>
    </row>
    <row r="538" spans="1:35">
      <c r="A538" s="113">
        <v>481</v>
      </c>
      <c r="B538" s="113" t="s">
        <v>519</v>
      </c>
      <c r="C538" s="120" t="s">
        <v>5792</v>
      </c>
      <c r="D538" s="124" t="s">
        <v>1109</v>
      </c>
      <c r="E538" s="124" t="s">
        <v>1109</v>
      </c>
      <c r="F538" s="113" t="s">
        <v>2333</v>
      </c>
      <c r="G538" s="113" t="s">
        <v>2120</v>
      </c>
      <c r="H538" s="113" t="s">
        <v>86</v>
      </c>
      <c r="I538" s="113" t="s">
        <v>1109</v>
      </c>
      <c r="J538" s="118" t="s">
        <v>12</v>
      </c>
      <c r="K538" s="118">
        <v>5</v>
      </c>
      <c r="L538" s="118" t="s">
        <v>5792</v>
      </c>
      <c r="M538" s="115" t="s">
        <v>1109</v>
      </c>
      <c r="N538" s="115" t="s">
        <v>6504</v>
      </c>
      <c r="O538" s="115">
        <v>2</v>
      </c>
      <c r="P538" s="115" t="s">
        <v>1109</v>
      </c>
      <c r="Q538" s="166"/>
      <c r="R538" s="164"/>
      <c r="S538" s="164"/>
      <c r="T538" s="164"/>
      <c r="U538" s="164"/>
      <c r="V538" s="162"/>
      <c r="W538" s="158"/>
      <c r="X538" s="158"/>
      <c r="Y538" s="158"/>
      <c r="Z538" s="158"/>
      <c r="AA538" s="158"/>
      <c r="AB538" s="158"/>
      <c r="AC538" s="113">
        <v>580</v>
      </c>
      <c r="AD538" s="113">
        <v>80</v>
      </c>
      <c r="AE538" s="113">
        <v>105</v>
      </c>
      <c r="AF538" s="113">
        <v>105</v>
      </c>
      <c r="AG538" s="120">
        <v>105</v>
      </c>
      <c r="AH538" s="113">
        <v>105</v>
      </c>
      <c r="AI538" s="113">
        <v>80</v>
      </c>
    </row>
    <row r="539" spans="1:35">
      <c r="A539" s="113">
        <v>482</v>
      </c>
      <c r="B539" s="113" t="s">
        <v>520</v>
      </c>
      <c r="C539" s="120" t="s">
        <v>5793</v>
      </c>
      <c r="D539" s="124" t="s">
        <v>1109</v>
      </c>
      <c r="E539" s="124" t="s">
        <v>1109</v>
      </c>
      <c r="F539" s="113" t="s">
        <v>2333</v>
      </c>
      <c r="G539" s="113" t="s">
        <v>2120</v>
      </c>
      <c r="H539" s="113" t="s">
        <v>86</v>
      </c>
      <c r="I539" s="113" t="s">
        <v>1109</v>
      </c>
      <c r="J539" s="118" t="s">
        <v>12</v>
      </c>
      <c r="K539" s="118">
        <v>5</v>
      </c>
      <c r="L539" s="118" t="s">
        <v>5793</v>
      </c>
      <c r="M539" s="115" t="s">
        <v>1109</v>
      </c>
      <c r="N539" s="115" t="s">
        <v>6504</v>
      </c>
      <c r="O539" s="115">
        <v>2</v>
      </c>
      <c r="P539" s="115" t="s">
        <v>1109</v>
      </c>
      <c r="Q539" s="166"/>
      <c r="R539" s="164"/>
      <c r="S539" s="164"/>
      <c r="T539" s="164"/>
      <c r="U539" s="164"/>
      <c r="V539" s="162"/>
      <c r="W539" s="158"/>
      <c r="X539" s="158"/>
      <c r="Y539" s="158"/>
      <c r="Z539" s="158"/>
      <c r="AA539" s="158"/>
      <c r="AB539" s="158"/>
      <c r="AC539" s="113">
        <v>580</v>
      </c>
      <c r="AD539" s="113">
        <v>75</v>
      </c>
      <c r="AE539" s="113">
        <v>125</v>
      </c>
      <c r="AF539" s="113">
        <v>70</v>
      </c>
      <c r="AG539" s="120">
        <v>125</v>
      </c>
      <c r="AH539" s="113">
        <v>70</v>
      </c>
      <c r="AI539" s="113">
        <v>115</v>
      </c>
    </row>
    <row r="540" spans="1:35">
      <c r="A540" s="113">
        <v>483</v>
      </c>
      <c r="B540" s="113" t="s">
        <v>521</v>
      </c>
      <c r="C540" s="120" t="s">
        <v>5794</v>
      </c>
      <c r="D540" s="124" t="s">
        <v>1109</v>
      </c>
      <c r="E540" s="124" t="s">
        <v>1109</v>
      </c>
      <c r="F540" s="113" t="s">
        <v>2333</v>
      </c>
      <c r="G540" s="113" t="s">
        <v>2120</v>
      </c>
      <c r="H540" s="113" t="s">
        <v>106</v>
      </c>
      <c r="I540" s="113" t="s">
        <v>23</v>
      </c>
      <c r="J540" s="118" t="s">
        <v>12</v>
      </c>
      <c r="K540" s="118">
        <v>5</v>
      </c>
      <c r="L540" s="118" t="s">
        <v>5794</v>
      </c>
      <c r="M540" s="115" t="s">
        <v>1109</v>
      </c>
      <c r="N540" s="115" t="s">
        <v>6504</v>
      </c>
      <c r="O540" s="115">
        <v>2</v>
      </c>
      <c r="P540" s="115" t="s">
        <v>1109</v>
      </c>
      <c r="Q540" s="166"/>
      <c r="R540" s="164"/>
      <c r="S540" s="164"/>
      <c r="T540" s="164"/>
      <c r="U540" s="164"/>
      <c r="V540" s="162"/>
      <c r="W540" s="158"/>
      <c r="X540" s="158"/>
      <c r="Y540" s="158"/>
      <c r="Z540" s="158"/>
      <c r="AA540" s="158"/>
      <c r="AB540" s="158"/>
      <c r="AC540" s="113">
        <v>680</v>
      </c>
      <c r="AD540" s="113">
        <v>100</v>
      </c>
      <c r="AE540" s="113">
        <v>120</v>
      </c>
      <c r="AF540" s="113">
        <v>120</v>
      </c>
      <c r="AG540" s="120">
        <v>150</v>
      </c>
      <c r="AH540" s="113">
        <v>100</v>
      </c>
      <c r="AI540" s="113">
        <v>90</v>
      </c>
    </row>
    <row r="541" spans="1:35">
      <c r="A541" s="113">
        <v>483</v>
      </c>
      <c r="B541" s="113" t="s">
        <v>4481</v>
      </c>
      <c r="C541" s="120" t="s">
        <v>5795</v>
      </c>
      <c r="D541" s="124" t="s">
        <v>1109</v>
      </c>
      <c r="E541" s="124" t="s">
        <v>1109</v>
      </c>
      <c r="F541" s="113" t="s">
        <v>2333</v>
      </c>
      <c r="G541" s="113" t="s">
        <v>2120</v>
      </c>
      <c r="H541" s="113" t="s">
        <v>106</v>
      </c>
      <c r="I541" s="113" t="s">
        <v>23</v>
      </c>
      <c r="J541" s="118" t="s">
        <v>12</v>
      </c>
      <c r="K541" s="118">
        <v>5</v>
      </c>
      <c r="L541" s="118" t="s">
        <v>5794</v>
      </c>
      <c r="M541" s="115" t="s">
        <v>1109</v>
      </c>
      <c r="N541" s="115" t="s">
        <v>6504</v>
      </c>
      <c r="O541" s="115">
        <v>2</v>
      </c>
      <c r="P541" s="115" t="s">
        <v>1109</v>
      </c>
      <c r="Q541" s="166"/>
      <c r="R541" s="164"/>
      <c r="S541" s="164"/>
      <c r="T541" s="164"/>
      <c r="U541" s="164"/>
      <c r="V541" s="162"/>
      <c r="W541" s="158"/>
      <c r="X541" s="158"/>
      <c r="Y541" s="158"/>
      <c r="Z541" s="158"/>
      <c r="AA541" s="158"/>
      <c r="AB541" s="158"/>
      <c r="AC541" s="113">
        <v>680</v>
      </c>
      <c r="AD541" s="113">
        <v>100</v>
      </c>
      <c r="AE541" s="113">
        <v>100</v>
      </c>
      <c r="AF541" s="113">
        <v>120</v>
      </c>
      <c r="AG541" s="120">
        <v>150</v>
      </c>
      <c r="AH541" s="113">
        <v>120</v>
      </c>
      <c r="AI541" s="113">
        <v>90</v>
      </c>
    </row>
    <row r="542" spans="1:35">
      <c r="A542" s="113">
        <v>484</v>
      </c>
      <c r="B542" s="113" t="s">
        <v>522</v>
      </c>
      <c r="C542" s="120" t="s">
        <v>5796</v>
      </c>
      <c r="D542" s="124" t="s">
        <v>1109</v>
      </c>
      <c r="E542" s="124" t="s">
        <v>1109</v>
      </c>
      <c r="F542" s="113" t="s">
        <v>2333</v>
      </c>
      <c r="G542" s="113" t="s">
        <v>2120</v>
      </c>
      <c r="H542" s="113" t="s">
        <v>25</v>
      </c>
      <c r="I542" s="113" t="s">
        <v>23</v>
      </c>
      <c r="J542" s="118" t="s">
        <v>12</v>
      </c>
      <c r="K542" s="118">
        <v>5</v>
      </c>
      <c r="L542" s="118" t="s">
        <v>5796</v>
      </c>
      <c r="M542" s="115" t="s">
        <v>1109</v>
      </c>
      <c r="N542" s="115" t="s">
        <v>6504</v>
      </c>
      <c r="O542" s="115">
        <v>2</v>
      </c>
      <c r="P542" s="115" t="s">
        <v>1109</v>
      </c>
      <c r="Q542" s="166"/>
      <c r="R542" s="164"/>
      <c r="S542" s="164"/>
      <c r="T542" s="164"/>
      <c r="U542" s="164"/>
      <c r="V542" s="162"/>
      <c r="W542" s="158"/>
      <c r="X542" s="158"/>
      <c r="Y542" s="158"/>
      <c r="Z542" s="158"/>
      <c r="AA542" s="158"/>
      <c r="AB542" s="158"/>
      <c r="AC542" s="113">
        <v>680</v>
      </c>
      <c r="AD542" s="113">
        <v>90</v>
      </c>
      <c r="AE542" s="113">
        <v>120</v>
      </c>
      <c r="AF542" s="113">
        <v>100</v>
      </c>
      <c r="AG542" s="120">
        <v>150</v>
      </c>
      <c r="AH542" s="113">
        <v>120</v>
      </c>
      <c r="AI542" s="113">
        <v>100</v>
      </c>
    </row>
    <row r="543" spans="1:35">
      <c r="A543" s="113">
        <v>484</v>
      </c>
      <c r="B543" s="113" t="s">
        <v>4482</v>
      </c>
      <c r="C543" s="120" t="s">
        <v>5797</v>
      </c>
      <c r="D543" s="124" t="s">
        <v>1109</v>
      </c>
      <c r="E543" s="124" t="s">
        <v>1109</v>
      </c>
      <c r="F543" s="113" t="s">
        <v>2333</v>
      </c>
      <c r="G543" s="113" t="s">
        <v>2120</v>
      </c>
      <c r="H543" s="113" t="s">
        <v>25</v>
      </c>
      <c r="I543" s="113" t="s">
        <v>23</v>
      </c>
      <c r="J543" s="118" t="s">
        <v>12</v>
      </c>
      <c r="K543" s="118">
        <v>5</v>
      </c>
      <c r="L543" s="118" t="s">
        <v>5796</v>
      </c>
      <c r="M543" s="115" t="s">
        <v>1109</v>
      </c>
      <c r="N543" s="115" t="s">
        <v>6504</v>
      </c>
      <c r="O543" s="115">
        <v>2</v>
      </c>
      <c r="P543" s="115" t="s">
        <v>1109</v>
      </c>
      <c r="Q543" s="166"/>
      <c r="R543" s="164"/>
      <c r="S543" s="164"/>
      <c r="T543" s="164"/>
      <c r="U543" s="164"/>
      <c r="V543" s="162"/>
      <c r="W543" s="158"/>
      <c r="X543" s="158"/>
      <c r="Y543" s="158"/>
      <c r="Z543" s="158"/>
      <c r="AA543" s="158"/>
      <c r="AB543" s="158"/>
      <c r="AC543" s="113">
        <v>680</v>
      </c>
      <c r="AD543" s="113">
        <v>90</v>
      </c>
      <c r="AE543" s="113">
        <v>100</v>
      </c>
      <c r="AF543" s="113">
        <v>100</v>
      </c>
      <c r="AG543" s="120">
        <v>150</v>
      </c>
      <c r="AH543" s="113">
        <v>120</v>
      </c>
      <c r="AI543" s="113">
        <v>120</v>
      </c>
    </row>
    <row r="544" spans="1:35">
      <c r="A544" s="113">
        <v>485</v>
      </c>
      <c r="B544" s="113" t="s">
        <v>523</v>
      </c>
      <c r="C544" s="120" t="s">
        <v>5798</v>
      </c>
      <c r="D544" s="124">
        <v>0.5</v>
      </c>
      <c r="E544" s="124">
        <v>0.5</v>
      </c>
      <c r="F544" s="113" t="s">
        <v>2333</v>
      </c>
      <c r="G544" s="113" t="s">
        <v>2120</v>
      </c>
      <c r="H544" s="113" t="s">
        <v>19</v>
      </c>
      <c r="I544" s="113" t="s">
        <v>106</v>
      </c>
      <c r="J544" s="118" t="s">
        <v>12</v>
      </c>
      <c r="K544" s="118">
        <v>5</v>
      </c>
      <c r="L544" s="118" t="s">
        <v>5798</v>
      </c>
      <c r="M544" s="115" t="s">
        <v>1109</v>
      </c>
      <c r="N544" s="115" t="s">
        <v>6504</v>
      </c>
      <c r="O544" s="115">
        <v>2</v>
      </c>
      <c r="P544" s="115" t="s">
        <v>1109</v>
      </c>
      <c r="Q544" s="166"/>
      <c r="R544" s="164"/>
      <c r="S544" s="164"/>
      <c r="T544" s="164"/>
      <c r="U544" s="164"/>
      <c r="V544" s="162"/>
      <c r="W544" s="158"/>
      <c r="X544" s="158"/>
      <c r="Y544" s="158"/>
      <c r="Z544" s="158"/>
      <c r="AA544" s="158"/>
      <c r="AB544" s="158"/>
      <c r="AC544" s="113">
        <v>600</v>
      </c>
      <c r="AD544" s="113">
        <v>91</v>
      </c>
      <c r="AE544" s="113">
        <v>90</v>
      </c>
      <c r="AF544" s="113">
        <v>106</v>
      </c>
      <c r="AG544" s="120">
        <v>130</v>
      </c>
      <c r="AH544" s="113">
        <v>106</v>
      </c>
      <c r="AI544" s="113">
        <v>77</v>
      </c>
    </row>
    <row r="545" spans="1:35">
      <c r="A545" s="113">
        <v>486</v>
      </c>
      <c r="B545" s="113" t="s">
        <v>524</v>
      </c>
      <c r="C545" s="120" t="s">
        <v>5799</v>
      </c>
      <c r="D545" s="124" t="s">
        <v>1109</v>
      </c>
      <c r="E545" s="124" t="s">
        <v>1109</v>
      </c>
      <c r="F545" s="113" t="s">
        <v>2333</v>
      </c>
      <c r="G545" s="113" t="s">
        <v>2120</v>
      </c>
      <c r="H545" s="113" t="s">
        <v>36</v>
      </c>
      <c r="I545" s="113" t="s">
        <v>1109</v>
      </c>
      <c r="J545" s="118" t="s">
        <v>12</v>
      </c>
      <c r="K545" s="118">
        <v>5</v>
      </c>
      <c r="L545" s="118" t="s">
        <v>5799</v>
      </c>
      <c r="M545" s="115" t="s">
        <v>1109</v>
      </c>
      <c r="N545" s="115" t="s">
        <v>6504</v>
      </c>
      <c r="O545" s="115">
        <v>2</v>
      </c>
      <c r="P545" s="115" t="s">
        <v>1109</v>
      </c>
      <c r="Q545" s="166"/>
      <c r="R545" s="164"/>
      <c r="S545" s="164"/>
      <c r="T545" s="164"/>
      <c r="U545" s="164"/>
      <c r="V545" s="162"/>
      <c r="W545" s="158"/>
      <c r="X545" s="158"/>
      <c r="Y545" s="158"/>
      <c r="Z545" s="158"/>
      <c r="AA545" s="158"/>
      <c r="AB545" s="158"/>
      <c r="AC545" s="113">
        <v>670</v>
      </c>
      <c r="AD545" s="113">
        <v>110</v>
      </c>
      <c r="AE545" s="113">
        <v>160</v>
      </c>
      <c r="AF545" s="113">
        <v>110</v>
      </c>
      <c r="AG545" s="120">
        <v>80</v>
      </c>
      <c r="AH545" s="113">
        <v>110</v>
      </c>
      <c r="AI545" s="113">
        <v>100</v>
      </c>
    </row>
    <row r="546" spans="1:35">
      <c r="A546" s="113">
        <v>487</v>
      </c>
      <c r="B546" s="113" t="s">
        <v>2982</v>
      </c>
      <c r="C546" s="120" t="s">
        <v>5800</v>
      </c>
      <c r="D546" s="124" t="s">
        <v>1109</v>
      </c>
      <c r="E546" s="124" t="s">
        <v>1109</v>
      </c>
      <c r="F546" s="113" t="s">
        <v>2333</v>
      </c>
      <c r="G546" s="113" t="s">
        <v>2120</v>
      </c>
      <c r="H546" s="113" t="s">
        <v>119</v>
      </c>
      <c r="I546" s="113" t="s">
        <v>23</v>
      </c>
      <c r="J546" s="118" t="s">
        <v>12</v>
      </c>
      <c r="K546" s="118">
        <v>5</v>
      </c>
      <c r="L546" s="118" t="s">
        <v>5800</v>
      </c>
      <c r="M546" s="115" t="s">
        <v>1109</v>
      </c>
      <c r="N546" s="115" t="s">
        <v>6504</v>
      </c>
      <c r="O546" s="115">
        <v>2</v>
      </c>
      <c r="P546" s="115" t="s">
        <v>1109</v>
      </c>
      <c r="Q546" s="166"/>
      <c r="R546" s="164"/>
      <c r="S546" s="164"/>
      <c r="T546" s="164"/>
      <c r="U546" s="164"/>
      <c r="V546" s="162"/>
      <c r="W546" s="158"/>
      <c r="X546" s="158"/>
      <c r="Y546" s="158"/>
      <c r="Z546" s="158"/>
      <c r="AA546" s="158"/>
      <c r="AB546" s="158"/>
      <c r="AC546" s="113">
        <v>680</v>
      </c>
      <c r="AD546" s="113">
        <v>150</v>
      </c>
      <c r="AE546" s="113">
        <v>120</v>
      </c>
      <c r="AF546" s="113">
        <v>100</v>
      </c>
      <c r="AG546" s="120">
        <v>120</v>
      </c>
      <c r="AH546" s="113">
        <v>100</v>
      </c>
      <c r="AI546" s="113">
        <v>90</v>
      </c>
    </row>
    <row r="547" spans="1:35">
      <c r="A547" s="113">
        <v>487</v>
      </c>
      <c r="B547" s="113" t="s">
        <v>2984</v>
      </c>
      <c r="C547" s="120" t="s">
        <v>5801</v>
      </c>
      <c r="D547" s="124" t="s">
        <v>1109</v>
      </c>
      <c r="E547" s="124" t="s">
        <v>1109</v>
      </c>
      <c r="F547" s="113" t="s">
        <v>2333</v>
      </c>
      <c r="G547" s="113" t="s">
        <v>2120</v>
      </c>
      <c r="H547" s="113" t="s">
        <v>119</v>
      </c>
      <c r="I547" s="113" t="s">
        <v>23</v>
      </c>
      <c r="J547" s="118" t="s">
        <v>12</v>
      </c>
      <c r="K547" s="118">
        <v>5</v>
      </c>
      <c r="L547" s="118" t="s">
        <v>5800</v>
      </c>
      <c r="M547" s="115" t="s">
        <v>1109</v>
      </c>
      <c r="N547" s="115" t="s">
        <v>6504</v>
      </c>
      <c r="O547" s="115">
        <v>2</v>
      </c>
      <c r="P547" s="115" t="s">
        <v>1109</v>
      </c>
      <c r="Q547" s="166"/>
      <c r="R547" s="164"/>
      <c r="S547" s="164"/>
      <c r="T547" s="164"/>
      <c r="U547" s="164"/>
      <c r="V547" s="162"/>
      <c r="W547" s="158"/>
      <c r="X547" s="158"/>
      <c r="Y547" s="158"/>
      <c r="Z547" s="158"/>
      <c r="AA547" s="158"/>
      <c r="AB547" s="158"/>
      <c r="AC547" s="113">
        <v>680</v>
      </c>
      <c r="AD547" s="113">
        <v>150</v>
      </c>
      <c r="AE547" s="113">
        <v>100</v>
      </c>
      <c r="AF547" s="113">
        <v>120</v>
      </c>
      <c r="AG547" s="120">
        <v>100</v>
      </c>
      <c r="AH547" s="113">
        <v>120</v>
      </c>
      <c r="AI547" s="113">
        <v>90</v>
      </c>
    </row>
    <row r="548" spans="1:35">
      <c r="A548" s="113">
        <v>488</v>
      </c>
      <c r="B548" s="113" t="s">
        <v>527</v>
      </c>
      <c r="C548" s="120" t="s">
        <v>5802</v>
      </c>
      <c r="D548" s="124">
        <v>0</v>
      </c>
      <c r="E548" s="124">
        <v>1</v>
      </c>
      <c r="F548" s="113" t="s">
        <v>2333</v>
      </c>
      <c r="G548" s="113" t="s">
        <v>2120</v>
      </c>
      <c r="H548" s="113" t="s">
        <v>86</v>
      </c>
      <c r="I548" s="113" t="s">
        <v>1109</v>
      </c>
      <c r="J548" s="118" t="s">
        <v>12</v>
      </c>
      <c r="K548" s="118">
        <v>5</v>
      </c>
      <c r="L548" s="118" t="s">
        <v>5802</v>
      </c>
      <c r="M548" s="115" t="s">
        <v>1109</v>
      </c>
      <c r="N548" s="115" t="s">
        <v>6504</v>
      </c>
      <c r="O548" s="115">
        <v>2</v>
      </c>
      <c r="P548" s="115" t="s">
        <v>1109</v>
      </c>
      <c r="Q548" s="166"/>
      <c r="R548" s="164"/>
      <c r="S548" s="164"/>
      <c r="T548" s="164"/>
      <c r="U548" s="164"/>
      <c r="V548" s="162"/>
      <c r="W548" s="158"/>
      <c r="X548" s="158"/>
      <c r="Y548" s="158"/>
      <c r="Z548" s="158"/>
      <c r="AA548" s="158"/>
      <c r="AB548" s="158"/>
      <c r="AC548" s="113">
        <v>600</v>
      </c>
      <c r="AD548" s="113">
        <v>120</v>
      </c>
      <c r="AE548" s="113">
        <v>70</v>
      </c>
      <c r="AF548" s="113">
        <v>120</v>
      </c>
      <c r="AG548" s="120">
        <v>75</v>
      </c>
      <c r="AH548" s="113">
        <v>130</v>
      </c>
      <c r="AI548" s="113">
        <v>85</v>
      </c>
    </row>
    <row r="549" spans="1:35">
      <c r="A549" s="113">
        <v>489</v>
      </c>
      <c r="B549" s="113" t="s">
        <v>528</v>
      </c>
      <c r="C549" s="120" t="s">
        <v>5803</v>
      </c>
      <c r="D549" s="124" t="s">
        <v>1109</v>
      </c>
      <c r="E549" s="124" t="s">
        <v>1109</v>
      </c>
      <c r="F549" s="113" t="s">
        <v>56</v>
      </c>
      <c r="G549" s="113" t="s">
        <v>2120</v>
      </c>
      <c r="H549" s="113" t="s">
        <v>25</v>
      </c>
      <c r="I549" s="113" t="s">
        <v>1109</v>
      </c>
      <c r="J549" s="118" t="s">
        <v>12</v>
      </c>
      <c r="K549" s="118">
        <v>5</v>
      </c>
      <c r="L549" s="118" t="s">
        <v>5803</v>
      </c>
      <c r="M549" s="115" t="s">
        <v>1109</v>
      </c>
      <c r="N549" s="115" t="s">
        <v>6504</v>
      </c>
      <c r="O549" s="115">
        <v>2</v>
      </c>
      <c r="P549" s="115" t="s">
        <v>1109</v>
      </c>
      <c r="Q549" s="166"/>
      <c r="R549" s="164"/>
      <c r="S549" s="164"/>
      <c r="T549" s="164"/>
      <c r="U549" s="164"/>
      <c r="V549" s="162"/>
      <c r="W549" s="158"/>
      <c r="X549" s="158"/>
      <c r="Y549" s="158"/>
      <c r="Z549" s="158"/>
      <c r="AA549" s="158"/>
      <c r="AB549" s="158"/>
      <c r="AC549" s="113">
        <v>480</v>
      </c>
      <c r="AD549" s="113">
        <v>80</v>
      </c>
      <c r="AE549" s="113">
        <v>80</v>
      </c>
      <c r="AF549" s="113">
        <v>80</v>
      </c>
      <c r="AG549" s="120">
        <v>80</v>
      </c>
      <c r="AH549" s="113">
        <v>80</v>
      </c>
      <c r="AI549" s="113">
        <v>80</v>
      </c>
    </row>
    <row r="550" spans="1:35">
      <c r="A550" s="113">
        <v>490</v>
      </c>
      <c r="B550" s="113" t="s">
        <v>529</v>
      </c>
      <c r="C550" s="120" t="s">
        <v>5804</v>
      </c>
      <c r="D550" s="124" t="s">
        <v>1109</v>
      </c>
      <c r="E550" s="124" t="s">
        <v>1109</v>
      </c>
      <c r="F550" s="113" t="s">
        <v>56</v>
      </c>
      <c r="G550" s="113" t="s">
        <v>2120</v>
      </c>
      <c r="H550" s="113" t="s">
        <v>25</v>
      </c>
      <c r="I550" s="113" t="s">
        <v>1109</v>
      </c>
      <c r="J550" s="118" t="s">
        <v>12</v>
      </c>
      <c r="K550" s="118">
        <v>5</v>
      </c>
      <c r="L550" s="118" t="s">
        <v>5804</v>
      </c>
      <c r="M550" s="115" t="s">
        <v>1109</v>
      </c>
      <c r="N550" s="115" t="s">
        <v>6504</v>
      </c>
      <c r="O550" s="115">
        <v>2</v>
      </c>
      <c r="P550" s="115" t="s">
        <v>1109</v>
      </c>
      <c r="Q550" s="166"/>
      <c r="R550" s="164"/>
      <c r="S550" s="164"/>
      <c r="T550" s="164"/>
      <c r="U550" s="164"/>
      <c r="V550" s="162"/>
      <c r="W550" s="158"/>
      <c r="X550" s="158"/>
      <c r="Y550" s="158"/>
      <c r="Z550" s="158"/>
      <c r="AA550" s="158"/>
      <c r="AB550" s="158"/>
      <c r="AC550" s="113">
        <v>600</v>
      </c>
      <c r="AD550" s="113">
        <v>100</v>
      </c>
      <c r="AE550" s="113">
        <v>100</v>
      </c>
      <c r="AF550" s="113">
        <v>100</v>
      </c>
      <c r="AG550" s="120">
        <v>100</v>
      </c>
      <c r="AH550" s="113">
        <v>100</v>
      </c>
      <c r="AI550" s="113">
        <v>100</v>
      </c>
    </row>
    <row r="551" spans="1:35">
      <c r="A551" s="113">
        <v>491</v>
      </c>
      <c r="B551" s="113" t="s">
        <v>530</v>
      </c>
      <c r="C551" s="120" t="s">
        <v>5805</v>
      </c>
      <c r="D551" s="124" t="s">
        <v>1109</v>
      </c>
      <c r="E551" s="124" t="s">
        <v>1109</v>
      </c>
      <c r="F551" s="113" t="s">
        <v>2333</v>
      </c>
      <c r="G551" s="113" t="s">
        <v>2120</v>
      </c>
      <c r="H551" s="113" t="s">
        <v>158</v>
      </c>
      <c r="I551" s="113" t="s">
        <v>1109</v>
      </c>
      <c r="J551" s="118" t="s">
        <v>12</v>
      </c>
      <c r="K551" s="118">
        <v>5</v>
      </c>
      <c r="L551" s="118" t="s">
        <v>5805</v>
      </c>
      <c r="M551" s="115" t="s">
        <v>1109</v>
      </c>
      <c r="N551" s="115" t="s">
        <v>6504</v>
      </c>
      <c r="O551" s="115">
        <v>2</v>
      </c>
      <c r="P551" s="115" t="s">
        <v>1109</v>
      </c>
      <c r="Q551" s="166"/>
      <c r="R551" s="164"/>
      <c r="S551" s="164"/>
      <c r="T551" s="164"/>
      <c r="U551" s="164"/>
      <c r="V551" s="162"/>
      <c r="W551" s="158"/>
      <c r="X551" s="158"/>
      <c r="Y551" s="158"/>
      <c r="Z551" s="158"/>
      <c r="AA551" s="158"/>
      <c r="AB551" s="158"/>
      <c r="AC551" s="113">
        <v>600</v>
      </c>
      <c r="AD551" s="113">
        <v>70</v>
      </c>
      <c r="AE551" s="113">
        <v>90</v>
      </c>
      <c r="AF551" s="113">
        <v>90</v>
      </c>
      <c r="AG551" s="120">
        <v>135</v>
      </c>
      <c r="AH551" s="113">
        <v>90</v>
      </c>
      <c r="AI551" s="113">
        <v>125</v>
      </c>
    </row>
    <row r="552" spans="1:35">
      <c r="A552" s="113">
        <v>492</v>
      </c>
      <c r="B552" s="113" t="s">
        <v>2985</v>
      </c>
      <c r="C552" s="120" t="s">
        <v>5806</v>
      </c>
      <c r="D552" s="124" t="s">
        <v>1109</v>
      </c>
      <c r="E552" s="124" t="s">
        <v>1109</v>
      </c>
      <c r="F552" s="113" t="s">
        <v>2333</v>
      </c>
      <c r="G552" s="113" t="s">
        <v>2120</v>
      </c>
      <c r="H552" s="113" t="s">
        <v>14</v>
      </c>
      <c r="I552" s="113" t="s">
        <v>22</v>
      </c>
      <c r="J552" s="118" t="s">
        <v>12</v>
      </c>
      <c r="K552" s="118">
        <v>5</v>
      </c>
      <c r="L552" s="118" t="s">
        <v>5806</v>
      </c>
      <c r="M552" s="115" t="s">
        <v>1109</v>
      </c>
      <c r="N552" s="115" t="s">
        <v>6504</v>
      </c>
      <c r="O552" s="115">
        <v>2</v>
      </c>
      <c r="P552" s="115" t="s">
        <v>1109</v>
      </c>
      <c r="Q552" s="166"/>
      <c r="R552" s="164"/>
      <c r="S552" s="164"/>
      <c r="T552" s="164"/>
      <c r="U552" s="164"/>
      <c r="V552" s="162"/>
      <c r="W552" s="158"/>
      <c r="X552" s="158"/>
      <c r="Y552" s="158"/>
      <c r="Z552" s="158"/>
      <c r="AA552" s="158"/>
      <c r="AB552" s="158"/>
      <c r="AC552" s="113">
        <v>600</v>
      </c>
      <c r="AD552" s="113">
        <v>100</v>
      </c>
      <c r="AE552" s="113">
        <v>100</v>
      </c>
      <c r="AF552" s="113">
        <v>100</v>
      </c>
      <c r="AG552" s="120">
        <v>100</v>
      </c>
      <c r="AH552" s="113">
        <v>100</v>
      </c>
      <c r="AI552" s="113">
        <v>100</v>
      </c>
    </row>
    <row r="553" spans="1:35">
      <c r="A553" s="113">
        <v>492</v>
      </c>
      <c r="B553" s="113" t="s">
        <v>2987</v>
      </c>
      <c r="C553" s="120" t="s">
        <v>5807</v>
      </c>
      <c r="D553" s="124" t="s">
        <v>1109</v>
      </c>
      <c r="E553" s="124" t="s">
        <v>1109</v>
      </c>
      <c r="F553" s="113" t="s">
        <v>2333</v>
      </c>
      <c r="G553" s="113" t="s">
        <v>2120</v>
      </c>
      <c r="H553" s="113" t="s">
        <v>14</v>
      </c>
      <c r="I553" s="113" t="s">
        <v>1109</v>
      </c>
      <c r="J553" s="118" t="s">
        <v>12</v>
      </c>
      <c r="K553" s="118">
        <v>5</v>
      </c>
      <c r="L553" s="118" t="s">
        <v>5806</v>
      </c>
      <c r="M553" s="115" t="s">
        <v>1109</v>
      </c>
      <c r="N553" s="115" t="s">
        <v>6504</v>
      </c>
      <c r="O553" s="115">
        <v>2</v>
      </c>
      <c r="P553" s="115" t="s">
        <v>1109</v>
      </c>
      <c r="Q553" s="166"/>
      <c r="R553" s="164"/>
      <c r="S553" s="164"/>
      <c r="T553" s="164"/>
      <c r="U553" s="164"/>
      <c r="V553" s="162"/>
      <c r="W553" s="158"/>
      <c r="X553" s="158"/>
      <c r="Y553" s="158"/>
      <c r="Z553" s="158"/>
      <c r="AA553" s="158"/>
      <c r="AB553" s="158"/>
      <c r="AC553" s="113">
        <v>600</v>
      </c>
      <c r="AD553" s="113">
        <v>100</v>
      </c>
      <c r="AE553" s="113">
        <v>103</v>
      </c>
      <c r="AF553" s="113">
        <v>75</v>
      </c>
      <c r="AG553" s="120">
        <v>120</v>
      </c>
      <c r="AH553" s="113">
        <v>75</v>
      </c>
      <c r="AI553" s="113">
        <v>127</v>
      </c>
    </row>
    <row r="554" spans="1:35">
      <c r="A554" s="113">
        <v>493</v>
      </c>
      <c r="B554" s="113" t="s">
        <v>533</v>
      </c>
      <c r="C554" s="120" t="s">
        <v>5808</v>
      </c>
      <c r="D554" s="124" t="s">
        <v>1109</v>
      </c>
      <c r="E554" s="124" t="s">
        <v>1109</v>
      </c>
      <c r="F554" s="113" t="s">
        <v>2333</v>
      </c>
      <c r="G554" s="113" t="s">
        <v>2120</v>
      </c>
      <c r="H554" s="113" t="s">
        <v>36</v>
      </c>
      <c r="I554" s="113" t="s">
        <v>1109</v>
      </c>
      <c r="J554" s="118" t="s">
        <v>12</v>
      </c>
      <c r="K554" s="118">
        <v>5</v>
      </c>
      <c r="L554" s="118" t="s">
        <v>5808</v>
      </c>
      <c r="M554" s="115" t="s">
        <v>1109</v>
      </c>
      <c r="N554" s="115" t="s">
        <v>6504</v>
      </c>
      <c r="O554" s="115">
        <v>2</v>
      </c>
      <c r="P554" s="115" t="s">
        <v>1109</v>
      </c>
      <c r="Q554" s="166"/>
      <c r="R554" s="164"/>
      <c r="S554" s="164"/>
      <c r="T554" s="164"/>
      <c r="U554" s="164"/>
      <c r="V554" s="162"/>
      <c r="W554" s="158"/>
      <c r="X554" s="158"/>
      <c r="Y554" s="158"/>
      <c r="Z554" s="158"/>
      <c r="AA554" s="158"/>
      <c r="AB554" s="158"/>
      <c r="AC554" s="113">
        <v>720</v>
      </c>
      <c r="AD554" s="113">
        <v>120</v>
      </c>
      <c r="AE554" s="113">
        <v>120</v>
      </c>
      <c r="AF554" s="113">
        <v>120</v>
      </c>
      <c r="AG554" s="120">
        <v>120</v>
      </c>
      <c r="AH554" s="113">
        <v>120</v>
      </c>
      <c r="AI554" s="113">
        <v>120</v>
      </c>
    </row>
    <row r="555" spans="1:35">
      <c r="A555" s="113">
        <v>494</v>
      </c>
      <c r="B555" s="113" t="s">
        <v>534</v>
      </c>
      <c r="C555" s="120" t="s">
        <v>5809</v>
      </c>
      <c r="D555" s="124" t="s">
        <v>1109</v>
      </c>
      <c r="E555" s="124" t="s">
        <v>1109</v>
      </c>
      <c r="F555" s="113" t="s">
        <v>2333</v>
      </c>
      <c r="G555" s="113" t="s">
        <v>2121</v>
      </c>
      <c r="H555" s="113" t="s">
        <v>86</v>
      </c>
      <c r="I555" s="113" t="s">
        <v>19</v>
      </c>
      <c r="J555" s="118" t="s">
        <v>12</v>
      </c>
      <c r="K555" s="118">
        <v>5</v>
      </c>
      <c r="L555" s="118" t="s">
        <v>5809</v>
      </c>
      <c r="M555" s="115" t="s">
        <v>1109</v>
      </c>
      <c r="N555" s="115" t="s">
        <v>6504</v>
      </c>
      <c r="O555" s="115">
        <v>2</v>
      </c>
      <c r="P555" s="115" t="s">
        <v>1109</v>
      </c>
      <c r="Q555" s="166"/>
      <c r="R555" s="164"/>
      <c r="S555" s="164"/>
      <c r="T555" s="164"/>
      <c r="U555" s="164"/>
      <c r="V555" s="162"/>
      <c r="W555" s="158"/>
      <c r="X555" s="158"/>
      <c r="Y555" s="158"/>
      <c r="Z555" s="158"/>
      <c r="AA555" s="158"/>
      <c r="AB555" s="158"/>
      <c r="AC555" s="113">
        <v>600</v>
      </c>
      <c r="AD555" s="113">
        <v>100</v>
      </c>
      <c r="AE555" s="113">
        <v>100</v>
      </c>
      <c r="AF555" s="113">
        <v>100</v>
      </c>
      <c r="AG555" s="120">
        <v>100</v>
      </c>
      <c r="AH555" s="113">
        <v>100</v>
      </c>
      <c r="AI555" s="113">
        <v>100</v>
      </c>
    </row>
    <row r="556" spans="1:35">
      <c r="A556" s="113">
        <v>495</v>
      </c>
      <c r="B556" s="113" t="s">
        <v>535</v>
      </c>
      <c r="C556" s="120" t="s">
        <v>5810</v>
      </c>
      <c r="D556" s="124">
        <v>0.85</v>
      </c>
      <c r="E556" s="124">
        <v>0.15</v>
      </c>
      <c r="F556" s="113" t="s">
        <v>2332</v>
      </c>
      <c r="G556" s="113" t="s">
        <v>2121</v>
      </c>
      <c r="H556" s="113" t="s">
        <v>14</v>
      </c>
      <c r="I556" s="113" t="s">
        <v>1109</v>
      </c>
      <c r="J556" s="118" t="s">
        <v>792</v>
      </c>
      <c r="K556" s="118">
        <v>4</v>
      </c>
      <c r="L556" s="118" t="s">
        <v>5810</v>
      </c>
      <c r="M556" s="115" t="s">
        <v>1109</v>
      </c>
      <c r="N556" s="115" t="s">
        <v>6505</v>
      </c>
      <c r="O556" s="115">
        <v>1.75</v>
      </c>
      <c r="P556" s="115" t="s">
        <v>1109</v>
      </c>
      <c r="Q556" s="166"/>
      <c r="R556" s="164"/>
      <c r="S556" s="164"/>
      <c r="T556" s="164"/>
      <c r="U556" s="164"/>
      <c r="V556" s="162"/>
      <c r="W556" s="158"/>
      <c r="X556" s="158"/>
      <c r="Y556" s="158"/>
      <c r="Z556" s="158"/>
      <c r="AA556" s="158"/>
      <c r="AB556" s="158"/>
      <c r="AC556" s="113">
        <v>308</v>
      </c>
      <c r="AD556" s="113">
        <v>45</v>
      </c>
      <c r="AE556" s="113">
        <v>45</v>
      </c>
      <c r="AF556" s="113">
        <v>55</v>
      </c>
      <c r="AG556" s="120">
        <v>45</v>
      </c>
      <c r="AH556" s="113">
        <v>55</v>
      </c>
      <c r="AI556" s="113">
        <v>63</v>
      </c>
    </row>
    <row r="557" spans="1:35">
      <c r="A557" s="113">
        <v>496</v>
      </c>
      <c r="B557" s="113" t="s">
        <v>536</v>
      </c>
      <c r="C557" s="120" t="s">
        <v>5811</v>
      </c>
      <c r="D557" s="124">
        <v>0.85</v>
      </c>
      <c r="E557" s="124">
        <v>0.15</v>
      </c>
      <c r="F557" s="113" t="s">
        <v>2332</v>
      </c>
      <c r="G557" s="113" t="s">
        <v>2121</v>
      </c>
      <c r="H557" s="113" t="s">
        <v>14</v>
      </c>
      <c r="I557" s="113" t="s">
        <v>1109</v>
      </c>
      <c r="J557" s="118" t="s">
        <v>792</v>
      </c>
      <c r="K557" s="118">
        <v>4</v>
      </c>
      <c r="L557" s="118" t="s">
        <v>5810</v>
      </c>
      <c r="M557" s="115" t="s">
        <v>5810</v>
      </c>
      <c r="N557" s="115" t="s">
        <v>6506</v>
      </c>
      <c r="O557" s="115">
        <v>1.75</v>
      </c>
      <c r="P557" s="115" t="s">
        <v>2128</v>
      </c>
      <c r="Q557" s="166"/>
      <c r="R557" s="164"/>
      <c r="S557" s="164"/>
      <c r="T557" s="164"/>
      <c r="U557" s="164"/>
      <c r="V557" s="162"/>
      <c r="W557" s="158"/>
      <c r="X557" s="158"/>
      <c r="Y557" s="158"/>
      <c r="Z557" s="158"/>
      <c r="AA557" s="158"/>
      <c r="AB557" s="158"/>
      <c r="AC557" s="113">
        <v>413</v>
      </c>
      <c r="AD557" s="113">
        <v>60</v>
      </c>
      <c r="AE557" s="113">
        <v>60</v>
      </c>
      <c r="AF557" s="113">
        <v>75</v>
      </c>
      <c r="AG557" s="120">
        <v>60</v>
      </c>
      <c r="AH557" s="113">
        <v>75</v>
      </c>
      <c r="AI557" s="113">
        <v>83</v>
      </c>
    </row>
    <row r="558" spans="1:35">
      <c r="A558" s="113">
        <v>497</v>
      </c>
      <c r="B558" s="113" t="s">
        <v>537</v>
      </c>
      <c r="C558" s="120" t="s">
        <v>5812</v>
      </c>
      <c r="D558" s="124">
        <v>0.85</v>
      </c>
      <c r="E558" s="124">
        <v>0.15</v>
      </c>
      <c r="F558" s="113" t="s">
        <v>2332</v>
      </c>
      <c r="G558" s="113" t="s">
        <v>2121</v>
      </c>
      <c r="H558" s="113" t="s">
        <v>14</v>
      </c>
      <c r="I558" s="113" t="s">
        <v>1109</v>
      </c>
      <c r="J558" s="118" t="s">
        <v>792</v>
      </c>
      <c r="K558" s="118">
        <v>4</v>
      </c>
      <c r="L558" s="118" t="s">
        <v>5810</v>
      </c>
      <c r="M558" s="115" t="s">
        <v>5811</v>
      </c>
      <c r="N558" s="115" t="s">
        <v>6504</v>
      </c>
      <c r="O558" s="115">
        <v>1.75</v>
      </c>
      <c r="P558" s="115" t="s">
        <v>2128</v>
      </c>
      <c r="Q558" s="166"/>
      <c r="R558" s="164"/>
      <c r="S558" s="164"/>
      <c r="T558" s="164"/>
      <c r="U558" s="164"/>
      <c r="V558" s="162"/>
      <c r="W558" s="158"/>
      <c r="X558" s="158"/>
      <c r="Y558" s="158"/>
      <c r="Z558" s="158"/>
      <c r="AA558" s="158"/>
      <c r="AB558" s="158"/>
      <c r="AC558" s="113">
        <v>528</v>
      </c>
      <c r="AD558" s="113">
        <v>75</v>
      </c>
      <c r="AE558" s="113">
        <v>75</v>
      </c>
      <c r="AF558" s="113">
        <v>95</v>
      </c>
      <c r="AG558" s="120">
        <v>75</v>
      </c>
      <c r="AH558" s="113">
        <v>95</v>
      </c>
      <c r="AI558" s="113">
        <v>113</v>
      </c>
    </row>
    <row r="559" spans="1:35">
      <c r="A559" s="113">
        <v>498</v>
      </c>
      <c r="B559" s="113" t="s">
        <v>538</v>
      </c>
      <c r="C559" s="120" t="s">
        <v>5813</v>
      </c>
      <c r="D559" s="124">
        <v>0.85</v>
      </c>
      <c r="E559" s="124">
        <v>0.15</v>
      </c>
      <c r="F559" s="113" t="s">
        <v>2332</v>
      </c>
      <c r="G559" s="113" t="s">
        <v>2121</v>
      </c>
      <c r="H559" s="113" t="s">
        <v>19</v>
      </c>
      <c r="I559" s="113" t="s">
        <v>1109</v>
      </c>
      <c r="J559" s="118" t="s">
        <v>792</v>
      </c>
      <c r="K559" s="118">
        <v>4</v>
      </c>
      <c r="L559" s="118" t="s">
        <v>5813</v>
      </c>
      <c r="M559" s="115" t="s">
        <v>1109</v>
      </c>
      <c r="N559" s="115" t="s">
        <v>6505</v>
      </c>
      <c r="O559" s="115">
        <v>1.75</v>
      </c>
      <c r="P559" s="115" t="s">
        <v>1109</v>
      </c>
      <c r="Q559" s="166"/>
      <c r="R559" s="164"/>
      <c r="S559" s="164"/>
      <c r="T559" s="164"/>
      <c r="U559" s="164"/>
      <c r="V559" s="162"/>
      <c r="W559" s="158"/>
      <c r="X559" s="158"/>
      <c r="Y559" s="158"/>
      <c r="Z559" s="158"/>
      <c r="AA559" s="158"/>
      <c r="AB559" s="158"/>
      <c r="AC559" s="113">
        <v>308</v>
      </c>
      <c r="AD559" s="113">
        <v>65</v>
      </c>
      <c r="AE559" s="113">
        <v>63</v>
      </c>
      <c r="AF559" s="113">
        <v>45</v>
      </c>
      <c r="AG559" s="120">
        <v>45</v>
      </c>
      <c r="AH559" s="113">
        <v>45</v>
      </c>
      <c r="AI559" s="113">
        <v>45</v>
      </c>
    </row>
    <row r="560" spans="1:35">
      <c r="A560" s="113">
        <v>499</v>
      </c>
      <c r="B560" s="113" t="s">
        <v>539</v>
      </c>
      <c r="C560" s="120" t="s">
        <v>5814</v>
      </c>
      <c r="D560" s="124">
        <v>0.85</v>
      </c>
      <c r="E560" s="124">
        <v>0.15</v>
      </c>
      <c r="F560" s="113" t="s">
        <v>2332</v>
      </c>
      <c r="G560" s="113" t="s">
        <v>2121</v>
      </c>
      <c r="H560" s="113" t="s">
        <v>19</v>
      </c>
      <c r="I560" s="113" t="s">
        <v>78</v>
      </c>
      <c r="J560" s="118" t="s">
        <v>792</v>
      </c>
      <c r="K560" s="118">
        <v>4</v>
      </c>
      <c r="L560" s="118" t="s">
        <v>5813</v>
      </c>
      <c r="M560" s="115" t="s">
        <v>5813</v>
      </c>
      <c r="N560" s="115" t="s">
        <v>6506</v>
      </c>
      <c r="O560" s="115">
        <v>1.75</v>
      </c>
      <c r="P560" s="115" t="s">
        <v>2128</v>
      </c>
      <c r="Q560" s="166"/>
      <c r="R560" s="164"/>
      <c r="S560" s="164"/>
      <c r="T560" s="164"/>
      <c r="U560" s="164"/>
      <c r="V560" s="162"/>
      <c r="W560" s="158"/>
      <c r="X560" s="158"/>
      <c r="Y560" s="158"/>
      <c r="Z560" s="158"/>
      <c r="AA560" s="158"/>
      <c r="AB560" s="158"/>
      <c r="AC560" s="113">
        <v>418</v>
      </c>
      <c r="AD560" s="113">
        <v>90</v>
      </c>
      <c r="AE560" s="113">
        <v>93</v>
      </c>
      <c r="AF560" s="113">
        <v>55</v>
      </c>
      <c r="AG560" s="120">
        <v>70</v>
      </c>
      <c r="AH560" s="113">
        <v>55</v>
      </c>
      <c r="AI560" s="113">
        <v>55</v>
      </c>
    </row>
    <row r="561" spans="1:35">
      <c r="A561" s="113">
        <v>500</v>
      </c>
      <c r="B561" s="113" t="s">
        <v>540</v>
      </c>
      <c r="C561" s="120" t="s">
        <v>5815</v>
      </c>
      <c r="D561" s="124">
        <v>0.85</v>
      </c>
      <c r="E561" s="124">
        <v>0.15</v>
      </c>
      <c r="F561" s="113" t="s">
        <v>2332</v>
      </c>
      <c r="G561" s="113" t="s">
        <v>2121</v>
      </c>
      <c r="H561" s="113" t="s">
        <v>19</v>
      </c>
      <c r="I561" s="113" t="s">
        <v>78</v>
      </c>
      <c r="J561" s="118" t="s">
        <v>792</v>
      </c>
      <c r="K561" s="118">
        <v>4</v>
      </c>
      <c r="L561" s="118" t="s">
        <v>5813</v>
      </c>
      <c r="M561" s="115" t="s">
        <v>5814</v>
      </c>
      <c r="N561" s="115" t="s">
        <v>6504</v>
      </c>
      <c r="O561" s="115">
        <v>1.75</v>
      </c>
      <c r="P561" s="115" t="s">
        <v>2128</v>
      </c>
      <c r="Q561" s="166"/>
      <c r="R561" s="164"/>
      <c r="S561" s="164"/>
      <c r="T561" s="164"/>
      <c r="U561" s="164"/>
      <c r="V561" s="162"/>
      <c r="W561" s="158"/>
      <c r="X561" s="158"/>
      <c r="Y561" s="158"/>
      <c r="Z561" s="158"/>
      <c r="AA561" s="158"/>
      <c r="AB561" s="158"/>
      <c r="AC561" s="113">
        <v>528</v>
      </c>
      <c r="AD561" s="113">
        <v>110</v>
      </c>
      <c r="AE561" s="113">
        <v>123</v>
      </c>
      <c r="AF561" s="113">
        <v>65</v>
      </c>
      <c r="AG561" s="120">
        <v>100</v>
      </c>
      <c r="AH561" s="113">
        <v>65</v>
      </c>
      <c r="AI561" s="113">
        <v>65</v>
      </c>
    </row>
    <row r="562" spans="1:35">
      <c r="A562" s="113">
        <v>501</v>
      </c>
      <c r="B562" s="113" t="s">
        <v>541</v>
      </c>
      <c r="C562" s="120" t="s">
        <v>5816</v>
      </c>
      <c r="D562" s="124">
        <v>0.85</v>
      </c>
      <c r="E562" s="124">
        <v>0.15</v>
      </c>
      <c r="F562" s="113" t="s">
        <v>2332</v>
      </c>
      <c r="G562" s="113" t="s">
        <v>2121</v>
      </c>
      <c r="H562" s="113" t="s">
        <v>25</v>
      </c>
      <c r="I562" s="113" t="s">
        <v>1109</v>
      </c>
      <c r="J562" s="118" t="s">
        <v>792</v>
      </c>
      <c r="K562" s="118">
        <v>4</v>
      </c>
      <c r="L562" s="118" t="s">
        <v>5816</v>
      </c>
      <c r="M562" s="115" t="s">
        <v>1109</v>
      </c>
      <c r="N562" s="115" t="s">
        <v>6505</v>
      </c>
      <c r="O562" s="115">
        <v>1.75</v>
      </c>
      <c r="P562" s="115" t="s">
        <v>1109</v>
      </c>
      <c r="Q562" s="166"/>
      <c r="R562" s="164"/>
      <c r="S562" s="164"/>
      <c r="T562" s="164"/>
      <c r="U562" s="164"/>
      <c r="V562" s="162"/>
      <c r="W562" s="158"/>
      <c r="X562" s="158"/>
      <c r="Y562" s="158"/>
      <c r="Z562" s="158"/>
      <c r="AA562" s="158"/>
      <c r="AB562" s="158"/>
      <c r="AC562" s="113">
        <v>308</v>
      </c>
      <c r="AD562" s="113">
        <v>55</v>
      </c>
      <c r="AE562" s="113">
        <v>55</v>
      </c>
      <c r="AF562" s="113">
        <v>45</v>
      </c>
      <c r="AG562" s="120">
        <v>63</v>
      </c>
      <c r="AH562" s="113">
        <v>45</v>
      </c>
      <c r="AI562" s="113">
        <v>45</v>
      </c>
    </row>
    <row r="563" spans="1:35">
      <c r="A563" s="113">
        <v>502</v>
      </c>
      <c r="B563" s="113" t="s">
        <v>542</v>
      </c>
      <c r="C563" s="120" t="s">
        <v>5817</v>
      </c>
      <c r="D563" s="124">
        <v>0.85</v>
      </c>
      <c r="E563" s="124">
        <v>0.15</v>
      </c>
      <c r="F563" s="113" t="s">
        <v>2332</v>
      </c>
      <c r="G563" s="113" t="s">
        <v>2121</v>
      </c>
      <c r="H563" s="113" t="s">
        <v>25</v>
      </c>
      <c r="I563" s="113" t="s">
        <v>1109</v>
      </c>
      <c r="J563" s="118" t="s">
        <v>792</v>
      </c>
      <c r="K563" s="118">
        <v>4</v>
      </c>
      <c r="L563" s="118" t="s">
        <v>5816</v>
      </c>
      <c r="M563" s="115" t="s">
        <v>5816</v>
      </c>
      <c r="N563" s="115" t="s">
        <v>6506</v>
      </c>
      <c r="O563" s="115">
        <v>1.75</v>
      </c>
      <c r="P563" s="115" t="s">
        <v>2128</v>
      </c>
      <c r="Q563" s="166"/>
      <c r="R563" s="164"/>
      <c r="S563" s="164"/>
      <c r="T563" s="164"/>
      <c r="U563" s="164"/>
      <c r="V563" s="162"/>
      <c r="W563" s="158"/>
      <c r="X563" s="158"/>
      <c r="Y563" s="158"/>
      <c r="Z563" s="158"/>
      <c r="AA563" s="158"/>
      <c r="AB563" s="158"/>
      <c r="AC563" s="113">
        <v>413</v>
      </c>
      <c r="AD563" s="113">
        <v>75</v>
      </c>
      <c r="AE563" s="113">
        <v>75</v>
      </c>
      <c r="AF563" s="113">
        <v>60</v>
      </c>
      <c r="AG563" s="120">
        <v>83</v>
      </c>
      <c r="AH563" s="113">
        <v>60</v>
      </c>
      <c r="AI563" s="113">
        <v>60</v>
      </c>
    </row>
    <row r="564" spans="1:35">
      <c r="A564" s="113">
        <v>503</v>
      </c>
      <c r="B564" s="113" t="s">
        <v>543</v>
      </c>
      <c r="C564" s="120" t="s">
        <v>5818</v>
      </c>
      <c r="D564" s="124">
        <v>0.85</v>
      </c>
      <c r="E564" s="124">
        <v>0.15</v>
      </c>
      <c r="F564" s="113" t="s">
        <v>2332</v>
      </c>
      <c r="G564" s="113" t="s">
        <v>2121</v>
      </c>
      <c r="H564" s="113" t="s">
        <v>25</v>
      </c>
      <c r="I564" s="113" t="s">
        <v>1109</v>
      </c>
      <c r="J564" s="118" t="s">
        <v>792</v>
      </c>
      <c r="K564" s="118">
        <v>4</v>
      </c>
      <c r="L564" s="118" t="s">
        <v>5816</v>
      </c>
      <c r="M564" s="115" t="s">
        <v>5817</v>
      </c>
      <c r="N564" s="115" t="s">
        <v>6504</v>
      </c>
      <c r="O564" s="115">
        <v>1.75</v>
      </c>
      <c r="P564" s="115" t="s">
        <v>2128</v>
      </c>
      <c r="Q564" s="166"/>
      <c r="R564" s="164"/>
      <c r="S564" s="164"/>
      <c r="T564" s="164"/>
      <c r="U564" s="164"/>
      <c r="V564" s="162"/>
      <c r="W564" s="158"/>
      <c r="X564" s="158"/>
      <c r="Y564" s="158"/>
      <c r="Z564" s="158"/>
      <c r="AA564" s="158"/>
      <c r="AB564" s="158"/>
      <c r="AC564" s="113">
        <v>528</v>
      </c>
      <c r="AD564" s="113">
        <v>95</v>
      </c>
      <c r="AE564" s="113">
        <v>100</v>
      </c>
      <c r="AF564" s="113">
        <v>85</v>
      </c>
      <c r="AG564" s="120">
        <v>108</v>
      </c>
      <c r="AH564" s="113">
        <v>70</v>
      </c>
      <c r="AI564" s="113">
        <v>70</v>
      </c>
    </row>
    <row r="565" spans="1:35">
      <c r="A565" s="113">
        <v>503</v>
      </c>
      <c r="B565" s="113" t="s">
        <v>2989</v>
      </c>
      <c r="C565" s="120" t="s">
        <v>5819</v>
      </c>
      <c r="D565" s="124">
        <v>0.85</v>
      </c>
      <c r="E565" s="124">
        <v>0.15</v>
      </c>
      <c r="F565" s="113" t="s">
        <v>2332</v>
      </c>
      <c r="G565" s="113" t="s">
        <v>4319</v>
      </c>
      <c r="H565" s="113" t="s">
        <v>25</v>
      </c>
      <c r="I565" s="113" t="s">
        <v>158</v>
      </c>
      <c r="J565" s="118" t="s">
        <v>792</v>
      </c>
      <c r="K565" s="118">
        <v>4</v>
      </c>
      <c r="L565" s="118" t="s">
        <v>5816</v>
      </c>
      <c r="M565" s="115" t="s">
        <v>5817</v>
      </c>
      <c r="N565" s="115" t="s">
        <v>6504</v>
      </c>
      <c r="O565" s="115">
        <v>1.75</v>
      </c>
      <c r="P565" s="115" t="s">
        <v>2128</v>
      </c>
      <c r="Q565" s="166"/>
      <c r="R565" s="164"/>
      <c r="S565" s="164"/>
      <c r="T565" s="164"/>
      <c r="U565" s="164"/>
      <c r="V565" s="162"/>
      <c r="W565" s="158"/>
      <c r="X565" s="158"/>
      <c r="Y565" s="158"/>
      <c r="Z565" s="158"/>
      <c r="AA565" s="158"/>
      <c r="AB565" s="158"/>
      <c r="AC565" s="113">
        <v>528</v>
      </c>
      <c r="AD565" s="113">
        <v>90</v>
      </c>
      <c r="AE565" s="113">
        <v>108</v>
      </c>
      <c r="AF565" s="113">
        <v>80</v>
      </c>
      <c r="AG565" s="120">
        <v>100</v>
      </c>
      <c r="AH565" s="113">
        <v>65</v>
      </c>
      <c r="AI565" s="113">
        <v>85</v>
      </c>
    </row>
    <row r="566" spans="1:35">
      <c r="A566" s="113">
        <v>504</v>
      </c>
      <c r="B566" s="113" t="s">
        <v>544</v>
      </c>
      <c r="C566" s="120" t="s">
        <v>5820</v>
      </c>
      <c r="D566" s="124">
        <v>0.5</v>
      </c>
      <c r="E566" s="124">
        <v>0.5</v>
      </c>
      <c r="F566" s="113" t="s">
        <v>2332</v>
      </c>
      <c r="G566" s="113" t="s">
        <v>2121</v>
      </c>
      <c r="H566" s="113" t="s">
        <v>36</v>
      </c>
      <c r="I566" s="113" t="s">
        <v>1109</v>
      </c>
      <c r="J566" s="118" t="s">
        <v>2129</v>
      </c>
      <c r="K566" s="118">
        <v>1</v>
      </c>
      <c r="L566" s="118" t="s">
        <v>5820</v>
      </c>
      <c r="M566" s="115" t="s">
        <v>1109</v>
      </c>
      <c r="N566" s="115" t="s">
        <v>6505</v>
      </c>
      <c r="O566" s="115">
        <v>1</v>
      </c>
      <c r="P566" s="115" t="s">
        <v>1109</v>
      </c>
      <c r="Q566" s="166"/>
      <c r="R566" s="164"/>
      <c r="S566" s="164"/>
      <c r="T566" s="164"/>
      <c r="U566" s="164"/>
      <c r="V566" s="162"/>
      <c r="W566" s="158"/>
      <c r="X566" s="158"/>
      <c r="Y566" s="158"/>
      <c r="Z566" s="158"/>
      <c r="AA566" s="158"/>
      <c r="AB566" s="158"/>
      <c r="AC566" s="113">
        <v>255</v>
      </c>
      <c r="AD566" s="113">
        <v>45</v>
      </c>
      <c r="AE566" s="113">
        <v>55</v>
      </c>
      <c r="AF566" s="113">
        <v>39</v>
      </c>
      <c r="AG566" s="120">
        <v>35</v>
      </c>
      <c r="AH566" s="113">
        <v>39</v>
      </c>
      <c r="AI566" s="113">
        <v>42</v>
      </c>
    </row>
    <row r="567" spans="1:35">
      <c r="A567" s="113">
        <v>505</v>
      </c>
      <c r="B567" s="113" t="s">
        <v>545</v>
      </c>
      <c r="C567" s="120" t="s">
        <v>5821</v>
      </c>
      <c r="D567" s="124">
        <v>0.5</v>
      </c>
      <c r="E567" s="124">
        <v>0.5</v>
      </c>
      <c r="F567" s="113" t="s">
        <v>2332</v>
      </c>
      <c r="G567" s="113" t="s">
        <v>2121</v>
      </c>
      <c r="H567" s="113" t="s">
        <v>36</v>
      </c>
      <c r="I567" s="113" t="s">
        <v>1109</v>
      </c>
      <c r="J567" s="118" t="s">
        <v>2129</v>
      </c>
      <c r="K567" s="118">
        <v>1</v>
      </c>
      <c r="L567" s="118" t="s">
        <v>5820</v>
      </c>
      <c r="M567" s="115" t="s">
        <v>5820</v>
      </c>
      <c r="N567" s="115" t="s">
        <v>6504</v>
      </c>
      <c r="O567" s="115">
        <v>1</v>
      </c>
      <c r="P567" s="115" t="s">
        <v>2128</v>
      </c>
      <c r="Q567" s="166"/>
      <c r="R567" s="164"/>
      <c r="S567" s="164"/>
      <c r="T567" s="164"/>
      <c r="U567" s="164"/>
      <c r="V567" s="162"/>
      <c r="W567" s="158"/>
      <c r="X567" s="158"/>
      <c r="Y567" s="158"/>
      <c r="Z567" s="158"/>
      <c r="AA567" s="158"/>
      <c r="AB567" s="158"/>
      <c r="AC567" s="113">
        <v>420</v>
      </c>
      <c r="AD567" s="113">
        <v>60</v>
      </c>
      <c r="AE567" s="113">
        <v>85</v>
      </c>
      <c r="AF567" s="113">
        <v>69</v>
      </c>
      <c r="AG567" s="120">
        <v>60</v>
      </c>
      <c r="AH567" s="113">
        <v>69</v>
      </c>
      <c r="AI567" s="113">
        <v>77</v>
      </c>
    </row>
    <row r="568" spans="1:35">
      <c r="A568" s="113">
        <v>506</v>
      </c>
      <c r="B568" s="113" t="s">
        <v>546</v>
      </c>
      <c r="C568" s="120" t="s">
        <v>5822</v>
      </c>
      <c r="D568" s="124">
        <v>0.5</v>
      </c>
      <c r="E568" s="124">
        <v>0.5</v>
      </c>
      <c r="F568" s="113" t="s">
        <v>2332</v>
      </c>
      <c r="G568" s="113" t="s">
        <v>2121</v>
      </c>
      <c r="H568" s="113" t="s">
        <v>36</v>
      </c>
      <c r="I568" s="113" t="s">
        <v>1109</v>
      </c>
      <c r="J568" s="118" t="s">
        <v>2129</v>
      </c>
      <c r="K568" s="118">
        <v>1</v>
      </c>
      <c r="L568" s="118" t="s">
        <v>5822</v>
      </c>
      <c r="M568" s="115" t="s">
        <v>1109</v>
      </c>
      <c r="N568" s="115" t="s">
        <v>6505</v>
      </c>
      <c r="O568" s="115">
        <v>1</v>
      </c>
      <c r="P568" s="115" t="s">
        <v>1109</v>
      </c>
      <c r="Q568" s="166"/>
      <c r="R568" s="164"/>
      <c r="S568" s="164"/>
      <c r="T568" s="164"/>
      <c r="U568" s="164"/>
      <c r="V568" s="162"/>
      <c r="W568" s="158"/>
      <c r="X568" s="158"/>
      <c r="Y568" s="158"/>
      <c r="Z568" s="158"/>
      <c r="AA568" s="158"/>
      <c r="AB568" s="158"/>
      <c r="AC568" s="113">
        <v>275</v>
      </c>
      <c r="AD568" s="113">
        <v>45</v>
      </c>
      <c r="AE568" s="113">
        <v>60</v>
      </c>
      <c r="AF568" s="113">
        <v>45</v>
      </c>
      <c r="AG568" s="120">
        <v>25</v>
      </c>
      <c r="AH568" s="113">
        <v>45</v>
      </c>
      <c r="AI568" s="113">
        <v>55</v>
      </c>
    </row>
    <row r="569" spans="1:35">
      <c r="A569" s="113">
        <v>507</v>
      </c>
      <c r="B569" s="113" t="s">
        <v>547</v>
      </c>
      <c r="C569" s="120" t="s">
        <v>5823</v>
      </c>
      <c r="D569" s="124">
        <v>0.5</v>
      </c>
      <c r="E569" s="124">
        <v>0.5</v>
      </c>
      <c r="F569" s="113" t="s">
        <v>2332</v>
      </c>
      <c r="G569" s="113" t="s">
        <v>2121</v>
      </c>
      <c r="H569" s="113" t="s">
        <v>36</v>
      </c>
      <c r="I569" s="113" t="s">
        <v>1109</v>
      </c>
      <c r="J569" s="118" t="s">
        <v>2129</v>
      </c>
      <c r="K569" s="118">
        <v>1</v>
      </c>
      <c r="L569" s="118" t="s">
        <v>5822</v>
      </c>
      <c r="M569" s="115" t="s">
        <v>5822</v>
      </c>
      <c r="N569" s="115" t="s">
        <v>6506</v>
      </c>
      <c r="O569" s="115">
        <v>1</v>
      </c>
      <c r="P569" s="115" t="s">
        <v>2128</v>
      </c>
      <c r="Q569" s="166"/>
      <c r="R569" s="164"/>
      <c r="S569" s="164"/>
      <c r="T569" s="164"/>
      <c r="U569" s="164"/>
      <c r="V569" s="162"/>
      <c r="W569" s="158"/>
      <c r="X569" s="158"/>
      <c r="Y569" s="158"/>
      <c r="Z569" s="158"/>
      <c r="AA569" s="158"/>
      <c r="AB569" s="158"/>
      <c r="AC569" s="113">
        <v>370</v>
      </c>
      <c r="AD569" s="113">
        <v>65</v>
      </c>
      <c r="AE569" s="113">
        <v>80</v>
      </c>
      <c r="AF569" s="113">
        <v>65</v>
      </c>
      <c r="AG569" s="120">
        <v>35</v>
      </c>
      <c r="AH569" s="113">
        <v>65</v>
      </c>
      <c r="AI569" s="113">
        <v>60</v>
      </c>
    </row>
    <row r="570" spans="1:35">
      <c r="A570" s="113">
        <v>508</v>
      </c>
      <c r="B570" s="113" t="s">
        <v>548</v>
      </c>
      <c r="C570" s="120" t="s">
        <v>5824</v>
      </c>
      <c r="D570" s="124">
        <v>0.5</v>
      </c>
      <c r="E570" s="124">
        <v>0.5</v>
      </c>
      <c r="F570" s="113" t="s">
        <v>2332</v>
      </c>
      <c r="G570" s="113" t="s">
        <v>2121</v>
      </c>
      <c r="H570" s="113" t="s">
        <v>36</v>
      </c>
      <c r="I570" s="113" t="s">
        <v>1109</v>
      </c>
      <c r="J570" s="118" t="s">
        <v>2129</v>
      </c>
      <c r="K570" s="118">
        <v>1</v>
      </c>
      <c r="L570" s="118" t="s">
        <v>5822</v>
      </c>
      <c r="M570" s="115" t="s">
        <v>5823</v>
      </c>
      <c r="N570" s="115" t="s">
        <v>6504</v>
      </c>
      <c r="O570" s="115">
        <v>1</v>
      </c>
      <c r="P570" s="115" t="s">
        <v>2128</v>
      </c>
      <c r="Q570" s="166"/>
      <c r="R570" s="164"/>
      <c r="S570" s="164"/>
      <c r="T570" s="164"/>
      <c r="U570" s="164"/>
      <c r="V570" s="162"/>
      <c r="W570" s="158"/>
      <c r="X570" s="158"/>
      <c r="Y570" s="158"/>
      <c r="Z570" s="158"/>
      <c r="AA570" s="158"/>
      <c r="AB570" s="158"/>
      <c r="AC570" s="113">
        <v>500</v>
      </c>
      <c r="AD570" s="113">
        <v>85</v>
      </c>
      <c r="AE570" s="113">
        <v>110</v>
      </c>
      <c r="AF570" s="113">
        <v>90</v>
      </c>
      <c r="AG570" s="120">
        <v>45</v>
      </c>
      <c r="AH570" s="113">
        <v>90</v>
      </c>
      <c r="AI570" s="113">
        <v>80</v>
      </c>
    </row>
    <row r="571" spans="1:35">
      <c r="A571" s="113">
        <v>509</v>
      </c>
      <c r="B571" s="113" t="s">
        <v>549</v>
      </c>
      <c r="C571" s="120" t="s">
        <v>5825</v>
      </c>
      <c r="D571" s="124">
        <v>0.5</v>
      </c>
      <c r="E571" s="124">
        <v>0.5</v>
      </c>
      <c r="F571" s="113" t="s">
        <v>2332</v>
      </c>
      <c r="G571" s="113" t="s">
        <v>2121</v>
      </c>
      <c r="H571" s="113" t="s">
        <v>158</v>
      </c>
      <c r="I571" s="113" t="s">
        <v>1109</v>
      </c>
      <c r="J571" s="118" t="s">
        <v>2129</v>
      </c>
      <c r="K571" s="118">
        <v>1</v>
      </c>
      <c r="L571" s="118" t="s">
        <v>5825</v>
      </c>
      <c r="M571" s="115" t="s">
        <v>1109</v>
      </c>
      <c r="N571" s="115" t="s">
        <v>6505</v>
      </c>
      <c r="O571" s="115">
        <v>1</v>
      </c>
      <c r="P571" s="115" t="s">
        <v>1109</v>
      </c>
      <c r="Q571" s="166"/>
      <c r="R571" s="164"/>
      <c r="S571" s="164"/>
      <c r="T571" s="164"/>
      <c r="U571" s="164"/>
      <c r="V571" s="162"/>
      <c r="W571" s="158"/>
      <c r="X571" s="158"/>
      <c r="Y571" s="158"/>
      <c r="Z571" s="158"/>
      <c r="AA571" s="158"/>
      <c r="AB571" s="158"/>
      <c r="AC571" s="113">
        <v>281</v>
      </c>
      <c r="AD571" s="113">
        <v>41</v>
      </c>
      <c r="AE571" s="113">
        <v>50</v>
      </c>
      <c r="AF571" s="113">
        <v>37</v>
      </c>
      <c r="AG571" s="120">
        <v>50</v>
      </c>
      <c r="AH571" s="113">
        <v>37</v>
      </c>
      <c r="AI571" s="113">
        <v>66</v>
      </c>
    </row>
    <row r="572" spans="1:35">
      <c r="A572" s="113">
        <v>510</v>
      </c>
      <c r="B572" s="113" t="s">
        <v>550</v>
      </c>
      <c r="C572" s="120" t="s">
        <v>5826</v>
      </c>
      <c r="D572" s="124">
        <v>0.5</v>
      </c>
      <c r="E572" s="124">
        <v>0.5</v>
      </c>
      <c r="F572" s="113" t="s">
        <v>2332</v>
      </c>
      <c r="G572" s="113" t="s">
        <v>2121</v>
      </c>
      <c r="H572" s="113" t="s">
        <v>158</v>
      </c>
      <c r="I572" s="113" t="s">
        <v>1109</v>
      </c>
      <c r="J572" s="118" t="s">
        <v>2129</v>
      </c>
      <c r="K572" s="118">
        <v>1</v>
      </c>
      <c r="L572" s="118" t="s">
        <v>5825</v>
      </c>
      <c r="M572" s="115" t="s">
        <v>5825</v>
      </c>
      <c r="N572" s="115" t="s">
        <v>6504</v>
      </c>
      <c r="O572" s="115">
        <v>1</v>
      </c>
      <c r="P572" s="115" t="s">
        <v>2128</v>
      </c>
      <c r="Q572" s="166"/>
      <c r="R572" s="164"/>
      <c r="S572" s="164"/>
      <c r="T572" s="164"/>
      <c r="U572" s="164"/>
      <c r="V572" s="162"/>
      <c r="W572" s="158"/>
      <c r="X572" s="158"/>
      <c r="Y572" s="158"/>
      <c r="Z572" s="158"/>
      <c r="AA572" s="158"/>
      <c r="AB572" s="158"/>
      <c r="AC572" s="113">
        <v>446</v>
      </c>
      <c r="AD572" s="113">
        <v>64</v>
      </c>
      <c r="AE572" s="113">
        <v>88</v>
      </c>
      <c r="AF572" s="113">
        <v>50</v>
      </c>
      <c r="AG572" s="120">
        <v>88</v>
      </c>
      <c r="AH572" s="113">
        <v>50</v>
      </c>
      <c r="AI572" s="113">
        <v>106</v>
      </c>
    </row>
    <row r="573" spans="1:35">
      <c r="A573" s="113">
        <v>511</v>
      </c>
      <c r="B573" s="113" t="s">
        <v>551</v>
      </c>
      <c r="C573" s="120" t="s">
        <v>5827</v>
      </c>
      <c r="D573" s="124">
        <v>0.85</v>
      </c>
      <c r="E573" s="124">
        <v>0.15</v>
      </c>
      <c r="F573" s="113" t="s">
        <v>2332</v>
      </c>
      <c r="G573" s="113" t="s">
        <v>2121</v>
      </c>
      <c r="H573" s="113" t="s">
        <v>14</v>
      </c>
      <c r="I573" s="113" t="s">
        <v>1109</v>
      </c>
      <c r="J573" s="118" t="s">
        <v>2129</v>
      </c>
      <c r="K573" s="118">
        <v>1</v>
      </c>
      <c r="L573" s="118" t="s">
        <v>5827</v>
      </c>
      <c r="M573" s="115" t="s">
        <v>1109</v>
      </c>
      <c r="N573" s="115" t="s">
        <v>6505</v>
      </c>
      <c r="O573" s="115">
        <v>1</v>
      </c>
      <c r="P573" s="115" t="s">
        <v>1109</v>
      </c>
      <c r="Q573" s="166"/>
      <c r="R573" s="164"/>
      <c r="S573" s="164"/>
      <c r="T573" s="164"/>
      <c r="U573" s="164"/>
      <c r="V573" s="162"/>
      <c r="W573" s="158"/>
      <c r="X573" s="158"/>
      <c r="Y573" s="158"/>
      <c r="Z573" s="158"/>
      <c r="AA573" s="158"/>
      <c r="AB573" s="158"/>
      <c r="AC573" s="113">
        <v>316</v>
      </c>
      <c r="AD573" s="113">
        <v>50</v>
      </c>
      <c r="AE573" s="113">
        <v>53</v>
      </c>
      <c r="AF573" s="113">
        <v>48</v>
      </c>
      <c r="AG573" s="120">
        <v>53</v>
      </c>
      <c r="AH573" s="113">
        <v>48</v>
      </c>
      <c r="AI573" s="113">
        <v>64</v>
      </c>
    </row>
    <row r="574" spans="1:35">
      <c r="A574" s="113">
        <v>512</v>
      </c>
      <c r="B574" s="113" t="s">
        <v>552</v>
      </c>
      <c r="C574" s="120" t="s">
        <v>5828</v>
      </c>
      <c r="D574" s="124">
        <v>0.85</v>
      </c>
      <c r="E574" s="124">
        <v>0.15</v>
      </c>
      <c r="F574" s="113" t="s">
        <v>2332</v>
      </c>
      <c r="G574" s="113" t="s">
        <v>2121</v>
      </c>
      <c r="H574" s="113" t="s">
        <v>14</v>
      </c>
      <c r="I574" s="113" t="s">
        <v>1109</v>
      </c>
      <c r="J574" s="118" t="s">
        <v>2129</v>
      </c>
      <c r="K574" s="118">
        <v>1</v>
      </c>
      <c r="L574" s="118" t="s">
        <v>5827</v>
      </c>
      <c r="M574" s="115" t="s">
        <v>5827</v>
      </c>
      <c r="N574" s="115" t="s">
        <v>6504</v>
      </c>
      <c r="O574" s="115">
        <v>1</v>
      </c>
      <c r="P574" s="115" t="s">
        <v>1803</v>
      </c>
      <c r="Q574" s="166"/>
      <c r="R574" s="164"/>
      <c r="S574" s="164"/>
      <c r="T574" s="164"/>
      <c r="U574" s="164"/>
      <c r="V574" s="162"/>
      <c r="W574" s="158"/>
      <c r="X574" s="158"/>
      <c r="Y574" s="158"/>
      <c r="Z574" s="158"/>
      <c r="AA574" s="158"/>
      <c r="AB574" s="158"/>
      <c r="AC574" s="113">
        <v>498</v>
      </c>
      <c r="AD574" s="113">
        <v>75</v>
      </c>
      <c r="AE574" s="113">
        <v>98</v>
      </c>
      <c r="AF574" s="113">
        <v>63</v>
      </c>
      <c r="AG574" s="120">
        <v>98</v>
      </c>
      <c r="AH574" s="113">
        <v>63</v>
      </c>
      <c r="AI574" s="113">
        <v>101</v>
      </c>
    </row>
    <row r="575" spans="1:35">
      <c r="A575" s="113">
        <v>513</v>
      </c>
      <c r="B575" s="113" t="s">
        <v>553</v>
      </c>
      <c r="C575" s="120" t="s">
        <v>5829</v>
      </c>
      <c r="D575" s="124">
        <v>0.85</v>
      </c>
      <c r="E575" s="124">
        <v>0.15</v>
      </c>
      <c r="F575" s="113" t="s">
        <v>2332</v>
      </c>
      <c r="G575" s="113" t="s">
        <v>2121</v>
      </c>
      <c r="H575" s="113" t="s">
        <v>19</v>
      </c>
      <c r="I575" s="113" t="s">
        <v>1109</v>
      </c>
      <c r="J575" s="118" t="s">
        <v>2129</v>
      </c>
      <c r="K575" s="118">
        <v>1</v>
      </c>
      <c r="L575" s="118" t="s">
        <v>5829</v>
      </c>
      <c r="M575" s="115" t="s">
        <v>1109</v>
      </c>
      <c r="N575" s="115" t="s">
        <v>6505</v>
      </c>
      <c r="O575" s="115">
        <v>1</v>
      </c>
      <c r="P575" s="115" t="s">
        <v>1109</v>
      </c>
      <c r="Q575" s="166"/>
      <c r="R575" s="164"/>
      <c r="S575" s="164"/>
      <c r="T575" s="164"/>
      <c r="U575" s="164"/>
      <c r="V575" s="162"/>
      <c r="W575" s="158"/>
      <c r="X575" s="158"/>
      <c r="Y575" s="158"/>
      <c r="Z575" s="158"/>
      <c r="AA575" s="158"/>
      <c r="AB575" s="158"/>
      <c r="AC575" s="113">
        <v>316</v>
      </c>
      <c r="AD575" s="113">
        <v>50</v>
      </c>
      <c r="AE575" s="113">
        <v>53</v>
      </c>
      <c r="AF575" s="113">
        <v>48</v>
      </c>
      <c r="AG575" s="120">
        <v>53</v>
      </c>
      <c r="AH575" s="113">
        <v>48</v>
      </c>
      <c r="AI575" s="113">
        <v>64</v>
      </c>
    </row>
    <row r="576" spans="1:35">
      <c r="A576" s="113">
        <v>514</v>
      </c>
      <c r="B576" s="113" t="s">
        <v>554</v>
      </c>
      <c r="C576" s="120" t="s">
        <v>5830</v>
      </c>
      <c r="D576" s="124">
        <v>0.85</v>
      </c>
      <c r="E576" s="124">
        <v>0.15</v>
      </c>
      <c r="F576" s="113" t="s">
        <v>2332</v>
      </c>
      <c r="G576" s="113" t="s">
        <v>2121</v>
      </c>
      <c r="H576" s="113" t="s">
        <v>19</v>
      </c>
      <c r="I576" s="113" t="s">
        <v>1109</v>
      </c>
      <c r="J576" s="118" t="s">
        <v>2129</v>
      </c>
      <c r="K576" s="118">
        <v>1</v>
      </c>
      <c r="L576" s="118" t="s">
        <v>5829</v>
      </c>
      <c r="M576" s="115" t="s">
        <v>5829</v>
      </c>
      <c r="N576" s="115" t="s">
        <v>6504</v>
      </c>
      <c r="O576" s="115">
        <v>1</v>
      </c>
      <c r="P576" s="115" t="s">
        <v>1803</v>
      </c>
      <c r="Q576" s="166"/>
      <c r="R576" s="164"/>
      <c r="S576" s="164"/>
      <c r="T576" s="164"/>
      <c r="U576" s="164"/>
      <c r="V576" s="162"/>
      <c r="W576" s="158"/>
      <c r="X576" s="158"/>
      <c r="Y576" s="158"/>
      <c r="Z576" s="158"/>
      <c r="AA576" s="158"/>
      <c r="AB576" s="158"/>
      <c r="AC576" s="113">
        <v>498</v>
      </c>
      <c r="AD576" s="113">
        <v>75</v>
      </c>
      <c r="AE576" s="113">
        <v>98</v>
      </c>
      <c r="AF576" s="113">
        <v>63</v>
      </c>
      <c r="AG576" s="120">
        <v>98</v>
      </c>
      <c r="AH576" s="113">
        <v>63</v>
      </c>
      <c r="AI576" s="113">
        <v>101</v>
      </c>
    </row>
    <row r="577" spans="1:35">
      <c r="A577" s="113">
        <v>515</v>
      </c>
      <c r="B577" s="113" t="s">
        <v>555</v>
      </c>
      <c r="C577" s="120" t="s">
        <v>5831</v>
      </c>
      <c r="D577" s="124">
        <v>0.85</v>
      </c>
      <c r="E577" s="124">
        <v>0.15</v>
      </c>
      <c r="F577" s="113" t="s">
        <v>2332</v>
      </c>
      <c r="G577" s="113" t="s">
        <v>2121</v>
      </c>
      <c r="H577" s="113" t="s">
        <v>25</v>
      </c>
      <c r="I577" s="113" t="s">
        <v>1109</v>
      </c>
      <c r="J577" s="118" t="s">
        <v>2129</v>
      </c>
      <c r="K577" s="118">
        <v>1</v>
      </c>
      <c r="L577" s="118" t="s">
        <v>5831</v>
      </c>
      <c r="M577" s="115" t="s">
        <v>1109</v>
      </c>
      <c r="N577" s="115" t="s">
        <v>6505</v>
      </c>
      <c r="O577" s="115">
        <v>1</v>
      </c>
      <c r="P577" s="115" t="s">
        <v>1109</v>
      </c>
      <c r="Q577" s="166"/>
      <c r="R577" s="164"/>
      <c r="S577" s="164"/>
      <c r="T577" s="164"/>
      <c r="U577" s="164"/>
      <c r="V577" s="162"/>
      <c r="W577" s="158"/>
      <c r="X577" s="158"/>
      <c r="Y577" s="158"/>
      <c r="Z577" s="158"/>
      <c r="AA577" s="158"/>
      <c r="AB577" s="158"/>
      <c r="AC577" s="113">
        <v>316</v>
      </c>
      <c r="AD577" s="113">
        <v>50</v>
      </c>
      <c r="AE577" s="113">
        <v>53</v>
      </c>
      <c r="AF577" s="113">
        <v>48</v>
      </c>
      <c r="AG577" s="120">
        <v>53</v>
      </c>
      <c r="AH577" s="113">
        <v>48</v>
      </c>
      <c r="AI577" s="113">
        <v>64</v>
      </c>
    </row>
    <row r="578" spans="1:35">
      <c r="A578" s="113">
        <v>516</v>
      </c>
      <c r="B578" s="113" t="s">
        <v>556</v>
      </c>
      <c r="C578" s="120" t="s">
        <v>5832</v>
      </c>
      <c r="D578" s="124">
        <v>0.85</v>
      </c>
      <c r="E578" s="124">
        <v>0.15</v>
      </c>
      <c r="F578" s="113" t="s">
        <v>2332</v>
      </c>
      <c r="G578" s="113" t="s">
        <v>2121</v>
      </c>
      <c r="H578" s="113" t="s">
        <v>25</v>
      </c>
      <c r="I578" s="113" t="s">
        <v>1109</v>
      </c>
      <c r="J578" s="118" t="s">
        <v>2129</v>
      </c>
      <c r="K578" s="118">
        <v>1</v>
      </c>
      <c r="L578" s="118" t="s">
        <v>5831</v>
      </c>
      <c r="M578" s="115" t="s">
        <v>5831</v>
      </c>
      <c r="N578" s="115" t="s">
        <v>6504</v>
      </c>
      <c r="O578" s="115">
        <v>1</v>
      </c>
      <c r="P578" s="115" t="s">
        <v>1803</v>
      </c>
      <c r="Q578" s="166"/>
      <c r="R578" s="164"/>
      <c r="S578" s="164"/>
      <c r="T578" s="164"/>
      <c r="U578" s="164"/>
      <c r="V578" s="162"/>
      <c r="W578" s="158"/>
      <c r="X578" s="158"/>
      <c r="Y578" s="158"/>
      <c r="Z578" s="158"/>
      <c r="AA578" s="158"/>
      <c r="AB578" s="158"/>
      <c r="AC578" s="113">
        <v>498</v>
      </c>
      <c r="AD578" s="113">
        <v>75</v>
      </c>
      <c r="AE578" s="113">
        <v>98</v>
      </c>
      <c r="AF578" s="113">
        <v>63</v>
      </c>
      <c r="AG578" s="120">
        <v>98</v>
      </c>
      <c r="AH578" s="113">
        <v>63</v>
      </c>
      <c r="AI578" s="113">
        <v>101</v>
      </c>
    </row>
    <row r="579" spans="1:35">
      <c r="A579" s="113">
        <v>517</v>
      </c>
      <c r="B579" s="113" t="s">
        <v>557</v>
      </c>
      <c r="C579" s="120" t="s">
        <v>5833</v>
      </c>
      <c r="D579" s="124">
        <v>0.5</v>
      </c>
      <c r="E579" s="124">
        <v>0.5</v>
      </c>
      <c r="F579" s="113" t="s">
        <v>2332</v>
      </c>
      <c r="G579" s="113" t="s">
        <v>2121</v>
      </c>
      <c r="H579" s="113" t="s">
        <v>86</v>
      </c>
      <c r="I579" s="113" t="s">
        <v>1109</v>
      </c>
      <c r="J579" s="118" t="s">
        <v>2129</v>
      </c>
      <c r="K579" s="118">
        <v>2</v>
      </c>
      <c r="L579" s="118" t="s">
        <v>5833</v>
      </c>
      <c r="M579" s="115" t="s">
        <v>1109</v>
      </c>
      <c r="N579" s="115" t="s">
        <v>6505</v>
      </c>
      <c r="O579" s="115">
        <v>1.25</v>
      </c>
      <c r="P579" s="115" t="s">
        <v>1109</v>
      </c>
      <c r="Q579" s="166"/>
      <c r="R579" s="164"/>
      <c r="S579" s="164"/>
      <c r="T579" s="164"/>
      <c r="U579" s="164"/>
      <c r="V579" s="162"/>
      <c r="W579" s="158"/>
      <c r="X579" s="158"/>
      <c r="Y579" s="158"/>
      <c r="Z579" s="158"/>
      <c r="AA579" s="158"/>
      <c r="AB579" s="158"/>
      <c r="AC579" s="113">
        <v>292</v>
      </c>
      <c r="AD579" s="113">
        <v>76</v>
      </c>
      <c r="AE579" s="113">
        <v>25</v>
      </c>
      <c r="AF579" s="113">
        <v>45</v>
      </c>
      <c r="AG579" s="120">
        <v>67</v>
      </c>
      <c r="AH579" s="113">
        <v>55</v>
      </c>
      <c r="AI579" s="113">
        <v>24</v>
      </c>
    </row>
    <row r="580" spans="1:35">
      <c r="A580" s="113">
        <v>518</v>
      </c>
      <c r="B580" s="113" t="s">
        <v>558</v>
      </c>
      <c r="C580" s="120" t="s">
        <v>5834</v>
      </c>
      <c r="D580" s="124">
        <v>0.5</v>
      </c>
      <c r="E580" s="124">
        <v>0.5</v>
      </c>
      <c r="F580" s="113" t="s">
        <v>2332</v>
      </c>
      <c r="G580" s="113" t="s">
        <v>2121</v>
      </c>
      <c r="H580" s="113" t="s">
        <v>86</v>
      </c>
      <c r="I580" s="113" t="s">
        <v>1109</v>
      </c>
      <c r="J580" s="118" t="s">
        <v>2129</v>
      </c>
      <c r="K580" s="118">
        <v>2</v>
      </c>
      <c r="L580" s="118" t="s">
        <v>5833</v>
      </c>
      <c r="M580" s="115" t="s">
        <v>5833</v>
      </c>
      <c r="N580" s="115" t="s">
        <v>6504</v>
      </c>
      <c r="O580" s="115">
        <v>1.25</v>
      </c>
      <c r="P580" s="115" t="s">
        <v>1803</v>
      </c>
      <c r="Q580" s="166"/>
      <c r="R580" s="164"/>
      <c r="S580" s="164"/>
      <c r="T580" s="164"/>
      <c r="U580" s="164"/>
      <c r="V580" s="162"/>
      <c r="W580" s="158"/>
      <c r="X580" s="158"/>
      <c r="Y580" s="158"/>
      <c r="Z580" s="158"/>
      <c r="AA580" s="158"/>
      <c r="AB580" s="158"/>
      <c r="AC580" s="113">
        <v>487</v>
      </c>
      <c r="AD580" s="113">
        <v>116</v>
      </c>
      <c r="AE580" s="113">
        <v>55</v>
      </c>
      <c r="AF580" s="113">
        <v>85</v>
      </c>
      <c r="AG580" s="120">
        <v>107</v>
      </c>
      <c r="AH580" s="113">
        <v>95</v>
      </c>
      <c r="AI580" s="113">
        <v>29</v>
      </c>
    </row>
    <row r="581" spans="1:35">
      <c r="A581" s="113">
        <v>519</v>
      </c>
      <c r="B581" s="113" t="s">
        <v>559</v>
      </c>
      <c r="C581" s="120" t="s">
        <v>5835</v>
      </c>
      <c r="D581" s="124">
        <v>0.5</v>
      </c>
      <c r="E581" s="124">
        <v>0.5</v>
      </c>
      <c r="F581" s="113" t="s">
        <v>22</v>
      </c>
      <c r="G581" s="113" t="s">
        <v>2121</v>
      </c>
      <c r="H581" s="113" t="s">
        <v>36</v>
      </c>
      <c r="I581" s="113" t="s">
        <v>22</v>
      </c>
      <c r="J581" s="118" t="s">
        <v>2129</v>
      </c>
      <c r="K581" s="118">
        <v>1</v>
      </c>
      <c r="L581" s="118" t="s">
        <v>5835</v>
      </c>
      <c r="M581" s="115" t="s">
        <v>1109</v>
      </c>
      <c r="N581" s="115" t="s">
        <v>6505</v>
      </c>
      <c r="O581" s="115">
        <v>1</v>
      </c>
      <c r="P581" s="115" t="s">
        <v>1109</v>
      </c>
      <c r="Q581" s="166"/>
      <c r="R581" s="164"/>
      <c r="S581" s="164"/>
      <c r="T581" s="164"/>
      <c r="U581" s="164"/>
      <c r="V581" s="162"/>
      <c r="W581" s="158"/>
      <c r="X581" s="158"/>
      <c r="Y581" s="158"/>
      <c r="Z581" s="158"/>
      <c r="AA581" s="158"/>
      <c r="AB581" s="158"/>
      <c r="AC581" s="113">
        <v>264</v>
      </c>
      <c r="AD581" s="113">
        <v>50</v>
      </c>
      <c r="AE581" s="113">
        <v>55</v>
      </c>
      <c r="AF581" s="113">
        <v>50</v>
      </c>
      <c r="AG581" s="120">
        <v>36</v>
      </c>
      <c r="AH581" s="113">
        <v>30</v>
      </c>
      <c r="AI581" s="113">
        <v>43</v>
      </c>
    </row>
    <row r="582" spans="1:35">
      <c r="A582" s="113">
        <v>520</v>
      </c>
      <c r="B582" s="113" t="s">
        <v>560</v>
      </c>
      <c r="C582" s="120" t="s">
        <v>5836</v>
      </c>
      <c r="D582" s="124">
        <v>0.5</v>
      </c>
      <c r="E582" s="124">
        <v>0.5</v>
      </c>
      <c r="F582" s="113" t="s">
        <v>22</v>
      </c>
      <c r="G582" s="113" t="s">
        <v>2121</v>
      </c>
      <c r="H582" s="113" t="s">
        <v>36</v>
      </c>
      <c r="I582" s="113" t="s">
        <v>22</v>
      </c>
      <c r="J582" s="118" t="s">
        <v>2129</v>
      </c>
      <c r="K582" s="118">
        <v>1</v>
      </c>
      <c r="L582" s="118" t="s">
        <v>5835</v>
      </c>
      <c r="M582" s="115" t="s">
        <v>5835</v>
      </c>
      <c r="N582" s="115" t="s">
        <v>6506</v>
      </c>
      <c r="O582" s="115">
        <v>1</v>
      </c>
      <c r="P582" s="115" t="s">
        <v>2128</v>
      </c>
      <c r="Q582" s="166"/>
      <c r="R582" s="164"/>
      <c r="S582" s="164"/>
      <c r="T582" s="164"/>
      <c r="U582" s="164"/>
      <c r="V582" s="162"/>
      <c r="W582" s="158"/>
      <c r="X582" s="158"/>
      <c r="Y582" s="158"/>
      <c r="Z582" s="158"/>
      <c r="AA582" s="158"/>
      <c r="AB582" s="158"/>
      <c r="AC582" s="113">
        <v>358</v>
      </c>
      <c r="AD582" s="113">
        <v>62</v>
      </c>
      <c r="AE582" s="113">
        <v>77</v>
      </c>
      <c r="AF582" s="113">
        <v>62</v>
      </c>
      <c r="AG582" s="120">
        <v>50</v>
      </c>
      <c r="AH582" s="113">
        <v>42</v>
      </c>
      <c r="AI582" s="113">
        <v>65</v>
      </c>
    </row>
    <row r="583" spans="1:35">
      <c r="A583" s="113">
        <v>521</v>
      </c>
      <c r="B583" s="113" t="s">
        <v>561</v>
      </c>
      <c r="C583" s="120" t="s">
        <v>5837</v>
      </c>
      <c r="D583" s="124">
        <v>0.5</v>
      </c>
      <c r="E583" s="124">
        <v>0.5</v>
      </c>
      <c r="F583" s="113" t="s">
        <v>22</v>
      </c>
      <c r="G583" s="113" t="s">
        <v>2121</v>
      </c>
      <c r="H583" s="113" t="s">
        <v>36</v>
      </c>
      <c r="I583" s="113" t="s">
        <v>22</v>
      </c>
      <c r="J583" s="118" t="s">
        <v>2129</v>
      </c>
      <c r="K583" s="118">
        <v>1</v>
      </c>
      <c r="L583" s="118" t="s">
        <v>5835</v>
      </c>
      <c r="M583" s="115" t="s">
        <v>5836</v>
      </c>
      <c r="N583" s="115" t="s">
        <v>6504</v>
      </c>
      <c r="O583" s="115">
        <v>1</v>
      </c>
      <c r="P583" s="115" t="s">
        <v>2128</v>
      </c>
      <c r="Q583" s="166"/>
      <c r="R583" s="164"/>
      <c r="S583" s="164"/>
      <c r="T583" s="164"/>
      <c r="U583" s="164"/>
      <c r="V583" s="162"/>
      <c r="W583" s="158"/>
      <c r="X583" s="158"/>
      <c r="Y583" s="158"/>
      <c r="Z583" s="158"/>
      <c r="AA583" s="158"/>
      <c r="AB583" s="158"/>
      <c r="AC583" s="113">
        <v>488</v>
      </c>
      <c r="AD583" s="113">
        <v>80</v>
      </c>
      <c r="AE583" s="113">
        <v>115</v>
      </c>
      <c r="AF583" s="113">
        <v>80</v>
      </c>
      <c r="AG583" s="120">
        <v>65</v>
      </c>
      <c r="AH583" s="113">
        <v>55</v>
      </c>
      <c r="AI583" s="113">
        <v>93</v>
      </c>
    </row>
    <row r="584" spans="1:35">
      <c r="A584" s="113">
        <v>522</v>
      </c>
      <c r="B584" s="113" t="s">
        <v>562</v>
      </c>
      <c r="C584" s="120" t="s">
        <v>5838</v>
      </c>
      <c r="D584" s="124">
        <v>0.5</v>
      </c>
      <c r="E584" s="124">
        <v>0.5</v>
      </c>
      <c r="F584" s="113" t="s">
        <v>2332</v>
      </c>
      <c r="G584" s="113" t="s">
        <v>2121</v>
      </c>
      <c r="H584" s="113" t="s">
        <v>46</v>
      </c>
      <c r="I584" s="113" t="s">
        <v>1109</v>
      </c>
      <c r="J584" s="118" t="s">
        <v>2129</v>
      </c>
      <c r="K584" s="118">
        <v>1</v>
      </c>
      <c r="L584" s="118" t="s">
        <v>5838</v>
      </c>
      <c r="M584" s="115" t="s">
        <v>1109</v>
      </c>
      <c r="N584" s="115" t="s">
        <v>6505</v>
      </c>
      <c r="O584" s="115">
        <v>1</v>
      </c>
      <c r="P584" s="115" t="s">
        <v>1109</v>
      </c>
      <c r="Q584" s="166"/>
      <c r="R584" s="164"/>
      <c r="S584" s="164"/>
      <c r="T584" s="164"/>
      <c r="U584" s="164"/>
      <c r="V584" s="162"/>
      <c r="W584" s="158"/>
      <c r="X584" s="158"/>
      <c r="Y584" s="158"/>
      <c r="Z584" s="158"/>
      <c r="AA584" s="158"/>
      <c r="AB584" s="158"/>
      <c r="AC584" s="113">
        <v>295</v>
      </c>
      <c r="AD584" s="113">
        <v>45</v>
      </c>
      <c r="AE584" s="113">
        <v>60</v>
      </c>
      <c r="AF584" s="113">
        <v>32</v>
      </c>
      <c r="AG584" s="120">
        <v>50</v>
      </c>
      <c r="AH584" s="113">
        <v>32</v>
      </c>
      <c r="AI584" s="113">
        <v>76</v>
      </c>
    </row>
    <row r="585" spans="1:35">
      <c r="A585" s="113">
        <v>523</v>
      </c>
      <c r="B585" s="113" t="s">
        <v>563</v>
      </c>
      <c r="C585" s="120" t="s">
        <v>5839</v>
      </c>
      <c r="D585" s="124">
        <v>0.5</v>
      </c>
      <c r="E585" s="124">
        <v>0.5</v>
      </c>
      <c r="F585" s="113" t="s">
        <v>2332</v>
      </c>
      <c r="G585" s="113" t="s">
        <v>2121</v>
      </c>
      <c r="H585" s="113" t="s">
        <v>46</v>
      </c>
      <c r="I585" s="113" t="s">
        <v>1109</v>
      </c>
      <c r="J585" s="118" t="s">
        <v>2129</v>
      </c>
      <c r="K585" s="118">
        <v>1</v>
      </c>
      <c r="L585" s="118" t="s">
        <v>5838</v>
      </c>
      <c r="M585" s="115" t="s">
        <v>5838</v>
      </c>
      <c r="N585" s="115" t="s">
        <v>6504</v>
      </c>
      <c r="O585" s="115">
        <v>1</v>
      </c>
      <c r="P585" s="115" t="s">
        <v>2128</v>
      </c>
      <c r="Q585" s="166"/>
      <c r="R585" s="164"/>
      <c r="S585" s="164"/>
      <c r="T585" s="164"/>
      <c r="U585" s="164"/>
      <c r="V585" s="162"/>
      <c r="W585" s="158"/>
      <c r="X585" s="158"/>
      <c r="Y585" s="158"/>
      <c r="Z585" s="158"/>
      <c r="AA585" s="158"/>
      <c r="AB585" s="158"/>
      <c r="AC585" s="113">
        <v>497</v>
      </c>
      <c r="AD585" s="113">
        <v>75</v>
      </c>
      <c r="AE585" s="113">
        <v>100</v>
      </c>
      <c r="AF585" s="113">
        <v>63</v>
      </c>
      <c r="AG585" s="120">
        <v>80</v>
      </c>
      <c r="AH585" s="113">
        <v>63</v>
      </c>
      <c r="AI585" s="113">
        <v>116</v>
      </c>
    </row>
    <row r="586" spans="1:35">
      <c r="A586" s="113">
        <v>524</v>
      </c>
      <c r="B586" s="113" t="s">
        <v>564</v>
      </c>
      <c r="C586" s="120" t="s">
        <v>5840</v>
      </c>
      <c r="D586" s="124">
        <v>0.5</v>
      </c>
      <c r="E586" s="124">
        <v>0.5</v>
      </c>
      <c r="F586" s="113" t="s">
        <v>2112</v>
      </c>
      <c r="G586" s="113" t="s">
        <v>2121</v>
      </c>
      <c r="H586" s="113" t="s">
        <v>98</v>
      </c>
      <c r="I586" s="113" t="s">
        <v>1109</v>
      </c>
      <c r="J586" s="118" t="s">
        <v>2129</v>
      </c>
      <c r="K586" s="118">
        <v>1</v>
      </c>
      <c r="L586" s="118" t="s">
        <v>5840</v>
      </c>
      <c r="M586" s="115" t="s">
        <v>1109</v>
      </c>
      <c r="N586" s="115" t="s">
        <v>6505</v>
      </c>
      <c r="O586" s="115">
        <v>1</v>
      </c>
      <c r="P586" s="115" t="s">
        <v>1109</v>
      </c>
      <c r="Q586" s="166"/>
      <c r="R586" s="164"/>
      <c r="S586" s="164"/>
      <c r="T586" s="164"/>
      <c r="U586" s="164"/>
      <c r="V586" s="162"/>
      <c r="W586" s="158"/>
      <c r="X586" s="158"/>
      <c r="Y586" s="158"/>
      <c r="Z586" s="158"/>
      <c r="AA586" s="158"/>
      <c r="AB586" s="158"/>
      <c r="AC586" s="113">
        <v>280</v>
      </c>
      <c r="AD586" s="113">
        <v>55</v>
      </c>
      <c r="AE586" s="113">
        <v>75</v>
      </c>
      <c r="AF586" s="113">
        <v>85</v>
      </c>
      <c r="AG586" s="120">
        <v>25</v>
      </c>
      <c r="AH586" s="113">
        <v>25</v>
      </c>
      <c r="AI586" s="113">
        <v>15</v>
      </c>
    </row>
    <row r="587" spans="1:35">
      <c r="A587" s="113">
        <v>525</v>
      </c>
      <c r="B587" s="113" t="s">
        <v>565</v>
      </c>
      <c r="C587" s="120" t="s">
        <v>5841</v>
      </c>
      <c r="D587" s="124">
        <v>0.5</v>
      </c>
      <c r="E587" s="124">
        <v>0.5</v>
      </c>
      <c r="F587" s="113" t="s">
        <v>2112</v>
      </c>
      <c r="G587" s="113" t="s">
        <v>2121</v>
      </c>
      <c r="H587" s="113" t="s">
        <v>98</v>
      </c>
      <c r="I587" s="113" t="s">
        <v>1109</v>
      </c>
      <c r="J587" s="118" t="s">
        <v>2129</v>
      </c>
      <c r="K587" s="118">
        <v>1</v>
      </c>
      <c r="L587" s="118" t="s">
        <v>5840</v>
      </c>
      <c r="M587" s="115" t="s">
        <v>5840</v>
      </c>
      <c r="N587" s="115" t="s">
        <v>6506</v>
      </c>
      <c r="O587" s="115">
        <v>1</v>
      </c>
      <c r="P587" s="115" t="s">
        <v>2128</v>
      </c>
      <c r="Q587" s="166"/>
      <c r="R587" s="164"/>
      <c r="S587" s="164"/>
      <c r="T587" s="164"/>
      <c r="U587" s="164"/>
      <c r="V587" s="162"/>
      <c r="W587" s="158"/>
      <c r="X587" s="158"/>
      <c r="Y587" s="158"/>
      <c r="Z587" s="158"/>
      <c r="AA587" s="158"/>
      <c r="AB587" s="158"/>
      <c r="AC587" s="113">
        <v>390</v>
      </c>
      <c r="AD587" s="113">
        <v>70</v>
      </c>
      <c r="AE587" s="113">
        <v>105</v>
      </c>
      <c r="AF587" s="113">
        <v>105</v>
      </c>
      <c r="AG587" s="120">
        <v>50</v>
      </c>
      <c r="AH587" s="113">
        <v>40</v>
      </c>
      <c r="AI587" s="113">
        <v>20</v>
      </c>
    </row>
    <row r="588" spans="1:35">
      <c r="A588" s="113">
        <v>526</v>
      </c>
      <c r="B588" s="113" t="s">
        <v>566</v>
      </c>
      <c r="C588" s="120" t="s">
        <v>5842</v>
      </c>
      <c r="D588" s="124">
        <v>0.5</v>
      </c>
      <c r="E588" s="124">
        <v>0.5</v>
      </c>
      <c r="F588" s="113" t="s">
        <v>2112</v>
      </c>
      <c r="G588" s="113" t="s">
        <v>2121</v>
      </c>
      <c r="H588" s="113" t="s">
        <v>98</v>
      </c>
      <c r="I588" s="113" t="s">
        <v>1109</v>
      </c>
      <c r="J588" s="118" t="s">
        <v>2129</v>
      </c>
      <c r="K588" s="118">
        <v>1</v>
      </c>
      <c r="L588" s="118" t="s">
        <v>5840</v>
      </c>
      <c r="M588" s="115" t="s">
        <v>5841</v>
      </c>
      <c r="N588" s="115" t="s">
        <v>6504</v>
      </c>
      <c r="O588" s="115">
        <v>1</v>
      </c>
      <c r="P588" s="115" t="s">
        <v>2128</v>
      </c>
      <c r="Q588" s="166"/>
      <c r="R588" s="164"/>
      <c r="S588" s="164"/>
      <c r="T588" s="164"/>
      <c r="U588" s="164"/>
      <c r="V588" s="162"/>
      <c r="W588" s="158"/>
      <c r="X588" s="158"/>
      <c r="Y588" s="158"/>
      <c r="Z588" s="158"/>
      <c r="AA588" s="158"/>
      <c r="AB588" s="158"/>
      <c r="AC588" s="113">
        <v>515</v>
      </c>
      <c r="AD588" s="113">
        <v>85</v>
      </c>
      <c r="AE588" s="113">
        <v>135</v>
      </c>
      <c r="AF588" s="113">
        <v>130</v>
      </c>
      <c r="AG588" s="120">
        <v>60</v>
      </c>
      <c r="AH588" s="113">
        <v>80</v>
      </c>
      <c r="AI588" s="113">
        <v>25</v>
      </c>
    </row>
    <row r="589" spans="1:35">
      <c r="A589" s="113">
        <v>527</v>
      </c>
      <c r="B589" s="113" t="s">
        <v>567</v>
      </c>
      <c r="C589" s="120" t="s">
        <v>5843</v>
      </c>
      <c r="D589" s="124">
        <v>0.5</v>
      </c>
      <c r="E589" s="124">
        <v>0.5</v>
      </c>
      <c r="F589" s="113" t="s">
        <v>22</v>
      </c>
      <c r="G589" s="113" t="s">
        <v>2121</v>
      </c>
      <c r="H589" s="113" t="s">
        <v>86</v>
      </c>
      <c r="I589" s="113" t="s">
        <v>22</v>
      </c>
      <c r="J589" s="118" t="s">
        <v>2129</v>
      </c>
      <c r="K589" s="118">
        <v>1</v>
      </c>
      <c r="L589" s="118" t="s">
        <v>5843</v>
      </c>
      <c r="M589" s="115" t="s">
        <v>1109</v>
      </c>
      <c r="N589" s="115" t="s">
        <v>6505</v>
      </c>
      <c r="O589" s="115">
        <v>1</v>
      </c>
      <c r="P589" s="115" t="s">
        <v>1109</v>
      </c>
      <c r="Q589" s="166"/>
      <c r="R589" s="164"/>
      <c r="S589" s="164"/>
      <c r="T589" s="164"/>
      <c r="U589" s="164"/>
      <c r="V589" s="162"/>
      <c r="W589" s="158"/>
      <c r="X589" s="158"/>
      <c r="Y589" s="158"/>
      <c r="Z589" s="158"/>
      <c r="AA589" s="158"/>
      <c r="AB589" s="158"/>
      <c r="AC589" s="113">
        <v>323</v>
      </c>
      <c r="AD589" s="113">
        <v>65</v>
      </c>
      <c r="AE589" s="113">
        <v>45</v>
      </c>
      <c r="AF589" s="113">
        <v>43</v>
      </c>
      <c r="AG589" s="120">
        <v>55</v>
      </c>
      <c r="AH589" s="113">
        <v>43</v>
      </c>
      <c r="AI589" s="113">
        <v>72</v>
      </c>
    </row>
    <row r="590" spans="1:35">
      <c r="A590" s="113">
        <v>528</v>
      </c>
      <c r="B590" s="113" t="s">
        <v>568</v>
      </c>
      <c r="C590" s="120" t="s">
        <v>5844</v>
      </c>
      <c r="D590" s="124">
        <v>0.5</v>
      </c>
      <c r="E590" s="124">
        <v>0.5</v>
      </c>
      <c r="F590" s="113" t="s">
        <v>22</v>
      </c>
      <c r="G590" s="113" t="s">
        <v>2121</v>
      </c>
      <c r="H590" s="113" t="s">
        <v>86</v>
      </c>
      <c r="I590" s="113" t="s">
        <v>22</v>
      </c>
      <c r="J590" s="118" t="s">
        <v>2129</v>
      </c>
      <c r="K590" s="118">
        <v>1</v>
      </c>
      <c r="L590" s="118" t="s">
        <v>5843</v>
      </c>
      <c r="M590" s="115" t="s">
        <v>5843</v>
      </c>
      <c r="N590" s="115" t="s">
        <v>6504</v>
      </c>
      <c r="O590" s="115">
        <v>1</v>
      </c>
      <c r="P590" s="115" t="s">
        <v>2128</v>
      </c>
      <c r="Q590" s="166"/>
      <c r="R590" s="164"/>
      <c r="S590" s="164"/>
      <c r="T590" s="164"/>
      <c r="U590" s="164"/>
      <c r="V590" s="162"/>
      <c r="W590" s="158"/>
      <c r="X590" s="158"/>
      <c r="Y590" s="158"/>
      <c r="Z590" s="158"/>
      <c r="AA590" s="158"/>
      <c r="AB590" s="158"/>
      <c r="AC590" s="113">
        <v>425</v>
      </c>
      <c r="AD590" s="113">
        <v>67</v>
      </c>
      <c r="AE590" s="113">
        <v>57</v>
      </c>
      <c r="AF590" s="113">
        <v>55</v>
      </c>
      <c r="AG590" s="120">
        <v>77</v>
      </c>
      <c r="AH590" s="113">
        <v>55</v>
      </c>
      <c r="AI590" s="113">
        <v>114</v>
      </c>
    </row>
    <row r="591" spans="1:35">
      <c r="A591" s="113">
        <v>529</v>
      </c>
      <c r="B591" s="113" t="s">
        <v>569</v>
      </c>
      <c r="C591" s="120" t="s">
        <v>5845</v>
      </c>
      <c r="D591" s="124">
        <v>0.5</v>
      </c>
      <c r="E591" s="124">
        <v>0.5</v>
      </c>
      <c r="F591" s="113" t="s">
        <v>2332</v>
      </c>
      <c r="G591" s="113" t="s">
        <v>2121</v>
      </c>
      <c r="H591" s="113" t="s">
        <v>49</v>
      </c>
      <c r="I591" s="113" t="s">
        <v>1109</v>
      </c>
      <c r="J591" s="118" t="s">
        <v>2129</v>
      </c>
      <c r="K591" s="118">
        <v>1</v>
      </c>
      <c r="L591" s="118" t="s">
        <v>5845</v>
      </c>
      <c r="M591" s="115" t="s">
        <v>1109</v>
      </c>
      <c r="N591" s="115" t="s">
        <v>6505</v>
      </c>
      <c r="O591" s="115">
        <v>1</v>
      </c>
      <c r="P591" s="115" t="s">
        <v>1109</v>
      </c>
      <c r="Q591" s="166"/>
      <c r="R591" s="164"/>
      <c r="S591" s="164"/>
      <c r="T591" s="164"/>
      <c r="U591" s="164"/>
      <c r="V591" s="162"/>
      <c r="W591" s="158"/>
      <c r="X591" s="158"/>
      <c r="Y591" s="158"/>
      <c r="Z591" s="158"/>
      <c r="AA591" s="158"/>
      <c r="AB591" s="158"/>
      <c r="AC591" s="113">
        <v>328</v>
      </c>
      <c r="AD591" s="113">
        <v>60</v>
      </c>
      <c r="AE591" s="113">
        <v>85</v>
      </c>
      <c r="AF591" s="113">
        <v>40</v>
      </c>
      <c r="AG591" s="120">
        <v>30</v>
      </c>
      <c r="AH591" s="113">
        <v>45</v>
      </c>
      <c r="AI591" s="113">
        <v>68</v>
      </c>
    </row>
    <row r="592" spans="1:35">
      <c r="A592" s="113">
        <v>530</v>
      </c>
      <c r="B592" s="113" t="s">
        <v>570</v>
      </c>
      <c r="C592" s="120" t="s">
        <v>5846</v>
      </c>
      <c r="D592" s="124">
        <v>0.5</v>
      </c>
      <c r="E592" s="124">
        <v>0.5</v>
      </c>
      <c r="F592" s="113" t="s">
        <v>2332</v>
      </c>
      <c r="G592" s="113" t="s">
        <v>2121</v>
      </c>
      <c r="H592" s="113" t="s">
        <v>49</v>
      </c>
      <c r="I592" s="113" t="s">
        <v>106</v>
      </c>
      <c r="J592" s="118" t="s">
        <v>2129</v>
      </c>
      <c r="K592" s="118">
        <v>1</v>
      </c>
      <c r="L592" s="118" t="s">
        <v>5845</v>
      </c>
      <c r="M592" s="115" t="s">
        <v>5845</v>
      </c>
      <c r="N592" s="115" t="s">
        <v>6504</v>
      </c>
      <c r="O592" s="115">
        <v>1</v>
      </c>
      <c r="P592" s="115" t="s">
        <v>2128</v>
      </c>
      <c r="Q592" s="166"/>
      <c r="R592" s="164"/>
      <c r="S592" s="164"/>
      <c r="T592" s="164"/>
      <c r="U592" s="164"/>
      <c r="V592" s="162"/>
      <c r="W592" s="158"/>
      <c r="X592" s="158"/>
      <c r="Y592" s="158"/>
      <c r="Z592" s="158"/>
      <c r="AA592" s="158"/>
      <c r="AB592" s="158"/>
      <c r="AC592" s="113">
        <v>508</v>
      </c>
      <c r="AD592" s="113">
        <v>110</v>
      </c>
      <c r="AE592" s="113">
        <v>135</v>
      </c>
      <c r="AF592" s="113">
        <v>60</v>
      </c>
      <c r="AG592" s="120">
        <v>50</v>
      </c>
      <c r="AH592" s="113">
        <v>65</v>
      </c>
      <c r="AI592" s="113">
        <v>88</v>
      </c>
    </row>
    <row r="593" spans="1:35">
      <c r="A593" s="113">
        <v>531</v>
      </c>
      <c r="B593" s="113" t="s">
        <v>571</v>
      </c>
      <c r="C593" s="120" t="s">
        <v>5847</v>
      </c>
      <c r="D593" s="124">
        <v>0.5</v>
      </c>
      <c r="E593" s="124">
        <v>0.5</v>
      </c>
      <c r="F593" s="113" t="s">
        <v>56</v>
      </c>
      <c r="G593" s="113" t="s">
        <v>2121</v>
      </c>
      <c r="H593" s="113" t="s">
        <v>36</v>
      </c>
      <c r="I593" s="113" t="s">
        <v>1109</v>
      </c>
      <c r="J593" s="118" t="s">
        <v>2129</v>
      </c>
      <c r="K593" s="118">
        <v>3</v>
      </c>
      <c r="L593" s="118" t="s">
        <v>5847</v>
      </c>
      <c r="M593" s="115" t="s">
        <v>1109</v>
      </c>
      <c r="N593" s="115" t="s">
        <v>6504</v>
      </c>
      <c r="O593" s="115">
        <v>1.5</v>
      </c>
      <c r="P593" s="115" t="s">
        <v>1109</v>
      </c>
      <c r="Q593" s="166"/>
      <c r="R593" s="164"/>
      <c r="S593" s="164"/>
      <c r="T593" s="164"/>
      <c r="U593" s="164"/>
      <c r="V593" s="162"/>
      <c r="W593" s="158"/>
      <c r="X593" s="158"/>
      <c r="Y593" s="158"/>
      <c r="Z593" s="158"/>
      <c r="AA593" s="158"/>
      <c r="AB593" s="158"/>
      <c r="AC593" s="113">
        <v>445</v>
      </c>
      <c r="AD593" s="113">
        <v>103</v>
      </c>
      <c r="AE593" s="113">
        <v>60</v>
      </c>
      <c r="AF593" s="113">
        <v>86</v>
      </c>
      <c r="AG593" s="120">
        <v>60</v>
      </c>
      <c r="AH593" s="113">
        <v>86</v>
      </c>
      <c r="AI593" s="113">
        <v>50</v>
      </c>
    </row>
    <row r="594" spans="1:35">
      <c r="A594" s="113">
        <v>532</v>
      </c>
      <c r="B594" s="113" t="s">
        <v>572</v>
      </c>
      <c r="C594" s="120" t="s">
        <v>5849</v>
      </c>
      <c r="D594" s="124">
        <v>0.75</v>
      </c>
      <c r="E594" s="124">
        <v>0.25</v>
      </c>
      <c r="F594" s="113" t="s">
        <v>2334</v>
      </c>
      <c r="G594" s="113" t="s">
        <v>2121</v>
      </c>
      <c r="H594" s="113" t="s">
        <v>78</v>
      </c>
      <c r="I594" s="113" t="s">
        <v>1109</v>
      </c>
      <c r="J594" s="118" t="s">
        <v>2129</v>
      </c>
      <c r="K594" s="118">
        <v>1</v>
      </c>
      <c r="L594" s="118" t="s">
        <v>5849</v>
      </c>
      <c r="M594" s="115" t="s">
        <v>1109</v>
      </c>
      <c r="N594" s="115" t="s">
        <v>6505</v>
      </c>
      <c r="O594" s="115">
        <v>1</v>
      </c>
      <c r="P594" s="115" t="s">
        <v>1109</v>
      </c>
      <c r="Q594" s="166"/>
      <c r="R594" s="164"/>
      <c r="S594" s="164"/>
      <c r="T594" s="164"/>
      <c r="U594" s="164"/>
      <c r="V594" s="162"/>
      <c r="W594" s="158"/>
      <c r="X594" s="158"/>
      <c r="Y594" s="158"/>
      <c r="Z594" s="158"/>
      <c r="AA594" s="158"/>
      <c r="AB594" s="158"/>
      <c r="AC594" s="113">
        <v>305</v>
      </c>
      <c r="AD594" s="113">
        <v>75</v>
      </c>
      <c r="AE594" s="113">
        <v>80</v>
      </c>
      <c r="AF594" s="113">
        <v>55</v>
      </c>
      <c r="AG594" s="120">
        <v>25</v>
      </c>
      <c r="AH594" s="113">
        <v>35</v>
      </c>
      <c r="AI594" s="113">
        <v>35</v>
      </c>
    </row>
    <row r="595" spans="1:35">
      <c r="A595" s="113">
        <v>533</v>
      </c>
      <c r="B595" s="113" t="s">
        <v>573</v>
      </c>
      <c r="C595" s="120" t="s">
        <v>5850</v>
      </c>
      <c r="D595" s="124">
        <v>0.75</v>
      </c>
      <c r="E595" s="124">
        <v>0.25</v>
      </c>
      <c r="F595" s="113" t="s">
        <v>2334</v>
      </c>
      <c r="G595" s="113" t="s">
        <v>2121</v>
      </c>
      <c r="H595" s="113" t="s">
        <v>78</v>
      </c>
      <c r="I595" s="113" t="s">
        <v>1109</v>
      </c>
      <c r="J595" s="118" t="s">
        <v>2129</v>
      </c>
      <c r="K595" s="118">
        <v>1</v>
      </c>
      <c r="L595" s="118" t="s">
        <v>5849</v>
      </c>
      <c r="M595" s="115" t="s">
        <v>5849</v>
      </c>
      <c r="N595" s="115" t="s">
        <v>6506</v>
      </c>
      <c r="O595" s="115">
        <v>1</v>
      </c>
      <c r="P595" s="115" t="s">
        <v>2128</v>
      </c>
      <c r="Q595" s="166"/>
      <c r="R595" s="164"/>
      <c r="S595" s="164"/>
      <c r="T595" s="164"/>
      <c r="U595" s="164"/>
      <c r="V595" s="162"/>
      <c r="W595" s="158"/>
      <c r="X595" s="158"/>
      <c r="Y595" s="158"/>
      <c r="Z595" s="158"/>
      <c r="AA595" s="158"/>
      <c r="AB595" s="158"/>
      <c r="AC595" s="113">
        <v>405</v>
      </c>
      <c r="AD595" s="113">
        <v>85</v>
      </c>
      <c r="AE595" s="113">
        <v>105</v>
      </c>
      <c r="AF595" s="113">
        <v>85</v>
      </c>
      <c r="AG595" s="120">
        <v>40</v>
      </c>
      <c r="AH595" s="113">
        <v>50</v>
      </c>
      <c r="AI595" s="113">
        <v>40</v>
      </c>
    </row>
    <row r="596" spans="1:35">
      <c r="A596" s="113">
        <v>534</v>
      </c>
      <c r="B596" s="113" t="s">
        <v>574</v>
      </c>
      <c r="C596" s="120" t="s">
        <v>5851</v>
      </c>
      <c r="D596" s="124">
        <v>0.75</v>
      </c>
      <c r="E596" s="124">
        <v>0.25</v>
      </c>
      <c r="F596" s="113" t="s">
        <v>2334</v>
      </c>
      <c r="G596" s="113" t="s">
        <v>2121</v>
      </c>
      <c r="H596" s="113" t="s">
        <v>78</v>
      </c>
      <c r="I596" s="113" t="s">
        <v>1109</v>
      </c>
      <c r="J596" s="118" t="s">
        <v>2129</v>
      </c>
      <c r="K596" s="118">
        <v>1</v>
      </c>
      <c r="L596" s="118" t="s">
        <v>5849</v>
      </c>
      <c r="M596" s="115" t="s">
        <v>5850</v>
      </c>
      <c r="N596" s="115" t="s">
        <v>6504</v>
      </c>
      <c r="O596" s="115">
        <v>1</v>
      </c>
      <c r="P596" s="115" t="s">
        <v>2128</v>
      </c>
      <c r="Q596" s="166"/>
      <c r="R596" s="164"/>
      <c r="S596" s="164"/>
      <c r="T596" s="164"/>
      <c r="U596" s="164"/>
      <c r="V596" s="162"/>
      <c r="W596" s="158"/>
      <c r="X596" s="158"/>
      <c r="Y596" s="158"/>
      <c r="Z596" s="158"/>
      <c r="AA596" s="158"/>
      <c r="AB596" s="158"/>
      <c r="AC596" s="113">
        <v>505</v>
      </c>
      <c r="AD596" s="113">
        <v>105</v>
      </c>
      <c r="AE596" s="113">
        <v>140</v>
      </c>
      <c r="AF596" s="113">
        <v>95</v>
      </c>
      <c r="AG596" s="120">
        <v>55</v>
      </c>
      <c r="AH596" s="113">
        <v>65</v>
      </c>
      <c r="AI596" s="113">
        <v>45</v>
      </c>
    </row>
    <row r="597" spans="1:35">
      <c r="A597" s="113">
        <v>535</v>
      </c>
      <c r="B597" s="113" t="s">
        <v>575</v>
      </c>
      <c r="C597" s="120" t="s">
        <v>5852</v>
      </c>
      <c r="D597" s="124">
        <v>0.5</v>
      </c>
      <c r="E597" s="124">
        <v>0.5</v>
      </c>
      <c r="F597" s="113" t="s">
        <v>2331</v>
      </c>
      <c r="G597" s="113" t="s">
        <v>2121</v>
      </c>
      <c r="H597" s="113" t="s">
        <v>25</v>
      </c>
      <c r="I597" s="113" t="s">
        <v>1109</v>
      </c>
      <c r="J597" s="118" t="s">
        <v>2129</v>
      </c>
      <c r="K597" s="118">
        <v>1</v>
      </c>
      <c r="L597" s="118" t="s">
        <v>5852</v>
      </c>
      <c r="M597" s="115" t="s">
        <v>1109</v>
      </c>
      <c r="N597" s="115" t="s">
        <v>6505</v>
      </c>
      <c r="O597" s="115">
        <v>1</v>
      </c>
      <c r="P597" s="115" t="s">
        <v>1109</v>
      </c>
      <c r="Q597" s="166"/>
      <c r="R597" s="164"/>
      <c r="S597" s="164"/>
      <c r="T597" s="164"/>
      <c r="U597" s="164"/>
      <c r="V597" s="162"/>
      <c r="W597" s="158"/>
      <c r="X597" s="158"/>
      <c r="Y597" s="158"/>
      <c r="Z597" s="158"/>
      <c r="AA597" s="158"/>
      <c r="AB597" s="158"/>
      <c r="AC597" s="113">
        <v>294</v>
      </c>
      <c r="AD597" s="113">
        <v>50</v>
      </c>
      <c r="AE597" s="113">
        <v>50</v>
      </c>
      <c r="AF597" s="113">
        <v>40</v>
      </c>
      <c r="AG597" s="120">
        <v>50</v>
      </c>
      <c r="AH597" s="113">
        <v>40</v>
      </c>
      <c r="AI597" s="113">
        <v>64</v>
      </c>
    </row>
    <row r="598" spans="1:35">
      <c r="A598" s="113">
        <v>536</v>
      </c>
      <c r="B598" s="113" t="s">
        <v>576</v>
      </c>
      <c r="C598" s="120" t="s">
        <v>5853</v>
      </c>
      <c r="D598" s="124">
        <v>0.5</v>
      </c>
      <c r="E598" s="124">
        <v>0.5</v>
      </c>
      <c r="F598" s="113" t="s">
        <v>2331</v>
      </c>
      <c r="G598" s="113" t="s">
        <v>2121</v>
      </c>
      <c r="H598" s="113" t="s">
        <v>25</v>
      </c>
      <c r="I598" s="113" t="s">
        <v>49</v>
      </c>
      <c r="J598" s="118" t="s">
        <v>2129</v>
      </c>
      <c r="K598" s="118">
        <v>1</v>
      </c>
      <c r="L598" s="118" t="s">
        <v>5852</v>
      </c>
      <c r="M598" s="115" t="s">
        <v>5852</v>
      </c>
      <c r="N598" s="115" t="s">
        <v>6506</v>
      </c>
      <c r="O598" s="115">
        <v>1</v>
      </c>
      <c r="P598" s="115" t="s">
        <v>2128</v>
      </c>
      <c r="Q598" s="166"/>
      <c r="R598" s="164"/>
      <c r="S598" s="164"/>
      <c r="T598" s="164"/>
      <c r="U598" s="164"/>
      <c r="V598" s="162"/>
      <c r="W598" s="158"/>
      <c r="X598" s="158"/>
      <c r="Y598" s="158"/>
      <c r="Z598" s="158"/>
      <c r="AA598" s="158"/>
      <c r="AB598" s="158"/>
      <c r="AC598" s="113">
        <v>384</v>
      </c>
      <c r="AD598" s="113">
        <v>75</v>
      </c>
      <c r="AE598" s="113">
        <v>65</v>
      </c>
      <c r="AF598" s="113">
        <v>55</v>
      </c>
      <c r="AG598" s="120">
        <v>65</v>
      </c>
      <c r="AH598" s="113">
        <v>55</v>
      </c>
      <c r="AI598" s="113">
        <v>69</v>
      </c>
    </row>
    <row r="599" spans="1:35">
      <c r="A599" s="113">
        <v>537</v>
      </c>
      <c r="B599" s="113" t="s">
        <v>577</v>
      </c>
      <c r="C599" s="120" t="s">
        <v>5854</v>
      </c>
      <c r="D599" s="124">
        <v>0.5</v>
      </c>
      <c r="E599" s="124">
        <v>0.5</v>
      </c>
      <c r="F599" s="113" t="s">
        <v>2331</v>
      </c>
      <c r="G599" s="113" t="s">
        <v>2121</v>
      </c>
      <c r="H599" s="113" t="s">
        <v>25</v>
      </c>
      <c r="I599" s="113" t="s">
        <v>49</v>
      </c>
      <c r="J599" s="118" t="s">
        <v>2129</v>
      </c>
      <c r="K599" s="118">
        <v>1</v>
      </c>
      <c r="L599" s="118" t="s">
        <v>5852</v>
      </c>
      <c r="M599" s="115" t="s">
        <v>5853</v>
      </c>
      <c r="N599" s="115" t="s">
        <v>6504</v>
      </c>
      <c r="O599" s="115">
        <v>1</v>
      </c>
      <c r="P599" s="115" t="s">
        <v>2128</v>
      </c>
      <c r="Q599" s="166"/>
      <c r="R599" s="164"/>
      <c r="S599" s="164"/>
      <c r="T599" s="164"/>
      <c r="U599" s="164"/>
      <c r="V599" s="162"/>
      <c r="W599" s="158"/>
      <c r="X599" s="158"/>
      <c r="Y599" s="158"/>
      <c r="Z599" s="158"/>
      <c r="AA599" s="158"/>
      <c r="AB599" s="158"/>
      <c r="AC599" s="113">
        <v>509</v>
      </c>
      <c r="AD599" s="113">
        <v>105</v>
      </c>
      <c r="AE599" s="113">
        <v>95</v>
      </c>
      <c r="AF599" s="113">
        <v>75</v>
      </c>
      <c r="AG599" s="120">
        <v>85</v>
      </c>
      <c r="AH599" s="113">
        <v>75</v>
      </c>
      <c r="AI599" s="113">
        <v>74</v>
      </c>
    </row>
    <row r="600" spans="1:35">
      <c r="A600" s="113">
        <v>538</v>
      </c>
      <c r="B600" s="113" t="s">
        <v>578</v>
      </c>
      <c r="C600" s="120" t="s">
        <v>5855</v>
      </c>
      <c r="D600" s="124">
        <v>1</v>
      </c>
      <c r="E600" s="124">
        <v>0</v>
      </c>
      <c r="F600" s="113" t="s">
        <v>2334</v>
      </c>
      <c r="G600" s="113" t="s">
        <v>2121</v>
      </c>
      <c r="H600" s="113" t="s">
        <v>78</v>
      </c>
      <c r="I600" s="113" t="s">
        <v>1109</v>
      </c>
      <c r="J600" s="118" t="s">
        <v>2129</v>
      </c>
      <c r="K600" s="118">
        <v>2</v>
      </c>
      <c r="L600" s="118" t="s">
        <v>5855</v>
      </c>
      <c r="M600" s="115" t="s">
        <v>1109</v>
      </c>
      <c r="N600" s="115" t="s">
        <v>6504</v>
      </c>
      <c r="O600" s="115">
        <v>1.25</v>
      </c>
      <c r="P600" s="115" t="s">
        <v>1109</v>
      </c>
      <c r="Q600" s="166"/>
      <c r="R600" s="164"/>
      <c r="S600" s="164"/>
      <c r="T600" s="164"/>
      <c r="U600" s="164"/>
      <c r="V600" s="162"/>
      <c r="W600" s="158"/>
      <c r="X600" s="158"/>
      <c r="Y600" s="158"/>
      <c r="Z600" s="158"/>
      <c r="AA600" s="158"/>
      <c r="AB600" s="158"/>
      <c r="AC600" s="113">
        <v>465</v>
      </c>
      <c r="AD600" s="113">
        <v>120</v>
      </c>
      <c r="AE600" s="113">
        <v>100</v>
      </c>
      <c r="AF600" s="113">
        <v>85</v>
      </c>
      <c r="AG600" s="120">
        <v>30</v>
      </c>
      <c r="AH600" s="113">
        <v>85</v>
      </c>
      <c r="AI600" s="113">
        <v>45</v>
      </c>
    </row>
    <row r="601" spans="1:35">
      <c r="A601" s="113">
        <v>539</v>
      </c>
      <c r="B601" s="113" t="s">
        <v>579</v>
      </c>
      <c r="C601" s="120" t="s">
        <v>5856</v>
      </c>
      <c r="D601" s="124">
        <v>1</v>
      </c>
      <c r="E601" s="124">
        <v>0</v>
      </c>
      <c r="F601" s="113" t="s">
        <v>2334</v>
      </c>
      <c r="G601" s="113" t="s">
        <v>2121</v>
      </c>
      <c r="H601" s="113" t="s">
        <v>78</v>
      </c>
      <c r="I601" s="113" t="s">
        <v>1109</v>
      </c>
      <c r="J601" s="118" t="s">
        <v>2129</v>
      </c>
      <c r="K601" s="118">
        <v>2</v>
      </c>
      <c r="L601" s="118" t="s">
        <v>5856</v>
      </c>
      <c r="M601" s="115" t="s">
        <v>1109</v>
      </c>
      <c r="N601" s="115" t="s">
        <v>6504</v>
      </c>
      <c r="O601" s="115">
        <v>1.25</v>
      </c>
      <c r="P601" s="115" t="s">
        <v>1109</v>
      </c>
      <c r="Q601" s="166"/>
      <c r="R601" s="164"/>
      <c r="S601" s="164"/>
      <c r="T601" s="164"/>
      <c r="U601" s="164"/>
      <c r="V601" s="162"/>
      <c r="W601" s="158"/>
      <c r="X601" s="158"/>
      <c r="Y601" s="158"/>
      <c r="Z601" s="158"/>
      <c r="AA601" s="158"/>
      <c r="AB601" s="158"/>
      <c r="AC601" s="113">
        <v>465</v>
      </c>
      <c r="AD601" s="113">
        <v>75</v>
      </c>
      <c r="AE601" s="113">
        <v>125</v>
      </c>
      <c r="AF601" s="113">
        <v>75</v>
      </c>
      <c r="AG601" s="120">
        <v>30</v>
      </c>
      <c r="AH601" s="113">
        <v>75</v>
      </c>
      <c r="AI601" s="113">
        <v>85</v>
      </c>
    </row>
    <row r="602" spans="1:35">
      <c r="A602" s="113">
        <v>540</v>
      </c>
      <c r="B602" s="113" t="s">
        <v>580</v>
      </c>
      <c r="C602" s="120" t="s">
        <v>5857</v>
      </c>
      <c r="D602" s="124">
        <v>0.5</v>
      </c>
      <c r="E602" s="124">
        <v>0.5</v>
      </c>
      <c r="F602" s="113" t="s">
        <v>29</v>
      </c>
      <c r="G602" s="113" t="s">
        <v>2121</v>
      </c>
      <c r="H602" s="113" t="s">
        <v>29</v>
      </c>
      <c r="I602" s="113" t="s">
        <v>14</v>
      </c>
      <c r="J602" s="118" t="s">
        <v>2129</v>
      </c>
      <c r="K602" s="118">
        <v>2</v>
      </c>
      <c r="L602" s="118" t="s">
        <v>5857</v>
      </c>
      <c r="M602" s="115" t="s">
        <v>1109</v>
      </c>
      <c r="N602" s="115" t="s">
        <v>6505</v>
      </c>
      <c r="O602" s="115">
        <v>1.25</v>
      </c>
      <c r="P602" s="115" t="s">
        <v>1109</v>
      </c>
      <c r="Q602" s="166"/>
      <c r="R602" s="164"/>
      <c r="S602" s="164"/>
      <c r="T602" s="164"/>
      <c r="U602" s="164"/>
      <c r="V602" s="162"/>
      <c r="W602" s="158"/>
      <c r="X602" s="158"/>
      <c r="Y602" s="158"/>
      <c r="Z602" s="158"/>
      <c r="AA602" s="158"/>
      <c r="AB602" s="158"/>
      <c r="AC602" s="113">
        <v>310</v>
      </c>
      <c r="AD602" s="113">
        <v>45</v>
      </c>
      <c r="AE602" s="113">
        <v>53</v>
      </c>
      <c r="AF602" s="113">
        <v>70</v>
      </c>
      <c r="AG602" s="120">
        <v>40</v>
      </c>
      <c r="AH602" s="113">
        <v>60</v>
      </c>
      <c r="AI602" s="113">
        <v>42</v>
      </c>
    </row>
    <row r="603" spans="1:35">
      <c r="A603" s="113">
        <v>541</v>
      </c>
      <c r="B603" s="113" t="s">
        <v>581</v>
      </c>
      <c r="C603" s="120" t="s">
        <v>5858</v>
      </c>
      <c r="D603" s="124">
        <v>0.5</v>
      </c>
      <c r="E603" s="124">
        <v>0.5</v>
      </c>
      <c r="F603" s="113" t="s">
        <v>29</v>
      </c>
      <c r="G603" s="113" t="s">
        <v>2121</v>
      </c>
      <c r="H603" s="113" t="s">
        <v>29</v>
      </c>
      <c r="I603" s="113" t="s">
        <v>14</v>
      </c>
      <c r="J603" s="118" t="s">
        <v>2129</v>
      </c>
      <c r="K603" s="118">
        <v>2</v>
      </c>
      <c r="L603" s="118" t="s">
        <v>5857</v>
      </c>
      <c r="M603" s="115" t="s">
        <v>5857</v>
      </c>
      <c r="N603" s="115" t="s">
        <v>6506</v>
      </c>
      <c r="O603" s="115">
        <v>1.25</v>
      </c>
      <c r="P603" s="115" t="s">
        <v>2128</v>
      </c>
      <c r="Q603" s="166"/>
      <c r="R603" s="164"/>
      <c r="S603" s="164"/>
      <c r="T603" s="164"/>
      <c r="U603" s="164"/>
      <c r="V603" s="162"/>
      <c r="W603" s="158"/>
      <c r="X603" s="158"/>
      <c r="Y603" s="158"/>
      <c r="Z603" s="158"/>
      <c r="AA603" s="158"/>
      <c r="AB603" s="158"/>
      <c r="AC603" s="113">
        <v>380</v>
      </c>
      <c r="AD603" s="113">
        <v>55</v>
      </c>
      <c r="AE603" s="113">
        <v>63</v>
      </c>
      <c r="AF603" s="113">
        <v>90</v>
      </c>
      <c r="AG603" s="120">
        <v>50</v>
      </c>
      <c r="AH603" s="113">
        <v>80</v>
      </c>
      <c r="AI603" s="113">
        <v>42</v>
      </c>
    </row>
    <row r="604" spans="1:35">
      <c r="A604" s="113">
        <v>542</v>
      </c>
      <c r="B604" s="113" t="s">
        <v>582</v>
      </c>
      <c r="C604" s="120" t="s">
        <v>5859</v>
      </c>
      <c r="D604" s="124">
        <v>0.5</v>
      </c>
      <c r="E604" s="124">
        <v>0.5</v>
      </c>
      <c r="F604" s="113" t="s">
        <v>29</v>
      </c>
      <c r="G604" s="113" t="s">
        <v>2121</v>
      </c>
      <c r="H604" s="113" t="s">
        <v>29</v>
      </c>
      <c r="I604" s="113" t="s">
        <v>14</v>
      </c>
      <c r="J604" s="118" t="s">
        <v>2129</v>
      </c>
      <c r="K604" s="118">
        <v>2</v>
      </c>
      <c r="L604" s="118" t="s">
        <v>5857</v>
      </c>
      <c r="M604" s="115" t="s">
        <v>5858</v>
      </c>
      <c r="N604" s="115" t="s">
        <v>6504</v>
      </c>
      <c r="O604" s="115">
        <v>1.25</v>
      </c>
      <c r="P604" s="115" t="s">
        <v>2128</v>
      </c>
      <c r="Q604" s="166"/>
      <c r="R604" s="164"/>
      <c r="S604" s="164"/>
      <c r="T604" s="164"/>
      <c r="U604" s="164"/>
      <c r="V604" s="162"/>
      <c r="W604" s="158"/>
      <c r="X604" s="158"/>
      <c r="Y604" s="158"/>
      <c r="Z604" s="158"/>
      <c r="AA604" s="158"/>
      <c r="AB604" s="158"/>
      <c r="AC604" s="113">
        <v>500</v>
      </c>
      <c r="AD604" s="113">
        <v>75</v>
      </c>
      <c r="AE604" s="113">
        <v>103</v>
      </c>
      <c r="AF604" s="113">
        <v>80</v>
      </c>
      <c r="AG604" s="120">
        <v>70</v>
      </c>
      <c r="AH604" s="113">
        <v>80</v>
      </c>
      <c r="AI604" s="113">
        <v>92</v>
      </c>
    </row>
    <row r="605" spans="1:35">
      <c r="A605" s="113">
        <v>543</v>
      </c>
      <c r="B605" s="113" t="s">
        <v>583</v>
      </c>
      <c r="C605" s="120" t="s">
        <v>5860</v>
      </c>
      <c r="D605" s="124">
        <v>0.5</v>
      </c>
      <c r="E605" s="124">
        <v>0.5</v>
      </c>
      <c r="F605" s="113" t="s">
        <v>29</v>
      </c>
      <c r="G605" s="113" t="s">
        <v>2121</v>
      </c>
      <c r="H605" s="113" t="s">
        <v>29</v>
      </c>
      <c r="I605" s="113" t="s">
        <v>15</v>
      </c>
      <c r="J605" s="118" t="s">
        <v>2129</v>
      </c>
      <c r="K605" s="118">
        <v>2</v>
      </c>
      <c r="L605" s="118" t="s">
        <v>5860</v>
      </c>
      <c r="M605" s="115" t="s">
        <v>1109</v>
      </c>
      <c r="N605" s="115" t="s">
        <v>6505</v>
      </c>
      <c r="O605" s="115">
        <v>1.25</v>
      </c>
      <c r="P605" s="115" t="s">
        <v>1109</v>
      </c>
      <c r="Q605" s="166"/>
      <c r="R605" s="164"/>
      <c r="S605" s="164"/>
      <c r="T605" s="164"/>
      <c r="U605" s="164"/>
      <c r="V605" s="162"/>
      <c r="W605" s="158"/>
      <c r="X605" s="158"/>
      <c r="Y605" s="158"/>
      <c r="Z605" s="158"/>
      <c r="AA605" s="158"/>
      <c r="AB605" s="158"/>
      <c r="AC605" s="113">
        <v>260</v>
      </c>
      <c r="AD605" s="113">
        <v>30</v>
      </c>
      <c r="AE605" s="113">
        <v>45</v>
      </c>
      <c r="AF605" s="113">
        <v>59</v>
      </c>
      <c r="AG605" s="120">
        <v>30</v>
      </c>
      <c r="AH605" s="113">
        <v>39</v>
      </c>
      <c r="AI605" s="113">
        <v>57</v>
      </c>
    </row>
    <row r="606" spans="1:35">
      <c r="A606" s="113">
        <v>544</v>
      </c>
      <c r="B606" s="113" t="s">
        <v>584</v>
      </c>
      <c r="C606" s="120" t="s">
        <v>5861</v>
      </c>
      <c r="D606" s="124">
        <v>0.5</v>
      </c>
      <c r="E606" s="124">
        <v>0.5</v>
      </c>
      <c r="F606" s="113" t="s">
        <v>29</v>
      </c>
      <c r="G606" s="113" t="s">
        <v>2121</v>
      </c>
      <c r="H606" s="113" t="s">
        <v>29</v>
      </c>
      <c r="I606" s="113" t="s">
        <v>15</v>
      </c>
      <c r="J606" s="118" t="s">
        <v>2129</v>
      </c>
      <c r="K606" s="118">
        <v>2</v>
      </c>
      <c r="L606" s="118" t="s">
        <v>5860</v>
      </c>
      <c r="M606" s="115" t="s">
        <v>5860</v>
      </c>
      <c r="N606" s="115" t="s">
        <v>6506</v>
      </c>
      <c r="O606" s="115">
        <v>1.25</v>
      </c>
      <c r="P606" s="115" t="s">
        <v>2128</v>
      </c>
      <c r="Q606" s="166"/>
      <c r="R606" s="164"/>
      <c r="S606" s="164"/>
      <c r="T606" s="164"/>
      <c r="U606" s="164"/>
      <c r="V606" s="162"/>
      <c r="W606" s="158"/>
      <c r="X606" s="158"/>
      <c r="Y606" s="158"/>
      <c r="Z606" s="158"/>
      <c r="AA606" s="158"/>
      <c r="AB606" s="158"/>
      <c r="AC606" s="113">
        <v>360</v>
      </c>
      <c r="AD606" s="113">
        <v>40</v>
      </c>
      <c r="AE606" s="113">
        <v>55</v>
      </c>
      <c r="AF606" s="113">
        <v>99</v>
      </c>
      <c r="AG606" s="120">
        <v>40</v>
      </c>
      <c r="AH606" s="113">
        <v>79</v>
      </c>
      <c r="AI606" s="113">
        <v>47</v>
      </c>
    </row>
    <row r="607" spans="1:35">
      <c r="A607" s="113">
        <v>545</v>
      </c>
      <c r="B607" s="113" t="s">
        <v>585</v>
      </c>
      <c r="C607" s="120" t="s">
        <v>5862</v>
      </c>
      <c r="D607" s="124">
        <v>0.5</v>
      </c>
      <c r="E607" s="124">
        <v>0.5</v>
      </c>
      <c r="F607" s="113" t="s">
        <v>29</v>
      </c>
      <c r="G607" s="113" t="s">
        <v>2121</v>
      </c>
      <c r="H607" s="113" t="s">
        <v>29</v>
      </c>
      <c r="I607" s="113" t="s">
        <v>15</v>
      </c>
      <c r="J607" s="118" t="s">
        <v>2129</v>
      </c>
      <c r="K607" s="118">
        <v>2</v>
      </c>
      <c r="L607" s="118" t="s">
        <v>5860</v>
      </c>
      <c r="M607" s="115" t="s">
        <v>5861</v>
      </c>
      <c r="N607" s="115" t="s">
        <v>6504</v>
      </c>
      <c r="O607" s="115">
        <v>1.25</v>
      </c>
      <c r="P607" s="115" t="s">
        <v>2128</v>
      </c>
      <c r="Q607" s="166"/>
      <c r="R607" s="164"/>
      <c r="S607" s="164"/>
      <c r="T607" s="164"/>
      <c r="U607" s="164"/>
      <c r="V607" s="162"/>
      <c r="W607" s="158"/>
      <c r="X607" s="158"/>
      <c r="Y607" s="158"/>
      <c r="Z607" s="158"/>
      <c r="AA607" s="158"/>
      <c r="AB607" s="158"/>
      <c r="AC607" s="113">
        <v>485</v>
      </c>
      <c r="AD607" s="113">
        <v>60</v>
      </c>
      <c r="AE607" s="113">
        <v>100</v>
      </c>
      <c r="AF607" s="113">
        <v>89</v>
      </c>
      <c r="AG607" s="120">
        <v>55</v>
      </c>
      <c r="AH607" s="113">
        <v>69</v>
      </c>
      <c r="AI607" s="113">
        <v>112</v>
      </c>
    </row>
    <row r="608" spans="1:35">
      <c r="A608" s="113">
        <v>546</v>
      </c>
      <c r="B608" s="113" t="s">
        <v>586</v>
      </c>
      <c r="C608" s="120" t="s">
        <v>5863</v>
      </c>
      <c r="D608" s="124">
        <v>0.5</v>
      </c>
      <c r="E608" s="124">
        <v>0.5</v>
      </c>
      <c r="F608" s="113" t="s">
        <v>56</v>
      </c>
      <c r="G608" s="113" t="s">
        <v>2121</v>
      </c>
      <c r="H608" s="113" t="s">
        <v>14</v>
      </c>
      <c r="I608" s="113" t="s">
        <v>56</v>
      </c>
      <c r="J608" s="118" t="s">
        <v>2129</v>
      </c>
      <c r="K608" s="118">
        <v>2</v>
      </c>
      <c r="L608" s="118" t="s">
        <v>5863</v>
      </c>
      <c r="M608" s="115" t="s">
        <v>1109</v>
      </c>
      <c r="N608" s="115" t="s">
        <v>6505</v>
      </c>
      <c r="O608" s="115">
        <v>1.25</v>
      </c>
      <c r="P608" s="115" t="s">
        <v>1109</v>
      </c>
      <c r="Q608" s="166"/>
      <c r="R608" s="164"/>
      <c r="S608" s="164"/>
      <c r="T608" s="164"/>
      <c r="U608" s="164"/>
      <c r="V608" s="162"/>
      <c r="W608" s="158"/>
      <c r="X608" s="158"/>
      <c r="Y608" s="158"/>
      <c r="Z608" s="158"/>
      <c r="AA608" s="158"/>
      <c r="AB608" s="158"/>
      <c r="AC608" s="113">
        <v>280</v>
      </c>
      <c r="AD608" s="113">
        <v>40</v>
      </c>
      <c r="AE608" s="113">
        <v>27</v>
      </c>
      <c r="AF608" s="113">
        <v>60</v>
      </c>
      <c r="AG608" s="120">
        <v>37</v>
      </c>
      <c r="AH608" s="113">
        <v>50</v>
      </c>
      <c r="AI608" s="113">
        <v>66</v>
      </c>
    </row>
    <row r="609" spans="1:35">
      <c r="A609" s="113">
        <v>547</v>
      </c>
      <c r="B609" s="113" t="s">
        <v>587</v>
      </c>
      <c r="C609" s="120" t="s">
        <v>5864</v>
      </c>
      <c r="D609" s="124">
        <v>0.5</v>
      </c>
      <c r="E609" s="124">
        <v>0.5</v>
      </c>
      <c r="F609" s="113" t="s">
        <v>56</v>
      </c>
      <c r="G609" s="113" t="s">
        <v>2121</v>
      </c>
      <c r="H609" s="113" t="s">
        <v>14</v>
      </c>
      <c r="I609" s="113" t="s">
        <v>56</v>
      </c>
      <c r="J609" s="118" t="s">
        <v>2129</v>
      </c>
      <c r="K609" s="118">
        <v>2</v>
      </c>
      <c r="L609" s="118" t="s">
        <v>5863</v>
      </c>
      <c r="M609" s="115" t="s">
        <v>5863</v>
      </c>
      <c r="N609" s="115" t="s">
        <v>6504</v>
      </c>
      <c r="O609" s="115">
        <v>1.25</v>
      </c>
      <c r="P609" s="115" t="s">
        <v>1803</v>
      </c>
      <c r="Q609" s="166"/>
      <c r="R609" s="164"/>
      <c r="S609" s="164"/>
      <c r="T609" s="164"/>
      <c r="U609" s="164"/>
      <c r="V609" s="162"/>
      <c r="W609" s="158"/>
      <c r="X609" s="158"/>
      <c r="Y609" s="158"/>
      <c r="Z609" s="158"/>
      <c r="AA609" s="158"/>
      <c r="AB609" s="158"/>
      <c r="AC609" s="113">
        <v>480</v>
      </c>
      <c r="AD609" s="113">
        <v>60</v>
      </c>
      <c r="AE609" s="113">
        <v>67</v>
      </c>
      <c r="AF609" s="113">
        <v>85</v>
      </c>
      <c r="AG609" s="120">
        <v>77</v>
      </c>
      <c r="AH609" s="113">
        <v>75</v>
      </c>
      <c r="AI609" s="113">
        <v>116</v>
      </c>
    </row>
    <row r="610" spans="1:35">
      <c r="A610" s="113">
        <v>548</v>
      </c>
      <c r="B610" s="113" t="s">
        <v>588</v>
      </c>
      <c r="C610" s="120" t="s">
        <v>5865</v>
      </c>
      <c r="D610" s="124">
        <v>0</v>
      </c>
      <c r="E610" s="124">
        <v>1</v>
      </c>
      <c r="F610" s="113" t="s">
        <v>14</v>
      </c>
      <c r="G610" s="113" t="s">
        <v>2121</v>
      </c>
      <c r="H610" s="113" t="s">
        <v>14</v>
      </c>
      <c r="I610" s="113" t="s">
        <v>1109</v>
      </c>
      <c r="J610" s="118" t="s">
        <v>2129</v>
      </c>
      <c r="K610" s="118">
        <v>2</v>
      </c>
      <c r="L610" s="118" t="s">
        <v>5865</v>
      </c>
      <c r="M610" s="115" t="s">
        <v>1109</v>
      </c>
      <c r="N610" s="115" t="s">
        <v>6505</v>
      </c>
      <c r="O610" s="115">
        <v>1.25</v>
      </c>
      <c r="P610" s="115" t="s">
        <v>1109</v>
      </c>
      <c r="Q610" s="166"/>
      <c r="R610" s="164"/>
      <c r="S610" s="164"/>
      <c r="T610" s="164"/>
      <c r="U610" s="164"/>
      <c r="V610" s="162"/>
      <c r="W610" s="158"/>
      <c r="X610" s="158"/>
      <c r="Y610" s="158"/>
      <c r="Z610" s="158"/>
      <c r="AA610" s="158"/>
      <c r="AB610" s="158"/>
      <c r="AC610" s="113">
        <v>280</v>
      </c>
      <c r="AD610" s="113">
        <v>45</v>
      </c>
      <c r="AE610" s="113">
        <v>35</v>
      </c>
      <c r="AF610" s="113">
        <v>50</v>
      </c>
      <c r="AG610" s="120">
        <v>70</v>
      </c>
      <c r="AH610" s="113">
        <v>50</v>
      </c>
      <c r="AI610" s="113">
        <v>30</v>
      </c>
    </row>
    <row r="611" spans="1:35">
      <c r="A611" s="113">
        <v>549</v>
      </c>
      <c r="B611" s="113" t="s">
        <v>589</v>
      </c>
      <c r="C611" s="120" t="s">
        <v>5866</v>
      </c>
      <c r="D611" s="124">
        <v>0</v>
      </c>
      <c r="E611" s="124">
        <v>1</v>
      </c>
      <c r="F611" s="113" t="s">
        <v>14</v>
      </c>
      <c r="G611" s="113" t="s">
        <v>2121</v>
      </c>
      <c r="H611" s="113" t="s">
        <v>14</v>
      </c>
      <c r="I611" s="113" t="s">
        <v>1109</v>
      </c>
      <c r="J611" s="118" t="s">
        <v>2129</v>
      </c>
      <c r="K611" s="118">
        <v>2</v>
      </c>
      <c r="L611" s="118" t="s">
        <v>5865</v>
      </c>
      <c r="M611" s="115" t="s">
        <v>5865</v>
      </c>
      <c r="N611" s="115" t="s">
        <v>6504</v>
      </c>
      <c r="O611" s="115">
        <v>1.25</v>
      </c>
      <c r="P611" s="115" t="s">
        <v>1803</v>
      </c>
      <c r="Q611" s="166"/>
      <c r="R611" s="164"/>
      <c r="S611" s="164"/>
      <c r="T611" s="164"/>
      <c r="U611" s="164"/>
      <c r="V611" s="162"/>
      <c r="W611" s="158"/>
      <c r="X611" s="158"/>
      <c r="Y611" s="158"/>
      <c r="Z611" s="158"/>
      <c r="AA611" s="158"/>
      <c r="AB611" s="158"/>
      <c r="AC611" s="113">
        <v>480</v>
      </c>
      <c r="AD611" s="113">
        <v>70</v>
      </c>
      <c r="AE611" s="113">
        <v>60</v>
      </c>
      <c r="AF611" s="113">
        <v>75</v>
      </c>
      <c r="AG611" s="120">
        <v>110</v>
      </c>
      <c r="AH611" s="113">
        <v>75</v>
      </c>
      <c r="AI611" s="113">
        <v>90</v>
      </c>
    </row>
    <row r="612" spans="1:35">
      <c r="A612" s="113">
        <v>549</v>
      </c>
      <c r="B612" s="113" t="s">
        <v>2993</v>
      </c>
      <c r="C612" s="120" t="s">
        <v>5867</v>
      </c>
      <c r="D612" s="124">
        <v>0</v>
      </c>
      <c r="E612" s="124">
        <v>1</v>
      </c>
      <c r="F612" s="113" t="s">
        <v>14</v>
      </c>
      <c r="G612" s="113" t="s">
        <v>4319</v>
      </c>
      <c r="H612" s="113" t="s">
        <v>14</v>
      </c>
      <c r="I612" s="113" t="s">
        <v>78</v>
      </c>
      <c r="J612" s="118" t="s">
        <v>2129</v>
      </c>
      <c r="K612" s="118">
        <v>2</v>
      </c>
      <c r="L612" s="118" t="s">
        <v>5865</v>
      </c>
      <c r="M612" s="115" t="s">
        <v>5865</v>
      </c>
      <c r="N612" s="115" t="s">
        <v>6504</v>
      </c>
      <c r="O612" s="115">
        <v>1.25</v>
      </c>
      <c r="P612" s="115" t="s">
        <v>1803</v>
      </c>
      <c r="Q612" s="166"/>
      <c r="R612" s="164"/>
      <c r="S612" s="164"/>
      <c r="T612" s="164"/>
      <c r="U612" s="164"/>
      <c r="V612" s="162"/>
      <c r="W612" s="158"/>
      <c r="X612" s="158"/>
      <c r="Y612" s="158"/>
      <c r="Z612" s="158"/>
      <c r="AA612" s="158"/>
      <c r="AB612" s="158"/>
      <c r="AC612" s="113">
        <v>480</v>
      </c>
      <c r="AD612" s="113">
        <v>70</v>
      </c>
      <c r="AE612" s="113">
        <v>105</v>
      </c>
      <c r="AF612" s="113">
        <v>75</v>
      </c>
      <c r="AG612" s="120">
        <v>50</v>
      </c>
      <c r="AH612" s="113">
        <v>75</v>
      </c>
      <c r="AI612" s="113">
        <v>105</v>
      </c>
    </row>
    <row r="613" spans="1:35">
      <c r="A613" s="113">
        <v>550</v>
      </c>
      <c r="B613" s="113" t="s">
        <v>590</v>
      </c>
      <c r="C613" s="120" t="s">
        <v>5868</v>
      </c>
      <c r="D613" s="124">
        <v>0.5</v>
      </c>
      <c r="E613" s="124">
        <v>0.5</v>
      </c>
      <c r="F613" s="113" t="s">
        <v>2337</v>
      </c>
      <c r="G613" s="113" t="s">
        <v>2121</v>
      </c>
      <c r="H613" s="113" t="s">
        <v>25</v>
      </c>
      <c r="I613" s="113" t="s">
        <v>1109</v>
      </c>
      <c r="J613" s="118" t="s">
        <v>2129</v>
      </c>
      <c r="K613" s="118">
        <v>2</v>
      </c>
      <c r="L613" s="118" t="s">
        <v>5868</v>
      </c>
      <c r="M613" s="115" t="s">
        <v>1109</v>
      </c>
      <c r="N613" s="115" t="s">
        <v>6504</v>
      </c>
      <c r="O613" s="115">
        <v>1.25</v>
      </c>
      <c r="P613" s="115" t="s">
        <v>1109</v>
      </c>
      <c r="Q613" s="166"/>
      <c r="R613" s="164"/>
      <c r="S613" s="164"/>
      <c r="T613" s="164"/>
      <c r="U613" s="164"/>
      <c r="V613" s="162"/>
      <c r="W613" s="158"/>
      <c r="X613" s="158"/>
      <c r="Y613" s="158"/>
      <c r="Z613" s="158"/>
      <c r="AA613" s="158"/>
      <c r="AB613" s="158"/>
      <c r="AC613" s="113">
        <v>460</v>
      </c>
      <c r="AD613" s="113">
        <v>70</v>
      </c>
      <c r="AE613" s="113">
        <v>92</v>
      </c>
      <c r="AF613" s="113">
        <v>65</v>
      </c>
      <c r="AG613" s="120">
        <v>80</v>
      </c>
      <c r="AH613" s="113">
        <v>55</v>
      </c>
      <c r="AI613" s="113">
        <v>98</v>
      </c>
    </row>
    <row r="614" spans="1:35">
      <c r="A614" s="113">
        <v>551</v>
      </c>
      <c r="B614" s="113" t="s">
        <v>591</v>
      </c>
      <c r="C614" s="120" t="s">
        <v>5869</v>
      </c>
      <c r="D614" s="124">
        <v>0.5</v>
      </c>
      <c r="E614" s="124">
        <v>0.5</v>
      </c>
      <c r="F614" s="113" t="s">
        <v>2332</v>
      </c>
      <c r="G614" s="113" t="s">
        <v>2121</v>
      </c>
      <c r="H614" s="113" t="s">
        <v>49</v>
      </c>
      <c r="I614" s="113" t="s">
        <v>158</v>
      </c>
      <c r="J614" s="118" t="s">
        <v>2129</v>
      </c>
      <c r="K614" s="118">
        <v>2</v>
      </c>
      <c r="L614" s="118" t="s">
        <v>5869</v>
      </c>
      <c r="M614" s="115" t="s">
        <v>1109</v>
      </c>
      <c r="N614" s="115" t="s">
        <v>6505</v>
      </c>
      <c r="O614" s="115">
        <v>1.25</v>
      </c>
      <c r="P614" s="115" t="s">
        <v>1109</v>
      </c>
      <c r="Q614" s="166"/>
      <c r="R614" s="164"/>
      <c r="S614" s="164"/>
      <c r="T614" s="164"/>
      <c r="U614" s="164"/>
      <c r="V614" s="162"/>
      <c r="W614" s="158"/>
      <c r="X614" s="158"/>
      <c r="Y614" s="158"/>
      <c r="Z614" s="158"/>
      <c r="AA614" s="158"/>
      <c r="AB614" s="158"/>
      <c r="AC614" s="113">
        <v>292</v>
      </c>
      <c r="AD614" s="113">
        <v>50</v>
      </c>
      <c r="AE614" s="113">
        <v>72</v>
      </c>
      <c r="AF614" s="113">
        <v>35</v>
      </c>
      <c r="AG614" s="120">
        <v>35</v>
      </c>
      <c r="AH614" s="113">
        <v>35</v>
      </c>
      <c r="AI614" s="113">
        <v>65</v>
      </c>
    </row>
    <row r="615" spans="1:35">
      <c r="A615" s="113">
        <v>552</v>
      </c>
      <c r="B615" s="113" t="s">
        <v>592</v>
      </c>
      <c r="C615" s="120" t="s">
        <v>5870</v>
      </c>
      <c r="D615" s="124">
        <v>0.5</v>
      </c>
      <c r="E615" s="124">
        <v>0.5</v>
      </c>
      <c r="F615" s="113" t="s">
        <v>2332</v>
      </c>
      <c r="G615" s="113" t="s">
        <v>2121</v>
      </c>
      <c r="H615" s="113" t="s">
        <v>49</v>
      </c>
      <c r="I615" s="113" t="s">
        <v>158</v>
      </c>
      <c r="J615" s="118" t="s">
        <v>2129</v>
      </c>
      <c r="K615" s="118">
        <v>2</v>
      </c>
      <c r="L615" s="118" t="s">
        <v>5869</v>
      </c>
      <c r="M615" s="115" t="s">
        <v>5869</v>
      </c>
      <c r="N615" s="115" t="s">
        <v>6506</v>
      </c>
      <c r="O615" s="115">
        <v>1.25</v>
      </c>
      <c r="P615" s="115" t="s">
        <v>2128</v>
      </c>
      <c r="Q615" s="166"/>
      <c r="R615" s="164"/>
      <c r="S615" s="164"/>
      <c r="T615" s="164"/>
      <c r="U615" s="164"/>
      <c r="V615" s="162"/>
      <c r="W615" s="158"/>
      <c r="X615" s="158"/>
      <c r="Y615" s="158"/>
      <c r="Z615" s="158"/>
      <c r="AA615" s="158"/>
      <c r="AB615" s="158"/>
      <c r="AC615" s="113">
        <v>351</v>
      </c>
      <c r="AD615" s="113">
        <v>60</v>
      </c>
      <c r="AE615" s="113">
        <v>82</v>
      </c>
      <c r="AF615" s="113">
        <v>45</v>
      </c>
      <c r="AG615" s="120">
        <v>45</v>
      </c>
      <c r="AH615" s="113">
        <v>45</v>
      </c>
      <c r="AI615" s="113">
        <v>74</v>
      </c>
    </row>
    <row r="616" spans="1:35">
      <c r="A616" s="113">
        <v>553</v>
      </c>
      <c r="B616" s="113" t="s">
        <v>593</v>
      </c>
      <c r="C616" s="120" t="s">
        <v>5871</v>
      </c>
      <c r="D616" s="124">
        <v>0.5</v>
      </c>
      <c r="E616" s="124">
        <v>0.5</v>
      </c>
      <c r="F616" s="113" t="s">
        <v>2332</v>
      </c>
      <c r="G616" s="113" t="s">
        <v>2121</v>
      </c>
      <c r="H616" s="113" t="s">
        <v>49</v>
      </c>
      <c r="I616" s="113" t="s">
        <v>158</v>
      </c>
      <c r="J616" s="118" t="s">
        <v>2129</v>
      </c>
      <c r="K616" s="118">
        <v>2</v>
      </c>
      <c r="L616" s="118" t="s">
        <v>5869</v>
      </c>
      <c r="M616" s="115" t="s">
        <v>5870</v>
      </c>
      <c r="N616" s="115" t="s">
        <v>6504</v>
      </c>
      <c r="O616" s="115">
        <v>1.25</v>
      </c>
      <c r="P616" s="115" t="s">
        <v>2128</v>
      </c>
      <c r="Q616" s="166"/>
      <c r="R616" s="164"/>
      <c r="S616" s="164"/>
      <c r="T616" s="164"/>
      <c r="U616" s="164"/>
      <c r="V616" s="162"/>
      <c r="W616" s="158"/>
      <c r="X616" s="158"/>
      <c r="Y616" s="158"/>
      <c r="Z616" s="158"/>
      <c r="AA616" s="158"/>
      <c r="AB616" s="158"/>
      <c r="AC616" s="113">
        <v>519</v>
      </c>
      <c r="AD616" s="113">
        <v>95</v>
      </c>
      <c r="AE616" s="113">
        <v>117</v>
      </c>
      <c r="AF616" s="113">
        <v>80</v>
      </c>
      <c r="AG616" s="120">
        <v>65</v>
      </c>
      <c r="AH616" s="113">
        <v>70</v>
      </c>
      <c r="AI616" s="113">
        <v>92</v>
      </c>
    </row>
    <row r="617" spans="1:35">
      <c r="A617" s="113">
        <v>554</v>
      </c>
      <c r="B617" s="113" t="s">
        <v>594</v>
      </c>
      <c r="C617" s="120" t="s">
        <v>5872</v>
      </c>
      <c r="D617" s="124">
        <v>0.5</v>
      </c>
      <c r="E617" s="124">
        <v>0.5</v>
      </c>
      <c r="F617" s="113" t="s">
        <v>2332</v>
      </c>
      <c r="G617" s="113" t="s">
        <v>2121</v>
      </c>
      <c r="H617" s="113" t="s">
        <v>19</v>
      </c>
      <c r="I617" s="113" t="s">
        <v>1109</v>
      </c>
      <c r="J617" s="118" t="s">
        <v>2129</v>
      </c>
      <c r="K617" s="118">
        <v>2</v>
      </c>
      <c r="L617" s="118" t="s">
        <v>5872</v>
      </c>
      <c r="M617" s="115" t="s">
        <v>1109</v>
      </c>
      <c r="N617" s="115" t="s">
        <v>6505</v>
      </c>
      <c r="O617" s="115">
        <v>1.25</v>
      </c>
      <c r="P617" s="115" t="s">
        <v>1109</v>
      </c>
      <c r="Q617" s="166"/>
      <c r="R617" s="164"/>
      <c r="S617" s="164"/>
      <c r="T617" s="164"/>
      <c r="U617" s="164"/>
      <c r="V617" s="162"/>
      <c r="W617" s="158"/>
      <c r="X617" s="158"/>
      <c r="Y617" s="158"/>
      <c r="Z617" s="158"/>
      <c r="AA617" s="158"/>
      <c r="AB617" s="158"/>
      <c r="AC617" s="113">
        <v>315</v>
      </c>
      <c r="AD617" s="113">
        <v>70</v>
      </c>
      <c r="AE617" s="113">
        <v>90</v>
      </c>
      <c r="AF617" s="113">
        <v>45</v>
      </c>
      <c r="AG617" s="120">
        <v>15</v>
      </c>
      <c r="AH617" s="113">
        <v>45</v>
      </c>
      <c r="AI617" s="113">
        <v>50</v>
      </c>
    </row>
    <row r="618" spans="1:35">
      <c r="A618" s="113">
        <v>554</v>
      </c>
      <c r="B618" s="113" t="s">
        <v>6448</v>
      </c>
      <c r="C618" s="120" t="s">
        <v>5873</v>
      </c>
      <c r="D618" s="124">
        <v>0.5</v>
      </c>
      <c r="E618" s="124">
        <v>0.5</v>
      </c>
      <c r="F618" s="113" t="s">
        <v>2332</v>
      </c>
      <c r="G618" s="113" t="s">
        <v>2703</v>
      </c>
      <c r="H618" s="113" t="s">
        <v>113</v>
      </c>
      <c r="I618" s="113" t="s">
        <v>1109</v>
      </c>
      <c r="J618" s="118" t="s">
        <v>2129</v>
      </c>
      <c r="K618" s="118">
        <v>2</v>
      </c>
      <c r="L618" s="118" t="s">
        <v>5872</v>
      </c>
      <c r="M618" s="115" t="s">
        <v>1109</v>
      </c>
      <c r="N618" s="115" t="s">
        <v>6505</v>
      </c>
      <c r="O618" s="115">
        <v>1.25</v>
      </c>
      <c r="P618" s="115" t="s">
        <v>1109</v>
      </c>
      <c r="Q618" s="166"/>
      <c r="R618" s="164"/>
      <c r="S618" s="164"/>
      <c r="T618" s="164"/>
      <c r="U618" s="164"/>
      <c r="V618" s="162"/>
      <c r="W618" s="158"/>
      <c r="X618" s="158"/>
      <c r="Y618" s="158"/>
      <c r="Z618" s="158"/>
      <c r="AA618" s="158"/>
      <c r="AB618" s="158"/>
      <c r="AC618" s="113">
        <v>315</v>
      </c>
      <c r="AD618" s="113">
        <v>70</v>
      </c>
      <c r="AE618" s="113">
        <v>90</v>
      </c>
      <c r="AF618" s="113">
        <v>45</v>
      </c>
      <c r="AG618" s="120">
        <v>15</v>
      </c>
      <c r="AH618" s="113">
        <v>45</v>
      </c>
      <c r="AI618" s="113">
        <v>50</v>
      </c>
    </row>
    <row r="619" spans="1:35">
      <c r="A619" s="113">
        <v>555</v>
      </c>
      <c r="B619" s="113" t="s">
        <v>2996</v>
      </c>
      <c r="C619" s="120" t="s">
        <v>5876</v>
      </c>
      <c r="D619" s="124">
        <v>0.5</v>
      </c>
      <c r="E619" s="124">
        <v>0.5</v>
      </c>
      <c r="F619" s="113" t="s">
        <v>2332</v>
      </c>
      <c r="G619" s="113" t="s">
        <v>2121</v>
      </c>
      <c r="H619" s="113" t="s">
        <v>19</v>
      </c>
      <c r="I619" s="113" t="s">
        <v>1109</v>
      </c>
      <c r="J619" s="118" t="s">
        <v>2129</v>
      </c>
      <c r="K619" s="118">
        <v>2</v>
      </c>
      <c r="L619" s="118" t="s">
        <v>5872</v>
      </c>
      <c r="M619" s="115" t="s">
        <v>5872</v>
      </c>
      <c r="N619" s="115" t="s">
        <v>6504</v>
      </c>
      <c r="O619" s="115">
        <v>1.25</v>
      </c>
      <c r="P619" s="115" t="s">
        <v>2128</v>
      </c>
      <c r="Q619" s="166"/>
      <c r="R619" s="164"/>
      <c r="S619" s="164"/>
      <c r="T619" s="164"/>
      <c r="U619" s="164"/>
      <c r="V619" s="162"/>
      <c r="W619" s="158"/>
      <c r="X619" s="158"/>
      <c r="Y619" s="158"/>
      <c r="Z619" s="158"/>
      <c r="AA619" s="158"/>
      <c r="AB619" s="158"/>
      <c r="AC619" s="113">
        <v>480</v>
      </c>
      <c r="AD619" s="113">
        <v>105</v>
      </c>
      <c r="AE619" s="113">
        <v>140</v>
      </c>
      <c r="AF619" s="113">
        <v>55</v>
      </c>
      <c r="AG619" s="120">
        <v>30</v>
      </c>
      <c r="AH619" s="113">
        <v>55</v>
      </c>
      <c r="AI619" s="113">
        <v>95</v>
      </c>
    </row>
    <row r="620" spans="1:35">
      <c r="A620" s="113">
        <v>555</v>
      </c>
      <c r="B620" s="113" t="s">
        <v>2998</v>
      </c>
      <c r="C620" s="120" t="s">
        <v>5877</v>
      </c>
      <c r="D620" s="124">
        <v>0.5</v>
      </c>
      <c r="E620" s="124">
        <v>0.5</v>
      </c>
      <c r="F620" s="113" t="s">
        <v>2332</v>
      </c>
      <c r="G620" s="113" t="s">
        <v>2121</v>
      </c>
      <c r="H620" s="113" t="s">
        <v>19</v>
      </c>
      <c r="I620" s="113" t="s">
        <v>1109</v>
      </c>
      <c r="J620" s="118" t="s">
        <v>2129</v>
      </c>
      <c r="K620" s="118">
        <v>2</v>
      </c>
      <c r="L620" s="118" t="s">
        <v>5872</v>
      </c>
      <c r="M620" s="115" t="s">
        <v>5872</v>
      </c>
      <c r="N620" s="115" t="s">
        <v>6504</v>
      </c>
      <c r="O620" s="115">
        <v>1.25</v>
      </c>
      <c r="P620" s="115" t="s">
        <v>1109</v>
      </c>
      <c r="Q620" s="166"/>
      <c r="R620" s="164"/>
      <c r="S620" s="164"/>
      <c r="T620" s="164"/>
      <c r="U620" s="164"/>
      <c r="V620" s="162"/>
      <c r="W620" s="158"/>
      <c r="X620" s="158"/>
      <c r="Y620" s="158"/>
      <c r="Z620" s="158"/>
      <c r="AA620" s="158"/>
      <c r="AB620" s="158"/>
      <c r="AC620" s="113">
        <v>540</v>
      </c>
      <c r="AD620" s="113">
        <v>105</v>
      </c>
      <c r="AE620" s="113">
        <v>30</v>
      </c>
      <c r="AF620" s="113">
        <v>105</v>
      </c>
      <c r="AG620" s="120">
        <v>140</v>
      </c>
      <c r="AH620" s="113">
        <v>105</v>
      </c>
      <c r="AI620" s="113">
        <v>55</v>
      </c>
    </row>
    <row r="621" spans="1:35">
      <c r="A621" s="113">
        <v>555</v>
      </c>
      <c r="B621" s="113" t="s">
        <v>6446</v>
      </c>
      <c r="C621" s="120" t="s">
        <v>5874</v>
      </c>
      <c r="D621" s="124">
        <v>0.5</v>
      </c>
      <c r="E621" s="124">
        <v>0.5</v>
      </c>
      <c r="F621" s="113" t="s">
        <v>2332</v>
      </c>
      <c r="G621" s="113" t="s">
        <v>2703</v>
      </c>
      <c r="H621" s="113" t="s">
        <v>113</v>
      </c>
      <c r="I621" s="113" t="s">
        <v>1109</v>
      </c>
      <c r="J621" s="118" t="s">
        <v>2129</v>
      </c>
      <c r="K621" s="118">
        <v>2</v>
      </c>
      <c r="L621" s="118" t="s">
        <v>5872</v>
      </c>
      <c r="M621" s="113" t="s">
        <v>5873</v>
      </c>
      <c r="N621" s="115" t="s">
        <v>6504</v>
      </c>
      <c r="O621" s="115">
        <v>1.25</v>
      </c>
      <c r="P621" s="115" t="s">
        <v>2128</v>
      </c>
      <c r="Q621" s="166"/>
      <c r="R621" s="164"/>
      <c r="S621" s="164"/>
      <c r="T621" s="164"/>
      <c r="U621" s="164"/>
      <c r="V621" s="162"/>
      <c r="W621" s="158"/>
      <c r="X621" s="158"/>
      <c r="Y621" s="158"/>
      <c r="Z621" s="158"/>
      <c r="AA621" s="158"/>
      <c r="AB621" s="158"/>
      <c r="AC621" s="113">
        <v>480</v>
      </c>
      <c r="AD621" s="113">
        <v>105</v>
      </c>
      <c r="AE621" s="113">
        <v>140</v>
      </c>
      <c r="AF621" s="113">
        <v>55</v>
      </c>
      <c r="AG621" s="120">
        <v>30</v>
      </c>
      <c r="AH621" s="113">
        <v>55</v>
      </c>
      <c r="AI621" s="113">
        <v>95</v>
      </c>
    </row>
    <row r="622" spans="1:35">
      <c r="A622" s="113">
        <v>555</v>
      </c>
      <c r="B622" s="113" t="s">
        <v>6447</v>
      </c>
      <c r="C622" s="120" t="s">
        <v>5875</v>
      </c>
      <c r="D622" s="124">
        <v>0.5</v>
      </c>
      <c r="E622" s="124">
        <v>0.5</v>
      </c>
      <c r="F622" s="113" t="s">
        <v>2332</v>
      </c>
      <c r="G622" s="113" t="s">
        <v>2703</v>
      </c>
      <c r="H622" s="113" t="s">
        <v>113</v>
      </c>
      <c r="I622" s="113" t="s">
        <v>19</v>
      </c>
      <c r="J622" s="118" t="s">
        <v>2129</v>
      </c>
      <c r="K622" s="118">
        <v>2</v>
      </c>
      <c r="L622" s="118" t="s">
        <v>5872</v>
      </c>
      <c r="M622" s="120" t="s">
        <v>5873</v>
      </c>
      <c r="N622" s="115" t="s">
        <v>6504</v>
      </c>
      <c r="O622" s="115">
        <v>1.25</v>
      </c>
      <c r="P622" s="115" t="s">
        <v>1109</v>
      </c>
      <c r="Q622" s="166"/>
      <c r="R622" s="164"/>
      <c r="S622" s="164"/>
      <c r="T622" s="164"/>
      <c r="U622" s="164"/>
      <c r="V622" s="162"/>
      <c r="W622" s="158"/>
      <c r="X622" s="158"/>
      <c r="Y622" s="158"/>
      <c r="Z622" s="158"/>
      <c r="AA622" s="158"/>
      <c r="AB622" s="158"/>
      <c r="AC622" s="113">
        <v>540</v>
      </c>
      <c r="AD622" s="113">
        <v>105</v>
      </c>
      <c r="AE622" s="113">
        <v>160</v>
      </c>
      <c r="AF622" s="113">
        <v>55</v>
      </c>
      <c r="AG622" s="120">
        <v>30</v>
      </c>
      <c r="AH622" s="113">
        <v>55</v>
      </c>
      <c r="AI622" s="113">
        <v>135</v>
      </c>
    </row>
    <row r="623" spans="1:35">
      <c r="A623" s="113">
        <v>556</v>
      </c>
      <c r="B623" s="113" t="s">
        <v>597</v>
      </c>
      <c r="C623" s="120" t="s">
        <v>5878</v>
      </c>
      <c r="D623" s="124">
        <v>0.5</v>
      </c>
      <c r="E623" s="124">
        <v>0.5</v>
      </c>
      <c r="F623" s="113" t="s">
        <v>14</v>
      </c>
      <c r="G623" s="113" t="s">
        <v>2121</v>
      </c>
      <c r="H623" s="113" t="s">
        <v>14</v>
      </c>
      <c r="I623" s="113" t="s">
        <v>1109</v>
      </c>
      <c r="J623" s="118" t="s">
        <v>2129</v>
      </c>
      <c r="K623" s="118">
        <v>3</v>
      </c>
      <c r="L623" s="118" t="s">
        <v>5878</v>
      </c>
      <c r="M623" s="115" t="s">
        <v>1109</v>
      </c>
      <c r="N623" s="115" t="s">
        <v>6504</v>
      </c>
      <c r="O623" s="115">
        <v>1.5</v>
      </c>
      <c r="P623" s="115" t="s">
        <v>1109</v>
      </c>
      <c r="Q623" s="166"/>
      <c r="R623" s="164"/>
      <c r="S623" s="164"/>
      <c r="T623" s="164"/>
      <c r="U623" s="164"/>
      <c r="V623" s="162"/>
      <c r="W623" s="158"/>
      <c r="X623" s="158"/>
      <c r="Y623" s="158"/>
      <c r="Z623" s="158"/>
      <c r="AA623" s="158"/>
      <c r="AB623" s="158"/>
      <c r="AC623" s="113">
        <v>461</v>
      </c>
      <c r="AD623" s="113">
        <v>75</v>
      </c>
      <c r="AE623" s="113">
        <v>86</v>
      </c>
      <c r="AF623" s="113">
        <v>67</v>
      </c>
      <c r="AG623" s="120">
        <v>106</v>
      </c>
      <c r="AH623" s="113">
        <v>67</v>
      </c>
      <c r="AI623" s="113">
        <v>60</v>
      </c>
    </row>
    <row r="624" spans="1:35">
      <c r="A624" s="113">
        <v>557</v>
      </c>
      <c r="B624" s="113" t="s">
        <v>598</v>
      </c>
      <c r="C624" s="120" t="s">
        <v>5879</v>
      </c>
      <c r="D624" s="124">
        <v>0.5</v>
      </c>
      <c r="E624" s="124">
        <v>0.5</v>
      </c>
      <c r="F624" s="113" t="s">
        <v>2112</v>
      </c>
      <c r="G624" s="113" t="s">
        <v>2121</v>
      </c>
      <c r="H624" s="113" t="s">
        <v>29</v>
      </c>
      <c r="I624" s="113" t="s">
        <v>98</v>
      </c>
      <c r="J624" s="118" t="s">
        <v>2129</v>
      </c>
      <c r="K624" s="118">
        <v>2</v>
      </c>
      <c r="L624" s="118" t="s">
        <v>5879</v>
      </c>
      <c r="M624" s="115" t="s">
        <v>1109</v>
      </c>
      <c r="N624" s="115" t="s">
        <v>6505</v>
      </c>
      <c r="O624" s="115">
        <v>1.25</v>
      </c>
      <c r="P624" s="115" t="s">
        <v>1109</v>
      </c>
      <c r="Q624" s="166"/>
      <c r="R624" s="164"/>
      <c r="S624" s="164"/>
      <c r="T624" s="164"/>
      <c r="U624" s="164"/>
      <c r="V624" s="162"/>
      <c r="W624" s="158"/>
      <c r="X624" s="158"/>
      <c r="Y624" s="158"/>
      <c r="Z624" s="158"/>
      <c r="AA624" s="158"/>
      <c r="AB624" s="158"/>
      <c r="AC624" s="113">
        <v>325</v>
      </c>
      <c r="AD624" s="113">
        <v>50</v>
      </c>
      <c r="AE624" s="113">
        <v>65</v>
      </c>
      <c r="AF624" s="113">
        <v>85</v>
      </c>
      <c r="AG624" s="120">
        <v>35</v>
      </c>
      <c r="AH624" s="113">
        <v>35</v>
      </c>
      <c r="AI624" s="113">
        <v>55</v>
      </c>
    </row>
    <row r="625" spans="1:35">
      <c r="A625" s="113">
        <v>558</v>
      </c>
      <c r="B625" s="113" t="s">
        <v>599</v>
      </c>
      <c r="C625" s="120" t="s">
        <v>5880</v>
      </c>
      <c r="D625" s="124">
        <v>0.5</v>
      </c>
      <c r="E625" s="124">
        <v>0.5</v>
      </c>
      <c r="F625" s="113" t="s">
        <v>2112</v>
      </c>
      <c r="G625" s="113" t="s">
        <v>2121</v>
      </c>
      <c r="H625" s="113" t="s">
        <v>29</v>
      </c>
      <c r="I625" s="113" t="s">
        <v>98</v>
      </c>
      <c r="J625" s="118" t="s">
        <v>2129</v>
      </c>
      <c r="K625" s="118">
        <v>2</v>
      </c>
      <c r="L625" s="118" t="s">
        <v>5879</v>
      </c>
      <c r="M625" s="115" t="s">
        <v>5879</v>
      </c>
      <c r="N625" s="115" t="s">
        <v>6504</v>
      </c>
      <c r="O625" s="115">
        <v>1.25</v>
      </c>
      <c r="P625" s="115" t="s">
        <v>2128</v>
      </c>
      <c r="Q625" s="166"/>
      <c r="R625" s="164"/>
      <c r="S625" s="164"/>
      <c r="T625" s="164"/>
      <c r="U625" s="164"/>
      <c r="V625" s="162"/>
      <c r="W625" s="158"/>
      <c r="X625" s="158"/>
      <c r="Y625" s="158"/>
      <c r="Z625" s="158"/>
      <c r="AA625" s="158"/>
      <c r="AB625" s="158"/>
      <c r="AC625" s="113">
        <v>485</v>
      </c>
      <c r="AD625" s="113">
        <v>70</v>
      </c>
      <c r="AE625" s="113">
        <v>105</v>
      </c>
      <c r="AF625" s="113">
        <v>125</v>
      </c>
      <c r="AG625" s="120">
        <v>65</v>
      </c>
      <c r="AH625" s="113">
        <v>75</v>
      </c>
      <c r="AI625" s="113">
        <v>45</v>
      </c>
    </row>
    <row r="626" spans="1:35">
      <c r="A626" s="113">
        <v>559</v>
      </c>
      <c r="B626" s="113" t="s">
        <v>600</v>
      </c>
      <c r="C626" s="120" t="s">
        <v>5881</v>
      </c>
      <c r="D626" s="124">
        <v>0.5</v>
      </c>
      <c r="E626" s="124">
        <v>0.5</v>
      </c>
      <c r="F626" s="113" t="s">
        <v>2332</v>
      </c>
      <c r="G626" s="113" t="s">
        <v>2121</v>
      </c>
      <c r="H626" s="113" t="s">
        <v>158</v>
      </c>
      <c r="I626" s="113" t="s">
        <v>78</v>
      </c>
      <c r="J626" s="118" t="s">
        <v>2129</v>
      </c>
      <c r="K626" s="118">
        <v>2</v>
      </c>
      <c r="L626" s="118" t="s">
        <v>5881</v>
      </c>
      <c r="M626" s="115" t="s">
        <v>1109</v>
      </c>
      <c r="N626" s="115" t="s">
        <v>6505</v>
      </c>
      <c r="O626" s="115">
        <v>1.25</v>
      </c>
      <c r="P626" s="115" t="s">
        <v>1109</v>
      </c>
      <c r="Q626" s="166"/>
      <c r="R626" s="164"/>
      <c r="S626" s="164"/>
      <c r="T626" s="164"/>
      <c r="U626" s="164"/>
      <c r="V626" s="162"/>
      <c r="W626" s="158"/>
      <c r="X626" s="158"/>
      <c r="Y626" s="158"/>
      <c r="Z626" s="158"/>
      <c r="AA626" s="158"/>
      <c r="AB626" s="158"/>
      <c r="AC626" s="113">
        <v>348</v>
      </c>
      <c r="AD626" s="113">
        <v>50</v>
      </c>
      <c r="AE626" s="113">
        <v>75</v>
      </c>
      <c r="AF626" s="113">
        <v>70</v>
      </c>
      <c r="AG626" s="120">
        <v>35</v>
      </c>
      <c r="AH626" s="113">
        <v>70</v>
      </c>
      <c r="AI626" s="113">
        <v>48</v>
      </c>
    </row>
    <row r="627" spans="1:35">
      <c r="A627" s="113">
        <v>560</v>
      </c>
      <c r="B627" s="113" t="s">
        <v>601</v>
      </c>
      <c r="C627" s="120" t="s">
        <v>5882</v>
      </c>
      <c r="D627" s="124">
        <v>0.5</v>
      </c>
      <c r="E627" s="124">
        <v>0.5</v>
      </c>
      <c r="F627" s="113" t="s">
        <v>2332</v>
      </c>
      <c r="G627" s="113" t="s">
        <v>2121</v>
      </c>
      <c r="H627" s="113" t="s">
        <v>158</v>
      </c>
      <c r="I627" s="113" t="s">
        <v>78</v>
      </c>
      <c r="J627" s="118" t="s">
        <v>2129</v>
      </c>
      <c r="K627" s="118">
        <v>2</v>
      </c>
      <c r="L627" s="118" t="s">
        <v>5881</v>
      </c>
      <c r="M627" s="115" t="s">
        <v>5881</v>
      </c>
      <c r="N627" s="115" t="s">
        <v>6504</v>
      </c>
      <c r="O627" s="115">
        <v>1.25</v>
      </c>
      <c r="P627" s="115" t="s">
        <v>2128</v>
      </c>
      <c r="Q627" s="166"/>
      <c r="R627" s="164"/>
      <c r="S627" s="164"/>
      <c r="T627" s="164"/>
      <c r="U627" s="164"/>
      <c r="V627" s="162"/>
      <c r="W627" s="158"/>
      <c r="X627" s="158"/>
      <c r="Y627" s="158"/>
      <c r="Z627" s="158"/>
      <c r="AA627" s="158"/>
      <c r="AB627" s="158"/>
      <c r="AC627" s="113">
        <v>488</v>
      </c>
      <c r="AD627" s="113">
        <v>65</v>
      </c>
      <c r="AE627" s="113">
        <v>90</v>
      </c>
      <c r="AF627" s="113">
        <v>115</v>
      </c>
      <c r="AG627" s="120">
        <v>45</v>
      </c>
      <c r="AH627" s="113">
        <v>115</v>
      </c>
      <c r="AI627" s="113">
        <v>58</v>
      </c>
    </row>
    <row r="628" spans="1:35">
      <c r="A628" s="113">
        <v>561</v>
      </c>
      <c r="B628" s="113" t="s">
        <v>602</v>
      </c>
      <c r="C628" s="120" t="s">
        <v>5883</v>
      </c>
      <c r="D628" s="124">
        <v>0.5</v>
      </c>
      <c r="E628" s="124">
        <v>0.5</v>
      </c>
      <c r="F628" s="113" t="s">
        <v>22</v>
      </c>
      <c r="G628" s="113" t="s">
        <v>2121</v>
      </c>
      <c r="H628" s="113" t="s">
        <v>86</v>
      </c>
      <c r="I628" s="113" t="s">
        <v>22</v>
      </c>
      <c r="J628" s="118" t="s">
        <v>2129</v>
      </c>
      <c r="K628" s="118">
        <v>3</v>
      </c>
      <c r="L628" s="118" t="s">
        <v>5883</v>
      </c>
      <c r="M628" s="115" t="s">
        <v>1109</v>
      </c>
      <c r="N628" s="115" t="s">
        <v>6504</v>
      </c>
      <c r="O628" s="115">
        <v>1.5</v>
      </c>
      <c r="P628" s="115" t="s">
        <v>1109</v>
      </c>
      <c r="Q628" s="166"/>
      <c r="R628" s="164"/>
      <c r="S628" s="164"/>
      <c r="T628" s="164"/>
      <c r="U628" s="164"/>
      <c r="V628" s="162"/>
      <c r="W628" s="158"/>
      <c r="X628" s="158"/>
      <c r="Y628" s="158"/>
      <c r="Z628" s="158"/>
      <c r="AA628" s="158"/>
      <c r="AB628" s="158"/>
      <c r="AC628" s="113">
        <v>490</v>
      </c>
      <c r="AD628" s="113">
        <v>72</v>
      </c>
      <c r="AE628" s="113">
        <v>58</v>
      </c>
      <c r="AF628" s="113">
        <v>80</v>
      </c>
      <c r="AG628" s="120">
        <v>103</v>
      </c>
      <c r="AH628" s="113">
        <v>80</v>
      </c>
      <c r="AI628" s="113">
        <v>97</v>
      </c>
    </row>
    <row r="629" spans="1:35">
      <c r="A629" s="113">
        <v>562</v>
      </c>
      <c r="B629" s="113" t="s">
        <v>603</v>
      </c>
      <c r="C629" s="120" t="s">
        <v>5884</v>
      </c>
      <c r="D629" s="124">
        <v>0.5</v>
      </c>
      <c r="E629" s="124">
        <v>0.5</v>
      </c>
      <c r="F629" s="113" t="s">
        <v>2336</v>
      </c>
      <c r="G629" s="113" t="s">
        <v>2121</v>
      </c>
      <c r="H629" s="113" t="s">
        <v>119</v>
      </c>
      <c r="I629" s="113" t="s">
        <v>1109</v>
      </c>
      <c r="J629" s="118" t="s">
        <v>2129</v>
      </c>
      <c r="K629" s="118">
        <v>2</v>
      </c>
      <c r="L629" s="118" t="s">
        <v>5884</v>
      </c>
      <c r="M629" s="115" t="s">
        <v>1109</v>
      </c>
      <c r="N629" s="115" t="s">
        <v>6505</v>
      </c>
      <c r="O629" s="115">
        <v>1.25</v>
      </c>
      <c r="P629" s="115" t="s">
        <v>1109</v>
      </c>
      <c r="Q629" s="166"/>
      <c r="R629" s="164"/>
      <c r="S629" s="164"/>
      <c r="T629" s="164"/>
      <c r="U629" s="164"/>
      <c r="V629" s="162"/>
      <c r="W629" s="158"/>
      <c r="X629" s="158"/>
      <c r="Y629" s="158"/>
      <c r="Z629" s="158"/>
      <c r="AA629" s="158"/>
      <c r="AB629" s="158"/>
      <c r="AC629" s="113">
        <v>303</v>
      </c>
      <c r="AD629" s="113">
        <v>38</v>
      </c>
      <c r="AE629" s="113">
        <v>30</v>
      </c>
      <c r="AF629" s="113">
        <v>85</v>
      </c>
      <c r="AG629" s="120">
        <v>55</v>
      </c>
      <c r="AH629" s="113">
        <v>65</v>
      </c>
      <c r="AI629" s="113">
        <v>30</v>
      </c>
    </row>
    <row r="630" spans="1:35">
      <c r="A630" s="113">
        <v>562</v>
      </c>
      <c r="B630" s="113" t="s">
        <v>6458</v>
      </c>
      <c r="C630" s="120" t="s">
        <v>5885</v>
      </c>
      <c r="D630" s="124">
        <v>0.5</v>
      </c>
      <c r="E630" s="124">
        <v>0.5</v>
      </c>
      <c r="F630" s="113" t="s">
        <v>2336</v>
      </c>
      <c r="G630" s="113" t="s">
        <v>2703</v>
      </c>
      <c r="H630" s="113" t="s">
        <v>49</v>
      </c>
      <c r="I630" s="113" t="s">
        <v>119</v>
      </c>
      <c r="J630" s="118" t="s">
        <v>2129</v>
      </c>
      <c r="K630" s="118">
        <v>2</v>
      </c>
      <c r="L630" s="118" t="s">
        <v>5884</v>
      </c>
      <c r="M630" s="115" t="s">
        <v>1109</v>
      </c>
      <c r="N630" s="115" t="s">
        <v>6505</v>
      </c>
      <c r="O630" s="115">
        <v>1.25</v>
      </c>
      <c r="P630" s="115" t="s">
        <v>1109</v>
      </c>
      <c r="Q630" s="166"/>
      <c r="R630" s="164"/>
      <c r="S630" s="164"/>
      <c r="T630" s="164"/>
      <c r="U630" s="164"/>
      <c r="V630" s="162"/>
      <c r="W630" s="158"/>
      <c r="X630" s="158"/>
      <c r="Y630" s="158"/>
      <c r="Z630" s="158"/>
      <c r="AA630" s="158"/>
      <c r="AB630" s="158"/>
      <c r="AC630" s="113">
        <v>303</v>
      </c>
      <c r="AD630" s="113">
        <v>38</v>
      </c>
      <c r="AE630" s="113">
        <v>55</v>
      </c>
      <c r="AF630" s="113">
        <v>85</v>
      </c>
      <c r="AG630" s="120">
        <v>30</v>
      </c>
      <c r="AH630" s="113">
        <v>65</v>
      </c>
      <c r="AI630" s="113">
        <v>30</v>
      </c>
    </row>
    <row r="631" spans="1:35">
      <c r="A631" s="113">
        <v>563</v>
      </c>
      <c r="B631" s="113" t="s">
        <v>604</v>
      </c>
      <c r="C631" s="120" t="s">
        <v>5886</v>
      </c>
      <c r="D631" s="124">
        <v>0.5</v>
      </c>
      <c r="E631" s="124">
        <v>0.5</v>
      </c>
      <c r="F631" s="113" t="s">
        <v>2336</v>
      </c>
      <c r="G631" s="113" t="s">
        <v>2121</v>
      </c>
      <c r="H631" s="113" t="s">
        <v>119</v>
      </c>
      <c r="I631" s="113" t="s">
        <v>1109</v>
      </c>
      <c r="J631" s="118" t="s">
        <v>2129</v>
      </c>
      <c r="K631" s="118">
        <v>2</v>
      </c>
      <c r="L631" s="118" t="s">
        <v>5884</v>
      </c>
      <c r="M631" s="115" t="s">
        <v>5884</v>
      </c>
      <c r="N631" s="115" t="s">
        <v>6504</v>
      </c>
      <c r="O631" s="115">
        <v>1.25</v>
      </c>
      <c r="P631" s="115" t="s">
        <v>2128</v>
      </c>
      <c r="Q631" s="166"/>
      <c r="R631" s="164"/>
      <c r="S631" s="164"/>
      <c r="T631" s="164"/>
      <c r="U631" s="164"/>
      <c r="V631" s="162"/>
      <c r="W631" s="158"/>
      <c r="X631" s="158"/>
      <c r="Y631" s="158"/>
      <c r="Z631" s="158"/>
      <c r="AA631" s="158"/>
      <c r="AB631" s="158"/>
      <c r="AC631" s="113">
        <v>483</v>
      </c>
      <c r="AD631" s="113">
        <v>58</v>
      </c>
      <c r="AE631" s="113">
        <v>50</v>
      </c>
      <c r="AF631" s="113">
        <v>145</v>
      </c>
      <c r="AG631" s="120">
        <v>95</v>
      </c>
      <c r="AH631" s="113">
        <v>105</v>
      </c>
      <c r="AI631" s="113">
        <v>30</v>
      </c>
    </row>
    <row r="632" spans="1:35">
      <c r="A632" s="113">
        <v>564</v>
      </c>
      <c r="B632" s="113" t="s">
        <v>605</v>
      </c>
      <c r="C632" s="120" t="s">
        <v>5887</v>
      </c>
      <c r="D632" s="124">
        <v>0.85</v>
      </c>
      <c r="E632" s="124">
        <v>0.15</v>
      </c>
      <c r="F632" s="113" t="s">
        <v>2335</v>
      </c>
      <c r="G632" s="113" t="s">
        <v>2121</v>
      </c>
      <c r="H632" s="113" t="s">
        <v>25</v>
      </c>
      <c r="I632" s="113" t="s">
        <v>98</v>
      </c>
      <c r="J632" s="118" t="s">
        <v>2129</v>
      </c>
      <c r="K632" s="118">
        <v>3</v>
      </c>
      <c r="L632" s="118" t="s">
        <v>5887</v>
      </c>
      <c r="M632" s="115" t="s">
        <v>1109</v>
      </c>
      <c r="N632" s="115" t="s">
        <v>6505</v>
      </c>
      <c r="O632" s="115">
        <v>1.5</v>
      </c>
      <c r="P632" s="115" t="s">
        <v>1109</v>
      </c>
      <c r="Q632" s="166"/>
      <c r="R632" s="164"/>
      <c r="S632" s="164"/>
      <c r="T632" s="164"/>
      <c r="U632" s="164"/>
      <c r="V632" s="162"/>
      <c r="W632" s="158"/>
      <c r="X632" s="158"/>
      <c r="Y632" s="158"/>
      <c r="Z632" s="158"/>
      <c r="AA632" s="158"/>
      <c r="AB632" s="158"/>
      <c r="AC632" s="113">
        <v>355</v>
      </c>
      <c r="AD632" s="113">
        <v>54</v>
      </c>
      <c r="AE632" s="113">
        <v>78</v>
      </c>
      <c r="AF632" s="113">
        <v>103</v>
      </c>
      <c r="AG632" s="120">
        <v>53</v>
      </c>
      <c r="AH632" s="113">
        <v>45</v>
      </c>
      <c r="AI632" s="113">
        <v>22</v>
      </c>
    </row>
    <row r="633" spans="1:35">
      <c r="A633" s="113">
        <v>565</v>
      </c>
      <c r="B633" s="113" t="s">
        <v>606</v>
      </c>
      <c r="C633" s="120" t="s">
        <v>5888</v>
      </c>
      <c r="D633" s="124">
        <v>0.85</v>
      </c>
      <c r="E633" s="124">
        <v>0.15</v>
      </c>
      <c r="F633" s="113" t="s">
        <v>2335</v>
      </c>
      <c r="G633" s="113" t="s">
        <v>2121</v>
      </c>
      <c r="H633" s="113" t="s">
        <v>25</v>
      </c>
      <c r="I633" s="113" t="s">
        <v>98</v>
      </c>
      <c r="J633" s="118" t="s">
        <v>2129</v>
      </c>
      <c r="K633" s="118">
        <v>3</v>
      </c>
      <c r="L633" s="118" t="s">
        <v>5887</v>
      </c>
      <c r="M633" s="115" t="s">
        <v>5887</v>
      </c>
      <c r="N633" s="115" t="s">
        <v>6504</v>
      </c>
      <c r="O633" s="115">
        <v>1.5</v>
      </c>
      <c r="P633" s="115" t="s">
        <v>2128</v>
      </c>
      <c r="Q633" s="166"/>
      <c r="R633" s="164"/>
      <c r="S633" s="164"/>
      <c r="T633" s="164"/>
      <c r="U633" s="164"/>
      <c r="V633" s="162"/>
      <c r="W633" s="158"/>
      <c r="X633" s="158"/>
      <c r="Y633" s="158"/>
      <c r="Z633" s="158"/>
      <c r="AA633" s="158"/>
      <c r="AB633" s="158"/>
      <c r="AC633" s="113">
        <v>495</v>
      </c>
      <c r="AD633" s="113">
        <v>74</v>
      </c>
      <c r="AE633" s="113">
        <v>108</v>
      </c>
      <c r="AF633" s="113">
        <v>133</v>
      </c>
      <c r="AG633" s="120">
        <v>83</v>
      </c>
      <c r="AH633" s="113">
        <v>65</v>
      </c>
      <c r="AI633" s="113">
        <v>32</v>
      </c>
    </row>
    <row r="634" spans="1:35">
      <c r="A634" s="113">
        <v>566</v>
      </c>
      <c r="B634" s="113" t="s">
        <v>607</v>
      </c>
      <c r="C634" s="120" t="s">
        <v>5889</v>
      </c>
      <c r="D634" s="124">
        <v>0.85</v>
      </c>
      <c r="E634" s="124">
        <v>0.15</v>
      </c>
      <c r="F634" s="113" t="s">
        <v>22</v>
      </c>
      <c r="G634" s="113" t="s">
        <v>2121</v>
      </c>
      <c r="H634" s="113" t="s">
        <v>98</v>
      </c>
      <c r="I634" s="113" t="s">
        <v>22</v>
      </c>
      <c r="J634" s="118" t="s">
        <v>2129</v>
      </c>
      <c r="K634" s="118">
        <v>3</v>
      </c>
      <c r="L634" s="118" t="s">
        <v>5889</v>
      </c>
      <c r="M634" s="115" t="s">
        <v>1109</v>
      </c>
      <c r="N634" s="115" t="s">
        <v>6505</v>
      </c>
      <c r="O634" s="115">
        <v>1.5</v>
      </c>
      <c r="P634" s="115" t="s">
        <v>1109</v>
      </c>
      <c r="Q634" s="166"/>
      <c r="R634" s="164"/>
      <c r="S634" s="164"/>
      <c r="T634" s="164"/>
      <c r="U634" s="164"/>
      <c r="V634" s="162"/>
      <c r="W634" s="158"/>
      <c r="X634" s="158"/>
      <c r="Y634" s="158"/>
      <c r="Z634" s="158"/>
      <c r="AA634" s="158"/>
      <c r="AB634" s="158"/>
      <c r="AC634" s="113">
        <v>401</v>
      </c>
      <c r="AD634" s="113">
        <v>55</v>
      </c>
      <c r="AE634" s="113">
        <v>112</v>
      </c>
      <c r="AF634" s="113">
        <v>45</v>
      </c>
      <c r="AG634" s="120">
        <v>74</v>
      </c>
      <c r="AH634" s="113">
        <v>45</v>
      </c>
      <c r="AI634" s="113">
        <v>70</v>
      </c>
    </row>
    <row r="635" spans="1:35">
      <c r="A635" s="113">
        <v>567</v>
      </c>
      <c r="B635" s="113" t="s">
        <v>608</v>
      </c>
      <c r="C635" s="120" t="s">
        <v>5890</v>
      </c>
      <c r="D635" s="124">
        <v>0.85</v>
      </c>
      <c r="E635" s="124">
        <v>0.15</v>
      </c>
      <c r="F635" s="113" t="s">
        <v>22</v>
      </c>
      <c r="G635" s="113" t="s">
        <v>2121</v>
      </c>
      <c r="H635" s="113" t="s">
        <v>98</v>
      </c>
      <c r="I635" s="113" t="s">
        <v>22</v>
      </c>
      <c r="J635" s="118" t="s">
        <v>2129</v>
      </c>
      <c r="K635" s="118">
        <v>3</v>
      </c>
      <c r="L635" s="118" t="s">
        <v>5889</v>
      </c>
      <c r="M635" s="115" t="s">
        <v>5889</v>
      </c>
      <c r="N635" s="115" t="s">
        <v>6504</v>
      </c>
      <c r="O635" s="115">
        <v>1.5</v>
      </c>
      <c r="P635" s="115" t="s">
        <v>2128</v>
      </c>
      <c r="Q635" s="166"/>
      <c r="R635" s="164"/>
      <c r="S635" s="164"/>
      <c r="T635" s="164"/>
      <c r="U635" s="164"/>
      <c r="V635" s="162"/>
      <c r="W635" s="158"/>
      <c r="X635" s="158"/>
      <c r="Y635" s="158"/>
      <c r="Z635" s="158"/>
      <c r="AA635" s="158"/>
      <c r="AB635" s="158"/>
      <c r="AC635" s="113">
        <v>567</v>
      </c>
      <c r="AD635" s="113">
        <v>75</v>
      </c>
      <c r="AE635" s="113">
        <v>140</v>
      </c>
      <c r="AF635" s="113">
        <v>65</v>
      </c>
      <c r="AG635" s="120">
        <v>112</v>
      </c>
      <c r="AH635" s="113">
        <v>65</v>
      </c>
      <c r="AI635" s="113">
        <v>110</v>
      </c>
    </row>
    <row r="636" spans="1:35">
      <c r="A636" s="113">
        <v>568</v>
      </c>
      <c r="B636" s="113" t="s">
        <v>609</v>
      </c>
      <c r="C636" s="120" t="s">
        <v>5891</v>
      </c>
      <c r="D636" s="124">
        <v>0.5</v>
      </c>
      <c r="E636" s="124">
        <v>0.5</v>
      </c>
      <c r="F636" s="113" t="s">
        <v>2112</v>
      </c>
      <c r="G636" s="113" t="s">
        <v>2121</v>
      </c>
      <c r="H636" s="113" t="s">
        <v>15</v>
      </c>
      <c r="I636" s="113" t="s">
        <v>1109</v>
      </c>
      <c r="J636" s="118" t="s">
        <v>2129</v>
      </c>
      <c r="K636" s="118">
        <v>2</v>
      </c>
      <c r="L636" s="118" t="s">
        <v>5891</v>
      </c>
      <c r="M636" s="115" t="s">
        <v>1109</v>
      </c>
      <c r="N636" s="115" t="s">
        <v>6505</v>
      </c>
      <c r="O636" s="115">
        <v>1.25</v>
      </c>
      <c r="P636" s="115" t="s">
        <v>1109</v>
      </c>
      <c r="Q636" s="166"/>
      <c r="R636" s="164"/>
      <c r="S636" s="164"/>
      <c r="T636" s="164"/>
      <c r="U636" s="164"/>
      <c r="V636" s="162"/>
      <c r="W636" s="158"/>
      <c r="X636" s="158"/>
      <c r="Y636" s="158"/>
      <c r="Z636" s="158"/>
      <c r="AA636" s="158"/>
      <c r="AB636" s="158"/>
      <c r="AC636" s="113">
        <v>329</v>
      </c>
      <c r="AD636" s="113">
        <v>50</v>
      </c>
      <c r="AE636" s="113">
        <v>50</v>
      </c>
      <c r="AF636" s="113">
        <v>62</v>
      </c>
      <c r="AG636" s="120">
        <v>40</v>
      </c>
      <c r="AH636" s="113">
        <v>62</v>
      </c>
      <c r="AI636" s="113">
        <v>65</v>
      </c>
    </row>
    <row r="637" spans="1:35">
      <c r="A637" s="113">
        <v>569</v>
      </c>
      <c r="B637" s="113" t="s">
        <v>610</v>
      </c>
      <c r="C637" s="120" t="s">
        <v>5892</v>
      </c>
      <c r="D637" s="124">
        <v>0.5</v>
      </c>
      <c r="E637" s="124">
        <v>0.5</v>
      </c>
      <c r="F637" s="113" t="s">
        <v>2112</v>
      </c>
      <c r="G637" s="113" t="s">
        <v>2121</v>
      </c>
      <c r="H637" s="113" t="s">
        <v>15</v>
      </c>
      <c r="I637" s="113" t="s">
        <v>1109</v>
      </c>
      <c r="J637" s="118" t="s">
        <v>2129</v>
      </c>
      <c r="K637" s="118">
        <v>2</v>
      </c>
      <c r="L637" s="118" t="s">
        <v>5891</v>
      </c>
      <c r="M637" s="115" t="s">
        <v>5891</v>
      </c>
      <c r="N637" s="115" t="s">
        <v>6504</v>
      </c>
      <c r="O637" s="115">
        <v>1.25</v>
      </c>
      <c r="P637" s="115" t="s">
        <v>2128</v>
      </c>
      <c r="Q637" s="166"/>
      <c r="R637" s="164"/>
      <c r="S637" s="164"/>
      <c r="T637" s="164"/>
      <c r="U637" s="164"/>
      <c r="V637" s="162"/>
      <c r="W637" s="158"/>
      <c r="X637" s="158"/>
      <c r="Y637" s="158"/>
      <c r="Z637" s="158"/>
      <c r="AA637" s="158"/>
      <c r="AB637" s="158"/>
      <c r="AC637" s="113">
        <v>474</v>
      </c>
      <c r="AD637" s="113">
        <v>80</v>
      </c>
      <c r="AE637" s="113">
        <v>95</v>
      </c>
      <c r="AF637" s="113">
        <v>82</v>
      </c>
      <c r="AG637" s="120">
        <v>60</v>
      </c>
      <c r="AH637" s="113">
        <v>82</v>
      </c>
      <c r="AI637" s="113">
        <v>75</v>
      </c>
    </row>
    <row r="638" spans="1:35">
      <c r="A638" s="113">
        <v>570</v>
      </c>
      <c r="B638" s="113" t="s">
        <v>611</v>
      </c>
      <c r="C638" s="120" t="s">
        <v>5893</v>
      </c>
      <c r="D638" s="124">
        <v>0.85</v>
      </c>
      <c r="E638" s="124">
        <v>0.15</v>
      </c>
      <c r="F638" s="113" t="s">
        <v>2332</v>
      </c>
      <c r="G638" s="113" t="s">
        <v>2121</v>
      </c>
      <c r="H638" s="113" t="s">
        <v>158</v>
      </c>
      <c r="I638" s="113" t="s">
        <v>1109</v>
      </c>
      <c r="J638" s="118" t="s">
        <v>2129</v>
      </c>
      <c r="K638" s="118">
        <v>3</v>
      </c>
      <c r="L638" s="118" t="s">
        <v>5893</v>
      </c>
      <c r="M638" s="115" t="s">
        <v>1109</v>
      </c>
      <c r="N638" s="115" t="s">
        <v>6505</v>
      </c>
      <c r="O638" s="115">
        <v>1.5</v>
      </c>
      <c r="P638" s="115" t="s">
        <v>1109</v>
      </c>
      <c r="Q638" s="166"/>
      <c r="R638" s="164"/>
      <c r="S638" s="164"/>
      <c r="T638" s="164"/>
      <c r="U638" s="164"/>
      <c r="V638" s="162"/>
      <c r="W638" s="158"/>
      <c r="X638" s="158"/>
      <c r="Y638" s="158"/>
      <c r="Z638" s="158"/>
      <c r="AA638" s="158"/>
      <c r="AB638" s="158"/>
      <c r="AC638" s="113">
        <v>330</v>
      </c>
      <c r="AD638" s="113">
        <v>40</v>
      </c>
      <c r="AE638" s="113">
        <v>65</v>
      </c>
      <c r="AF638" s="113">
        <v>40</v>
      </c>
      <c r="AG638" s="120">
        <v>80</v>
      </c>
      <c r="AH638" s="113">
        <v>40</v>
      </c>
      <c r="AI638" s="113">
        <v>65</v>
      </c>
    </row>
    <row r="639" spans="1:35">
      <c r="A639" s="113">
        <v>570</v>
      </c>
      <c r="B639" s="113" t="s">
        <v>3005</v>
      </c>
      <c r="C639" s="120" t="s">
        <v>5894</v>
      </c>
      <c r="D639" s="124">
        <v>0.85</v>
      </c>
      <c r="E639" s="124">
        <v>0.15</v>
      </c>
      <c r="F639" s="113" t="s">
        <v>2332</v>
      </c>
      <c r="G639" s="113" t="s">
        <v>4319</v>
      </c>
      <c r="H639" s="113" t="s">
        <v>36</v>
      </c>
      <c r="I639" s="113" t="s">
        <v>119</v>
      </c>
      <c r="J639" s="118" t="s">
        <v>2129</v>
      </c>
      <c r="K639" s="118">
        <v>3</v>
      </c>
      <c r="L639" s="118" t="s">
        <v>5893</v>
      </c>
      <c r="M639" s="115" t="s">
        <v>1109</v>
      </c>
      <c r="N639" s="115" t="s">
        <v>6505</v>
      </c>
      <c r="O639" s="115">
        <v>1.5</v>
      </c>
      <c r="P639" s="115" t="s">
        <v>1109</v>
      </c>
      <c r="Q639" s="166"/>
      <c r="R639" s="164"/>
      <c r="S639" s="164"/>
      <c r="T639" s="164"/>
      <c r="U639" s="164"/>
      <c r="V639" s="162"/>
      <c r="W639" s="158"/>
      <c r="X639" s="158"/>
      <c r="Y639" s="158"/>
      <c r="Z639" s="158"/>
      <c r="AA639" s="158"/>
      <c r="AB639" s="158"/>
      <c r="AC639" s="113">
        <v>330</v>
      </c>
      <c r="AD639" s="113">
        <v>35</v>
      </c>
      <c r="AE639" s="113">
        <v>60</v>
      </c>
      <c r="AF639" s="113">
        <v>40</v>
      </c>
      <c r="AG639" s="120">
        <v>85</v>
      </c>
      <c r="AH639" s="113">
        <v>40</v>
      </c>
      <c r="AI639" s="113">
        <v>70</v>
      </c>
    </row>
    <row r="640" spans="1:35">
      <c r="A640" s="113">
        <v>571</v>
      </c>
      <c r="B640" s="113" t="s">
        <v>612</v>
      </c>
      <c r="C640" s="120" t="s">
        <v>5895</v>
      </c>
      <c r="D640" s="124">
        <v>0.85</v>
      </c>
      <c r="E640" s="124">
        <v>0.15</v>
      </c>
      <c r="F640" s="113" t="s">
        <v>2332</v>
      </c>
      <c r="G640" s="113" t="s">
        <v>2121</v>
      </c>
      <c r="H640" s="113" t="s">
        <v>158</v>
      </c>
      <c r="I640" s="113" t="s">
        <v>1109</v>
      </c>
      <c r="J640" s="118" t="s">
        <v>2129</v>
      </c>
      <c r="K640" s="118">
        <v>3</v>
      </c>
      <c r="L640" s="118" t="s">
        <v>5893</v>
      </c>
      <c r="M640" s="115" t="s">
        <v>5893</v>
      </c>
      <c r="N640" s="115" t="s">
        <v>6504</v>
      </c>
      <c r="O640" s="115">
        <v>1.5</v>
      </c>
      <c r="P640" s="115" t="s">
        <v>2128</v>
      </c>
      <c r="Q640" s="166"/>
      <c r="R640" s="164"/>
      <c r="S640" s="164"/>
      <c r="T640" s="164"/>
      <c r="U640" s="164"/>
      <c r="V640" s="162"/>
      <c r="W640" s="158"/>
      <c r="X640" s="158"/>
      <c r="Y640" s="158"/>
      <c r="Z640" s="158"/>
      <c r="AA640" s="158"/>
      <c r="AB640" s="158"/>
      <c r="AC640" s="113">
        <v>510</v>
      </c>
      <c r="AD640" s="113">
        <v>60</v>
      </c>
      <c r="AE640" s="113">
        <v>105</v>
      </c>
      <c r="AF640" s="113">
        <v>60</v>
      </c>
      <c r="AG640" s="120">
        <v>120</v>
      </c>
      <c r="AH640" s="113">
        <v>60</v>
      </c>
      <c r="AI640" s="113">
        <v>105</v>
      </c>
    </row>
    <row r="641" spans="1:35">
      <c r="A641" s="113">
        <v>571</v>
      </c>
      <c r="B641" s="113" t="s">
        <v>3007</v>
      </c>
      <c r="C641" s="120" t="s">
        <v>5896</v>
      </c>
      <c r="D641" s="124">
        <v>0.85</v>
      </c>
      <c r="E641" s="124">
        <v>0.15</v>
      </c>
      <c r="F641" s="113" t="s">
        <v>2332</v>
      </c>
      <c r="G641" s="113" t="s">
        <v>4319</v>
      </c>
      <c r="H641" s="113" t="s">
        <v>36</v>
      </c>
      <c r="I641" s="113" t="s">
        <v>119</v>
      </c>
      <c r="J641" s="118" t="s">
        <v>2129</v>
      </c>
      <c r="K641" s="118">
        <v>3</v>
      </c>
      <c r="L641" s="118" t="s">
        <v>5893</v>
      </c>
      <c r="M641" s="113" t="s">
        <v>5894</v>
      </c>
      <c r="N641" s="115" t="s">
        <v>6504</v>
      </c>
      <c r="O641" s="115">
        <v>1.5</v>
      </c>
      <c r="P641" s="115" t="s">
        <v>2128</v>
      </c>
      <c r="Q641" s="166"/>
      <c r="R641" s="164"/>
      <c r="S641" s="164"/>
      <c r="T641" s="164"/>
      <c r="U641" s="164"/>
      <c r="V641" s="162"/>
      <c r="W641" s="158"/>
      <c r="X641" s="158"/>
      <c r="Y641" s="158"/>
      <c r="Z641" s="158"/>
      <c r="AA641" s="158"/>
      <c r="AB641" s="158"/>
      <c r="AC641" s="113">
        <v>510</v>
      </c>
      <c r="AD641" s="113">
        <v>55</v>
      </c>
      <c r="AE641" s="113">
        <v>100</v>
      </c>
      <c r="AF641" s="113">
        <v>60</v>
      </c>
      <c r="AG641" s="120">
        <v>125</v>
      </c>
      <c r="AH641" s="113">
        <v>60</v>
      </c>
      <c r="AI641" s="113">
        <v>110</v>
      </c>
    </row>
    <row r="642" spans="1:35">
      <c r="A642" s="113">
        <v>572</v>
      </c>
      <c r="B642" s="113" t="s">
        <v>613</v>
      </c>
      <c r="C642" s="120" t="s">
        <v>5897</v>
      </c>
      <c r="D642" s="124">
        <v>0.25</v>
      </c>
      <c r="E642" s="124">
        <v>0.75</v>
      </c>
      <c r="F642" s="113" t="s">
        <v>2332</v>
      </c>
      <c r="G642" s="113" t="s">
        <v>2121</v>
      </c>
      <c r="H642" s="113" t="s">
        <v>36</v>
      </c>
      <c r="I642" s="113" t="s">
        <v>1109</v>
      </c>
      <c r="J642" s="118" t="s">
        <v>2129</v>
      </c>
      <c r="K642" s="118">
        <v>2</v>
      </c>
      <c r="L642" s="118" t="s">
        <v>5897</v>
      </c>
      <c r="M642" s="115" t="s">
        <v>1109</v>
      </c>
      <c r="N642" s="115" t="s">
        <v>6505</v>
      </c>
      <c r="O642" s="115">
        <v>1.25</v>
      </c>
      <c r="P642" s="115" t="s">
        <v>1109</v>
      </c>
      <c r="Q642" s="166"/>
      <c r="R642" s="164"/>
      <c r="S642" s="164"/>
      <c r="T642" s="164"/>
      <c r="U642" s="164"/>
      <c r="V642" s="162"/>
      <c r="W642" s="158"/>
      <c r="X642" s="158"/>
      <c r="Y642" s="158"/>
      <c r="Z642" s="158"/>
      <c r="AA642" s="158"/>
      <c r="AB642" s="158"/>
      <c r="AC642" s="113">
        <v>300</v>
      </c>
      <c r="AD642" s="113">
        <v>55</v>
      </c>
      <c r="AE642" s="113">
        <v>50</v>
      </c>
      <c r="AF642" s="113">
        <v>40</v>
      </c>
      <c r="AG642" s="120">
        <v>40</v>
      </c>
      <c r="AH642" s="113">
        <v>40</v>
      </c>
      <c r="AI642" s="113">
        <v>75</v>
      </c>
    </row>
    <row r="643" spans="1:35">
      <c r="A643" s="113">
        <v>573</v>
      </c>
      <c r="B643" s="113" t="s">
        <v>614</v>
      </c>
      <c r="C643" s="120" t="s">
        <v>5898</v>
      </c>
      <c r="D643" s="124">
        <v>0.25</v>
      </c>
      <c r="E643" s="124">
        <v>0.75</v>
      </c>
      <c r="F643" s="113" t="s">
        <v>2332</v>
      </c>
      <c r="G643" s="113" t="s">
        <v>2121</v>
      </c>
      <c r="H643" s="113" t="s">
        <v>36</v>
      </c>
      <c r="I643" s="113" t="s">
        <v>1109</v>
      </c>
      <c r="J643" s="118" t="s">
        <v>2129</v>
      </c>
      <c r="K643" s="118">
        <v>2</v>
      </c>
      <c r="L643" s="118" t="s">
        <v>5897</v>
      </c>
      <c r="M643" s="115" t="s">
        <v>5897</v>
      </c>
      <c r="N643" s="115" t="s">
        <v>6504</v>
      </c>
      <c r="O643" s="115">
        <v>1.25</v>
      </c>
      <c r="P643" s="115" t="s">
        <v>1803</v>
      </c>
      <c r="Q643" s="166"/>
      <c r="R643" s="164"/>
      <c r="S643" s="164"/>
      <c r="T643" s="164"/>
      <c r="U643" s="164"/>
      <c r="V643" s="162"/>
      <c r="W643" s="158"/>
      <c r="X643" s="158"/>
      <c r="Y643" s="158"/>
      <c r="Z643" s="158"/>
      <c r="AA643" s="158"/>
      <c r="AB643" s="158"/>
      <c r="AC643" s="113">
        <v>470</v>
      </c>
      <c r="AD643" s="113">
        <v>75</v>
      </c>
      <c r="AE643" s="113">
        <v>95</v>
      </c>
      <c r="AF643" s="113">
        <v>60</v>
      </c>
      <c r="AG643" s="120">
        <v>65</v>
      </c>
      <c r="AH643" s="113">
        <v>60</v>
      </c>
      <c r="AI643" s="113">
        <v>115</v>
      </c>
    </row>
    <row r="644" spans="1:35">
      <c r="A644" s="113">
        <v>574</v>
      </c>
      <c r="B644" s="113" t="s">
        <v>615</v>
      </c>
      <c r="C644" s="120" t="s">
        <v>5899</v>
      </c>
      <c r="D644" s="124">
        <v>0.25</v>
      </c>
      <c r="E644" s="124">
        <v>0.75</v>
      </c>
      <c r="F644" s="113" t="s">
        <v>2334</v>
      </c>
      <c r="G644" s="113" t="s">
        <v>2121</v>
      </c>
      <c r="H644" s="113" t="s">
        <v>86</v>
      </c>
      <c r="I644" s="113" t="s">
        <v>1109</v>
      </c>
      <c r="J644" s="118" t="s">
        <v>2129</v>
      </c>
      <c r="K644" s="118">
        <v>2</v>
      </c>
      <c r="L644" s="118" t="s">
        <v>5899</v>
      </c>
      <c r="M644" s="115" t="s">
        <v>1109</v>
      </c>
      <c r="N644" s="115" t="s">
        <v>6505</v>
      </c>
      <c r="O644" s="115">
        <v>1.25</v>
      </c>
      <c r="P644" s="115" t="s">
        <v>1109</v>
      </c>
      <c r="Q644" s="166"/>
      <c r="R644" s="164"/>
      <c r="S644" s="164"/>
      <c r="T644" s="164"/>
      <c r="U644" s="164"/>
      <c r="V644" s="162"/>
      <c r="W644" s="158"/>
      <c r="X644" s="158"/>
      <c r="Y644" s="158"/>
      <c r="Z644" s="158"/>
      <c r="AA644" s="158"/>
      <c r="AB644" s="158"/>
      <c r="AC644" s="113">
        <v>290</v>
      </c>
      <c r="AD644" s="113">
        <v>45</v>
      </c>
      <c r="AE644" s="113">
        <v>30</v>
      </c>
      <c r="AF644" s="113">
        <v>50</v>
      </c>
      <c r="AG644" s="120">
        <v>55</v>
      </c>
      <c r="AH644" s="113">
        <v>65</v>
      </c>
      <c r="AI644" s="113">
        <v>45</v>
      </c>
    </row>
    <row r="645" spans="1:35">
      <c r="A645" s="113">
        <v>575</v>
      </c>
      <c r="B645" s="113" t="s">
        <v>616</v>
      </c>
      <c r="C645" s="120" t="s">
        <v>5900</v>
      </c>
      <c r="D645" s="124">
        <v>0.25</v>
      </c>
      <c r="E645" s="124">
        <v>0.75</v>
      </c>
      <c r="F645" s="113" t="s">
        <v>2334</v>
      </c>
      <c r="G645" s="113" t="s">
        <v>2121</v>
      </c>
      <c r="H645" s="113" t="s">
        <v>86</v>
      </c>
      <c r="I645" s="113" t="s">
        <v>1109</v>
      </c>
      <c r="J645" s="118" t="s">
        <v>2129</v>
      </c>
      <c r="K645" s="118">
        <v>2</v>
      </c>
      <c r="L645" s="118" t="s">
        <v>5899</v>
      </c>
      <c r="M645" s="115" t="s">
        <v>5899</v>
      </c>
      <c r="N645" s="115" t="s">
        <v>6506</v>
      </c>
      <c r="O645" s="115">
        <v>1.25</v>
      </c>
      <c r="P645" s="115" t="s">
        <v>2128</v>
      </c>
      <c r="Q645" s="166"/>
      <c r="R645" s="164"/>
      <c r="S645" s="164"/>
      <c r="T645" s="164"/>
      <c r="U645" s="164"/>
      <c r="V645" s="162"/>
      <c r="W645" s="158"/>
      <c r="X645" s="158"/>
      <c r="Y645" s="158"/>
      <c r="Z645" s="158"/>
      <c r="AA645" s="158"/>
      <c r="AB645" s="158"/>
      <c r="AC645" s="113">
        <v>390</v>
      </c>
      <c r="AD645" s="113">
        <v>60</v>
      </c>
      <c r="AE645" s="113">
        <v>45</v>
      </c>
      <c r="AF645" s="113">
        <v>70</v>
      </c>
      <c r="AG645" s="120">
        <v>75</v>
      </c>
      <c r="AH645" s="113">
        <v>85</v>
      </c>
      <c r="AI645" s="113">
        <v>55</v>
      </c>
    </row>
    <row r="646" spans="1:35">
      <c r="A646" s="113">
        <v>576</v>
      </c>
      <c r="B646" s="113" t="s">
        <v>617</v>
      </c>
      <c r="C646" s="120" t="s">
        <v>5901</v>
      </c>
      <c r="D646" s="124">
        <v>0.25</v>
      </c>
      <c r="E646" s="124">
        <v>0.75</v>
      </c>
      <c r="F646" s="113" t="s">
        <v>2334</v>
      </c>
      <c r="G646" s="113" t="s">
        <v>2121</v>
      </c>
      <c r="H646" s="113" t="s">
        <v>86</v>
      </c>
      <c r="I646" s="113" t="s">
        <v>1109</v>
      </c>
      <c r="J646" s="118" t="s">
        <v>2129</v>
      </c>
      <c r="K646" s="118">
        <v>2</v>
      </c>
      <c r="L646" s="118" t="s">
        <v>5899</v>
      </c>
      <c r="M646" s="115" t="s">
        <v>5900</v>
      </c>
      <c r="N646" s="115" t="s">
        <v>6504</v>
      </c>
      <c r="O646" s="115">
        <v>1.25</v>
      </c>
      <c r="P646" s="115" t="s">
        <v>2128</v>
      </c>
      <c r="Q646" s="166"/>
      <c r="R646" s="164"/>
      <c r="S646" s="164"/>
      <c r="T646" s="164"/>
      <c r="U646" s="164"/>
      <c r="V646" s="162"/>
      <c r="W646" s="158"/>
      <c r="X646" s="158"/>
      <c r="Y646" s="158"/>
      <c r="Z646" s="158"/>
      <c r="AA646" s="158"/>
      <c r="AB646" s="158"/>
      <c r="AC646" s="113">
        <v>490</v>
      </c>
      <c r="AD646" s="113">
        <v>70</v>
      </c>
      <c r="AE646" s="113">
        <v>55</v>
      </c>
      <c r="AF646" s="113">
        <v>95</v>
      </c>
      <c r="AG646" s="120">
        <v>95</v>
      </c>
      <c r="AH646" s="113">
        <v>110</v>
      </c>
      <c r="AI646" s="113">
        <v>65</v>
      </c>
    </row>
    <row r="647" spans="1:35">
      <c r="A647" s="113">
        <v>577</v>
      </c>
      <c r="B647" s="113" t="s">
        <v>618</v>
      </c>
      <c r="C647" s="120" t="s">
        <v>5902</v>
      </c>
      <c r="D647" s="124">
        <v>0.5</v>
      </c>
      <c r="E647" s="124">
        <v>0.5</v>
      </c>
      <c r="F647" s="113" t="s">
        <v>2336</v>
      </c>
      <c r="G647" s="113" t="s">
        <v>2121</v>
      </c>
      <c r="H647" s="113" t="s">
        <v>86</v>
      </c>
      <c r="I647" s="113" t="s">
        <v>1109</v>
      </c>
      <c r="J647" s="118" t="s">
        <v>2129</v>
      </c>
      <c r="K647" s="118">
        <v>2</v>
      </c>
      <c r="L647" s="118" t="s">
        <v>5902</v>
      </c>
      <c r="M647" s="115" t="s">
        <v>1109</v>
      </c>
      <c r="N647" s="115" t="s">
        <v>6505</v>
      </c>
      <c r="O647" s="115">
        <v>1.25</v>
      </c>
      <c r="P647" s="115" t="s">
        <v>1109</v>
      </c>
      <c r="Q647" s="166"/>
      <c r="R647" s="164"/>
      <c r="S647" s="164"/>
      <c r="T647" s="164"/>
      <c r="U647" s="164"/>
      <c r="V647" s="162"/>
      <c r="W647" s="158"/>
      <c r="X647" s="158"/>
      <c r="Y647" s="158"/>
      <c r="Z647" s="158"/>
      <c r="AA647" s="158"/>
      <c r="AB647" s="158"/>
      <c r="AC647" s="113">
        <v>290</v>
      </c>
      <c r="AD647" s="113">
        <v>45</v>
      </c>
      <c r="AE647" s="113">
        <v>30</v>
      </c>
      <c r="AF647" s="113">
        <v>40</v>
      </c>
      <c r="AG647" s="120">
        <v>105</v>
      </c>
      <c r="AH647" s="113">
        <v>50</v>
      </c>
      <c r="AI647" s="113">
        <v>20</v>
      </c>
    </row>
    <row r="648" spans="1:35">
      <c r="A648" s="113">
        <v>578</v>
      </c>
      <c r="B648" s="113" t="s">
        <v>619</v>
      </c>
      <c r="C648" s="120" t="s">
        <v>5903</v>
      </c>
      <c r="D648" s="124">
        <v>0.5</v>
      </c>
      <c r="E648" s="124">
        <v>0.5</v>
      </c>
      <c r="F648" s="113" t="s">
        <v>2336</v>
      </c>
      <c r="G648" s="113" t="s">
        <v>2121</v>
      </c>
      <c r="H648" s="113" t="s">
        <v>86</v>
      </c>
      <c r="I648" s="113" t="s">
        <v>1109</v>
      </c>
      <c r="J648" s="118" t="s">
        <v>2129</v>
      </c>
      <c r="K648" s="118">
        <v>2</v>
      </c>
      <c r="L648" s="118" t="s">
        <v>5902</v>
      </c>
      <c r="M648" s="115" t="s">
        <v>5902</v>
      </c>
      <c r="N648" s="115" t="s">
        <v>6506</v>
      </c>
      <c r="O648" s="115">
        <v>1.25</v>
      </c>
      <c r="P648" s="115" t="s">
        <v>2128</v>
      </c>
      <c r="Q648" s="166"/>
      <c r="R648" s="164"/>
      <c r="S648" s="164"/>
      <c r="T648" s="164"/>
      <c r="U648" s="164"/>
      <c r="V648" s="162"/>
      <c r="W648" s="158"/>
      <c r="X648" s="158"/>
      <c r="Y648" s="158"/>
      <c r="Z648" s="158"/>
      <c r="AA648" s="158"/>
      <c r="AB648" s="158"/>
      <c r="AC648" s="113">
        <v>370</v>
      </c>
      <c r="AD648" s="113">
        <v>65</v>
      </c>
      <c r="AE648" s="113">
        <v>40</v>
      </c>
      <c r="AF648" s="113">
        <v>50</v>
      </c>
      <c r="AG648" s="120">
        <v>125</v>
      </c>
      <c r="AH648" s="113">
        <v>60</v>
      </c>
      <c r="AI648" s="113">
        <v>30</v>
      </c>
    </row>
    <row r="649" spans="1:35">
      <c r="A649" s="113">
        <v>579</v>
      </c>
      <c r="B649" s="113" t="s">
        <v>620</v>
      </c>
      <c r="C649" s="120" t="s">
        <v>5904</v>
      </c>
      <c r="D649" s="124">
        <v>0.5</v>
      </c>
      <c r="E649" s="124">
        <v>0.5</v>
      </c>
      <c r="F649" s="113" t="s">
        <v>2336</v>
      </c>
      <c r="G649" s="113" t="s">
        <v>2121</v>
      </c>
      <c r="H649" s="113" t="s">
        <v>86</v>
      </c>
      <c r="I649" s="113" t="s">
        <v>1109</v>
      </c>
      <c r="J649" s="118" t="s">
        <v>2129</v>
      </c>
      <c r="K649" s="118">
        <v>2</v>
      </c>
      <c r="L649" s="118" t="s">
        <v>5902</v>
      </c>
      <c r="M649" s="115" t="s">
        <v>5903</v>
      </c>
      <c r="N649" s="115" t="s">
        <v>6504</v>
      </c>
      <c r="O649" s="115">
        <v>1.25</v>
      </c>
      <c r="P649" s="115" t="s">
        <v>2128</v>
      </c>
      <c r="Q649" s="166"/>
      <c r="R649" s="164"/>
      <c r="S649" s="164"/>
      <c r="T649" s="164"/>
      <c r="U649" s="164"/>
      <c r="V649" s="162"/>
      <c r="W649" s="158"/>
      <c r="X649" s="158"/>
      <c r="Y649" s="158"/>
      <c r="Z649" s="158"/>
      <c r="AA649" s="158"/>
      <c r="AB649" s="158"/>
      <c r="AC649" s="113">
        <v>490</v>
      </c>
      <c r="AD649" s="113">
        <v>110</v>
      </c>
      <c r="AE649" s="113">
        <v>65</v>
      </c>
      <c r="AF649" s="113">
        <v>75</v>
      </c>
      <c r="AG649" s="120">
        <v>125</v>
      </c>
      <c r="AH649" s="113">
        <v>85</v>
      </c>
      <c r="AI649" s="113">
        <v>30</v>
      </c>
    </row>
    <row r="650" spans="1:35">
      <c r="A650" s="113">
        <v>580</v>
      </c>
      <c r="B650" s="113" t="s">
        <v>621</v>
      </c>
      <c r="C650" s="120" t="s">
        <v>5905</v>
      </c>
      <c r="D650" s="124">
        <v>0.5</v>
      </c>
      <c r="E650" s="124">
        <v>0.5</v>
      </c>
      <c r="F650" s="113" t="s">
        <v>22</v>
      </c>
      <c r="G650" s="113" t="s">
        <v>2121</v>
      </c>
      <c r="H650" s="113" t="s">
        <v>25</v>
      </c>
      <c r="I650" s="113" t="s">
        <v>22</v>
      </c>
      <c r="J650" s="118" t="s">
        <v>2129</v>
      </c>
      <c r="K650" s="118">
        <v>2</v>
      </c>
      <c r="L650" s="118" t="s">
        <v>5905</v>
      </c>
      <c r="M650" s="115" t="s">
        <v>1109</v>
      </c>
      <c r="N650" s="115" t="s">
        <v>6505</v>
      </c>
      <c r="O650" s="115">
        <v>1.25</v>
      </c>
      <c r="P650" s="115" t="s">
        <v>1109</v>
      </c>
      <c r="Q650" s="166"/>
      <c r="R650" s="164"/>
      <c r="S650" s="164"/>
      <c r="T650" s="164"/>
      <c r="U650" s="164"/>
      <c r="V650" s="162"/>
      <c r="W650" s="158"/>
      <c r="X650" s="158"/>
      <c r="Y650" s="158"/>
      <c r="Z650" s="158"/>
      <c r="AA650" s="158"/>
      <c r="AB650" s="158"/>
      <c r="AC650" s="113">
        <v>305</v>
      </c>
      <c r="AD650" s="113">
        <v>62</v>
      </c>
      <c r="AE650" s="113">
        <v>44</v>
      </c>
      <c r="AF650" s="113">
        <v>50</v>
      </c>
      <c r="AG650" s="120">
        <v>44</v>
      </c>
      <c r="AH650" s="113">
        <v>50</v>
      </c>
      <c r="AI650" s="113">
        <v>55</v>
      </c>
    </row>
    <row r="651" spans="1:35">
      <c r="A651" s="113">
        <v>581</v>
      </c>
      <c r="B651" s="113" t="s">
        <v>622</v>
      </c>
      <c r="C651" s="120" t="s">
        <v>5906</v>
      </c>
      <c r="D651" s="124">
        <v>0.5</v>
      </c>
      <c r="E651" s="124">
        <v>0.5</v>
      </c>
      <c r="F651" s="113" t="s">
        <v>22</v>
      </c>
      <c r="G651" s="113" t="s">
        <v>2121</v>
      </c>
      <c r="H651" s="113" t="s">
        <v>25</v>
      </c>
      <c r="I651" s="113" t="s">
        <v>22</v>
      </c>
      <c r="J651" s="118" t="s">
        <v>2129</v>
      </c>
      <c r="K651" s="118">
        <v>2</v>
      </c>
      <c r="L651" s="118" t="s">
        <v>5905</v>
      </c>
      <c r="M651" s="115" t="s">
        <v>5905</v>
      </c>
      <c r="N651" s="115" t="s">
        <v>6504</v>
      </c>
      <c r="O651" s="115">
        <v>1.25</v>
      </c>
      <c r="P651" s="115" t="s">
        <v>2128</v>
      </c>
      <c r="Q651" s="166"/>
      <c r="R651" s="164"/>
      <c r="S651" s="164"/>
      <c r="T651" s="164"/>
      <c r="U651" s="164"/>
      <c r="V651" s="162"/>
      <c r="W651" s="158"/>
      <c r="X651" s="158"/>
      <c r="Y651" s="158"/>
      <c r="Z651" s="158"/>
      <c r="AA651" s="158"/>
      <c r="AB651" s="158"/>
      <c r="AC651" s="113">
        <v>473</v>
      </c>
      <c r="AD651" s="113">
        <v>75</v>
      </c>
      <c r="AE651" s="113">
        <v>87</v>
      </c>
      <c r="AF651" s="113">
        <v>63</v>
      </c>
      <c r="AG651" s="120">
        <v>87</v>
      </c>
      <c r="AH651" s="113">
        <v>63</v>
      </c>
      <c r="AI651" s="113">
        <v>98</v>
      </c>
    </row>
    <row r="652" spans="1:35">
      <c r="A652" s="113">
        <v>582</v>
      </c>
      <c r="B652" s="113" t="s">
        <v>623</v>
      </c>
      <c r="C652" s="120" t="s">
        <v>5907</v>
      </c>
      <c r="D652" s="124">
        <v>0.5</v>
      </c>
      <c r="E652" s="124">
        <v>0.5</v>
      </c>
      <c r="F652" s="113" t="s">
        <v>2112</v>
      </c>
      <c r="G652" s="113" t="s">
        <v>2121</v>
      </c>
      <c r="H652" s="113" t="s">
        <v>113</v>
      </c>
      <c r="I652" s="113" t="s">
        <v>1109</v>
      </c>
      <c r="J652" s="118" t="s">
        <v>2129</v>
      </c>
      <c r="K652" s="118">
        <v>1</v>
      </c>
      <c r="L652" s="118" t="s">
        <v>5907</v>
      </c>
      <c r="M652" s="115" t="s">
        <v>1109</v>
      </c>
      <c r="N652" s="115" t="s">
        <v>6505</v>
      </c>
      <c r="O652" s="115">
        <v>1</v>
      </c>
      <c r="P652" s="115" t="s">
        <v>1109</v>
      </c>
      <c r="Q652" s="166"/>
      <c r="R652" s="164"/>
      <c r="S652" s="164"/>
      <c r="T652" s="164"/>
      <c r="U652" s="164"/>
      <c r="V652" s="162"/>
      <c r="W652" s="158"/>
      <c r="X652" s="158"/>
      <c r="Y652" s="158"/>
      <c r="Z652" s="158"/>
      <c r="AA652" s="158"/>
      <c r="AB652" s="158"/>
      <c r="AC652" s="113">
        <v>305</v>
      </c>
      <c r="AD652" s="113">
        <v>36</v>
      </c>
      <c r="AE652" s="113">
        <v>50</v>
      </c>
      <c r="AF652" s="113">
        <v>50</v>
      </c>
      <c r="AG652" s="120">
        <v>65</v>
      </c>
      <c r="AH652" s="113">
        <v>60</v>
      </c>
      <c r="AI652" s="113">
        <v>44</v>
      </c>
    </row>
    <row r="653" spans="1:35">
      <c r="A653" s="113">
        <v>583</v>
      </c>
      <c r="B653" s="113" t="s">
        <v>624</v>
      </c>
      <c r="C653" s="120" t="s">
        <v>5908</v>
      </c>
      <c r="D653" s="124">
        <v>0.5</v>
      </c>
      <c r="E653" s="124">
        <v>0.5</v>
      </c>
      <c r="F653" s="113" t="s">
        <v>2112</v>
      </c>
      <c r="G653" s="113" t="s">
        <v>2121</v>
      </c>
      <c r="H653" s="113" t="s">
        <v>113</v>
      </c>
      <c r="I653" s="113" t="s">
        <v>1109</v>
      </c>
      <c r="J653" s="118" t="s">
        <v>2129</v>
      </c>
      <c r="K653" s="118">
        <v>1</v>
      </c>
      <c r="L653" s="118" t="s">
        <v>5907</v>
      </c>
      <c r="M653" s="115" t="s">
        <v>5907</v>
      </c>
      <c r="N653" s="115" t="s">
        <v>6506</v>
      </c>
      <c r="O653" s="115">
        <v>1</v>
      </c>
      <c r="P653" s="115" t="s">
        <v>2128</v>
      </c>
      <c r="Q653" s="166"/>
      <c r="R653" s="164"/>
      <c r="S653" s="164"/>
      <c r="T653" s="164"/>
      <c r="U653" s="164"/>
      <c r="V653" s="162"/>
      <c r="W653" s="158"/>
      <c r="X653" s="158"/>
      <c r="Y653" s="158"/>
      <c r="Z653" s="158"/>
      <c r="AA653" s="158"/>
      <c r="AB653" s="158"/>
      <c r="AC653" s="113">
        <v>395</v>
      </c>
      <c r="AD653" s="113">
        <v>51</v>
      </c>
      <c r="AE653" s="113">
        <v>65</v>
      </c>
      <c r="AF653" s="113">
        <v>65</v>
      </c>
      <c r="AG653" s="120">
        <v>80</v>
      </c>
      <c r="AH653" s="113">
        <v>75</v>
      </c>
      <c r="AI653" s="113">
        <v>59</v>
      </c>
    </row>
    <row r="654" spans="1:35">
      <c r="A654" s="113">
        <v>584</v>
      </c>
      <c r="B654" s="113" t="s">
        <v>625</v>
      </c>
      <c r="C654" s="120" t="s">
        <v>5909</v>
      </c>
      <c r="D654" s="124">
        <v>0.5</v>
      </c>
      <c r="E654" s="124">
        <v>0.5</v>
      </c>
      <c r="F654" s="113" t="s">
        <v>2112</v>
      </c>
      <c r="G654" s="113" t="s">
        <v>2121</v>
      </c>
      <c r="H654" s="113" t="s">
        <v>113</v>
      </c>
      <c r="I654" s="113" t="s">
        <v>1109</v>
      </c>
      <c r="J654" s="118" t="s">
        <v>2129</v>
      </c>
      <c r="K654" s="118">
        <v>1</v>
      </c>
      <c r="L654" s="118" t="s">
        <v>5907</v>
      </c>
      <c r="M654" s="115" t="s">
        <v>5908</v>
      </c>
      <c r="N654" s="115" t="s">
        <v>6504</v>
      </c>
      <c r="O654" s="115">
        <v>1</v>
      </c>
      <c r="P654" s="115" t="s">
        <v>2128</v>
      </c>
      <c r="Q654" s="166"/>
      <c r="R654" s="164"/>
      <c r="S654" s="164"/>
      <c r="T654" s="164"/>
      <c r="U654" s="164"/>
      <c r="V654" s="162"/>
      <c r="W654" s="158"/>
      <c r="X654" s="158"/>
      <c r="Y654" s="158"/>
      <c r="Z654" s="158"/>
      <c r="AA654" s="158"/>
      <c r="AB654" s="158"/>
      <c r="AC654" s="113">
        <v>535</v>
      </c>
      <c r="AD654" s="113">
        <v>71</v>
      </c>
      <c r="AE654" s="113">
        <v>95</v>
      </c>
      <c r="AF654" s="113">
        <v>85</v>
      </c>
      <c r="AG654" s="120">
        <v>110</v>
      </c>
      <c r="AH654" s="113">
        <v>95</v>
      </c>
      <c r="AI654" s="113">
        <v>79</v>
      </c>
    </row>
    <row r="655" spans="1:35">
      <c r="A655" s="113">
        <v>585</v>
      </c>
      <c r="B655" s="113" t="s">
        <v>626</v>
      </c>
      <c r="C655" s="120" t="s">
        <v>5910</v>
      </c>
      <c r="D655" s="124">
        <v>0.5</v>
      </c>
      <c r="E655" s="124">
        <v>0.5</v>
      </c>
      <c r="F655" s="113" t="s">
        <v>2332</v>
      </c>
      <c r="G655" s="113" t="s">
        <v>2121</v>
      </c>
      <c r="H655" s="113" t="s">
        <v>36</v>
      </c>
      <c r="I655" s="113" t="s">
        <v>14</v>
      </c>
      <c r="J655" s="118" t="s">
        <v>2129</v>
      </c>
      <c r="K655" s="118">
        <v>1</v>
      </c>
      <c r="L655" s="118" t="s">
        <v>5910</v>
      </c>
      <c r="M655" s="115" t="s">
        <v>1109</v>
      </c>
      <c r="N655" s="115" t="s">
        <v>6505</v>
      </c>
      <c r="O655" s="115">
        <v>1</v>
      </c>
      <c r="P655" s="115" t="s">
        <v>1109</v>
      </c>
      <c r="Q655" s="166"/>
      <c r="R655" s="164"/>
      <c r="S655" s="164"/>
      <c r="T655" s="164"/>
      <c r="U655" s="164"/>
      <c r="V655" s="162"/>
      <c r="W655" s="158"/>
      <c r="X655" s="158"/>
      <c r="Y655" s="158"/>
      <c r="Z655" s="158"/>
      <c r="AA655" s="158"/>
      <c r="AB655" s="158"/>
      <c r="AC655" s="113">
        <v>335</v>
      </c>
      <c r="AD655" s="113">
        <v>60</v>
      </c>
      <c r="AE655" s="113">
        <v>60</v>
      </c>
      <c r="AF655" s="113">
        <v>50</v>
      </c>
      <c r="AG655" s="120">
        <v>40</v>
      </c>
      <c r="AH655" s="113">
        <v>50</v>
      </c>
      <c r="AI655" s="113">
        <v>75</v>
      </c>
    </row>
    <row r="656" spans="1:35">
      <c r="A656" s="113">
        <v>586</v>
      </c>
      <c r="B656" s="113" t="s">
        <v>627</v>
      </c>
      <c r="C656" s="120" t="s">
        <v>5911</v>
      </c>
      <c r="D656" s="124">
        <v>0.5</v>
      </c>
      <c r="E656" s="124">
        <v>0.5</v>
      </c>
      <c r="F656" s="113" t="s">
        <v>2332</v>
      </c>
      <c r="G656" s="113" t="s">
        <v>2121</v>
      </c>
      <c r="H656" s="113" t="s">
        <v>36</v>
      </c>
      <c r="I656" s="113" t="s">
        <v>14</v>
      </c>
      <c r="J656" s="118" t="s">
        <v>2129</v>
      </c>
      <c r="K656" s="118">
        <v>1</v>
      </c>
      <c r="L656" s="118" t="s">
        <v>5910</v>
      </c>
      <c r="M656" s="115" t="s">
        <v>5910</v>
      </c>
      <c r="N656" s="115" t="s">
        <v>6504</v>
      </c>
      <c r="O656" s="115">
        <v>1</v>
      </c>
      <c r="P656" s="115" t="s">
        <v>2128</v>
      </c>
      <c r="Q656" s="166"/>
      <c r="R656" s="164"/>
      <c r="S656" s="164"/>
      <c r="T656" s="164"/>
      <c r="U656" s="164"/>
      <c r="V656" s="162"/>
      <c r="W656" s="158"/>
      <c r="X656" s="158"/>
      <c r="Y656" s="158"/>
      <c r="Z656" s="158"/>
      <c r="AA656" s="158"/>
      <c r="AB656" s="158"/>
      <c r="AC656" s="113">
        <v>475</v>
      </c>
      <c r="AD656" s="113">
        <v>80</v>
      </c>
      <c r="AE656" s="113">
        <v>100</v>
      </c>
      <c r="AF656" s="113">
        <v>70</v>
      </c>
      <c r="AG656" s="120">
        <v>60</v>
      </c>
      <c r="AH656" s="113">
        <v>70</v>
      </c>
      <c r="AI656" s="113">
        <v>95</v>
      </c>
    </row>
    <row r="657" spans="1:35">
      <c r="A657" s="113">
        <v>587</v>
      </c>
      <c r="B657" s="113" t="s">
        <v>628</v>
      </c>
      <c r="C657" s="120" t="s">
        <v>5912</v>
      </c>
      <c r="D657" s="124">
        <v>0.5</v>
      </c>
      <c r="E657" s="124">
        <v>0.5</v>
      </c>
      <c r="F657" s="113" t="s">
        <v>2332</v>
      </c>
      <c r="G657" s="113" t="s">
        <v>2121</v>
      </c>
      <c r="H657" s="113" t="s">
        <v>46</v>
      </c>
      <c r="I657" s="113" t="s">
        <v>22</v>
      </c>
      <c r="J657" s="118" t="s">
        <v>2129</v>
      </c>
      <c r="K657" s="118">
        <v>2</v>
      </c>
      <c r="L657" s="118" t="s">
        <v>5912</v>
      </c>
      <c r="M657" s="115" t="s">
        <v>1109</v>
      </c>
      <c r="N657" s="115" t="s">
        <v>6504</v>
      </c>
      <c r="O657" s="115">
        <v>1.25</v>
      </c>
      <c r="P657" s="115" t="s">
        <v>1109</v>
      </c>
      <c r="Q657" s="166"/>
      <c r="R657" s="164"/>
      <c r="S657" s="164"/>
      <c r="T657" s="164"/>
      <c r="U657" s="164"/>
      <c r="V657" s="162"/>
      <c r="W657" s="158"/>
      <c r="X657" s="158"/>
      <c r="Y657" s="158"/>
      <c r="Z657" s="158"/>
      <c r="AA657" s="158"/>
      <c r="AB657" s="158"/>
      <c r="AC657" s="113">
        <v>428</v>
      </c>
      <c r="AD657" s="113">
        <v>55</v>
      </c>
      <c r="AE657" s="113">
        <v>75</v>
      </c>
      <c r="AF657" s="113">
        <v>60</v>
      </c>
      <c r="AG657" s="120">
        <v>75</v>
      </c>
      <c r="AH657" s="113">
        <v>60</v>
      </c>
      <c r="AI657" s="113">
        <v>103</v>
      </c>
    </row>
    <row r="658" spans="1:35">
      <c r="A658" s="113">
        <v>588</v>
      </c>
      <c r="B658" s="113" t="s">
        <v>629</v>
      </c>
      <c r="C658" s="120" t="s">
        <v>5913</v>
      </c>
      <c r="D658" s="124">
        <v>0.5</v>
      </c>
      <c r="E658" s="124">
        <v>0.5</v>
      </c>
      <c r="F658" s="113" t="s">
        <v>29</v>
      </c>
      <c r="G658" s="113" t="s">
        <v>2121</v>
      </c>
      <c r="H658" s="113" t="s">
        <v>29</v>
      </c>
      <c r="I658" s="113" t="s">
        <v>1109</v>
      </c>
      <c r="J658" s="118" t="s">
        <v>2129</v>
      </c>
      <c r="K658" s="118">
        <v>2</v>
      </c>
      <c r="L658" s="118" t="s">
        <v>5913</v>
      </c>
      <c r="M658" s="115" t="s">
        <v>1109</v>
      </c>
      <c r="N658" s="115" t="s">
        <v>6505</v>
      </c>
      <c r="O658" s="115">
        <v>1.25</v>
      </c>
      <c r="P658" s="115" t="s">
        <v>1109</v>
      </c>
      <c r="Q658" s="166"/>
      <c r="R658" s="164"/>
      <c r="S658" s="164"/>
      <c r="T658" s="164"/>
      <c r="U658" s="164"/>
      <c r="V658" s="162"/>
      <c r="W658" s="158"/>
      <c r="X658" s="158"/>
      <c r="Y658" s="158"/>
      <c r="Z658" s="158"/>
      <c r="AA658" s="158"/>
      <c r="AB658" s="158"/>
      <c r="AC658" s="113">
        <v>315</v>
      </c>
      <c r="AD658" s="113">
        <v>50</v>
      </c>
      <c r="AE658" s="113">
        <v>75</v>
      </c>
      <c r="AF658" s="113">
        <v>45</v>
      </c>
      <c r="AG658" s="120">
        <v>40</v>
      </c>
      <c r="AH658" s="113">
        <v>45</v>
      </c>
      <c r="AI658" s="113">
        <v>60</v>
      </c>
    </row>
    <row r="659" spans="1:35">
      <c r="A659" s="113">
        <v>589</v>
      </c>
      <c r="B659" s="113" t="s">
        <v>630</v>
      </c>
      <c r="C659" s="120" t="s">
        <v>5914</v>
      </c>
      <c r="D659" s="124">
        <v>0.5</v>
      </c>
      <c r="E659" s="124">
        <v>0.5</v>
      </c>
      <c r="F659" s="113" t="s">
        <v>29</v>
      </c>
      <c r="G659" s="113" t="s">
        <v>2121</v>
      </c>
      <c r="H659" s="113" t="s">
        <v>29</v>
      </c>
      <c r="I659" s="113" t="s">
        <v>106</v>
      </c>
      <c r="J659" s="118" t="s">
        <v>2129</v>
      </c>
      <c r="K659" s="118">
        <v>2</v>
      </c>
      <c r="L659" s="118" t="s">
        <v>5913</v>
      </c>
      <c r="M659" s="115" t="s">
        <v>5913</v>
      </c>
      <c r="N659" s="115" t="s">
        <v>6504</v>
      </c>
      <c r="O659" s="115">
        <v>1.25</v>
      </c>
      <c r="P659" s="115" t="s">
        <v>2128</v>
      </c>
      <c r="Q659" s="166"/>
      <c r="R659" s="164"/>
      <c r="S659" s="164"/>
      <c r="T659" s="164"/>
      <c r="U659" s="164"/>
      <c r="V659" s="162"/>
      <c r="W659" s="158"/>
      <c r="X659" s="158"/>
      <c r="Y659" s="158"/>
      <c r="Z659" s="158"/>
      <c r="AA659" s="158"/>
      <c r="AB659" s="158"/>
      <c r="AC659" s="113">
        <v>495</v>
      </c>
      <c r="AD659" s="113">
        <v>70</v>
      </c>
      <c r="AE659" s="113">
        <v>135</v>
      </c>
      <c r="AF659" s="113">
        <v>105</v>
      </c>
      <c r="AG659" s="120">
        <v>60</v>
      </c>
      <c r="AH659" s="113">
        <v>105</v>
      </c>
      <c r="AI659" s="113">
        <v>20</v>
      </c>
    </row>
    <row r="660" spans="1:35">
      <c r="A660" s="113">
        <v>590</v>
      </c>
      <c r="B660" s="113" t="s">
        <v>631</v>
      </c>
      <c r="C660" s="120" t="s">
        <v>5915</v>
      </c>
      <c r="D660" s="124">
        <v>0.5</v>
      </c>
      <c r="E660" s="124">
        <v>0.5</v>
      </c>
      <c r="F660" s="113" t="s">
        <v>14</v>
      </c>
      <c r="G660" s="113" t="s">
        <v>2121</v>
      </c>
      <c r="H660" s="113" t="s">
        <v>14</v>
      </c>
      <c r="I660" s="113" t="s">
        <v>15</v>
      </c>
      <c r="J660" s="118" t="s">
        <v>2129</v>
      </c>
      <c r="K660" s="118">
        <v>2</v>
      </c>
      <c r="L660" s="118" t="s">
        <v>5915</v>
      </c>
      <c r="M660" s="115" t="s">
        <v>1109</v>
      </c>
      <c r="N660" s="115" t="s">
        <v>6505</v>
      </c>
      <c r="O660" s="115">
        <v>1.25</v>
      </c>
      <c r="P660" s="115" t="s">
        <v>1109</v>
      </c>
      <c r="Q660" s="166"/>
      <c r="R660" s="164"/>
      <c r="S660" s="164"/>
      <c r="T660" s="164"/>
      <c r="U660" s="164"/>
      <c r="V660" s="162"/>
      <c r="W660" s="158"/>
      <c r="X660" s="158"/>
      <c r="Y660" s="158"/>
      <c r="Z660" s="158"/>
      <c r="AA660" s="158"/>
      <c r="AB660" s="158"/>
      <c r="AC660" s="113">
        <v>294</v>
      </c>
      <c r="AD660" s="113">
        <v>69</v>
      </c>
      <c r="AE660" s="113">
        <v>55</v>
      </c>
      <c r="AF660" s="113">
        <v>45</v>
      </c>
      <c r="AG660" s="120">
        <v>55</v>
      </c>
      <c r="AH660" s="113">
        <v>55</v>
      </c>
      <c r="AI660" s="113">
        <v>15</v>
      </c>
    </row>
    <row r="661" spans="1:35">
      <c r="A661" s="113">
        <v>591</v>
      </c>
      <c r="B661" s="113" t="s">
        <v>632</v>
      </c>
      <c r="C661" s="120" t="s">
        <v>5916</v>
      </c>
      <c r="D661" s="124">
        <v>0.5</v>
      </c>
      <c r="E661" s="124">
        <v>0.5</v>
      </c>
      <c r="F661" s="113" t="s">
        <v>14</v>
      </c>
      <c r="G661" s="113" t="s">
        <v>2121</v>
      </c>
      <c r="H661" s="113" t="s">
        <v>14</v>
      </c>
      <c r="I661" s="113" t="s">
        <v>15</v>
      </c>
      <c r="J661" s="118" t="s">
        <v>2129</v>
      </c>
      <c r="K661" s="118">
        <v>2</v>
      </c>
      <c r="L661" s="118" t="s">
        <v>5915</v>
      </c>
      <c r="M661" s="115" t="s">
        <v>5915</v>
      </c>
      <c r="N661" s="115" t="s">
        <v>6504</v>
      </c>
      <c r="O661" s="115">
        <v>1.25</v>
      </c>
      <c r="P661" s="115" t="s">
        <v>2128</v>
      </c>
      <c r="Q661" s="166"/>
      <c r="R661" s="164"/>
      <c r="S661" s="164"/>
      <c r="T661" s="164"/>
      <c r="U661" s="164"/>
      <c r="V661" s="162"/>
      <c r="W661" s="158"/>
      <c r="X661" s="158"/>
      <c r="Y661" s="158"/>
      <c r="Z661" s="158"/>
      <c r="AA661" s="158"/>
      <c r="AB661" s="158"/>
      <c r="AC661" s="113">
        <v>464</v>
      </c>
      <c r="AD661" s="113">
        <v>114</v>
      </c>
      <c r="AE661" s="113">
        <v>85</v>
      </c>
      <c r="AF661" s="113">
        <v>70</v>
      </c>
      <c r="AG661" s="120">
        <v>85</v>
      </c>
      <c r="AH661" s="113">
        <v>80</v>
      </c>
      <c r="AI661" s="113">
        <v>30</v>
      </c>
    </row>
    <row r="662" spans="1:35">
      <c r="A662" s="113">
        <v>592</v>
      </c>
      <c r="B662" s="113" t="s">
        <v>633</v>
      </c>
      <c r="C662" s="120" t="s">
        <v>5917</v>
      </c>
      <c r="D662" s="124">
        <v>0.5</v>
      </c>
      <c r="E662" s="124">
        <v>0.5</v>
      </c>
      <c r="F662" s="113" t="s">
        <v>2336</v>
      </c>
      <c r="G662" s="113" t="s">
        <v>2121</v>
      </c>
      <c r="H662" s="113" t="s">
        <v>25</v>
      </c>
      <c r="I662" s="113" t="s">
        <v>119</v>
      </c>
      <c r="J662" s="118" t="s">
        <v>2129</v>
      </c>
      <c r="K662" s="118">
        <v>2</v>
      </c>
      <c r="L662" s="118" t="s">
        <v>5917</v>
      </c>
      <c r="M662" s="115" t="s">
        <v>1109</v>
      </c>
      <c r="N662" s="115" t="s">
        <v>6505</v>
      </c>
      <c r="O662" s="115">
        <v>1.25</v>
      </c>
      <c r="P662" s="115" t="s">
        <v>1109</v>
      </c>
      <c r="Q662" s="166"/>
      <c r="R662" s="164"/>
      <c r="S662" s="164"/>
      <c r="T662" s="164"/>
      <c r="U662" s="164"/>
      <c r="V662" s="162"/>
      <c r="W662" s="158"/>
      <c r="X662" s="158"/>
      <c r="Y662" s="158"/>
      <c r="Z662" s="158"/>
      <c r="AA662" s="158"/>
      <c r="AB662" s="158"/>
      <c r="AC662" s="113">
        <v>335</v>
      </c>
      <c r="AD662" s="113">
        <v>55</v>
      </c>
      <c r="AE662" s="113">
        <v>40</v>
      </c>
      <c r="AF662" s="113">
        <v>50</v>
      </c>
      <c r="AG662" s="120">
        <v>65</v>
      </c>
      <c r="AH662" s="113">
        <v>85</v>
      </c>
      <c r="AI662" s="113">
        <v>40</v>
      </c>
    </row>
    <row r="663" spans="1:35">
      <c r="A663" s="113">
        <v>593</v>
      </c>
      <c r="B663" s="113" t="s">
        <v>634</v>
      </c>
      <c r="C663" s="120" t="s">
        <v>5918</v>
      </c>
      <c r="D663" s="124">
        <v>0.5</v>
      </c>
      <c r="E663" s="124">
        <v>0.5</v>
      </c>
      <c r="F663" s="113" t="s">
        <v>2336</v>
      </c>
      <c r="G663" s="113" t="s">
        <v>2121</v>
      </c>
      <c r="H663" s="113" t="s">
        <v>25</v>
      </c>
      <c r="I663" s="113" t="s">
        <v>119</v>
      </c>
      <c r="J663" s="118" t="s">
        <v>2129</v>
      </c>
      <c r="K663" s="118">
        <v>2</v>
      </c>
      <c r="L663" s="118" t="s">
        <v>5917</v>
      </c>
      <c r="M663" s="115" t="s">
        <v>5917</v>
      </c>
      <c r="N663" s="115" t="s">
        <v>6504</v>
      </c>
      <c r="O663" s="115">
        <v>1.25</v>
      </c>
      <c r="P663" s="115" t="s">
        <v>2128</v>
      </c>
      <c r="Q663" s="166"/>
      <c r="R663" s="164"/>
      <c r="S663" s="164"/>
      <c r="T663" s="164"/>
      <c r="U663" s="164"/>
      <c r="V663" s="162"/>
      <c r="W663" s="158"/>
      <c r="X663" s="158"/>
      <c r="Y663" s="158"/>
      <c r="Z663" s="158"/>
      <c r="AA663" s="158"/>
      <c r="AB663" s="158"/>
      <c r="AC663" s="113">
        <v>480</v>
      </c>
      <c r="AD663" s="113">
        <v>100</v>
      </c>
      <c r="AE663" s="113">
        <v>60</v>
      </c>
      <c r="AF663" s="113">
        <v>70</v>
      </c>
      <c r="AG663" s="120">
        <v>85</v>
      </c>
      <c r="AH663" s="113">
        <v>105</v>
      </c>
      <c r="AI663" s="113">
        <v>60</v>
      </c>
    </row>
    <row r="664" spans="1:35">
      <c r="A664" s="113">
        <v>594</v>
      </c>
      <c r="B664" s="113" t="s">
        <v>635</v>
      </c>
      <c r="C664" s="120" t="s">
        <v>5919</v>
      </c>
      <c r="D664" s="124">
        <v>0.5</v>
      </c>
      <c r="E664" s="124">
        <v>0.5</v>
      </c>
      <c r="F664" s="113" t="s">
        <v>2337</v>
      </c>
      <c r="G664" s="113" t="s">
        <v>2121</v>
      </c>
      <c r="H664" s="113" t="s">
        <v>25</v>
      </c>
      <c r="I664" s="113" t="s">
        <v>1109</v>
      </c>
      <c r="J664" s="118" t="s">
        <v>2129</v>
      </c>
      <c r="K664" s="118">
        <v>3</v>
      </c>
      <c r="L664" s="118" t="s">
        <v>5919</v>
      </c>
      <c r="M664" s="115" t="s">
        <v>1109</v>
      </c>
      <c r="N664" s="115" t="s">
        <v>6504</v>
      </c>
      <c r="O664" s="115">
        <v>1.5</v>
      </c>
      <c r="P664" s="115" t="s">
        <v>1109</v>
      </c>
      <c r="Q664" s="166"/>
      <c r="R664" s="164"/>
      <c r="S664" s="164"/>
      <c r="T664" s="164"/>
      <c r="U664" s="164"/>
      <c r="V664" s="162"/>
      <c r="W664" s="158"/>
      <c r="X664" s="158"/>
      <c r="Y664" s="158"/>
      <c r="Z664" s="158"/>
      <c r="AA664" s="158"/>
      <c r="AB664" s="158"/>
      <c r="AC664" s="113">
        <v>470</v>
      </c>
      <c r="AD664" s="113">
        <v>165</v>
      </c>
      <c r="AE664" s="113">
        <v>75</v>
      </c>
      <c r="AF664" s="113">
        <v>80</v>
      </c>
      <c r="AG664" s="120">
        <v>40</v>
      </c>
      <c r="AH664" s="113">
        <v>45</v>
      </c>
      <c r="AI664" s="113">
        <v>65</v>
      </c>
    </row>
    <row r="665" spans="1:35">
      <c r="A665" s="113">
        <v>595</v>
      </c>
      <c r="B665" s="113" t="s">
        <v>636</v>
      </c>
      <c r="C665" s="120" t="s">
        <v>5920</v>
      </c>
      <c r="D665" s="124">
        <v>0.5</v>
      </c>
      <c r="E665" s="124">
        <v>0.5</v>
      </c>
      <c r="F665" s="113" t="s">
        <v>29</v>
      </c>
      <c r="G665" s="113" t="s">
        <v>2121</v>
      </c>
      <c r="H665" s="113" t="s">
        <v>29</v>
      </c>
      <c r="I665" s="113" t="s">
        <v>46</v>
      </c>
      <c r="J665" s="118" t="s">
        <v>2129</v>
      </c>
      <c r="K665" s="118">
        <v>2</v>
      </c>
      <c r="L665" s="118" t="s">
        <v>5920</v>
      </c>
      <c r="M665" s="115" t="s">
        <v>1109</v>
      </c>
      <c r="N665" s="115" t="s">
        <v>6505</v>
      </c>
      <c r="O665" s="115">
        <v>1.25</v>
      </c>
      <c r="P665" s="115" t="s">
        <v>1109</v>
      </c>
      <c r="Q665" s="166"/>
      <c r="R665" s="164"/>
      <c r="S665" s="164"/>
      <c r="T665" s="164"/>
      <c r="U665" s="164"/>
      <c r="V665" s="162"/>
      <c r="W665" s="158"/>
      <c r="X665" s="158"/>
      <c r="Y665" s="158"/>
      <c r="Z665" s="158"/>
      <c r="AA665" s="158"/>
      <c r="AB665" s="158"/>
      <c r="AC665" s="113">
        <v>319</v>
      </c>
      <c r="AD665" s="113">
        <v>50</v>
      </c>
      <c r="AE665" s="113">
        <v>47</v>
      </c>
      <c r="AF665" s="113">
        <v>50</v>
      </c>
      <c r="AG665" s="120">
        <v>57</v>
      </c>
      <c r="AH665" s="113">
        <v>50</v>
      </c>
      <c r="AI665" s="113">
        <v>65</v>
      </c>
    </row>
    <row r="666" spans="1:35">
      <c r="A666" s="113">
        <v>596</v>
      </c>
      <c r="B666" s="113" t="s">
        <v>637</v>
      </c>
      <c r="C666" s="120" t="s">
        <v>5921</v>
      </c>
      <c r="D666" s="124">
        <v>0.5</v>
      </c>
      <c r="E666" s="124">
        <v>0.5</v>
      </c>
      <c r="F666" s="113" t="s">
        <v>29</v>
      </c>
      <c r="G666" s="113" t="s">
        <v>2121</v>
      </c>
      <c r="H666" s="113" t="s">
        <v>29</v>
      </c>
      <c r="I666" s="113" t="s">
        <v>46</v>
      </c>
      <c r="J666" s="118" t="s">
        <v>2129</v>
      </c>
      <c r="K666" s="118">
        <v>2</v>
      </c>
      <c r="L666" s="118" t="s">
        <v>5920</v>
      </c>
      <c r="M666" s="115" t="s">
        <v>5920</v>
      </c>
      <c r="N666" s="115" t="s">
        <v>6504</v>
      </c>
      <c r="O666" s="115">
        <v>1.25</v>
      </c>
      <c r="P666" s="115" t="s">
        <v>2128</v>
      </c>
      <c r="Q666" s="166"/>
      <c r="R666" s="164"/>
      <c r="S666" s="164"/>
      <c r="T666" s="164"/>
      <c r="U666" s="164"/>
      <c r="V666" s="162"/>
      <c r="W666" s="158"/>
      <c r="X666" s="158"/>
      <c r="Y666" s="158"/>
      <c r="Z666" s="158"/>
      <c r="AA666" s="158"/>
      <c r="AB666" s="158"/>
      <c r="AC666" s="113">
        <v>472</v>
      </c>
      <c r="AD666" s="113">
        <v>70</v>
      </c>
      <c r="AE666" s="113">
        <v>77</v>
      </c>
      <c r="AF666" s="113">
        <v>60</v>
      </c>
      <c r="AG666" s="120">
        <v>97</v>
      </c>
      <c r="AH666" s="113">
        <v>60</v>
      </c>
      <c r="AI666" s="113">
        <v>108</v>
      </c>
    </row>
    <row r="667" spans="1:35">
      <c r="A667" s="113">
        <v>597</v>
      </c>
      <c r="B667" s="113" t="s">
        <v>638</v>
      </c>
      <c r="C667" s="120" t="s">
        <v>5922</v>
      </c>
      <c r="D667" s="124">
        <v>0.5</v>
      </c>
      <c r="E667" s="124">
        <v>0.5</v>
      </c>
      <c r="F667" s="113" t="s">
        <v>2112</v>
      </c>
      <c r="G667" s="113" t="s">
        <v>2121</v>
      </c>
      <c r="H667" s="113" t="s">
        <v>14</v>
      </c>
      <c r="I667" s="113" t="s">
        <v>106</v>
      </c>
      <c r="J667" s="118" t="s">
        <v>2129</v>
      </c>
      <c r="K667" s="118">
        <v>2</v>
      </c>
      <c r="L667" s="118" t="s">
        <v>5922</v>
      </c>
      <c r="M667" s="115" t="s">
        <v>1109</v>
      </c>
      <c r="N667" s="115" t="s">
        <v>6505</v>
      </c>
      <c r="O667" s="115">
        <v>1.25</v>
      </c>
      <c r="P667" s="115" t="s">
        <v>1109</v>
      </c>
      <c r="Q667" s="166"/>
      <c r="R667" s="164"/>
      <c r="S667" s="164"/>
      <c r="T667" s="164"/>
      <c r="U667" s="164"/>
      <c r="V667" s="162"/>
      <c r="W667" s="158"/>
      <c r="X667" s="158"/>
      <c r="Y667" s="158"/>
      <c r="Z667" s="158"/>
      <c r="AA667" s="158"/>
      <c r="AB667" s="158"/>
      <c r="AC667" s="113">
        <v>305</v>
      </c>
      <c r="AD667" s="113">
        <v>44</v>
      </c>
      <c r="AE667" s="113">
        <v>50</v>
      </c>
      <c r="AF667" s="113">
        <v>91</v>
      </c>
      <c r="AG667" s="120">
        <v>24</v>
      </c>
      <c r="AH667" s="113">
        <v>86</v>
      </c>
      <c r="AI667" s="113">
        <v>10</v>
      </c>
    </row>
    <row r="668" spans="1:35">
      <c r="A668" s="113">
        <v>598</v>
      </c>
      <c r="B668" s="113" t="s">
        <v>639</v>
      </c>
      <c r="C668" s="120" t="s">
        <v>5923</v>
      </c>
      <c r="D668" s="124">
        <v>0.5</v>
      </c>
      <c r="E668" s="124">
        <v>0.5</v>
      </c>
      <c r="F668" s="113" t="s">
        <v>2112</v>
      </c>
      <c r="G668" s="113" t="s">
        <v>2121</v>
      </c>
      <c r="H668" s="113" t="s">
        <v>14</v>
      </c>
      <c r="I668" s="113" t="s">
        <v>106</v>
      </c>
      <c r="J668" s="118" t="s">
        <v>2129</v>
      </c>
      <c r="K668" s="118">
        <v>2</v>
      </c>
      <c r="L668" s="118" t="s">
        <v>5922</v>
      </c>
      <c r="M668" s="115" t="s">
        <v>5922</v>
      </c>
      <c r="N668" s="115" t="s">
        <v>6504</v>
      </c>
      <c r="O668" s="115">
        <v>1.25</v>
      </c>
      <c r="P668" s="115" t="s">
        <v>2128</v>
      </c>
      <c r="Q668" s="166"/>
      <c r="R668" s="164"/>
      <c r="S668" s="164"/>
      <c r="T668" s="164"/>
      <c r="U668" s="164"/>
      <c r="V668" s="162"/>
      <c r="W668" s="158"/>
      <c r="X668" s="158"/>
      <c r="Y668" s="158"/>
      <c r="Z668" s="158"/>
      <c r="AA668" s="158"/>
      <c r="AB668" s="158"/>
      <c r="AC668" s="113">
        <v>489</v>
      </c>
      <c r="AD668" s="113">
        <v>74</v>
      </c>
      <c r="AE668" s="113">
        <v>94</v>
      </c>
      <c r="AF668" s="113">
        <v>131</v>
      </c>
      <c r="AG668" s="120">
        <v>54</v>
      </c>
      <c r="AH668" s="113">
        <v>116</v>
      </c>
      <c r="AI668" s="113">
        <v>20</v>
      </c>
    </row>
    <row r="669" spans="1:35">
      <c r="A669" s="113">
        <v>599</v>
      </c>
      <c r="B669" s="113" t="s">
        <v>640</v>
      </c>
      <c r="C669" s="120" t="s">
        <v>5924</v>
      </c>
      <c r="D669" s="124" t="s">
        <v>1109</v>
      </c>
      <c r="E669" s="124" t="s">
        <v>1109</v>
      </c>
      <c r="F669" s="113" t="s">
        <v>2112</v>
      </c>
      <c r="G669" s="113" t="s">
        <v>2121</v>
      </c>
      <c r="H669" s="113" t="s">
        <v>106</v>
      </c>
      <c r="I669" s="113" t="s">
        <v>1109</v>
      </c>
      <c r="J669" s="118" t="s">
        <v>2129</v>
      </c>
      <c r="K669" s="118">
        <v>2</v>
      </c>
      <c r="L669" s="118" t="s">
        <v>5924</v>
      </c>
      <c r="M669" s="115" t="s">
        <v>1109</v>
      </c>
      <c r="N669" s="115" t="s">
        <v>6505</v>
      </c>
      <c r="O669" s="115">
        <v>1.25</v>
      </c>
      <c r="P669" s="115" t="s">
        <v>1109</v>
      </c>
      <c r="Q669" s="166"/>
      <c r="R669" s="164"/>
      <c r="S669" s="164"/>
      <c r="T669" s="164"/>
      <c r="U669" s="164"/>
      <c r="V669" s="162"/>
      <c r="W669" s="158"/>
      <c r="X669" s="158"/>
      <c r="Y669" s="158"/>
      <c r="Z669" s="158"/>
      <c r="AA669" s="158"/>
      <c r="AB669" s="158"/>
      <c r="AC669" s="113">
        <v>300</v>
      </c>
      <c r="AD669" s="113">
        <v>40</v>
      </c>
      <c r="AE669" s="113">
        <v>55</v>
      </c>
      <c r="AF669" s="113">
        <v>70</v>
      </c>
      <c r="AG669" s="120">
        <v>45</v>
      </c>
      <c r="AH669" s="113">
        <v>60</v>
      </c>
      <c r="AI669" s="113">
        <v>30</v>
      </c>
    </row>
    <row r="670" spans="1:35">
      <c r="A670" s="113">
        <v>600</v>
      </c>
      <c r="B670" s="113" t="s">
        <v>641</v>
      </c>
      <c r="C670" s="120" t="s">
        <v>5925</v>
      </c>
      <c r="D670" s="124" t="s">
        <v>1109</v>
      </c>
      <c r="E670" s="124" t="s">
        <v>1109</v>
      </c>
      <c r="F670" s="113" t="s">
        <v>2112</v>
      </c>
      <c r="G670" s="113" t="s">
        <v>2121</v>
      </c>
      <c r="H670" s="113" t="s">
        <v>106</v>
      </c>
      <c r="I670" s="113" t="s">
        <v>1109</v>
      </c>
      <c r="J670" s="118" t="s">
        <v>2129</v>
      </c>
      <c r="K670" s="118">
        <v>2</v>
      </c>
      <c r="L670" s="118" t="s">
        <v>5924</v>
      </c>
      <c r="M670" s="115" t="s">
        <v>5924</v>
      </c>
      <c r="N670" s="115" t="s">
        <v>6506</v>
      </c>
      <c r="O670" s="115">
        <v>1.25</v>
      </c>
      <c r="P670" s="115" t="s">
        <v>2128</v>
      </c>
      <c r="Q670" s="166"/>
      <c r="R670" s="164"/>
      <c r="S670" s="164"/>
      <c r="T670" s="164"/>
      <c r="U670" s="164"/>
      <c r="V670" s="162"/>
      <c r="W670" s="158"/>
      <c r="X670" s="158"/>
      <c r="Y670" s="158"/>
      <c r="Z670" s="158"/>
      <c r="AA670" s="158"/>
      <c r="AB670" s="158"/>
      <c r="AC670" s="113">
        <v>440</v>
      </c>
      <c r="AD670" s="113">
        <v>60</v>
      </c>
      <c r="AE670" s="113">
        <v>80</v>
      </c>
      <c r="AF670" s="113">
        <v>95</v>
      </c>
      <c r="AG670" s="120">
        <v>70</v>
      </c>
      <c r="AH670" s="113">
        <v>85</v>
      </c>
      <c r="AI670" s="113">
        <v>50</v>
      </c>
    </row>
    <row r="671" spans="1:35">
      <c r="A671" s="113">
        <v>601</v>
      </c>
      <c r="B671" s="113" t="s">
        <v>642</v>
      </c>
      <c r="C671" s="120" t="s">
        <v>5926</v>
      </c>
      <c r="D671" s="124" t="s">
        <v>1109</v>
      </c>
      <c r="E671" s="124" t="s">
        <v>1109</v>
      </c>
      <c r="F671" s="113" t="s">
        <v>2112</v>
      </c>
      <c r="G671" s="113" t="s">
        <v>2121</v>
      </c>
      <c r="H671" s="113" t="s">
        <v>106</v>
      </c>
      <c r="I671" s="113" t="s">
        <v>1109</v>
      </c>
      <c r="J671" s="118" t="s">
        <v>2129</v>
      </c>
      <c r="K671" s="118">
        <v>2</v>
      </c>
      <c r="L671" s="118" t="s">
        <v>5924</v>
      </c>
      <c r="M671" s="115" t="s">
        <v>5925</v>
      </c>
      <c r="N671" s="115" t="s">
        <v>6504</v>
      </c>
      <c r="O671" s="115">
        <v>1.25</v>
      </c>
      <c r="P671" s="115" t="s">
        <v>2128</v>
      </c>
      <c r="Q671" s="166"/>
      <c r="R671" s="164"/>
      <c r="S671" s="164"/>
      <c r="T671" s="164"/>
      <c r="U671" s="164"/>
      <c r="V671" s="162"/>
      <c r="W671" s="158"/>
      <c r="X671" s="158"/>
      <c r="Y671" s="158"/>
      <c r="Z671" s="158"/>
      <c r="AA671" s="158"/>
      <c r="AB671" s="158"/>
      <c r="AC671" s="113">
        <v>520</v>
      </c>
      <c r="AD671" s="113">
        <v>60</v>
      </c>
      <c r="AE671" s="113">
        <v>100</v>
      </c>
      <c r="AF671" s="113">
        <v>115</v>
      </c>
      <c r="AG671" s="120">
        <v>70</v>
      </c>
      <c r="AH671" s="113">
        <v>85</v>
      </c>
      <c r="AI671" s="113">
        <v>90</v>
      </c>
    </row>
    <row r="672" spans="1:35">
      <c r="A672" s="113">
        <v>602</v>
      </c>
      <c r="B672" s="113" t="s">
        <v>643</v>
      </c>
      <c r="C672" s="120" t="s">
        <v>5927</v>
      </c>
      <c r="D672" s="124">
        <v>0.5</v>
      </c>
      <c r="E672" s="124">
        <v>0.5</v>
      </c>
      <c r="F672" s="113" t="s">
        <v>2336</v>
      </c>
      <c r="G672" s="113" t="s">
        <v>2121</v>
      </c>
      <c r="H672" s="113" t="s">
        <v>46</v>
      </c>
      <c r="I672" s="113" t="s">
        <v>1109</v>
      </c>
      <c r="J672" s="118" t="s">
        <v>2129</v>
      </c>
      <c r="K672" s="118">
        <v>3</v>
      </c>
      <c r="L672" s="118" t="s">
        <v>5927</v>
      </c>
      <c r="M672" s="115" t="s">
        <v>1109</v>
      </c>
      <c r="N672" s="115" t="s">
        <v>6505</v>
      </c>
      <c r="O672" s="115">
        <v>1.5</v>
      </c>
      <c r="P672" s="115" t="s">
        <v>1109</v>
      </c>
      <c r="Q672" s="166"/>
      <c r="R672" s="164"/>
      <c r="S672" s="164"/>
      <c r="T672" s="164"/>
      <c r="U672" s="164"/>
      <c r="V672" s="162"/>
      <c r="W672" s="158"/>
      <c r="X672" s="158"/>
      <c r="Y672" s="158"/>
      <c r="Z672" s="158"/>
      <c r="AA672" s="158"/>
      <c r="AB672" s="158"/>
      <c r="AC672" s="113">
        <v>275</v>
      </c>
      <c r="AD672" s="113">
        <v>35</v>
      </c>
      <c r="AE672" s="113">
        <v>55</v>
      </c>
      <c r="AF672" s="113">
        <v>40</v>
      </c>
      <c r="AG672" s="120">
        <v>45</v>
      </c>
      <c r="AH672" s="113">
        <v>40</v>
      </c>
      <c r="AI672" s="113">
        <v>60</v>
      </c>
    </row>
    <row r="673" spans="1:35">
      <c r="A673" s="113">
        <v>603</v>
      </c>
      <c r="B673" s="113" t="s">
        <v>644</v>
      </c>
      <c r="C673" s="120" t="s">
        <v>5928</v>
      </c>
      <c r="D673" s="124">
        <v>0.5</v>
      </c>
      <c r="E673" s="124">
        <v>0.5</v>
      </c>
      <c r="F673" s="113" t="s">
        <v>2336</v>
      </c>
      <c r="G673" s="113" t="s">
        <v>2121</v>
      </c>
      <c r="H673" s="113" t="s">
        <v>46</v>
      </c>
      <c r="I673" s="113" t="s">
        <v>1109</v>
      </c>
      <c r="J673" s="118" t="s">
        <v>2129</v>
      </c>
      <c r="K673" s="118">
        <v>3</v>
      </c>
      <c r="L673" s="118" t="s">
        <v>5927</v>
      </c>
      <c r="M673" s="115" t="s">
        <v>5927</v>
      </c>
      <c r="N673" s="115" t="s">
        <v>6506</v>
      </c>
      <c r="O673" s="115">
        <v>1.5</v>
      </c>
      <c r="P673" s="115" t="s">
        <v>2128</v>
      </c>
      <c r="Q673" s="166"/>
      <c r="R673" s="164"/>
      <c r="S673" s="164"/>
      <c r="T673" s="164"/>
      <c r="U673" s="164"/>
      <c r="V673" s="162"/>
      <c r="W673" s="158"/>
      <c r="X673" s="158"/>
      <c r="Y673" s="158"/>
      <c r="Z673" s="158"/>
      <c r="AA673" s="158"/>
      <c r="AB673" s="158"/>
      <c r="AC673" s="113">
        <v>405</v>
      </c>
      <c r="AD673" s="113">
        <v>65</v>
      </c>
      <c r="AE673" s="113">
        <v>85</v>
      </c>
      <c r="AF673" s="113">
        <v>70</v>
      </c>
      <c r="AG673" s="120">
        <v>75</v>
      </c>
      <c r="AH673" s="113">
        <v>70</v>
      </c>
      <c r="AI673" s="113">
        <v>40</v>
      </c>
    </row>
    <row r="674" spans="1:35">
      <c r="A674" s="113">
        <v>604</v>
      </c>
      <c r="B674" s="113" t="s">
        <v>645</v>
      </c>
      <c r="C674" s="120" t="s">
        <v>5929</v>
      </c>
      <c r="D674" s="124">
        <v>0.5</v>
      </c>
      <c r="E674" s="124">
        <v>0.5</v>
      </c>
      <c r="F674" s="113" t="s">
        <v>2336</v>
      </c>
      <c r="G674" s="113" t="s">
        <v>2121</v>
      </c>
      <c r="H674" s="113" t="s">
        <v>46</v>
      </c>
      <c r="I674" s="113" t="s">
        <v>1109</v>
      </c>
      <c r="J674" s="118" t="s">
        <v>2129</v>
      </c>
      <c r="K674" s="118">
        <v>3</v>
      </c>
      <c r="L674" s="118" t="s">
        <v>5927</v>
      </c>
      <c r="M674" s="115" t="s">
        <v>5928</v>
      </c>
      <c r="N674" s="115" t="s">
        <v>6504</v>
      </c>
      <c r="O674" s="115">
        <v>1.5</v>
      </c>
      <c r="P674" s="115" t="s">
        <v>1803</v>
      </c>
      <c r="Q674" s="166"/>
      <c r="R674" s="164"/>
      <c r="S674" s="164"/>
      <c r="T674" s="164"/>
      <c r="U674" s="164"/>
      <c r="V674" s="162"/>
      <c r="W674" s="158"/>
      <c r="X674" s="158"/>
      <c r="Y674" s="158"/>
      <c r="Z674" s="158"/>
      <c r="AA674" s="158"/>
      <c r="AB674" s="158"/>
      <c r="AC674" s="113">
        <v>515</v>
      </c>
      <c r="AD674" s="113">
        <v>85</v>
      </c>
      <c r="AE674" s="113">
        <v>115</v>
      </c>
      <c r="AF674" s="113">
        <v>80</v>
      </c>
      <c r="AG674" s="120">
        <v>105</v>
      </c>
      <c r="AH674" s="113">
        <v>80</v>
      </c>
      <c r="AI674" s="113">
        <v>50</v>
      </c>
    </row>
    <row r="675" spans="1:35">
      <c r="A675" s="113">
        <v>605</v>
      </c>
      <c r="B675" s="113" t="s">
        <v>646</v>
      </c>
      <c r="C675" s="120" t="s">
        <v>5930</v>
      </c>
      <c r="D675" s="124">
        <v>0.5</v>
      </c>
      <c r="E675" s="124">
        <v>0.5</v>
      </c>
      <c r="F675" s="113" t="s">
        <v>2334</v>
      </c>
      <c r="G675" s="113" t="s">
        <v>2121</v>
      </c>
      <c r="H675" s="113" t="s">
        <v>86</v>
      </c>
      <c r="I675" s="113" t="s">
        <v>1109</v>
      </c>
      <c r="J675" s="118" t="s">
        <v>2129</v>
      </c>
      <c r="K675" s="118">
        <v>2</v>
      </c>
      <c r="L675" s="118" t="s">
        <v>5930</v>
      </c>
      <c r="M675" s="115" t="s">
        <v>1109</v>
      </c>
      <c r="N675" s="115" t="s">
        <v>6505</v>
      </c>
      <c r="O675" s="115">
        <v>1.25</v>
      </c>
      <c r="P675" s="115" t="s">
        <v>1109</v>
      </c>
      <c r="Q675" s="166"/>
      <c r="R675" s="164"/>
      <c r="S675" s="164"/>
      <c r="T675" s="164"/>
      <c r="U675" s="164"/>
      <c r="V675" s="162"/>
      <c r="W675" s="158"/>
      <c r="X675" s="158"/>
      <c r="Y675" s="158"/>
      <c r="Z675" s="158"/>
      <c r="AA675" s="158"/>
      <c r="AB675" s="158"/>
      <c r="AC675" s="113">
        <v>335</v>
      </c>
      <c r="AD675" s="113">
        <v>55</v>
      </c>
      <c r="AE675" s="113">
        <v>55</v>
      </c>
      <c r="AF675" s="113">
        <v>55</v>
      </c>
      <c r="AG675" s="120">
        <v>85</v>
      </c>
      <c r="AH675" s="113">
        <v>55</v>
      </c>
      <c r="AI675" s="113">
        <v>30</v>
      </c>
    </row>
    <row r="676" spans="1:35">
      <c r="A676" s="113">
        <v>606</v>
      </c>
      <c r="B676" s="113" t="s">
        <v>647</v>
      </c>
      <c r="C676" s="120" t="s">
        <v>5931</v>
      </c>
      <c r="D676" s="124">
        <v>0.5</v>
      </c>
      <c r="E676" s="124">
        <v>0.5</v>
      </c>
      <c r="F676" s="113" t="s">
        <v>2334</v>
      </c>
      <c r="G676" s="113" t="s">
        <v>2121</v>
      </c>
      <c r="H676" s="113" t="s">
        <v>86</v>
      </c>
      <c r="I676" s="113" t="s">
        <v>1109</v>
      </c>
      <c r="J676" s="118" t="s">
        <v>2129</v>
      </c>
      <c r="K676" s="118">
        <v>2</v>
      </c>
      <c r="L676" s="118" t="s">
        <v>5930</v>
      </c>
      <c r="M676" s="115" t="s">
        <v>5930</v>
      </c>
      <c r="N676" s="115" t="s">
        <v>6504</v>
      </c>
      <c r="O676" s="115">
        <v>1.25</v>
      </c>
      <c r="P676" s="115" t="s">
        <v>2128</v>
      </c>
      <c r="Q676" s="166"/>
      <c r="R676" s="164"/>
      <c r="S676" s="164"/>
      <c r="T676" s="164"/>
      <c r="U676" s="164"/>
      <c r="V676" s="162"/>
      <c r="W676" s="158"/>
      <c r="X676" s="158"/>
      <c r="Y676" s="158"/>
      <c r="Z676" s="158"/>
      <c r="AA676" s="158"/>
      <c r="AB676" s="158"/>
      <c r="AC676" s="113">
        <v>485</v>
      </c>
      <c r="AD676" s="113">
        <v>75</v>
      </c>
      <c r="AE676" s="113">
        <v>75</v>
      </c>
      <c r="AF676" s="113">
        <v>75</v>
      </c>
      <c r="AG676" s="120">
        <v>125</v>
      </c>
      <c r="AH676" s="113">
        <v>95</v>
      </c>
      <c r="AI676" s="113">
        <v>40</v>
      </c>
    </row>
    <row r="677" spans="1:35">
      <c r="A677" s="113">
        <v>607</v>
      </c>
      <c r="B677" s="113" t="s">
        <v>648</v>
      </c>
      <c r="C677" s="120" t="s">
        <v>5932</v>
      </c>
      <c r="D677" s="124">
        <v>0.5</v>
      </c>
      <c r="E677" s="124">
        <v>0.5</v>
      </c>
      <c r="F677" s="113" t="s">
        <v>2336</v>
      </c>
      <c r="G677" s="113" t="s">
        <v>2121</v>
      </c>
      <c r="H677" s="113" t="s">
        <v>119</v>
      </c>
      <c r="I677" s="113" t="s">
        <v>19</v>
      </c>
      <c r="J677" s="118" t="s">
        <v>2129</v>
      </c>
      <c r="K677" s="118">
        <v>2</v>
      </c>
      <c r="L677" s="118" t="s">
        <v>5932</v>
      </c>
      <c r="M677" s="115" t="s">
        <v>1109</v>
      </c>
      <c r="N677" s="115" t="s">
        <v>6505</v>
      </c>
      <c r="O677" s="115">
        <v>1.25</v>
      </c>
      <c r="P677" s="115" t="s">
        <v>1109</v>
      </c>
      <c r="Q677" s="166"/>
      <c r="R677" s="164"/>
      <c r="S677" s="164"/>
      <c r="T677" s="164"/>
      <c r="U677" s="164"/>
      <c r="V677" s="162"/>
      <c r="W677" s="158"/>
      <c r="X677" s="158"/>
      <c r="Y677" s="158"/>
      <c r="Z677" s="158"/>
      <c r="AA677" s="158"/>
      <c r="AB677" s="158"/>
      <c r="AC677" s="113">
        <v>275</v>
      </c>
      <c r="AD677" s="113">
        <v>50</v>
      </c>
      <c r="AE677" s="113">
        <v>30</v>
      </c>
      <c r="AF677" s="113">
        <v>55</v>
      </c>
      <c r="AG677" s="120">
        <v>65</v>
      </c>
      <c r="AH677" s="113">
        <v>55</v>
      </c>
      <c r="AI677" s="113">
        <v>20</v>
      </c>
    </row>
    <row r="678" spans="1:35">
      <c r="A678" s="113">
        <v>608</v>
      </c>
      <c r="B678" s="113" t="s">
        <v>649</v>
      </c>
      <c r="C678" s="120" t="s">
        <v>5933</v>
      </c>
      <c r="D678" s="124">
        <v>0.5</v>
      </c>
      <c r="E678" s="124">
        <v>0.5</v>
      </c>
      <c r="F678" s="113" t="s">
        <v>2336</v>
      </c>
      <c r="G678" s="113" t="s">
        <v>2121</v>
      </c>
      <c r="H678" s="113" t="s">
        <v>119</v>
      </c>
      <c r="I678" s="113" t="s">
        <v>19</v>
      </c>
      <c r="J678" s="118" t="s">
        <v>2129</v>
      </c>
      <c r="K678" s="118">
        <v>2</v>
      </c>
      <c r="L678" s="118" t="s">
        <v>5932</v>
      </c>
      <c r="M678" s="115" t="s">
        <v>5932</v>
      </c>
      <c r="N678" s="115" t="s">
        <v>6506</v>
      </c>
      <c r="O678" s="115">
        <v>1.25</v>
      </c>
      <c r="P678" s="115" t="s">
        <v>2128</v>
      </c>
      <c r="Q678" s="166"/>
      <c r="R678" s="164"/>
      <c r="S678" s="164"/>
      <c r="T678" s="164"/>
      <c r="U678" s="164"/>
      <c r="V678" s="162"/>
      <c r="W678" s="158"/>
      <c r="X678" s="158"/>
      <c r="Y678" s="158"/>
      <c r="Z678" s="158"/>
      <c r="AA678" s="158"/>
      <c r="AB678" s="158"/>
      <c r="AC678" s="113">
        <v>370</v>
      </c>
      <c r="AD678" s="113">
        <v>60</v>
      </c>
      <c r="AE678" s="113">
        <v>40</v>
      </c>
      <c r="AF678" s="113">
        <v>60</v>
      </c>
      <c r="AG678" s="120">
        <v>95</v>
      </c>
      <c r="AH678" s="113">
        <v>60</v>
      </c>
      <c r="AI678" s="113">
        <v>55</v>
      </c>
    </row>
    <row r="679" spans="1:35">
      <c r="A679" s="113">
        <v>609</v>
      </c>
      <c r="B679" s="113" t="s">
        <v>650</v>
      </c>
      <c r="C679" s="120" t="s">
        <v>5934</v>
      </c>
      <c r="D679" s="124">
        <v>0.5</v>
      </c>
      <c r="E679" s="124">
        <v>0.5</v>
      </c>
      <c r="F679" s="113" t="s">
        <v>2336</v>
      </c>
      <c r="G679" s="113" t="s">
        <v>2121</v>
      </c>
      <c r="H679" s="113" t="s">
        <v>119</v>
      </c>
      <c r="I679" s="113" t="s">
        <v>19</v>
      </c>
      <c r="J679" s="118" t="s">
        <v>2129</v>
      </c>
      <c r="K679" s="118">
        <v>2</v>
      </c>
      <c r="L679" s="118" t="s">
        <v>5932</v>
      </c>
      <c r="M679" s="115" t="s">
        <v>5933</v>
      </c>
      <c r="N679" s="115" t="s">
        <v>6504</v>
      </c>
      <c r="O679" s="115">
        <v>1.25</v>
      </c>
      <c r="P679" s="115" t="s">
        <v>1803</v>
      </c>
      <c r="Q679" s="166"/>
      <c r="R679" s="164"/>
      <c r="S679" s="164"/>
      <c r="T679" s="164"/>
      <c r="U679" s="164"/>
      <c r="V679" s="162"/>
      <c r="W679" s="158"/>
      <c r="X679" s="158"/>
      <c r="Y679" s="158"/>
      <c r="Z679" s="158"/>
      <c r="AA679" s="158"/>
      <c r="AB679" s="158"/>
      <c r="AC679" s="113">
        <v>520</v>
      </c>
      <c r="AD679" s="113">
        <v>60</v>
      </c>
      <c r="AE679" s="113">
        <v>55</v>
      </c>
      <c r="AF679" s="113">
        <v>90</v>
      </c>
      <c r="AG679" s="120">
        <v>145</v>
      </c>
      <c r="AH679" s="113">
        <v>90</v>
      </c>
      <c r="AI679" s="113">
        <v>80</v>
      </c>
    </row>
    <row r="680" spans="1:35">
      <c r="A680" s="113">
        <v>610</v>
      </c>
      <c r="B680" s="113" t="s">
        <v>651</v>
      </c>
      <c r="C680" s="120" t="s">
        <v>5935</v>
      </c>
      <c r="D680" s="124">
        <v>0.5</v>
      </c>
      <c r="E680" s="124">
        <v>0.5</v>
      </c>
      <c r="F680" s="113" t="s">
        <v>23</v>
      </c>
      <c r="G680" s="113" t="s">
        <v>2121</v>
      </c>
      <c r="H680" s="113" t="s">
        <v>23</v>
      </c>
      <c r="I680" s="113" t="s">
        <v>1109</v>
      </c>
      <c r="J680" s="118" t="s">
        <v>2129</v>
      </c>
      <c r="K680" s="118">
        <v>3</v>
      </c>
      <c r="L680" s="118" t="s">
        <v>5935</v>
      </c>
      <c r="M680" s="115" t="s">
        <v>1109</v>
      </c>
      <c r="N680" s="115" t="s">
        <v>6505</v>
      </c>
      <c r="O680" s="115">
        <v>1.5</v>
      </c>
      <c r="P680" s="115" t="s">
        <v>1109</v>
      </c>
      <c r="Q680" s="166"/>
      <c r="R680" s="164"/>
      <c r="S680" s="164"/>
      <c r="T680" s="164"/>
      <c r="U680" s="164"/>
      <c r="V680" s="162"/>
      <c r="W680" s="158"/>
      <c r="X680" s="158"/>
      <c r="Y680" s="158"/>
      <c r="Z680" s="158"/>
      <c r="AA680" s="158"/>
      <c r="AB680" s="158"/>
      <c r="AC680" s="113">
        <v>320</v>
      </c>
      <c r="AD680" s="113">
        <v>46</v>
      </c>
      <c r="AE680" s="113">
        <v>87</v>
      </c>
      <c r="AF680" s="113">
        <v>60</v>
      </c>
      <c r="AG680" s="120">
        <v>30</v>
      </c>
      <c r="AH680" s="113">
        <v>40</v>
      </c>
      <c r="AI680" s="113">
        <v>57</v>
      </c>
    </row>
    <row r="681" spans="1:35">
      <c r="A681" s="113">
        <v>611</v>
      </c>
      <c r="B681" s="113" t="s">
        <v>652</v>
      </c>
      <c r="C681" s="120" t="s">
        <v>5936</v>
      </c>
      <c r="D681" s="124">
        <v>0.5</v>
      </c>
      <c r="E681" s="124">
        <v>0.5</v>
      </c>
      <c r="F681" s="113" t="s">
        <v>23</v>
      </c>
      <c r="G681" s="113" t="s">
        <v>2121</v>
      </c>
      <c r="H681" s="113" t="s">
        <v>23</v>
      </c>
      <c r="I681" s="113" t="s">
        <v>1109</v>
      </c>
      <c r="J681" s="118" t="s">
        <v>2129</v>
      </c>
      <c r="K681" s="118">
        <v>3</v>
      </c>
      <c r="L681" s="118" t="s">
        <v>5935</v>
      </c>
      <c r="M681" s="115" t="s">
        <v>5935</v>
      </c>
      <c r="N681" s="115" t="s">
        <v>6506</v>
      </c>
      <c r="O681" s="115">
        <v>1.5</v>
      </c>
      <c r="P681" s="115" t="s">
        <v>2128</v>
      </c>
      <c r="Q681" s="166"/>
      <c r="R681" s="164"/>
      <c r="S681" s="164"/>
      <c r="T681" s="164"/>
      <c r="U681" s="164"/>
      <c r="V681" s="162"/>
      <c r="W681" s="158"/>
      <c r="X681" s="158"/>
      <c r="Y681" s="158"/>
      <c r="Z681" s="158"/>
      <c r="AA681" s="158"/>
      <c r="AB681" s="158"/>
      <c r="AC681" s="113">
        <v>410</v>
      </c>
      <c r="AD681" s="113">
        <v>66</v>
      </c>
      <c r="AE681" s="113">
        <v>117</v>
      </c>
      <c r="AF681" s="113">
        <v>70</v>
      </c>
      <c r="AG681" s="120">
        <v>40</v>
      </c>
      <c r="AH681" s="113">
        <v>50</v>
      </c>
      <c r="AI681" s="113">
        <v>67</v>
      </c>
    </row>
    <row r="682" spans="1:35">
      <c r="A682" s="113">
        <v>612</v>
      </c>
      <c r="B682" s="113" t="s">
        <v>653</v>
      </c>
      <c r="C682" s="120" t="s">
        <v>5937</v>
      </c>
      <c r="D682" s="124">
        <v>0.5</v>
      </c>
      <c r="E682" s="124">
        <v>0.5</v>
      </c>
      <c r="F682" s="113" t="s">
        <v>23</v>
      </c>
      <c r="G682" s="113" t="s">
        <v>2121</v>
      </c>
      <c r="H682" s="113" t="s">
        <v>23</v>
      </c>
      <c r="I682" s="113" t="s">
        <v>1109</v>
      </c>
      <c r="J682" s="118" t="s">
        <v>2129</v>
      </c>
      <c r="K682" s="118">
        <v>3</v>
      </c>
      <c r="L682" s="118" t="s">
        <v>5935</v>
      </c>
      <c r="M682" s="115" t="s">
        <v>5936</v>
      </c>
      <c r="N682" s="115" t="s">
        <v>6504</v>
      </c>
      <c r="O682" s="115">
        <v>1.5</v>
      </c>
      <c r="P682" s="115" t="s">
        <v>2128</v>
      </c>
      <c r="Q682" s="166"/>
      <c r="R682" s="164"/>
      <c r="S682" s="164"/>
      <c r="T682" s="164"/>
      <c r="U682" s="164"/>
      <c r="V682" s="162"/>
      <c r="W682" s="158"/>
      <c r="X682" s="158"/>
      <c r="Y682" s="158"/>
      <c r="Z682" s="158"/>
      <c r="AA682" s="158"/>
      <c r="AB682" s="158"/>
      <c r="AC682" s="113">
        <v>540</v>
      </c>
      <c r="AD682" s="113">
        <v>76</v>
      </c>
      <c r="AE682" s="113">
        <v>147</v>
      </c>
      <c r="AF682" s="113">
        <v>90</v>
      </c>
      <c r="AG682" s="120">
        <v>60</v>
      </c>
      <c r="AH682" s="113">
        <v>70</v>
      </c>
      <c r="AI682" s="113">
        <v>97</v>
      </c>
    </row>
    <row r="683" spans="1:35">
      <c r="A683" s="113">
        <v>613</v>
      </c>
      <c r="B683" s="113" t="s">
        <v>654</v>
      </c>
      <c r="C683" s="120" t="s">
        <v>5938</v>
      </c>
      <c r="D683" s="124">
        <v>0.5</v>
      </c>
      <c r="E683" s="124">
        <v>0.5</v>
      </c>
      <c r="F683" s="113" t="s">
        <v>2332</v>
      </c>
      <c r="G683" s="113" t="s">
        <v>2121</v>
      </c>
      <c r="H683" s="113" t="s">
        <v>113</v>
      </c>
      <c r="I683" s="113" t="s">
        <v>1109</v>
      </c>
      <c r="J683" s="118" t="s">
        <v>2129</v>
      </c>
      <c r="K683" s="118">
        <v>2</v>
      </c>
      <c r="L683" s="118" t="s">
        <v>5938</v>
      </c>
      <c r="M683" s="115" t="s">
        <v>1109</v>
      </c>
      <c r="N683" s="115" t="s">
        <v>6505</v>
      </c>
      <c r="O683" s="115">
        <v>1.25</v>
      </c>
      <c r="P683" s="115" t="s">
        <v>1109</v>
      </c>
      <c r="Q683" s="166"/>
      <c r="R683" s="164"/>
      <c r="S683" s="164"/>
      <c r="T683" s="164"/>
      <c r="U683" s="164"/>
      <c r="V683" s="162"/>
      <c r="W683" s="158"/>
      <c r="X683" s="158"/>
      <c r="Y683" s="158"/>
      <c r="Z683" s="158"/>
      <c r="AA683" s="158"/>
      <c r="AB683" s="158"/>
      <c r="AC683" s="113">
        <v>305</v>
      </c>
      <c r="AD683" s="113">
        <v>55</v>
      </c>
      <c r="AE683" s="113">
        <v>70</v>
      </c>
      <c r="AF683" s="113">
        <v>40</v>
      </c>
      <c r="AG683" s="120">
        <v>60</v>
      </c>
      <c r="AH683" s="113">
        <v>40</v>
      </c>
      <c r="AI683" s="113">
        <v>40</v>
      </c>
    </row>
    <row r="684" spans="1:35">
      <c r="A684" s="113">
        <v>614</v>
      </c>
      <c r="B684" s="113" t="s">
        <v>655</v>
      </c>
      <c r="C684" s="120" t="s">
        <v>5939</v>
      </c>
      <c r="D684" s="124">
        <v>0.5</v>
      </c>
      <c r="E684" s="124">
        <v>0.5</v>
      </c>
      <c r="F684" s="113" t="s">
        <v>2332</v>
      </c>
      <c r="G684" s="113" t="s">
        <v>2121</v>
      </c>
      <c r="H684" s="113" t="s">
        <v>113</v>
      </c>
      <c r="I684" s="113" t="s">
        <v>1109</v>
      </c>
      <c r="J684" s="118" t="s">
        <v>2129</v>
      </c>
      <c r="K684" s="118">
        <v>2</v>
      </c>
      <c r="L684" s="118" t="s">
        <v>5938</v>
      </c>
      <c r="M684" s="115" t="s">
        <v>5938</v>
      </c>
      <c r="N684" s="115" t="s">
        <v>6504</v>
      </c>
      <c r="O684" s="115">
        <v>1.25</v>
      </c>
      <c r="P684" s="115" t="s">
        <v>2128</v>
      </c>
      <c r="Q684" s="166"/>
      <c r="R684" s="164"/>
      <c r="S684" s="164"/>
      <c r="T684" s="164"/>
      <c r="U684" s="164"/>
      <c r="V684" s="162"/>
      <c r="W684" s="158"/>
      <c r="X684" s="158"/>
      <c r="Y684" s="158"/>
      <c r="Z684" s="158"/>
      <c r="AA684" s="158"/>
      <c r="AB684" s="158"/>
      <c r="AC684" s="113">
        <v>505</v>
      </c>
      <c r="AD684" s="113">
        <v>95</v>
      </c>
      <c r="AE684" s="113">
        <v>130</v>
      </c>
      <c r="AF684" s="113">
        <v>80</v>
      </c>
      <c r="AG684" s="120">
        <v>70</v>
      </c>
      <c r="AH684" s="113">
        <v>80</v>
      </c>
      <c r="AI684" s="113">
        <v>50</v>
      </c>
    </row>
    <row r="685" spans="1:35">
      <c r="A685" s="113">
        <v>615</v>
      </c>
      <c r="B685" s="113" t="s">
        <v>656</v>
      </c>
      <c r="C685" s="120" t="s">
        <v>5940</v>
      </c>
      <c r="D685" s="124" t="s">
        <v>1109</v>
      </c>
      <c r="E685" s="124" t="s">
        <v>1109</v>
      </c>
      <c r="F685" s="113" t="s">
        <v>2112</v>
      </c>
      <c r="G685" s="113" t="s">
        <v>2121</v>
      </c>
      <c r="H685" s="113" t="s">
        <v>113</v>
      </c>
      <c r="I685" s="113" t="s">
        <v>1109</v>
      </c>
      <c r="J685" s="118" t="s">
        <v>2129</v>
      </c>
      <c r="K685" s="118">
        <v>3</v>
      </c>
      <c r="L685" s="118" t="s">
        <v>5940</v>
      </c>
      <c r="M685" s="115" t="s">
        <v>1109</v>
      </c>
      <c r="N685" s="115" t="s">
        <v>6504</v>
      </c>
      <c r="O685" s="115">
        <v>1.5</v>
      </c>
      <c r="P685" s="115" t="s">
        <v>1109</v>
      </c>
      <c r="Q685" s="166"/>
      <c r="R685" s="164"/>
      <c r="S685" s="164"/>
      <c r="T685" s="164"/>
      <c r="U685" s="164"/>
      <c r="V685" s="162"/>
      <c r="W685" s="158"/>
      <c r="X685" s="158"/>
      <c r="Y685" s="158"/>
      <c r="Z685" s="158"/>
      <c r="AA685" s="158"/>
      <c r="AB685" s="158"/>
      <c r="AC685" s="113">
        <v>515</v>
      </c>
      <c r="AD685" s="113">
        <v>80</v>
      </c>
      <c r="AE685" s="113">
        <v>50</v>
      </c>
      <c r="AF685" s="113">
        <v>50</v>
      </c>
      <c r="AG685" s="120">
        <v>95</v>
      </c>
      <c r="AH685" s="113">
        <v>135</v>
      </c>
      <c r="AI685" s="113">
        <v>105</v>
      </c>
    </row>
    <row r="686" spans="1:35">
      <c r="A686" s="113">
        <v>616</v>
      </c>
      <c r="B686" s="113" t="s">
        <v>657</v>
      </c>
      <c r="C686" s="120" t="s">
        <v>5941</v>
      </c>
      <c r="D686" s="124">
        <v>0.5</v>
      </c>
      <c r="E686" s="124">
        <v>0.5</v>
      </c>
      <c r="F686" s="113" t="s">
        <v>29</v>
      </c>
      <c r="G686" s="113" t="s">
        <v>2121</v>
      </c>
      <c r="H686" s="113" t="s">
        <v>29</v>
      </c>
      <c r="I686" s="113" t="s">
        <v>1109</v>
      </c>
      <c r="J686" s="118" t="s">
        <v>2129</v>
      </c>
      <c r="K686" s="118">
        <v>2</v>
      </c>
      <c r="L686" s="118" t="s">
        <v>5941</v>
      </c>
      <c r="M686" s="115" t="s">
        <v>1109</v>
      </c>
      <c r="N686" s="115" t="s">
        <v>6505</v>
      </c>
      <c r="O686" s="115">
        <v>1.25</v>
      </c>
      <c r="P686" s="115" t="s">
        <v>1109</v>
      </c>
      <c r="Q686" s="166"/>
      <c r="R686" s="164"/>
      <c r="S686" s="164"/>
      <c r="T686" s="164"/>
      <c r="U686" s="164"/>
      <c r="V686" s="162"/>
      <c r="W686" s="158"/>
      <c r="X686" s="158"/>
      <c r="Y686" s="158"/>
      <c r="Z686" s="158"/>
      <c r="AA686" s="158"/>
      <c r="AB686" s="158"/>
      <c r="AC686" s="113">
        <v>305</v>
      </c>
      <c r="AD686" s="113">
        <v>50</v>
      </c>
      <c r="AE686" s="113">
        <v>40</v>
      </c>
      <c r="AF686" s="113">
        <v>85</v>
      </c>
      <c r="AG686" s="120">
        <v>40</v>
      </c>
      <c r="AH686" s="113">
        <v>65</v>
      </c>
      <c r="AI686" s="113">
        <v>25</v>
      </c>
    </row>
    <row r="687" spans="1:35">
      <c r="A687" s="113">
        <v>617</v>
      </c>
      <c r="B687" s="113" t="s">
        <v>658</v>
      </c>
      <c r="C687" s="120" t="s">
        <v>5942</v>
      </c>
      <c r="D687" s="124">
        <v>0.5</v>
      </c>
      <c r="E687" s="124">
        <v>0.5</v>
      </c>
      <c r="F687" s="113" t="s">
        <v>29</v>
      </c>
      <c r="G687" s="113" t="s">
        <v>2121</v>
      </c>
      <c r="H687" s="113" t="s">
        <v>29</v>
      </c>
      <c r="I687" s="113" t="s">
        <v>1109</v>
      </c>
      <c r="J687" s="118" t="s">
        <v>2129</v>
      </c>
      <c r="K687" s="118">
        <v>2</v>
      </c>
      <c r="L687" s="118" t="s">
        <v>5941</v>
      </c>
      <c r="M687" s="115" t="s">
        <v>5941</v>
      </c>
      <c r="N687" s="115" t="s">
        <v>6504</v>
      </c>
      <c r="O687" s="115">
        <v>1.25</v>
      </c>
      <c r="P687" s="115" t="s">
        <v>2128</v>
      </c>
      <c r="Q687" s="166"/>
      <c r="R687" s="164"/>
      <c r="S687" s="164"/>
      <c r="T687" s="164"/>
      <c r="U687" s="164"/>
      <c r="V687" s="162"/>
      <c r="W687" s="158"/>
      <c r="X687" s="158"/>
      <c r="Y687" s="158"/>
      <c r="Z687" s="158"/>
      <c r="AA687" s="158"/>
      <c r="AB687" s="158"/>
      <c r="AC687" s="113">
        <v>495</v>
      </c>
      <c r="AD687" s="113">
        <v>80</v>
      </c>
      <c r="AE687" s="113">
        <v>70</v>
      </c>
      <c r="AF687" s="113">
        <v>40</v>
      </c>
      <c r="AG687" s="120">
        <v>100</v>
      </c>
      <c r="AH687" s="113">
        <v>60</v>
      </c>
      <c r="AI687" s="113">
        <v>145</v>
      </c>
    </row>
    <row r="688" spans="1:35">
      <c r="A688" s="113">
        <v>618</v>
      </c>
      <c r="B688" s="113" t="s">
        <v>659</v>
      </c>
      <c r="C688" s="120" t="s">
        <v>5943</v>
      </c>
      <c r="D688" s="124">
        <v>0.5</v>
      </c>
      <c r="E688" s="124">
        <v>0.5</v>
      </c>
      <c r="F688" s="113" t="s">
        <v>2336</v>
      </c>
      <c r="G688" s="113" t="s">
        <v>2121</v>
      </c>
      <c r="H688" s="113" t="s">
        <v>49</v>
      </c>
      <c r="I688" s="113" t="s">
        <v>46</v>
      </c>
      <c r="J688" s="118" t="s">
        <v>2129</v>
      </c>
      <c r="K688" s="118">
        <v>2</v>
      </c>
      <c r="L688" s="118" t="s">
        <v>5943</v>
      </c>
      <c r="M688" s="115" t="s">
        <v>1109</v>
      </c>
      <c r="N688" s="115" t="s">
        <v>6504</v>
      </c>
      <c r="O688" s="115">
        <v>1.25</v>
      </c>
      <c r="P688" s="115" t="s">
        <v>1109</v>
      </c>
      <c r="Q688" s="166"/>
      <c r="R688" s="164"/>
      <c r="S688" s="164"/>
      <c r="T688" s="164"/>
      <c r="U688" s="164"/>
      <c r="V688" s="162"/>
      <c r="W688" s="158"/>
      <c r="X688" s="158"/>
      <c r="Y688" s="158"/>
      <c r="Z688" s="158"/>
      <c r="AA688" s="158"/>
      <c r="AB688" s="158"/>
      <c r="AC688" s="113">
        <v>471</v>
      </c>
      <c r="AD688" s="113">
        <v>109</v>
      </c>
      <c r="AE688" s="113">
        <v>66</v>
      </c>
      <c r="AF688" s="113">
        <v>84</v>
      </c>
      <c r="AG688" s="120">
        <v>81</v>
      </c>
      <c r="AH688" s="113">
        <v>99</v>
      </c>
      <c r="AI688" s="113">
        <v>32</v>
      </c>
    </row>
    <row r="689" spans="1:35">
      <c r="A689" s="113">
        <v>618</v>
      </c>
      <c r="B689" s="113" t="s">
        <v>6456</v>
      </c>
      <c r="C689" s="120" t="s">
        <v>5944</v>
      </c>
      <c r="D689" s="124">
        <v>0.5</v>
      </c>
      <c r="E689" s="124">
        <v>0.5</v>
      </c>
      <c r="F689" s="113" t="s">
        <v>2336</v>
      </c>
      <c r="G689" s="113" t="s">
        <v>2703</v>
      </c>
      <c r="H689" s="113" t="s">
        <v>49</v>
      </c>
      <c r="I689" s="113" t="s">
        <v>106</v>
      </c>
      <c r="J689" s="118" t="s">
        <v>2129</v>
      </c>
      <c r="K689" s="118">
        <v>2</v>
      </c>
      <c r="L689" s="118" t="s">
        <v>5943</v>
      </c>
      <c r="M689" s="115" t="s">
        <v>1109</v>
      </c>
      <c r="N689" s="115" t="s">
        <v>6504</v>
      </c>
      <c r="O689" s="115">
        <v>1.25</v>
      </c>
      <c r="P689" s="115" t="s">
        <v>1109</v>
      </c>
      <c r="Q689" s="166"/>
      <c r="R689" s="164"/>
      <c r="S689" s="164"/>
      <c r="T689" s="164"/>
      <c r="U689" s="164"/>
      <c r="V689" s="162"/>
      <c r="W689" s="158"/>
      <c r="X689" s="158"/>
      <c r="Y689" s="158"/>
      <c r="Z689" s="158"/>
      <c r="AA689" s="158"/>
      <c r="AB689" s="158"/>
      <c r="AC689" s="113">
        <v>471</v>
      </c>
      <c r="AD689" s="113">
        <v>109</v>
      </c>
      <c r="AE689" s="113">
        <v>81</v>
      </c>
      <c r="AF689" s="113">
        <v>99</v>
      </c>
      <c r="AG689" s="120">
        <v>66</v>
      </c>
      <c r="AH689" s="113">
        <v>84</v>
      </c>
      <c r="AI689" s="113">
        <v>32</v>
      </c>
    </row>
    <row r="690" spans="1:35">
      <c r="A690" s="113">
        <v>619</v>
      </c>
      <c r="B690" s="113" t="s">
        <v>660</v>
      </c>
      <c r="C690" s="120" t="s">
        <v>5945</v>
      </c>
      <c r="D690" s="124">
        <v>0.5</v>
      </c>
      <c r="E690" s="124">
        <v>0.5</v>
      </c>
      <c r="F690" s="113" t="s">
        <v>2334</v>
      </c>
      <c r="G690" s="113" t="s">
        <v>2121</v>
      </c>
      <c r="H690" s="113" t="s">
        <v>78</v>
      </c>
      <c r="I690" s="113" t="s">
        <v>1109</v>
      </c>
      <c r="J690" s="118" t="s">
        <v>2129</v>
      </c>
      <c r="K690" s="118">
        <v>2</v>
      </c>
      <c r="L690" s="118" t="s">
        <v>5945</v>
      </c>
      <c r="M690" s="115" t="s">
        <v>1109</v>
      </c>
      <c r="N690" s="115" t="s">
        <v>6505</v>
      </c>
      <c r="O690" s="115">
        <v>1.25</v>
      </c>
      <c r="P690" s="115" t="s">
        <v>1109</v>
      </c>
      <c r="Q690" s="166"/>
      <c r="R690" s="164"/>
      <c r="S690" s="164"/>
      <c r="T690" s="164"/>
      <c r="U690" s="164"/>
      <c r="V690" s="162"/>
      <c r="W690" s="158"/>
      <c r="X690" s="158"/>
      <c r="Y690" s="158"/>
      <c r="Z690" s="158"/>
      <c r="AA690" s="158"/>
      <c r="AB690" s="158"/>
      <c r="AC690" s="113">
        <v>350</v>
      </c>
      <c r="AD690" s="113">
        <v>45</v>
      </c>
      <c r="AE690" s="113">
        <v>85</v>
      </c>
      <c r="AF690" s="113">
        <v>50</v>
      </c>
      <c r="AG690" s="120">
        <v>55</v>
      </c>
      <c r="AH690" s="113">
        <v>50</v>
      </c>
      <c r="AI690" s="113">
        <v>65</v>
      </c>
    </row>
    <row r="691" spans="1:35">
      <c r="A691" s="113">
        <v>620</v>
      </c>
      <c r="B691" s="113" t="s">
        <v>661</v>
      </c>
      <c r="C691" s="120" t="s">
        <v>5946</v>
      </c>
      <c r="D691" s="124">
        <v>0.5</v>
      </c>
      <c r="E691" s="124">
        <v>0.5</v>
      </c>
      <c r="F691" s="113" t="s">
        <v>2334</v>
      </c>
      <c r="G691" s="113" t="s">
        <v>2121</v>
      </c>
      <c r="H691" s="113" t="s">
        <v>78</v>
      </c>
      <c r="I691" s="113" t="s">
        <v>1109</v>
      </c>
      <c r="J691" s="118" t="s">
        <v>2129</v>
      </c>
      <c r="K691" s="118">
        <v>2</v>
      </c>
      <c r="L691" s="118" t="s">
        <v>5945</v>
      </c>
      <c r="M691" s="115" t="s">
        <v>5945</v>
      </c>
      <c r="N691" s="115" t="s">
        <v>6504</v>
      </c>
      <c r="O691" s="115">
        <v>1.25</v>
      </c>
      <c r="P691" s="115" t="s">
        <v>2128</v>
      </c>
      <c r="Q691" s="166"/>
      <c r="R691" s="164"/>
      <c r="S691" s="164"/>
      <c r="T691" s="164"/>
      <c r="U691" s="164"/>
      <c r="V691" s="162"/>
      <c r="W691" s="158"/>
      <c r="X691" s="158"/>
      <c r="Y691" s="158"/>
      <c r="Z691" s="158"/>
      <c r="AA691" s="158"/>
      <c r="AB691" s="158"/>
      <c r="AC691" s="113">
        <v>510</v>
      </c>
      <c r="AD691" s="113">
        <v>65</v>
      </c>
      <c r="AE691" s="113">
        <v>125</v>
      </c>
      <c r="AF691" s="113">
        <v>60</v>
      </c>
      <c r="AG691" s="120">
        <v>95</v>
      </c>
      <c r="AH691" s="113">
        <v>60</v>
      </c>
      <c r="AI691" s="113">
        <v>105</v>
      </c>
    </row>
    <row r="692" spans="1:35">
      <c r="A692" s="113">
        <v>621</v>
      </c>
      <c r="B692" s="113" t="s">
        <v>662</v>
      </c>
      <c r="C692" s="120" t="s">
        <v>5947</v>
      </c>
      <c r="D692" s="124">
        <v>0.5</v>
      </c>
      <c r="E692" s="124">
        <v>0.5</v>
      </c>
      <c r="F692" s="113" t="s">
        <v>23</v>
      </c>
      <c r="G692" s="113" t="s">
        <v>2121</v>
      </c>
      <c r="H692" s="113" t="s">
        <v>23</v>
      </c>
      <c r="I692" s="113" t="s">
        <v>1109</v>
      </c>
      <c r="J692" s="118" t="s">
        <v>2129</v>
      </c>
      <c r="K692" s="118">
        <v>3</v>
      </c>
      <c r="L692" s="118" t="s">
        <v>5947</v>
      </c>
      <c r="M692" s="115" t="s">
        <v>1109</v>
      </c>
      <c r="N692" s="115" t="s">
        <v>6504</v>
      </c>
      <c r="O692" s="115">
        <v>1.5</v>
      </c>
      <c r="P692" s="115" t="s">
        <v>1109</v>
      </c>
      <c r="Q692" s="166"/>
      <c r="R692" s="164"/>
      <c r="S692" s="164"/>
      <c r="T692" s="164"/>
      <c r="U692" s="164"/>
      <c r="V692" s="162"/>
      <c r="W692" s="158"/>
      <c r="X692" s="158"/>
      <c r="Y692" s="158"/>
      <c r="Z692" s="158"/>
      <c r="AA692" s="158"/>
      <c r="AB692" s="158"/>
      <c r="AC692" s="113">
        <v>485</v>
      </c>
      <c r="AD692" s="113">
        <v>77</v>
      </c>
      <c r="AE692" s="113">
        <v>120</v>
      </c>
      <c r="AF692" s="113">
        <v>90</v>
      </c>
      <c r="AG692" s="120">
        <v>60</v>
      </c>
      <c r="AH692" s="113">
        <v>90</v>
      </c>
      <c r="AI692" s="113">
        <v>48</v>
      </c>
    </row>
    <row r="693" spans="1:35">
      <c r="A693" s="113">
        <v>622</v>
      </c>
      <c r="B693" s="113" t="s">
        <v>663</v>
      </c>
      <c r="C693" s="120" t="s">
        <v>5948</v>
      </c>
      <c r="D693" s="124" t="s">
        <v>1109</v>
      </c>
      <c r="E693" s="124" t="s">
        <v>1109</v>
      </c>
      <c r="F693" s="113" t="s">
        <v>2112</v>
      </c>
      <c r="G693" s="113" t="s">
        <v>2121</v>
      </c>
      <c r="H693" s="113" t="s">
        <v>49</v>
      </c>
      <c r="I693" s="113" t="s">
        <v>119</v>
      </c>
      <c r="J693" s="118" t="s">
        <v>2129</v>
      </c>
      <c r="K693" s="118">
        <v>2</v>
      </c>
      <c r="L693" s="118" t="s">
        <v>5948</v>
      </c>
      <c r="M693" s="115" t="s">
        <v>1109</v>
      </c>
      <c r="N693" s="115" t="s">
        <v>6505</v>
      </c>
      <c r="O693" s="115">
        <v>1.25</v>
      </c>
      <c r="P693" s="115" t="s">
        <v>1109</v>
      </c>
      <c r="Q693" s="166"/>
      <c r="R693" s="164"/>
      <c r="S693" s="164"/>
      <c r="T693" s="164"/>
      <c r="U693" s="164"/>
      <c r="V693" s="162"/>
      <c r="W693" s="158"/>
      <c r="X693" s="158"/>
      <c r="Y693" s="158"/>
      <c r="Z693" s="158"/>
      <c r="AA693" s="158"/>
      <c r="AB693" s="158"/>
      <c r="AC693" s="113">
        <v>303</v>
      </c>
      <c r="AD693" s="113">
        <v>59</v>
      </c>
      <c r="AE693" s="113">
        <v>74</v>
      </c>
      <c r="AF693" s="113">
        <v>50</v>
      </c>
      <c r="AG693" s="120">
        <v>35</v>
      </c>
      <c r="AH693" s="113">
        <v>50</v>
      </c>
      <c r="AI693" s="113">
        <v>35</v>
      </c>
    </row>
    <row r="694" spans="1:35">
      <c r="A694" s="113">
        <v>623</v>
      </c>
      <c r="B694" s="113" t="s">
        <v>664</v>
      </c>
      <c r="C694" s="120" t="s">
        <v>5949</v>
      </c>
      <c r="D694" s="124" t="s">
        <v>1109</v>
      </c>
      <c r="E694" s="124" t="s">
        <v>1109</v>
      </c>
      <c r="F694" s="113" t="s">
        <v>2112</v>
      </c>
      <c r="G694" s="113" t="s">
        <v>2121</v>
      </c>
      <c r="H694" s="113" t="s">
        <v>49</v>
      </c>
      <c r="I694" s="113" t="s">
        <v>119</v>
      </c>
      <c r="J694" s="118" t="s">
        <v>2129</v>
      </c>
      <c r="K694" s="118">
        <v>2</v>
      </c>
      <c r="L694" s="118" t="s">
        <v>5948</v>
      </c>
      <c r="M694" s="115" t="s">
        <v>5948</v>
      </c>
      <c r="N694" s="115" t="s">
        <v>6504</v>
      </c>
      <c r="O694" s="115">
        <v>1.25</v>
      </c>
      <c r="P694" s="115" t="s">
        <v>2128</v>
      </c>
      <c r="Q694" s="166"/>
      <c r="R694" s="164"/>
      <c r="S694" s="164"/>
      <c r="T694" s="164"/>
      <c r="U694" s="164"/>
      <c r="V694" s="162"/>
      <c r="W694" s="158"/>
      <c r="X694" s="158"/>
      <c r="Y694" s="158"/>
      <c r="Z694" s="158"/>
      <c r="AA694" s="158"/>
      <c r="AB694" s="158"/>
      <c r="AC694" s="113">
        <v>483</v>
      </c>
      <c r="AD694" s="113">
        <v>89</v>
      </c>
      <c r="AE694" s="113">
        <v>124</v>
      </c>
      <c r="AF694" s="113">
        <v>80</v>
      </c>
      <c r="AG694" s="120">
        <v>55</v>
      </c>
      <c r="AH694" s="113">
        <v>80</v>
      </c>
      <c r="AI694" s="113">
        <v>55</v>
      </c>
    </row>
    <row r="695" spans="1:35">
      <c r="A695" s="113">
        <v>624</v>
      </c>
      <c r="B695" s="113" t="s">
        <v>665</v>
      </c>
      <c r="C695" s="120" t="s">
        <v>5950</v>
      </c>
      <c r="D695" s="124">
        <v>0.5</v>
      </c>
      <c r="E695" s="124">
        <v>0.5</v>
      </c>
      <c r="F695" s="113" t="s">
        <v>2334</v>
      </c>
      <c r="G695" s="113" t="s">
        <v>2121</v>
      </c>
      <c r="H695" s="113" t="s">
        <v>158</v>
      </c>
      <c r="I695" s="113" t="s">
        <v>106</v>
      </c>
      <c r="J695" s="118" t="s">
        <v>2129</v>
      </c>
      <c r="K695" s="118">
        <v>2</v>
      </c>
      <c r="L695" s="118" t="s">
        <v>5950</v>
      </c>
      <c r="M695" s="115" t="s">
        <v>1109</v>
      </c>
      <c r="N695" s="115" t="s">
        <v>6505</v>
      </c>
      <c r="O695" s="115">
        <v>1.25</v>
      </c>
      <c r="P695" s="115" t="s">
        <v>1109</v>
      </c>
      <c r="Q695" s="166"/>
      <c r="R695" s="164"/>
      <c r="S695" s="164"/>
      <c r="T695" s="164"/>
      <c r="U695" s="164"/>
      <c r="V695" s="162"/>
      <c r="W695" s="158"/>
      <c r="X695" s="158"/>
      <c r="Y695" s="158"/>
      <c r="Z695" s="158"/>
      <c r="AA695" s="158"/>
      <c r="AB695" s="158"/>
      <c r="AC695" s="113">
        <v>340</v>
      </c>
      <c r="AD695" s="113">
        <v>45</v>
      </c>
      <c r="AE695" s="113">
        <v>85</v>
      </c>
      <c r="AF695" s="113">
        <v>70</v>
      </c>
      <c r="AG695" s="120">
        <v>40</v>
      </c>
      <c r="AH695" s="113">
        <v>40</v>
      </c>
      <c r="AI695" s="113">
        <v>60</v>
      </c>
    </row>
    <row r="696" spans="1:35">
      <c r="A696" s="113">
        <v>625</v>
      </c>
      <c r="B696" s="113" t="s">
        <v>666</v>
      </c>
      <c r="C696" s="120" t="s">
        <v>5951</v>
      </c>
      <c r="D696" s="124">
        <v>0.5</v>
      </c>
      <c r="E696" s="124">
        <v>0.5</v>
      </c>
      <c r="F696" s="113" t="s">
        <v>2334</v>
      </c>
      <c r="G696" s="113" t="s">
        <v>2121</v>
      </c>
      <c r="H696" s="113" t="s">
        <v>158</v>
      </c>
      <c r="I696" s="113" t="s">
        <v>106</v>
      </c>
      <c r="J696" s="118" t="s">
        <v>2129</v>
      </c>
      <c r="K696" s="118">
        <v>2</v>
      </c>
      <c r="L696" s="118" t="s">
        <v>5950</v>
      </c>
      <c r="M696" s="115" t="s">
        <v>5950</v>
      </c>
      <c r="N696" s="115" t="s">
        <v>6506</v>
      </c>
      <c r="O696" s="115">
        <v>1.25</v>
      </c>
      <c r="P696" s="115" t="s">
        <v>2128</v>
      </c>
      <c r="Q696" s="166"/>
      <c r="R696" s="164"/>
      <c r="S696" s="164"/>
      <c r="T696" s="164"/>
      <c r="U696" s="164"/>
      <c r="V696" s="162"/>
      <c r="W696" s="158"/>
      <c r="X696" s="158"/>
      <c r="Y696" s="158"/>
      <c r="Z696" s="158"/>
      <c r="AA696" s="158"/>
      <c r="AB696" s="158"/>
      <c r="AC696" s="113">
        <v>490</v>
      </c>
      <c r="AD696" s="113">
        <v>65</v>
      </c>
      <c r="AE696" s="113">
        <v>125</v>
      </c>
      <c r="AF696" s="113">
        <v>100</v>
      </c>
      <c r="AG696" s="120">
        <v>60</v>
      </c>
      <c r="AH696" s="113">
        <v>70</v>
      </c>
      <c r="AI696" s="113">
        <v>70</v>
      </c>
    </row>
    <row r="697" spans="1:35">
      <c r="A697" s="113">
        <v>626</v>
      </c>
      <c r="B697" s="113" t="s">
        <v>667</v>
      </c>
      <c r="C697" s="120" t="s">
        <v>5952</v>
      </c>
      <c r="D697" s="124">
        <v>0.5</v>
      </c>
      <c r="E697" s="124">
        <v>0.5</v>
      </c>
      <c r="F697" s="113" t="s">
        <v>2332</v>
      </c>
      <c r="G697" s="113" t="s">
        <v>2121</v>
      </c>
      <c r="H697" s="113" t="s">
        <v>36</v>
      </c>
      <c r="I697" s="113" t="s">
        <v>1109</v>
      </c>
      <c r="J697" s="118" t="s">
        <v>2129</v>
      </c>
      <c r="K697" s="118">
        <v>3</v>
      </c>
      <c r="L697" s="118" t="s">
        <v>5952</v>
      </c>
      <c r="M697" s="115" t="s">
        <v>1109</v>
      </c>
      <c r="N697" s="115" t="s">
        <v>6504</v>
      </c>
      <c r="O697" s="115">
        <v>1.5</v>
      </c>
      <c r="P697" s="115" t="s">
        <v>1109</v>
      </c>
      <c r="Q697" s="166"/>
      <c r="R697" s="164"/>
      <c r="S697" s="164"/>
      <c r="T697" s="164"/>
      <c r="U697" s="164"/>
      <c r="V697" s="162"/>
      <c r="W697" s="158"/>
      <c r="X697" s="158"/>
      <c r="Y697" s="158"/>
      <c r="Z697" s="158"/>
      <c r="AA697" s="158"/>
      <c r="AB697" s="158"/>
      <c r="AC697" s="113">
        <v>490</v>
      </c>
      <c r="AD697" s="113">
        <v>95</v>
      </c>
      <c r="AE697" s="113">
        <v>110</v>
      </c>
      <c r="AF697" s="113">
        <v>95</v>
      </c>
      <c r="AG697" s="120">
        <v>40</v>
      </c>
      <c r="AH697" s="113">
        <v>95</v>
      </c>
      <c r="AI697" s="113">
        <v>55</v>
      </c>
    </row>
    <row r="698" spans="1:35">
      <c r="A698" s="113">
        <v>627</v>
      </c>
      <c r="B698" s="113" t="s">
        <v>668</v>
      </c>
      <c r="C698" s="120" t="s">
        <v>5953</v>
      </c>
      <c r="D698" s="124">
        <v>1</v>
      </c>
      <c r="E698" s="124">
        <v>0</v>
      </c>
      <c r="F698" s="113" t="s">
        <v>22</v>
      </c>
      <c r="G698" s="113" t="s">
        <v>2121</v>
      </c>
      <c r="H698" s="113" t="s">
        <v>36</v>
      </c>
      <c r="I698" s="113" t="s">
        <v>22</v>
      </c>
      <c r="J698" s="118" t="s">
        <v>2129</v>
      </c>
      <c r="K698" s="118">
        <v>2</v>
      </c>
      <c r="L698" s="118" t="s">
        <v>5953</v>
      </c>
      <c r="M698" s="115" t="s">
        <v>1109</v>
      </c>
      <c r="N698" s="115" t="s">
        <v>6505</v>
      </c>
      <c r="O698" s="115">
        <v>1.25</v>
      </c>
      <c r="P698" s="115" t="s">
        <v>1109</v>
      </c>
      <c r="Q698" s="166"/>
      <c r="R698" s="164"/>
      <c r="S698" s="164"/>
      <c r="T698" s="164"/>
      <c r="U698" s="164"/>
      <c r="V698" s="162"/>
      <c r="W698" s="158"/>
      <c r="X698" s="158"/>
      <c r="Y698" s="158"/>
      <c r="Z698" s="158"/>
      <c r="AA698" s="158"/>
      <c r="AB698" s="158"/>
      <c r="AC698" s="113">
        <v>350</v>
      </c>
      <c r="AD698" s="113">
        <v>70</v>
      </c>
      <c r="AE698" s="113">
        <v>83</v>
      </c>
      <c r="AF698" s="113">
        <v>50</v>
      </c>
      <c r="AG698" s="120">
        <v>37</v>
      </c>
      <c r="AH698" s="113">
        <v>50</v>
      </c>
      <c r="AI698" s="113">
        <v>60</v>
      </c>
    </row>
    <row r="699" spans="1:35">
      <c r="A699" s="113">
        <v>628</v>
      </c>
      <c r="B699" s="113" t="s">
        <v>669</v>
      </c>
      <c r="C699" s="120" t="s">
        <v>5954</v>
      </c>
      <c r="D699" s="124">
        <v>1</v>
      </c>
      <c r="E699" s="124">
        <v>0</v>
      </c>
      <c r="F699" s="113" t="s">
        <v>22</v>
      </c>
      <c r="G699" s="113" t="s">
        <v>2121</v>
      </c>
      <c r="H699" s="113" t="s">
        <v>36</v>
      </c>
      <c r="I699" s="113" t="s">
        <v>22</v>
      </c>
      <c r="J699" s="118" t="s">
        <v>2129</v>
      </c>
      <c r="K699" s="118">
        <v>2</v>
      </c>
      <c r="L699" s="118" t="s">
        <v>5953</v>
      </c>
      <c r="M699" s="115" t="s">
        <v>5953</v>
      </c>
      <c r="N699" s="115" t="s">
        <v>6504</v>
      </c>
      <c r="O699" s="115">
        <v>1.25</v>
      </c>
      <c r="P699" s="115" t="s">
        <v>2128</v>
      </c>
      <c r="Q699" s="166"/>
      <c r="R699" s="164"/>
      <c r="S699" s="164"/>
      <c r="T699" s="164"/>
      <c r="U699" s="164"/>
      <c r="V699" s="162"/>
      <c r="W699" s="158"/>
      <c r="X699" s="158"/>
      <c r="Y699" s="158"/>
      <c r="Z699" s="158"/>
      <c r="AA699" s="158"/>
      <c r="AB699" s="158"/>
      <c r="AC699" s="113">
        <v>510</v>
      </c>
      <c r="AD699" s="113">
        <v>100</v>
      </c>
      <c r="AE699" s="113">
        <v>123</v>
      </c>
      <c r="AF699" s="113">
        <v>75</v>
      </c>
      <c r="AG699" s="120">
        <v>57</v>
      </c>
      <c r="AH699" s="113">
        <v>75</v>
      </c>
      <c r="AI699" s="113">
        <v>80</v>
      </c>
    </row>
    <row r="700" spans="1:35">
      <c r="A700" s="113">
        <v>628</v>
      </c>
      <c r="B700" s="113" t="s">
        <v>3011</v>
      </c>
      <c r="C700" s="120" t="s">
        <v>5955</v>
      </c>
      <c r="D700" s="124">
        <v>1</v>
      </c>
      <c r="E700" s="124">
        <v>0</v>
      </c>
      <c r="F700" s="113" t="s">
        <v>22</v>
      </c>
      <c r="G700" s="113" t="s">
        <v>4319</v>
      </c>
      <c r="H700" s="113" t="s">
        <v>86</v>
      </c>
      <c r="I700" s="113" t="s">
        <v>22</v>
      </c>
      <c r="J700" s="118" t="s">
        <v>2129</v>
      </c>
      <c r="K700" s="118">
        <v>2</v>
      </c>
      <c r="L700" s="118" t="s">
        <v>5953</v>
      </c>
      <c r="M700" s="115" t="s">
        <v>5953</v>
      </c>
      <c r="N700" s="115" t="s">
        <v>6504</v>
      </c>
      <c r="O700" s="115">
        <v>1.25</v>
      </c>
      <c r="P700" s="115" t="s">
        <v>2128</v>
      </c>
      <c r="Q700" s="166"/>
      <c r="R700" s="164"/>
      <c r="S700" s="164"/>
      <c r="T700" s="164"/>
      <c r="U700" s="164"/>
      <c r="V700" s="162"/>
      <c r="W700" s="158"/>
      <c r="X700" s="158"/>
      <c r="Y700" s="158"/>
      <c r="Z700" s="158"/>
      <c r="AA700" s="158"/>
      <c r="AB700" s="158"/>
      <c r="AC700" s="113">
        <v>510</v>
      </c>
      <c r="AD700" s="113">
        <v>110</v>
      </c>
      <c r="AE700" s="113">
        <v>83</v>
      </c>
      <c r="AF700" s="113">
        <v>70</v>
      </c>
      <c r="AG700" s="120">
        <v>112</v>
      </c>
      <c r="AH700" s="113">
        <v>70</v>
      </c>
      <c r="AI700" s="113">
        <v>65</v>
      </c>
    </row>
    <row r="701" spans="1:35">
      <c r="A701" s="113">
        <v>629</v>
      </c>
      <c r="B701" s="113" t="s">
        <v>670</v>
      </c>
      <c r="C701" s="120" t="s">
        <v>5956</v>
      </c>
      <c r="D701" s="124">
        <v>0</v>
      </c>
      <c r="E701" s="124">
        <v>1</v>
      </c>
      <c r="F701" s="113" t="s">
        <v>22</v>
      </c>
      <c r="G701" s="113" t="s">
        <v>2121</v>
      </c>
      <c r="H701" s="113" t="s">
        <v>158</v>
      </c>
      <c r="I701" s="113" t="s">
        <v>22</v>
      </c>
      <c r="J701" s="118" t="s">
        <v>2129</v>
      </c>
      <c r="K701" s="118">
        <v>2</v>
      </c>
      <c r="L701" s="118" t="s">
        <v>5956</v>
      </c>
      <c r="M701" s="115" t="s">
        <v>1109</v>
      </c>
      <c r="N701" s="115" t="s">
        <v>6505</v>
      </c>
      <c r="O701" s="115">
        <v>1.25</v>
      </c>
      <c r="P701" s="115" t="s">
        <v>1109</v>
      </c>
      <c r="Q701" s="166"/>
      <c r="R701" s="164"/>
      <c r="S701" s="164"/>
      <c r="T701" s="164"/>
      <c r="U701" s="164"/>
      <c r="V701" s="162"/>
      <c r="W701" s="158"/>
      <c r="X701" s="158"/>
      <c r="Y701" s="158"/>
      <c r="Z701" s="158"/>
      <c r="AA701" s="158"/>
      <c r="AB701" s="158"/>
      <c r="AC701" s="113">
        <v>370</v>
      </c>
      <c r="AD701" s="113">
        <v>70</v>
      </c>
      <c r="AE701" s="113">
        <v>55</v>
      </c>
      <c r="AF701" s="113">
        <v>75</v>
      </c>
      <c r="AG701" s="120">
        <v>45</v>
      </c>
      <c r="AH701" s="113">
        <v>65</v>
      </c>
      <c r="AI701" s="113">
        <v>60</v>
      </c>
    </row>
    <row r="702" spans="1:35">
      <c r="A702" s="113">
        <v>630</v>
      </c>
      <c r="B702" s="113" t="s">
        <v>671</v>
      </c>
      <c r="C702" s="120" t="s">
        <v>5957</v>
      </c>
      <c r="D702" s="124">
        <v>0</v>
      </c>
      <c r="E702" s="124">
        <v>1</v>
      </c>
      <c r="F702" s="113" t="s">
        <v>22</v>
      </c>
      <c r="G702" s="113" t="s">
        <v>2121</v>
      </c>
      <c r="H702" s="113" t="s">
        <v>158</v>
      </c>
      <c r="I702" s="113" t="s">
        <v>22</v>
      </c>
      <c r="J702" s="118" t="s">
        <v>2129</v>
      </c>
      <c r="K702" s="118">
        <v>2</v>
      </c>
      <c r="L702" s="118" t="s">
        <v>5956</v>
      </c>
      <c r="M702" s="115" t="s">
        <v>5956</v>
      </c>
      <c r="N702" s="115" t="s">
        <v>6504</v>
      </c>
      <c r="O702" s="115">
        <v>1.25</v>
      </c>
      <c r="P702" s="115" t="s">
        <v>2128</v>
      </c>
      <c r="Q702" s="166"/>
      <c r="R702" s="164"/>
      <c r="S702" s="164"/>
      <c r="T702" s="164"/>
      <c r="U702" s="164"/>
      <c r="V702" s="162"/>
      <c r="W702" s="158"/>
      <c r="X702" s="158"/>
      <c r="Y702" s="158"/>
      <c r="Z702" s="158"/>
      <c r="AA702" s="158"/>
      <c r="AB702" s="158"/>
      <c r="AC702" s="113">
        <v>510</v>
      </c>
      <c r="AD702" s="113">
        <v>110</v>
      </c>
      <c r="AE702" s="113">
        <v>65</v>
      </c>
      <c r="AF702" s="113">
        <v>105</v>
      </c>
      <c r="AG702" s="120">
        <v>55</v>
      </c>
      <c r="AH702" s="113">
        <v>95</v>
      </c>
      <c r="AI702" s="113">
        <v>80</v>
      </c>
    </row>
    <row r="703" spans="1:35">
      <c r="A703" s="113">
        <v>631</v>
      </c>
      <c r="B703" s="113" t="s">
        <v>672</v>
      </c>
      <c r="C703" s="120" t="s">
        <v>5958</v>
      </c>
      <c r="D703" s="124">
        <v>0.5</v>
      </c>
      <c r="E703" s="124">
        <v>0.5</v>
      </c>
      <c r="F703" s="113" t="s">
        <v>2332</v>
      </c>
      <c r="G703" s="113" t="s">
        <v>2121</v>
      </c>
      <c r="H703" s="113" t="s">
        <v>19</v>
      </c>
      <c r="I703" s="113" t="s">
        <v>1109</v>
      </c>
      <c r="J703" s="118" t="s">
        <v>2129</v>
      </c>
      <c r="K703" s="118">
        <v>2</v>
      </c>
      <c r="L703" s="118" t="s">
        <v>5958</v>
      </c>
      <c r="M703" s="115" t="s">
        <v>1109</v>
      </c>
      <c r="N703" s="115" t="s">
        <v>6504</v>
      </c>
      <c r="O703" s="115">
        <v>1.25</v>
      </c>
      <c r="P703" s="115" t="s">
        <v>1109</v>
      </c>
      <c r="Q703" s="166"/>
      <c r="R703" s="164"/>
      <c r="S703" s="164"/>
      <c r="T703" s="164"/>
      <c r="U703" s="164"/>
      <c r="V703" s="162"/>
      <c r="W703" s="158"/>
      <c r="X703" s="158"/>
      <c r="Y703" s="158"/>
      <c r="Z703" s="158"/>
      <c r="AA703" s="158"/>
      <c r="AB703" s="158"/>
      <c r="AC703" s="113">
        <v>484</v>
      </c>
      <c r="AD703" s="113">
        <v>85</v>
      </c>
      <c r="AE703" s="113">
        <v>97</v>
      </c>
      <c r="AF703" s="113">
        <v>66</v>
      </c>
      <c r="AG703" s="120">
        <v>105</v>
      </c>
      <c r="AH703" s="113">
        <v>66</v>
      </c>
      <c r="AI703" s="113">
        <v>65</v>
      </c>
    </row>
    <row r="704" spans="1:35">
      <c r="A704" s="113">
        <v>632</v>
      </c>
      <c r="B704" s="113" t="s">
        <v>673</v>
      </c>
      <c r="C704" s="120" t="s">
        <v>5959</v>
      </c>
      <c r="D704" s="124">
        <v>0.5</v>
      </c>
      <c r="E704" s="124">
        <v>0.5</v>
      </c>
      <c r="F704" s="113" t="s">
        <v>29</v>
      </c>
      <c r="G704" s="113" t="s">
        <v>2121</v>
      </c>
      <c r="H704" s="113" t="s">
        <v>29</v>
      </c>
      <c r="I704" s="113" t="s">
        <v>106</v>
      </c>
      <c r="J704" s="118" t="s">
        <v>2129</v>
      </c>
      <c r="K704" s="118">
        <v>2</v>
      </c>
      <c r="L704" s="118" t="s">
        <v>5959</v>
      </c>
      <c r="M704" s="115" t="s">
        <v>1109</v>
      </c>
      <c r="N704" s="115" t="s">
        <v>6504</v>
      </c>
      <c r="O704" s="115">
        <v>1.25</v>
      </c>
      <c r="P704" s="115" t="s">
        <v>1109</v>
      </c>
      <c r="Q704" s="166"/>
      <c r="R704" s="164"/>
      <c r="S704" s="164"/>
      <c r="T704" s="164"/>
      <c r="U704" s="164"/>
      <c r="V704" s="162"/>
      <c r="W704" s="158"/>
      <c r="X704" s="158"/>
      <c r="Y704" s="158"/>
      <c r="Z704" s="158"/>
      <c r="AA704" s="158"/>
      <c r="AB704" s="158"/>
      <c r="AC704" s="113">
        <v>484</v>
      </c>
      <c r="AD704" s="113">
        <v>58</v>
      </c>
      <c r="AE704" s="113">
        <v>109</v>
      </c>
      <c r="AF704" s="113">
        <v>112</v>
      </c>
      <c r="AG704" s="120">
        <v>48</v>
      </c>
      <c r="AH704" s="113">
        <v>48</v>
      </c>
      <c r="AI704" s="113">
        <v>109</v>
      </c>
    </row>
    <row r="705" spans="1:35">
      <c r="A705" s="113">
        <v>633</v>
      </c>
      <c r="B705" s="113" t="s">
        <v>674</v>
      </c>
      <c r="C705" s="120" t="s">
        <v>5960</v>
      </c>
      <c r="D705" s="124">
        <v>0.5</v>
      </c>
      <c r="E705" s="124">
        <v>0.5</v>
      </c>
      <c r="F705" s="113" t="s">
        <v>23</v>
      </c>
      <c r="G705" s="113" t="s">
        <v>2121</v>
      </c>
      <c r="H705" s="113" t="s">
        <v>158</v>
      </c>
      <c r="I705" s="113" t="s">
        <v>23</v>
      </c>
      <c r="J705" s="118" t="s">
        <v>2129</v>
      </c>
      <c r="K705" s="118">
        <v>3</v>
      </c>
      <c r="L705" s="118" t="s">
        <v>5960</v>
      </c>
      <c r="M705" s="115" t="s">
        <v>1109</v>
      </c>
      <c r="N705" s="115" t="s">
        <v>6505</v>
      </c>
      <c r="O705" s="115">
        <v>1.5</v>
      </c>
      <c r="P705" s="115" t="s">
        <v>1109</v>
      </c>
      <c r="Q705" s="166"/>
      <c r="R705" s="164"/>
      <c r="S705" s="164"/>
      <c r="T705" s="164"/>
      <c r="U705" s="164"/>
      <c r="V705" s="162"/>
      <c r="W705" s="158"/>
      <c r="X705" s="158"/>
      <c r="Y705" s="158"/>
      <c r="Z705" s="158"/>
      <c r="AA705" s="158"/>
      <c r="AB705" s="158"/>
      <c r="AC705" s="113">
        <v>300</v>
      </c>
      <c r="AD705" s="113">
        <v>52</v>
      </c>
      <c r="AE705" s="113">
        <v>65</v>
      </c>
      <c r="AF705" s="113">
        <v>50</v>
      </c>
      <c r="AG705" s="120">
        <v>45</v>
      </c>
      <c r="AH705" s="113">
        <v>50</v>
      </c>
      <c r="AI705" s="113">
        <v>38</v>
      </c>
    </row>
    <row r="706" spans="1:35">
      <c r="A706" s="113">
        <v>634</v>
      </c>
      <c r="B706" s="113" t="s">
        <v>675</v>
      </c>
      <c r="C706" s="120" t="s">
        <v>5961</v>
      </c>
      <c r="D706" s="124">
        <v>0.5</v>
      </c>
      <c r="E706" s="124">
        <v>0.5</v>
      </c>
      <c r="F706" s="113" t="s">
        <v>23</v>
      </c>
      <c r="G706" s="113" t="s">
        <v>2121</v>
      </c>
      <c r="H706" s="113" t="s">
        <v>158</v>
      </c>
      <c r="I706" s="113" t="s">
        <v>23</v>
      </c>
      <c r="J706" s="118" t="s">
        <v>2129</v>
      </c>
      <c r="K706" s="118">
        <v>3</v>
      </c>
      <c r="L706" s="118" t="s">
        <v>5960</v>
      </c>
      <c r="M706" s="115" t="s">
        <v>5960</v>
      </c>
      <c r="N706" s="115" t="s">
        <v>6506</v>
      </c>
      <c r="O706" s="115">
        <v>1.5</v>
      </c>
      <c r="P706" s="115" t="s">
        <v>2128</v>
      </c>
      <c r="Q706" s="166"/>
      <c r="R706" s="164"/>
      <c r="S706" s="164"/>
      <c r="T706" s="164"/>
      <c r="U706" s="164"/>
      <c r="V706" s="162"/>
      <c r="W706" s="158"/>
      <c r="X706" s="158"/>
      <c r="Y706" s="158"/>
      <c r="Z706" s="158"/>
      <c r="AA706" s="158"/>
      <c r="AB706" s="158"/>
      <c r="AC706" s="113">
        <v>420</v>
      </c>
      <c r="AD706" s="113">
        <v>72</v>
      </c>
      <c r="AE706" s="113">
        <v>85</v>
      </c>
      <c r="AF706" s="113">
        <v>70</v>
      </c>
      <c r="AG706" s="120">
        <v>65</v>
      </c>
      <c r="AH706" s="113">
        <v>70</v>
      </c>
      <c r="AI706" s="113">
        <v>58</v>
      </c>
    </row>
    <row r="707" spans="1:35">
      <c r="A707" s="113">
        <v>635</v>
      </c>
      <c r="B707" s="113" t="s">
        <v>676</v>
      </c>
      <c r="C707" s="120" t="s">
        <v>5962</v>
      </c>
      <c r="D707" s="124">
        <v>0.5</v>
      </c>
      <c r="E707" s="124">
        <v>0.5</v>
      </c>
      <c r="F707" s="113" t="s">
        <v>23</v>
      </c>
      <c r="G707" s="113" t="s">
        <v>2121</v>
      </c>
      <c r="H707" s="113" t="s">
        <v>158</v>
      </c>
      <c r="I707" s="113" t="s">
        <v>23</v>
      </c>
      <c r="J707" s="118" t="s">
        <v>2129</v>
      </c>
      <c r="K707" s="118">
        <v>3</v>
      </c>
      <c r="L707" s="118" t="s">
        <v>5960</v>
      </c>
      <c r="M707" s="115" t="s">
        <v>5961</v>
      </c>
      <c r="N707" s="115" t="s">
        <v>6504</v>
      </c>
      <c r="O707" s="115">
        <v>1.5</v>
      </c>
      <c r="P707" s="115" t="s">
        <v>2128</v>
      </c>
      <c r="Q707" s="166"/>
      <c r="R707" s="164"/>
      <c r="S707" s="164"/>
      <c r="T707" s="164"/>
      <c r="U707" s="164"/>
      <c r="V707" s="162"/>
      <c r="W707" s="158"/>
      <c r="X707" s="158"/>
      <c r="Y707" s="158"/>
      <c r="Z707" s="158"/>
      <c r="AA707" s="158"/>
      <c r="AB707" s="158"/>
      <c r="AC707" s="113">
        <v>600</v>
      </c>
      <c r="AD707" s="113">
        <v>92</v>
      </c>
      <c r="AE707" s="113">
        <v>105</v>
      </c>
      <c r="AF707" s="113">
        <v>90</v>
      </c>
      <c r="AG707" s="120">
        <v>125</v>
      </c>
      <c r="AH707" s="113">
        <v>90</v>
      </c>
      <c r="AI707" s="113">
        <v>98</v>
      </c>
    </row>
    <row r="708" spans="1:35">
      <c r="A708" s="113">
        <v>636</v>
      </c>
      <c r="B708" s="113" t="s">
        <v>677</v>
      </c>
      <c r="C708" s="120" t="s">
        <v>5963</v>
      </c>
      <c r="D708" s="124">
        <v>0.5</v>
      </c>
      <c r="E708" s="124">
        <v>0.5</v>
      </c>
      <c r="F708" s="113" t="s">
        <v>29</v>
      </c>
      <c r="G708" s="113" t="s">
        <v>2121</v>
      </c>
      <c r="H708" s="113" t="s">
        <v>29</v>
      </c>
      <c r="I708" s="113" t="s">
        <v>19</v>
      </c>
      <c r="J708" s="118" t="s">
        <v>2129</v>
      </c>
      <c r="K708" s="118">
        <v>3</v>
      </c>
      <c r="L708" s="118" t="s">
        <v>5963</v>
      </c>
      <c r="M708" s="115" t="s">
        <v>1109</v>
      </c>
      <c r="N708" s="115" t="s">
        <v>6505</v>
      </c>
      <c r="O708" s="115">
        <v>1.5</v>
      </c>
      <c r="P708" s="115" t="s">
        <v>1109</v>
      </c>
      <c r="Q708" s="166"/>
      <c r="R708" s="164"/>
      <c r="S708" s="164"/>
      <c r="T708" s="164"/>
      <c r="U708" s="164"/>
      <c r="V708" s="162"/>
      <c r="W708" s="158"/>
      <c r="X708" s="158"/>
      <c r="Y708" s="158"/>
      <c r="Z708" s="158"/>
      <c r="AA708" s="158"/>
      <c r="AB708" s="158"/>
      <c r="AC708" s="113">
        <v>360</v>
      </c>
      <c r="AD708" s="113">
        <v>55</v>
      </c>
      <c r="AE708" s="113">
        <v>85</v>
      </c>
      <c r="AF708" s="113">
        <v>55</v>
      </c>
      <c r="AG708" s="120">
        <v>50</v>
      </c>
      <c r="AH708" s="113">
        <v>55</v>
      </c>
      <c r="AI708" s="113">
        <v>60</v>
      </c>
    </row>
    <row r="709" spans="1:35">
      <c r="A709" s="113">
        <v>637</v>
      </c>
      <c r="B709" s="113" t="s">
        <v>678</v>
      </c>
      <c r="C709" s="120" t="s">
        <v>5964</v>
      </c>
      <c r="D709" s="124">
        <v>0.5</v>
      </c>
      <c r="E709" s="124">
        <v>0.5</v>
      </c>
      <c r="F709" s="113" t="s">
        <v>29</v>
      </c>
      <c r="G709" s="113" t="s">
        <v>2121</v>
      </c>
      <c r="H709" s="113" t="s">
        <v>29</v>
      </c>
      <c r="I709" s="113" t="s">
        <v>19</v>
      </c>
      <c r="J709" s="118" t="s">
        <v>2129</v>
      </c>
      <c r="K709" s="118">
        <v>3</v>
      </c>
      <c r="L709" s="118" t="s">
        <v>5963</v>
      </c>
      <c r="M709" s="115" t="s">
        <v>5963</v>
      </c>
      <c r="N709" s="115" t="s">
        <v>6504</v>
      </c>
      <c r="O709" s="115">
        <v>1.5</v>
      </c>
      <c r="P709" s="115" t="s">
        <v>2128</v>
      </c>
      <c r="Q709" s="166"/>
      <c r="R709" s="164"/>
      <c r="S709" s="164"/>
      <c r="T709" s="164"/>
      <c r="U709" s="164"/>
      <c r="V709" s="162"/>
      <c r="W709" s="158"/>
      <c r="X709" s="158"/>
      <c r="Y709" s="158"/>
      <c r="Z709" s="158"/>
      <c r="AA709" s="158"/>
      <c r="AB709" s="158"/>
      <c r="AC709" s="113">
        <v>550</v>
      </c>
      <c r="AD709" s="113">
        <v>85</v>
      </c>
      <c r="AE709" s="113">
        <v>60</v>
      </c>
      <c r="AF709" s="113">
        <v>65</v>
      </c>
      <c r="AG709" s="120">
        <v>135</v>
      </c>
      <c r="AH709" s="113">
        <v>105</v>
      </c>
      <c r="AI709" s="113">
        <v>100</v>
      </c>
    </row>
    <row r="710" spans="1:35">
      <c r="A710" s="113">
        <v>638</v>
      </c>
      <c r="B710" s="113" t="s">
        <v>679</v>
      </c>
      <c r="C710" s="120" t="s">
        <v>5965</v>
      </c>
      <c r="D710" s="124" t="s">
        <v>1109</v>
      </c>
      <c r="E710" s="124" t="s">
        <v>1109</v>
      </c>
      <c r="F710" s="113" t="s">
        <v>2333</v>
      </c>
      <c r="G710" s="113" t="s">
        <v>2121</v>
      </c>
      <c r="H710" s="113" t="s">
        <v>106</v>
      </c>
      <c r="I710" s="113" t="s">
        <v>78</v>
      </c>
      <c r="J710" s="118" t="s">
        <v>12</v>
      </c>
      <c r="K710" s="118">
        <v>5</v>
      </c>
      <c r="L710" s="118" t="s">
        <v>5965</v>
      </c>
      <c r="M710" s="115" t="s">
        <v>1109</v>
      </c>
      <c r="N710" s="115" t="s">
        <v>6504</v>
      </c>
      <c r="O710" s="115">
        <v>2</v>
      </c>
      <c r="P710" s="115" t="s">
        <v>1109</v>
      </c>
      <c r="Q710" s="166"/>
      <c r="R710" s="164"/>
      <c r="S710" s="164"/>
      <c r="T710" s="164"/>
      <c r="U710" s="164"/>
      <c r="V710" s="162"/>
      <c r="W710" s="158"/>
      <c r="X710" s="158"/>
      <c r="Y710" s="158"/>
      <c r="Z710" s="158"/>
      <c r="AA710" s="158"/>
      <c r="AB710" s="158"/>
      <c r="AC710" s="113">
        <v>580</v>
      </c>
      <c r="AD710" s="113">
        <v>91</v>
      </c>
      <c r="AE710" s="113">
        <v>90</v>
      </c>
      <c r="AF710" s="113">
        <v>129</v>
      </c>
      <c r="AG710" s="120">
        <v>90</v>
      </c>
      <c r="AH710" s="113">
        <v>72</v>
      </c>
      <c r="AI710" s="113">
        <v>108</v>
      </c>
    </row>
    <row r="711" spans="1:35">
      <c r="A711" s="113">
        <v>639</v>
      </c>
      <c r="B711" s="113" t="s">
        <v>680</v>
      </c>
      <c r="C711" s="120" t="s">
        <v>5966</v>
      </c>
      <c r="D711" s="124" t="s">
        <v>1109</v>
      </c>
      <c r="E711" s="124" t="s">
        <v>1109</v>
      </c>
      <c r="F711" s="113" t="s">
        <v>2333</v>
      </c>
      <c r="G711" s="113" t="s">
        <v>2121</v>
      </c>
      <c r="H711" s="113" t="s">
        <v>98</v>
      </c>
      <c r="I711" s="113" t="s">
        <v>78</v>
      </c>
      <c r="J711" s="118" t="s">
        <v>12</v>
      </c>
      <c r="K711" s="118">
        <v>5</v>
      </c>
      <c r="L711" s="118" t="s">
        <v>5966</v>
      </c>
      <c r="M711" s="115" t="s">
        <v>1109</v>
      </c>
      <c r="N711" s="115" t="s">
        <v>6504</v>
      </c>
      <c r="O711" s="115">
        <v>2</v>
      </c>
      <c r="P711" s="115" t="s">
        <v>1109</v>
      </c>
      <c r="Q711" s="166"/>
      <c r="R711" s="164"/>
      <c r="S711" s="164"/>
      <c r="T711" s="164"/>
      <c r="U711" s="164"/>
      <c r="V711" s="162"/>
      <c r="W711" s="158"/>
      <c r="X711" s="158"/>
      <c r="Y711" s="158"/>
      <c r="Z711" s="158"/>
      <c r="AA711" s="158"/>
      <c r="AB711" s="158"/>
      <c r="AC711" s="113">
        <v>580</v>
      </c>
      <c r="AD711" s="113">
        <v>91</v>
      </c>
      <c r="AE711" s="113">
        <v>129</v>
      </c>
      <c r="AF711" s="113">
        <v>90</v>
      </c>
      <c r="AG711" s="120">
        <v>72</v>
      </c>
      <c r="AH711" s="113">
        <v>90</v>
      </c>
      <c r="AI711" s="113">
        <v>108</v>
      </c>
    </row>
    <row r="712" spans="1:35">
      <c r="A712" s="113">
        <v>640</v>
      </c>
      <c r="B712" s="113" t="s">
        <v>681</v>
      </c>
      <c r="C712" s="120" t="s">
        <v>5967</v>
      </c>
      <c r="D712" s="124" t="s">
        <v>1109</v>
      </c>
      <c r="E712" s="124" t="s">
        <v>1109</v>
      </c>
      <c r="F712" s="113" t="s">
        <v>2333</v>
      </c>
      <c r="G712" s="113" t="s">
        <v>2121</v>
      </c>
      <c r="H712" s="113" t="s">
        <v>14</v>
      </c>
      <c r="I712" s="113" t="s">
        <v>78</v>
      </c>
      <c r="J712" s="118" t="s">
        <v>12</v>
      </c>
      <c r="K712" s="118">
        <v>5</v>
      </c>
      <c r="L712" s="118" t="s">
        <v>5967</v>
      </c>
      <c r="M712" s="115" t="s">
        <v>1109</v>
      </c>
      <c r="N712" s="115" t="s">
        <v>6504</v>
      </c>
      <c r="O712" s="115">
        <v>2</v>
      </c>
      <c r="P712" s="115" t="s">
        <v>1109</v>
      </c>
      <c r="Q712" s="166"/>
      <c r="R712" s="164"/>
      <c r="S712" s="164"/>
      <c r="T712" s="164"/>
      <c r="U712" s="164"/>
      <c r="V712" s="162"/>
      <c r="W712" s="158"/>
      <c r="X712" s="158"/>
      <c r="Y712" s="158"/>
      <c r="Z712" s="158"/>
      <c r="AA712" s="158"/>
      <c r="AB712" s="158"/>
      <c r="AC712" s="113">
        <v>580</v>
      </c>
      <c r="AD712" s="113">
        <v>91</v>
      </c>
      <c r="AE712" s="113">
        <v>90</v>
      </c>
      <c r="AF712" s="113">
        <v>72</v>
      </c>
      <c r="AG712" s="120">
        <v>90</v>
      </c>
      <c r="AH712" s="113">
        <v>129</v>
      </c>
      <c r="AI712" s="113">
        <v>108</v>
      </c>
    </row>
    <row r="713" spans="1:35">
      <c r="A713" s="113">
        <v>641</v>
      </c>
      <c r="B713" s="113" t="s">
        <v>3012</v>
      </c>
      <c r="C713" s="120" t="s">
        <v>5968</v>
      </c>
      <c r="D713" s="124">
        <v>1</v>
      </c>
      <c r="E713" s="124" t="s">
        <v>1109</v>
      </c>
      <c r="F713" s="113" t="s">
        <v>2333</v>
      </c>
      <c r="G713" s="113" t="s">
        <v>2121</v>
      </c>
      <c r="H713" s="113" t="s">
        <v>22</v>
      </c>
      <c r="I713" s="113" t="s">
        <v>1109</v>
      </c>
      <c r="J713" s="118" t="s">
        <v>12</v>
      </c>
      <c r="K713" s="118">
        <v>5</v>
      </c>
      <c r="L713" s="118" t="s">
        <v>5968</v>
      </c>
      <c r="M713" s="115" t="s">
        <v>1109</v>
      </c>
      <c r="N713" s="115" t="s">
        <v>6504</v>
      </c>
      <c r="O713" s="115">
        <v>2</v>
      </c>
      <c r="P713" s="115" t="s">
        <v>1109</v>
      </c>
      <c r="Q713" s="166"/>
      <c r="R713" s="164"/>
      <c r="S713" s="164"/>
      <c r="T713" s="164"/>
      <c r="U713" s="164"/>
      <c r="V713" s="162"/>
      <c r="W713" s="158"/>
      <c r="X713" s="158"/>
      <c r="Y713" s="158"/>
      <c r="Z713" s="158"/>
      <c r="AA713" s="158"/>
      <c r="AB713" s="158"/>
      <c r="AC713" s="113">
        <v>580</v>
      </c>
      <c r="AD713" s="113">
        <v>79</v>
      </c>
      <c r="AE713" s="113">
        <v>115</v>
      </c>
      <c r="AF713" s="113">
        <v>70</v>
      </c>
      <c r="AG713" s="120">
        <v>125</v>
      </c>
      <c r="AH713" s="113">
        <v>80</v>
      </c>
      <c r="AI713" s="113">
        <v>111</v>
      </c>
    </row>
    <row r="714" spans="1:35">
      <c r="A714" s="113">
        <v>641</v>
      </c>
      <c r="B714" s="113" t="s">
        <v>3014</v>
      </c>
      <c r="C714" s="120" t="s">
        <v>5969</v>
      </c>
      <c r="D714" s="124">
        <v>1</v>
      </c>
      <c r="E714" s="124" t="s">
        <v>1109</v>
      </c>
      <c r="F714" s="113" t="s">
        <v>2333</v>
      </c>
      <c r="G714" s="113" t="s">
        <v>2121</v>
      </c>
      <c r="H714" s="113" t="s">
        <v>22</v>
      </c>
      <c r="I714" s="113" t="s">
        <v>1109</v>
      </c>
      <c r="J714" s="118" t="s">
        <v>12</v>
      </c>
      <c r="K714" s="118">
        <v>5</v>
      </c>
      <c r="L714" s="118" t="s">
        <v>5968</v>
      </c>
      <c r="M714" s="115" t="s">
        <v>1109</v>
      </c>
      <c r="N714" s="115" t="s">
        <v>6504</v>
      </c>
      <c r="O714" s="115">
        <v>2</v>
      </c>
      <c r="P714" s="115" t="s">
        <v>1109</v>
      </c>
      <c r="Q714" s="166"/>
      <c r="R714" s="164"/>
      <c r="S714" s="164"/>
      <c r="T714" s="164"/>
      <c r="U714" s="164"/>
      <c r="V714" s="162"/>
      <c r="W714" s="158"/>
      <c r="X714" s="158"/>
      <c r="Y714" s="158"/>
      <c r="Z714" s="158"/>
      <c r="AA714" s="158"/>
      <c r="AB714" s="158"/>
      <c r="AC714" s="113">
        <v>580</v>
      </c>
      <c r="AD714" s="113">
        <v>79</v>
      </c>
      <c r="AE714" s="113">
        <v>100</v>
      </c>
      <c r="AF714" s="113">
        <v>80</v>
      </c>
      <c r="AG714" s="120">
        <v>110</v>
      </c>
      <c r="AH714" s="113">
        <v>90</v>
      </c>
      <c r="AI714" s="113">
        <v>121</v>
      </c>
    </row>
    <row r="715" spans="1:35">
      <c r="A715" s="113">
        <v>642</v>
      </c>
      <c r="B715" s="113" t="s">
        <v>3015</v>
      </c>
      <c r="C715" s="120" t="s">
        <v>5970</v>
      </c>
      <c r="D715" s="124">
        <v>1</v>
      </c>
      <c r="E715" s="124" t="s">
        <v>1109</v>
      </c>
      <c r="F715" s="113" t="s">
        <v>2333</v>
      </c>
      <c r="G715" s="113" t="s">
        <v>2121</v>
      </c>
      <c r="H715" s="113" t="s">
        <v>46</v>
      </c>
      <c r="I715" s="113" t="s">
        <v>22</v>
      </c>
      <c r="J715" s="118" t="s">
        <v>12</v>
      </c>
      <c r="K715" s="118">
        <v>5</v>
      </c>
      <c r="L715" s="118" t="s">
        <v>5970</v>
      </c>
      <c r="M715" s="115" t="s">
        <v>1109</v>
      </c>
      <c r="N715" s="115" t="s">
        <v>6504</v>
      </c>
      <c r="O715" s="115">
        <v>2</v>
      </c>
      <c r="P715" s="115" t="s">
        <v>1109</v>
      </c>
      <c r="Q715" s="166"/>
      <c r="R715" s="164"/>
      <c r="S715" s="164"/>
      <c r="T715" s="164"/>
      <c r="U715" s="164"/>
      <c r="V715" s="162"/>
      <c r="W715" s="158"/>
      <c r="X715" s="158"/>
      <c r="Y715" s="158"/>
      <c r="Z715" s="158"/>
      <c r="AA715" s="158"/>
      <c r="AB715" s="158"/>
      <c r="AC715" s="113">
        <v>580</v>
      </c>
      <c r="AD715" s="113">
        <v>79</v>
      </c>
      <c r="AE715" s="113">
        <v>115</v>
      </c>
      <c r="AF715" s="113">
        <v>70</v>
      </c>
      <c r="AG715" s="120">
        <v>125</v>
      </c>
      <c r="AH715" s="113">
        <v>80</v>
      </c>
      <c r="AI715" s="113">
        <v>111</v>
      </c>
    </row>
    <row r="716" spans="1:35">
      <c r="A716" s="113">
        <v>642</v>
      </c>
      <c r="B716" s="113" t="s">
        <v>3017</v>
      </c>
      <c r="C716" s="120" t="s">
        <v>5971</v>
      </c>
      <c r="D716" s="124">
        <v>1</v>
      </c>
      <c r="E716" s="124" t="s">
        <v>1109</v>
      </c>
      <c r="F716" s="113" t="s">
        <v>2333</v>
      </c>
      <c r="G716" s="113" t="s">
        <v>2121</v>
      </c>
      <c r="H716" s="113" t="s">
        <v>46</v>
      </c>
      <c r="I716" s="113" t="s">
        <v>22</v>
      </c>
      <c r="J716" s="118" t="s">
        <v>12</v>
      </c>
      <c r="K716" s="118">
        <v>5</v>
      </c>
      <c r="L716" s="118" t="s">
        <v>5970</v>
      </c>
      <c r="M716" s="115" t="s">
        <v>1109</v>
      </c>
      <c r="N716" s="115" t="s">
        <v>6504</v>
      </c>
      <c r="O716" s="115">
        <v>2</v>
      </c>
      <c r="P716" s="115" t="s">
        <v>1109</v>
      </c>
      <c r="Q716" s="166"/>
      <c r="R716" s="164"/>
      <c r="S716" s="164"/>
      <c r="T716" s="164"/>
      <c r="U716" s="164"/>
      <c r="V716" s="162"/>
      <c r="W716" s="158"/>
      <c r="X716" s="158"/>
      <c r="Y716" s="158"/>
      <c r="Z716" s="158"/>
      <c r="AA716" s="158"/>
      <c r="AB716" s="158"/>
      <c r="AC716" s="113">
        <v>580</v>
      </c>
      <c r="AD716" s="113">
        <v>79</v>
      </c>
      <c r="AE716" s="113">
        <v>105</v>
      </c>
      <c r="AF716" s="113">
        <v>70</v>
      </c>
      <c r="AG716" s="120">
        <v>145</v>
      </c>
      <c r="AH716" s="113">
        <v>80</v>
      </c>
      <c r="AI716" s="113">
        <v>101</v>
      </c>
    </row>
    <row r="717" spans="1:35">
      <c r="A717" s="113">
        <v>643</v>
      </c>
      <c r="B717" s="113" t="s">
        <v>686</v>
      </c>
      <c r="C717" s="120" t="s">
        <v>5972</v>
      </c>
      <c r="D717" s="124" t="s">
        <v>1109</v>
      </c>
      <c r="E717" s="124" t="s">
        <v>1109</v>
      </c>
      <c r="F717" s="113" t="s">
        <v>2333</v>
      </c>
      <c r="G717" s="113" t="s">
        <v>2121</v>
      </c>
      <c r="H717" s="113" t="s">
        <v>23</v>
      </c>
      <c r="I717" s="113" t="s">
        <v>19</v>
      </c>
      <c r="J717" s="118" t="s">
        <v>12</v>
      </c>
      <c r="K717" s="118">
        <v>5</v>
      </c>
      <c r="L717" s="118" t="s">
        <v>5972</v>
      </c>
      <c r="M717" s="115" t="s">
        <v>1109</v>
      </c>
      <c r="N717" s="115" t="s">
        <v>6504</v>
      </c>
      <c r="O717" s="115">
        <v>2</v>
      </c>
      <c r="P717" s="115" t="s">
        <v>1109</v>
      </c>
      <c r="Q717" s="166"/>
      <c r="R717" s="164"/>
      <c r="S717" s="164"/>
      <c r="T717" s="164"/>
      <c r="U717" s="164"/>
      <c r="V717" s="162"/>
      <c r="W717" s="158"/>
      <c r="X717" s="158"/>
      <c r="Y717" s="158"/>
      <c r="Z717" s="158"/>
      <c r="AA717" s="158"/>
      <c r="AB717" s="158"/>
      <c r="AC717" s="113">
        <v>680</v>
      </c>
      <c r="AD717" s="113">
        <v>100</v>
      </c>
      <c r="AE717" s="113">
        <v>120</v>
      </c>
      <c r="AF717" s="113">
        <v>100</v>
      </c>
      <c r="AG717" s="120">
        <v>150</v>
      </c>
      <c r="AH717" s="113">
        <v>120</v>
      </c>
      <c r="AI717" s="113">
        <v>90</v>
      </c>
    </row>
    <row r="718" spans="1:35">
      <c r="A718" s="113">
        <v>644</v>
      </c>
      <c r="B718" s="113" t="s">
        <v>687</v>
      </c>
      <c r="C718" s="120" t="s">
        <v>5973</v>
      </c>
      <c r="D718" s="124" t="s">
        <v>1109</v>
      </c>
      <c r="E718" s="124" t="s">
        <v>1109</v>
      </c>
      <c r="F718" s="113" t="s">
        <v>2333</v>
      </c>
      <c r="G718" s="113" t="s">
        <v>2121</v>
      </c>
      <c r="H718" s="113" t="s">
        <v>23</v>
      </c>
      <c r="I718" s="113" t="s">
        <v>46</v>
      </c>
      <c r="J718" s="118" t="s">
        <v>12</v>
      </c>
      <c r="K718" s="118">
        <v>5</v>
      </c>
      <c r="L718" s="118" t="s">
        <v>5973</v>
      </c>
      <c r="M718" s="115" t="s">
        <v>1109</v>
      </c>
      <c r="N718" s="115" t="s">
        <v>6504</v>
      </c>
      <c r="O718" s="115">
        <v>2</v>
      </c>
      <c r="P718" s="115" t="s">
        <v>1109</v>
      </c>
      <c r="Q718" s="166"/>
      <c r="R718" s="164"/>
      <c r="S718" s="164"/>
      <c r="T718" s="164"/>
      <c r="U718" s="164"/>
      <c r="V718" s="162"/>
      <c r="W718" s="158"/>
      <c r="X718" s="158"/>
      <c r="Y718" s="158"/>
      <c r="Z718" s="158"/>
      <c r="AA718" s="158"/>
      <c r="AB718" s="158"/>
      <c r="AC718" s="113">
        <v>680</v>
      </c>
      <c r="AD718" s="113">
        <v>100</v>
      </c>
      <c r="AE718" s="113">
        <v>150</v>
      </c>
      <c r="AF718" s="113">
        <v>120</v>
      </c>
      <c r="AG718" s="120">
        <v>120</v>
      </c>
      <c r="AH718" s="113">
        <v>100</v>
      </c>
      <c r="AI718" s="113">
        <v>90</v>
      </c>
    </row>
    <row r="719" spans="1:35">
      <c r="A719" s="113">
        <v>645</v>
      </c>
      <c r="B719" s="113" t="s">
        <v>3018</v>
      </c>
      <c r="C719" s="120" t="s">
        <v>5974</v>
      </c>
      <c r="D719" s="124">
        <v>1</v>
      </c>
      <c r="E719" s="124" t="s">
        <v>1109</v>
      </c>
      <c r="F719" s="113" t="s">
        <v>2333</v>
      </c>
      <c r="G719" s="113" t="s">
        <v>2121</v>
      </c>
      <c r="H719" s="113" t="s">
        <v>49</v>
      </c>
      <c r="I719" s="113" t="s">
        <v>22</v>
      </c>
      <c r="J719" s="118" t="s">
        <v>12</v>
      </c>
      <c r="K719" s="118">
        <v>5</v>
      </c>
      <c r="L719" s="118" t="s">
        <v>5974</v>
      </c>
      <c r="M719" s="115" t="s">
        <v>1109</v>
      </c>
      <c r="N719" s="115" t="s">
        <v>6504</v>
      </c>
      <c r="O719" s="115">
        <v>2</v>
      </c>
      <c r="P719" s="115" t="s">
        <v>1109</v>
      </c>
      <c r="Q719" s="166"/>
      <c r="R719" s="164"/>
      <c r="S719" s="164"/>
      <c r="T719" s="164"/>
      <c r="U719" s="164"/>
      <c r="V719" s="162"/>
      <c r="W719" s="158"/>
      <c r="X719" s="158"/>
      <c r="Y719" s="158"/>
      <c r="Z719" s="158"/>
      <c r="AA719" s="158"/>
      <c r="AB719" s="158"/>
      <c r="AC719" s="113">
        <v>600</v>
      </c>
      <c r="AD719" s="113">
        <v>89</v>
      </c>
      <c r="AE719" s="113">
        <v>125</v>
      </c>
      <c r="AF719" s="113">
        <v>90</v>
      </c>
      <c r="AG719" s="120">
        <v>115</v>
      </c>
      <c r="AH719" s="113">
        <v>80</v>
      </c>
      <c r="AI719" s="113">
        <v>101</v>
      </c>
    </row>
    <row r="720" spans="1:35">
      <c r="A720" s="113">
        <v>645</v>
      </c>
      <c r="B720" s="113" t="s">
        <v>3020</v>
      </c>
      <c r="C720" s="120" t="s">
        <v>5975</v>
      </c>
      <c r="D720" s="124">
        <v>1</v>
      </c>
      <c r="E720" s="124" t="s">
        <v>1109</v>
      </c>
      <c r="F720" s="113" t="s">
        <v>2333</v>
      </c>
      <c r="G720" s="113" t="s">
        <v>2121</v>
      </c>
      <c r="H720" s="113" t="s">
        <v>49</v>
      </c>
      <c r="I720" s="113" t="s">
        <v>22</v>
      </c>
      <c r="J720" s="118" t="s">
        <v>12</v>
      </c>
      <c r="K720" s="118">
        <v>5</v>
      </c>
      <c r="L720" s="118" t="s">
        <v>5974</v>
      </c>
      <c r="M720" s="115" t="s">
        <v>1109</v>
      </c>
      <c r="N720" s="115" t="s">
        <v>6504</v>
      </c>
      <c r="O720" s="115">
        <v>2</v>
      </c>
      <c r="P720" s="115" t="s">
        <v>1109</v>
      </c>
      <c r="Q720" s="166"/>
      <c r="R720" s="164"/>
      <c r="S720" s="164"/>
      <c r="T720" s="164"/>
      <c r="U720" s="164"/>
      <c r="V720" s="162"/>
      <c r="W720" s="158"/>
      <c r="X720" s="158"/>
      <c r="Y720" s="158"/>
      <c r="Z720" s="158"/>
      <c r="AA720" s="158"/>
      <c r="AB720" s="158"/>
      <c r="AC720" s="113">
        <v>600</v>
      </c>
      <c r="AD720" s="113">
        <v>89</v>
      </c>
      <c r="AE720" s="113">
        <v>145</v>
      </c>
      <c r="AF720" s="113">
        <v>90</v>
      </c>
      <c r="AG720" s="120">
        <v>105</v>
      </c>
      <c r="AH720" s="113">
        <v>80</v>
      </c>
      <c r="AI720" s="113">
        <v>91</v>
      </c>
    </row>
    <row r="721" spans="1:35">
      <c r="A721" s="113">
        <v>646</v>
      </c>
      <c r="B721" s="113" t="s">
        <v>690</v>
      </c>
      <c r="C721" s="120" t="s">
        <v>5976</v>
      </c>
      <c r="D721" s="124" t="s">
        <v>1109</v>
      </c>
      <c r="E721" s="124" t="s">
        <v>1109</v>
      </c>
      <c r="F721" s="113" t="s">
        <v>2333</v>
      </c>
      <c r="G721" s="113" t="s">
        <v>2121</v>
      </c>
      <c r="H721" s="113" t="s">
        <v>23</v>
      </c>
      <c r="I721" s="113" t="s">
        <v>113</v>
      </c>
      <c r="J721" s="118" t="s">
        <v>12</v>
      </c>
      <c r="K721" s="118">
        <v>5</v>
      </c>
      <c r="L721" s="118" t="s">
        <v>5976</v>
      </c>
      <c r="M721" s="115" t="s">
        <v>1109</v>
      </c>
      <c r="N721" s="115" t="s">
        <v>6504</v>
      </c>
      <c r="O721" s="115">
        <v>2</v>
      </c>
      <c r="P721" s="115" t="s">
        <v>1109</v>
      </c>
      <c r="Q721" s="166"/>
      <c r="R721" s="164"/>
      <c r="S721" s="164"/>
      <c r="T721" s="164"/>
      <c r="U721" s="164"/>
      <c r="V721" s="162"/>
      <c r="W721" s="158"/>
      <c r="X721" s="158"/>
      <c r="Y721" s="158"/>
      <c r="Z721" s="158"/>
      <c r="AA721" s="158"/>
      <c r="AB721" s="158"/>
      <c r="AC721" s="113">
        <v>660</v>
      </c>
      <c r="AD721" s="113">
        <v>125</v>
      </c>
      <c r="AE721" s="113">
        <v>130</v>
      </c>
      <c r="AF721" s="113">
        <v>90</v>
      </c>
      <c r="AG721" s="120">
        <v>130</v>
      </c>
      <c r="AH721" s="113">
        <v>90</v>
      </c>
      <c r="AI721" s="113">
        <v>95</v>
      </c>
    </row>
    <row r="722" spans="1:35">
      <c r="A722" s="113">
        <v>646</v>
      </c>
      <c r="B722" s="113" t="s">
        <v>3024</v>
      </c>
      <c r="C722" s="120" t="s">
        <v>5978</v>
      </c>
      <c r="D722" s="124" t="s">
        <v>1109</v>
      </c>
      <c r="E722" s="124" t="s">
        <v>1109</v>
      </c>
      <c r="F722" s="113" t="s">
        <v>2333</v>
      </c>
      <c r="G722" s="113" t="s">
        <v>2121</v>
      </c>
      <c r="H722" s="113" t="s">
        <v>23</v>
      </c>
      <c r="I722" s="113" t="s">
        <v>113</v>
      </c>
      <c r="J722" s="118" t="s">
        <v>12</v>
      </c>
      <c r="K722" s="118">
        <v>5</v>
      </c>
      <c r="L722" s="118" t="s">
        <v>5976</v>
      </c>
      <c r="M722" s="115" t="s">
        <v>1109</v>
      </c>
      <c r="N722" s="115" t="s">
        <v>6504</v>
      </c>
      <c r="O722" s="115">
        <v>2</v>
      </c>
      <c r="P722" s="115" t="s">
        <v>1109</v>
      </c>
      <c r="Q722" s="166"/>
      <c r="R722" s="164"/>
      <c r="S722" s="164"/>
      <c r="T722" s="164"/>
      <c r="U722" s="164"/>
      <c r="V722" s="162"/>
      <c r="W722" s="158"/>
      <c r="X722" s="158"/>
      <c r="Y722" s="158"/>
      <c r="Z722" s="158"/>
      <c r="AA722" s="158"/>
      <c r="AB722" s="158"/>
      <c r="AC722" s="113">
        <v>700</v>
      </c>
      <c r="AD722" s="113">
        <v>125</v>
      </c>
      <c r="AE722" s="113">
        <v>120</v>
      </c>
      <c r="AF722" s="113">
        <v>90</v>
      </c>
      <c r="AG722" s="120">
        <v>170</v>
      </c>
      <c r="AH722" s="113">
        <v>100</v>
      </c>
      <c r="AI722" s="113">
        <v>95</v>
      </c>
    </row>
    <row r="723" spans="1:35">
      <c r="A723" s="113">
        <v>646</v>
      </c>
      <c r="B723" s="120" t="s">
        <v>3022</v>
      </c>
      <c r="C723" s="120" t="s">
        <v>5977</v>
      </c>
      <c r="D723" s="124" t="s">
        <v>1109</v>
      </c>
      <c r="E723" s="124" t="s">
        <v>1109</v>
      </c>
      <c r="F723" s="113" t="s">
        <v>2333</v>
      </c>
      <c r="G723" s="113" t="s">
        <v>2121</v>
      </c>
      <c r="H723" s="113" t="s">
        <v>23</v>
      </c>
      <c r="I723" s="113" t="s">
        <v>113</v>
      </c>
      <c r="J723" s="118" t="s">
        <v>12</v>
      </c>
      <c r="K723" s="118">
        <v>5</v>
      </c>
      <c r="L723" s="118" t="s">
        <v>5976</v>
      </c>
      <c r="M723" s="115" t="s">
        <v>1109</v>
      </c>
      <c r="N723" s="115" t="s">
        <v>6504</v>
      </c>
      <c r="O723" s="115">
        <v>2</v>
      </c>
      <c r="P723" s="115" t="s">
        <v>1109</v>
      </c>
      <c r="Q723" s="166"/>
      <c r="R723" s="164"/>
      <c r="S723" s="164"/>
      <c r="T723" s="164"/>
      <c r="U723" s="164"/>
      <c r="V723" s="162"/>
      <c r="W723" s="158"/>
      <c r="X723" s="158"/>
      <c r="Y723" s="158"/>
      <c r="Z723" s="158"/>
      <c r="AA723" s="158"/>
      <c r="AB723" s="158"/>
      <c r="AC723" s="113">
        <v>700</v>
      </c>
      <c r="AD723" s="113">
        <v>125</v>
      </c>
      <c r="AE723" s="113">
        <v>170</v>
      </c>
      <c r="AF723" s="113">
        <v>100</v>
      </c>
      <c r="AG723" s="120">
        <v>120</v>
      </c>
      <c r="AH723" s="113">
        <v>90</v>
      </c>
      <c r="AI723" s="113">
        <v>95</v>
      </c>
    </row>
    <row r="724" spans="1:35">
      <c r="A724" s="113">
        <v>647</v>
      </c>
      <c r="B724" s="113" t="s">
        <v>2123</v>
      </c>
      <c r="C724" s="120" t="s">
        <v>5979</v>
      </c>
      <c r="D724" s="124" t="s">
        <v>1109</v>
      </c>
      <c r="E724" s="124" t="s">
        <v>1109</v>
      </c>
      <c r="F724" s="113" t="s">
        <v>2333</v>
      </c>
      <c r="G724" s="113" t="s">
        <v>2121</v>
      </c>
      <c r="H724" s="113" t="s">
        <v>25</v>
      </c>
      <c r="I724" s="113" t="s">
        <v>78</v>
      </c>
      <c r="J724" s="118" t="s">
        <v>12</v>
      </c>
      <c r="K724" s="118">
        <v>5</v>
      </c>
      <c r="L724" s="118" t="s">
        <v>5979</v>
      </c>
      <c r="M724" s="115" t="s">
        <v>1109</v>
      </c>
      <c r="N724" s="115" t="s">
        <v>6504</v>
      </c>
      <c r="O724" s="115">
        <v>2</v>
      </c>
      <c r="P724" s="115" t="s">
        <v>1109</v>
      </c>
      <c r="Q724" s="166"/>
      <c r="R724" s="164"/>
      <c r="S724" s="164"/>
      <c r="T724" s="164"/>
      <c r="U724" s="164"/>
      <c r="V724" s="162"/>
      <c r="W724" s="158"/>
      <c r="X724" s="158"/>
      <c r="Y724" s="158"/>
      <c r="Z724" s="158"/>
      <c r="AA724" s="158"/>
      <c r="AB724" s="158"/>
      <c r="AC724" s="113">
        <v>580</v>
      </c>
      <c r="AD724" s="113">
        <v>91</v>
      </c>
      <c r="AE724" s="113">
        <v>72</v>
      </c>
      <c r="AF724" s="113">
        <v>90</v>
      </c>
      <c r="AG724" s="120">
        <v>129</v>
      </c>
      <c r="AH724" s="113">
        <v>90</v>
      </c>
      <c r="AI724" s="113">
        <v>108</v>
      </c>
    </row>
    <row r="725" spans="1:35">
      <c r="A725" s="113">
        <v>647</v>
      </c>
      <c r="B725" s="113" t="s">
        <v>3969</v>
      </c>
      <c r="C725" s="120" t="s">
        <v>5980</v>
      </c>
      <c r="D725" s="124" t="s">
        <v>1109</v>
      </c>
      <c r="E725" s="124" t="s">
        <v>1109</v>
      </c>
      <c r="F725" s="113" t="s">
        <v>2333</v>
      </c>
      <c r="G725" s="113" t="s">
        <v>2121</v>
      </c>
      <c r="H725" s="113" t="s">
        <v>25</v>
      </c>
      <c r="I725" s="113" t="s">
        <v>78</v>
      </c>
      <c r="J725" s="118" t="s">
        <v>12</v>
      </c>
      <c r="K725" s="118">
        <v>5</v>
      </c>
      <c r="L725" s="118" t="s">
        <v>5979</v>
      </c>
      <c r="M725" s="115" t="s">
        <v>1109</v>
      </c>
      <c r="N725" s="115" t="s">
        <v>6504</v>
      </c>
      <c r="O725" s="115">
        <v>2</v>
      </c>
      <c r="P725" s="115" t="s">
        <v>1109</v>
      </c>
      <c r="Q725" s="166"/>
      <c r="R725" s="164"/>
      <c r="S725" s="164"/>
      <c r="T725" s="164"/>
      <c r="U725" s="164"/>
      <c r="V725" s="162"/>
      <c r="W725" s="158"/>
      <c r="X725" s="158"/>
      <c r="Y725" s="158"/>
      <c r="Z725" s="158"/>
      <c r="AA725" s="158"/>
      <c r="AB725" s="158"/>
      <c r="AC725" s="113">
        <v>580</v>
      </c>
      <c r="AD725" s="113">
        <v>91</v>
      </c>
      <c r="AE725" s="113">
        <v>72</v>
      </c>
      <c r="AF725" s="113">
        <v>90</v>
      </c>
      <c r="AG725" s="120">
        <v>129</v>
      </c>
      <c r="AH725" s="113">
        <v>90</v>
      </c>
      <c r="AI725" s="113">
        <v>108</v>
      </c>
    </row>
    <row r="726" spans="1:35">
      <c r="A726" s="113">
        <v>648</v>
      </c>
      <c r="B726" s="113" t="s">
        <v>3025</v>
      </c>
      <c r="C726" s="120" t="s">
        <v>5981</v>
      </c>
      <c r="D726" s="124" t="s">
        <v>1109</v>
      </c>
      <c r="E726" s="124" t="s">
        <v>1109</v>
      </c>
      <c r="F726" s="113" t="s">
        <v>2333</v>
      </c>
      <c r="G726" s="113" t="s">
        <v>2121</v>
      </c>
      <c r="H726" s="113" t="s">
        <v>36</v>
      </c>
      <c r="I726" s="113" t="s">
        <v>86</v>
      </c>
      <c r="J726" s="118" t="s">
        <v>12</v>
      </c>
      <c r="K726" s="118">
        <v>5</v>
      </c>
      <c r="L726" s="118" t="s">
        <v>5981</v>
      </c>
      <c r="M726" s="115" t="s">
        <v>1109</v>
      </c>
      <c r="N726" s="115" t="s">
        <v>6504</v>
      </c>
      <c r="O726" s="115">
        <v>2</v>
      </c>
      <c r="P726" s="115" t="s">
        <v>1109</v>
      </c>
      <c r="Q726" s="166"/>
      <c r="R726" s="164"/>
      <c r="S726" s="164"/>
      <c r="T726" s="164"/>
      <c r="U726" s="164"/>
      <c r="V726" s="162"/>
      <c r="W726" s="158"/>
      <c r="X726" s="158"/>
      <c r="Y726" s="158"/>
      <c r="Z726" s="158"/>
      <c r="AA726" s="158"/>
      <c r="AB726" s="158"/>
      <c r="AC726" s="113">
        <v>600</v>
      </c>
      <c r="AD726" s="113">
        <v>100</v>
      </c>
      <c r="AE726" s="113">
        <v>77</v>
      </c>
      <c r="AF726" s="113">
        <v>77</v>
      </c>
      <c r="AG726" s="120">
        <v>128</v>
      </c>
      <c r="AH726" s="113">
        <v>128</v>
      </c>
      <c r="AI726" s="113">
        <v>90</v>
      </c>
    </row>
    <row r="727" spans="1:35">
      <c r="A727" s="113">
        <v>648</v>
      </c>
      <c r="B727" s="113" t="s">
        <v>3027</v>
      </c>
      <c r="C727" s="120" t="s">
        <v>5982</v>
      </c>
      <c r="D727" s="124" t="s">
        <v>1109</v>
      </c>
      <c r="E727" s="124" t="s">
        <v>1109</v>
      </c>
      <c r="F727" s="113" t="s">
        <v>2333</v>
      </c>
      <c r="G727" s="113" t="s">
        <v>2121</v>
      </c>
      <c r="H727" s="113" t="s">
        <v>36</v>
      </c>
      <c r="I727" s="113" t="s">
        <v>78</v>
      </c>
      <c r="J727" s="118" t="s">
        <v>12</v>
      </c>
      <c r="K727" s="118">
        <v>5</v>
      </c>
      <c r="L727" s="118" t="s">
        <v>5981</v>
      </c>
      <c r="M727" s="115" t="s">
        <v>1109</v>
      </c>
      <c r="N727" s="115" t="s">
        <v>6504</v>
      </c>
      <c r="O727" s="115">
        <v>2</v>
      </c>
      <c r="P727" s="115" t="s">
        <v>1109</v>
      </c>
      <c r="Q727" s="166"/>
      <c r="R727" s="164"/>
      <c r="S727" s="164"/>
      <c r="T727" s="164"/>
      <c r="U727" s="164"/>
      <c r="V727" s="162"/>
      <c r="W727" s="158"/>
      <c r="X727" s="158"/>
      <c r="Y727" s="158"/>
      <c r="Z727" s="158"/>
      <c r="AA727" s="158"/>
      <c r="AB727" s="158"/>
      <c r="AC727" s="113">
        <v>600</v>
      </c>
      <c r="AD727" s="113">
        <v>100</v>
      </c>
      <c r="AE727" s="113">
        <v>128</v>
      </c>
      <c r="AF727" s="113">
        <v>90</v>
      </c>
      <c r="AG727" s="120">
        <v>77</v>
      </c>
      <c r="AH727" s="113">
        <v>77</v>
      </c>
      <c r="AI727" s="113">
        <v>128</v>
      </c>
    </row>
    <row r="728" spans="1:35">
      <c r="A728" s="113">
        <v>649</v>
      </c>
      <c r="B728" s="113" t="s">
        <v>697</v>
      </c>
      <c r="C728" s="120" t="s">
        <v>5983</v>
      </c>
      <c r="D728" s="124" t="s">
        <v>1109</v>
      </c>
      <c r="E728" s="124" t="s">
        <v>1109</v>
      </c>
      <c r="F728" s="113" t="s">
        <v>2333</v>
      </c>
      <c r="G728" s="113" t="s">
        <v>2121</v>
      </c>
      <c r="H728" s="113" t="s">
        <v>29</v>
      </c>
      <c r="I728" s="113" t="s">
        <v>106</v>
      </c>
      <c r="J728" s="118" t="s">
        <v>12</v>
      </c>
      <c r="K728" s="118">
        <v>5</v>
      </c>
      <c r="L728" s="118" t="s">
        <v>5983</v>
      </c>
      <c r="M728" s="115" t="s">
        <v>1109</v>
      </c>
      <c r="N728" s="115" t="s">
        <v>6504</v>
      </c>
      <c r="O728" s="115">
        <v>2</v>
      </c>
      <c r="P728" s="115" t="s">
        <v>1109</v>
      </c>
      <c r="Q728" s="166"/>
      <c r="R728" s="164"/>
      <c r="S728" s="164"/>
      <c r="T728" s="164"/>
      <c r="U728" s="164"/>
      <c r="V728" s="162"/>
      <c r="W728" s="158"/>
      <c r="X728" s="158"/>
      <c r="Y728" s="158"/>
      <c r="Z728" s="158"/>
      <c r="AA728" s="158"/>
      <c r="AB728" s="158"/>
      <c r="AC728" s="113">
        <v>600</v>
      </c>
      <c r="AD728" s="113">
        <v>71</v>
      </c>
      <c r="AE728" s="113">
        <v>120</v>
      </c>
      <c r="AF728" s="113">
        <v>95</v>
      </c>
      <c r="AG728" s="120">
        <v>120</v>
      </c>
      <c r="AH728" s="113">
        <v>95</v>
      </c>
      <c r="AI728" s="113">
        <v>99</v>
      </c>
    </row>
    <row r="729" spans="1:35">
      <c r="A729" s="113">
        <v>650</v>
      </c>
      <c r="B729" s="113" t="s">
        <v>698</v>
      </c>
      <c r="C729" s="120" t="s">
        <v>5984</v>
      </c>
      <c r="D729" s="124">
        <v>0.85</v>
      </c>
      <c r="E729" s="124">
        <v>0.15</v>
      </c>
      <c r="F729" s="113" t="s">
        <v>2332</v>
      </c>
      <c r="G729" s="113" t="s">
        <v>2707</v>
      </c>
      <c r="H729" s="113" t="s">
        <v>14</v>
      </c>
      <c r="I729" s="113" t="s">
        <v>1109</v>
      </c>
      <c r="J729" s="118" t="s">
        <v>792</v>
      </c>
      <c r="K729" s="118">
        <v>4</v>
      </c>
      <c r="L729" s="118" t="s">
        <v>5984</v>
      </c>
      <c r="M729" s="115" t="s">
        <v>1109</v>
      </c>
      <c r="N729" s="115" t="s">
        <v>6505</v>
      </c>
      <c r="O729" s="115">
        <v>1.75</v>
      </c>
      <c r="P729" s="115" t="s">
        <v>1109</v>
      </c>
      <c r="Q729" s="166"/>
      <c r="R729" s="164"/>
      <c r="S729" s="164"/>
      <c r="T729" s="164"/>
      <c r="U729" s="164"/>
      <c r="V729" s="162"/>
      <c r="W729" s="158"/>
      <c r="X729" s="158"/>
      <c r="Y729" s="158"/>
      <c r="Z729" s="158"/>
      <c r="AA729" s="158"/>
      <c r="AB729" s="158"/>
      <c r="AC729" s="113">
        <v>313</v>
      </c>
      <c r="AD729" s="113">
        <v>56</v>
      </c>
      <c r="AE729" s="113">
        <v>61</v>
      </c>
      <c r="AF729" s="113">
        <v>65</v>
      </c>
      <c r="AG729" s="120">
        <v>48</v>
      </c>
      <c r="AH729" s="113">
        <v>45</v>
      </c>
      <c r="AI729" s="113">
        <v>38</v>
      </c>
    </row>
    <row r="730" spans="1:35">
      <c r="A730" s="113">
        <v>651</v>
      </c>
      <c r="B730" s="113" t="s">
        <v>699</v>
      </c>
      <c r="C730" s="120" t="s">
        <v>5985</v>
      </c>
      <c r="D730" s="124">
        <v>0.85</v>
      </c>
      <c r="E730" s="124">
        <v>0.15</v>
      </c>
      <c r="F730" s="113" t="s">
        <v>2332</v>
      </c>
      <c r="G730" s="113" t="s">
        <v>2707</v>
      </c>
      <c r="H730" s="113" t="s">
        <v>14</v>
      </c>
      <c r="I730" s="113" t="s">
        <v>1109</v>
      </c>
      <c r="J730" s="118" t="s">
        <v>792</v>
      </c>
      <c r="K730" s="118">
        <v>4</v>
      </c>
      <c r="L730" s="118" t="s">
        <v>5984</v>
      </c>
      <c r="M730" s="115" t="s">
        <v>5984</v>
      </c>
      <c r="N730" s="115" t="s">
        <v>6506</v>
      </c>
      <c r="O730" s="115">
        <v>1.75</v>
      </c>
      <c r="P730" s="115" t="s">
        <v>2128</v>
      </c>
      <c r="Q730" s="166"/>
      <c r="R730" s="164"/>
      <c r="S730" s="164"/>
      <c r="T730" s="164"/>
      <c r="U730" s="164"/>
      <c r="V730" s="162"/>
      <c r="W730" s="158"/>
      <c r="X730" s="158"/>
      <c r="Y730" s="158"/>
      <c r="Z730" s="158"/>
      <c r="AA730" s="158"/>
      <c r="AB730" s="158"/>
      <c r="AC730" s="113">
        <v>405</v>
      </c>
      <c r="AD730" s="113">
        <v>61</v>
      </c>
      <c r="AE730" s="113">
        <v>78</v>
      </c>
      <c r="AF730" s="113">
        <v>95</v>
      </c>
      <c r="AG730" s="120">
        <v>56</v>
      </c>
      <c r="AH730" s="113">
        <v>58</v>
      </c>
      <c r="AI730" s="113">
        <v>57</v>
      </c>
    </row>
    <row r="731" spans="1:35">
      <c r="A731" s="113">
        <v>652</v>
      </c>
      <c r="B731" s="113" t="s">
        <v>700</v>
      </c>
      <c r="C731" s="120" t="s">
        <v>5986</v>
      </c>
      <c r="D731" s="124">
        <v>0.85</v>
      </c>
      <c r="E731" s="124">
        <v>0.15</v>
      </c>
      <c r="F731" s="113" t="s">
        <v>2332</v>
      </c>
      <c r="G731" s="113" t="s">
        <v>2707</v>
      </c>
      <c r="H731" s="113" t="s">
        <v>14</v>
      </c>
      <c r="I731" s="113" t="s">
        <v>78</v>
      </c>
      <c r="J731" s="118" t="s">
        <v>792</v>
      </c>
      <c r="K731" s="118">
        <v>4</v>
      </c>
      <c r="L731" s="118" t="s">
        <v>5984</v>
      </c>
      <c r="M731" s="115" t="s">
        <v>5985</v>
      </c>
      <c r="N731" s="115" t="s">
        <v>6504</v>
      </c>
      <c r="O731" s="115">
        <v>1.75</v>
      </c>
      <c r="P731" s="115" t="s">
        <v>2128</v>
      </c>
      <c r="Q731" s="166"/>
      <c r="R731" s="164"/>
      <c r="S731" s="164"/>
      <c r="T731" s="164"/>
      <c r="U731" s="164"/>
      <c r="V731" s="162"/>
      <c r="W731" s="158"/>
      <c r="X731" s="158"/>
      <c r="Y731" s="158"/>
      <c r="Z731" s="158"/>
      <c r="AA731" s="158"/>
      <c r="AB731" s="158"/>
      <c r="AC731" s="113">
        <v>530</v>
      </c>
      <c r="AD731" s="113">
        <v>88</v>
      </c>
      <c r="AE731" s="113">
        <v>107</v>
      </c>
      <c r="AF731" s="113">
        <v>122</v>
      </c>
      <c r="AG731" s="120">
        <v>74</v>
      </c>
      <c r="AH731" s="113">
        <v>75</v>
      </c>
      <c r="AI731" s="113">
        <v>64</v>
      </c>
    </row>
    <row r="732" spans="1:35">
      <c r="A732" s="113">
        <v>653</v>
      </c>
      <c r="B732" s="113" t="s">
        <v>701</v>
      </c>
      <c r="C732" s="120" t="s">
        <v>5987</v>
      </c>
      <c r="D732" s="124">
        <v>0.85</v>
      </c>
      <c r="E732" s="124">
        <v>0.15</v>
      </c>
      <c r="F732" s="113" t="s">
        <v>2332</v>
      </c>
      <c r="G732" s="113" t="s">
        <v>2707</v>
      </c>
      <c r="H732" s="113" t="s">
        <v>19</v>
      </c>
      <c r="I732" s="113" t="s">
        <v>1109</v>
      </c>
      <c r="J732" s="118" t="s">
        <v>792</v>
      </c>
      <c r="K732" s="118">
        <v>4</v>
      </c>
      <c r="L732" s="118" t="s">
        <v>5987</v>
      </c>
      <c r="M732" s="115" t="s">
        <v>1109</v>
      </c>
      <c r="N732" s="115" t="s">
        <v>6505</v>
      </c>
      <c r="O732" s="115">
        <v>1.75</v>
      </c>
      <c r="P732" s="115" t="s">
        <v>1109</v>
      </c>
      <c r="Q732" s="166"/>
      <c r="R732" s="164"/>
      <c r="S732" s="164"/>
      <c r="T732" s="164"/>
      <c r="U732" s="164"/>
      <c r="V732" s="162"/>
      <c r="W732" s="158"/>
      <c r="X732" s="158"/>
      <c r="Y732" s="158"/>
      <c r="Z732" s="158"/>
      <c r="AA732" s="158"/>
      <c r="AB732" s="158"/>
      <c r="AC732" s="113">
        <v>307</v>
      </c>
      <c r="AD732" s="113">
        <v>40</v>
      </c>
      <c r="AE732" s="113">
        <v>45</v>
      </c>
      <c r="AF732" s="113">
        <v>40</v>
      </c>
      <c r="AG732" s="120">
        <v>62</v>
      </c>
      <c r="AH732" s="113">
        <v>60</v>
      </c>
      <c r="AI732" s="113">
        <v>60</v>
      </c>
    </row>
    <row r="733" spans="1:35">
      <c r="A733" s="113">
        <v>654</v>
      </c>
      <c r="B733" s="113" t="s">
        <v>702</v>
      </c>
      <c r="C733" s="120" t="s">
        <v>5988</v>
      </c>
      <c r="D733" s="124">
        <v>0.85</v>
      </c>
      <c r="E733" s="124">
        <v>0.15</v>
      </c>
      <c r="F733" s="113" t="s">
        <v>2332</v>
      </c>
      <c r="G733" s="113" t="s">
        <v>2707</v>
      </c>
      <c r="H733" s="113" t="s">
        <v>19</v>
      </c>
      <c r="I733" s="113" t="s">
        <v>1109</v>
      </c>
      <c r="J733" s="118" t="s">
        <v>792</v>
      </c>
      <c r="K733" s="118">
        <v>4</v>
      </c>
      <c r="L733" s="118" t="s">
        <v>5987</v>
      </c>
      <c r="M733" s="115" t="s">
        <v>5987</v>
      </c>
      <c r="N733" s="115" t="s">
        <v>6506</v>
      </c>
      <c r="O733" s="115">
        <v>1.75</v>
      </c>
      <c r="P733" s="115" t="s">
        <v>2128</v>
      </c>
      <c r="Q733" s="166"/>
      <c r="R733" s="164"/>
      <c r="S733" s="164"/>
      <c r="T733" s="164"/>
      <c r="U733" s="164"/>
      <c r="V733" s="162"/>
      <c r="W733" s="158"/>
      <c r="X733" s="158"/>
      <c r="Y733" s="158"/>
      <c r="Z733" s="158"/>
      <c r="AA733" s="158"/>
      <c r="AB733" s="158"/>
      <c r="AC733" s="113">
        <v>409</v>
      </c>
      <c r="AD733" s="113">
        <v>59</v>
      </c>
      <c r="AE733" s="113">
        <v>59</v>
      </c>
      <c r="AF733" s="113">
        <v>58</v>
      </c>
      <c r="AG733" s="120">
        <v>90</v>
      </c>
      <c r="AH733" s="113">
        <v>70</v>
      </c>
      <c r="AI733" s="113">
        <v>73</v>
      </c>
    </row>
    <row r="734" spans="1:35">
      <c r="A734" s="113">
        <v>655</v>
      </c>
      <c r="B734" s="113" t="s">
        <v>703</v>
      </c>
      <c r="C734" s="120" t="s">
        <v>5989</v>
      </c>
      <c r="D734" s="124">
        <v>0.85</v>
      </c>
      <c r="E734" s="124">
        <v>0.15</v>
      </c>
      <c r="F734" s="113" t="s">
        <v>2332</v>
      </c>
      <c r="G734" s="113" t="s">
        <v>2707</v>
      </c>
      <c r="H734" s="113" t="s">
        <v>19</v>
      </c>
      <c r="I734" s="113" t="s">
        <v>86</v>
      </c>
      <c r="J734" s="118" t="s">
        <v>792</v>
      </c>
      <c r="K734" s="118">
        <v>4</v>
      </c>
      <c r="L734" s="118" t="s">
        <v>5987</v>
      </c>
      <c r="M734" s="115" t="s">
        <v>5988</v>
      </c>
      <c r="N734" s="115" t="s">
        <v>6504</v>
      </c>
      <c r="O734" s="115">
        <v>1.75</v>
      </c>
      <c r="P734" s="115" t="s">
        <v>2128</v>
      </c>
      <c r="Q734" s="166"/>
      <c r="R734" s="164"/>
      <c r="S734" s="164"/>
      <c r="T734" s="164"/>
      <c r="U734" s="164"/>
      <c r="V734" s="162"/>
      <c r="W734" s="158"/>
      <c r="X734" s="158"/>
      <c r="Y734" s="158"/>
      <c r="Z734" s="158"/>
      <c r="AA734" s="158"/>
      <c r="AB734" s="158"/>
      <c r="AC734" s="113">
        <v>534</v>
      </c>
      <c r="AD734" s="113">
        <v>75</v>
      </c>
      <c r="AE734" s="113">
        <v>69</v>
      </c>
      <c r="AF734" s="113">
        <v>72</v>
      </c>
      <c r="AG734" s="120">
        <v>114</v>
      </c>
      <c r="AH734" s="113">
        <v>100</v>
      </c>
      <c r="AI734" s="113">
        <v>104</v>
      </c>
    </row>
    <row r="735" spans="1:35">
      <c r="A735" s="113">
        <v>656</v>
      </c>
      <c r="B735" s="113" t="s">
        <v>704</v>
      </c>
      <c r="C735" s="120" t="s">
        <v>5990</v>
      </c>
      <c r="D735" s="124">
        <v>0.85</v>
      </c>
      <c r="E735" s="124">
        <v>0.15</v>
      </c>
      <c r="F735" s="113" t="s">
        <v>2331</v>
      </c>
      <c r="G735" s="113" t="s">
        <v>2707</v>
      </c>
      <c r="H735" s="113" t="s">
        <v>25</v>
      </c>
      <c r="I735" s="113" t="s">
        <v>1109</v>
      </c>
      <c r="J735" s="118" t="s">
        <v>792</v>
      </c>
      <c r="K735" s="118">
        <v>4</v>
      </c>
      <c r="L735" s="118" t="s">
        <v>5990</v>
      </c>
      <c r="M735" s="115" t="s">
        <v>1109</v>
      </c>
      <c r="N735" s="115" t="s">
        <v>6505</v>
      </c>
      <c r="O735" s="115">
        <v>1.75</v>
      </c>
      <c r="P735" s="115" t="s">
        <v>1109</v>
      </c>
      <c r="Q735" s="166"/>
      <c r="R735" s="164"/>
      <c r="S735" s="164"/>
      <c r="T735" s="164"/>
      <c r="U735" s="164"/>
      <c r="V735" s="162"/>
      <c r="W735" s="158"/>
      <c r="X735" s="158"/>
      <c r="Y735" s="158"/>
      <c r="Z735" s="158"/>
      <c r="AA735" s="158"/>
      <c r="AB735" s="158"/>
      <c r="AC735" s="113">
        <v>314</v>
      </c>
      <c r="AD735" s="113">
        <v>41</v>
      </c>
      <c r="AE735" s="113">
        <v>56</v>
      </c>
      <c r="AF735" s="113">
        <v>40</v>
      </c>
      <c r="AG735" s="120">
        <v>62</v>
      </c>
      <c r="AH735" s="113">
        <v>44</v>
      </c>
      <c r="AI735" s="113">
        <v>71</v>
      </c>
    </row>
    <row r="736" spans="1:35">
      <c r="A736" s="113">
        <v>657</v>
      </c>
      <c r="B736" s="113" t="s">
        <v>705</v>
      </c>
      <c r="C736" s="120" t="s">
        <v>5991</v>
      </c>
      <c r="D736" s="124">
        <v>0.85</v>
      </c>
      <c r="E736" s="124">
        <v>0.15</v>
      </c>
      <c r="F736" s="113" t="s">
        <v>2331</v>
      </c>
      <c r="G736" s="113" t="s">
        <v>2707</v>
      </c>
      <c r="H736" s="113" t="s">
        <v>25</v>
      </c>
      <c r="I736" s="113" t="s">
        <v>1109</v>
      </c>
      <c r="J736" s="118" t="s">
        <v>792</v>
      </c>
      <c r="K736" s="118">
        <v>4</v>
      </c>
      <c r="L736" s="118" t="s">
        <v>5990</v>
      </c>
      <c r="M736" s="115" t="s">
        <v>5990</v>
      </c>
      <c r="N736" s="115" t="s">
        <v>6506</v>
      </c>
      <c r="O736" s="115">
        <v>1.75</v>
      </c>
      <c r="P736" s="115" t="s">
        <v>2128</v>
      </c>
      <c r="Q736" s="166"/>
      <c r="R736" s="164"/>
      <c r="S736" s="164"/>
      <c r="T736" s="164"/>
      <c r="U736" s="164"/>
      <c r="V736" s="162"/>
      <c r="W736" s="158"/>
      <c r="X736" s="158"/>
      <c r="Y736" s="158"/>
      <c r="Z736" s="158"/>
      <c r="AA736" s="158"/>
      <c r="AB736" s="158"/>
      <c r="AC736" s="113">
        <v>405</v>
      </c>
      <c r="AD736" s="113">
        <v>54</v>
      </c>
      <c r="AE736" s="113">
        <v>63</v>
      </c>
      <c r="AF736" s="113">
        <v>52</v>
      </c>
      <c r="AG736" s="120">
        <v>83</v>
      </c>
      <c r="AH736" s="113">
        <v>56</v>
      </c>
      <c r="AI736" s="113">
        <v>97</v>
      </c>
    </row>
    <row r="737" spans="1:35">
      <c r="A737" s="113">
        <v>658</v>
      </c>
      <c r="B737" s="113" t="s">
        <v>706</v>
      </c>
      <c r="C737" s="120" t="s">
        <v>5992</v>
      </c>
      <c r="D737" s="124">
        <v>0.85</v>
      </c>
      <c r="E737" s="124">
        <v>0.15</v>
      </c>
      <c r="F737" s="113" t="s">
        <v>2331</v>
      </c>
      <c r="G737" s="113" t="s">
        <v>2707</v>
      </c>
      <c r="H737" s="113" t="s">
        <v>25</v>
      </c>
      <c r="I737" s="113" t="s">
        <v>158</v>
      </c>
      <c r="J737" s="118" t="s">
        <v>792</v>
      </c>
      <c r="K737" s="118">
        <v>4</v>
      </c>
      <c r="L737" s="118" t="s">
        <v>5990</v>
      </c>
      <c r="M737" s="115" t="s">
        <v>5991</v>
      </c>
      <c r="N737" s="115" t="s">
        <v>6504</v>
      </c>
      <c r="O737" s="115">
        <v>1.75</v>
      </c>
      <c r="P737" s="115" t="s">
        <v>2128</v>
      </c>
      <c r="Q737" s="166"/>
      <c r="R737" s="164"/>
      <c r="S737" s="164"/>
      <c r="T737" s="164"/>
      <c r="U737" s="164"/>
      <c r="V737" s="162"/>
      <c r="W737" s="158"/>
      <c r="X737" s="158"/>
      <c r="Y737" s="158"/>
      <c r="Z737" s="158"/>
      <c r="AA737" s="158"/>
      <c r="AB737" s="158"/>
      <c r="AC737" s="113">
        <v>530</v>
      </c>
      <c r="AD737" s="113">
        <v>72</v>
      </c>
      <c r="AE737" s="113">
        <v>95</v>
      </c>
      <c r="AF737" s="113">
        <v>67</v>
      </c>
      <c r="AG737" s="120">
        <v>103</v>
      </c>
      <c r="AH737" s="113">
        <v>71</v>
      </c>
      <c r="AI737" s="113">
        <v>122</v>
      </c>
    </row>
    <row r="738" spans="1:35">
      <c r="A738" s="113">
        <v>659</v>
      </c>
      <c r="B738" s="113" t="s">
        <v>707</v>
      </c>
      <c r="C738" s="120" t="s">
        <v>5994</v>
      </c>
      <c r="D738" s="124">
        <v>0.5</v>
      </c>
      <c r="E738" s="124">
        <v>0.5</v>
      </c>
      <c r="F738" s="113" t="s">
        <v>2332</v>
      </c>
      <c r="G738" s="113" t="s">
        <v>2707</v>
      </c>
      <c r="H738" s="113" t="s">
        <v>36</v>
      </c>
      <c r="I738" s="113" t="s">
        <v>1109</v>
      </c>
      <c r="J738" s="118" t="s">
        <v>2129</v>
      </c>
      <c r="K738" s="118">
        <v>1</v>
      </c>
      <c r="L738" s="118" t="s">
        <v>5994</v>
      </c>
      <c r="M738" s="115" t="s">
        <v>1109</v>
      </c>
      <c r="N738" s="115" t="s">
        <v>6505</v>
      </c>
      <c r="O738" s="115">
        <v>1</v>
      </c>
      <c r="P738" s="115" t="s">
        <v>1109</v>
      </c>
      <c r="Q738" s="166"/>
      <c r="R738" s="164"/>
      <c r="S738" s="164"/>
      <c r="T738" s="164"/>
      <c r="U738" s="164"/>
      <c r="V738" s="162"/>
      <c r="W738" s="158"/>
      <c r="X738" s="158"/>
      <c r="Y738" s="158"/>
      <c r="Z738" s="158"/>
      <c r="AA738" s="158"/>
      <c r="AB738" s="158"/>
      <c r="AC738" s="113">
        <v>237</v>
      </c>
      <c r="AD738" s="113">
        <v>38</v>
      </c>
      <c r="AE738" s="113">
        <v>36</v>
      </c>
      <c r="AF738" s="113">
        <v>38</v>
      </c>
      <c r="AG738" s="120">
        <v>32</v>
      </c>
      <c r="AH738" s="113">
        <v>36</v>
      </c>
      <c r="AI738" s="113">
        <v>57</v>
      </c>
    </row>
    <row r="739" spans="1:35">
      <c r="A739" s="113">
        <v>660</v>
      </c>
      <c r="B739" s="113" t="s">
        <v>708</v>
      </c>
      <c r="C739" s="120" t="s">
        <v>5995</v>
      </c>
      <c r="D739" s="124">
        <v>0.5</v>
      </c>
      <c r="E739" s="124">
        <v>0.5</v>
      </c>
      <c r="F739" s="113" t="s">
        <v>2332</v>
      </c>
      <c r="G739" s="113" t="s">
        <v>2707</v>
      </c>
      <c r="H739" s="113" t="s">
        <v>36</v>
      </c>
      <c r="I739" s="113" t="s">
        <v>49</v>
      </c>
      <c r="J739" s="118" t="s">
        <v>2129</v>
      </c>
      <c r="K739" s="118">
        <v>1</v>
      </c>
      <c r="L739" s="118" t="s">
        <v>5994</v>
      </c>
      <c r="M739" s="115" t="s">
        <v>5994</v>
      </c>
      <c r="N739" s="115" t="s">
        <v>6504</v>
      </c>
      <c r="O739" s="115">
        <v>1</v>
      </c>
      <c r="P739" s="115" t="s">
        <v>2128</v>
      </c>
      <c r="Q739" s="166"/>
      <c r="R739" s="164"/>
      <c r="S739" s="164"/>
      <c r="T739" s="164"/>
      <c r="U739" s="164"/>
      <c r="V739" s="162"/>
      <c r="W739" s="158"/>
      <c r="X739" s="158"/>
      <c r="Y739" s="158"/>
      <c r="Z739" s="158"/>
      <c r="AA739" s="158"/>
      <c r="AB739" s="158"/>
      <c r="AC739" s="113">
        <v>423</v>
      </c>
      <c r="AD739" s="113">
        <v>85</v>
      </c>
      <c r="AE739" s="113">
        <v>56</v>
      </c>
      <c r="AF739" s="113">
        <v>77</v>
      </c>
      <c r="AG739" s="120">
        <v>50</v>
      </c>
      <c r="AH739" s="113">
        <v>77</v>
      </c>
      <c r="AI739" s="113">
        <v>78</v>
      </c>
    </row>
    <row r="740" spans="1:35">
      <c r="A740" s="113">
        <v>661</v>
      </c>
      <c r="B740" s="113" t="s">
        <v>709</v>
      </c>
      <c r="C740" s="120" t="s">
        <v>5996</v>
      </c>
      <c r="D740" s="124">
        <v>0.5</v>
      </c>
      <c r="E740" s="124">
        <v>0.5</v>
      </c>
      <c r="F740" s="113" t="s">
        <v>22</v>
      </c>
      <c r="G740" s="113" t="s">
        <v>2707</v>
      </c>
      <c r="H740" s="113" t="s">
        <v>36</v>
      </c>
      <c r="I740" s="113" t="s">
        <v>22</v>
      </c>
      <c r="J740" s="118" t="s">
        <v>2129</v>
      </c>
      <c r="K740" s="118">
        <v>1</v>
      </c>
      <c r="L740" s="118" t="s">
        <v>5996</v>
      </c>
      <c r="M740" s="115" t="s">
        <v>1109</v>
      </c>
      <c r="N740" s="115" t="s">
        <v>6505</v>
      </c>
      <c r="O740" s="115">
        <v>1</v>
      </c>
      <c r="P740" s="115" t="s">
        <v>1109</v>
      </c>
      <c r="Q740" s="166"/>
      <c r="R740" s="164"/>
      <c r="S740" s="164"/>
      <c r="T740" s="164"/>
      <c r="U740" s="164"/>
      <c r="V740" s="162"/>
      <c r="W740" s="158"/>
      <c r="X740" s="158"/>
      <c r="Y740" s="158"/>
      <c r="Z740" s="158"/>
      <c r="AA740" s="158"/>
      <c r="AB740" s="158"/>
      <c r="AC740" s="113">
        <v>278</v>
      </c>
      <c r="AD740" s="113">
        <v>45</v>
      </c>
      <c r="AE740" s="113">
        <v>50</v>
      </c>
      <c r="AF740" s="113">
        <v>43</v>
      </c>
      <c r="AG740" s="120">
        <v>40</v>
      </c>
      <c r="AH740" s="113">
        <v>38</v>
      </c>
      <c r="AI740" s="113">
        <v>62</v>
      </c>
    </row>
    <row r="741" spans="1:35">
      <c r="A741" s="113">
        <v>662</v>
      </c>
      <c r="B741" s="113" t="s">
        <v>710</v>
      </c>
      <c r="C741" s="120" t="s">
        <v>5997</v>
      </c>
      <c r="D741" s="124">
        <v>0.5</v>
      </c>
      <c r="E741" s="124">
        <v>0.5</v>
      </c>
      <c r="F741" s="113" t="s">
        <v>22</v>
      </c>
      <c r="G741" s="113" t="s">
        <v>2707</v>
      </c>
      <c r="H741" s="113" t="s">
        <v>19</v>
      </c>
      <c r="I741" s="113" t="s">
        <v>22</v>
      </c>
      <c r="J741" s="118" t="s">
        <v>2129</v>
      </c>
      <c r="K741" s="118">
        <v>1</v>
      </c>
      <c r="L741" s="118" t="s">
        <v>5996</v>
      </c>
      <c r="M741" s="115" t="s">
        <v>5996</v>
      </c>
      <c r="N741" s="115" t="s">
        <v>6506</v>
      </c>
      <c r="O741" s="115">
        <v>1</v>
      </c>
      <c r="P741" s="115" t="s">
        <v>2128</v>
      </c>
      <c r="Q741" s="166"/>
      <c r="R741" s="164"/>
      <c r="S741" s="164"/>
      <c r="T741" s="164"/>
      <c r="U741" s="164"/>
      <c r="V741" s="162"/>
      <c r="W741" s="158"/>
      <c r="X741" s="158"/>
      <c r="Y741" s="158"/>
      <c r="Z741" s="158"/>
      <c r="AA741" s="158"/>
      <c r="AB741" s="158"/>
      <c r="AC741" s="113">
        <v>382</v>
      </c>
      <c r="AD741" s="113">
        <v>62</v>
      </c>
      <c r="AE741" s="113">
        <v>73</v>
      </c>
      <c r="AF741" s="113">
        <v>55</v>
      </c>
      <c r="AG741" s="120">
        <v>56</v>
      </c>
      <c r="AH741" s="113">
        <v>52</v>
      </c>
      <c r="AI741" s="113">
        <v>84</v>
      </c>
    </row>
    <row r="742" spans="1:35">
      <c r="A742" s="113">
        <v>663</v>
      </c>
      <c r="B742" s="113" t="s">
        <v>711</v>
      </c>
      <c r="C742" s="120" t="s">
        <v>5998</v>
      </c>
      <c r="D742" s="124">
        <v>0.5</v>
      </c>
      <c r="E742" s="124">
        <v>0.5</v>
      </c>
      <c r="F742" s="113" t="s">
        <v>22</v>
      </c>
      <c r="G742" s="113" t="s">
        <v>2707</v>
      </c>
      <c r="H742" s="113" t="s">
        <v>19</v>
      </c>
      <c r="I742" s="113" t="s">
        <v>22</v>
      </c>
      <c r="J742" s="118" t="s">
        <v>2129</v>
      </c>
      <c r="K742" s="118">
        <v>1</v>
      </c>
      <c r="L742" s="118" t="s">
        <v>5996</v>
      </c>
      <c r="M742" s="115" t="s">
        <v>5997</v>
      </c>
      <c r="N742" s="115" t="s">
        <v>6504</v>
      </c>
      <c r="O742" s="115">
        <v>1</v>
      </c>
      <c r="P742" s="115" t="s">
        <v>2128</v>
      </c>
      <c r="Q742" s="166"/>
      <c r="R742" s="164"/>
      <c r="S742" s="164"/>
      <c r="T742" s="164"/>
      <c r="U742" s="164"/>
      <c r="V742" s="162"/>
      <c r="W742" s="158"/>
      <c r="X742" s="158"/>
      <c r="Y742" s="158"/>
      <c r="Z742" s="158"/>
      <c r="AA742" s="158"/>
      <c r="AB742" s="158"/>
      <c r="AC742" s="113">
        <v>499</v>
      </c>
      <c r="AD742" s="113">
        <v>78</v>
      </c>
      <c r="AE742" s="113">
        <v>81</v>
      </c>
      <c r="AF742" s="113">
        <v>71</v>
      </c>
      <c r="AG742" s="120">
        <v>74</v>
      </c>
      <c r="AH742" s="113">
        <v>69</v>
      </c>
      <c r="AI742" s="113">
        <v>126</v>
      </c>
    </row>
    <row r="743" spans="1:35">
      <c r="A743" s="113">
        <v>664</v>
      </c>
      <c r="B743" s="113" t="s">
        <v>712</v>
      </c>
      <c r="C743" s="120" t="s">
        <v>5999</v>
      </c>
      <c r="D743" s="124">
        <v>0.5</v>
      </c>
      <c r="E743" s="124">
        <v>0.5</v>
      </c>
      <c r="F743" s="113" t="s">
        <v>29</v>
      </c>
      <c r="G743" s="113" t="s">
        <v>2707</v>
      </c>
      <c r="H743" s="113" t="s">
        <v>29</v>
      </c>
      <c r="I743" s="113" t="s">
        <v>1109</v>
      </c>
      <c r="J743" s="118" t="s">
        <v>2129</v>
      </c>
      <c r="K743" s="118">
        <v>1</v>
      </c>
      <c r="L743" s="118" t="s">
        <v>5999</v>
      </c>
      <c r="M743" s="115" t="s">
        <v>1109</v>
      </c>
      <c r="N743" s="115" t="s">
        <v>6505</v>
      </c>
      <c r="O743" s="115">
        <v>1</v>
      </c>
      <c r="P743" s="115" t="s">
        <v>1109</v>
      </c>
      <c r="Q743" s="166"/>
      <c r="R743" s="164"/>
      <c r="S743" s="164"/>
      <c r="T743" s="164"/>
      <c r="U743" s="164"/>
      <c r="V743" s="162"/>
      <c r="W743" s="158"/>
      <c r="X743" s="158"/>
      <c r="Y743" s="158"/>
      <c r="Z743" s="158"/>
      <c r="AA743" s="158"/>
      <c r="AB743" s="158"/>
      <c r="AC743" s="113">
        <v>200</v>
      </c>
      <c r="AD743" s="113">
        <v>38</v>
      </c>
      <c r="AE743" s="113">
        <v>35</v>
      </c>
      <c r="AF743" s="113">
        <v>40</v>
      </c>
      <c r="AG743" s="120">
        <v>27</v>
      </c>
      <c r="AH743" s="113">
        <v>25</v>
      </c>
      <c r="AI743" s="113">
        <v>35</v>
      </c>
    </row>
    <row r="744" spans="1:35">
      <c r="A744" s="113">
        <v>665</v>
      </c>
      <c r="B744" s="113" t="s">
        <v>713</v>
      </c>
      <c r="C744" s="120" t="s">
        <v>6000</v>
      </c>
      <c r="D744" s="124">
        <v>0.5</v>
      </c>
      <c r="E744" s="124">
        <v>0.5</v>
      </c>
      <c r="F744" s="113" t="s">
        <v>29</v>
      </c>
      <c r="G744" s="113" t="s">
        <v>2707</v>
      </c>
      <c r="H744" s="113" t="s">
        <v>29</v>
      </c>
      <c r="I744" s="113" t="s">
        <v>1109</v>
      </c>
      <c r="J744" s="118" t="s">
        <v>2129</v>
      </c>
      <c r="K744" s="118">
        <v>1</v>
      </c>
      <c r="L744" s="118" t="s">
        <v>5999</v>
      </c>
      <c r="M744" s="115" t="s">
        <v>5999</v>
      </c>
      <c r="N744" s="115" t="s">
        <v>6506</v>
      </c>
      <c r="O744" s="115">
        <v>1</v>
      </c>
      <c r="P744" s="115" t="s">
        <v>2128</v>
      </c>
      <c r="Q744" s="166"/>
      <c r="R744" s="164"/>
      <c r="S744" s="164"/>
      <c r="T744" s="164"/>
      <c r="U744" s="164"/>
      <c r="V744" s="162"/>
      <c r="W744" s="158"/>
      <c r="X744" s="158"/>
      <c r="Y744" s="158"/>
      <c r="Z744" s="158"/>
      <c r="AA744" s="158"/>
      <c r="AB744" s="158"/>
      <c r="AC744" s="113">
        <v>213</v>
      </c>
      <c r="AD744" s="113">
        <v>45</v>
      </c>
      <c r="AE744" s="113">
        <v>22</v>
      </c>
      <c r="AF744" s="113">
        <v>60</v>
      </c>
      <c r="AG744" s="120">
        <v>27</v>
      </c>
      <c r="AH744" s="113">
        <v>30</v>
      </c>
      <c r="AI744" s="113">
        <v>29</v>
      </c>
    </row>
    <row r="745" spans="1:35">
      <c r="A745" s="113">
        <v>666</v>
      </c>
      <c r="B745" s="113" t="s">
        <v>714</v>
      </c>
      <c r="C745" s="120" t="s">
        <v>6001</v>
      </c>
      <c r="D745" s="124">
        <v>0.5</v>
      </c>
      <c r="E745" s="124">
        <v>0.5</v>
      </c>
      <c r="F745" s="113" t="s">
        <v>29</v>
      </c>
      <c r="G745" s="113" t="s">
        <v>2707</v>
      </c>
      <c r="H745" s="113" t="s">
        <v>29</v>
      </c>
      <c r="I745" s="113" t="s">
        <v>22</v>
      </c>
      <c r="J745" s="118" t="s">
        <v>2129</v>
      </c>
      <c r="K745" s="118">
        <v>1</v>
      </c>
      <c r="L745" s="118" t="s">
        <v>5999</v>
      </c>
      <c r="M745" s="115" t="s">
        <v>6000</v>
      </c>
      <c r="N745" s="115" t="s">
        <v>6504</v>
      </c>
      <c r="O745" s="115">
        <v>1</v>
      </c>
      <c r="P745" s="115" t="s">
        <v>2128</v>
      </c>
      <c r="Q745" s="166"/>
      <c r="R745" s="164"/>
      <c r="S745" s="164"/>
      <c r="T745" s="164"/>
      <c r="U745" s="164"/>
      <c r="V745" s="162"/>
      <c r="W745" s="158"/>
      <c r="X745" s="158"/>
      <c r="Y745" s="158"/>
      <c r="Z745" s="158"/>
      <c r="AA745" s="158"/>
      <c r="AB745" s="158"/>
      <c r="AC745" s="113">
        <v>411</v>
      </c>
      <c r="AD745" s="113">
        <v>80</v>
      </c>
      <c r="AE745" s="113">
        <v>52</v>
      </c>
      <c r="AF745" s="113">
        <v>50</v>
      </c>
      <c r="AG745" s="120">
        <v>90</v>
      </c>
      <c r="AH745" s="113">
        <v>50</v>
      </c>
      <c r="AI745" s="113">
        <v>89</v>
      </c>
    </row>
    <row r="746" spans="1:35">
      <c r="A746" s="113">
        <v>667</v>
      </c>
      <c r="B746" s="113" t="s">
        <v>715</v>
      </c>
      <c r="C746" s="120" t="s">
        <v>6002</v>
      </c>
      <c r="D746" s="124">
        <v>0.15</v>
      </c>
      <c r="E746" s="124">
        <v>0.85</v>
      </c>
      <c r="F746" s="113" t="s">
        <v>2332</v>
      </c>
      <c r="G746" s="113" t="s">
        <v>2707</v>
      </c>
      <c r="H746" s="113" t="s">
        <v>19</v>
      </c>
      <c r="I746" s="113" t="s">
        <v>36</v>
      </c>
      <c r="J746" s="118" t="s">
        <v>2129</v>
      </c>
      <c r="K746" s="118">
        <v>2</v>
      </c>
      <c r="L746" s="118" t="s">
        <v>6002</v>
      </c>
      <c r="M746" s="115" t="s">
        <v>1109</v>
      </c>
      <c r="N746" s="115" t="s">
        <v>6505</v>
      </c>
      <c r="O746" s="115">
        <v>1.25</v>
      </c>
      <c r="P746" s="115" t="s">
        <v>1109</v>
      </c>
      <c r="Q746" s="166"/>
      <c r="R746" s="164"/>
      <c r="S746" s="164"/>
      <c r="T746" s="164"/>
      <c r="U746" s="164"/>
      <c r="V746" s="162"/>
      <c r="W746" s="158"/>
      <c r="X746" s="158"/>
      <c r="Y746" s="158"/>
      <c r="Z746" s="158"/>
      <c r="AA746" s="158"/>
      <c r="AB746" s="158"/>
      <c r="AC746" s="113">
        <v>369</v>
      </c>
      <c r="AD746" s="113">
        <v>62</v>
      </c>
      <c r="AE746" s="113">
        <v>50</v>
      </c>
      <c r="AF746" s="113">
        <v>58</v>
      </c>
      <c r="AG746" s="120">
        <v>73</v>
      </c>
      <c r="AH746" s="113">
        <v>54</v>
      </c>
      <c r="AI746" s="113">
        <v>72</v>
      </c>
    </row>
    <row r="747" spans="1:35">
      <c r="A747" s="113">
        <v>668</v>
      </c>
      <c r="B747" s="113" t="s">
        <v>716</v>
      </c>
      <c r="C747" s="120" t="s">
        <v>6003</v>
      </c>
      <c r="D747" s="124">
        <v>0.15</v>
      </c>
      <c r="E747" s="124">
        <v>0.85</v>
      </c>
      <c r="F747" s="113" t="s">
        <v>2332</v>
      </c>
      <c r="G747" s="113" t="s">
        <v>2707</v>
      </c>
      <c r="H747" s="113" t="s">
        <v>19</v>
      </c>
      <c r="I747" s="113" t="s">
        <v>36</v>
      </c>
      <c r="J747" s="118" t="s">
        <v>2129</v>
      </c>
      <c r="K747" s="118">
        <v>2</v>
      </c>
      <c r="L747" s="118" t="s">
        <v>6002</v>
      </c>
      <c r="M747" s="115" t="s">
        <v>6002</v>
      </c>
      <c r="N747" s="115" t="s">
        <v>6504</v>
      </c>
      <c r="O747" s="115">
        <v>1.25</v>
      </c>
      <c r="P747" s="115" t="s">
        <v>2128</v>
      </c>
      <c r="Q747" s="166"/>
      <c r="R747" s="164"/>
      <c r="S747" s="164"/>
      <c r="T747" s="164"/>
      <c r="U747" s="164"/>
      <c r="V747" s="162"/>
      <c r="W747" s="158"/>
      <c r="X747" s="158"/>
      <c r="Y747" s="158"/>
      <c r="Z747" s="158"/>
      <c r="AA747" s="158"/>
      <c r="AB747" s="158"/>
      <c r="AC747" s="113">
        <v>507</v>
      </c>
      <c r="AD747" s="113">
        <v>86</v>
      </c>
      <c r="AE747" s="113">
        <v>68</v>
      </c>
      <c r="AF747" s="113">
        <v>72</v>
      </c>
      <c r="AG747" s="120">
        <v>109</v>
      </c>
      <c r="AH747" s="113">
        <v>66</v>
      </c>
      <c r="AI747" s="113">
        <v>106</v>
      </c>
    </row>
    <row r="748" spans="1:35">
      <c r="A748" s="113">
        <v>669</v>
      </c>
      <c r="B748" s="113" t="s">
        <v>2272</v>
      </c>
      <c r="C748" s="120" t="s">
        <v>6004</v>
      </c>
      <c r="D748" s="124">
        <v>0</v>
      </c>
      <c r="E748" s="124">
        <v>1</v>
      </c>
      <c r="F748" s="113" t="s">
        <v>56</v>
      </c>
      <c r="G748" s="113" t="s">
        <v>2707</v>
      </c>
      <c r="H748" s="113" t="s">
        <v>56</v>
      </c>
      <c r="I748" s="113" t="s">
        <v>1109</v>
      </c>
      <c r="J748" s="118" t="s">
        <v>2129</v>
      </c>
      <c r="K748" s="118">
        <v>1</v>
      </c>
      <c r="L748" s="118" t="s">
        <v>6004</v>
      </c>
      <c r="M748" s="115" t="s">
        <v>1109</v>
      </c>
      <c r="N748" s="115" t="s">
        <v>6505</v>
      </c>
      <c r="O748" s="115">
        <v>1</v>
      </c>
      <c r="P748" s="115" t="s">
        <v>1109</v>
      </c>
      <c r="Q748" s="166"/>
      <c r="R748" s="164"/>
      <c r="S748" s="164"/>
      <c r="T748" s="164"/>
      <c r="U748" s="164"/>
      <c r="V748" s="162"/>
      <c r="W748" s="158"/>
      <c r="X748" s="158"/>
      <c r="Y748" s="158"/>
      <c r="Z748" s="158"/>
      <c r="AA748" s="158"/>
      <c r="AB748" s="158"/>
      <c r="AC748" s="113">
        <v>303</v>
      </c>
      <c r="AD748" s="113">
        <v>44</v>
      </c>
      <c r="AE748" s="113">
        <v>38</v>
      </c>
      <c r="AF748" s="113">
        <v>39</v>
      </c>
      <c r="AG748" s="120">
        <v>61</v>
      </c>
      <c r="AH748" s="113">
        <v>79</v>
      </c>
      <c r="AI748" s="113">
        <v>42</v>
      </c>
    </row>
    <row r="749" spans="1:35">
      <c r="A749" s="113">
        <v>670</v>
      </c>
      <c r="B749" s="113" t="s">
        <v>718</v>
      </c>
      <c r="C749" s="120" t="s">
        <v>6005</v>
      </c>
      <c r="D749" s="124">
        <v>0</v>
      </c>
      <c r="E749" s="124">
        <v>1</v>
      </c>
      <c r="F749" s="113" t="s">
        <v>56</v>
      </c>
      <c r="G749" s="113" t="s">
        <v>2707</v>
      </c>
      <c r="H749" s="113" t="s">
        <v>56</v>
      </c>
      <c r="I749" s="113" t="s">
        <v>1109</v>
      </c>
      <c r="J749" s="118" t="s">
        <v>2129</v>
      </c>
      <c r="K749" s="118">
        <v>1</v>
      </c>
      <c r="L749" s="118" t="s">
        <v>6004</v>
      </c>
      <c r="M749" s="115" t="s">
        <v>6004</v>
      </c>
      <c r="N749" s="115" t="s">
        <v>6506</v>
      </c>
      <c r="O749" s="115">
        <v>1</v>
      </c>
      <c r="P749" s="115" t="s">
        <v>2128</v>
      </c>
      <c r="Q749" s="166"/>
      <c r="R749" s="164"/>
      <c r="S749" s="164"/>
      <c r="T749" s="164"/>
      <c r="U749" s="164"/>
      <c r="V749" s="162"/>
      <c r="W749" s="158"/>
      <c r="X749" s="158"/>
      <c r="Y749" s="158"/>
      <c r="Z749" s="158"/>
      <c r="AA749" s="158"/>
      <c r="AB749" s="158"/>
      <c r="AC749" s="113">
        <v>371</v>
      </c>
      <c r="AD749" s="113">
        <v>54</v>
      </c>
      <c r="AE749" s="113">
        <v>45</v>
      </c>
      <c r="AF749" s="113">
        <v>47</v>
      </c>
      <c r="AG749" s="120">
        <v>75</v>
      </c>
      <c r="AH749" s="113">
        <v>98</v>
      </c>
      <c r="AI749" s="113">
        <v>52</v>
      </c>
    </row>
    <row r="750" spans="1:35">
      <c r="A750" s="113">
        <v>671</v>
      </c>
      <c r="B750" s="113" t="s">
        <v>719</v>
      </c>
      <c r="C750" s="120" t="s">
        <v>6006</v>
      </c>
      <c r="D750" s="124">
        <v>0</v>
      </c>
      <c r="E750" s="124">
        <v>1</v>
      </c>
      <c r="F750" s="113" t="s">
        <v>56</v>
      </c>
      <c r="G750" s="113" t="s">
        <v>2707</v>
      </c>
      <c r="H750" s="113" t="s">
        <v>56</v>
      </c>
      <c r="I750" s="113" t="s">
        <v>1109</v>
      </c>
      <c r="J750" s="118" t="s">
        <v>2129</v>
      </c>
      <c r="K750" s="118">
        <v>1</v>
      </c>
      <c r="L750" s="118" t="s">
        <v>6004</v>
      </c>
      <c r="M750" s="115" t="s">
        <v>6005</v>
      </c>
      <c r="N750" s="115" t="s">
        <v>6504</v>
      </c>
      <c r="O750" s="115">
        <v>1</v>
      </c>
      <c r="P750" s="115" t="s">
        <v>2128</v>
      </c>
      <c r="Q750" s="166"/>
      <c r="R750" s="164"/>
      <c r="S750" s="164"/>
      <c r="T750" s="164"/>
      <c r="U750" s="164"/>
      <c r="V750" s="162"/>
      <c r="W750" s="158"/>
      <c r="X750" s="158"/>
      <c r="Y750" s="158"/>
      <c r="Z750" s="158"/>
      <c r="AA750" s="158"/>
      <c r="AB750" s="158"/>
      <c r="AC750" s="113">
        <v>552</v>
      </c>
      <c r="AD750" s="113">
        <v>78</v>
      </c>
      <c r="AE750" s="113">
        <v>65</v>
      </c>
      <c r="AF750" s="113">
        <v>68</v>
      </c>
      <c r="AG750" s="120">
        <v>112</v>
      </c>
      <c r="AH750" s="113">
        <v>154</v>
      </c>
      <c r="AI750" s="113">
        <v>75</v>
      </c>
    </row>
    <row r="751" spans="1:35">
      <c r="A751" s="113">
        <v>672</v>
      </c>
      <c r="B751" s="113" t="s">
        <v>720</v>
      </c>
      <c r="C751" s="120" t="s">
        <v>6007</v>
      </c>
      <c r="D751" s="124">
        <v>0.5</v>
      </c>
      <c r="E751" s="124">
        <v>0.5</v>
      </c>
      <c r="F751" s="113" t="s">
        <v>2332</v>
      </c>
      <c r="G751" s="113" t="s">
        <v>2707</v>
      </c>
      <c r="H751" s="113" t="s">
        <v>14</v>
      </c>
      <c r="I751" s="113" t="s">
        <v>1109</v>
      </c>
      <c r="J751" s="118" t="s">
        <v>2129</v>
      </c>
      <c r="K751" s="118">
        <v>1</v>
      </c>
      <c r="L751" s="118" t="s">
        <v>6007</v>
      </c>
      <c r="M751" s="115" t="s">
        <v>1109</v>
      </c>
      <c r="N751" s="115" t="s">
        <v>6505</v>
      </c>
      <c r="O751" s="115">
        <v>1</v>
      </c>
      <c r="P751" s="115" t="s">
        <v>1109</v>
      </c>
      <c r="Q751" s="166"/>
      <c r="R751" s="164"/>
      <c r="S751" s="164"/>
      <c r="T751" s="164"/>
      <c r="U751" s="164"/>
      <c r="V751" s="162"/>
      <c r="W751" s="158"/>
      <c r="X751" s="158"/>
      <c r="Y751" s="158"/>
      <c r="Z751" s="158"/>
      <c r="AA751" s="158"/>
      <c r="AB751" s="158"/>
      <c r="AC751" s="113">
        <v>350</v>
      </c>
      <c r="AD751" s="113">
        <v>66</v>
      </c>
      <c r="AE751" s="113">
        <v>65</v>
      </c>
      <c r="AF751" s="113">
        <v>48</v>
      </c>
      <c r="AG751" s="120">
        <v>62</v>
      </c>
      <c r="AH751" s="113">
        <v>57</v>
      </c>
      <c r="AI751" s="113">
        <v>52</v>
      </c>
    </row>
    <row r="752" spans="1:35">
      <c r="A752" s="113">
        <v>673</v>
      </c>
      <c r="B752" s="113" t="s">
        <v>721</v>
      </c>
      <c r="C752" s="120" t="s">
        <v>6008</v>
      </c>
      <c r="D752" s="124">
        <v>0.5</v>
      </c>
      <c r="E752" s="124">
        <v>0.5</v>
      </c>
      <c r="F752" s="113" t="s">
        <v>2332</v>
      </c>
      <c r="G752" s="113" t="s">
        <v>2707</v>
      </c>
      <c r="H752" s="113" t="s">
        <v>14</v>
      </c>
      <c r="I752" s="113" t="s">
        <v>1109</v>
      </c>
      <c r="J752" s="118" t="s">
        <v>2129</v>
      </c>
      <c r="K752" s="118">
        <v>1</v>
      </c>
      <c r="L752" s="118" t="s">
        <v>6007</v>
      </c>
      <c r="M752" s="115" t="s">
        <v>6007</v>
      </c>
      <c r="N752" s="115" t="s">
        <v>6504</v>
      </c>
      <c r="O752" s="115">
        <v>1</v>
      </c>
      <c r="P752" s="115" t="s">
        <v>2128</v>
      </c>
      <c r="Q752" s="166"/>
      <c r="R752" s="164"/>
      <c r="S752" s="164"/>
      <c r="T752" s="164"/>
      <c r="U752" s="164"/>
      <c r="V752" s="162"/>
      <c r="W752" s="158"/>
      <c r="X752" s="158"/>
      <c r="Y752" s="158"/>
      <c r="Z752" s="158"/>
      <c r="AA752" s="158"/>
      <c r="AB752" s="158"/>
      <c r="AC752" s="113">
        <v>531</v>
      </c>
      <c r="AD752" s="113">
        <v>123</v>
      </c>
      <c r="AE752" s="113">
        <v>100</v>
      </c>
      <c r="AF752" s="113">
        <v>62</v>
      </c>
      <c r="AG752" s="120">
        <v>97</v>
      </c>
      <c r="AH752" s="113">
        <v>81</v>
      </c>
      <c r="AI752" s="113">
        <v>68</v>
      </c>
    </row>
    <row r="753" spans="1:35">
      <c r="A753" s="113">
        <v>674</v>
      </c>
      <c r="B753" s="113" t="s">
        <v>722</v>
      </c>
      <c r="C753" s="120" t="s">
        <v>6009</v>
      </c>
      <c r="D753" s="124">
        <v>0.5</v>
      </c>
      <c r="E753" s="124">
        <v>0.5</v>
      </c>
      <c r="F753" s="113" t="s">
        <v>2332</v>
      </c>
      <c r="G753" s="113" t="s">
        <v>2707</v>
      </c>
      <c r="H753" s="113" t="s">
        <v>78</v>
      </c>
      <c r="I753" s="113" t="s">
        <v>1109</v>
      </c>
      <c r="J753" s="118" t="s">
        <v>2129</v>
      </c>
      <c r="K753" s="118">
        <v>2</v>
      </c>
      <c r="L753" s="118" t="s">
        <v>6009</v>
      </c>
      <c r="M753" s="115" t="s">
        <v>1109</v>
      </c>
      <c r="N753" s="115" t="s">
        <v>6505</v>
      </c>
      <c r="O753" s="115">
        <v>1.25</v>
      </c>
      <c r="P753" s="115" t="s">
        <v>1109</v>
      </c>
      <c r="Q753" s="166"/>
      <c r="R753" s="164"/>
      <c r="S753" s="164"/>
      <c r="T753" s="164"/>
      <c r="U753" s="164"/>
      <c r="V753" s="162"/>
      <c r="W753" s="158"/>
      <c r="X753" s="158"/>
      <c r="Y753" s="158"/>
      <c r="Z753" s="158"/>
      <c r="AA753" s="158"/>
      <c r="AB753" s="158"/>
      <c r="AC753" s="113">
        <v>348</v>
      </c>
      <c r="AD753" s="113">
        <v>67</v>
      </c>
      <c r="AE753" s="113">
        <v>82</v>
      </c>
      <c r="AF753" s="113">
        <v>62</v>
      </c>
      <c r="AG753" s="120">
        <v>46</v>
      </c>
      <c r="AH753" s="113">
        <v>48</v>
      </c>
      <c r="AI753" s="113">
        <v>43</v>
      </c>
    </row>
    <row r="754" spans="1:35">
      <c r="A754" s="113">
        <v>675</v>
      </c>
      <c r="B754" s="113" t="s">
        <v>723</v>
      </c>
      <c r="C754" s="120" t="s">
        <v>6010</v>
      </c>
      <c r="D754" s="124">
        <v>0.5</v>
      </c>
      <c r="E754" s="124">
        <v>0.5</v>
      </c>
      <c r="F754" s="113" t="s">
        <v>2332</v>
      </c>
      <c r="G754" s="113" t="s">
        <v>2707</v>
      </c>
      <c r="H754" s="113" t="s">
        <v>78</v>
      </c>
      <c r="I754" s="113" t="s">
        <v>158</v>
      </c>
      <c r="J754" s="118" t="s">
        <v>2129</v>
      </c>
      <c r="K754" s="118">
        <v>2</v>
      </c>
      <c r="L754" s="118" t="s">
        <v>6009</v>
      </c>
      <c r="M754" s="115" t="s">
        <v>6009</v>
      </c>
      <c r="N754" s="115" t="s">
        <v>6504</v>
      </c>
      <c r="O754" s="115">
        <v>1.25</v>
      </c>
      <c r="P754" s="115" t="s">
        <v>2128</v>
      </c>
      <c r="Q754" s="166"/>
      <c r="R754" s="164"/>
      <c r="S754" s="164"/>
      <c r="T754" s="164"/>
      <c r="U754" s="164"/>
      <c r="V754" s="162"/>
      <c r="W754" s="158"/>
      <c r="X754" s="158"/>
      <c r="Y754" s="158"/>
      <c r="Z754" s="158"/>
      <c r="AA754" s="158"/>
      <c r="AB754" s="158"/>
      <c r="AC754" s="113">
        <v>495</v>
      </c>
      <c r="AD754" s="113">
        <v>95</v>
      </c>
      <c r="AE754" s="113">
        <v>124</v>
      </c>
      <c r="AF754" s="113">
        <v>78</v>
      </c>
      <c r="AG754" s="120">
        <v>69</v>
      </c>
      <c r="AH754" s="113">
        <v>71</v>
      </c>
      <c r="AI754" s="113">
        <v>58</v>
      </c>
    </row>
    <row r="755" spans="1:35">
      <c r="A755" s="113">
        <v>676</v>
      </c>
      <c r="B755" s="113" t="s">
        <v>724</v>
      </c>
      <c r="C755" s="120" t="s">
        <v>6011</v>
      </c>
      <c r="D755" s="124">
        <v>0.5</v>
      </c>
      <c r="E755" s="124">
        <v>0.5</v>
      </c>
      <c r="F755" s="113" t="s">
        <v>2332</v>
      </c>
      <c r="G755" s="113" t="s">
        <v>2707</v>
      </c>
      <c r="H755" s="113" t="s">
        <v>36</v>
      </c>
      <c r="I755" s="113" t="s">
        <v>1109</v>
      </c>
      <c r="J755" s="118" t="s">
        <v>2129</v>
      </c>
      <c r="K755" s="118">
        <v>2</v>
      </c>
      <c r="L755" s="118" t="s">
        <v>6011</v>
      </c>
      <c r="M755" s="115" t="s">
        <v>1109</v>
      </c>
      <c r="N755" s="115" t="s">
        <v>6504</v>
      </c>
      <c r="O755" s="115">
        <v>1.25</v>
      </c>
      <c r="P755" s="115" t="s">
        <v>1109</v>
      </c>
      <c r="Q755" s="166"/>
      <c r="R755" s="164"/>
      <c r="S755" s="164"/>
      <c r="T755" s="164"/>
      <c r="U755" s="164"/>
      <c r="V755" s="162"/>
      <c r="W755" s="158"/>
      <c r="X755" s="158"/>
      <c r="Y755" s="158"/>
      <c r="Z755" s="158"/>
      <c r="AA755" s="158"/>
      <c r="AB755" s="158"/>
      <c r="AC755" s="113">
        <v>472</v>
      </c>
      <c r="AD755" s="113">
        <v>75</v>
      </c>
      <c r="AE755" s="113">
        <v>80</v>
      </c>
      <c r="AF755" s="113">
        <v>60</v>
      </c>
      <c r="AG755" s="120">
        <v>65</v>
      </c>
      <c r="AH755" s="113">
        <v>90</v>
      </c>
      <c r="AI755" s="113">
        <v>102</v>
      </c>
    </row>
    <row r="756" spans="1:35">
      <c r="A756" s="113">
        <v>677</v>
      </c>
      <c r="B756" s="113" t="s">
        <v>725</v>
      </c>
      <c r="C756" s="120" t="s">
        <v>6012</v>
      </c>
      <c r="D756" s="124">
        <v>0.5</v>
      </c>
      <c r="E756" s="124">
        <v>0.5</v>
      </c>
      <c r="F756" s="113" t="s">
        <v>2332</v>
      </c>
      <c r="G756" s="113" t="s">
        <v>2707</v>
      </c>
      <c r="H756" s="113" t="s">
        <v>86</v>
      </c>
      <c r="I756" s="113" t="s">
        <v>1109</v>
      </c>
      <c r="J756" s="118" t="s">
        <v>2129</v>
      </c>
      <c r="K756" s="118">
        <v>2</v>
      </c>
      <c r="L756" s="118" t="s">
        <v>6012</v>
      </c>
      <c r="M756" s="115" t="s">
        <v>1109</v>
      </c>
      <c r="N756" s="115" t="s">
        <v>6505</v>
      </c>
      <c r="O756" s="115">
        <v>1.25</v>
      </c>
      <c r="P756" s="115" t="s">
        <v>1109</v>
      </c>
      <c r="Q756" s="166"/>
      <c r="R756" s="164"/>
      <c r="S756" s="164"/>
      <c r="T756" s="164"/>
      <c r="U756" s="164"/>
      <c r="V756" s="162"/>
      <c r="W756" s="158"/>
      <c r="X756" s="158"/>
      <c r="Y756" s="158"/>
      <c r="Z756" s="158"/>
      <c r="AA756" s="158"/>
      <c r="AB756" s="158"/>
      <c r="AC756" s="113">
        <v>355</v>
      </c>
      <c r="AD756" s="113">
        <v>62</v>
      </c>
      <c r="AE756" s="113">
        <v>48</v>
      </c>
      <c r="AF756" s="113">
        <v>54</v>
      </c>
      <c r="AG756" s="120">
        <v>63</v>
      </c>
      <c r="AH756" s="113">
        <v>60</v>
      </c>
      <c r="AI756" s="113">
        <v>68</v>
      </c>
    </row>
    <row r="757" spans="1:35">
      <c r="A757" s="113">
        <v>678</v>
      </c>
      <c r="B757" s="113" t="s">
        <v>6461</v>
      </c>
      <c r="C757" s="120" t="s">
        <v>6013</v>
      </c>
      <c r="D757" s="124">
        <v>1</v>
      </c>
      <c r="E757" s="132" t="s">
        <v>1109</v>
      </c>
      <c r="F757" s="113" t="s">
        <v>2332</v>
      </c>
      <c r="G757" s="113" t="s">
        <v>2707</v>
      </c>
      <c r="H757" s="113" t="s">
        <v>86</v>
      </c>
      <c r="I757" s="113" t="s">
        <v>1109</v>
      </c>
      <c r="J757" s="118" t="s">
        <v>2129</v>
      </c>
      <c r="K757" s="118">
        <v>2</v>
      </c>
      <c r="L757" s="118" t="s">
        <v>6012</v>
      </c>
      <c r="M757" s="115" t="s">
        <v>6012</v>
      </c>
      <c r="N757" s="115" t="s">
        <v>6504</v>
      </c>
      <c r="O757" s="115">
        <v>1.25</v>
      </c>
      <c r="P757" s="115" t="s">
        <v>2128</v>
      </c>
      <c r="Q757" s="166"/>
      <c r="R757" s="164"/>
      <c r="S757" s="164"/>
      <c r="T757" s="164"/>
      <c r="U757" s="164"/>
      <c r="V757" s="162"/>
      <c r="W757" s="158"/>
      <c r="X757" s="158"/>
      <c r="Y757" s="158"/>
      <c r="Z757" s="158"/>
      <c r="AA757" s="158"/>
      <c r="AB757" s="158"/>
      <c r="AC757" s="113">
        <v>466</v>
      </c>
      <c r="AD757" s="113">
        <v>74</v>
      </c>
      <c r="AE757" s="113">
        <v>48</v>
      </c>
      <c r="AF757" s="113">
        <v>76</v>
      </c>
      <c r="AG757" s="120">
        <v>83</v>
      </c>
      <c r="AH757" s="113">
        <v>81</v>
      </c>
      <c r="AI757" s="113">
        <v>104</v>
      </c>
    </row>
    <row r="758" spans="1:35">
      <c r="A758" s="113">
        <v>678</v>
      </c>
      <c r="B758" s="113" t="s">
        <v>6462</v>
      </c>
      <c r="C758" s="120" t="s">
        <v>6463</v>
      </c>
      <c r="D758" s="132" t="s">
        <v>1109</v>
      </c>
      <c r="E758" s="124">
        <v>1</v>
      </c>
      <c r="F758" s="113" t="s">
        <v>2332</v>
      </c>
      <c r="G758" s="113" t="s">
        <v>2707</v>
      </c>
      <c r="H758" s="113" t="s">
        <v>86</v>
      </c>
      <c r="I758" s="113" t="s">
        <v>1109</v>
      </c>
      <c r="J758" s="118" t="s">
        <v>2129</v>
      </c>
      <c r="K758" s="118">
        <v>2</v>
      </c>
      <c r="L758" s="118" t="s">
        <v>6012</v>
      </c>
      <c r="M758" s="115" t="s">
        <v>6012</v>
      </c>
      <c r="N758" s="115" t="s">
        <v>6504</v>
      </c>
      <c r="O758" s="115">
        <v>1.25</v>
      </c>
      <c r="P758" s="115" t="s">
        <v>2128</v>
      </c>
      <c r="Q758" s="166"/>
      <c r="R758" s="164"/>
      <c r="S758" s="164"/>
      <c r="T758" s="164"/>
      <c r="U758" s="164"/>
      <c r="V758" s="162"/>
      <c r="W758" s="158"/>
      <c r="X758" s="158"/>
      <c r="Y758" s="158"/>
      <c r="Z758" s="158"/>
      <c r="AA758" s="158"/>
      <c r="AB758" s="158"/>
      <c r="AC758" s="113">
        <v>466</v>
      </c>
      <c r="AD758" s="113">
        <v>74</v>
      </c>
      <c r="AE758" s="113">
        <v>48</v>
      </c>
      <c r="AF758" s="113">
        <v>76</v>
      </c>
      <c r="AG758" s="120">
        <v>83</v>
      </c>
      <c r="AH758" s="113">
        <v>81</v>
      </c>
      <c r="AI758" s="113">
        <v>104</v>
      </c>
    </row>
    <row r="759" spans="1:35">
      <c r="A759" s="113">
        <v>679</v>
      </c>
      <c r="B759" s="113" t="s">
        <v>728</v>
      </c>
      <c r="C759" s="120" t="s">
        <v>6014</v>
      </c>
      <c r="D759" s="124">
        <v>0.5</v>
      </c>
      <c r="E759" s="124">
        <v>0.5</v>
      </c>
      <c r="F759" s="113" t="s">
        <v>2112</v>
      </c>
      <c r="G759" s="113" t="s">
        <v>2707</v>
      </c>
      <c r="H759" s="113" t="s">
        <v>106</v>
      </c>
      <c r="I759" s="113" t="s">
        <v>119</v>
      </c>
      <c r="J759" s="118" t="s">
        <v>2129</v>
      </c>
      <c r="K759" s="118">
        <v>2</v>
      </c>
      <c r="L759" s="118" t="s">
        <v>6014</v>
      </c>
      <c r="M759" s="115" t="s">
        <v>1109</v>
      </c>
      <c r="N759" s="115" t="s">
        <v>6505</v>
      </c>
      <c r="O759" s="115">
        <v>1.25</v>
      </c>
      <c r="P759" s="115" t="s">
        <v>1109</v>
      </c>
      <c r="Q759" s="166"/>
      <c r="R759" s="164"/>
      <c r="S759" s="164"/>
      <c r="T759" s="164"/>
      <c r="U759" s="164"/>
      <c r="V759" s="162"/>
      <c r="W759" s="158"/>
      <c r="X759" s="158"/>
      <c r="Y759" s="158"/>
      <c r="Z759" s="158"/>
      <c r="AA759" s="158"/>
      <c r="AB759" s="158"/>
      <c r="AC759" s="113">
        <v>325</v>
      </c>
      <c r="AD759" s="113">
        <v>45</v>
      </c>
      <c r="AE759" s="113">
        <v>80</v>
      </c>
      <c r="AF759" s="113">
        <v>100</v>
      </c>
      <c r="AG759" s="120">
        <v>35</v>
      </c>
      <c r="AH759" s="113">
        <v>37</v>
      </c>
      <c r="AI759" s="113">
        <v>28</v>
      </c>
    </row>
    <row r="760" spans="1:35">
      <c r="A760" s="113">
        <v>680</v>
      </c>
      <c r="B760" s="113" t="s">
        <v>729</v>
      </c>
      <c r="C760" s="120" t="s">
        <v>6015</v>
      </c>
      <c r="D760" s="124">
        <v>0.5</v>
      </c>
      <c r="E760" s="124">
        <v>0.5</v>
      </c>
      <c r="F760" s="113" t="s">
        <v>2112</v>
      </c>
      <c r="G760" s="113" t="s">
        <v>2707</v>
      </c>
      <c r="H760" s="113" t="s">
        <v>106</v>
      </c>
      <c r="I760" s="113" t="s">
        <v>119</v>
      </c>
      <c r="J760" s="118" t="s">
        <v>2129</v>
      </c>
      <c r="K760" s="118">
        <v>2</v>
      </c>
      <c r="L760" s="118" t="s">
        <v>6014</v>
      </c>
      <c r="M760" s="115" t="s">
        <v>6014</v>
      </c>
      <c r="N760" s="115" t="s">
        <v>6506</v>
      </c>
      <c r="O760" s="115">
        <v>1.25</v>
      </c>
      <c r="P760" s="115" t="s">
        <v>2128</v>
      </c>
      <c r="Q760" s="166"/>
      <c r="R760" s="164"/>
      <c r="S760" s="164"/>
      <c r="T760" s="164"/>
      <c r="U760" s="164"/>
      <c r="V760" s="162"/>
      <c r="W760" s="158"/>
      <c r="X760" s="158"/>
      <c r="Y760" s="158"/>
      <c r="Z760" s="158"/>
      <c r="AA760" s="158"/>
      <c r="AB760" s="158"/>
      <c r="AC760" s="113">
        <v>448</v>
      </c>
      <c r="AD760" s="113">
        <v>59</v>
      </c>
      <c r="AE760" s="113">
        <v>110</v>
      </c>
      <c r="AF760" s="113">
        <v>150</v>
      </c>
      <c r="AG760" s="120">
        <v>45</v>
      </c>
      <c r="AH760" s="113">
        <v>49</v>
      </c>
      <c r="AI760" s="113">
        <v>35</v>
      </c>
    </row>
    <row r="761" spans="1:35">
      <c r="A761" s="113">
        <v>681</v>
      </c>
      <c r="B761" s="120" t="s">
        <v>6419</v>
      </c>
      <c r="C761" s="120" t="s">
        <v>6016</v>
      </c>
      <c r="D761" s="124">
        <v>0.5</v>
      </c>
      <c r="E761" s="124">
        <v>0.5</v>
      </c>
      <c r="F761" s="113" t="s">
        <v>2112</v>
      </c>
      <c r="G761" s="113" t="s">
        <v>2707</v>
      </c>
      <c r="H761" s="113" t="s">
        <v>106</v>
      </c>
      <c r="I761" s="113" t="s">
        <v>119</v>
      </c>
      <c r="J761" s="118" t="s">
        <v>2129</v>
      </c>
      <c r="K761" s="118">
        <v>2</v>
      </c>
      <c r="L761" s="118" t="s">
        <v>6014</v>
      </c>
      <c r="M761" s="115" t="s">
        <v>6015</v>
      </c>
      <c r="N761" s="115" t="s">
        <v>6504</v>
      </c>
      <c r="O761" s="115">
        <v>1.25</v>
      </c>
      <c r="P761" s="115" t="s">
        <v>2128</v>
      </c>
      <c r="Q761" s="166"/>
      <c r="R761" s="164"/>
      <c r="S761" s="164"/>
      <c r="T761" s="164"/>
      <c r="U761" s="164"/>
      <c r="V761" s="162"/>
      <c r="W761" s="158"/>
      <c r="X761" s="158"/>
      <c r="Y761" s="158"/>
      <c r="Z761" s="158"/>
      <c r="AA761" s="158"/>
      <c r="AB761" s="158"/>
      <c r="AC761" s="113">
        <v>500</v>
      </c>
      <c r="AD761" s="113">
        <v>60</v>
      </c>
      <c r="AE761" s="113">
        <v>140</v>
      </c>
      <c r="AF761" s="113">
        <v>50</v>
      </c>
      <c r="AG761" s="120">
        <v>140</v>
      </c>
      <c r="AH761" s="113">
        <v>50</v>
      </c>
      <c r="AI761" s="113">
        <v>60</v>
      </c>
    </row>
    <row r="762" spans="1:35">
      <c r="A762" s="113">
        <v>681</v>
      </c>
      <c r="B762" s="113" t="s">
        <v>6420</v>
      </c>
      <c r="C762" s="120" t="s">
        <v>6017</v>
      </c>
      <c r="D762" s="124">
        <v>0.5</v>
      </c>
      <c r="E762" s="124">
        <v>0.5</v>
      </c>
      <c r="F762" s="113" t="s">
        <v>2112</v>
      </c>
      <c r="G762" s="113" t="s">
        <v>2707</v>
      </c>
      <c r="H762" s="113" t="s">
        <v>106</v>
      </c>
      <c r="I762" s="113" t="s">
        <v>119</v>
      </c>
      <c r="J762" s="118" t="s">
        <v>2129</v>
      </c>
      <c r="K762" s="118">
        <v>2</v>
      </c>
      <c r="L762" s="118" t="s">
        <v>6014</v>
      </c>
      <c r="M762" s="115" t="s">
        <v>6015</v>
      </c>
      <c r="N762" s="115" t="s">
        <v>6504</v>
      </c>
      <c r="O762" s="115">
        <v>1.25</v>
      </c>
      <c r="P762" s="115" t="s">
        <v>1109</v>
      </c>
      <c r="Q762" s="166"/>
      <c r="R762" s="164"/>
      <c r="S762" s="164"/>
      <c r="T762" s="164"/>
      <c r="U762" s="164"/>
      <c r="V762" s="162"/>
      <c r="W762" s="158"/>
      <c r="X762" s="158"/>
      <c r="Y762" s="158"/>
      <c r="Z762" s="158"/>
      <c r="AA762" s="158"/>
      <c r="AB762" s="158"/>
      <c r="AC762" s="113">
        <v>500</v>
      </c>
      <c r="AD762" s="113">
        <v>60</v>
      </c>
      <c r="AE762" s="113">
        <v>50</v>
      </c>
      <c r="AF762" s="113">
        <v>140</v>
      </c>
      <c r="AG762" s="120">
        <v>50</v>
      </c>
      <c r="AH762" s="113">
        <v>140</v>
      </c>
      <c r="AI762" s="113">
        <v>60</v>
      </c>
    </row>
    <row r="763" spans="1:35">
      <c r="A763" s="113">
        <v>682</v>
      </c>
      <c r="B763" s="113" t="s">
        <v>732</v>
      </c>
      <c r="C763" s="120" t="s">
        <v>6018</v>
      </c>
      <c r="D763" s="124">
        <v>0.5</v>
      </c>
      <c r="E763" s="124">
        <v>0.5</v>
      </c>
      <c r="F763" s="113" t="s">
        <v>56</v>
      </c>
      <c r="G763" s="113" t="s">
        <v>2707</v>
      </c>
      <c r="H763" s="113" t="s">
        <v>56</v>
      </c>
      <c r="I763" s="113" t="s">
        <v>1109</v>
      </c>
      <c r="J763" s="118" t="s">
        <v>2129</v>
      </c>
      <c r="K763" s="118">
        <v>2</v>
      </c>
      <c r="L763" s="118" t="s">
        <v>6018</v>
      </c>
      <c r="M763" s="115" t="s">
        <v>1109</v>
      </c>
      <c r="N763" s="115" t="s">
        <v>6505</v>
      </c>
      <c r="O763" s="115">
        <v>1.25</v>
      </c>
      <c r="P763" s="115" t="s">
        <v>1109</v>
      </c>
      <c r="Q763" s="166"/>
      <c r="R763" s="164"/>
      <c r="S763" s="164"/>
      <c r="T763" s="164"/>
      <c r="U763" s="164"/>
      <c r="V763" s="162"/>
      <c r="W763" s="158"/>
      <c r="X763" s="158"/>
      <c r="Y763" s="158"/>
      <c r="Z763" s="158"/>
      <c r="AA763" s="158"/>
      <c r="AB763" s="158"/>
      <c r="AC763" s="113">
        <v>341</v>
      </c>
      <c r="AD763" s="113">
        <v>78</v>
      </c>
      <c r="AE763" s="113">
        <v>52</v>
      </c>
      <c r="AF763" s="113">
        <v>60</v>
      </c>
      <c r="AG763" s="120">
        <v>63</v>
      </c>
      <c r="AH763" s="113">
        <v>65</v>
      </c>
      <c r="AI763" s="113">
        <v>23</v>
      </c>
    </row>
    <row r="764" spans="1:35">
      <c r="A764" s="113">
        <v>683</v>
      </c>
      <c r="B764" s="113" t="s">
        <v>733</v>
      </c>
      <c r="C764" s="120" t="s">
        <v>6019</v>
      </c>
      <c r="D764" s="124">
        <v>0.5</v>
      </c>
      <c r="E764" s="124">
        <v>0.5</v>
      </c>
      <c r="F764" s="113" t="s">
        <v>56</v>
      </c>
      <c r="G764" s="113" t="s">
        <v>2707</v>
      </c>
      <c r="H764" s="113" t="s">
        <v>56</v>
      </c>
      <c r="I764" s="113" t="s">
        <v>1109</v>
      </c>
      <c r="J764" s="118" t="s">
        <v>2129</v>
      </c>
      <c r="K764" s="118">
        <v>2</v>
      </c>
      <c r="L764" s="118" t="s">
        <v>6018</v>
      </c>
      <c r="M764" s="115" t="s">
        <v>6018</v>
      </c>
      <c r="N764" s="115" t="s">
        <v>6504</v>
      </c>
      <c r="O764" s="115">
        <v>1.25</v>
      </c>
      <c r="P764" s="115" t="s">
        <v>2130</v>
      </c>
      <c r="Q764" s="166"/>
      <c r="R764" s="164"/>
      <c r="S764" s="164"/>
      <c r="T764" s="164"/>
      <c r="U764" s="164"/>
      <c r="V764" s="162"/>
      <c r="W764" s="158"/>
      <c r="X764" s="158"/>
      <c r="Y764" s="158"/>
      <c r="Z764" s="158"/>
      <c r="AA764" s="158"/>
      <c r="AB764" s="158"/>
      <c r="AC764" s="113">
        <v>462</v>
      </c>
      <c r="AD764" s="113">
        <v>101</v>
      </c>
      <c r="AE764" s="113">
        <v>72</v>
      </c>
      <c r="AF764" s="113">
        <v>72</v>
      </c>
      <c r="AG764" s="120">
        <v>99</v>
      </c>
      <c r="AH764" s="113">
        <v>89</v>
      </c>
      <c r="AI764" s="113">
        <v>29</v>
      </c>
    </row>
    <row r="765" spans="1:35">
      <c r="A765" s="113">
        <v>684</v>
      </c>
      <c r="B765" s="113" t="s">
        <v>734</v>
      </c>
      <c r="C765" s="120" t="s">
        <v>6020</v>
      </c>
      <c r="D765" s="124">
        <v>0.5</v>
      </c>
      <c r="E765" s="124">
        <v>0.5</v>
      </c>
      <c r="F765" s="113" t="s">
        <v>56</v>
      </c>
      <c r="G765" s="113" t="s">
        <v>2707</v>
      </c>
      <c r="H765" s="113" t="s">
        <v>56</v>
      </c>
      <c r="I765" s="113" t="s">
        <v>1109</v>
      </c>
      <c r="J765" s="118" t="s">
        <v>2129</v>
      </c>
      <c r="K765" s="118">
        <v>2</v>
      </c>
      <c r="L765" s="118" t="s">
        <v>6020</v>
      </c>
      <c r="M765" s="115" t="s">
        <v>1109</v>
      </c>
      <c r="N765" s="115" t="s">
        <v>6505</v>
      </c>
      <c r="O765" s="115">
        <v>1.25</v>
      </c>
      <c r="P765" s="115" t="s">
        <v>1109</v>
      </c>
      <c r="Q765" s="166"/>
      <c r="R765" s="164"/>
      <c r="S765" s="164"/>
      <c r="T765" s="164"/>
      <c r="U765" s="164"/>
      <c r="V765" s="162"/>
      <c r="W765" s="158"/>
      <c r="X765" s="158"/>
      <c r="Y765" s="158"/>
      <c r="Z765" s="158"/>
      <c r="AA765" s="158"/>
      <c r="AB765" s="158"/>
      <c r="AC765" s="113">
        <v>341</v>
      </c>
      <c r="AD765" s="113">
        <v>62</v>
      </c>
      <c r="AE765" s="113">
        <v>48</v>
      </c>
      <c r="AF765" s="113">
        <v>66</v>
      </c>
      <c r="AG765" s="120">
        <v>59</v>
      </c>
      <c r="AH765" s="113">
        <v>57</v>
      </c>
      <c r="AI765" s="113">
        <v>49</v>
      </c>
    </row>
    <row r="766" spans="1:35">
      <c r="A766" s="113">
        <v>685</v>
      </c>
      <c r="B766" s="113" t="s">
        <v>735</v>
      </c>
      <c r="C766" s="120" t="s">
        <v>6021</v>
      </c>
      <c r="D766" s="124">
        <v>0.5</v>
      </c>
      <c r="E766" s="124">
        <v>0.5</v>
      </c>
      <c r="F766" s="113" t="s">
        <v>56</v>
      </c>
      <c r="G766" s="113" t="s">
        <v>2707</v>
      </c>
      <c r="H766" s="113" t="s">
        <v>56</v>
      </c>
      <c r="I766" s="113" t="s">
        <v>1109</v>
      </c>
      <c r="J766" s="118" t="s">
        <v>2129</v>
      </c>
      <c r="K766" s="118">
        <v>2</v>
      </c>
      <c r="L766" s="118" t="s">
        <v>6020</v>
      </c>
      <c r="M766" s="115" t="s">
        <v>6020</v>
      </c>
      <c r="N766" s="115" t="s">
        <v>6504</v>
      </c>
      <c r="O766" s="115">
        <v>1.25</v>
      </c>
      <c r="P766" s="115" t="s">
        <v>2130</v>
      </c>
      <c r="Q766" s="166"/>
      <c r="R766" s="164"/>
      <c r="S766" s="164"/>
      <c r="T766" s="164"/>
      <c r="U766" s="164"/>
      <c r="V766" s="162"/>
      <c r="W766" s="158"/>
      <c r="X766" s="158"/>
      <c r="Y766" s="158"/>
      <c r="Z766" s="158"/>
      <c r="AA766" s="158"/>
      <c r="AB766" s="158"/>
      <c r="AC766" s="113">
        <v>480</v>
      </c>
      <c r="AD766" s="113">
        <v>82</v>
      </c>
      <c r="AE766" s="113">
        <v>80</v>
      </c>
      <c r="AF766" s="113">
        <v>86</v>
      </c>
      <c r="AG766" s="120">
        <v>85</v>
      </c>
      <c r="AH766" s="113">
        <v>75</v>
      </c>
      <c r="AI766" s="113">
        <v>72</v>
      </c>
    </row>
    <row r="767" spans="1:35">
      <c r="A767" s="113">
        <v>686</v>
      </c>
      <c r="B767" s="113" t="s">
        <v>736</v>
      </c>
      <c r="C767" s="120" t="s">
        <v>6022</v>
      </c>
      <c r="D767" s="124">
        <v>0.5</v>
      </c>
      <c r="E767" s="124">
        <v>0.5</v>
      </c>
      <c r="F767" s="113" t="s">
        <v>2331</v>
      </c>
      <c r="G767" s="113" t="s">
        <v>2707</v>
      </c>
      <c r="H767" s="113" t="s">
        <v>158</v>
      </c>
      <c r="I767" s="113" t="s">
        <v>86</v>
      </c>
      <c r="J767" s="118" t="s">
        <v>2129</v>
      </c>
      <c r="K767" s="118">
        <v>2</v>
      </c>
      <c r="L767" s="118" t="s">
        <v>6022</v>
      </c>
      <c r="M767" s="115" t="s">
        <v>1109</v>
      </c>
      <c r="N767" s="115" t="s">
        <v>6505</v>
      </c>
      <c r="O767" s="115">
        <v>1.25</v>
      </c>
      <c r="P767" s="115" t="s">
        <v>1109</v>
      </c>
      <c r="Q767" s="166"/>
      <c r="R767" s="164"/>
      <c r="S767" s="164"/>
      <c r="T767" s="164"/>
      <c r="U767" s="164"/>
      <c r="V767" s="162"/>
      <c r="W767" s="158"/>
      <c r="X767" s="158"/>
      <c r="Y767" s="158"/>
      <c r="Z767" s="158"/>
      <c r="AA767" s="158"/>
      <c r="AB767" s="158"/>
      <c r="AC767" s="113">
        <v>288</v>
      </c>
      <c r="AD767" s="113">
        <v>53</v>
      </c>
      <c r="AE767" s="113">
        <v>54</v>
      </c>
      <c r="AF767" s="113">
        <v>53</v>
      </c>
      <c r="AG767" s="120">
        <v>37</v>
      </c>
      <c r="AH767" s="113">
        <v>46</v>
      </c>
      <c r="AI767" s="113">
        <v>45</v>
      </c>
    </row>
    <row r="768" spans="1:35">
      <c r="A768" s="113">
        <v>687</v>
      </c>
      <c r="B768" s="113" t="s">
        <v>737</v>
      </c>
      <c r="C768" s="120" t="s">
        <v>6023</v>
      </c>
      <c r="D768" s="124">
        <v>0.5</v>
      </c>
      <c r="E768" s="124">
        <v>0.5</v>
      </c>
      <c r="F768" s="113" t="s">
        <v>2331</v>
      </c>
      <c r="G768" s="113" t="s">
        <v>2707</v>
      </c>
      <c r="H768" s="113" t="s">
        <v>158</v>
      </c>
      <c r="I768" s="113" t="s">
        <v>86</v>
      </c>
      <c r="J768" s="118" t="s">
        <v>2129</v>
      </c>
      <c r="K768" s="118">
        <v>2</v>
      </c>
      <c r="L768" s="118" t="s">
        <v>6022</v>
      </c>
      <c r="M768" s="115" t="s">
        <v>6022</v>
      </c>
      <c r="N768" s="115" t="s">
        <v>6504</v>
      </c>
      <c r="O768" s="115">
        <v>1.25</v>
      </c>
      <c r="P768" s="115" t="s">
        <v>2128</v>
      </c>
      <c r="Q768" s="166"/>
      <c r="R768" s="164"/>
      <c r="S768" s="164"/>
      <c r="T768" s="164"/>
      <c r="U768" s="164"/>
      <c r="V768" s="162"/>
      <c r="W768" s="158"/>
      <c r="X768" s="158"/>
      <c r="Y768" s="158"/>
      <c r="Z768" s="158"/>
      <c r="AA768" s="158"/>
      <c r="AB768" s="158"/>
      <c r="AC768" s="113">
        <v>482</v>
      </c>
      <c r="AD768" s="113">
        <v>86</v>
      </c>
      <c r="AE768" s="113">
        <v>92</v>
      </c>
      <c r="AF768" s="113">
        <v>88</v>
      </c>
      <c r="AG768" s="120">
        <v>68</v>
      </c>
      <c r="AH768" s="113">
        <v>75</v>
      </c>
      <c r="AI768" s="113">
        <v>73</v>
      </c>
    </row>
    <row r="769" spans="1:35">
      <c r="A769" s="113">
        <v>688</v>
      </c>
      <c r="B769" s="113" t="s">
        <v>738</v>
      </c>
      <c r="C769" s="120" t="s">
        <v>6024</v>
      </c>
      <c r="D769" s="124">
        <v>0.5</v>
      </c>
      <c r="E769" s="124">
        <v>0.5</v>
      </c>
      <c r="F769" s="113" t="s">
        <v>2337</v>
      </c>
      <c r="G769" s="113" t="s">
        <v>2707</v>
      </c>
      <c r="H769" s="113" t="s">
        <v>98</v>
      </c>
      <c r="I769" s="113" t="s">
        <v>25</v>
      </c>
      <c r="J769" s="118" t="s">
        <v>2129</v>
      </c>
      <c r="K769" s="118">
        <v>2</v>
      </c>
      <c r="L769" s="118" t="s">
        <v>6024</v>
      </c>
      <c r="M769" s="115" t="s">
        <v>1109</v>
      </c>
      <c r="N769" s="115" t="s">
        <v>6505</v>
      </c>
      <c r="O769" s="115">
        <v>1.25</v>
      </c>
      <c r="P769" s="115" t="s">
        <v>1109</v>
      </c>
      <c r="Q769" s="166"/>
      <c r="R769" s="164"/>
      <c r="S769" s="164"/>
      <c r="T769" s="164"/>
      <c r="U769" s="164"/>
      <c r="V769" s="162"/>
      <c r="W769" s="158"/>
      <c r="X769" s="158"/>
      <c r="Y769" s="158"/>
      <c r="Z769" s="158"/>
      <c r="AA769" s="158"/>
      <c r="AB769" s="158"/>
      <c r="AC769" s="113">
        <v>306</v>
      </c>
      <c r="AD769" s="113">
        <v>42</v>
      </c>
      <c r="AE769" s="113">
        <v>52</v>
      </c>
      <c r="AF769" s="113">
        <v>67</v>
      </c>
      <c r="AG769" s="120">
        <v>39</v>
      </c>
      <c r="AH769" s="113">
        <v>56</v>
      </c>
      <c r="AI769" s="113">
        <v>50</v>
      </c>
    </row>
    <row r="770" spans="1:35">
      <c r="A770" s="113">
        <v>689</v>
      </c>
      <c r="B770" s="113" t="s">
        <v>739</v>
      </c>
      <c r="C770" s="120" t="s">
        <v>6025</v>
      </c>
      <c r="D770" s="124">
        <v>0.5</v>
      </c>
      <c r="E770" s="124">
        <v>0.5</v>
      </c>
      <c r="F770" s="113" t="s">
        <v>2337</v>
      </c>
      <c r="G770" s="113" t="s">
        <v>2707</v>
      </c>
      <c r="H770" s="113" t="s">
        <v>98</v>
      </c>
      <c r="I770" s="113" t="s">
        <v>25</v>
      </c>
      <c r="J770" s="118" t="s">
        <v>2129</v>
      </c>
      <c r="K770" s="118">
        <v>2</v>
      </c>
      <c r="L770" s="118" t="s">
        <v>6024</v>
      </c>
      <c r="M770" s="115" t="s">
        <v>6024</v>
      </c>
      <c r="N770" s="115" t="s">
        <v>6504</v>
      </c>
      <c r="O770" s="115">
        <v>1.25</v>
      </c>
      <c r="P770" s="115" t="s">
        <v>2128</v>
      </c>
      <c r="Q770" s="166"/>
      <c r="R770" s="164"/>
      <c r="S770" s="164"/>
      <c r="T770" s="164"/>
      <c r="U770" s="164"/>
      <c r="V770" s="162"/>
      <c r="W770" s="158"/>
      <c r="X770" s="158"/>
      <c r="Y770" s="158"/>
      <c r="Z770" s="158"/>
      <c r="AA770" s="158"/>
      <c r="AB770" s="158"/>
      <c r="AC770" s="113">
        <v>500</v>
      </c>
      <c r="AD770" s="113">
        <v>72</v>
      </c>
      <c r="AE770" s="113">
        <v>105</v>
      </c>
      <c r="AF770" s="113">
        <v>115</v>
      </c>
      <c r="AG770" s="120">
        <v>54</v>
      </c>
      <c r="AH770" s="113">
        <v>86</v>
      </c>
      <c r="AI770" s="113">
        <v>68</v>
      </c>
    </row>
    <row r="771" spans="1:35">
      <c r="A771" s="113">
        <v>690</v>
      </c>
      <c r="B771" s="113" t="s">
        <v>740</v>
      </c>
      <c r="C771" s="120" t="s">
        <v>6026</v>
      </c>
      <c r="D771" s="124">
        <v>0.5</v>
      </c>
      <c r="E771" s="124">
        <v>0.5</v>
      </c>
      <c r="F771" s="113" t="s">
        <v>23</v>
      </c>
      <c r="G771" s="113" t="s">
        <v>2707</v>
      </c>
      <c r="H771" s="113" t="s">
        <v>15</v>
      </c>
      <c r="I771" s="113" t="s">
        <v>25</v>
      </c>
      <c r="J771" s="118" t="s">
        <v>2129</v>
      </c>
      <c r="K771" s="118">
        <v>2</v>
      </c>
      <c r="L771" s="118" t="s">
        <v>6026</v>
      </c>
      <c r="M771" s="115" t="s">
        <v>1109</v>
      </c>
      <c r="N771" s="115" t="s">
        <v>6505</v>
      </c>
      <c r="O771" s="115">
        <v>1.25</v>
      </c>
      <c r="P771" s="115" t="s">
        <v>1109</v>
      </c>
      <c r="Q771" s="166"/>
      <c r="R771" s="164"/>
      <c r="S771" s="164"/>
      <c r="T771" s="164"/>
      <c r="U771" s="164"/>
      <c r="V771" s="162"/>
      <c r="W771" s="158"/>
      <c r="X771" s="158"/>
      <c r="Y771" s="158"/>
      <c r="Z771" s="158"/>
      <c r="AA771" s="158"/>
      <c r="AB771" s="158"/>
      <c r="AC771" s="113">
        <v>320</v>
      </c>
      <c r="AD771" s="113">
        <v>50</v>
      </c>
      <c r="AE771" s="113">
        <v>60</v>
      </c>
      <c r="AF771" s="113">
        <v>60</v>
      </c>
      <c r="AG771" s="120">
        <v>60</v>
      </c>
      <c r="AH771" s="113">
        <v>60</v>
      </c>
      <c r="AI771" s="113">
        <v>30</v>
      </c>
    </row>
    <row r="772" spans="1:35">
      <c r="A772" s="113">
        <v>691</v>
      </c>
      <c r="B772" s="113" t="s">
        <v>741</v>
      </c>
      <c r="C772" s="120" t="s">
        <v>6027</v>
      </c>
      <c r="D772" s="124">
        <v>0.5</v>
      </c>
      <c r="E772" s="124">
        <v>0.5</v>
      </c>
      <c r="F772" s="113" t="s">
        <v>23</v>
      </c>
      <c r="G772" s="113" t="s">
        <v>2707</v>
      </c>
      <c r="H772" s="113" t="s">
        <v>15</v>
      </c>
      <c r="I772" s="113" t="s">
        <v>23</v>
      </c>
      <c r="J772" s="118" t="s">
        <v>2129</v>
      </c>
      <c r="K772" s="118">
        <v>2</v>
      </c>
      <c r="L772" s="118" t="s">
        <v>6026</v>
      </c>
      <c r="M772" s="115" t="s">
        <v>6026</v>
      </c>
      <c r="N772" s="115" t="s">
        <v>6504</v>
      </c>
      <c r="O772" s="115">
        <v>1.25</v>
      </c>
      <c r="P772" s="115" t="s">
        <v>2128</v>
      </c>
      <c r="Q772" s="166"/>
      <c r="R772" s="164"/>
      <c r="S772" s="164"/>
      <c r="T772" s="164"/>
      <c r="U772" s="164"/>
      <c r="V772" s="162"/>
      <c r="W772" s="158"/>
      <c r="X772" s="158"/>
      <c r="Y772" s="158"/>
      <c r="Z772" s="158"/>
      <c r="AA772" s="158"/>
      <c r="AB772" s="158"/>
      <c r="AC772" s="113">
        <v>494</v>
      </c>
      <c r="AD772" s="113">
        <v>65</v>
      </c>
      <c r="AE772" s="113">
        <v>75</v>
      </c>
      <c r="AF772" s="113">
        <v>90</v>
      </c>
      <c r="AG772" s="120">
        <v>97</v>
      </c>
      <c r="AH772" s="113">
        <v>123</v>
      </c>
      <c r="AI772" s="113">
        <v>44</v>
      </c>
    </row>
    <row r="773" spans="1:35">
      <c r="A773" s="113">
        <v>692</v>
      </c>
      <c r="B773" s="113" t="s">
        <v>742</v>
      </c>
      <c r="C773" s="120" t="s">
        <v>6028</v>
      </c>
      <c r="D773" s="124">
        <v>0.5</v>
      </c>
      <c r="E773" s="124">
        <v>0.5</v>
      </c>
      <c r="F773" s="113" t="s">
        <v>2337</v>
      </c>
      <c r="G773" s="113" t="s">
        <v>2707</v>
      </c>
      <c r="H773" s="113" t="s">
        <v>25</v>
      </c>
      <c r="I773" s="113" t="s">
        <v>1109</v>
      </c>
      <c r="J773" s="118" t="s">
        <v>2129</v>
      </c>
      <c r="K773" s="118">
        <v>2</v>
      </c>
      <c r="L773" s="118" t="s">
        <v>6028</v>
      </c>
      <c r="M773" s="115" t="s">
        <v>1109</v>
      </c>
      <c r="N773" s="115" t="s">
        <v>6505</v>
      </c>
      <c r="O773" s="115">
        <v>1.25</v>
      </c>
      <c r="P773" s="115" t="s">
        <v>1109</v>
      </c>
      <c r="Q773" s="166"/>
      <c r="R773" s="164"/>
      <c r="S773" s="164"/>
      <c r="T773" s="164"/>
      <c r="U773" s="164"/>
      <c r="V773" s="162"/>
      <c r="W773" s="158"/>
      <c r="X773" s="158"/>
      <c r="Y773" s="158"/>
      <c r="Z773" s="158"/>
      <c r="AA773" s="158"/>
      <c r="AB773" s="158"/>
      <c r="AC773" s="113">
        <v>330</v>
      </c>
      <c r="AD773" s="113">
        <v>50</v>
      </c>
      <c r="AE773" s="113">
        <v>53</v>
      </c>
      <c r="AF773" s="113">
        <v>62</v>
      </c>
      <c r="AG773" s="120">
        <v>58</v>
      </c>
      <c r="AH773" s="113">
        <v>63</v>
      </c>
      <c r="AI773" s="113">
        <v>44</v>
      </c>
    </row>
    <row r="774" spans="1:35">
      <c r="A774" s="113">
        <v>693</v>
      </c>
      <c r="B774" s="113" t="s">
        <v>743</v>
      </c>
      <c r="C774" s="120" t="s">
        <v>6029</v>
      </c>
      <c r="D774" s="124">
        <v>0.5</v>
      </c>
      <c r="E774" s="124">
        <v>0.5</v>
      </c>
      <c r="F774" s="113" t="s">
        <v>2337</v>
      </c>
      <c r="G774" s="113" t="s">
        <v>2707</v>
      </c>
      <c r="H774" s="113" t="s">
        <v>25</v>
      </c>
      <c r="I774" s="113" t="s">
        <v>1109</v>
      </c>
      <c r="J774" s="118" t="s">
        <v>2129</v>
      </c>
      <c r="K774" s="118">
        <v>2</v>
      </c>
      <c r="L774" s="118" t="s">
        <v>6028</v>
      </c>
      <c r="M774" s="115" t="s">
        <v>6028</v>
      </c>
      <c r="N774" s="115" t="s">
        <v>6504</v>
      </c>
      <c r="O774" s="115">
        <v>1.25</v>
      </c>
      <c r="P774" s="115" t="s">
        <v>2128</v>
      </c>
      <c r="Q774" s="166"/>
      <c r="R774" s="164"/>
      <c r="S774" s="164"/>
      <c r="T774" s="164"/>
      <c r="U774" s="164"/>
      <c r="V774" s="162"/>
      <c r="W774" s="158"/>
      <c r="X774" s="158"/>
      <c r="Y774" s="158"/>
      <c r="Z774" s="158"/>
      <c r="AA774" s="158"/>
      <c r="AB774" s="158"/>
      <c r="AC774" s="113">
        <v>500</v>
      </c>
      <c r="AD774" s="113">
        <v>71</v>
      </c>
      <c r="AE774" s="113">
        <v>73</v>
      </c>
      <c r="AF774" s="113">
        <v>88</v>
      </c>
      <c r="AG774" s="120">
        <v>120</v>
      </c>
      <c r="AH774" s="113">
        <v>89</v>
      </c>
      <c r="AI774" s="113">
        <v>59</v>
      </c>
    </row>
    <row r="775" spans="1:35">
      <c r="A775" s="113">
        <v>694</v>
      </c>
      <c r="B775" s="113" t="s">
        <v>744</v>
      </c>
      <c r="C775" s="120" t="s">
        <v>6030</v>
      </c>
      <c r="D775" s="124">
        <v>0.5</v>
      </c>
      <c r="E775" s="124">
        <v>0.5</v>
      </c>
      <c r="F775" s="113" t="s">
        <v>23</v>
      </c>
      <c r="G775" s="113" t="s">
        <v>2707</v>
      </c>
      <c r="H775" s="113" t="s">
        <v>46</v>
      </c>
      <c r="I775" s="113" t="s">
        <v>36</v>
      </c>
      <c r="J775" s="118" t="s">
        <v>2129</v>
      </c>
      <c r="K775" s="118">
        <v>2</v>
      </c>
      <c r="L775" s="118" t="s">
        <v>6030</v>
      </c>
      <c r="M775" s="115" t="s">
        <v>1109</v>
      </c>
      <c r="N775" s="115" t="s">
        <v>6505</v>
      </c>
      <c r="O775" s="115">
        <v>1.25</v>
      </c>
      <c r="P775" s="115" t="s">
        <v>1109</v>
      </c>
      <c r="Q775" s="166"/>
      <c r="R775" s="164"/>
      <c r="S775" s="164"/>
      <c r="T775" s="164"/>
      <c r="U775" s="164"/>
      <c r="V775" s="162"/>
      <c r="W775" s="158"/>
      <c r="X775" s="158"/>
      <c r="Y775" s="158"/>
      <c r="Z775" s="158"/>
      <c r="AA775" s="158"/>
      <c r="AB775" s="158"/>
      <c r="AC775" s="113">
        <v>289</v>
      </c>
      <c r="AD775" s="113">
        <v>44</v>
      </c>
      <c r="AE775" s="113">
        <v>38</v>
      </c>
      <c r="AF775" s="113">
        <v>33</v>
      </c>
      <c r="AG775" s="120">
        <v>61</v>
      </c>
      <c r="AH775" s="113">
        <v>43</v>
      </c>
      <c r="AI775" s="113">
        <v>70</v>
      </c>
    </row>
    <row r="776" spans="1:35">
      <c r="A776" s="113">
        <v>695</v>
      </c>
      <c r="B776" s="113" t="s">
        <v>745</v>
      </c>
      <c r="C776" s="120" t="s">
        <v>6031</v>
      </c>
      <c r="D776" s="124">
        <v>0.5</v>
      </c>
      <c r="E776" s="124">
        <v>0.5</v>
      </c>
      <c r="F776" s="113" t="s">
        <v>23</v>
      </c>
      <c r="G776" s="113" t="s">
        <v>2707</v>
      </c>
      <c r="H776" s="113" t="s">
        <v>46</v>
      </c>
      <c r="I776" s="113" t="s">
        <v>36</v>
      </c>
      <c r="J776" s="118" t="s">
        <v>2129</v>
      </c>
      <c r="K776" s="118">
        <v>2</v>
      </c>
      <c r="L776" s="118" t="s">
        <v>6030</v>
      </c>
      <c r="M776" s="115" t="s">
        <v>6030</v>
      </c>
      <c r="N776" s="115" t="s">
        <v>6504</v>
      </c>
      <c r="O776" s="115">
        <v>1.25</v>
      </c>
      <c r="P776" s="115" t="s">
        <v>2128</v>
      </c>
      <c r="Q776" s="166"/>
      <c r="R776" s="164"/>
      <c r="S776" s="164"/>
      <c r="T776" s="164"/>
      <c r="U776" s="164"/>
      <c r="V776" s="162"/>
      <c r="W776" s="158"/>
      <c r="X776" s="158"/>
      <c r="Y776" s="158"/>
      <c r="Z776" s="158"/>
      <c r="AA776" s="158"/>
      <c r="AB776" s="158"/>
      <c r="AC776" s="113">
        <v>481</v>
      </c>
      <c r="AD776" s="113">
        <v>62</v>
      </c>
      <c r="AE776" s="113">
        <v>55</v>
      </c>
      <c r="AF776" s="113">
        <v>52</v>
      </c>
      <c r="AG776" s="120">
        <v>109</v>
      </c>
      <c r="AH776" s="113">
        <v>94</v>
      </c>
      <c r="AI776" s="113">
        <v>109</v>
      </c>
    </row>
    <row r="777" spans="1:35">
      <c r="A777" s="113">
        <v>696</v>
      </c>
      <c r="B777" s="113" t="s">
        <v>746</v>
      </c>
      <c r="C777" s="120" t="s">
        <v>6032</v>
      </c>
      <c r="D777" s="124">
        <v>0.85</v>
      </c>
      <c r="E777" s="124">
        <v>0.15</v>
      </c>
      <c r="F777" s="113" t="s">
        <v>23</v>
      </c>
      <c r="G777" s="113" t="s">
        <v>2707</v>
      </c>
      <c r="H777" s="113" t="s">
        <v>98</v>
      </c>
      <c r="I777" s="113" t="s">
        <v>23</v>
      </c>
      <c r="J777" s="118" t="s">
        <v>2129</v>
      </c>
      <c r="K777" s="118">
        <v>3</v>
      </c>
      <c r="L777" s="118" t="s">
        <v>6032</v>
      </c>
      <c r="M777" s="115" t="s">
        <v>1109</v>
      </c>
      <c r="N777" s="115" t="s">
        <v>6505</v>
      </c>
      <c r="O777" s="115">
        <v>1.5</v>
      </c>
      <c r="P777" s="115" t="s">
        <v>1109</v>
      </c>
      <c r="Q777" s="166"/>
      <c r="R777" s="164"/>
      <c r="S777" s="164"/>
      <c r="T777" s="164"/>
      <c r="U777" s="164"/>
      <c r="V777" s="162"/>
      <c r="W777" s="158"/>
      <c r="X777" s="158"/>
      <c r="Y777" s="158"/>
      <c r="Z777" s="158"/>
      <c r="AA777" s="158"/>
      <c r="AB777" s="158"/>
      <c r="AC777" s="113">
        <v>362</v>
      </c>
      <c r="AD777" s="113">
        <v>58</v>
      </c>
      <c r="AE777" s="113">
        <v>89</v>
      </c>
      <c r="AF777" s="113">
        <v>77</v>
      </c>
      <c r="AG777" s="120">
        <v>45</v>
      </c>
      <c r="AH777" s="113">
        <v>45</v>
      </c>
      <c r="AI777" s="113">
        <v>48</v>
      </c>
    </row>
    <row r="778" spans="1:35">
      <c r="A778" s="113">
        <v>697</v>
      </c>
      <c r="B778" s="113" t="s">
        <v>747</v>
      </c>
      <c r="C778" s="120" t="s">
        <v>6033</v>
      </c>
      <c r="D778" s="124">
        <v>0.85</v>
      </c>
      <c r="E778" s="124">
        <v>0.15</v>
      </c>
      <c r="F778" s="113" t="s">
        <v>23</v>
      </c>
      <c r="G778" s="113" t="s">
        <v>2707</v>
      </c>
      <c r="H778" s="113" t="s">
        <v>98</v>
      </c>
      <c r="I778" s="113" t="s">
        <v>23</v>
      </c>
      <c r="J778" s="118" t="s">
        <v>2129</v>
      </c>
      <c r="K778" s="118">
        <v>3</v>
      </c>
      <c r="L778" s="118" t="s">
        <v>6032</v>
      </c>
      <c r="M778" s="115" t="s">
        <v>6032</v>
      </c>
      <c r="N778" s="115" t="s">
        <v>6504</v>
      </c>
      <c r="O778" s="115">
        <v>1.5</v>
      </c>
      <c r="P778" s="115" t="s">
        <v>2128</v>
      </c>
      <c r="Q778" s="166"/>
      <c r="R778" s="164"/>
      <c r="S778" s="164"/>
      <c r="T778" s="164"/>
      <c r="U778" s="164"/>
      <c r="V778" s="162"/>
      <c r="W778" s="158"/>
      <c r="X778" s="158"/>
      <c r="Y778" s="158"/>
      <c r="Z778" s="158"/>
      <c r="AA778" s="158"/>
      <c r="AB778" s="158"/>
      <c r="AC778" s="113">
        <v>521</v>
      </c>
      <c r="AD778" s="113">
        <v>82</v>
      </c>
      <c r="AE778" s="113">
        <v>121</v>
      </c>
      <c r="AF778" s="113">
        <v>119</v>
      </c>
      <c r="AG778" s="120">
        <v>69</v>
      </c>
      <c r="AH778" s="113">
        <v>59</v>
      </c>
      <c r="AI778" s="113">
        <v>71</v>
      </c>
    </row>
    <row r="779" spans="1:35">
      <c r="A779" s="113">
        <v>698</v>
      </c>
      <c r="B779" s="113" t="s">
        <v>748</v>
      </c>
      <c r="C779" s="120" t="s">
        <v>6034</v>
      </c>
      <c r="D779" s="124">
        <v>0.85</v>
      </c>
      <c r="E779" s="124">
        <v>0.15</v>
      </c>
      <c r="F779" s="113" t="s">
        <v>2330</v>
      </c>
      <c r="G779" s="113" t="s">
        <v>2707</v>
      </c>
      <c r="H779" s="113" t="s">
        <v>98</v>
      </c>
      <c r="I779" s="113" t="s">
        <v>113</v>
      </c>
      <c r="J779" s="118" t="s">
        <v>2129</v>
      </c>
      <c r="K779" s="118">
        <v>3</v>
      </c>
      <c r="L779" s="118" t="s">
        <v>6034</v>
      </c>
      <c r="M779" s="115" t="s">
        <v>1109</v>
      </c>
      <c r="N779" s="115" t="s">
        <v>6505</v>
      </c>
      <c r="O779" s="115">
        <v>1.5</v>
      </c>
      <c r="P779" s="115" t="s">
        <v>1109</v>
      </c>
      <c r="Q779" s="166"/>
      <c r="R779" s="164"/>
      <c r="S779" s="164"/>
      <c r="T779" s="164"/>
      <c r="U779" s="164"/>
      <c r="V779" s="162"/>
      <c r="W779" s="158"/>
      <c r="X779" s="158"/>
      <c r="Y779" s="158"/>
      <c r="Z779" s="158"/>
      <c r="AA779" s="158"/>
      <c r="AB779" s="158"/>
      <c r="AC779" s="113">
        <v>362</v>
      </c>
      <c r="AD779" s="113">
        <v>77</v>
      </c>
      <c r="AE779" s="113">
        <v>59</v>
      </c>
      <c r="AF779" s="113">
        <v>50</v>
      </c>
      <c r="AG779" s="120">
        <v>67</v>
      </c>
      <c r="AH779" s="113">
        <v>63</v>
      </c>
      <c r="AI779" s="113">
        <v>46</v>
      </c>
    </row>
    <row r="780" spans="1:35">
      <c r="A780" s="113">
        <v>699</v>
      </c>
      <c r="B780" s="113" t="s">
        <v>749</v>
      </c>
      <c r="C780" s="120" t="s">
        <v>6035</v>
      </c>
      <c r="D780" s="124">
        <v>0.85</v>
      </c>
      <c r="E780" s="124">
        <v>0.15</v>
      </c>
      <c r="F780" s="113" t="s">
        <v>2330</v>
      </c>
      <c r="G780" s="113" t="s">
        <v>2707</v>
      </c>
      <c r="H780" s="113" t="s">
        <v>98</v>
      </c>
      <c r="I780" s="113" t="s">
        <v>113</v>
      </c>
      <c r="J780" s="118" t="s">
        <v>2129</v>
      </c>
      <c r="K780" s="118">
        <v>3</v>
      </c>
      <c r="L780" s="118" t="s">
        <v>6034</v>
      </c>
      <c r="M780" s="115" t="s">
        <v>6034</v>
      </c>
      <c r="N780" s="115" t="s">
        <v>6504</v>
      </c>
      <c r="O780" s="115">
        <v>1.5</v>
      </c>
      <c r="P780" s="115" t="s">
        <v>2128</v>
      </c>
      <c r="Q780" s="166"/>
      <c r="R780" s="164"/>
      <c r="S780" s="164"/>
      <c r="T780" s="164"/>
      <c r="U780" s="164"/>
      <c r="V780" s="162"/>
      <c r="W780" s="158"/>
      <c r="X780" s="158"/>
      <c r="Y780" s="158"/>
      <c r="Z780" s="158"/>
      <c r="AA780" s="158"/>
      <c r="AB780" s="158"/>
      <c r="AC780" s="113">
        <v>521</v>
      </c>
      <c r="AD780" s="113">
        <v>123</v>
      </c>
      <c r="AE780" s="113">
        <v>77</v>
      </c>
      <c r="AF780" s="113">
        <v>72</v>
      </c>
      <c r="AG780" s="120">
        <v>99</v>
      </c>
      <c r="AH780" s="113">
        <v>92</v>
      </c>
      <c r="AI780" s="113">
        <v>58</v>
      </c>
    </row>
    <row r="781" spans="1:35">
      <c r="A781" s="113">
        <v>700</v>
      </c>
      <c r="B781" s="113" t="s">
        <v>750</v>
      </c>
      <c r="C781" s="120" t="s">
        <v>6036</v>
      </c>
      <c r="D781" s="124">
        <v>0.85</v>
      </c>
      <c r="E781" s="124">
        <v>0.15</v>
      </c>
      <c r="F781" s="113" t="s">
        <v>2332</v>
      </c>
      <c r="G781" s="113" t="s">
        <v>2707</v>
      </c>
      <c r="H781" s="113" t="s">
        <v>56</v>
      </c>
      <c r="I781" s="113" t="s">
        <v>1109</v>
      </c>
      <c r="J781" s="118" t="s">
        <v>2129</v>
      </c>
      <c r="K781" s="118">
        <v>2</v>
      </c>
      <c r="L781" s="118" t="s">
        <v>5386</v>
      </c>
      <c r="M781" s="115" t="s">
        <v>5386</v>
      </c>
      <c r="N781" s="115" t="s">
        <v>6504</v>
      </c>
      <c r="O781" s="115">
        <v>1.25</v>
      </c>
      <c r="P781" s="115" t="s">
        <v>2130</v>
      </c>
      <c r="Q781" s="166">
        <v>2</v>
      </c>
      <c r="R781" s="164"/>
      <c r="S781" s="164"/>
      <c r="T781" s="164">
        <v>70</v>
      </c>
      <c r="U781" s="164"/>
      <c r="V781" s="162"/>
      <c r="W781" s="158" t="s">
        <v>6531</v>
      </c>
      <c r="X781" s="158"/>
      <c r="Y781" s="158">
        <v>80</v>
      </c>
      <c r="Z781" s="158">
        <v>8</v>
      </c>
      <c r="AA781" s="158"/>
      <c r="AB781" s="158"/>
      <c r="AC781" s="113">
        <v>525</v>
      </c>
      <c r="AD781" s="113">
        <v>95</v>
      </c>
      <c r="AE781" s="113">
        <v>65</v>
      </c>
      <c r="AF781" s="113">
        <v>65</v>
      </c>
      <c r="AG781" s="120">
        <v>110</v>
      </c>
      <c r="AH781" s="113">
        <v>130</v>
      </c>
      <c r="AI781" s="113">
        <v>60</v>
      </c>
    </row>
    <row r="782" spans="1:35">
      <c r="A782" s="113">
        <v>701</v>
      </c>
      <c r="B782" s="113" t="s">
        <v>751</v>
      </c>
      <c r="C782" s="120" t="s">
        <v>6037</v>
      </c>
      <c r="D782" s="124">
        <v>0.5</v>
      </c>
      <c r="E782" s="124">
        <v>0.5</v>
      </c>
      <c r="F782" s="113" t="s">
        <v>22</v>
      </c>
      <c r="G782" s="113" t="s">
        <v>2707</v>
      </c>
      <c r="H782" s="113" t="s">
        <v>78</v>
      </c>
      <c r="I782" s="113" t="s">
        <v>22</v>
      </c>
      <c r="J782" s="118" t="s">
        <v>2129</v>
      </c>
      <c r="K782" s="118">
        <v>3</v>
      </c>
      <c r="L782" s="118" t="s">
        <v>6037</v>
      </c>
      <c r="M782" s="115" t="s">
        <v>1109</v>
      </c>
      <c r="N782" s="115" t="s">
        <v>6504</v>
      </c>
      <c r="O782" s="115">
        <v>1.5</v>
      </c>
      <c r="P782" s="115" t="s">
        <v>1109</v>
      </c>
      <c r="Q782" s="166"/>
      <c r="R782" s="164"/>
      <c r="S782" s="164"/>
      <c r="T782" s="164"/>
      <c r="U782" s="164"/>
      <c r="V782" s="162"/>
      <c r="W782" s="158"/>
      <c r="X782" s="158"/>
      <c r="Y782" s="158"/>
      <c r="Z782" s="158"/>
      <c r="AA782" s="158"/>
      <c r="AB782" s="158"/>
      <c r="AC782" s="113">
        <v>500</v>
      </c>
      <c r="AD782" s="113">
        <v>78</v>
      </c>
      <c r="AE782" s="113">
        <v>92</v>
      </c>
      <c r="AF782" s="113">
        <v>75</v>
      </c>
      <c r="AG782" s="120">
        <v>74</v>
      </c>
      <c r="AH782" s="113">
        <v>63</v>
      </c>
      <c r="AI782" s="113">
        <v>118</v>
      </c>
    </row>
    <row r="783" spans="1:35">
      <c r="A783" s="113">
        <v>702</v>
      </c>
      <c r="B783" s="113" t="s">
        <v>752</v>
      </c>
      <c r="C783" s="120" t="s">
        <v>6038</v>
      </c>
      <c r="D783" s="124">
        <v>0.5</v>
      </c>
      <c r="E783" s="124">
        <v>0.5</v>
      </c>
      <c r="F783" s="113" t="s">
        <v>2332</v>
      </c>
      <c r="G783" s="113" t="s">
        <v>2707</v>
      </c>
      <c r="H783" s="113" t="s">
        <v>46</v>
      </c>
      <c r="I783" s="113" t="s">
        <v>56</v>
      </c>
      <c r="J783" s="118" t="s">
        <v>2129</v>
      </c>
      <c r="K783" s="118">
        <v>2</v>
      </c>
      <c r="L783" s="118" t="s">
        <v>6038</v>
      </c>
      <c r="M783" s="115" t="s">
        <v>1109</v>
      </c>
      <c r="N783" s="115" t="s">
        <v>6504</v>
      </c>
      <c r="O783" s="115">
        <v>1.25</v>
      </c>
      <c r="P783" s="115" t="s">
        <v>1109</v>
      </c>
      <c r="Q783" s="166"/>
      <c r="R783" s="164"/>
      <c r="S783" s="164"/>
      <c r="T783" s="164"/>
      <c r="U783" s="164"/>
      <c r="V783" s="162"/>
      <c r="W783" s="158"/>
      <c r="X783" s="158"/>
      <c r="Y783" s="158"/>
      <c r="Z783" s="158"/>
      <c r="AA783" s="158"/>
      <c r="AB783" s="158"/>
      <c r="AC783" s="113">
        <v>431</v>
      </c>
      <c r="AD783" s="113">
        <v>67</v>
      </c>
      <c r="AE783" s="113">
        <v>58</v>
      </c>
      <c r="AF783" s="113">
        <v>57</v>
      </c>
      <c r="AG783" s="120">
        <v>81</v>
      </c>
      <c r="AH783" s="113">
        <v>67</v>
      </c>
      <c r="AI783" s="113">
        <v>101</v>
      </c>
    </row>
    <row r="784" spans="1:35">
      <c r="A784" s="113">
        <v>703</v>
      </c>
      <c r="B784" s="113" t="s">
        <v>753</v>
      </c>
      <c r="C784" s="120" t="s">
        <v>6039</v>
      </c>
      <c r="D784" s="124" t="s">
        <v>1109</v>
      </c>
      <c r="E784" s="124" t="s">
        <v>1109</v>
      </c>
      <c r="F784" s="113" t="s">
        <v>2112</v>
      </c>
      <c r="G784" s="113" t="s">
        <v>2707</v>
      </c>
      <c r="H784" s="113" t="s">
        <v>98</v>
      </c>
      <c r="I784" s="113" t="s">
        <v>56</v>
      </c>
      <c r="J784" s="118" t="s">
        <v>2129</v>
      </c>
      <c r="K784" s="118">
        <v>3</v>
      </c>
      <c r="L784" s="118" t="s">
        <v>6039</v>
      </c>
      <c r="M784" s="115" t="s">
        <v>1109</v>
      </c>
      <c r="N784" s="115" t="s">
        <v>6504</v>
      </c>
      <c r="O784" s="115">
        <v>1.5</v>
      </c>
      <c r="P784" s="115" t="s">
        <v>1109</v>
      </c>
      <c r="Q784" s="166"/>
      <c r="R784" s="164"/>
      <c r="S784" s="164"/>
      <c r="T784" s="164"/>
      <c r="U784" s="164"/>
      <c r="V784" s="162"/>
      <c r="W784" s="158"/>
      <c r="X784" s="158"/>
      <c r="Y784" s="158"/>
      <c r="Z784" s="158"/>
      <c r="AA784" s="158"/>
      <c r="AB784" s="158"/>
      <c r="AC784" s="113">
        <v>500</v>
      </c>
      <c r="AD784" s="113">
        <v>50</v>
      </c>
      <c r="AE784" s="113">
        <v>50</v>
      </c>
      <c r="AF784" s="113">
        <v>150</v>
      </c>
      <c r="AG784" s="120">
        <v>50</v>
      </c>
      <c r="AH784" s="113">
        <v>150</v>
      </c>
      <c r="AI784" s="113">
        <v>50</v>
      </c>
    </row>
    <row r="785" spans="1:35">
      <c r="A785" s="113">
        <v>704</v>
      </c>
      <c r="B785" s="113" t="s">
        <v>754</v>
      </c>
      <c r="C785" s="120" t="s">
        <v>6040</v>
      </c>
      <c r="D785" s="124">
        <v>0.5</v>
      </c>
      <c r="E785" s="124">
        <v>0.5</v>
      </c>
      <c r="F785" s="113" t="s">
        <v>23</v>
      </c>
      <c r="G785" s="113" t="s">
        <v>2707</v>
      </c>
      <c r="H785" s="113" t="s">
        <v>23</v>
      </c>
      <c r="I785" s="113" t="s">
        <v>1109</v>
      </c>
      <c r="J785" s="118" t="s">
        <v>2129</v>
      </c>
      <c r="K785" s="118">
        <v>3</v>
      </c>
      <c r="L785" s="118" t="s">
        <v>6040</v>
      </c>
      <c r="M785" s="115" t="s">
        <v>1109</v>
      </c>
      <c r="N785" s="115" t="s">
        <v>6505</v>
      </c>
      <c r="O785" s="115">
        <v>1.5</v>
      </c>
      <c r="P785" s="115" t="s">
        <v>1109</v>
      </c>
      <c r="Q785" s="166"/>
      <c r="R785" s="164"/>
      <c r="S785" s="164"/>
      <c r="T785" s="164"/>
      <c r="U785" s="164"/>
      <c r="V785" s="162"/>
      <c r="W785" s="158"/>
      <c r="X785" s="158"/>
      <c r="Y785" s="158"/>
      <c r="Z785" s="158"/>
      <c r="AA785" s="158"/>
      <c r="AB785" s="158"/>
      <c r="AC785" s="113">
        <v>300</v>
      </c>
      <c r="AD785" s="113">
        <v>45</v>
      </c>
      <c r="AE785" s="113">
        <v>50</v>
      </c>
      <c r="AF785" s="113">
        <v>35</v>
      </c>
      <c r="AG785" s="120">
        <v>55</v>
      </c>
      <c r="AH785" s="113">
        <v>75</v>
      </c>
      <c r="AI785" s="113">
        <v>40</v>
      </c>
    </row>
    <row r="786" spans="1:35">
      <c r="A786" s="113">
        <v>705</v>
      </c>
      <c r="B786" s="113" t="s">
        <v>755</v>
      </c>
      <c r="C786" s="120" t="s">
        <v>6041</v>
      </c>
      <c r="D786" s="124">
        <v>0.5</v>
      </c>
      <c r="E786" s="124">
        <v>0.5</v>
      </c>
      <c r="F786" s="113" t="s">
        <v>23</v>
      </c>
      <c r="G786" s="113" t="s">
        <v>2707</v>
      </c>
      <c r="H786" s="113" t="s">
        <v>23</v>
      </c>
      <c r="I786" s="113" t="s">
        <v>1109</v>
      </c>
      <c r="J786" s="118" t="s">
        <v>2129</v>
      </c>
      <c r="K786" s="118">
        <v>3</v>
      </c>
      <c r="L786" s="118" t="s">
        <v>6040</v>
      </c>
      <c r="M786" s="115" t="s">
        <v>6040</v>
      </c>
      <c r="N786" s="115" t="s">
        <v>6506</v>
      </c>
      <c r="O786" s="115">
        <v>1.5</v>
      </c>
      <c r="P786" s="115" t="s">
        <v>2128</v>
      </c>
      <c r="Q786" s="166"/>
      <c r="R786" s="164"/>
      <c r="S786" s="164"/>
      <c r="T786" s="164"/>
      <c r="U786" s="164"/>
      <c r="V786" s="162"/>
      <c r="W786" s="158"/>
      <c r="X786" s="158"/>
      <c r="Y786" s="158"/>
      <c r="Z786" s="158"/>
      <c r="AA786" s="158"/>
      <c r="AB786" s="158"/>
      <c r="AC786" s="113">
        <v>452</v>
      </c>
      <c r="AD786" s="113">
        <v>68</v>
      </c>
      <c r="AE786" s="113">
        <v>75</v>
      </c>
      <c r="AF786" s="113">
        <v>53</v>
      </c>
      <c r="AG786" s="120">
        <v>83</v>
      </c>
      <c r="AH786" s="113">
        <v>113</v>
      </c>
      <c r="AI786" s="113">
        <v>60</v>
      </c>
    </row>
    <row r="787" spans="1:35">
      <c r="A787" s="113">
        <v>705</v>
      </c>
      <c r="B787" s="113" t="s">
        <v>3034</v>
      </c>
      <c r="C787" s="120" t="s">
        <v>6042</v>
      </c>
      <c r="D787" s="124">
        <v>0.5</v>
      </c>
      <c r="E787" s="124">
        <v>0.5</v>
      </c>
      <c r="F787" s="113" t="s">
        <v>23</v>
      </c>
      <c r="G787" s="113" t="s">
        <v>4319</v>
      </c>
      <c r="H787" s="113" t="s">
        <v>106</v>
      </c>
      <c r="I787" s="113" t="s">
        <v>23</v>
      </c>
      <c r="J787" s="118" t="s">
        <v>2129</v>
      </c>
      <c r="K787" s="118">
        <v>3</v>
      </c>
      <c r="L787" s="118" t="s">
        <v>6040</v>
      </c>
      <c r="M787" s="115" t="s">
        <v>6040</v>
      </c>
      <c r="N787" s="115" t="s">
        <v>6506</v>
      </c>
      <c r="O787" s="115">
        <v>1.5</v>
      </c>
      <c r="P787" s="115" t="s">
        <v>2128</v>
      </c>
      <c r="Q787" s="166"/>
      <c r="R787" s="164"/>
      <c r="S787" s="164"/>
      <c r="T787" s="164"/>
      <c r="U787" s="164"/>
      <c r="V787" s="162"/>
      <c r="W787" s="158"/>
      <c r="X787" s="158"/>
      <c r="Y787" s="158"/>
      <c r="Z787" s="158"/>
      <c r="AA787" s="158"/>
      <c r="AB787" s="158"/>
      <c r="AC787" s="113">
        <v>452</v>
      </c>
      <c r="AD787" s="113">
        <v>58</v>
      </c>
      <c r="AE787" s="113">
        <v>75</v>
      </c>
      <c r="AF787" s="113">
        <v>83</v>
      </c>
      <c r="AG787" s="120">
        <v>83</v>
      </c>
      <c r="AH787" s="113">
        <v>113</v>
      </c>
      <c r="AI787" s="113">
        <v>40</v>
      </c>
    </row>
    <row r="788" spans="1:35">
      <c r="A788" s="113">
        <v>706</v>
      </c>
      <c r="B788" s="113" t="s">
        <v>756</v>
      </c>
      <c r="C788" s="120" t="s">
        <v>6043</v>
      </c>
      <c r="D788" s="124">
        <v>0.5</v>
      </c>
      <c r="E788" s="124">
        <v>0.5</v>
      </c>
      <c r="F788" s="113" t="s">
        <v>23</v>
      </c>
      <c r="G788" s="113" t="s">
        <v>2707</v>
      </c>
      <c r="H788" s="113" t="s">
        <v>23</v>
      </c>
      <c r="I788" s="113" t="s">
        <v>1109</v>
      </c>
      <c r="J788" s="118" t="s">
        <v>2129</v>
      </c>
      <c r="K788" s="118">
        <v>3</v>
      </c>
      <c r="L788" s="118" t="s">
        <v>6040</v>
      </c>
      <c r="M788" s="115" t="s">
        <v>6041</v>
      </c>
      <c r="N788" s="115" t="s">
        <v>6504</v>
      </c>
      <c r="O788" s="115">
        <v>1.5</v>
      </c>
      <c r="P788" s="115" t="s">
        <v>2128</v>
      </c>
      <c r="Q788" s="166"/>
      <c r="R788" s="164"/>
      <c r="S788" s="164"/>
      <c r="T788" s="164"/>
      <c r="U788" s="164"/>
      <c r="V788" s="162"/>
      <c r="W788" s="158"/>
      <c r="X788" s="158"/>
      <c r="Y788" s="158"/>
      <c r="Z788" s="158"/>
      <c r="AA788" s="158"/>
      <c r="AB788" s="158"/>
      <c r="AC788" s="113">
        <v>600</v>
      </c>
      <c r="AD788" s="113">
        <v>90</v>
      </c>
      <c r="AE788" s="113">
        <v>100</v>
      </c>
      <c r="AF788" s="113">
        <v>70</v>
      </c>
      <c r="AG788" s="120">
        <v>110</v>
      </c>
      <c r="AH788" s="113">
        <v>150</v>
      </c>
      <c r="AI788" s="113">
        <v>80</v>
      </c>
    </row>
    <row r="789" spans="1:35">
      <c r="A789" s="113">
        <v>706</v>
      </c>
      <c r="B789" s="113" t="s">
        <v>3036</v>
      </c>
      <c r="C789" s="120" t="s">
        <v>6044</v>
      </c>
      <c r="D789" s="124">
        <v>0.5</v>
      </c>
      <c r="E789" s="124">
        <v>0.5</v>
      </c>
      <c r="F789" s="113" t="s">
        <v>23</v>
      </c>
      <c r="G789" s="113" t="s">
        <v>4319</v>
      </c>
      <c r="H789" s="113" t="s">
        <v>106</v>
      </c>
      <c r="I789" s="113" t="s">
        <v>23</v>
      </c>
      <c r="J789" s="118" t="s">
        <v>2129</v>
      </c>
      <c r="K789" s="118">
        <v>3</v>
      </c>
      <c r="L789" s="118" t="s">
        <v>6040</v>
      </c>
      <c r="M789" s="115" t="s">
        <v>6042</v>
      </c>
      <c r="N789" s="115" t="s">
        <v>6504</v>
      </c>
      <c r="O789" s="115">
        <v>1.5</v>
      </c>
      <c r="P789" s="115" t="s">
        <v>2128</v>
      </c>
      <c r="Q789" s="166"/>
      <c r="R789" s="164"/>
      <c r="S789" s="164"/>
      <c r="T789" s="164"/>
      <c r="U789" s="164"/>
      <c r="V789" s="162"/>
      <c r="W789" s="158"/>
      <c r="X789" s="158"/>
      <c r="Y789" s="158"/>
      <c r="Z789" s="158"/>
      <c r="AA789" s="158"/>
      <c r="AB789" s="158"/>
      <c r="AC789" s="113">
        <v>600</v>
      </c>
      <c r="AD789" s="113">
        <v>80</v>
      </c>
      <c r="AE789" s="113">
        <v>100</v>
      </c>
      <c r="AF789" s="113">
        <v>100</v>
      </c>
      <c r="AG789" s="120">
        <v>110</v>
      </c>
      <c r="AH789" s="113">
        <v>150</v>
      </c>
      <c r="AI789" s="113">
        <v>60</v>
      </c>
    </row>
    <row r="790" spans="1:35">
      <c r="A790" s="113">
        <v>707</v>
      </c>
      <c r="B790" s="113" t="s">
        <v>757</v>
      </c>
      <c r="C790" s="120" t="s">
        <v>6045</v>
      </c>
      <c r="D790" s="124">
        <v>0.5</v>
      </c>
      <c r="E790" s="124">
        <v>0.5</v>
      </c>
      <c r="F790" s="113" t="s">
        <v>2112</v>
      </c>
      <c r="G790" s="113" t="s">
        <v>2707</v>
      </c>
      <c r="H790" s="113" t="s">
        <v>106</v>
      </c>
      <c r="I790" s="113" t="s">
        <v>56</v>
      </c>
      <c r="J790" s="118" t="s">
        <v>2129</v>
      </c>
      <c r="K790" s="118">
        <v>2</v>
      </c>
      <c r="L790" s="118" t="s">
        <v>6045</v>
      </c>
      <c r="M790" s="115" t="s">
        <v>1109</v>
      </c>
      <c r="N790" s="115" t="s">
        <v>6504</v>
      </c>
      <c r="O790" s="115">
        <v>1.25</v>
      </c>
      <c r="P790" s="115" t="s">
        <v>1109</v>
      </c>
      <c r="Q790" s="166"/>
      <c r="R790" s="164"/>
      <c r="S790" s="164"/>
      <c r="T790" s="164"/>
      <c r="U790" s="164"/>
      <c r="V790" s="162"/>
      <c r="W790" s="158"/>
      <c r="X790" s="158"/>
      <c r="Y790" s="158"/>
      <c r="Z790" s="158"/>
      <c r="AA790" s="158"/>
      <c r="AB790" s="158"/>
      <c r="AC790" s="113">
        <v>470</v>
      </c>
      <c r="AD790" s="113">
        <v>57</v>
      </c>
      <c r="AE790" s="113">
        <v>80</v>
      </c>
      <c r="AF790" s="113">
        <v>91</v>
      </c>
      <c r="AG790" s="120">
        <v>80</v>
      </c>
      <c r="AH790" s="113">
        <v>87</v>
      </c>
      <c r="AI790" s="113">
        <v>75</v>
      </c>
    </row>
    <row r="791" spans="1:35">
      <c r="A791" s="113">
        <v>708</v>
      </c>
      <c r="B791" s="113" t="s">
        <v>758</v>
      </c>
      <c r="C791" s="120" t="s">
        <v>6046</v>
      </c>
      <c r="D791" s="124">
        <v>0.5</v>
      </c>
      <c r="E791" s="124">
        <v>0.5</v>
      </c>
      <c r="F791" s="113" t="s">
        <v>2336</v>
      </c>
      <c r="G791" s="113" t="s">
        <v>2707</v>
      </c>
      <c r="H791" s="113" t="s">
        <v>119</v>
      </c>
      <c r="I791" s="113" t="s">
        <v>14</v>
      </c>
      <c r="J791" s="118" t="s">
        <v>2129</v>
      </c>
      <c r="K791" s="118">
        <v>2</v>
      </c>
      <c r="L791" s="118" t="s">
        <v>6046</v>
      </c>
      <c r="M791" s="115" t="s">
        <v>1109</v>
      </c>
      <c r="N791" s="115" t="s">
        <v>6505</v>
      </c>
      <c r="O791" s="115">
        <v>1.25</v>
      </c>
      <c r="P791" s="115" t="s">
        <v>1109</v>
      </c>
      <c r="Q791" s="166"/>
      <c r="R791" s="164"/>
      <c r="S791" s="164"/>
      <c r="T791" s="164"/>
      <c r="U791" s="164"/>
      <c r="V791" s="162"/>
      <c r="W791" s="158"/>
      <c r="X791" s="158"/>
      <c r="Y791" s="158"/>
      <c r="Z791" s="158"/>
      <c r="AA791" s="158"/>
      <c r="AB791" s="158"/>
      <c r="AC791" s="113">
        <v>309</v>
      </c>
      <c r="AD791" s="113">
        <v>43</v>
      </c>
      <c r="AE791" s="113">
        <v>70</v>
      </c>
      <c r="AF791" s="113">
        <v>48</v>
      </c>
      <c r="AG791" s="120">
        <v>50</v>
      </c>
      <c r="AH791" s="113">
        <v>60</v>
      </c>
      <c r="AI791" s="113">
        <v>38</v>
      </c>
    </row>
    <row r="792" spans="1:35">
      <c r="A792" s="113">
        <v>709</v>
      </c>
      <c r="B792" s="113" t="s">
        <v>759</v>
      </c>
      <c r="C792" s="120" t="s">
        <v>6047</v>
      </c>
      <c r="D792" s="124">
        <v>0.5</v>
      </c>
      <c r="E792" s="124">
        <v>0.5</v>
      </c>
      <c r="F792" s="113" t="s">
        <v>2336</v>
      </c>
      <c r="G792" s="113" t="s">
        <v>2707</v>
      </c>
      <c r="H792" s="113" t="s">
        <v>119</v>
      </c>
      <c r="I792" s="113" t="s">
        <v>14</v>
      </c>
      <c r="J792" s="118" t="s">
        <v>2129</v>
      </c>
      <c r="K792" s="118">
        <v>2</v>
      </c>
      <c r="L792" s="118" t="s">
        <v>6046</v>
      </c>
      <c r="M792" s="115" t="s">
        <v>6046</v>
      </c>
      <c r="N792" s="115" t="s">
        <v>6504</v>
      </c>
      <c r="O792" s="115">
        <v>1.25</v>
      </c>
      <c r="P792" s="115" t="s">
        <v>2128</v>
      </c>
      <c r="Q792" s="166"/>
      <c r="R792" s="164"/>
      <c r="S792" s="164"/>
      <c r="T792" s="164"/>
      <c r="U792" s="164"/>
      <c r="V792" s="162"/>
      <c r="W792" s="158"/>
      <c r="X792" s="158"/>
      <c r="Y792" s="158"/>
      <c r="Z792" s="158"/>
      <c r="AA792" s="158"/>
      <c r="AB792" s="158"/>
      <c r="AC792" s="113">
        <v>474</v>
      </c>
      <c r="AD792" s="113">
        <v>85</v>
      </c>
      <c r="AE792" s="113">
        <v>110</v>
      </c>
      <c r="AF792" s="113">
        <v>76</v>
      </c>
      <c r="AG792" s="120">
        <v>65</v>
      </c>
      <c r="AH792" s="113">
        <v>82</v>
      </c>
      <c r="AI792" s="113">
        <v>56</v>
      </c>
    </row>
    <row r="793" spans="1:35">
      <c r="A793" s="113">
        <v>710</v>
      </c>
      <c r="B793" s="120" t="s">
        <v>3038</v>
      </c>
      <c r="C793" s="120" t="s">
        <v>6048</v>
      </c>
      <c r="D793" s="124">
        <v>0.5</v>
      </c>
      <c r="E793" s="124">
        <v>0.5</v>
      </c>
      <c r="F793" s="113" t="s">
        <v>2336</v>
      </c>
      <c r="G793" s="113" t="s">
        <v>2707</v>
      </c>
      <c r="H793" s="113" t="s">
        <v>14</v>
      </c>
      <c r="I793" s="113" t="s">
        <v>119</v>
      </c>
      <c r="J793" s="118" t="s">
        <v>2129</v>
      </c>
      <c r="K793" s="118">
        <v>2</v>
      </c>
      <c r="L793" s="118" t="s">
        <v>6048</v>
      </c>
      <c r="M793" s="115" t="s">
        <v>1109</v>
      </c>
      <c r="N793" s="115" t="s">
        <v>6505</v>
      </c>
      <c r="O793" s="115">
        <v>1.25</v>
      </c>
      <c r="P793" s="115" t="s">
        <v>1109</v>
      </c>
      <c r="Q793" s="166"/>
      <c r="R793" s="164"/>
      <c r="S793" s="164"/>
      <c r="T793" s="164"/>
      <c r="U793" s="164"/>
      <c r="V793" s="162"/>
      <c r="W793" s="158"/>
      <c r="X793" s="158"/>
      <c r="Y793" s="158"/>
      <c r="Z793" s="158"/>
      <c r="AA793" s="158"/>
      <c r="AB793" s="158"/>
      <c r="AC793" s="113">
        <v>335</v>
      </c>
      <c r="AD793" s="113">
        <v>49</v>
      </c>
      <c r="AE793" s="113">
        <v>66</v>
      </c>
      <c r="AF793" s="113">
        <v>70</v>
      </c>
      <c r="AG793" s="120">
        <v>44</v>
      </c>
      <c r="AH793" s="113">
        <v>55</v>
      </c>
      <c r="AI793" s="113">
        <v>51</v>
      </c>
    </row>
    <row r="794" spans="1:35">
      <c r="A794" s="113">
        <v>710</v>
      </c>
      <c r="B794" s="120" t="s">
        <v>3037</v>
      </c>
      <c r="C794" s="120" t="s">
        <v>6049</v>
      </c>
      <c r="D794" s="124">
        <v>0.5</v>
      </c>
      <c r="E794" s="124">
        <v>0.5</v>
      </c>
      <c r="F794" s="113" t="s">
        <v>2336</v>
      </c>
      <c r="G794" s="113" t="s">
        <v>2707</v>
      </c>
      <c r="H794" s="113" t="s">
        <v>14</v>
      </c>
      <c r="I794" s="113" t="s">
        <v>119</v>
      </c>
      <c r="J794" s="118" t="s">
        <v>2129</v>
      </c>
      <c r="K794" s="118">
        <v>2</v>
      </c>
      <c r="L794" s="118" t="s">
        <v>6049</v>
      </c>
      <c r="M794" s="115" t="s">
        <v>1109</v>
      </c>
      <c r="N794" s="115" t="s">
        <v>6505</v>
      </c>
      <c r="O794" s="115">
        <v>1.25</v>
      </c>
      <c r="P794" s="115" t="s">
        <v>1109</v>
      </c>
      <c r="Q794" s="166"/>
      <c r="R794" s="164"/>
      <c r="S794" s="164"/>
      <c r="T794" s="164"/>
      <c r="U794" s="164"/>
      <c r="V794" s="162"/>
      <c r="W794" s="158"/>
      <c r="X794" s="158"/>
      <c r="Y794" s="158"/>
      <c r="Z794" s="158"/>
      <c r="AA794" s="158"/>
      <c r="AB794" s="158"/>
      <c r="AC794" s="113">
        <v>335</v>
      </c>
      <c r="AD794" s="113">
        <v>44</v>
      </c>
      <c r="AE794" s="113">
        <v>66</v>
      </c>
      <c r="AF794" s="113">
        <v>70</v>
      </c>
      <c r="AG794" s="120">
        <v>44</v>
      </c>
      <c r="AH794" s="113">
        <v>55</v>
      </c>
      <c r="AI794" s="113">
        <v>56</v>
      </c>
    </row>
    <row r="795" spans="1:35">
      <c r="A795" s="113">
        <v>710</v>
      </c>
      <c r="B795" s="120" t="s">
        <v>3039</v>
      </c>
      <c r="C795" s="120" t="s">
        <v>6050</v>
      </c>
      <c r="D795" s="124">
        <v>0.5</v>
      </c>
      <c r="E795" s="124">
        <v>0.5</v>
      </c>
      <c r="F795" s="113" t="s">
        <v>2336</v>
      </c>
      <c r="G795" s="113" t="s">
        <v>2707</v>
      </c>
      <c r="H795" s="113" t="s">
        <v>14</v>
      </c>
      <c r="I795" s="113" t="s">
        <v>119</v>
      </c>
      <c r="J795" s="118" t="s">
        <v>2129</v>
      </c>
      <c r="K795" s="118">
        <v>2</v>
      </c>
      <c r="L795" s="118" t="s">
        <v>6050</v>
      </c>
      <c r="M795" s="115" t="s">
        <v>1109</v>
      </c>
      <c r="N795" s="115" t="s">
        <v>6505</v>
      </c>
      <c r="O795" s="115">
        <v>1.25</v>
      </c>
      <c r="P795" s="115" t="s">
        <v>1109</v>
      </c>
      <c r="Q795" s="166"/>
      <c r="R795" s="164"/>
      <c r="S795" s="164"/>
      <c r="T795" s="164"/>
      <c r="U795" s="164"/>
      <c r="V795" s="162"/>
      <c r="W795" s="158"/>
      <c r="X795" s="158"/>
      <c r="Y795" s="158"/>
      <c r="Z795" s="158"/>
      <c r="AA795" s="158"/>
      <c r="AB795" s="158"/>
      <c r="AC795" s="113">
        <v>335</v>
      </c>
      <c r="AD795" s="113">
        <v>54</v>
      </c>
      <c r="AE795" s="113">
        <v>66</v>
      </c>
      <c r="AF795" s="113">
        <v>70</v>
      </c>
      <c r="AG795" s="120">
        <v>44</v>
      </c>
      <c r="AH795" s="113">
        <v>55</v>
      </c>
      <c r="AI795" s="113">
        <v>46</v>
      </c>
    </row>
    <row r="796" spans="1:35">
      <c r="A796" s="113">
        <v>710</v>
      </c>
      <c r="B796" s="120" t="s">
        <v>3040</v>
      </c>
      <c r="C796" s="120" t="s">
        <v>6051</v>
      </c>
      <c r="D796" s="124">
        <v>0.5</v>
      </c>
      <c r="E796" s="124">
        <v>0.5</v>
      </c>
      <c r="F796" s="113" t="s">
        <v>2336</v>
      </c>
      <c r="G796" s="113" t="s">
        <v>2707</v>
      </c>
      <c r="H796" s="113" t="s">
        <v>14</v>
      </c>
      <c r="I796" s="113" t="s">
        <v>119</v>
      </c>
      <c r="J796" s="118" t="s">
        <v>2129</v>
      </c>
      <c r="K796" s="118">
        <v>2</v>
      </c>
      <c r="L796" s="118" t="s">
        <v>6051</v>
      </c>
      <c r="M796" s="115" t="s">
        <v>1109</v>
      </c>
      <c r="N796" s="115" t="s">
        <v>6505</v>
      </c>
      <c r="O796" s="115">
        <v>1.25</v>
      </c>
      <c r="P796" s="115" t="s">
        <v>1109</v>
      </c>
      <c r="Q796" s="166"/>
      <c r="R796" s="164"/>
      <c r="S796" s="164"/>
      <c r="T796" s="164"/>
      <c r="U796" s="164"/>
      <c r="V796" s="162"/>
      <c r="W796" s="158"/>
      <c r="X796" s="158"/>
      <c r="Y796" s="158"/>
      <c r="Z796" s="158"/>
      <c r="AA796" s="158"/>
      <c r="AB796" s="158"/>
      <c r="AC796" s="113">
        <v>335</v>
      </c>
      <c r="AD796" s="113">
        <v>59</v>
      </c>
      <c r="AE796" s="113">
        <v>66</v>
      </c>
      <c r="AF796" s="113">
        <v>70</v>
      </c>
      <c r="AG796" s="120">
        <v>44</v>
      </c>
      <c r="AH796" s="113">
        <v>55</v>
      </c>
      <c r="AI796" s="113">
        <v>41</v>
      </c>
    </row>
    <row r="797" spans="1:35">
      <c r="A797" s="113">
        <v>711</v>
      </c>
      <c r="B797" s="120" t="s">
        <v>3042</v>
      </c>
      <c r="C797" s="120" t="s">
        <v>6052</v>
      </c>
      <c r="D797" s="124">
        <v>0.5</v>
      </c>
      <c r="E797" s="124">
        <v>0.5</v>
      </c>
      <c r="F797" s="113" t="s">
        <v>2336</v>
      </c>
      <c r="G797" s="113" t="s">
        <v>2707</v>
      </c>
      <c r="H797" s="113" t="s">
        <v>14</v>
      </c>
      <c r="I797" s="113" t="s">
        <v>119</v>
      </c>
      <c r="J797" s="118" t="s">
        <v>2129</v>
      </c>
      <c r="K797" s="118">
        <v>2</v>
      </c>
      <c r="L797" s="118" t="s">
        <v>6048</v>
      </c>
      <c r="M797" s="115" t="s">
        <v>6048</v>
      </c>
      <c r="N797" s="115" t="s">
        <v>6504</v>
      </c>
      <c r="O797" s="115">
        <v>1.25</v>
      </c>
      <c r="P797" s="115" t="s">
        <v>2128</v>
      </c>
      <c r="Q797" s="166"/>
      <c r="R797" s="164"/>
      <c r="S797" s="164"/>
      <c r="T797" s="164"/>
      <c r="U797" s="164"/>
      <c r="V797" s="162"/>
      <c r="W797" s="158"/>
      <c r="X797" s="158"/>
      <c r="Y797" s="158"/>
      <c r="Z797" s="158"/>
      <c r="AA797" s="158"/>
      <c r="AB797" s="158"/>
      <c r="AC797" s="113">
        <v>494</v>
      </c>
      <c r="AD797" s="113">
        <v>65</v>
      </c>
      <c r="AE797" s="113">
        <v>90</v>
      </c>
      <c r="AF797" s="113">
        <v>122</v>
      </c>
      <c r="AG797" s="120">
        <v>58</v>
      </c>
      <c r="AH797" s="113">
        <v>75</v>
      </c>
      <c r="AI797" s="113">
        <v>84</v>
      </c>
    </row>
    <row r="798" spans="1:35">
      <c r="A798" s="113">
        <v>711</v>
      </c>
      <c r="B798" s="120" t="s">
        <v>3041</v>
      </c>
      <c r="C798" s="120" t="s">
        <v>6053</v>
      </c>
      <c r="D798" s="124">
        <v>0.5</v>
      </c>
      <c r="E798" s="124">
        <v>0.5</v>
      </c>
      <c r="F798" s="113" t="s">
        <v>2336</v>
      </c>
      <c r="G798" s="113" t="s">
        <v>2707</v>
      </c>
      <c r="H798" s="113" t="s">
        <v>14</v>
      </c>
      <c r="I798" s="113" t="s">
        <v>119</v>
      </c>
      <c r="J798" s="118" t="s">
        <v>2129</v>
      </c>
      <c r="K798" s="118">
        <v>2</v>
      </c>
      <c r="L798" s="118" t="s">
        <v>6049</v>
      </c>
      <c r="M798" s="115" t="s">
        <v>6049</v>
      </c>
      <c r="N798" s="115" t="s">
        <v>6504</v>
      </c>
      <c r="O798" s="115">
        <v>1.25</v>
      </c>
      <c r="P798" s="115" t="s">
        <v>2128</v>
      </c>
      <c r="Q798" s="166"/>
      <c r="R798" s="164"/>
      <c r="S798" s="164"/>
      <c r="T798" s="164"/>
      <c r="U798" s="164"/>
      <c r="V798" s="162"/>
      <c r="W798" s="158"/>
      <c r="X798" s="158"/>
      <c r="Y798" s="158"/>
      <c r="Z798" s="158"/>
      <c r="AA798" s="158"/>
      <c r="AB798" s="158"/>
      <c r="AC798" s="113">
        <v>494</v>
      </c>
      <c r="AD798" s="113">
        <v>55</v>
      </c>
      <c r="AE798" s="113">
        <v>85</v>
      </c>
      <c r="AF798" s="113">
        <v>122</v>
      </c>
      <c r="AG798" s="120">
        <v>58</v>
      </c>
      <c r="AH798" s="113">
        <v>75</v>
      </c>
      <c r="AI798" s="113">
        <v>99</v>
      </c>
    </row>
    <row r="799" spans="1:35">
      <c r="A799" s="113">
        <v>711</v>
      </c>
      <c r="B799" s="120" t="s">
        <v>3043</v>
      </c>
      <c r="C799" s="120" t="s">
        <v>6054</v>
      </c>
      <c r="D799" s="124">
        <v>0.5</v>
      </c>
      <c r="E799" s="124">
        <v>0.5</v>
      </c>
      <c r="F799" s="113" t="s">
        <v>2336</v>
      </c>
      <c r="G799" s="113" t="s">
        <v>2707</v>
      </c>
      <c r="H799" s="113" t="s">
        <v>14</v>
      </c>
      <c r="I799" s="113" t="s">
        <v>119</v>
      </c>
      <c r="J799" s="118" t="s">
        <v>2129</v>
      </c>
      <c r="K799" s="118">
        <v>2</v>
      </c>
      <c r="L799" s="118" t="s">
        <v>6050</v>
      </c>
      <c r="M799" s="115" t="s">
        <v>6050</v>
      </c>
      <c r="N799" s="115" t="s">
        <v>6504</v>
      </c>
      <c r="O799" s="115">
        <v>1.25</v>
      </c>
      <c r="P799" s="115" t="s">
        <v>2128</v>
      </c>
      <c r="Q799" s="166"/>
      <c r="R799" s="164"/>
      <c r="S799" s="164"/>
      <c r="T799" s="164"/>
      <c r="U799" s="164"/>
      <c r="V799" s="162"/>
      <c r="W799" s="158"/>
      <c r="X799" s="158"/>
      <c r="Y799" s="158"/>
      <c r="Z799" s="158"/>
      <c r="AA799" s="158"/>
      <c r="AB799" s="158"/>
      <c r="AC799" s="113">
        <v>494</v>
      </c>
      <c r="AD799" s="113">
        <v>75</v>
      </c>
      <c r="AE799" s="113">
        <v>95</v>
      </c>
      <c r="AF799" s="113">
        <v>122</v>
      </c>
      <c r="AG799" s="120">
        <v>58</v>
      </c>
      <c r="AH799" s="113">
        <v>75</v>
      </c>
      <c r="AI799" s="113">
        <v>69</v>
      </c>
    </row>
    <row r="800" spans="1:35">
      <c r="A800" s="113">
        <v>711</v>
      </c>
      <c r="B800" s="120" t="s">
        <v>3044</v>
      </c>
      <c r="C800" s="120" t="s">
        <v>6055</v>
      </c>
      <c r="D800" s="124">
        <v>0.5</v>
      </c>
      <c r="E800" s="124">
        <v>0.5</v>
      </c>
      <c r="F800" s="113" t="s">
        <v>2336</v>
      </c>
      <c r="G800" s="113" t="s">
        <v>2707</v>
      </c>
      <c r="H800" s="113" t="s">
        <v>14</v>
      </c>
      <c r="I800" s="113" t="s">
        <v>119</v>
      </c>
      <c r="J800" s="118" t="s">
        <v>2129</v>
      </c>
      <c r="K800" s="118">
        <v>2</v>
      </c>
      <c r="L800" s="118" t="s">
        <v>6051</v>
      </c>
      <c r="M800" s="115" t="s">
        <v>6051</v>
      </c>
      <c r="N800" s="115" t="s">
        <v>6504</v>
      </c>
      <c r="O800" s="115">
        <v>1.25</v>
      </c>
      <c r="P800" s="115" t="s">
        <v>2128</v>
      </c>
      <c r="Q800" s="166"/>
      <c r="R800" s="164"/>
      <c r="S800" s="164"/>
      <c r="T800" s="164"/>
      <c r="U800" s="164"/>
      <c r="V800" s="162"/>
      <c r="W800" s="158"/>
      <c r="X800" s="158"/>
      <c r="Y800" s="158"/>
      <c r="Z800" s="158"/>
      <c r="AA800" s="158"/>
      <c r="AB800" s="158"/>
      <c r="AC800" s="113">
        <v>494</v>
      </c>
      <c r="AD800" s="113">
        <v>85</v>
      </c>
      <c r="AE800" s="113">
        <v>100</v>
      </c>
      <c r="AF800" s="113">
        <v>122</v>
      </c>
      <c r="AG800" s="120">
        <v>58</v>
      </c>
      <c r="AH800" s="113">
        <v>75</v>
      </c>
      <c r="AI800" s="113">
        <v>54</v>
      </c>
    </row>
    <row r="801" spans="1:35">
      <c r="A801" s="113">
        <v>712</v>
      </c>
      <c r="B801" s="113" t="s">
        <v>760</v>
      </c>
      <c r="C801" s="120" t="s">
        <v>6056</v>
      </c>
      <c r="D801" s="124">
        <v>0.5</v>
      </c>
      <c r="E801" s="124">
        <v>0.5</v>
      </c>
      <c r="F801" s="113" t="s">
        <v>2112</v>
      </c>
      <c r="G801" s="113" t="s">
        <v>2707</v>
      </c>
      <c r="H801" s="113" t="s">
        <v>113</v>
      </c>
      <c r="I801" s="113" t="s">
        <v>1109</v>
      </c>
      <c r="J801" s="118" t="s">
        <v>2129</v>
      </c>
      <c r="K801" s="118">
        <v>2</v>
      </c>
      <c r="L801" s="118" t="s">
        <v>6056</v>
      </c>
      <c r="M801" s="115" t="s">
        <v>1109</v>
      </c>
      <c r="N801" s="115" t="s">
        <v>6505</v>
      </c>
      <c r="O801" s="115">
        <v>1.25</v>
      </c>
      <c r="P801" s="115" t="s">
        <v>1109</v>
      </c>
      <c r="Q801" s="166"/>
      <c r="R801" s="164"/>
      <c r="S801" s="164"/>
      <c r="T801" s="164"/>
      <c r="U801" s="164"/>
      <c r="V801" s="162"/>
      <c r="W801" s="158"/>
      <c r="X801" s="158"/>
      <c r="Y801" s="158"/>
      <c r="Z801" s="158"/>
      <c r="AA801" s="158"/>
      <c r="AB801" s="158"/>
      <c r="AC801" s="113">
        <v>304</v>
      </c>
      <c r="AD801" s="113">
        <v>55</v>
      </c>
      <c r="AE801" s="113">
        <v>69</v>
      </c>
      <c r="AF801" s="113">
        <v>85</v>
      </c>
      <c r="AG801" s="120">
        <v>32</v>
      </c>
      <c r="AH801" s="113">
        <v>35</v>
      </c>
      <c r="AI801" s="113">
        <v>28</v>
      </c>
    </row>
    <row r="802" spans="1:35">
      <c r="A802" s="113">
        <v>713</v>
      </c>
      <c r="B802" s="113" t="s">
        <v>761</v>
      </c>
      <c r="C802" s="120" t="s">
        <v>6057</v>
      </c>
      <c r="D802" s="124">
        <v>0.5</v>
      </c>
      <c r="E802" s="124">
        <v>0.5</v>
      </c>
      <c r="F802" s="113" t="s">
        <v>2112</v>
      </c>
      <c r="G802" s="113" t="s">
        <v>2707</v>
      </c>
      <c r="H802" s="113" t="s">
        <v>113</v>
      </c>
      <c r="I802" s="113" t="s">
        <v>1109</v>
      </c>
      <c r="J802" s="118" t="s">
        <v>2129</v>
      </c>
      <c r="K802" s="118">
        <v>2</v>
      </c>
      <c r="L802" s="118" t="s">
        <v>6056</v>
      </c>
      <c r="M802" s="115" t="s">
        <v>6056</v>
      </c>
      <c r="N802" s="115" t="s">
        <v>6504</v>
      </c>
      <c r="O802" s="115">
        <v>1.25</v>
      </c>
      <c r="P802" s="115" t="s">
        <v>2128</v>
      </c>
      <c r="Q802" s="166"/>
      <c r="R802" s="164"/>
      <c r="S802" s="164"/>
      <c r="T802" s="164"/>
      <c r="U802" s="164"/>
      <c r="V802" s="162"/>
      <c r="W802" s="158"/>
      <c r="X802" s="158"/>
      <c r="Y802" s="158"/>
      <c r="Z802" s="158"/>
      <c r="AA802" s="158"/>
      <c r="AB802" s="158"/>
      <c r="AC802" s="113">
        <v>514</v>
      </c>
      <c r="AD802" s="113">
        <v>95</v>
      </c>
      <c r="AE802" s="113">
        <v>117</v>
      </c>
      <c r="AF802" s="113">
        <v>184</v>
      </c>
      <c r="AG802" s="120">
        <v>44</v>
      </c>
      <c r="AH802" s="113">
        <v>46</v>
      </c>
      <c r="AI802" s="113">
        <v>28</v>
      </c>
    </row>
    <row r="803" spans="1:35">
      <c r="A803" s="113">
        <v>713</v>
      </c>
      <c r="B803" s="113" t="s">
        <v>3046</v>
      </c>
      <c r="C803" s="120" t="s">
        <v>6058</v>
      </c>
      <c r="D803" s="124">
        <v>0.5</v>
      </c>
      <c r="E803" s="124">
        <v>0.5</v>
      </c>
      <c r="F803" s="113" t="s">
        <v>2112</v>
      </c>
      <c r="G803" s="113" t="s">
        <v>4319</v>
      </c>
      <c r="H803" s="113" t="s">
        <v>113</v>
      </c>
      <c r="I803" s="113" t="s">
        <v>98</v>
      </c>
      <c r="J803" s="118" t="s">
        <v>2129</v>
      </c>
      <c r="K803" s="118">
        <v>2</v>
      </c>
      <c r="L803" s="118" t="s">
        <v>6056</v>
      </c>
      <c r="M803" s="115" t="s">
        <v>6056</v>
      </c>
      <c r="N803" s="115" t="s">
        <v>6504</v>
      </c>
      <c r="O803" s="115">
        <v>1.25</v>
      </c>
      <c r="P803" s="115" t="s">
        <v>2128</v>
      </c>
      <c r="Q803" s="166"/>
      <c r="R803" s="164"/>
      <c r="S803" s="164"/>
      <c r="T803" s="164"/>
      <c r="U803" s="164"/>
      <c r="V803" s="162"/>
      <c r="W803" s="158"/>
      <c r="X803" s="158"/>
      <c r="Y803" s="158"/>
      <c r="Z803" s="158"/>
      <c r="AA803" s="158"/>
      <c r="AB803" s="158"/>
      <c r="AC803" s="113">
        <v>514</v>
      </c>
      <c r="AD803" s="113">
        <v>95</v>
      </c>
      <c r="AE803" s="113">
        <v>127</v>
      </c>
      <c r="AF803" s="113">
        <v>184</v>
      </c>
      <c r="AG803" s="120">
        <v>34</v>
      </c>
      <c r="AH803" s="113">
        <v>36</v>
      </c>
      <c r="AI803" s="113">
        <v>38</v>
      </c>
    </row>
    <row r="804" spans="1:35">
      <c r="A804" s="113">
        <v>714</v>
      </c>
      <c r="B804" s="113" t="s">
        <v>762</v>
      </c>
      <c r="C804" s="120" t="s">
        <v>6059</v>
      </c>
      <c r="D804" s="124">
        <v>0.5</v>
      </c>
      <c r="E804" s="124">
        <v>0.5</v>
      </c>
      <c r="F804" s="113" t="s">
        <v>22</v>
      </c>
      <c r="G804" s="113" t="s">
        <v>2707</v>
      </c>
      <c r="H804" s="113" t="s">
        <v>22</v>
      </c>
      <c r="I804" s="113" t="s">
        <v>23</v>
      </c>
      <c r="J804" s="118" t="s">
        <v>2129</v>
      </c>
      <c r="K804" s="118">
        <v>3</v>
      </c>
      <c r="L804" s="118" t="s">
        <v>6059</v>
      </c>
      <c r="M804" s="115" t="s">
        <v>1109</v>
      </c>
      <c r="N804" s="115" t="s">
        <v>6505</v>
      </c>
      <c r="O804" s="115">
        <v>1.5</v>
      </c>
      <c r="P804" s="115" t="s">
        <v>1109</v>
      </c>
      <c r="Q804" s="166"/>
      <c r="R804" s="164"/>
      <c r="S804" s="164"/>
      <c r="T804" s="164"/>
      <c r="U804" s="164"/>
      <c r="V804" s="162"/>
      <c r="W804" s="158"/>
      <c r="X804" s="158"/>
      <c r="Y804" s="158"/>
      <c r="Z804" s="158"/>
      <c r="AA804" s="158"/>
      <c r="AB804" s="158"/>
      <c r="AC804" s="113">
        <v>245</v>
      </c>
      <c r="AD804" s="113">
        <v>40</v>
      </c>
      <c r="AE804" s="113">
        <v>30</v>
      </c>
      <c r="AF804" s="113">
        <v>35</v>
      </c>
      <c r="AG804" s="120">
        <v>45</v>
      </c>
      <c r="AH804" s="113">
        <v>40</v>
      </c>
      <c r="AI804" s="113">
        <v>55</v>
      </c>
    </row>
    <row r="805" spans="1:35">
      <c r="A805" s="113">
        <v>715</v>
      </c>
      <c r="B805" s="113" t="s">
        <v>763</v>
      </c>
      <c r="C805" s="120" t="s">
        <v>6060</v>
      </c>
      <c r="D805" s="124">
        <v>0.5</v>
      </c>
      <c r="E805" s="124">
        <v>0.5</v>
      </c>
      <c r="F805" s="113" t="s">
        <v>22</v>
      </c>
      <c r="G805" s="113" t="s">
        <v>2707</v>
      </c>
      <c r="H805" s="113" t="s">
        <v>22</v>
      </c>
      <c r="I805" s="113" t="s">
        <v>23</v>
      </c>
      <c r="J805" s="118" t="s">
        <v>2129</v>
      </c>
      <c r="K805" s="118">
        <v>3</v>
      </c>
      <c r="L805" s="118" t="s">
        <v>6059</v>
      </c>
      <c r="M805" s="115" t="s">
        <v>6059</v>
      </c>
      <c r="N805" s="115" t="s">
        <v>6504</v>
      </c>
      <c r="O805" s="115">
        <v>1.5</v>
      </c>
      <c r="P805" s="115" t="s">
        <v>2128</v>
      </c>
      <c r="Q805" s="166"/>
      <c r="R805" s="164"/>
      <c r="S805" s="164"/>
      <c r="T805" s="164"/>
      <c r="U805" s="164"/>
      <c r="V805" s="162"/>
      <c r="W805" s="158"/>
      <c r="X805" s="158"/>
      <c r="Y805" s="158"/>
      <c r="Z805" s="158"/>
      <c r="AA805" s="158"/>
      <c r="AB805" s="158"/>
      <c r="AC805" s="113">
        <v>535</v>
      </c>
      <c r="AD805" s="113">
        <v>85</v>
      </c>
      <c r="AE805" s="113">
        <v>70</v>
      </c>
      <c r="AF805" s="113">
        <v>80</v>
      </c>
      <c r="AG805" s="120">
        <v>97</v>
      </c>
      <c r="AH805" s="113">
        <v>80</v>
      </c>
      <c r="AI805" s="113">
        <v>123</v>
      </c>
    </row>
    <row r="806" spans="1:35">
      <c r="A806" s="113">
        <v>716</v>
      </c>
      <c r="B806" s="113" t="s">
        <v>764</v>
      </c>
      <c r="C806" s="120" t="s">
        <v>6061</v>
      </c>
      <c r="D806" s="124" t="s">
        <v>1109</v>
      </c>
      <c r="E806" s="124" t="s">
        <v>1109</v>
      </c>
      <c r="F806" s="113" t="s">
        <v>2333</v>
      </c>
      <c r="G806" s="113" t="s">
        <v>2707</v>
      </c>
      <c r="H806" s="113" t="s">
        <v>56</v>
      </c>
      <c r="I806" s="113" t="s">
        <v>1109</v>
      </c>
      <c r="J806" s="118" t="s">
        <v>12</v>
      </c>
      <c r="K806" s="118">
        <v>5</v>
      </c>
      <c r="L806" s="118" t="s">
        <v>6061</v>
      </c>
      <c r="M806" s="115" t="s">
        <v>1109</v>
      </c>
      <c r="N806" s="115" t="s">
        <v>6504</v>
      </c>
      <c r="O806" s="115">
        <v>2</v>
      </c>
      <c r="P806" s="115" t="s">
        <v>1109</v>
      </c>
      <c r="Q806" s="166"/>
      <c r="R806" s="164"/>
      <c r="S806" s="164"/>
      <c r="T806" s="164"/>
      <c r="U806" s="164"/>
      <c r="V806" s="162"/>
      <c r="W806" s="158"/>
      <c r="X806" s="158"/>
      <c r="Y806" s="158"/>
      <c r="Z806" s="158"/>
      <c r="AA806" s="158"/>
      <c r="AB806" s="158"/>
      <c r="AC806" s="113">
        <v>680</v>
      </c>
      <c r="AD806" s="113">
        <v>126</v>
      </c>
      <c r="AE806" s="113">
        <v>131</v>
      </c>
      <c r="AF806" s="113">
        <v>95</v>
      </c>
      <c r="AG806" s="120">
        <v>131</v>
      </c>
      <c r="AH806" s="113">
        <v>98</v>
      </c>
      <c r="AI806" s="113">
        <v>99</v>
      </c>
    </row>
    <row r="807" spans="1:35">
      <c r="A807" s="113">
        <v>717</v>
      </c>
      <c r="B807" s="113" t="s">
        <v>765</v>
      </c>
      <c r="C807" s="120" t="s">
        <v>6062</v>
      </c>
      <c r="D807" s="124" t="s">
        <v>1109</v>
      </c>
      <c r="E807" s="124" t="s">
        <v>1109</v>
      </c>
      <c r="F807" s="113" t="s">
        <v>2333</v>
      </c>
      <c r="G807" s="113" t="s">
        <v>2707</v>
      </c>
      <c r="H807" s="113" t="s">
        <v>158</v>
      </c>
      <c r="I807" s="113" t="s">
        <v>22</v>
      </c>
      <c r="J807" s="118" t="s">
        <v>12</v>
      </c>
      <c r="K807" s="118">
        <v>5</v>
      </c>
      <c r="L807" s="118" t="s">
        <v>6062</v>
      </c>
      <c r="M807" s="115" t="s">
        <v>1109</v>
      </c>
      <c r="N807" s="115" t="s">
        <v>6504</v>
      </c>
      <c r="O807" s="115">
        <v>2</v>
      </c>
      <c r="P807" s="115" t="s">
        <v>1109</v>
      </c>
      <c r="Q807" s="166"/>
      <c r="R807" s="164"/>
      <c r="S807" s="164"/>
      <c r="T807" s="164"/>
      <c r="U807" s="164"/>
      <c r="V807" s="162"/>
      <c r="W807" s="158"/>
      <c r="X807" s="158"/>
      <c r="Y807" s="158"/>
      <c r="Z807" s="158"/>
      <c r="AA807" s="158"/>
      <c r="AB807" s="158"/>
      <c r="AC807" s="113">
        <v>680</v>
      </c>
      <c r="AD807" s="113">
        <v>126</v>
      </c>
      <c r="AE807" s="113">
        <v>131</v>
      </c>
      <c r="AF807" s="113">
        <v>95</v>
      </c>
      <c r="AG807" s="120">
        <v>131</v>
      </c>
      <c r="AH807" s="113">
        <v>98</v>
      </c>
      <c r="AI807" s="113">
        <v>99</v>
      </c>
    </row>
    <row r="808" spans="1:35">
      <c r="A808" s="113">
        <v>718</v>
      </c>
      <c r="B808" s="113" t="s">
        <v>2747</v>
      </c>
      <c r="C808" s="120" t="s">
        <v>6063</v>
      </c>
      <c r="D808" s="124" t="s">
        <v>1109</v>
      </c>
      <c r="E808" s="124" t="s">
        <v>1109</v>
      </c>
      <c r="F808" s="113" t="s">
        <v>2333</v>
      </c>
      <c r="G808" s="113" t="s">
        <v>2707</v>
      </c>
      <c r="H808" s="113" t="s">
        <v>23</v>
      </c>
      <c r="I808" s="113" t="s">
        <v>49</v>
      </c>
      <c r="J808" s="118" t="s">
        <v>12</v>
      </c>
      <c r="K808" s="118">
        <v>5</v>
      </c>
      <c r="L808" s="118" t="s">
        <v>6063</v>
      </c>
      <c r="M808" s="115" t="s">
        <v>1109</v>
      </c>
      <c r="N808" s="115" t="s">
        <v>6504</v>
      </c>
      <c r="O808" s="115">
        <v>2</v>
      </c>
      <c r="P808" s="115" t="s">
        <v>1109</v>
      </c>
      <c r="Q808" s="166"/>
      <c r="R808" s="164"/>
      <c r="S808" s="164"/>
      <c r="T808" s="164"/>
      <c r="U808" s="164"/>
      <c r="V808" s="162"/>
      <c r="W808" s="158"/>
      <c r="X808" s="158"/>
      <c r="Y808" s="158"/>
      <c r="Z808" s="158"/>
      <c r="AA808" s="158"/>
      <c r="AB808" s="158"/>
      <c r="AC808" s="113">
        <v>486</v>
      </c>
      <c r="AD808" s="113">
        <v>54</v>
      </c>
      <c r="AE808" s="113">
        <v>100</v>
      </c>
      <c r="AF808" s="113">
        <v>71</v>
      </c>
      <c r="AG808" s="120">
        <v>61</v>
      </c>
      <c r="AH808" s="113">
        <v>85</v>
      </c>
      <c r="AI808" s="113">
        <v>115</v>
      </c>
    </row>
    <row r="809" spans="1:35">
      <c r="A809" s="113">
        <v>718</v>
      </c>
      <c r="B809" s="113" t="s">
        <v>2746</v>
      </c>
      <c r="C809" s="120" t="s">
        <v>6064</v>
      </c>
      <c r="D809" s="124" t="s">
        <v>1109</v>
      </c>
      <c r="E809" s="124" t="s">
        <v>1109</v>
      </c>
      <c r="F809" s="113" t="s">
        <v>2333</v>
      </c>
      <c r="G809" s="113" t="s">
        <v>2707</v>
      </c>
      <c r="H809" s="113" t="s">
        <v>23</v>
      </c>
      <c r="I809" s="113" t="s">
        <v>49</v>
      </c>
      <c r="J809" s="118" t="s">
        <v>12</v>
      </c>
      <c r="K809" s="118">
        <v>5</v>
      </c>
      <c r="L809" s="118" t="s">
        <v>6063</v>
      </c>
      <c r="M809" s="115" t="s">
        <v>1109</v>
      </c>
      <c r="N809" s="115" t="s">
        <v>6504</v>
      </c>
      <c r="O809" s="115">
        <v>2</v>
      </c>
      <c r="P809" s="115" t="s">
        <v>1109</v>
      </c>
      <c r="Q809" s="166"/>
      <c r="R809" s="164"/>
      <c r="S809" s="164"/>
      <c r="T809" s="164"/>
      <c r="U809" s="164"/>
      <c r="V809" s="162"/>
      <c r="W809" s="158"/>
      <c r="X809" s="158"/>
      <c r="Y809" s="158"/>
      <c r="Z809" s="158"/>
      <c r="AA809" s="158"/>
      <c r="AB809" s="158"/>
      <c r="AC809" s="113">
        <v>600</v>
      </c>
      <c r="AD809" s="113">
        <v>108</v>
      </c>
      <c r="AE809" s="113">
        <v>100</v>
      </c>
      <c r="AF809" s="113">
        <v>121</v>
      </c>
      <c r="AG809" s="120">
        <v>81</v>
      </c>
      <c r="AH809" s="113">
        <v>95</v>
      </c>
      <c r="AI809" s="113">
        <v>95</v>
      </c>
    </row>
    <row r="810" spans="1:35">
      <c r="A810" s="113">
        <v>718</v>
      </c>
      <c r="B810" s="113" t="s">
        <v>2748</v>
      </c>
      <c r="C810" s="120" t="s">
        <v>6065</v>
      </c>
      <c r="D810" s="124" t="s">
        <v>1109</v>
      </c>
      <c r="E810" s="124" t="s">
        <v>1109</v>
      </c>
      <c r="F810" s="113" t="s">
        <v>2333</v>
      </c>
      <c r="G810" s="113" t="s">
        <v>2707</v>
      </c>
      <c r="H810" s="113" t="s">
        <v>23</v>
      </c>
      <c r="I810" s="113" t="s">
        <v>49</v>
      </c>
      <c r="J810" s="118" t="s">
        <v>12</v>
      </c>
      <c r="K810" s="118">
        <v>5</v>
      </c>
      <c r="L810" s="118" t="s">
        <v>6063</v>
      </c>
      <c r="M810" s="115" t="s">
        <v>1109</v>
      </c>
      <c r="N810" s="115" t="s">
        <v>6504</v>
      </c>
      <c r="O810" s="115">
        <v>2</v>
      </c>
      <c r="P810" s="115" t="s">
        <v>1109</v>
      </c>
      <c r="Q810" s="166"/>
      <c r="R810" s="164"/>
      <c r="S810" s="164"/>
      <c r="T810" s="164"/>
      <c r="U810" s="164"/>
      <c r="V810" s="162"/>
      <c r="W810" s="158"/>
      <c r="X810" s="158"/>
      <c r="Y810" s="158"/>
      <c r="Z810" s="158"/>
      <c r="AA810" s="158"/>
      <c r="AB810" s="158"/>
      <c r="AC810" s="113">
        <v>708</v>
      </c>
      <c r="AD810" s="113">
        <v>216</v>
      </c>
      <c r="AE810" s="113">
        <v>100</v>
      </c>
      <c r="AF810" s="113">
        <v>121</v>
      </c>
      <c r="AG810" s="120">
        <v>91</v>
      </c>
      <c r="AH810" s="113">
        <v>95</v>
      </c>
      <c r="AI810" s="113">
        <v>85</v>
      </c>
    </row>
    <row r="811" spans="1:35">
      <c r="A811" s="113">
        <v>719</v>
      </c>
      <c r="B811" s="113" t="s">
        <v>766</v>
      </c>
      <c r="C811" s="120" t="s">
        <v>6066</v>
      </c>
      <c r="D811" s="124" t="s">
        <v>1109</v>
      </c>
      <c r="E811" s="124" t="s">
        <v>1109</v>
      </c>
      <c r="F811" s="113" t="s">
        <v>2333</v>
      </c>
      <c r="G811" s="113" t="s">
        <v>2707</v>
      </c>
      <c r="H811" s="113" t="s">
        <v>98</v>
      </c>
      <c r="I811" s="113" t="s">
        <v>56</v>
      </c>
      <c r="J811" s="118" t="s">
        <v>12</v>
      </c>
      <c r="K811" s="118">
        <v>5</v>
      </c>
      <c r="L811" s="118" t="s">
        <v>6066</v>
      </c>
      <c r="M811" s="115" t="s">
        <v>1109</v>
      </c>
      <c r="N811" s="115" t="s">
        <v>6504</v>
      </c>
      <c r="O811" s="115">
        <v>2</v>
      </c>
      <c r="P811" s="115" t="s">
        <v>1109</v>
      </c>
      <c r="Q811" s="166"/>
      <c r="R811" s="164"/>
      <c r="S811" s="164"/>
      <c r="T811" s="164"/>
      <c r="U811" s="164"/>
      <c r="V811" s="162"/>
      <c r="W811" s="158"/>
      <c r="X811" s="158"/>
      <c r="Y811" s="158"/>
      <c r="Z811" s="158"/>
      <c r="AA811" s="158"/>
      <c r="AB811" s="158"/>
      <c r="AC811" s="113">
        <v>600</v>
      </c>
      <c r="AD811" s="113">
        <v>50</v>
      </c>
      <c r="AE811" s="113">
        <v>100</v>
      </c>
      <c r="AF811" s="113">
        <v>150</v>
      </c>
      <c r="AG811" s="120">
        <v>100</v>
      </c>
      <c r="AH811" s="113">
        <v>150</v>
      </c>
      <c r="AI811" s="113">
        <v>50</v>
      </c>
    </row>
    <row r="812" spans="1:35">
      <c r="A812" s="113">
        <v>720</v>
      </c>
      <c r="B812" s="113" t="s">
        <v>2289</v>
      </c>
      <c r="C812" s="120" t="s">
        <v>6068</v>
      </c>
      <c r="D812" s="124" t="s">
        <v>1109</v>
      </c>
      <c r="E812" s="124" t="s">
        <v>1109</v>
      </c>
      <c r="F812" s="113" t="s">
        <v>2333</v>
      </c>
      <c r="G812" s="113" t="s">
        <v>2707</v>
      </c>
      <c r="H812" s="113" t="s">
        <v>86</v>
      </c>
      <c r="I812" s="113" t="s">
        <v>119</v>
      </c>
      <c r="J812" s="118" t="s">
        <v>12</v>
      </c>
      <c r="K812" s="118">
        <v>5</v>
      </c>
      <c r="L812" s="118" t="s">
        <v>6068</v>
      </c>
      <c r="M812" s="115" t="s">
        <v>1109</v>
      </c>
      <c r="N812" s="115" t="s">
        <v>6504</v>
      </c>
      <c r="O812" s="115">
        <v>2</v>
      </c>
      <c r="P812" s="115" t="s">
        <v>1109</v>
      </c>
      <c r="Q812" s="166"/>
      <c r="R812" s="164"/>
      <c r="S812" s="164"/>
      <c r="T812" s="164"/>
      <c r="U812" s="164"/>
      <c r="V812" s="162"/>
      <c r="W812" s="158"/>
      <c r="X812" s="158"/>
      <c r="Y812" s="158"/>
      <c r="Z812" s="158"/>
      <c r="AA812" s="158"/>
      <c r="AB812" s="158"/>
      <c r="AC812" s="113">
        <v>600</v>
      </c>
      <c r="AD812" s="113">
        <v>80</v>
      </c>
      <c r="AE812" s="113">
        <v>110</v>
      </c>
      <c r="AF812" s="113">
        <v>60</v>
      </c>
      <c r="AG812" s="120">
        <v>150</v>
      </c>
      <c r="AH812" s="113">
        <v>130</v>
      </c>
      <c r="AI812" s="113">
        <v>70</v>
      </c>
    </row>
    <row r="813" spans="1:35">
      <c r="A813" s="113">
        <v>720</v>
      </c>
      <c r="B813" s="113" t="s">
        <v>2751</v>
      </c>
      <c r="C813" s="120" t="s">
        <v>6069</v>
      </c>
      <c r="D813" s="124" t="s">
        <v>1109</v>
      </c>
      <c r="E813" s="124" t="s">
        <v>1109</v>
      </c>
      <c r="F813" s="113" t="s">
        <v>2333</v>
      </c>
      <c r="G813" s="113" t="s">
        <v>2707</v>
      </c>
      <c r="H813" s="113" t="s">
        <v>86</v>
      </c>
      <c r="I813" s="113" t="s">
        <v>158</v>
      </c>
      <c r="J813" s="118" t="s">
        <v>12</v>
      </c>
      <c r="K813" s="118">
        <v>5</v>
      </c>
      <c r="L813" s="118" t="s">
        <v>6068</v>
      </c>
      <c r="M813" s="115" t="s">
        <v>1109</v>
      </c>
      <c r="N813" s="115" t="s">
        <v>6504</v>
      </c>
      <c r="O813" s="115">
        <v>2</v>
      </c>
      <c r="P813" s="115" t="s">
        <v>1109</v>
      </c>
      <c r="Q813" s="166"/>
      <c r="R813" s="164"/>
      <c r="S813" s="164"/>
      <c r="T813" s="164"/>
      <c r="U813" s="164"/>
      <c r="V813" s="162"/>
      <c r="W813" s="158"/>
      <c r="X813" s="158"/>
      <c r="Y813" s="158"/>
      <c r="Z813" s="158"/>
      <c r="AA813" s="158"/>
      <c r="AB813" s="158"/>
      <c r="AC813" s="113">
        <v>680</v>
      </c>
      <c r="AD813" s="113">
        <v>80</v>
      </c>
      <c r="AE813" s="113">
        <v>160</v>
      </c>
      <c r="AF813" s="113">
        <v>60</v>
      </c>
      <c r="AG813" s="120">
        <v>170</v>
      </c>
      <c r="AH813" s="113">
        <v>130</v>
      </c>
      <c r="AI813" s="113">
        <v>80</v>
      </c>
    </row>
    <row r="814" spans="1:35">
      <c r="A814" s="113">
        <v>721</v>
      </c>
      <c r="B814" s="113" t="s">
        <v>767</v>
      </c>
      <c r="C814" s="120" t="s">
        <v>6070</v>
      </c>
      <c r="D814" s="124" t="s">
        <v>1109</v>
      </c>
      <c r="E814" s="124" t="s">
        <v>1109</v>
      </c>
      <c r="F814" s="113" t="s">
        <v>2333</v>
      </c>
      <c r="G814" s="113" t="s">
        <v>2707</v>
      </c>
      <c r="H814" s="113" t="s">
        <v>19</v>
      </c>
      <c r="I814" s="113" t="s">
        <v>25</v>
      </c>
      <c r="J814" s="118" t="s">
        <v>12</v>
      </c>
      <c r="K814" s="118">
        <v>5</v>
      </c>
      <c r="L814" s="118" t="s">
        <v>6070</v>
      </c>
      <c r="M814" s="115" t="s">
        <v>1109</v>
      </c>
      <c r="N814" s="115" t="s">
        <v>6504</v>
      </c>
      <c r="O814" s="115">
        <v>2</v>
      </c>
      <c r="P814" s="115" t="s">
        <v>1109</v>
      </c>
      <c r="Q814" s="166"/>
      <c r="R814" s="164"/>
      <c r="S814" s="164"/>
      <c r="T814" s="164"/>
      <c r="U814" s="164"/>
      <c r="V814" s="162"/>
      <c r="W814" s="158"/>
      <c r="X814" s="158"/>
      <c r="Y814" s="158"/>
      <c r="Z814" s="158"/>
      <c r="AA814" s="158"/>
      <c r="AB814" s="158"/>
      <c r="AC814" s="113">
        <v>600</v>
      </c>
      <c r="AD814" s="113">
        <v>80</v>
      </c>
      <c r="AE814" s="113">
        <v>110</v>
      </c>
      <c r="AF814" s="113">
        <v>120</v>
      </c>
      <c r="AG814" s="120">
        <v>130</v>
      </c>
      <c r="AH814" s="113">
        <v>90</v>
      </c>
      <c r="AI814" s="113">
        <v>70</v>
      </c>
    </row>
    <row r="815" spans="1:35">
      <c r="A815" s="113">
        <v>722</v>
      </c>
      <c r="B815" s="113" t="s">
        <v>2147</v>
      </c>
      <c r="C815" s="120" t="s">
        <v>6071</v>
      </c>
      <c r="D815" s="124">
        <v>0.85</v>
      </c>
      <c r="E815" s="124">
        <v>0.15</v>
      </c>
      <c r="F815" s="113" t="s">
        <v>22</v>
      </c>
      <c r="G815" s="113" t="s">
        <v>2702</v>
      </c>
      <c r="H815" s="113" t="s">
        <v>14</v>
      </c>
      <c r="I815" s="113" t="s">
        <v>22</v>
      </c>
      <c r="J815" s="118" t="s">
        <v>792</v>
      </c>
      <c r="K815" s="118">
        <v>4</v>
      </c>
      <c r="L815" s="118" t="s">
        <v>6071</v>
      </c>
      <c r="M815" s="115" t="s">
        <v>1109</v>
      </c>
      <c r="N815" s="115" t="s">
        <v>6505</v>
      </c>
      <c r="O815" s="115">
        <v>1.75</v>
      </c>
      <c r="P815" s="115" t="s">
        <v>1109</v>
      </c>
      <c r="Q815" s="166"/>
      <c r="R815" s="164"/>
      <c r="S815" s="164"/>
      <c r="T815" s="164"/>
      <c r="U815" s="164"/>
      <c r="V815" s="162"/>
      <c r="W815" s="158"/>
      <c r="X815" s="158"/>
      <c r="Y815" s="158"/>
      <c r="Z815" s="158"/>
      <c r="AA815" s="158"/>
      <c r="AB815" s="158"/>
      <c r="AC815" s="113">
        <v>320</v>
      </c>
      <c r="AD815" s="113">
        <v>68</v>
      </c>
      <c r="AE815" s="113">
        <v>55</v>
      </c>
      <c r="AF815" s="113">
        <v>55</v>
      </c>
      <c r="AG815" s="120">
        <v>50</v>
      </c>
      <c r="AH815" s="113">
        <v>50</v>
      </c>
      <c r="AI815" s="113">
        <v>42</v>
      </c>
    </row>
    <row r="816" spans="1:35">
      <c r="A816" s="113">
        <v>723</v>
      </c>
      <c r="B816" s="113" t="s">
        <v>2148</v>
      </c>
      <c r="C816" s="120" t="s">
        <v>6072</v>
      </c>
      <c r="D816" s="124">
        <v>0.85</v>
      </c>
      <c r="E816" s="124">
        <v>0.15</v>
      </c>
      <c r="F816" s="113" t="s">
        <v>22</v>
      </c>
      <c r="G816" s="113" t="s">
        <v>2702</v>
      </c>
      <c r="H816" s="113" t="s">
        <v>14</v>
      </c>
      <c r="I816" s="113" t="s">
        <v>22</v>
      </c>
      <c r="J816" s="118" t="s">
        <v>792</v>
      </c>
      <c r="K816" s="118">
        <v>4</v>
      </c>
      <c r="L816" s="118" t="s">
        <v>6071</v>
      </c>
      <c r="M816" s="115" t="s">
        <v>6071</v>
      </c>
      <c r="N816" s="115" t="s">
        <v>6506</v>
      </c>
      <c r="O816" s="115">
        <v>1.75</v>
      </c>
      <c r="P816" s="115" t="s">
        <v>2128</v>
      </c>
      <c r="Q816" s="166"/>
      <c r="R816" s="164"/>
      <c r="S816" s="164"/>
      <c r="T816" s="164"/>
      <c r="U816" s="164"/>
      <c r="V816" s="162"/>
      <c r="W816" s="158"/>
      <c r="X816" s="158"/>
      <c r="Y816" s="158"/>
      <c r="Z816" s="158"/>
      <c r="AA816" s="158"/>
      <c r="AB816" s="158"/>
      <c r="AC816" s="113">
        <v>420</v>
      </c>
      <c r="AD816" s="113">
        <v>78</v>
      </c>
      <c r="AE816" s="113">
        <v>75</v>
      </c>
      <c r="AF816" s="113">
        <v>75</v>
      </c>
      <c r="AG816" s="120">
        <v>70</v>
      </c>
      <c r="AH816" s="113">
        <v>70</v>
      </c>
      <c r="AI816" s="113">
        <v>52</v>
      </c>
    </row>
    <row r="817" spans="1:35">
      <c r="A817" s="113">
        <v>724</v>
      </c>
      <c r="B817" s="113" t="s">
        <v>2149</v>
      </c>
      <c r="C817" s="120" t="s">
        <v>6073</v>
      </c>
      <c r="D817" s="124">
        <v>0.85</v>
      </c>
      <c r="E817" s="124">
        <v>0.15</v>
      </c>
      <c r="F817" s="113" t="s">
        <v>22</v>
      </c>
      <c r="G817" s="113" t="s">
        <v>2702</v>
      </c>
      <c r="H817" s="113" t="s">
        <v>14</v>
      </c>
      <c r="I817" s="113" t="s">
        <v>119</v>
      </c>
      <c r="J817" s="118" t="s">
        <v>792</v>
      </c>
      <c r="K817" s="118">
        <v>4</v>
      </c>
      <c r="L817" s="118" t="s">
        <v>6071</v>
      </c>
      <c r="M817" s="115" t="s">
        <v>6072</v>
      </c>
      <c r="N817" s="115" t="s">
        <v>6504</v>
      </c>
      <c r="O817" s="115">
        <v>1.75</v>
      </c>
      <c r="P817" s="115" t="s">
        <v>2128</v>
      </c>
      <c r="Q817" s="166"/>
      <c r="R817" s="164"/>
      <c r="S817" s="164"/>
      <c r="T817" s="164"/>
      <c r="U817" s="164"/>
      <c r="V817" s="162"/>
      <c r="W817" s="158"/>
      <c r="X817" s="158"/>
      <c r="Y817" s="158"/>
      <c r="Z817" s="158"/>
      <c r="AA817" s="158"/>
      <c r="AB817" s="158"/>
      <c r="AC817" s="113">
        <v>530</v>
      </c>
      <c r="AD817" s="113">
        <v>78</v>
      </c>
      <c r="AE817" s="113">
        <v>107</v>
      </c>
      <c r="AF817" s="113">
        <v>75</v>
      </c>
      <c r="AG817" s="120">
        <v>100</v>
      </c>
      <c r="AH817" s="113">
        <v>100</v>
      </c>
      <c r="AI817" s="113">
        <v>70</v>
      </c>
    </row>
    <row r="818" spans="1:35">
      <c r="A818" s="113">
        <v>724</v>
      </c>
      <c r="B818" s="113" t="s">
        <v>2752</v>
      </c>
      <c r="C818" s="120" t="s">
        <v>6074</v>
      </c>
      <c r="D818" s="124">
        <v>0.85</v>
      </c>
      <c r="E818" s="124">
        <v>0.15</v>
      </c>
      <c r="F818" s="113" t="s">
        <v>22</v>
      </c>
      <c r="G818" s="113" t="s">
        <v>4319</v>
      </c>
      <c r="H818" s="113" t="s">
        <v>14</v>
      </c>
      <c r="I818" s="113" t="s">
        <v>78</v>
      </c>
      <c r="J818" s="118" t="s">
        <v>792</v>
      </c>
      <c r="K818" s="118">
        <v>4</v>
      </c>
      <c r="L818" s="118" t="s">
        <v>6071</v>
      </c>
      <c r="M818" s="115" t="s">
        <v>6072</v>
      </c>
      <c r="N818" s="115" t="s">
        <v>6504</v>
      </c>
      <c r="O818" s="115">
        <v>1.75</v>
      </c>
      <c r="P818" s="115" t="s">
        <v>2128</v>
      </c>
      <c r="Q818" s="166"/>
      <c r="R818" s="164"/>
      <c r="S818" s="164"/>
      <c r="T818" s="164"/>
      <c r="U818" s="164"/>
      <c r="V818" s="162"/>
      <c r="W818" s="158"/>
      <c r="X818" s="158"/>
      <c r="Y818" s="158"/>
      <c r="Z818" s="158"/>
      <c r="AA818" s="158"/>
      <c r="AB818" s="158"/>
      <c r="AC818" s="113">
        <v>530</v>
      </c>
      <c r="AD818" s="113">
        <v>88</v>
      </c>
      <c r="AE818" s="113">
        <v>112</v>
      </c>
      <c r="AF818" s="113">
        <v>80</v>
      </c>
      <c r="AG818" s="120">
        <v>95</v>
      </c>
      <c r="AH818" s="113">
        <v>95</v>
      </c>
      <c r="AI818" s="113">
        <v>60</v>
      </c>
    </row>
    <row r="819" spans="1:35">
      <c r="A819" s="113">
        <v>725</v>
      </c>
      <c r="B819" s="113" t="s">
        <v>2150</v>
      </c>
      <c r="C819" s="120" t="s">
        <v>6075</v>
      </c>
      <c r="D819" s="124">
        <v>0.85</v>
      </c>
      <c r="E819" s="124">
        <v>0.15</v>
      </c>
      <c r="F819" s="113" t="s">
        <v>2332</v>
      </c>
      <c r="G819" s="113" t="s">
        <v>2702</v>
      </c>
      <c r="H819" s="113" t="s">
        <v>19</v>
      </c>
      <c r="I819" s="113" t="s">
        <v>1109</v>
      </c>
      <c r="J819" s="118" t="s">
        <v>792</v>
      </c>
      <c r="K819" s="118">
        <v>4</v>
      </c>
      <c r="L819" s="118" t="s">
        <v>6075</v>
      </c>
      <c r="M819" s="115" t="s">
        <v>1109</v>
      </c>
      <c r="N819" s="115" t="s">
        <v>6505</v>
      </c>
      <c r="O819" s="115">
        <v>1.75</v>
      </c>
      <c r="P819" s="115" t="s">
        <v>1109</v>
      </c>
      <c r="Q819" s="166"/>
      <c r="R819" s="164"/>
      <c r="S819" s="164"/>
      <c r="T819" s="164"/>
      <c r="U819" s="164"/>
      <c r="V819" s="162"/>
      <c r="W819" s="158"/>
      <c r="X819" s="158"/>
      <c r="Y819" s="158"/>
      <c r="Z819" s="158"/>
      <c r="AA819" s="158"/>
      <c r="AB819" s="158"/>
      <c r="AC819" s="113">
        <v>320</v>
      </c>
      <c r="AD819" s="113">
        <v>45</v>
      </c>
      <c r="AE819" s="113">
        <v>65</v>
      </c>
      <c r="AF819" s="113">
        <v>40</v>
      </c>
      <c r="AG819" s="120">
        <v>60</v>
      </c>
      <c r="AH819" s="113">
        <v>40</v>
      </c>
      <c r="AI819" s="113">
        <v>70</v>
      </c>
    </row>
    <row r="820" spans="1:35">
      <c r="A820" s="113">
        <v>726</v>
      </c>
      <c r="B820" s="113" t="s">
        <v>2151</v>
      </c>
      <c r="C820" s="120" t="s">
        <v>6076</v>
      </c>
      <c r="D820" s="124">
        <v>0.85</v>
      </c>
      <c r="E820" s="124">
        <v>0.15</v>
      </c>
      <c r="F820" s="113" t="s">
        <v>2332</v>
      </c>
      <c r="G820" s="113" t="s">
        <v>2702</v>
      </c>
      <c r="H820" s="113" t="s">
        <v>19</v>
      </c>
      <c r="I820" s="113" t="s">
        <v>1109</v>
      </c>
      <c r="J820" s="118" t="s">
        <v>792</v>
      </c>
      <c r="K820" s="118">
        <v>4</v>
      </c>
      <c r="L820" s="118" t="s">
        <v>6075</v>
      </c>
      <c r="M820" s="115" t="s">
        <v>6075</v>
      </c>
      <c r="N820" s="115" t="s">
        <v>6506</v>
      </c>
      <c r="O820" s="115">
        <v>1.75</v>
      </c>
      <c r="P820" s="115" t="s">
        <v>2128</v>
      </c>
      <c r="Q820" s="166"/>
      <c r="R820" s="164"/>
      <c r="S820" s="164"/>
      <c r="T820" s="164"/>
      <c r="U820" s="164"/>
      <c r="V820" s="162"/>
      <c r="W820" s="158"/>
      <c r="X820" s="158"/>
      <c r="Y820" s="158"/>
      <c r="Z820" s="158"/>
      <c r="AA820" s="158"/>
      <c r="AB820" s="158"/>
      <c r="AC820" s="113">
        <v>420</v>
      </c>
      <c r="AD820" s="113">
        <v>65</v>
      </c>
      <c r="AE820" s="113">
        <v>85</v>
      </c>
      <c r="AF820" s="113">
        <v>50</v>
      </c>
      <c r="AG820" s="120">
        <v>80</v>
      </c>
      <c r="AH820" s="113">
        <v>50</v>
      </c>
      <c r="AI820" s="113">
        <v>90</v>
      </c>
    </row>
    <row r="821" spans="1:35">
      <c r="A821" s="113">
        <v>727</v>
      </c>
      <c r="B821" s="113" t="s">
        <v>2152</v>
      </c>
      <c r="C821" s="120" t="s">
        <v>6077</v>
      </c>
      <c r="D821" s="124">
        <v>0.85</v>
      </c>
      <c r="E821" s="124">
        <v>0.15</v>
      </c>
      <c r="F821" s="113" t="s">
        <v>2332</v>
      </c>
      <c r="G821" s="113" t="s">
        <v>2702</v>
      </c>
      <c r="H821" s="113" t="s">
        <v>19</v>
      </c>
      <c r="I821" s="113" t="s">
        <v>158</v>
      </c>
      <c r="J821" s="118" t="s">
        <v>792</v>
      </c>
      <c r="K821" s="118">
        <v>4</v>
      </c>
      <c r="L821" s="118" t="s">
        <v>6075</v>
      </c>
      <c r="M821" s="115" t="s">
        <v>6076</v>
      </c>
      <c r="N821" s="115" t="s">
        <v>6504</v>
      </c>
      <c r="O821" s="115">
        <v>1.75</v>
      </c>
      <c r="P821" s="115" t="s">
        <v>2128</v>
      </c>
      <c r="Q821" s="166"/>
      <c r="R821" s="164"/>
      <c r="S821" s="164"/>
      <c r="T821" s="164"/>
      <c r="U821" s="164"/>
      <c r="V821" s="162"/>
      <c r="W821" s="158"/>
      <c r="X821" s="158"/>
      <c r="Y821" s="158"/>
      <c r="Z821" s="158"/>
      <c r="AA821" s="158"/>
      <c r="AB821" s="158"/>
      <c r="AC821" s="113">
        <v>530</v>
      </c>
      <c r="AD821" s="113">
        <v>95</v>
      </c>
      <c r="AE821" s="113">
        <v>115</v>
      </c>
      <c r="AF821" s="113">
        <v>90</v>
      </c>
      <c r="AG821" s="120">
        <v>80</v>
      </c>
      <c r="AH821" s="113">
        <v>90</v>
      </c>
      <c r="AI821" s="113">
        <v>60</v>
      </c>
    </row>
    <row r="822" spans="1:35">
      <c r="A822" s="113">
        <v>728</v>
      </c>
      <c r="B822" s="113" t="s">
        <v>2153</v>
      </c>
      <c r="C822" s="120" t="s">
        <v>6078</v>
      </c>
      <c r="D822" s="124">
        <v>0.85</v>
      </c>
      <c r="E822" s="124">
        <v>0.15</v>
      </c>
      <c r="F822" s="113" t="s">
        <v>2331</v>
      </c>
      <c r="G822" s="113" t="s">
        <v>2702</v>
      </c>
      <c r="H822" s="113" t="s">
        <v>25</v>
      </c>
      <c r="I822" s="113" t="s">
        <v>1109</v>
      </c>
      <c r="J822" s="118" t="s">
        <v>792</v>
      </c>
      <c r="K822" s="118">
        <v>4</v>
      </c>
      <c r="L822" s="118" t="s">
        <v>6078</v>
      </c>
      <c r="M822" s="115" t="s">
        <v>1109</v>
      </c>
      <c r="N822" s="115" t="s">
        <v>6505</v>
      </c>
      <c r="O822" s="115">
        <v>1.75</v>
      </c>
      <c r="P822" s="115" t="s">
        <v>1109</v>
      </c>
      <c r="Q822" s="166"/>
      <c r="R822" s="164"/>
      <c r="S822" s="164"/>
      <c r="T822" s="164"/>
      <c r="U822" s="164"/>
      <c r="V822" s="162"/>
      <c r="W822" s="158"/>
      <c r="X822" s="158"/>
      <c r="Y822" s="158"/>
      <c r="Z822" s="158"/>
      <c r="AA822" s="158"/>
      <c r="AB822" s="158"/>
      <c r="AC822" s="113">
        <v>320</v>
      </c>
      <c r="AD822" s="113">
        <v>50</v>
      </c>
      <c r="AE822" s="113">
        <v>54</v>
      </c>
      <c r="AF822" s="113">
        <v>54</v>
      </c>
      <c r="AG822" s="120">
        <v>66</v>
      </c>
      <c r="AH822" s="113">
        <v>56</v>
      </c>
      <c r="AI822" s="113">
        <v>40</v>
      </c>
    </row>
    <row r="823" spans="1:35">
      <c r="A823" s="113">
        <v>729</v>
      </c>
      <c r="B823" s="113" t="s">
        <v>2154</v>
      </c>
      <c r="C823" s="120" t="s">
        <v>6079</v>
      </c>
      <c r="D823" s="124">
        <v>0.85</v>
      </c>
      <c r="E823" s="124">
        <v>0.15</v>
      </c>
      <c r="F823" s="113" t="s">
        <v>2331</v>
      </c>
      <c r="G823" s="113" t="s">
        <v>2702</v>
      </c>
      <c r="H823" s="113" t="s">
        <v>25</v>
      </c>
      <c r="I823" s="113" t="s">
        <v>1109</v>
      </c>
      <c r="J823" s="118" t="s">
        <v>792</v>
      </c>
      <c r="K823" s="118">
        <v>4</v>
      </c>
      <c r="L823" s="118" t="s">
        <v>6078</v>
      </c>
      <c r="M823" s="113" t="s">
        <v>6078</v>
      </c>
      <c r="N823" s="115" t="s">
        <v>6506</v>
      </c>
      <c r="O823" s="115">
        <v>1.75</v>
      </c>
      <c r="P823" s="115" t="s">
        <v>2128</v>
      </c>
      <c r="Q823" s="166"/>
      <c r="R823" s="164"/>
      <c r="S823" s="164"/>
      <c r="T823" s="164"/>
      <c r="U823" s="164"/>
      <c r="V823" s="162"/>
      <c r="W823" s="158"/>
      <c r="X823" s="158"/>
      <c r="Y823" s="158"/>
      <c r="Z823" s="158"/>
      <c r="AA823" s="158"/>
      <c r="AB823" s="158"/>
      <c r="AC823" s="113">
        <v>420</v>
      </c>
      <c r="AD823" s="113">
        <v>60</v>
      </c>
      <c r="AE823" s="113">
        <v>69</v>
      </c>
      <c r="AF823" s="113">
        <v>69</v>
      </c>
      <c r="AG823" s="120">
        <v>91</v>
      </c>
      <c r="AH823" s="113">
        <v>81</v>
      </c>
      <c r="AI823" s="113">
        <v>50</v>
      </c>
    </row>
    <row r="824" spans="1:35">
      <c r="A824" s="113">
        <v>730</v>
      </c>
      <c r="B824" s="113" t="s">
        <v>2155</v>
      </c>
      <c r="C824" s="120" t="s">
        <v>6080</v>
      </c>
      <c r="D824" s="124">
        <v>0.85</v>
      </c>
      <c r="E824" s="124">
        <v>0.15</v>
      </c>
      <c r="F824" s="113" t="s">
        <v>2331</v>
      </c>
      <c r="G824" s="113" t="s">
        <v>2702</v>
      </c>
      <c r="H824" s="113" t="s">
        <v>25</v>
      </c>
      <c r="I824" s="113" t="s">
        <v>56</v>
      </c>
      <c r="J824" s="118" t="s">
        <v>792</v>
      </c>
      <c r="K824" s="118">
        <v>4</v>
      </c>
      <c r="L824" s="118" t="s">
        <v>6078</v>
      </c>
      <c r="M824" s="113" t="s">
        <v>6079</v>
      </c>
      <c r="N824" s="115" t="s">
        <v>6504</v>
      </c>
      <c r="O824" s="115">
        <v>1.75</v>
      </c>
      <c r="P824" s="115" t="s">
        <v>2128</v>
      </c>
      <c r="Q824" s="166"/>
      <c r="R824" s="164"/>
      <c r="S824" s="164"/>
      <c r="T824" s="164"/>
      <c r="U824" s="164"/>
      <c r="V824" s="162"/>
      <c r="W824" s="158"/>
      <c r="X824" s="158"/>
      <c r="Y824" s="158"/>
      <c r="Z824" s="158"/>
      <c r="AA824" s="158"/>
      <c r="AB824" s="158"/>
      <c r="AC824" s="113">
        <v>530</v>
      </c>
      <c r="AD824" s="113">
        <v>80</v>
      </c>
      <c r="AE824" s="113">
        <v>74</v>
      </c>
      <c r="AF824" s="113">
        <v>74</v>
      </c>
      <c r="AG824" s="120">
        <v>126</v>
      </c>
      <c r="AH824" s="113">
        <v>116</v>
      </c>
      <c r="AI824" s="113">
        <v>60</v>
      </c>
    </row>
    <row r="825" spans="1:35">
      <c r="A825" s="113">
        <v>731</v>
      </c>
      <c r="B825" s="113" t="s">
        <v>2172</v>
      </c>
      <c r="C825" s="120" t="s">
        <v>6081</v>
      </c>
      <c r="D825" s="124">
        <v>0.5</v>
      </c>
      <c r="E825" s="124">
        <v>0.5</v>
      </c>
      <c r="F825" s="113" t="s">
        <v>22</v>
      </c>
      <c r="G825" s="113" t="s">
        <v>2702</v>
      </c>
      <c r="H825" s="113" t="s">
        <v>36</v>
      </c>
      <c r="I825" s="113" t="s">
        <v>22</v>
      </c>
      <c r="J825" s="118" t="s">
        <v>2129</v>
      </c>
      <c r="K825" s="118">
        <v>1</v>
      </c>
      <c r="L825" s="118" t="s">
        <v>6081</v>
      </c>
      <c r="M825" s="115" t="s">
        <v>1109</v>
      </c>
      <c r="N825" s="115" t="s">
        <v>6505</v>
      </c>
      <c r="O825" s="115">
        <v>1</v>
      </c>
      <c r="P825" s="115" t="s">
        <v>1109</v>
      </c>
      <c r="Q825" s="166"/>
      <c r="R825" s="164"/>
      <c r="S825" s="164"/>
      <c r="T825" s="164"/>
      <c r="U825" s="164"/>
      <c r="V825" s="162"/>
      <c r="W825" s="158"/>
      <c r="X825" s="158"/>
      <c r="Y825" s="158"/>
      <c r="Z825" s="158"/>
      <c r="AA825" s="158"/>
      <c r="AB825" s="158"/>
      <c r="AC825" s="113">
        <v>265</v>
      </c>
      <c r="AD825" s="113">
        <v>35</v>
      </c>
      <c r="AE825" s="113">
        <v>75</v>
      </c>
      <c r="AF825" s="113">
        <v>30</v>
      </c>
      <c r="AG825" s="120">
        <v>30</v>
      </c>
      <c r="AH825" s="113">
        <v>30</v>
      </c>
      <c r="AI825" s="113">
        <v>65</v>
      </c>
    </row>
    <row r="826" spans="1:35">
      <c r="A826" s="113">
        <v>732</v>
      </c>
      <c r="B826" s="113" t="s">
        <v>2173</v>
      </c>
      <c r="C826" s="120" t="s">
        <v>6082</v>
      </c>
      <c r="D826" s="124">
        <v>0.5</v>
      </c>
      <c r="E826" s="124">
        <v>0.5</v>
      </c>
      <c r="F826" s="113" t="s">
        <v>22</v>
      </c>
      <c r="G826" s="113" t="s">
        <v>2702</v>
      </c>
      <c r="H826" s="113" t="s">
        <v>36</v>
      </c>
      <c r="I826" s="113" t="s">
        <v>22</v>
      </c>
      <c r="J826" s="118" t="s">
        <v>2129</v>
      </c>
      <c r="K826" s="118">
        <v>1</v>
      </c>
      <c r="L826" s="118" t="s">
        <v>6081</v>
      </c>
      <c r="M826" s="115" t="s">
        <v>6081</v>
      </c>
      <c r="N826" s="115" t="s">
        <v>6506</v>
      </c>
      <c r="O826" s="115">
        <v>1</v>
      </c>
      <c r="P826" s="115" t="s">
        <v>2128</v>
      </c>
      <c r="Q826" s="166"/>
      <c r="R826" s="164"/>
      <c r="S826" s="164"/>
      <c r="T826" s="164"/>
      <c r="U826" s="164"/>
      <c r="V826" s="162"/>
      <c r="W826" s="158"/>
      <c r="X826" s="158"/>
      <c r="Y826" s="158"/>
      <c r="Z826" s="158"/>
      <c r="AA826" s="158"/>
      <c r="AB826" s="158"/>
      <c r="AC826" s="113">
        <v>355</v>
      </c>
      <c r="AD826" s="113">
        <v>55</v>
      </c>
      <c r="AE826" s="113">
        <v>85</v>
      </c>
      <c r="AF826" s="113">
        <v>50</v>
      </c>
      <c r="AG826" s="120">
        <v>40</v>
      </c>
      <c r="AH826" s="113">
        <v>50</v>
      </c>
      <c r="AI826" s="113">
        <v>75</v>
      </c>
    </row>
    <row r="827" spans="1:35">
      <c r="A827" s="113">
        <v>733</v>
      </c>
      <c r="B827" s="113" t="s">
        <v>2174</v>
      </c>
      <c r="C827" s="120" t="s">
        <v>6083</v>
      </c>
      <c r="D827" s="124">
        <v>0.5</v>
      </c>
      <c r="E827" s="124">
        <v>0.5</v>
      </c>
      <c r="F827" s="113" t="s">
        <v>22</v>
      </c>
      <c r="G827" s="113" t="s">
        <v>2702</v>
      </c>
      <c r="H827" s="113" t="s">
        <v>36</v>
      </c>
      <c r="I827" s="113" t="s">
        <v>22</v>
      </c>
      <c r="J827" s="118" t="s">
        <v>2129</v>
      </c>
      <c r="K827" s="118">
        <v>1</v>
      </c>
      <c r="L827" s="118" t="s">
        <v>6081</v>
      </c>
      <c r="M827" s="115" t="s">
        <v>6082</v>
      </c>
      <c r="N827" s="115" t="s">
        <v>6504</v>
      </c>
      <c r="O827" s="115">
        <v>1</v>
      </c>
      <c r="P827" s="115" t="s">
        <v>2128</v>
      </c>
      <c r="Q827" s="166"/>
      <c r="R827" s="164"/>
      <c r="S827" s="164"/>
      <c r="T827" s="164"/>
      <c r="U827" s="164"/>
      <c r="V827" s="162"/>
      <c r="W827" s="158"/>
      <c r="X827" s="158"/>
      <c r="Y827" s="158"/>
      <c r="Z827" s="158"/>
      <c r="AA827" s="158"/>
      <c r="AB827" s="158"/>
      <c r="AC827" s="113">
        <v>485</v>
      </c>
      <c r="AD827" s="113">
        <v>80</v>
      </c>
      <c r="AE827" s="113">
        <v>120</v>
      </c>
      <c r="AF827" s="113">
        <v>75</v>
      </c>
      <c r="AG827" s="120">
        <v>75</v>
      </c>
      <c r="AH827" s="113">
        <v>75</v>
      </c>
      <c r="AI827" s="113">
        <v>60</v>
      </c>
    </row>
    <row r="828" spans="1:35">
      <c r="A828" s="113">
        <v>734</v>
      </c>
      <c r="B828" s="113" t="s">
        <v>2175</v>
      </c>
      <c r="C828" s="120" t="s">
        <v>6084</v>
      </c>
      <c r="D828" s="124">
        <v>0.5</v>
      </c>
      <c r="E828" s="124">
        <v>0.5</v>
      </c>
      <c r="F828" s="113" t="s">
        <v>2332</v>
      </c>
      <c r="G828" s="113" t="s">
        <v>2702</v>
      </c>
      <c r="H828" s="113" t="s">
        <v>36</v>
      </c>
      <c r="I828" s="113" t="s">
        <v>1109</v>
      </c>
      <c r="J828" s="118" t="s">
        <v>2129</v>
      </c>
      <c r="K828" s="118">
        <v>1</v>
      </c>
      <c r="L828" s="118" t="s">
        <v>6084</v>
      </c>
      <c r="M828" s="115" t="s">
        <v>1109</v>
      </c>
      <c r="N828" s="115" t="s">
        <v>6505</v>
      </c>
      <c r="O828" s="115">
        <v>1</v>
      </c>
      <c r="P828" s="115" t="s">
        <v>1109</v>
      </c>
      <c r="Q828" s="166"/>
      <c r="R828" s="164"/>
      <c r="S828" s="164"/>
      <c r="T828" s="164"/>
      <c r="U828" s="164"/>
      <c r="V828" s="162"/>
      <c r="W828" s="158"/>
      <c r="X828" s="158"/>
      <c r="Y828" s="158"/>
      <c r="Z828" s="158"/>
      <c r="AA828" s="158"/>
      <c r="AB828" s="158"/>
      <c r="AC828" s="113">
        <v>253</v>
      </c>
      <c r="AD828" s="113">
        <v>48</v>
      </c>
      <c r="AE828" s="113">
        <v>70</v>
      </c>
      <c r="AF828" s="113">
        <v>30</v>
      </c>
      <c r="AG828" s="120">
        <v>30</v>
      </c>
      <c r="AH828" s="113">
        <v>30</v>
      </c>
      <c r="AI828" s="113">
        <v>45</v>
      </c>
    </row>
    <row r="829" spans="1:35">
      <c r="A829" s="113">
        <v>735</v>
      </c>
      <c r="B829" s="113" t="s">
        <v>2176</v>
      </c>
      <c r="C829" s="120" t="s">
        <v>6085</v>
      </c>
      <c r="D829" s="124">
        <v>0.5</v>
      </c>
      <c r="E829" s="124">
        <v>0.5</v>
      </c>
      <c r="F829" s="113" t="s">
        <v>2332</v>
      </c>
      <c r="G829" s="113" t="s">
        <v>2702</v>
      </c>
      <c r="H829" s="113" t="s">
        <v>36</v>
      </c>
      <c r="I829" s="113" t="s">
        <v>1109</v>
      </c>
      <c r="J829" s="118" t="s">
        <v>2129</v>
      </c>
      <c r="K829" s="118">
        <v>1</v>
      </c>
      <c r="L829" s="118" t="s">
        <v>6084</v>
      </c>
      <c r="M829" s="115" t="s">
        <v>6084</v>
      </c>
      <c r="N829" s="115" t="s">
        <v>6504</v>
      </c>
      <c r="O829" s="115">
        <v>1</v>
      </c>
      <c r="P829" s="115" t="s">
        <v>2128</v>
      </c>
      <c r="Q829" s="166"/>
      <c r="R829" s="164"/>
      <c r="S829" s="164"/>
      <c r="T829" s="164"/>
      <c r="U829" s="164"/>
      <c r="V829" s="162"/>
      <c r="W829" s="158"/>
      <c r="X829" s="158"/>
      <c r="Y829" s="158"/>
      <c r="Z829" s="158"/>
      <c r="AA829" s="158"/>
      <c r="AB829" s="158"/>
      <c r="AC829" s="113">
        <v>418</v>
      </c>
      <c r="AD829" s="113">
        <v>88</v>
      </c>
      <c r="AE829" s="113">
        <v>110</v>
      </c>
      <c r="AF829" s="113">
        <v>60</v>
      </c>
      <c r="AG829" s="120">
        <v>55</v>
      </c>
      <c r="AH829" s="113">
        <v>60</v>
      </c>
      <c r="AI829" s="113">
        <v>45</v>
      </c>
    </row>
    <row r="830" spans="1:35">
      <c r="A830" s="113">
        <v>736</v>
      </c>
      <c r="B830" s="113" t="s">
        <v>2177</v>
      </c>
      <c r="C830" s="120" t="s">
        <v>6086</v>
      </c>
      <c r="D830" s="124">
        <v>0.5</v>
      </c>
      <c r="E830" s="124">
        <v>0.5</v>
      </c>
      <c r="F830" s="113" t="s">
        <v>29</v>
      </c>
      <c r="G830" s="113" t="s">
        <v>2702</v>
      </c>
      <c r="H830" s="113" t="s">
        <v>29</v>
      </c>
      <c r="I830" s="113" t="s">
        <v>1109</v>
      </c>
      <c r="J830" s="118" t="s">
        <v>2129</v>
      </c>
      <c r="K830" s="118">
        <v>1</v>
      </c>
      <c r="L830" s="118" t="s">
        <v>6086</v>
      </c>
      <c r="M830" s="115" t="s">
        <v>1109</v>
      </c>
      <c r="N830" s="115" t="s">
        <v>6505</v>
      </c>
      <c r="O830" s="115">
        <v>1</v>
      </c>
      <c r="P830" s="115" t="s">
        <v>1109</v>
      </c>
      <c r="Q830" s="166"/>
      <c r="R830" s="164"/>
      <c r="S830" s="164"/>
      <c r="T830" s="164"/>
      <c r="U830" s="164"/>
      <c r="V830" s="162"/>
      <c r="W830" s="158"/>
      <c r="X830" s="158"/>
      <c r="Y830" s="158"/>
      <c r="Z830" s="158"/>
      <c r="AA830" s="158"/>
      <c r="AB830" s="158"/>
      <c r="AC830" s="113">
        <v>300</v>
      </c>
      <c r="AD830" s="113">
        <v>47</v>
      </c>
      <c r="AE830" s="113">
        <v>62</v>
      </c>
      <c r="AF830" s="113">
        <v>45</v>
      </c>
      <c r="AG830" s="120">
        <v>55</v>
      </c>
      <c r="AH830" s="113">
        <v>45</v>
      </c>
      <c r="AI830" s="113">
        <v>46</v>
      </c>
    </row>
    <row r="831" spans="1:35">
      <c r="A831" s="113">
        <v>737</v>
      </c>
      <c r="B831" s="113" t="s">
        <v>2178</v>
      </c>
      <c r="C831" s="120" t="s">
        <v>6087</v>
      </c>
      <c r="D831" s="124">
        <v>0.5</v>
      </c>
      <c r="E831" s="124">
        <v>0.5</v>
      </c>
      <c r="F831" s="113" t="s">
        <v>29</v>
      </c>
      <c r="G831" s="113" t="s">
        <v>2702</v>
      </c>
      <c r="H831" s="113" t="s">
        <v>29</v>
      </c>
      <c r="I831" s="113" t="s">
        <v>46</v>
      </c>
      <c r="J831" s="118" t="s">
        <v>2129</v>
      </c>
      <c r="K831" s="118">
        <v>1</v>
      </c>
      <c r="L831" s="118" t="s">
        <v>6086</v>
      </c>
      <c r="M831" s="115" t="s">
        <v>6086</v>
      </c>
      <c r="N831" s="115" t="s">
        <v>6506</v>
      </c>
      <c r="O831" s="115">
        <v>1</v>
      </c>
      <c r="P831" s="115" t="s">
        <v>2128</v>
      </c>
      <c r="Q831" s="166"/>
      <c r="R831" s="164"/>
      <c r="S831" s="164"/>
      <c r="T831" s="164"/>
      <c r="U831" s="164"/>
      <c r="V831" s="162"/>
      <c r="W831" s="158"/>
      <c r="X831" s="158"/>
      <c r="Y831" s="158"/>
      <c r="Z831" s="158"/>
      <c r="AA831" s="158"/>
      <c r="AB831" s="158"/>
      <c r="AC831" s="113">
        <v>400</v>
      </c>
      <c r="AD831" s="113">
        <v>57</v>
      </c>
      <c r="AE831" s="113">
        <v>82</v>
      </c>
      <c r="AF831" s="113">
        <v>95</v>
      </c>
      <c r="AG831" s="120">
        <v>55</v>
      </c>
      <c r="AH831" s="113">
        <v>75</v>
      </c>
      <c r="AI831" s="113">
        <v>36</v>
      </c>
    </row>
    <row r="832" spans="1:35">
      <c r="A832" s="113">
        <v>738</v>
      </c>
      <c r="B832" s="113" t="s">
        <v>2179</v>
      </c>
      <c r="C832" s="120" t="s">
        <v>6088</v>
      </c>
      <c r="D832" s="124">
        <v>0.5</v>
      </c>
      <c r="E832" s="124">
        <v>0.5</v>
      </c>
      <c r="F832" s="113" t="s">
        <v>29</v>
      </c>
      <c r="G832" s="113" t="s">
        <v>2702</v>
      </c>
      <c r="H832" s="113" t="s">
        <v>29</v>
      </c>
      <c r="I832" s="113" t="s">
        <v>46</v>
      </c>
      <c r="J832" s="118" t="s">
        <v>2129</v>
      </c>
      <c r="K832" s="118">
        <v>1</v>
      </c>
      <c r="L832" s="118" t="s">
        <v>6086</v>
      </c>
      <c r="M832" s="115" t="s">
        <v>6087</v>
      </c>
      <c r="N832" s="115" t="s">
        <v>6504</v>
      </c>
      <c r="O832" s="115">
        <v>1</v>
      </c>
      <c r="P832" s="115" t="s">
        <v>2128</v>
      </c>
      <c r="Q832" s="166"/>
      <c r="R832" s="164"/>
      <c r="S832" s="164"/>
      <c r="T832" s="164"/>
      <c r="U832" s="164"/>
      <c r="V832" s="162"/>
      <c r="W832" s="158"/>
      <c r="X832" s="158"/>
      <c r="Y832" s="158"/>
      <c r="Z832" s="158"/>
      <c r="AA832" s="158"/>
      <c r="AB832" s="158"/>
      <c r="AC832" s="113">
        <v>500</v>
      </c>
      <c r="AD832" s="113">
        <v>77</v>
      </c>
      <c r="AE832" s="113">
        <v>70</v>
      </c>
      <c r="AF832" s="113">
        <v>90</v>
      </c>
      <c r="AG832" s="120">
        <v>145</v>
      </c>
      <c r="AH832" s="113">
        <v>75</v>
      </c>
      <c r="AI832" s="113">
        <v>43</v>
      </c>
    </row>
    <row r="833" spans="1:35">
      <c r="A833" s="113">
        <v>739</v>
      </c>
      <c r="B833" s="113" t="s">
        <v>2180</v>
      </c>
      <c r="C833" s="120" t="s">
        <v>6089</v>
      </c>
      <c r="D833" s="124">
        <v>0.5</v>
      </c>
      <c r="E833" s="124">
        <v>0.5</v>
      </c>
      <c r="F833" s="113" t="s">
        <v>2335</v>
      </c>
      <c r="G833" s="113" t="s">
        <v>2702</v>
      </c>
      <c r="H833" s="113" t="s">
        <v>78</v>
      </c>
      <c r="I833" s="113" t="s">
        <v>1109</v>
      </c>
      <c r="J833" s="118" t="s">
        <v>2129</v>
      </c>
      <c r="K833" s="118">
        <v>1</v>
      </c>
      <c r="L833" s="118" t="s">
        <v>6089</v>
      </c>
      <c r="M833" s="115" t="s">
        <v>1109</v>
      </c>
      <c r="N833" s="115" t="s">
        <v>6505</v>
      </c>
      <c r="O833" s="115">
        <v>1</v>
      </c>
      <c r="P833" s="115" t="s">
        <v>1109</v>
      </c>
      <c r="Q833" s="166"/>
      <c r="R833" s="164"/>
      <c r="S833" s="164"/>
      <c r="T833" s="164"/>
      <c r="U833" s="164"/>
      <c r="V833" s="162"/>
      <c r="W833" s="158"/>
      <c r="X833" s="158"/>
      <c r="Y833" s="158"/>
      <c r="Z833" s="158"/>
      <c r="AA833" s="158"/>
      <c r="AB833" s="158"/>
      <c r="AC833" s="113">
        <v>338</v>
      </c>
      <c r="AD833" s="113">
        <v>47</v>
      </c>
      <c r="AE833" s="113">
        <v>82</v>
      </c>
      <c r="AF833" s="113">
        <v>57</v>
      </c>
      <c r="AG833" s="120">
        <v>42</v>
      </c>
      <c r="AH833" s="113">
        <v>47</v>
      </c>
      <c r="AI833" s="113">
        <v>63</v>
      </c>
    </row>
    <row r="834" spans="1:35">
      <c r="A834" s="113">
        <v>740</v>
      </c>
      <c r="B834" s="113" t="s">
        <v>2181</v>
      </c>
      <c r="C834" s="120" t="s">
        <v>6090</v>
      </c>
      <c r="D834" s="124">
        <v>0.5</v>
      </c>
      <c r="E834" s="124">
        <v>0.5</v>
      </c>
      <c r="F834" s="113" t="s">
        <v>2335</v>
      </c>
      <c r="G834" s="113" t="s">
        <v>2702</v>
      </c>
      <c r="H834" s="113" t="s">
        <v>78</v>
      </c>
      <c r="I834" s="113" t="s">
        <v>113</v>
      </c>
      <c r="J834" s="118" t="s">
        <v>2129</v>
      </c>
      <c r="K834" s="118">
        <v>1</v>
      </c>
      <c r="L834" s="118" t="s">
        <v>6089</v>
      </c>
      <c r="M834" s="115" t="s">
        <v>6089</v>
      </c>
      <c r="N834" s="115" t="s">
        <v>6504</v>
      </c>
      <c r="O834" s="115">
        <v>1</v>
      </c>
      <c r="P834" s="115" t="s">
        <v>2128</v>
      </c>
      <c r="Q834" s="166"/>
      <c r="R834" s="164"/>
      <c r="S834" s="164"/>
      <c r="T834" s="164"/>
      <c r="U834" s="164"/>
      <c r="V834" s="162"/>
      <c r="W834" s="158"/>
      <c r="X834" s="158"/>
      <c r="Y834" s="158"/>
      <c r="Z834" s="158"/>
      <c r="AA834" s="158"/>
      <c r="AB834" s="158"/>
      <c r="AC834" s="113">
        <v>478</v>
      </c>
      <c r="AD834" s="113">
        <v>97</v>
      </c>
      <c r="AE834" s="113">
        <v>132</v>
      </c>
      <c r="AF834" s="113">
        <v>77</v>
      </c>
      <c r="AG834" s="120">
        <v>62</v>
      </c>
      <c r="AH834" s="113">
        <v>67</v>
      </c>
      <c r="AI834" s="113">
        <v>43</v>
      </c>
    </row>
    <row r="835" spans="1:35">
      <c r="A835" s="113">
        <v>741</v>
      </c>
      <c r="B835" s="120" t="s">
        <v>4321</v>
      </c>
      <c r="C835" s="120" t="s">
        <v>6091</v>
      </c>
      <c r="D835" s="124">
        <v>0.25</v>
      </c>
      <c r="E835" s="124">
        <v>0.75</v>
      </c>
      <c r="F835" s="113" t="s">
        <v>22</v>
      </c>
      <c r="G835" s="113" t="s">
        <v>2702</v>
      </c>
      <c r="H835" s="113" t="s">
        <v>19</v>
      </c>
      <c r="I835" s="113" t="s">
        <v>22</v>
      </c>
      <c r="J835" s="118" t="s">
        <v>2129</v>
      </c>
      <c r="K835" s="118">
        <v>2</v>
      </c>
      <c r="L835" s="118" t="s">
        <v>6091</v>
      </c>
      <c r="M835" s="115" t="s">
        <v>1109</v>
      </c>
      <c r="N835" s="115" t="s">
        <v>6504</v>
      </c>
      <c r="O835" s="115">
        <v>1.25</v>
      </c>
      <c r="P835" s="115" t="s">
        <v>1109</v>
      </c>
      <c r="Q835" s="166"/>
      <c r="R835" s="164"/>
      <c r="S835" s="164"/>
      <c r="T835" s="164"/>
      <c r="U835" s="164"/>
      <c r="V835" s="162"/>
      <c r="W835" s="158"/>
      <c r="X835" s="158"/>
      <c r="Y835" s="158"/>
      <c r="Z835" s="158"/>
      <c r="AA835" s="158"/>
      <c r="AB835" s="158"/>
      <c r="AC835" s="113">
        <v>476</v>
      </c>
      <c r="AD835" s="113">
        <v>75</v>
      </c>
      <c r="AE835" s="113">
        <v>70</v>
      </c>
      <c r="AF835" s="113">
        <v>70</v>
      </c>
      <c r="AG835" s="120">
        <v>98</v>
      </c>
      <c r="AH835" s="113">
        <v>70</v>
      </c>
      <c r="AI835" s="113">
        <v>93</v>
      </c>
    </row>
    <row r="836" spans="1:35">
      <c r="A836" s="113">
        <v>741</v>
      </c>
      <c r="B836" s="113" t="s">
        <v>4322</v>
      </c>
      <c r="C836" s="120" t="s">
        <v>6093</v>
      </c>
      <c r="D836" s="124">
        <v>0.25</v>
      </c>
      <c r="E836" s="124">
        <v>0.75</v>
      </c>
      <c r="F836" s="113" t="s">
        <v>22</v>
      </c>
      <c r="G836" s="113" t="s">
        <v>2702</v>
      </c>
      <c r="H836" s="113" t="s">
        <v>46</v>
      </c>
      <c r="I836" s="113" t="s">
        <v>22</v>
      </c>
      <c r="J836" s="118" t="s">
        <v>2129</v>
      </c>
      <c r="K836" s="118">
        <v>2</v>
      </c>
      <c r="L836" s="118" t="s">
        <v>6091</v>
      </c>
      <c r="M836" s="115" t="s">
        <v>1109</v>
      </c>
      <c r="N836" s="115" t="s">
        <v>6504</v>
      </c>
      <c r="O836" s="115">
        <v>1.25</v>
      </c>
      <c r="P836" s="115" t="s">
        <v>1109</v>
      </c>
      <c r="Q836" s="166"/>
      <c r="R836" s="164"/>
      <c r="S836" s="164"/>
      <c r="T836" s="164"/>
      <c r="U836" s="164"/>
      <c r="V836" s="162"/>
      <c r="W836" s="158"/>
      <c r="X836" s="158"/>
      <c r="Y836" s="158"/>
      <c r="Z836" s="158"/>
      <c r="AA836" s="158"/>
      <c r="AB836" s="158"/>
      <c r="AC836" s="113">
        <v>476</v>
      </c>
      <c r="AD836" s="113">
        <v>75</v>
      </c>
      <c r="AE836" s="113">
        <v>70</v>
      </c>
      <c r="AF836" s="113">
        <v>70</v>
      </c>
      <c r="AG836" s="120">
        <v>98</v>
      </c>
      <c r="AH836" s="113">
        <v>70</v>
      </c>
      <c r="AI836" s="113">
        <v>93</v>
      </c>
    </row>
    <row r="837" spans="1:35">
      <c r="A837" s="113">
        <v>741</v>
      </c>
      <c r="B837" s="113" t="s">
        <v>4323</v>
      </c>
      <c r="C837" s="120" t="s">
        <v>6092</v>
      </c>
      <c r="D837" s="124">
        <v>0.25</v>
      </c>
      <c r="E837" s="124">
        <v>0.75</v>
      </c>
      <c r="F837" s="113" t="s">
        <v>22</v>
      </c>
      <c r="G837" s="113" t="s">
        <v>2702</v>
      </c>
      <c r="H837" s="113" t="s">
        <v>86</v>
      </c>
      <c r="I837" s="113" t="s">
        <v>22</v>
      </c>
      <c r="J837" s="118" t="s">
        <v>2129</v>
      </c>
      <c r="K837" s="118">
        <v>2</v>
      </c>
      <c r="L837" s="118" t="s">
        <v>6091</v>
      </c>
      <c r="M837" s="115" t="s">
        <v>1109</v>
      </c>
      <c r="N837" s="115" t="s">
        <v>6504</v>
      </c>
      <c r="O837" s="115">
        <v>1.25</v>
      </c>
      <c r="P837" s="115" t="s">
        <v>1109</v>
      </c>
      <c r="Q837" s="166"/>
      <c r="R837" s="164"/>
      <c r="S837" s="164"/>
      <c r="T837" s="164"/>
      <c r="U837" s="164"/>
      <c r="V837" s="162"/>
      <c r="W837" s="158"/>
      <c r="X837" s="158"/>
      <c r="Y837" s="158"/>
      <c r="Z837" s="158"/>
      <c r="AA837" s="158"/>
      <c r="AB837" s="158"/>
      <c r="AC837" s="113">
        <v>476</v>
      </c>
      <c r="AD837" s="113">
        <v>75</v>
      </c>
      <c r="AE837" s="113">
        <v>70</v>
      </c>
      <c r="AF837" s="113">
        <v>70</v>
      </c>
      <c r="AG837" s="120">
        <v>98</v>
      </c>
      <c r="AH837" s="113">
        <v>70</v>
      </c>
      <c r="AI837" s="113">
        <v>93</v>
      </c>
    </row>
    <row r="838" spans="1:35">
      <c r="A838" s="113">
        <v>741</v>
      </c>
      <c r="B838" s="113" t="s">
        <v>4324</v>
      </c>
      <c r="C838" s="120" t="s">
        <v>6094</v>
      </c>
      <c r="D838" s="124">
        <v>0.25</v>
      </c>
      <c r="E838" s="124">
        <v>0.75</v>
      </c>
      <c r="F838" s="113" t="s">
        <v>22</v>
      </c>
      <c r="G838" s="113" t="s">
        <v>2702</v>
      </c>
      <c r="H838" s="113" t="s">
        <v>119</v>
      </c>
      <c r="I838" s="113" t="s">
        <v>22</v>
      </c>
      <c r="J838" s="118" t="s">
        <v>2129</v>
      </c>
      <c r="K838" s="118">
        <v>2</v>
      </c>
      <c r="L838" s="118" t="s">
        <v>6091</v>
      </c>
      <c r="M838" s="115" t="s">
        <v>1109</v>
      </c>
      <c r="N838" s="115" t="s">
        <v>6504</v>
      </c>
      <c r="O838" s="115">
        <v>1.25</v>
      </c>
      <c r="P838" s="115" t="s">
        <v>1109</v>
      </c>
      <c r="Q838" s="166"/>
      <c r="R838" s="164"/>
      <c r="S838" s="164"/>
      <c r="T838" s="164"/>
      <c r="U838" s="164"/>
      <c r="V838" s="162"/>
      <c r="W838" s="158"/>
      <c r="X838" s="158"/>
      <c r="Y838" s="158"/>
      <c r="Z838" s="158"/>
      <c r="AA838" s="158"/>
      <c r="AB838" s="158"/>
      <c r="AC838" s="113">
        <v>476</v>
      </c>
      <c r="AD838" s="113">
        <v>75</v>
      </c>
      <c r="AE838" s="113">
        <v>70</v>
      </c>
      <c r="AF838" s="113">
        <v>70</v>
      </c>
      <c r="AG838" s="120">
        <v>98</v>
      </c>
      <c r="AH838" s="113">
        <v>70</v>
      </c>
      <c r="AI838" s="113">
        <v>93</v>
      </c>
    </row>
    <row r="839" spans="1:35">
      <c r="A839" s="113">
        <v>742</v>
      </c>
      <c r="B839" s="113" t="s">
        <v>2182</v>
      </c>
      <c r="C839" s="120" t="s">
        <v>6095</v>
      </c>
      <c r="D839" s="124">
        <v>0.5</v>
      </c>
      <c r="E839" s="124">
        <v>0.5</v>
      </c>
      <c r="F839" s="113" t="s">
        <v>29</v>
      </c>
      <c r="G839" s="113" t="s">
        <v>2702</v>
      </c>
      <c r="H839" s="113" t="s">
        <v>29</v>
      </c>
      <c r="I839" s="113" t="s">
        <v>56</v>
      </c>
      <c r="J839" s="118" t="s">
        <v>2129</v>
      </c>
      <c r="K839" s="118">
        <v>2</v>
      </c>
      <c r="L839" s="118" t="s">
        <v>6095</v>
      </c>
      <c r="M839" s="115" t="s">
        <v>1109</v>
      </c>
      <c r="N839" s="115" t="s">
        <v>6505</v>
      </c>
      <c r="O839" s="115">
        <v>1.25</v>
      </c>
      <c r="P839" s="115" t="s">
        <v>1109</v>
      </c>
      <c r="Q839" s="166"/>
      <c r="R839" s="164"/>
      <c r="S839" s="164"/>
      <c r="T839" s="164"/>
      <c r="U839" s="164"/>
      <c r="V839" s="162"/>
      <c r="W839" s="158"/>
      <c r="X839" s="158"/>
      <c r="Y839" s="158"/>
      <c r="Z839" s="158"/>
      <c r="AA839" s="158"/>
      <c r="AB839" s="158"/>
      <c r="AC839" s="113">
        <v>304</v>
      </c>
      <c r="AD839" s="113">
        <v>40</v>
      </c>
      <c r="AE839" s="113">
        <v>45</v>
      </c>
      <c r="AF839" s="113">
        <v>40</v>
      </c>
      <c r="AG839" s="120">
        <v>55</v>
      </c>
      <c r="AH839" s="113">
        <v>40</v>
      </c>
      <c r="AI839" s="113">
        <v>84</v>
      </c>
    </row>
    <row r="840" spans="1:35">
      <c r="A840" s="113">
        <v>743</v>
      </c>
      <c r="B840" s="113" t="s">
        <v>2183</v>
      </c>
      <c r="C840" s="120" t="s">
        <v>6096</v>
      </c>
      <c r="D840" s="124">
        <v>0.5</v>
      </c>
      <c r="E840" s="124">
        <v>0.5</v>
      </c>
      <c r="F840" s="113" t="s">
        <v>29</v>
      </c>
      <c r="G840" s="113" t="s">
        <v>2702</v>
      </c>
      <c r="H840" s="113" t="s">
        <v>29</v>
      </c>
      <c r="I840" s="113" t="s">
        <v>56</v>
      </c>
      <c r="J840" s="118" t="s">
        <v>2129</v>
      </c>
      <c r="K840" s="118">
        <v>2</v>
      </c>
      <c r="L840" s="118" t="s">
        <v>6095</v>
      </c>
      <c r="M840" s="115" t="s">
        <v>6095</v>
      </c>
      <c r="N840" s="115" t="s">
        <v>6504</v>
      </c>
      <c r="O840" s="115">
        <v>1.25</v>
      </c>
      <c r="P840" s="115" t="s">
        <v>2128</v>
      </c>
      <c r="Q840" s="166"/>
      <c r="R840" s="164"/>
      <c r="S840" s="164"/>
      <c r="T840" s="164"/>
      <c r="U840" s="164"/>
      <c r="V840" s="162"/>
      <c r="W840" s="158"/>
      <c r="X840" s="158"/>
      <c r="Y840" s="158"/>
      <c r="Z840" s="158"/>
      <c r="AA840" s="158"/>
      <c r="AB840" s="158"/>
      <c r="AC840" s="113">
        <v>464</v>
      </c>
      <c r="AD840" s="113">
        <v>60</v>
      </c>
      <c r="AE840" s="113">
        <v>55</v>
      </c>
      <c r="AF840" s="113">
        <v>60</v>
      </c>
      <c r="AG840" s="120">
        <v>95</v>
      </c>
      <c r="AH840" s="113">
        <v>70</v>
      </c>
      <c r="AI840" s="113">
        <v>124</v>
      </c>
    </row>
    <row r="841" spans="1:35">
      <c r="A841" s="113">
        <v>744</v>
      </c>
      <c r="B841" s="113" t="s">
        <v>2184</v>
      </c>
      <c r="C841" s="120" t="s">
        <v>6097</v>
      </c>
      <c r="D841" s="124">
        <v>0.5</v>
      </c>
      <c r="E841" s="124">
        <v>0.5</v>
      </c>
      <c r="F841" s="113" t="s">
        <v>2332</v>
      </c>
      <c r="G841" s="113" t="s">
        <v>2702</v>
      </c>
      <c r="H841" s="113" t="s">
        <v>98</v>
      </c>
      <c r="I841" s="113" t="s">
        <v>1109</v>
      </c>
      <c r="J841" s="118" t="s">
        <v>2129</v>
      </c>
      <c r="K841" s="118">
        <v>3</v>
      </c>
      <c r="L841" s="118" t="s">
        <v>6097</v>
      </c>
      <c r="M841" s="115" t="s">
        <v>1109</v>
      </c>
      <c r="N841" s="115" t="s">
        <v>6505</v>
      </c>
      <c r="O841" s="115">
        <v>1.5</v>
      </c>
      <c r="P841" s="115" t="s">
        <v>1109</v>
      </c>
      <c r="Q841" s="166"/>
      <c r="R841" s="164"/>
      <c r="S841" s="164"/>
      <c r="T841" s="164"/>
      <c r="U841" s="164"/>
      <c r="V841" s="162"/>
      <c r="W841" s="158"/>
      <c r="X841" s="158"/>
      <c r="Y841" s="158"/>
      <c r="Z841" s="158"/>
      <c r="AA841" s="158"/>
      <c r="AB841" s="158"/>
      <c r="AC841" s="113">
        <v>280</v>
      </c>
      <c r="AD841" s="113">
        <v>45</v>
      </c>
      <c r="AE841" s="113">
        <v>65</v>
      </c>
      <c r="AF841" s="113">
        <v>40</v>
      </c>
      <c r="AG841" s="120">
        <v>30</v>
      </c>
      <c r="AH841" s="113">
        <v>40</v>
      </c>
      <c r="AI841" s="113">
        <v>60</v>
      </c>
    </row>
    <row r="842" spans="1:35">
      <c r="A842" s="113">
        <v>745</v>
      </c>
      <c r="B842" s="113" t="s">
        <v>2753</v>
      </c>
      <c r="C842" s="120" t="s">
        <v>6099</v>
      </c>
      <c r="D842" s="124">
        <v>0.5</v>
      </c>
      <c r="E842" s="124">
        <v>0.5</v>
      </c>
      <c r="F842" s="113" t="s">
        <v>2332</v>
      </c>
      <c r="G842" s="113" t="s">
        <v>2702</v>
      </c>
      <c r="H842" s="113" t="s">
        <v>98</v>
      </c>
      <c r="I842" s="113" t="s">
        <v>1109</v>
      </c>
      <c r="J842" s="118" t="s">
        <v>2129</v>
      </c>
      <c r="K842" s="118">
        <v>3</v>
      </c>
      <c r="L842" s="118" t="s">
        <v>6097</v>
      </c>
      <c r="M842" s="115" t="s">
        <v>6097</v>
      </c>
      <c r="N842" s="115" t="s">
        <v>6504</v>
      </c>
      <c r="O842" s="115">
        <v>1.5</v>
      </c>
      <c r="P842" s="115" t="s">
        <v>2128</v>
      </c>
      <c r="Q842" s="166"/>
      <c r="R842" s="164"/>
      <c r="S842" s="164"/>
      <c r="T842" s="164"/>
      <c r="U842" s="164"/>
      <c r="V842" s="162"/>
      <c r="W842" s="158"/>
      <c r="X842" s="158"/>
      <c r="Y842" s="158"/>
      <c r="Z842" s="158"/>
      <c r="AA842" s="158"/>
      <c r="AB842" s="158"/>
      <c r="AC842" s="113">
        <v>487</v>
      </c>
      <c r="AD842" s="113">
        <v>75</v>
      </c>
      <c r="AE842" s="113">
        <v>115</v>
      </c>
      <c r="AF842" s="113">
        <v>65</v>
      </c>
      <c r="AG842" s="120">
        <v>55</v>
      </c>
      <c r="AH842" s="113">
        <v>65</v>
      </c>
      <c r="AI842" s="113">
        <v>112</v>
      </c>
    </row>
    <row r="843" spans="1:35">
      <c r="A843" s="113">
        <v>745</v>
      </c>
      <c r="B843" s="113" t="s">
        <v>2754</v>
      </c>
      <c r="C843" s="120" t="s">
        <v>6100</v>
      </c>
      <c r="D843" s="124">
        <v>0.5</v>
      </c>
      <c r="E843" s="124">
        <v>0.5</v>
      </c>
      <c r="F843" s="113" t="s">
        <v>2332</v>
      </c>
      <c r="G843" s="113" t="s">
        <v>2702</v>
      </c>
      <c r="H843" s="113" t="s">
        <v>98</v>
      </c>
      <c r="I843" s="113" t="s">
        <v>1109</v>
      </c>
      <c r="J843" s="118" t="s">
        <v>2129</v>
      </c>
      <c r="K843" s="118">
        <v>3</v>
      </c>
      <c r="L843" s="118" t="s">
        <v>6097</v>
      </c>
      <c r="M843" s="115" t="s">
        <v>6097</v>
      </c>
      <c r="N843" s="115" t="s">
        <v>6504</v>
      </c>
      <c r="O843" s="115">
        <v>1.5</v>
      </c>
      <c r="P843" s="115" t="s">
        <v>2128</v>
      </c>
      <c r="Q843" s="166"/>
      <c r="R843" s="164"/>
      <c r="S843" s="164"/>
      <c r="T843" s="164"/>
      <c r="U843" s="164"/>
      <c r="V843" s="162"/>
      <c r="W843" s="158"/>
      <c r="X843" s="158"/>
      <c r="Y843" s="158"/>
      <c r="Z843" s="158"/>
      <c r="AA843" s="158"/>
      <c r="AB843" s="158"/>
      <c r="AC843" s="113">
        <v>487</v>
      </c>
      <c r="AD843" s="113">
        <v>85</v>
      </c>
      <c r="AE843" s="113">
        <v>115</v>
      </c>
      <c r="AF843" s="113">
        <v>75</v>
      </c>
      <c r="AG843" s="120">
        <v>55</v>
      </c>
      <c r="AH843" s="113">
        <v>75</v>
      </c>
      <c r="AI843" s="113">
        <v>82</v>
      </c>
    </row>
    <row r="844" spans="1:35">
      <c r="A844" s="113">
        <v>745</v>
      </c>
      <c r="B844" s="113" t="s">
        <v>2755</v>
      </c>
      <c r="C844" s="120" t="s">
        <v>6098</v>
      </c>
      <c r="D844" s="124">
        <v>0.5</v>
      </c>
      <c r="E844" s="124">
        <v>0.5</v>
      </c>
      <c r="F844" s="113" t="s">
        <v>2332</v>
      </c>
      <c r="G844" s="113" t="s">
        <v>2702</v>
      </c>
      <c r="H844" s="113" t="s">
        <v>98</v>
      </c>
      <c r="I844" s="113" t="s">
        <v>1109</v>
      </c>
      <c r="J844" s="118" t="s">
        <v>2129</v>
      </c>
      <c r="K844" s="118">
        <v>3</v>
      </c>
      <c r="L844" s="118" t="s">
        <v>6097</v>
      </c>
      <c r="M844" s="115" t="s">
        <v>6097</v>
      </c>
      <c r="N844" s="115" t="s">
        <v>6504</v>
      </c>
      <c r="O844" s="115">
        <v>1.5</v>
      </c>
      <c r="P844" s="115" t="s">
        <v>2128</v>
      </c>
      <c r="Q844" s="166"/>
      <c r="R844" s="164"/>
      <c r="S844" s="164"/>
      <c r="T844" s="164"/>
      <c r="U844" s="164"/>
      <c r="V844" s="162"/>
      <c r="W844" s="158"/>
      <c r="X844" s="158"/>
      <c r="Y844" s="158"/>
      <c r="Z844" s="158"/>
      <c r="AA844" s="158"/>
      <c r="AB844" s="158"/>
      <c r="AC844" s="113">
        <v>487</v>
      </c>
      <c r="AD844" s="113">
        <v>75</v>
      </c>
      <c r="AE844" s="113">
        <v>117</v>
      </c>
      <c r="AF844" s="113">
        <v>65</v>
      </c>
      <c r="AG844" s="120">
        <v>55</v>
      </c>
      <c r="AH844" s="113">
        <v>65</v>
      </c>
      <c r="AI844" s="113">
        <v>110</v>
      </c>
    </row>
    <row r="845" spans="1:35">
      <c r="A845" s="113">
        <v>746</v>
      </c>
      <c r="B845" s="113" t="s">
        <v>2186</v>
      </c>
      <c r="C845" s="120" t="s">
        <v>6101</v>
      </c>
      <c r="D845" s="124">
        <v>0.5</v>
      </c>
      <c r="E845" s="124">
        <v>0.5</v>
      </c>
      <c r="F845" s="113" t="s">
        <v>2337</v>
      </c>
      <c r="G845" s="113" t="s">
        <v>2702</v>
      </c>
      <c r="H845" s="113" t="s">
        <v>25</v>
      </c>
      <c r="I845" s="113" t="s">
        <v>1109</v>
      </c>
      <c r="J845" s="118" t="s">
        <v>2129</v>
      </c>
      <c r="K845" s="118">
        <v>2</v>
      </c>
      <c r="L845" s="118" t="s">
        <v>6101</v>
      </c>
      <c r="M845" s="115" t="s">
        <v>1109</v>
      </c>
      <c r="N845" s="115" t="s">
        <v>6504</v>
      </c>
      <c r="O845" s="115">
        <v>1.25</v>
      </c>
      <c r="P845" s="115" t="s">
        <v>1109</v>
      </c>
      <c r="Q845" s="166"/>
      <c r="R845" s="164"/>
      <c r="S845" s="164"/>
      <c r="T845" s="164"/>
      <c r="U845" s="164"/>
      <c r="V845" s="162"/>
      <c r="W845" s="158"/>
      <c r="X845" s="158"/>
      <c r="Y845" s="158"/>
      <c r="Z845" s="158"/>
      <c r="AA845" s="158"/>
      <c r="AB845" s="158"/>
      <c r="AC845" s="113">
        <v>175</v>
      </c>
      <c r="AD845" s="113">
        <v>45</v>
      </c>
      <c r="AE845" s="113">
        <v>20</v>
      </c>
      <c r="AF845" s="113">
        <v>20</v>
      </c>
      <c r="AG845" s="120">
        <v>25</v>
      </c>
      <c r="AH845" s="113">
        <v>25</v>
      </c>
      <c r="AI845" s="113">
        <v>40</v>
      </c>
    </row>
    <row r="846" spans="1:35">
      <c r="A846" s="113">
        <v>746</v>
      </c>
      <c r="B846" s="113" t="s">
        <v>2757</v>
      </c>
      <c r="C846" s="120" t="s">
        <v>6102</v>
      </c>
      <c r="D846" s="124">
        <v>0.5</v>
      </c>
      <c r="E846" s="124">
        <v>0.5</v>
      </c>
      <c r="F846" s="113" t="s">
        <v>2337</v>
      </c>
      <c r="G846" s="113" t="s">
        <v>2702</v>
      </c>
      <c r="H846" s="113" t="s">
        <v>25</v>
      </c>
      <c r="I846" s="113" t="s">
        <v>1109</v>
      </c>
      <c r="J846" s="118" t="s">
        <v>2129</v>
      </c>
      <c r="K846" s="118">
        <v>2</v>
      </c>
      <c r="L846" s="118" t="s">
        <v>6101</v>
      </c>
      <c r="M846" s="115" t="s">
        <v>1109</v>
      </c>
      <c r="N846" s="115" t="s">
        <v>6504</v>
      </c>
      <c r="O846" s="115">
        <v>1.25</v>
      </c>
      <c r="P846" s="115" t="s">
        <v>1109</v>
      </c>
      <c r="Q846" s="166"/>
      <c r="R846" s="164"/>
      <c r="S846" s="164"/>
      <c r="T846" s="164"/>
      <c r="U846" s="164"/>
      <c r="V846" s="162"/>
      <c r="W846" s="158"/>
      <c r="X846" s="158"/>
      <c r="Y846" s="158"/>
      <c r="Z846" s="158"/>
      <c r="AA846" s="158"/>
      <c r="AB846" s="158"/>
      <c r="AC846" s="113">
        <v>620</v>
      </c>
      <c r="AD846" s="113">
        <v>45</v>
      </c>
      <c r="AE846" s="113">
        <v>140</v>
      </c>
      <c r="AF846" s="113">
        <v>130</v>
      </c>
      <c r="AG846" s="120">
        <v>140</v>
      </c>
      <c r="AH846" s="113">
        <v>135</v>
      </c>
      <c r="AI846" s="113">
        <v>30</v>
      </c>
    </row>
    <row r="847" spans="1:35">
      <c r="A847" s="113">
        <v>747</v>
      </c>
      <c r="B847" s="113" t="s">
        <v>2187</v>
      </c>
      <c r="C847" s="120" t="s">
        <v>6103</v>
      </c>
      <c r="D847" s="124">
        <v>0.5</v>
      </c>
      <c r="E847" s="124">
        <v>0.5</v>
      </c>
      <c r="F847" s="113" t="s">
        <v>2337</v>
      </c>
      <c r="G847" s="113" t="s">
        <v>2702</v>
      </c>
      <c r="H847" s="113" t="s">
        <v>15</v>
      </c>
      <c r="I847" s="113" t="s">
        <v>25</v>
      </c>
      <c r="J847" s="118" t="s">
        <v>2129</v>
      </c>
      <c r="K847" s="118">
        <v>2</v>
      </c>
      <c r="L847" s="118" t="s">
        <v>6103</v>
      </c>
      <c r="M847" s="115" t="s">
        <v>1109</v>
      </c>
      <c r="N847" s="115" t="s">
        <v>6505</v>
      </c>
      <c r="O847" s="115">
        <v>1.25</v>
      </c>
      <c r="P847" s="115" t="s">
        <v>1109</v>
      </c>
      <c r="Q847" s="166"/>
      <c r="R847" s="164"/>
      <c r="S847" s="164"/>
      <c r="T847" s="164"/>
      <c r="U847" s="164"/>
      <c r="V847" s="162"/>
      <c r="W847" s="158"/>
      <c r="X847" s="158"/>
      <c r="Y847" s="158"/>
      <c r="Z847" s="158"/>
      <c r="AA847" s="158"/>
      <c r="AB847" s="158"/>
      <c r="AC847" s="113">
        <v>305</v>
      </c>
      <c r="AD847" s="113">
        <v>50</v>
      </c>
      <c r="AE847" s="113">
        <v>53</v>
      </c>
      <c r="AF847" s="113">
        <v>62</v>
      </c>
      <c r="AG847" s="120">
        <v>43</v>
      </c>
      <c r="AH847" s="113">
        <v>52</v>
      </c>
      <c r="AI847" s="113">
        <v>45</v>
      </c>
    </row>
    <row r="848" spans="1:35">
      <c r="A848" s="113">
        <v>748</v>
      </c>
      <c r="B848" s="113" t="s">
        <v>2188</v>
      </c>
      <c r="C848" s="120" t="s">
        <v>6104</v>
      </c>
      <c r="D848" s="124">
        <v>0.5</v>
      </c>
      <c r="E848" s="124">
        <v>0.5</v>
      </c>
      <c r="F848" s="113" t="s">
        <v>2337</v>
      </c>
      <c r="G848" s="113" t="s">
        <v>2702</v>
      </c>
      <c r="H848" s="113" t="s">
        <v>15</v>
      </c>
      <c r="I848" s="113" t="s">
        <v>25</v>
      </c>
      <c r="J848" s="118" t="s">
        <v>2129</v>
      </c>
      <c r="K848" s="118">
        <v>2</v>
      </c>
      <c r="L848" s="118" t="s">
        <v>6103</v>
      </c>
      <c r="M848" s="115" t="s">
        <v>6103</v>
      </c>
      <c r="N848" s="115" t="s">
        <v>6504</v>
      </c>
      <c r="O848" s="115">
        <v>1.25</v>
      </c>
      <c r="P848" s="115" t="s">
        <v>2128</v>
      </c>
      <c r="Q848" s="166"/>
      <c r="R848" s="164"/>
      <c r="S848" s="164"/>
      <c r="T848" s="164"/>
      <c r="U848" s="164"/>
      <c r="V848" s="162"/>
      <c r="W848" s="158"/>
      <c r="X848" s="158"/>
      <c r="Y848" s="158"/>
      <c r="Z848" s="158"/>
      <c r="AA848" s="158"/>
      <c r="AB848" s="158"/>
      <c r="AC848" s="113">
        <v>495</v>
      </c>
      <c r="AD848" s="113">
        <v>50</v>
      </c>
      <c r="AE848" s="113">
        <v>63</v>
      </c>
      <c r="AF848" s="113">
        <v>152</v>
      </c>
      <c r="AG848" s="120">
        <v>53</v>
      </c>
      <c r="AH848" s="113">
        <v>142</v>
      </c>
      <c r="AI848" s="113">
        <v>35</v>
      </c>
    </row>
    <row r="849" spans="1:35">
      <c r="A849" s="113">
        <v>749</v>
      </c>
      <c r="B849" s="113" t="s">
        <v>2189</v>
      </c>
      <c r="C849" s="120" t="s">
        <v>6105</v>
      </c>
      <c r="D849" s="124">
        <v>0.5</v>
      </c>
      <c r="E849" s="124">
        <v>0.5</v>
      </c>
      <c r="F849" s="113" t="s">
        <v>2332</v>
      </c>
      <c r="G849" s="113" t="s">
        <v>2702</v>
      </c>
      <c r="H849" s="113" t="s">
        <v>49</v>
      </c>
      <c r="I849" s="113" t="s">
        <v>1109</v>
      </c>
      <c r="J849" s="118" t="s">
        <v>2129</v>
      </c>
      <c r="K849" s="118">
        <v>2</v>
      </c>
      <c r="L849" s="118" t="s">
        <v>6105</v>
      </c>
      <c r="M849" s="115" t="s">
        <v>1109</v>
      </c>
      <c r="N849" s="115" t="s">
        <v>6505</v>
      </c>
      <c r="O849" s="115">
        <v>1.25</v>
      </c>
      <c r="P849" s="115" t="s">
        <v>1109</v>
      </c>
      <c r="Q849" s="166"/>
      <c r="R849" s="164"/>
      <c r="S849" s="164"/>
      <c r="T849" s="164"/>
      <c r="U849" s="164"/>
      <c r="V849" s="162"/>
      <c r="W849" s="158"/>
      <c r="X849" s="158"/>
      <c r="Y849" s="158"/>
      <c r="Z849" s="158"/>
      <c r="AA849" s="158"/>
      <c r="AB849" s="158"/>
      <c r="AC849" s="113">
        <v>385</v>
      </c>
      <c r="AD849" s="113">
        <v>70</v>
      </c>
      <c r="AE849" s="113">
        <v>100</v>
      </c>
      <c r="AF849" s="113">
        <v>70</v>
      </c>
      <c r="AG849" s="120">
        <v>45</v>
      </c>
      <c r="AH849" s="113">
        <v>55</v>
      </c>
      <c r="AI849" s="113">
        <v>45</v>
      </c>
    </row>
    <row r="850" spans="1:35">
      <c r="A850" s="113">
        <v>750</v>
      </c>
      <c r="B850" s="113" t="s">
        <v>2190</v>
      </c>
      <c r="C850" s="120" t="s">
        <v>6106</v>
      </c>
      <c r="D850" s="124">
        <v>0.5</v>
      </c>
      <c r="E850" s="124">
        <v>0.5</v>
      </c>
      <c r="F850" s="113" t="s">
        <v>2332</v>
      </c>
      <c r="G850" s="113" t="s">
        <v>2702</v>
      </c>
      <c r="H850" s="113" t="s">
        <v>49</v>
      </c>
      <c r="I850" s="113" t="s">
        <v>1109</v>
      </c>
      <c r="J850" s="118" t="s">
        <v>2129</v>
      </c>
      <c r="K850" s="118">
        <v>2</v>
      </c>
      <c r="L850" s="118" t="s">
        <v>6105</v>
      </c>
      <c r="M850" s="115" t="s">
        <v>6105</v>
      </c>
      <c r="N850" s="115" t="s">
        <v>6504</v>
      </c>
      <c r="O850" s="115">
        <v>1.25</v>
      </c>
      <c r="P850" s="115" t="s">
        <v>2128</v>
      </c>
      <c r="Q850" s="166"/>
      <c r="R850" s="164"/>
      <c r="S850" s="164"/>
      <c r="T850" s="164"/>
      <c r="U850" s="164"/>
      <c r="V850" s="162"/>
      <c r="W850" s="158"/>
      <c r="X850" s="158"/>
      <c r="Y850" s="158"/>
      <c r="Z850" s="158"/>
      <c r="AA850" s="158"/>
      <c r="AB850" s="158"/>
      <c r="AC850" s="113">
        <v>500</v>
      </c>
      <c r="AD850" s="113">
        <v>100</v>
      </c>
      <c r="AE850" s="113">
        <v>125</v>
      </c>
      <c r="AF850" s="113">
        <v>100</v>
      </c>
      <c r="AG850" s="120">
        <v>55</v>
      </c>
      <c r="AH850" s="113">
        <v>85</v>
      </c>
      <c r="AI850" s="113">
        <v>35</v>
      </c>
    </row>
    <row r="851" spans="1:35">
      <c r="A851" s="113">
        <v>751</v>
      </c>
      <c r="B851" s="113" t="s">
        <v>2191</v>
      </c>
      <c r="C851" s="120" t="s">
        <v>6107</v>
      </c>
      <c r="D851" s="124">
        <v>0.5</v>
      </c>
      <c r="E851" s="124">
        <v>0.5</v>
      </c>
      <c r="F851" s="113" t="s">
        <v>29</v>
      </c>
      <c r="G851" s="113" t="s">
        <v>2702</v>
      </c>
      <c r="H851" s="113" t="s">
        <v>25</v>
      </c>
      <c r="I851" s="113" t="s">
        <v>29</v>
      </c>
      <c r="J851" s="118" t="s">
        <v>2129</v>
      </c>
      <c r="K851" s="118">
        <v>2</v>
      </c>
      <c r="L851" s="118" t="s">
        <v>6107</v>
      </c>
      <c r="M851" s="115" t="s">
        <v>1109</v>
      </c>
      <c r="N851" s="115" t="s">
        <v>6505</v>
      </c>
      <c r="O851" s="115">
        <v>1.25</v>
      </c>
      <c r="P851" s="115" t="s">
        <v>1109</v>
      </c>
      <c r="Q851" s="166"/>
      <c r="R851" s="164"/>
      <c r="S851" s="164"/>
      <c r="T851" s="164"/>
      <c r="U851" s="164"/>
      <c r="V851" s="162"/>
      <c r="W851" s="158"/>
      <c r="X851" s="158"/>
      <c r="Y851" s="158"/>
      <c r="Z851" s="158"/>
      <c r="AA851" s="158"/>
      <c r="AB851" s="158"/>
      <c r="AC851" s="113">
        <v>269</v>
      </c>
      <c r="AD851" s="113">
        <v>38</v>
      </c>
      <c r="AE851" s="113">
        <v>40</v>
      </c>
      <c r="AF851" s="113">
        <v>52</v>
      </c>
      <c r="AG851" s="120">
        <v>40</v>
      </c>
      <c r="AH851" s="113">
        <v>72</v>
      </c>
      <c r="AI851" s="113">
        <v>27</v>
      </c>
    </row>
    <row r="852" spans="1:35">
      <c r="A852" s="113">
        <v>752</v>
      </c>
      <c r="B852" s="113" t="s">
        <v>2192</v>
      </c>
      <c r="C852" s="120" t="s">
        <v>6108</v>
      </c>
      <c r="D852" s="124">
        <v>0.5</v>
      </c>
      <c r="E852" s="124">
        <v>0.5</v>
      </c>
      <c r="F852" s="113" t="s">
        <v>29</v>
      </c>
      <c r="G852" s="113" t="s">
        <v>2702</v>
      </c>
      <c r="H852" s="113" t="s">
        <v>25</v>
      </c>
      <c r="I852" s="113" t="s">
        <v>29</v>
      </c>
      <c r="J852" s="118" t="s">
        <v>2129</v>
      </c>
      <c r="K852" s="118">
        <v>2</v>
      </c>
      <c r="L852" s="118" t="s">
        <v>6107</v>
      </c>
      <c r="M852" s="115" t="s">
        <v>6107</v>
      </c>
      <c r="N852" s="115" t="s">
        <v>6504</v>
      </c>
      <c r="O852" s="115">
        <v>1.25</v>
      </c>
      <c r="P852" s="115" t="s">
        <v>2128</v>
      </c>
      <c r="Q852" s="166"/>
      <c r="R852" s="164"/>
      <c r="S852" s="164"/>
      <c r="T852" s="164"/>
      <c r="U852" s="164"/>
      <c r="V852" s="162"/>
      <c r="W852" s="158"/>
      <c r="X852" s="158"/>
      <c r="Y852" s="158"/>
      <c r="Z852" s="158"/>
      <c r="AA852" s="158"/>
      <c r="AB852" s="158"/>
      <c r="AC852" s="113">
        <v>454</v>
      </c>
      <c r="AD852" s="113">
        <v>68</v>
      </c>
      <c r="AE852" s="113">
        <v>70</v>
      </c>
      <c r="AF852" s="113">
        <v>92</v>
      </c>
      <c r="AG852" s="120">
        <v>50</v>
      </c>
      <c r="AH852" s="113">
        <v>132</v>
      </c>
      <c r="AI852" s="113">
        <v>42</v>
      </c>
    </row>
    <row r="853" spans="1:35">
      <c r="A853" s="113">
        <v>753</v>
      </c>
      <c r="B853" s="113" t="s">
        <v>2193</v>
      </c>
      <c r="C853" s="120" t="s">
        <v>6109</v>
      </c>
      <c r="D853" s="124">
        <v>0.5</v>
      </c>
      <c r="E853" s="124">
        <v>0.5</v>
      </c>
      <c r="F853" s="113" t="s">
        <v>14</v>
      </c>
      <c r="G853" s="113" t="s">
        <v>2702</v>
      </c>
      <c r="H853" s="113" t="s">
        <v>14</v>
      </c>
      <c r="I853" s="113" t="s">
        <v>1109</v>
      </c>
      <c r="J853" s="118" t="s">
        <v>2129</v>
      </c>
      <c r="K853" s="118">
        <v>2</v>
      </c>
      <c r="L853" s="118" t="s">
        <v>6109</v>
      </c>
      <c r="M853" s="115" t="s">
        <v>1109</v>
      </c>
      <c r="N853" s="115" t="s">
        <v>6505</v>
      </c>
      <c r="O853" s="115">
        <v>1.25</v>
      </c>
      <c r="P853" s="115" t="s">
        <v>1109</v>
      </c>
      <c r="Q853" s="166"/>
      <c r="R853" s="164"/>
      <c r="S853" s="164"/>
      <c r="T853" s="164"/>
      <c r="U853" s="164"/>
      <c r="V853" s="162"/>
      <c r="W853" s="158"/>
      <c r="X853" s="158"/>
      <c r="Y853" s="158"/>
      <c r="Z853" s="158"/>
      <c r="AA853" s="158"/>
      <c r="AB853" s="158"/>
      <c r="AC853" s="113">
        <v>250</v>
      </c>
      <c r="AD853" s="113">
        <v>40</v>
      </c>
      <c r="AE853" s="113">
        <v>55</v>
      </c>
      <c r="AF853" s="113">
        <v>35</v>
      </c>
      <c r="AG853" s="120">
        <v>50</v>
      </c>
      <c r="AH853" s="113">
        <v>35</v>
      </c>
      <c r="AI853" s="113">
        <v>35</v>
      </c>
    </row>
    <row r="854" spans="1:35">
      <c r="A854" s="113">
        <v>754</v>
      </c>
      <c r="B854" s="113" t="s">
        <v>2194</v>
      </c>
      <c r="C854" s="120" t="s">
        <v>6110</v>
      </c>
      <c r="D854" s="124">
        <v>0.5</v>
      </c>
      <c r="E854" s="124">
        <v>0.5</v>
      </c>
      <c r="F854" s="113" t="s">
        <v>14</v>
      </c>
      <c r="G854" s="113" t="s">
        <v>2702</v>
      </c>
      <c r="H854" s="113" t="s">
        <v>14</v>
      </c>
      <c r="I854" s="113" t="s">
        <v>1109</v>
      </c>
      <c r="J854" s="118" t="s">
        <v>2129</v>
      </c>
      <c r="K854" s="118">
        <v>2</v>
      </c>
      <c r="L854" s="118" t="s">
        <v>6109</v>
      </c>
      <c r="M854" s="115" t="s">
        <v>6109</v>
      </c>
      <c r="N854" s="115" t="s">
        <v>6504</v>
      </c>
      <c r="O854" s="115">
        <v>1.25</v>
      </c>
      <c r="P854" s="115" t="s">
        <v>2128</v>
      </c>
      <c r="Q854" s="166"/>
      <c r="R854" s="164"/>
      <c r="S854" s="164"/>
      <c r="T854" s="164"/>
      <c r="U854" s="164"/>
      <c r="V854" s="162"/>
      <c r="W854" s="158"/>
      <c r="X854" s="158"/>
      <c r="Y854" s="158"/>
      <c r="Z854" s="158"/>
      <c r="AA854" s="158"/>
      <c r="AB854" s="158"/>
      <c r="AC854" s="113">
        <v>480</v>
      </c>
      <c r="AD854" s="113">
        <v>70</v>
      </c>
      <c r="AE854" s="113">
        <v>105</v>
      </c>
      <c r="AF854" s="113">
        <v>90</v>
      </c>
      <c r="AG854" s="120">
        <v>80</v>
      </c>
      <c r="AH854" s="113">
        <v>90</v>
      </c>
      <c r="AI854" s="113">
        <v>45</v>
      </c>
    </row>
    <row r="855" spans="1:35">
      <c r="A855" s="113">
        <v>755</v>
      </c>
      <c r="B855" s="113" t="s">
        <v>2195</v>
      </c>
      <c r="C855" s="120" t="s">
        <v>6111</v>
      </c>
      <c r="D855" s="124">
        <v>0.5</v>
      </c>
      <c r="E855" s="124">
        <v>0.5</v>
      </c>
      <c r="F855" s="113" t="s">
        <v>14</v>
      </c>
      <c r="G855" s="113" t="s">
        <v>2702</v>
      </c>
      <c r="H855" s="113" t="s">
        <v>14</v>
      </c>
      <c r="I855" s="113" t="s">
        <v>56</v>
      </c>
      <c r="J855" s="118" t="s">
        <v>2129</v>
      </c>
      <c r="K855" s="118">
        <v>2</v>
      </c>
      <c r="L855" s="118" t="s">
        <v>6111</v>
      </c>
      <c r="M855" s="115" t="s">
        <v>1109</v>
      </c>
      <c r="N855" s="115" t="s">
        <v>6505</v>
      </c>
      <c r="O855" s="115">
        <v>1.25</v>
      </c>
      <c r="P855" s="115" t="s">
        <v>1109</v>
      </c>
      <c r="Q855" s="166"/>
      <c r="R855" s="164"/>
      <c r="S855" s="164"/>
      <c r="T855" s="164"/>
      <c r="U855" s="164"/>
      <c r="V855" s="162"/>
      <c r="W855" s="158"/>
      <c r="X855" s="158"/>
      <c r="Y855" s="158"/>
      <c r="Z855" s="158"/>
      <c r="AA855" s="158"/>
      <c r="AB855" s="158"/>
      <c r="AC855" s="113">
        <v>285</v>
      </c>
      <c r="AD855" s="113">
        <v>40</v>
      </c>
      <c r="AE855" s="113">
        <v>35</v>
      </c>
      <c r="AF855" s="113">
        <v>55</v>
      </c>
      <c r="AG855" s="120">
        <v>65</v>
      </c>
      <c r="AH855" s="113">
        <v>75</v>
      </c>
      <c r="AI855" s="113">
        <v>15</v>
      </c>
    </row>
    <row r="856" spans="1:35">
      <c r="A856" s="113">
        <v>756</v>
      </c>
      <c r="B856" s="113" t="s">
        <v>2196</v>
      </c>
      <c r="C856" s="120" t="s">
        <v>6112</v>
      </c>
      <c r="D856" s="124">
        <v>0.5</v>
      </c>
      <c r="E856" s="124">
        <v>0.5</v>
      </c>
      <c r="F856" s="113" t="s">
        <v>14</v>
      </c>
      <c r="G856" s="113" t="s">
        <v>2702</v>
      </c>
      <c r="H856" s="113" t="s">
        <v>14</v>
      </c>
      <c r="I856" s="113" t="s">
        <v>56</v>
      </c>
      <c r="J856" s="118" t="s">
        <v>2129</v>
      </c>
      <c r="K856" s="118">
        <v>2</v>
      </c>
      <c r="L856" s="118" t="s">
        <v>6111</v>
      </c>
      <c r="M856" s="115" t="s">
        <v>6111</v>
      </c>
      <c r="N856" s="115" t="s">
        <v>6504</v>
      </c>
      <c r="O856" s="115">
        <v>1.25</v>
      </c>
      <c r="P856" s="115" t="s">
        <v>2128</v>
      </c>
      <c r="Q856" s="166"/>
      <c r="R856" s="164"/>
      <c r="S856" s="164"/>
      <c r="T856" s="164"/>
      <c r="U856" s="164"/>
      <c r="V856" s="162"/>
      <c r="W856" s="158"/>
      <c r="X856" s="158"/>
      <c r="Y856" s="158"/>
      <c r="Z856" s="158"/>
      <c r="AA856" s="158"/>
      <c r="AB856" s="158"/>
      <c r="AC856" s="113">
        <v>405</v>
      </c>
      <c r="AD856" s="113">
        <v>60</v>
      </c>
      <c r="AE856" s="113">
        <v>45</v>
      </c>
      <c r="AF856" s="113">
        <v>80</v>
      </c>
      <c r="AG856" s="120">
        <v>90</v>
      </c>
      <c r="AH856" s="113">
        <v>100</v>
      </c>
      <c r="AI856" s="113">
        <v>30</v>
      </c>
    </row>
    <row r="857" spans="1:35">
      <c r="A857" s="113">
        <v>757</v>
      </c>
      <c r="B857" s="113" t="s">
        <v>2156</v>
      </c>
      <c r="C857" s="120" t="s">
        <v>6113</v>
      </c>
      <c r="D857" s="124">
        <v>0.85</v>
      </c>
      <c r="E857" s="124">
        <v>0.15</v>
      </c>
      <c r="F857" s="113" t="s">
        <v>23</v>
      </c>
      <c r="G857" s="113" t="s">
        <v>2702</v>
      </c>
      <c r="H857" s="113" t="s">
        <v>15</v>
      </c>
      <c r="I857" s="113" t="s">
        <v>19</v>
      </c>
      <c r="J857" s="118" t="s">
        <v>2129</v>
      </c>
      <c r="K857" s="118">
        <v>3</v>
      </c>
      <c r="L857" s="118" t="s">
        <v>6113</v>
      </c>
      <c r="M857" s="115" t="s">
        <v>1109</v>
      </c>
      <c r="N857" s="115" t="s">
        <v>6505</v>
      </c>
      <c r="O857" s="115">
        <v>1.5</v>
      </c>
      <c r="P857" s="115" t="s">
        <v>1109</v>
      </c>
      <c r="Q857" s="166"/>
      <c r="R857" s="164"/>
      <c r="S857" s="164"/>
      <c r="T857" s="164"/>
      <c r="U857" s="164"/>
      <c r="V857" s="162"/>
      <c r="W857" s="158"/>
      <c r="X857" s="158"/>
      <c r="Y857" s="158"/>
      <c r="Z857" s="158"/>
      <c r="AA857" s="158"/>
      <c r="AB857" s="158"/>
      <c r="AC857" s="113">
        <v>320</v>
      </c>
      <c r="AD857" s="113">
        <v>48</v>
      </c>
      <c r="AE857" s="113">
        <v>44</v>
      </c>
      <c r="AF857" s="113">
        <v>40</v>
      </c>
      <c r="AG857" s="120">
        <v>71</v>
      </c>
      <c r="AH857" s="113">
        <v>40</v>
      </c>
      <c r="AI857" s="113">
        <v>77</v>
      </c>
    </row>
    <row r="858" spans="1:35">
      <c r="A858" s="113">
        <v>758</v>
      </c>
      <c r="B858" s="113" t="s">
        <v>2273</v>
      </c>
      <c r="C858" s="120" t="s">
        <v>6114</v>
      </c>
      <c r="D858" s="124">
        <v>0</v>
      </c>
      <c r="E858" s="124">
        <v>1</v>
      </c>
      <c r="F858" s="113" t="s">
        <v>23</v>
      </c>
      <c r="G858" s="113" t="s">
        <v>2702</v>
      </c>
      <c r="H858" s="113" t="s">
        <v>15</v>
      </c>
      <c r="I858" s="113" t="s">
        <v>19</v>
      </c>
      <c r="J858" s="118" t="s">
        <v>2129</v>
      </c>
      <c r="K858" s="118">
        <v>3</v>
      </c>
      <c r="L858" s="118" t="s">
        <v>6113</v>
      </c>
      <c r="M858" s="115" t="s">
        <v>6113</v>
      </c>
      <c r="N858" s="115" t="s">
        <v>6504</v>
      </c>
      <c r="O858" s="115">
        <v>1.5</v>
      </c>
      <c r="P858" s="115" t="s">
        <v>2128</v>
      </c>
      <c r="Q858" s="166"/>
      <c r="R858" s="164"/>
      <c r="S858" s="164"/>
      <c r="T858" s="164"/>
      <c r="U858" s="164"/>
      <c r="V858" s="162"/>
      <c r="W858" s="158"/>
      <c r="X858" s="158"/>
      <c r="Y858" s="158"/>
      <c r="Z858" s="158"/>
      <c r="AA858" s="158"/>
      <c r="AB858" s="158"/>
      <c r="AC858" s="113">
        <v>480</v>
      </c>
      <c r="AD858" s="113">
        <v>68</v>
      </c>
      <c r="AE858" s="113">
        <v>64</v>
      </c>
      <c r="AF858" s="113">
        <v>60</v>
      </c>
      <c r="AG858" s="120">
        <v>111</v>
      </c>
      <c r="AH858" s="113">
        <v>60</v>
      </c>
      <c r="AI858" s="113">
        <v>117</v>
      </c>
    </row>
    <row r="859" spans="1:35">
      <c r="A859" s="113">
        <v>759</v>
      </c>
      <c r="B859" s="113" t="s">
        <v>2197</v>
      </c>
      <c r="C859" s="120" t="s">
        <v>6115</v>
      </c>
      <c r="D859" s="124">
        <v>0.5</v>
      </c>
      <c r="E859" s="124">
        <v>0.5</v>
      </c>
      <c r="F859" s="113" t="s">
        <v>2332</v>
      </c>
      <c r="G859" s="113" t="s">
        <v>2702</v>
      </c>
      <c r="H859" s="113" t="s">
        <v>36</v>
      </c>
      <c r="I859" s="113" t="s">
        <v>78</v>
      </c>
      <c r="J859" s="118" t="s">
        <v>2129</v>
      </c>
      <c r="K859" s="118">
        <v>2</v>
      </c>
      <c r="L859" s="118" t="s">
        <v>6115</v>
      </c>
      <c r="M859" s="115" t="s">
        <v>1109</v>
      </c>
      <c r="N859" s="115" t="s">
        <v>6505</v>
      </c>
      <c r="O859" s="115">
        <v>1.25</v>
      </c>
      <c r="P859" s="115" t="s">
        <v>1109</v>
      </c>
      <c r="Q859" s="166"/>
      <c r="R859" s="164"/>
      <c r="S859" s="164"/>
      <c r="T859" s="164"/>
      <c r="U859" s="164"/>
      <c r="V859" s="162"/>
      <c r="W859" s="158"/>
      <c r="X859" s="158"/>
      <c r="Y859" s="158"/>
      <c r="Z859" s="158"/>
      <c r="AA859" s="158"/>
      <c r="AB859" s="158"/>
      <c r="AC859" s="113">
        <v>340</v>
      </c>
      <c r="AD859" s="113">
        <v>70</v>
      </c>
      <c r="AE859" s="113">
        <v>75</v>
      </c>
      <c r="AF859" s="113">
        <v>50</v>
      </c>
      <c r="AG859" s="120">
        <v>45</v>
      </c>
      <c r="AH859" s="113">
        <v>50</v>
      </c>
      <c r="AI859" s="113">
        <v>50</v>
      </c>
    </row>
    <row r="860" spans="1:35">
      <c r="A860" s="113">
        <v>760</v>
      </c>
      <c r="B860" s="113" t="s">
        <v>2198</v>
      </c>
      <c r="C860" s="120" t="s">
        <v>6116</v>
      </c>
      <c r="D860" s="124">
        <v>0.5</v>
      </c>
      <c r="E860" s="124">
        <v>0.5</v>
      </c>
      <c r="F860" s="113" t="s">
        <v>2332</v>
      </c>
      <c r="G860" s="113" t="s">
        <v>2702</v>
      </c>
      <c r="H860" s="113" t="s">
        <v>36</v>
      </c>
      <c r="I860" s="113" t="s">
        <v>78</v>
      </c>
      <c r="J860" s="118" t="s">
        <v>2129</v>
      </c>
      <c r="K860" s="118">
        <v>2</v>
      </c>
      <c r="L860" s="118" t="s">
        <v>6115</v>
      </c>
      <c r="M860" s="115" t="s">
        <v>6115</v>
      </c>
      <c r="N860" s="115" t="s">
        <v>6504</v>
      </c>
      <c r="O860" s="115">
        <v>1.25</v>
      </c>
      <c r="P860" s="115" t="s">
        <v>2128</v>
      </c>
      <c r="Q860" s="166"/>
      <c r="R860" s="164"/>
      <c r="S860" s="164"/>
      <c r="T860" s="164"/>
      <c r="U860" s="164"/>
      <c r="V860" s="162"/>
      <c r="W860" s="158"/>
      <c r="X860" s="158"/>
      <c r="Y860" s="158"/>
      <c r="Z860" s="158"/>
      <c r="AA860" s="158"/>
      <c r="AB860" s="158"/>
      <c r="AC860" s="113">
        <v>500</v>
      </c>
      <c r="AD860" s="113">
        <v>120</v>
      </c>
      <c r="AE860" s="113">
        <v>125</v>
      </c>
      <c r="AF860" s="113">
        <v>80</v>
      </c>
      <c r="AG860" s="120">
        <v>55</v>
      </c>
      <c r="AH860" s="113">
        <v>60</v>
      </c>
      <c r="AI860" s="113">
        <v>60</v>
      </c>
    </row>
    <row r="861" spans="1:35">
      <c r="A861" s="113">
        <v>761</v>
      </c>
      <c r="B861" s="113" t="s">
        <v>2274</v>
      </c>
      <c r="C861" s="120" t="s">
        <v>6117</v>
      </c>
      <c r="D861" s="124">
        <v>0</v>
      </c>
      <c r="E861" s="124">
        <v>1</v>
      </c>
      <c r="F861" s="113" t="s">
        <v>14</v>
      </c>
      <c r="G861" s="113" t="s">
        <v>2702</v>
      </c>
      <c r="H861" s="113" t="s">
        <v>14</v>
      </c>
      <c r="I861" s="113" t="s">
        <v>1109</v>
      </c>
      <c r="J861" s="118" t="s">
        <v>2129</v>
      </c>
      <c r="K861" s="118">
        <v>2</v>
      </c>
      <c r="L861" s="118" t="s">
        <v>6117</v>
      </c>
      <c r="M861" s="115" t="s">
        <v>1109</v>
      </c>
      <c r="N861" s="115" t="s">
        <v>6505</v>
      </c>
      <c r="O861" s="115">
        <v>1.25</v>
      </c>
      <c r="P861" s="115" t="s">
        <v>1109</v>
      </c>
      <c r="Q861" s="166"/>
      <c r="R861" s="164"/>
      <c r="S861" s="164"/>
      <c r="T861" s="164"/>
      <c r="U861" s="164"/>
      <c r="V861" s="162"/>
      <c r="W861" s="158"/>
      <c r="X861" s="158"/>
      <c r="Y861" s="158"/>
      <c r="Z861" s="158"/>
      <c r="AA861" s="158"/>
      <c r="AB861" s="158"/>
      <c r="AC861" s="113">
        <v>210</v>
      </c>
      <c r="AD861" s="113">
        <v>42</v>
      </c>
      <c r="AE861" s="113">
        <v>30</v>
      </c>
      <c r="AF861" s="113">
        <v>38</v>
      </c>
      <c r="AG861" s="120">
        <v>30</v>
      </c>
      <c r="AH861" s="113">
        <v>38</v>
      </c>
      <c r="AI861" s="113">
        <v>32</v>
      </c>
    </row>
    <row r="862" spans="1:35">
      <c r="A862" s="113">
        <v>762</v>
      </c>
      <c r="B862" s="113" t="s">
        <v>2275</v>
      </c>
      <c r="C862" s="120" t="s">
        <v>6118</v>
      </c>
      <c r="D862" s="124">
        <v>0</v>
      </c>
      <c r="E862" s="124">
        <v>1</v>
      </c>
      <c r="F862" s="113" t="s">
        <v>14</v>
      </c>
      <c r="G862" s="113" t="s">
        <v>2702</v>
      </c>
      <c r="H862" s="113" t="s">
        <v>14</v>
      </c>
      <c r="I862" s="113" t="s">
        <v>1109</v>
      </c>
      <c r="J862" s="118" t="s">
        <v>2129</v>
      </c>
      <c r="K862" s="118">
        <v>2</v>
      </c>
      <c r="L862" s="118" t="s">
        <v>6117</v>
      </c>
      <c r="M862" s="115" t="s">
        <v>6117</v>
      </c>
      <c r="N862" s="115" t="s">
        <v>6506</v>
      </c>
      <c r="O862" s="115">
        <v>1.25</v>
      </c>
      <c r="P862" s="115" t="s">
        <v>2128</v>
      </c>
      <c r="Q862" s="166"/>
      <c r="R862" s="164"/>
      <c r="S862" s="164"/>
      <c r="T862" s="164"/>
      <c r="U862" s="164"/>
      <c r="V862" s="162"/>
      <c r="W862" s="158"/>
      <c r="X862" s="158"/>
      <c r="Y862" s="158"/>
      <c r="Z862" s="158"/>
      <c r="AA862" s="158"/>
      <c r="AB862" s="158"/>
      <c r="AC862" s="113">
        <v>290</v>
      </c>
      <c r="AD862" s="113">
        <v>52</v>
      </c>
      <c r="AE862" s="113">
        <v>40</v>
      </c>
      <c r="AF862" s="113">
        <v>48</v>
      </c>
      <c r="AG862" s="120">
        <v>40</v>
      </c>
      <c r="AH862" s="113">
        <v>48</v>
      </c>
      <c r="AI862" s="113">
        <v>62</v>
      </c>
    </row>
    <row r="863" spans="1:35">
      <c r="A863" s="113">
        <v>763</v>
      </c>
      <c r="B863" s="113" t="s">
        <v>2276</v>
      </c>
      <c r="C863" s="120" t="s">
        <v>6119</v>
      </c>
      <c r="D863" s="124">
        <v>0</v>
      </c>
      <c r="E863" s="124">
        <v>1</v>
      </c>
      <c r="F863" s="113" t="s">
        <v>14</v>
      </c>
      <c r="G863" s="113" t="s">
        <v>2702</v>
      </c>
      <c r="H863" s="113" t="s">
        <v>14</v>
      </c>
      <c r="I863" s="113" t="s">
        <v>1109</v>
      </c>
      <c r="J863" s="118" t="s">
        <v>2129</v>
      </c>
      <c r="K863" s="118">
        <v>2</v>
      </c>
      <c r="L863" s="118" t="s">
        <v>6117</v>
      </c>
      <c r="M863" s="115" t="s">
        <v>6118</v>
      </c>
      <c r="N863" s="115" t="s">
        <v>6504</v>
      </c>
      <c r="O863" s="115">
        <v>1.25</v>
      </c>
      <c r="P863" s="115" t="s">
        <v>2128</v>
      </c>
      <c r="Q863" s="166"/>
      <c r="R863" s="164"/>
      <c r="S863" s="164"/>
      <c r="T863" s="164"/>
      <c r="U863" s="164"/>
      <c r="V863" s="162"/>
      <c r="W863" s="158"/>
      <c r="X863" s="158"/>
      <c r="Y863" s="158"/>
      <c r="Z863" s="158"/>
      <c r="AA863" s="158"/>
      <c r="AB863" s="158"/>
      <c r="AC863" s="113">
        <v>510</v>
      </c>
      <c r="AD863" s="113">
        <v>72</v>
      </c>
      <c r="AE863" s="113">
        <v>120</v>
      </c>
      <c r="AF863" s="113">
        <v>98</v>
      </c>
      <c r="AG863" s="120">
        <v>50</v>
      </c>
      <c r="AH863" s="113">
        <v>98</v>
      </c>
      <c r="AI863" s="113">
        <v>72</v>
      </c>
    </row>
    <row r="864" spans="1:35">
      <c r="A864" s="113">
        <v>764</v>
      </c>
      <c r="B864" s="113" t="s">
        <v>2269</v>
      </c>
      <c r="C864" s="120" t="s">
        <v>6120</v>
      </c>
      <c r="D864" s="124">
        <v>0.25</v>
      </c>
      <c r="E864" s="124">
        <v>0.75</v>
      </c>
      <c r="F864" s="113" t="s">
        <v>14</v>
      </c>
      <c r="G864" s="113" t="s">
        <v>2702</v>
      </c>
      <c r="H864" s="113" t="s">
        <v>56</v>
      </c>
      <c r="I864" s="113" t="s">
        <v>1109</v>
      </c>
      <c r="J864" s="118" t="s">
        <v>2129</v>
      </c>
      <c r="K864" s="118">
        <v>2</v>
      </c>
      <c r="L864" s="118" t="s">
        <v>6120</v>
      </c>
      <c r="M864" s="115" t="s">
        <v>1109</v>
      </c>
      <c r="N864" s="115" t="s">
        <v>6504</v>
      </c>
      <c r="O864" s="115">
        <v>1.25</v>
      </c>
      <c r="P864" s="115" t="s">
        <v>1109</v>
      </c>
      <c r="Q864" s="166"/>
      <c r="R864" s="164"/>
      <c r="S864" s="164"/>
      <c r="T864" s="164"/>
      <c r="U864" s="164"/>
      <c r="V864" s="162"/>
      <c r="W864" s="158"/>
      <c r="X864" s="158"/>
      <c r="Y864" s="158"/>
      <c r="Z864" s="158"/>
      <c r="AA864" s="158"/>
      <c r="AB864" s="158"/>
      <c r="AC864" s="113">
        <v>485</v>
      </c>
      <c r="AD864" s="113">
        <v>51</v>
      </c>
      <c r="AE864" s="113">
        <v>52</v>
      </c>
      <c r="AF864" s="113">
        <v>90</v>
      </c>
      <c r="AG864" s="120">
        <v>82</v>
      </c>
      <c r="AH864" s="113">
        <v>110</v>
      </c>
      <c r="AI864" s="113">
        <v>100</v>
      </c>
    </row>
    <row r="865" spans="1:35">
      <c r="A865" s="113">
        <v>765</v>
      </c>
      <c r="B865" s="113" t="s">
        <v>2199</v>
      </c>
      <c r="C865" s="120" t="s">
        <v>6121</v>
      </c>
      <c r="D865" s="124">
        <v>0.5</v>
      </c>
      <c r="E865" s="124">
        <v>0.5</v>
      </c>
      <c r="F865" s="113" t="s">
        <v>2332</v>
      </c>
      <c r="G865" s="113" t="s">
        <v>2702</v>
      </c>
      <c r="H865" s="113" t="s">
        <v>36</v>
      </c>
      <c r="I865" s="113" t="s">
        <v>86</v>
      </c>
      <c r="J865" s="118" t="s">
        <v>2129</v>
      </c>
      <c r="K865" s="118">
        <v>2</v>
      </c>
      <c r="L865" s="118" t="s">
        <v>6121</v>
      </c>
      <c r="M865" s="115" t="s">
        <v>1109</v>
      </c>
      <c r="N865" s="115" t="s">
        <v>6504</v>
      </c>
      <c r="O865" s="115">
        <v>1.25</v>
      </c>
      <c r="P865" s="115" t="s">
        <v>1109</v>
      </c>
      <c r="Q865" s="166"/>
      <c r="R865" s="164"/>
      <c r="S865" s="164"/>
      <c r="T865" s="164"/>
      <c r="U865" s="164"/>
      <c r="V865" s="162"/>
      <c r="W865" s="158"/>
      <c r="X865" s="158"/>
      <c r="Y865" s="158"/>
      <c r="Z865" s="158"/>
      <c r="AA865" s="158"/>
      <c r="AB865" s="158"/>
      <c r="AC865" s="113">
        <v>490</v>
      </c>
      <c r="AD865" s="113">
        <v>90</v>
      </c>
      <c r="AE865" s="113">
        <v>60</v>
      </c>
      <c r="AF865" s="113">
        <v>80</v>
      </c>
      <c r="AG865" s="120">
        <v>90</v>
      </c>
      <c r="AH865" s="113">
        <v>110</v>
      </c>
      <c r="AI865" s="113">
        <v>60</v>
      </c>
    </row>
    <row r="866" spans="1:35">
      <c r="A866" s="113">
        <v>766</v>
      </c>
      <c r="B866" s="113" t="s">
        <v>2200</v>
      </c>
      <c r="C866" s="120" t="s">
        <v>6122</v>
      </c>
      <c r="D866" s="124">
        <v>0.5</v>
      </c>
      <c r="E866" s="124">
        <v>0.5</v>
      </c>
      <c r="F866" s="113" t="s">
        <v>2332</v>
      </c>
      <c r="G866" s="113" t="s">
        <v>2702</v>
      </c>
      <c r="H866" s="113" t="s">
        <v>78</v>
      </c>
      <c r="I866" s="113" t="s">
        <v>1109</v>
      </c>
      <c r="J866" s="118" t="s">
        <v>2129</v>
      </c>
      <c r="K866" s="118">
        <v>2</v>
      </c>
      <c r="L866" s="118" t="s">
        <v>6122</v>
      </c>
      <c r="M866" s="115" t="s">
        <v>1109</v>
      </c>
      <c r="N866" s="115" t="s">
        <v>6504</v>
      </c>
      <c r="O866" s="115">
        <v>1.25</v>
      </c>
      <c r="P866" s="115" t="s">
        <v>1109</v>
      </c>
      <c r="Q866" s="166"/>
      <c r="R866" s="164"/>
      <c r="S866" s="164"/>
      <c r="T866" s="164"/>
      <c r="U866" s="164"/>
      <c r="V866" s="162"/>
      <c r="W866" s="158"/>
      <c r="X866" s="158"/>
      <c r="Y866" s="158"/>
      <c r="Z866" s="158"/>
      <c r="AA866" s="158"/>
      <c r="AB866" s="158"/>
      <c r="AC866" s="113">
        <v>490</v>
      </c>
      <c r="AD866" s="113">
        <v>100</v>
      </c>
      <c r="AE866" s="113">
        <v>120</v>
      </c>
      <c r="AF866" s="113">
        <v>90</v>
      </c>
      <c r="AG866" s="120">
        <v>40</v>
      </c>
      <c r="AH866" s="113">
        <v>60</v>
      </c>
      <c r="AI866" s="113">
        <v>80</v>
      </c>
    </row>
    <row r="867" spans="1:35">
      <c r="A867" s="113">
        <v>767</v>
      </c>
      <c r="B867" s="113" t="s">
        <v>2201</v>
      </c>
      <c r="C867" s="120" t="s">
        <v>6123</v>
      </c>
      <c r="D867" s="124">
        <v>0.5</v>
      </c>
      <c r="E867" s="124">
        <v>0.5</v>
      </c>
      <c r="F867" s="113" t="s">
        <v>29</v>
      </c>
      <c r="G867" s="113" t="s">
        <v>2702</v>
      </c>
      <c r="H867" s="113" t="s">
        <v>29</v>
      </c>
      <c r="I867" s="113" t="s">
        <v>25</v>
      </c>
      <c r="J867" s="118" t="s">
        <v>2129</v>
      </c>
      <c r="K867" s="118">
        <v>3</v>
      </c>
      <c r="L867" s="118" t="s">
        <v>6123</v>
      </c>
      <c r="M867" s="115" t="s">
        <v>1109</v>
      </c>
      <c r="N867" s="115" t="s">
        <v>6505</v>
      </c>
      <c r="O867" s="115">
        <v>1.5</v>
      </c>
      <c r="P867" s="115" t="s">
        <v>1109</v>
      </c>
      <c r="Q867" s="166"/>
      <c r="R867" s="164"/>
      <c r="S867" s="164"/>
      <c r="T867" s="164"/>
      <c r="U867" s="164"/>
      <c r="V867" s="162"/>
      <c r="W867" s="158"/>
      <c r="X867" s="158"/>
      <c r="Y867" s="158"/>
      <c r="Z867" s="158"/>
      <c r="AA867" s="158"/>
      <c r="AB867" s="158"/>
      <c r="AC867" s="113">
        <v>230</v>
      </c>
      <c r="AD867" s="113">
        <v>25</v>
      </c>
      <c r="AE867" s="113">
        <v>35</v>
      </c>
      <c r="AF867" s="113">
        <v>40</v>
      </c>
      <c r="AG867" s="120">
        <v>20</v>
      </c>
      <c r="AH867" s="113">
        <v>30</v>
      </c>
      <c r="AI867" s="113">
        <v>80</v>
      </c>
    </row>
    <row r="868" spans="1:35">
      <c r="A868" s="113">
        <v>768</v>
      </c>
      <c r="B868" s="113" t="s">
        <v>2202</v>
      </c>
      <c r="C868" s="120" t="s">
        <v>6124</v>
      </c>
      <c r="D868" s="124">
        <v>0.5</v>
      </c>
      <c r="E868" s="124">
        <v>0.5</v>
      </c>
      <c r="F868" s="113" t="s">
        <v>29</v>
      </c>
      <c r="G868" s="113" t="s">
        <v>2702</v>
      </c>
      <c r="H868" s="113" t="s">
        <v>29</v>
      </c>
      <c r="I868" s="113" t="s">
        <v>25</v>
      </c>
      <c r="J868" s="118" t="s">
        <v>2129</v>
      </c>
      <c r="K868" s="118">
        <v>3</v>
      </c>
      <c r="L868" s="118" t="s">
        <v>6123</v>
      </c>
      <c r="M868" s="115" t="s">
        <v>6123</v>
      </c>
      <c r="N868" s="115" t="s">
        <v>6504</v>
      </c>
      <c r="O868" s="115">
        <v>1.5</v>
      </c>
      <c r="P868" s="115" t="s">
        <v>2128</v>
      </c>
      <c r="Q868" s="166"/>
      <c r="R868" s="164"/>
      <c r="S868" s="164"/>
      <c r="T868" s="164"/>
      <c r="U868" s="164"/>
      <c r="V868" s="162"/>
      <c r="W868" s="158"/>
      <c r="X868" s="158"/>
      <c r="Y868" s="158"/>
      <c r="Z868" s="158"/>
      <c r="AA868" s="158"/>
      <c r="AB868" s="158"/>
      <c r="AC868" s="113">
        <v>530</v>
      </c>
      <c r="AD868" s="113">
        <v>75</v>
      </c>
      <c r="AE868" s="113">
        <v>125</v>
      </c>
      <c r="AF868" s="113">
        <v>140</v>
      </c>
      <c r="AG868" s="120">
        <v>60</v>
      </c>
      <c r="AH868" s="113">
        <v>90</v>
      </c>
      <c r="AI868" s="113">
        <v>40</v>
      </c>
    </row>
    <row r="869" spans="1:35">
      <c r="A869" s="113">
        <v>769</v>
      </c>
      <c r="B869" s="113" t="s">
        <v>2203</v>
      </c>
      <c r="C869" s="120" t="s">
        <v>6125</v>
      </c>
      <c r="D869" s="124">
        <v>0.5</v>
      </c>
      <c r="E869" s="124">
        <v>0.5</v>
      </c>
      <c r="F869" s="113" t="s">
        <v>2336</v>
      </c>
      <c r="G869" s="113" t="s">
        <v>2702</v>
      </c>
      <c r="H869" s="113" t="s">
        <v>119</v>
      </c>
      <c r="I869" s="113" t="s">
        <v>49</v>
      </c>
      <c r="J869" s="118" t="s">
        <v>2129</v>
      </c>
      <c r="K869" s="118">
        <v>2</v>
      </c>
      <c r="L869" s="118" t="s">
        <v>6125</v>
      </c>
      <c r="M869" s="115" t="s">
        <v>1109</v>
      </c>
      <c r="N869" s="115" t="s">
        <v>6505</v>
      </c>
      <c r="O869" s="115">
        <v>1.25</v>
      </c>
      <c r="P869" s="115" t="s">
        <v>1109</v>
      </c>
      <c r="Q869" s="166"/>
      <c r="R869" s="164"/>
      <c r="S869" s="164"/>
      <c r="T869" s="164"/>
      <c r="U869" s="164"/>
      <c r="V869" s="162"/>
      <c r="W869" s="158"/>
      <c r="X869" s="158"/>
      <c r="Y869" s="158"/>
      <c r="Z869" s="158"/>
      <c r="AA869" s="158"/>
      <c r="AB869" s="158"/>
      <c r="AC869" s="113">
        <v>320</v>
      </c>
      <c r="AD869" s="113">
        <v>55</v>
      </c>
      <c r="AE869" s="113">
        <v>55</v>
      </c>
      <c r="AF869" s="113">
        <v>80</v>
      </c>
      <c r="AG869" s="120">
        <v>70</v>
      </c>
      <c r="AH869" s="113">
        <v>45</v>
      </c>
      <c r="AI869" s="113">
        <v>15</v>
      </c>
    </row>
    <row r="870" spans="1:35">
      <c r="A870" s="113">
        <v>770</v>
      </c>
      <c r="B870" s="113" t="s">
        <v>2204</v>
      </c>
      <c r="C870" s="120" t="s">
        <v>6126</v>
      </c>
      <c r="D870" s="124">
        <v>0.5</v>
      </c>
      <c r="E870" s="124">
        <v>0.5</v>
      </c>
      <c r="F870" s="113" t="s">
        <v>2336</v>
      </c>
      <c r="G870" s="113" t="s">
        <v>2702</v>
      </c>
      <c r="H870" s="113" t="s">
        <v>119</v>
      </c>
      <c r="I870" s="113" t="s">
        <v>49</v>
      </c>
      <c r="J870" s="118" t="s">
        <v>2129</v>
      </c>
      <c r="K870" s="118">
        <v>2</v>
      </c>
      <c r="L870" s="118" t="s">
        <v>6125</v>
      </c>
      <c r="M870" s="115" t="s">
        <v>6125</v>
      </c>
      <c r="N870" s="115" t="s">
        <v>6504</v>
      </c>
      <c r="O870" s="115">
        <v>1.25</v>
      </c>
      <c r="P870" s="115" t="s">
        <v>2128</v>
      </c>
      <c r="Q870" s="166"/>
      <c r="R870" s="164"/>
      <c r="S870" s="164"/>
      <c r="T870" s="164"/>
      <c r="U870" s="164"/>
      <c r="V870" s="162"/>
      <c r="W870" s="158"/>
      <c r="X870" s="158"/>
      <c r="Y870" s="158"/>
      <c r="Z870" s="158"/>
      <c r="AA870" s="158"/>
      <c r="AB870" s="158"/>
      <c r="AC870" s="113">
        <v>480</v>
      </c>
      <c r="AD870" s="113">
        <v>85</v>
      </c>
      <c r="AE870" s="113">
        <v>75</v>
      </c>
      <c r="AF870" s="113">
        <v>110</v>
      </c>
      <c r="AG870" s="120">
        <v>100</v>
      </c>
      <c r="AH870" s="113">
        <v>75</v>
      </c>
      <c r="AI870" s="113">
        <v>35</v>
      </c>
    </row>
    <row r="871" spans="1:35">
      <c r="A871" s="113">
        <v>771</v>
      </c>
      <c r="B871" s="113" t="s">
        <v>2205</v>
      </c>
      <c r="C871" s="120" t="s">
        <v>6127</v>
      </c>
      <c r="D871" s="124">
        <v>0.5</v>
      </c>
      <c r="E871" s="124">
        <v>0.5</v>
      </c>
      <c r="F871" s="113" t="s">
        <v>2337</v>
      </c>
      <c r="G871" s="113" t="s">
        <v>2702</v>
      </c>
      <c r="H871" s="113" t="s">
        <v>25</v>
      </c>
      <c r="I871" s="113" t="s">
        <v>1109</v>
      </c>
      <c r="J871" s="118" t="s">
        <v>2129</v>
      </c>
      <c r="K871" s="118">
        <v>2</v>
      </c>
      <c r="L871" s="118" t="s">
        <v>6127</v>
      </c>
      <c r="M871" s="115" t="s">
        <v>1109</v>
      </c>
      <c r="N871" s="115" t="s">
        <v>6504</v>
      </c>
      <c r="O871" s="115">
        <v>1.25</v>
      </c>
      <c r="P871" s="115" t="s">
        <v>1109</v>
      </c>
      <c r="Q871" s="166"/>
      <c r="R871" s="164"/>
      <c r="S871" s="164"/>
      <c r="T871" s="164"/>
      <c r="U871" s="164"/>
      <c r="V871" s="162"/>
      <c r="W871" s="158"/>
      <c r="X871" s="158"/>
      <c r="Y871" s="158"/>
      <c r="Z871" s="158"/>
      <c r="AA871" s="158"/>
      <c r="AB871" s="158"/>
      <c r="AC871" s="113">
        <v>410</v>
      </c>
      <c r="AD871" s="113">
        <v>55</v>
      </c>
      <c r="AE871" s="113">
        <v>60</v>
      </c>
      <c r="AF871" s="113">
        <v>130</v>
      </c>
      <c r="AG871" s="120">
        <v>30</v>
      </c>
      <c r="AH871" s="113">
        <v>130</v>
      </c>
      <c r="AI871" s="113">
        <v>5</v>
      </c>
    </row>
    <row r="872" spans="1:35">
      <c r="A872" s="113">
        <v>772</v>
      </c>
      <c r="B872" s="113" t="s">
        <v>4325</v>
      </c>
      <c r="C872" s="120" t="s">
        <v>6128</v>
      </c>
      <c r="D872" s="124" t="s">
        <v>1109</v>
      </c>
      <c r="E872" s="124" t="s">
        <v>1109</v>
      </c>
      <c r="F872" s="113" t="s">
        <v>2333</v>
      </c>
      <c r="G872" s="113" t="s">
        <v>2702</v>
      </c>
      <c r="H872" s="113" t="s">
        <v>36</v>
      </c>
      <c r="I872" s="113" t="s">
        <v>1109</v>
      </c>
      <c r="J872" s="118" t="s">
        <v>2129</v>
      </c>
      <c r="K872" s="118">
        <v>3</v>
      </c>
      <c r="L872" s="118" t="s">
        <v>6128</v>
      </c>
      <c r="M872" s="115" t="s">
        <v>1109</v>
      </c>
      <c r="N872" s="115" t="s">
        <v>6505</v>
      </c>
      <c r="O872" s="115">
        <v>1.5</v>
      </c>
      <c r="P872" s="115" t="s">
        <v>1109</v>
      </c>
      <c r="Q872" s="166"/>
      <c r="R872" s="164"/>
      <c r="S872" s="164"/>
      <c r="T872" s="164"/>
      <c r="U872" s="164"/>
      <c r="V872" s="162"/>
      <c r="W872" s="158"/>
      <c r="X872" s="158"/>
      <c r="Y872" s="158"/>
      <c r="Z872" s="158"/>
      <c r="AA872" s="158"/>
      <c r="AB872" s="158"/>
      <c r="AC872" s="113">
        <v>534</v>
      </c>
      <c r="AD872" s="113">
        <v>95</v>
      </c>
      <c r="AE872" s="113">
        <v>95</v>
      </c>
      <c r="AF872" s="113">
        <v>95</v>
      </c>
      <c r="AG872" s="120">
        <v>95</v>
      </c>
      <c r="AH872" s="113">
        <v>95</v>
      </c>
      <c r="AI872" s="113">
        <v>59</v>
      </c>
    </row>
    <row r="873" spans="1:35">
      <c r="A873" s="113">
        <v>773</v>
      </c>
      <c r="B873" s="113" t="s">
        <v>2291</v>
      </c>
      <c r="C873" s="120" t="s">
        <v>6129</v>
      </c>
      <c r="D873" s="124" t="s">
        <v>1109</v>
      </c>
      <c r="E873" s="124" t="s">
        <v>1109</v>
      </c>
      <c r="F873" s="113" t="s">
        <v>2333</v>
      </c>
      <c r="G873" s="113" t="s">
        <v>2702</v>
      </c>
      <c r="H873" s="113" t="s">
        <v>36</v>
      </c>
      <c r="I873" s="113" t="s">
        <v>1109</v>
      </c>
      <c r="J873" s="118" t="s">
        <v>2129</v>
      </c>
      <c r="K873" s="118">
        <v>3</v>
      </c>
      <c r="L873" s="118" t="s">
        <v>6128</v>
      </c>
      <c r="M873" s="115" t="s">
        <v>6128</v>
      </c>
      <c r="N873" s="115" t="s">
        <v>6504</v>
      </c>
      <c r="O873" s="115">
        <v>1.5</v>
      </c>
      <c r="P873" s="115" t="s">
        <v>2128</v>
      </c>
      <c r="Q873" s="166"/>
      <c r="R873" s="164"/>
      <c r="S873" s="164"/>
      <c r="T873" s="164"/>
      <c r="U873" s="164"/>
      <c r="V873" s="162"/>
      <c r="W873" s="158"/>
      <c r="X873" s="158"/>
      <c r="Y873" s="158"/>
      <c r="Z873" s="158"/>
      <c r="AA873" s="158"/>
      <c r="AB873" s="158"/>
      <c r="AC873" s="113">
        <v>570</v>
      </c>
      <c r="AD873" s="113">
        <v>95</v>
      </c>
      <c r="AE873" s="113">
        <v>95</v>
      </c>
      <c r="AF873" s="113">
        <v>95</v>
      </c>
      <c r="AG873" s="120">
        <v>95</v>
      </c>
      <c r="AH873" s="113">
        <v>95</v>
      </c>
      <c r="AI873" s="113">
        <v>95</v>
      </c>
    </row>
    <row r="874" spans="1:35">
      <c r="A874" s="113">
        <v>774</v>
      </c>
      <c r="B874" s="113" t="s">
        <v>2758</v>
      </c>
      <c r="C874" s="120" t="s">
        <v>6131</v>
      </c>
      <c r="D874" s="132" t="s">
        <v>1109</v>
      </c>
      <c r="E874" s="132" t="s">
        <v>1109</v>
      </c>
      <c r="F874" s="113" t="s">
        <v>2112</v>
      </c>
      <c r="G874" s="113" t="s">
        <v>2702</v>
      </c>
      <c r="H874" s="113" t="s">
        <v>98</v>
      </c>
      <c r="I874" s="113" t="s">
        <v>22</v>
      </c>
      <c r="J874" s="118" t="s">
        <v>2129</v>
      </c>
      <c r="K874" s="118">
        <v>2</v>
      </c>
      <c r="L874" s="118" t="s">
        <v>6131</v>
      </c>
      <c r="M874" s="115" t="s">
        <v>1109</v>
      </c>
      <c r="N874" s="115" t="s">
        <v>6504</v>
      </c>
      <c r="O874" s="115">
        <v>1.25</v>
      </c>
      <c r="P874" s="115" t="s">
        <v>1109</v>
      </c>
      <c r="Q874" s="166"/>
      <c r="R874" s="164"/>
      <c r="S874" s="164"/>
      <c r="T874" s="164"/>
      <c r="U874" s="164"/>
      <c r="V874" s="162"/>
      <c r="W874" s="158"/>
      <c r="X874" s="158"/>
      <c r="Y874" s="158"/>
      <c r="Z874" s="158"/>
      <c r="AA874" s="158"/>
      <c r="AB874" s="158"/>
      <c r="AC874" s="113">
        <v>440</v>
      </c>
      <c r="AD874" s="113">
        <v>60</v>
      </c>
      <c r="AE874" s="113">
        <v>60</v>
      </c>
      <c r="AF874" s="113">
        <v>100</v>
      </c>
      <c r="AG874" s="120">
        <v>60</v>
      </c>
      <c r="AH874" s="113">
        <v>100</v>
      </c>
      <c r="AI874" s="113">
        <v>60</v>
      </c>
    </row>
    <row r="875" spans="1:35">
      <c r="A875" s="113">
        <v>774</v>
      </c>
      <c r="B875" s="113" t="s">
        <v>2759</v>
      </c>
      <c r="C875" s="120" t="s">
        <v>6130</v>
      </c>
      <c r="D875" s="132" t="s">
        <v>1109</v>
      </c>
      <c r="E875" s="132" t="s">
        <v>1109</v>
      </c>
      <c r="F875" s="113" t="s">
        <v>2112</v>
      </c>
      <c r="G875" s="113" t="s">
        <v>2702</v>
      </c>
      <c r="H875" s="113" t="s">
        <v>98</v>
      </c>
      <c r="I875" s="113" t="s">
        <v>22</v>
      </c>
      <c r="J875" s="118" t="s">
        <v>2129</v>
      </c>
      <c r="K875" s="118">
        <v>2</v>
      </c>
      <c r="L875" s="118" t="s">
        <v>6131</v>
      </c>
      <c r="M875" s="115" t="s">
        <v>1109</v>
      </c>
      <c r="N875" s="115" t="s">
        <v>6504</v>
      </c>
      <c r="O875" s="115">
        <v>1.25</v>
      </c>
      <c r="P875" s="115" t="s">
        <v>1109</v>
      </c>
      <c r="Q875" s="166"/>
      <c r="R875" s="164"/>
      <c r="S875" s="164"/>
      <c r="T875" s="164"/>
      <c r="U875" s="164"/>
      <c r="V875" s="162"/>
      <c r="W875" s="158"/>
      <c r="X875" s="158"/>
      <c r="Y875" s="158"/>
      <c r="Z875" s="158"/>
      <c r="AA875" s="158"/>
      <c r="AB875" s="158"/>
      <c r="AC875" s="113">
        <v>500</v>
      </c>
      <c r="AD875" s="113">
        <v>60</v>
      </c>
      <c r="AE875" s="113">
        <v>100</v>
      </c>
      <c r="AF875" s="113">
        <v>60</v>
      </c>
      <c r="AG875" s="120">
        <v>100</v>
      </c>
      <c r="AH875" s="113">
        <v>60</v>
      </c>
      <c r="AI875" s="113">
        <v>120</v>
      </c>
    </row>
    <row r="876" spans="1:35">
      <c r="A876" s="113">
        <v>775</v>
      </c>
      <c r="B876" s="113" t="s">
        <v>2206</v>
      </c>
      <c r="C876" s="120" t="s">
        <v>6132</v>
      </c>
      <c r="D876" s="124">
        <v>0.5</v>
      </c>
      <c r="E876" s="124">
        <v>0.5</v>
      </c>
      <c r="F876" s="113" t="s">
        <v>2332</v>
      </c>
      <c r="G876" s="113" t="s">
        <v>2702</v>
      </c>
      <c r="H876" s="113" t="s">
        <v>36</v>
      </c>
      <c r="I876" s="113" t="s">
        <v>1109</v>
      </c>
      <c r="J876" s="118" t="s">
        <v>2129</v>
      </c>
      <c r="K876" s="118">
        <v>2</v>
      </c>
      <c r="L876" s="118" t="s">
        <v>6132</v>
      </c>
      <c r="M876" s="115" t="s">
        <v>1109</v>
      </c>
      <c r="N876" s="115" t="s">
        <v>6504</v>
      </c>
      <c r="O876" s="115">
        <v>1.25</v>
      </c>
      <c r="P876" s="115" t="s">
        <v>1109</v>
      </c>
      <c r="Q876" s="166"/>
      <c r="R876" s="164"/>
      <c r="S876" s="164"/>
      <c r="T876" s="164"/>
      <c r="U876" s="164"/>
      <c r="V876" s="162"/>
      <c r="W876" s="158"/>
      <c r="X876" s="158"/>
      <c r="Y876" s="158"/>
      <c r="Z876" s="158"/>
      <c r="AA876" s="158"/>
      <c r="AB876" s="158"/>
      <c r="AC876" s="113">
        <v>480</v>
      </c>
      <c r="AD876" s="113">
        <v>65</v>
      </c>
      <c r="AE876" s="113">
        <v>115</v>
      </c>
      <c r="AF876" s="113">
        <v>65</v>
      </c>
      <c r="AG876" s="120">
        <v>75</v>
      </c>
      <c r="AH876" s="113">
        <v>95</v>
      </c>
      <c r="AI876" s="113">
        <v>65</v>
      </c>
    </row>
    <row r="877" spans="1:35">
      <c r="A877" s="113">
        <v>776</v>
      </c>
      <c r="B877" s="113" t="s">
        <v>2207</v>
      </c>
      <c r="C877" s="120" t="s">
        <v>6133</v>
      </c>
      <c r="D877" s="124">
        <v>0.5</v>
      </c>
      <c r="E877" s="124">
        <v>0.5</v>
      </c>
      <c r="F877" s="113" t="s">
        <v>23</v>
      </c>
      <c r="G877" s="113" t="s">
        <v>2702</v>
      </c>
      <c r="H877" s="113" t="s">
        <v>19</v>
      </c>
      <c r="I877" s="113" t="s">
        <v>23</v>
      </c>
      <c r="J877" s="118" t="s">
        <v>2129</v>
      </c>
      <c r="K877" s="118">
        <v>2</v>
      </c>
      <c r="L877" s="118" t="s">
        <v>6133</v>
      </c>
      <c r="M877" s="115" t="s">
        <v>1109</v>
      </c>
      <c r="N877" s="115" t="s">
        <v>6504</v>
      </c>
      <c r="O877" s="115">
        <v>1.25</v>
      </c>
      <c r="P877" s="115" t="s">
        <v>1109</v>
      </c>
      <c r="Q877" s="166"/>
      <c r="R877" s="164"/>
      <c r="S877" s="164"/>
      <c r="T877" s="164"/>
      <c r="U877" s="164"/>
      <c r="V877" s="162"/>
      <c r="W877" s="158"/>
      <c r="X877" s="158"/>
      <c r="Y877" s="158"/>
      <c r="Z877" s="158"/>
      <c r="AA877" s="158"/>
      <c r="AB877" s="158"/>
      <c r="AC877" s="113">
        <v>485</v>
      </c>
      <c r="AD877" s="113">
        <v>60</v>
      </c>
      <c r="AE877" s="113">
        <v>78</v>
      </c>
      <c r="AF877" s="113">
        <v>135</v>
      </c>
      <c r="AG877" s="120">
        <v>91</v>
      </c>
      <c r="AH877" s="113">
        <v>85</v>
      </c>
      <c r="AI877" s="113">
        <v>36</v>
      </c>
    </row>
    <row r="878" spans="1:35">
      <c r="A878" s="113">
        <v>777</v>
      </c>
      <c r="B878" s="113" t="s">
        <v>2208</v>
      </c>
      <c r="C878" s="120" t="s">
        <v>6134</v>
      </c>
      <c r="D878" s="124">
        <v>0.5</v>
      </c>
      <c r="E878" s="124">
        <v>0.5</v>
      </c>
      <c r="F878" s="113" t="s">
        <v>56</v>
      </c>
      <c r="G878" s="113" t="s">
        <v>2702</v>
      </c>
      <c r="H878" s="113" t="s">
        <v>46</v>
      </c>
      <c r="I878" s="113" t="s">
        <v>106</v>
      </c>
      <c r="J878" s="118" t="s">
        <v>2129</v>
      </c>
      <c r="K878" s="118">
        <v>2</v>
      </c>
      <c r="L878" s="118" t="s">
        <v>6134</v>
      </c>
      <c r="M878" s="115" t="s">
        <v>1109</v>
      </c>
      <c r="N878" s="115" t="s">
        <v>6504</v>
      </c>
      <c r="O878" s="115">
        <v>1.25</v>
      </c>
      <c r="P878" s="115" t="s">
        <v>1109</v>
      </c>
      <c r="Q878" s="166"/>
      <c r="R878" s="164"/>
      <c r="S878" s="164"/>
      <c r="T878" s="164"/>
      <c r="U878" s="164"/>
      <c r="V878" s="162"/>
      <c r="W878" s="158"/>
      <c r="X878" s="158"/>
      <c r="Y878" s="158"/>
      <c r="Z878" s="158"/>
      <c r="AA878" s="158"/>
      <c r="AB878" s="158"/>
      <c r="AC878" s="113">
        <v>435</v>
      </c>
      <c r="AD878" s="113">
        <v>65</v>
      </c>
      <c r="AE878" s="113">
        <v>98</v>
      </c>
      <c r="AF878" s="113">
        <v>63</v>
      </c>
      <c r="AG878" s="120">
        <v>40</v>
      </c>
      <c r="AH878" s="113">
        <v>73</v>
      </c>
      <c r="AI878" s="113">
        <v>96</v>
      </c>
    </row>
    <row r="879" spans="1:35">
      <c r="A879" s="113">
        <v>778</v>
      </c>
      <c r="B879" s="113" t="s">
        <v>2209</v>
      </c>
      <c r="C879" s="120" t="s">
        <v>6135</v>
      </c>
      <c r="D879" s="124">
        <v>0.5</v>
      </c>
      <c r="E879" s="124">
        <v>0.5</v>
      </c>
      <c r="F879" s="113" t="s">
        <v>2336</v>
      </c>
      <c r="G879" s="113" t="s">
        <v>2702</v>
      </c>
      <c r="H879" s="113" t="s">
        <v>119</v>
      </c>
      <c r="I879" s="113" t="s">
        <v>56</v>
      </c>
      <c r="J879" s="118" t="s">
        <v>2129</v>
      </c>
      <c r="K879" s="118">
        <v>3</v>
      </c>
      <c r="L879" s="118" t="s">
        <v>6135</v>
      </c>
      <c r="M879" s="115" t="s">
        <v>1109</v>
      </c>
      <c r="N879" s="115" t="s">
        <v>6504</v>
      </c>
      <c r="O879" s="115">
        <v>1.5</v>
      </c>
      <c r="P879" s="115" t="s">
        <v>1109</v>
      </c>
      <c r="Q879" s="166"/>
      <c r="R879" s="164"/>
      <c r="S879" s="164"/>
      <c r="T879" s="164"/>
      <c r="U879" s="164"/>
      <c r="V879" s="162"/>
      <c r="W879" s="158"/>
      <c r="X879" s="158"/>
      <c r="Y879" s="158"/>
      <c r="Z879" s="158"/>
      <c r="AA879" s="158"/>
      <c r="AB879" s="158"/>
      <c r="AC879" s="113">
        <v>476</v>
      </c>
      <c r="AD879" s="113">
        <v>55</v>
      </c>
      <c r="AE879" s="113">
        <v>90</v>
      </c>
      <c r="AF879" s="113">
        <v>80</v>
      </c>
      <c r="AG879" s="120">
        <v>50</v>
      </c>
      <c r="AH879" s="113">
        <v>105</v>
      </c>
      <c r="AI879" s="113">
        <v>96</v>
      </c>
    </row>
    <row r="880" spans="1:35">
      <c r="A880" s="113">
        <v>779</v>
      </c>
      <c r="B880" s="113" t="s">
        <v>2210</v>
      </c>
      <c r="C880" s="120" t="s">
        <v>6136</v>
      </c>
      <c r="D880" s="124">
        <v>0.5</v>
      </c>
      <c r="E880" s="124">
        <v>0.5</v>
      </c>
      <c r="F880" s="113" t="s">
        <v>2337</v>
      </c>
      <c r="G880" s="113" t="s">
        <v>2702</v>
      </c>
      <c r="H880" s="113" t="s">
        <v>25</v>
      </c>
      <c r="I880" s="113" t="s">
        <v>86</v>
      </c>
      <c r="J880" s="118" t="s">
        <v>2129</v>
      </c>
      <c r="K880" s="118">
        <v>2</v>
      </c>
      <c r="L880" s="118" t="s">
        <v>6136</v>
      </c>
      <c r="M880" s="115" t="s">
        <v>1109</v>
      </c>
      <c r="N880" s="115" t="s">
        <v>6504</v>
      </c>
      <c r="O880" s="115">
        <v>1.25</v>
      </c>
      <c r="P880" s="115" t="s">
        <v>1109</v>
      </c>
      <c r="Q880" s="166"/>
      <c r="R880" s="164"/>
      <c r="S880" s="164"/>
      <c r="T880" s="164"/>
      <c r="U880" s="164"/>
      <c r="V880" s="162"/>
      <c r="W880" s="158"/>
      <c r="X880" s="158"/>
      <c r="Y880" s="158"/>
      <c r="Z880" s="158"/>
      <c r="AA880" s="158"/>
      <c r="AB880" s="158"/>
      <c r="AC880" s="113">
        <v>475</v>
      </c>
      <c r="AD880" s="113">
        <v>68</v>
      </c>
      <c r="AE880" s="113">
        <v>105</v>
      </c>
      <c r="AF880" s="113">
        <v>70</v>
      </c>
      <c r="AG880" s="120">
        <v>70</v>
      </c>
      <c r="AH880" s="113">
        <v>70</v>
      </c>
      <c r="AI880" s="113">
        <v>92</v>
      </c>
    </row>
    <row r="881" spans="1:35">
      <c r="A881" s="113">
        <v>780</v>
      </c>
      <c r="B881" s="113" t="s">
        <v>2211</v>
      </c>
      <c r="C881" s="120" t="s">
        <v>6137</v>
      </c>
      <c r="D881" s="124">
        <v>0.5</v>
      </c>
      <c r="E881" s="124">
        <v>0.5</v>
      </c>
      <c r="F881" s="113" t="s">
        <v>23</v>
      </c>
      <c r="G881" s="113" t="s">
        <v>2702</v>
      </c>
      <c r="H881" s="113" t="s">
        <v>36</v>
      </c>
      <c r="I881" s="113" t="s">
        <v>23</v>
      </c>
      <c r="J881" s="118" t="s">
        <v>2129</v>
      </c>
      <c r="K881" s="118">
        <v>3</v>
      </c>
      <c r="L881" s="118" t="s">
        <v>6137</v>
      </c>
      <c r="M881" s="115" t="s">
        <v>1109</v>
      </c>
      <c r="N881" s="115" t="s">
        <v>6504</v>
      </c>
      <c r="O881" s="115">
        <v>1.5</v>
      </c>
      <c r="P881" s="115" t="s">
        <v>1109</v>
      </c>
      <c r="Q881" s="166"/>
      <c r="R881" s="164"/>
      <c r="S881" s="164"/>
      <c r="T881" s="164"/>
      <c r="U881" s="164"/>
      <c r="V881" s="162"/>
      <c r="W881" s="158"/>
      <c r="X881" s="158"/>
      <c r="Y881" s="158"/>
      <c r="Z881" s="158"/>
      <c r="AA881" s="158"/>
      <c r="AB881" s="158"/>
      <c r="AC881" s="113">
        <v>485</v>
      </c>
      <c r="AD881" s="113">
        <v>78</v>
      </c>
      <c r="AE881" s="113">
        <v>60</v>
      </c>
      <c r="AF881" s="113">
        <v>85</v>
      </c>
      <c r="AG881" s="120">
        <v>135</v>
      </c>
      <c r="AH881" s="113">
        <v>91</v>
      </c>
      <c r="AI881" s="113">
        <v>36</v>
      </c>
    </row>
    <row r="882" spans="1:35">
      <c r="A882" s="113">
        <v>781</v>
      </c>
      <c r="B882" s="113" t="s">
        <v>2283</v>
      </c>
      <c r="C882" s="120" t="s">
        <v>6138</v>
      </c>
      <c r="D882" s="124" t="s">
        <v>1109</v>
      </c>
      <c r="E882" s="124" t="s">
        <v>1109</v>
      </c>
      <c r="F882" s="113" t="s">
        <v>2112</v>
      </c>
      <c r="G882" s="113" t="s">
        <v>2702</v>
      </c>
      <c r="H882" s="113" t="s">
        <v>119</v>
      </c>
      <c r="I882" s="113" t="s">
        <v>14</v>
      </c>
      <c r="J882" s="118" t="s">
        <v>2129</v>
      </c>
      <c r="K882" s="118">
        <v>3</v>
      </c>
      <c r="L882" s="118" t="s">
        <v>6138</v>
      </c>
      <c r="M882" s="115" t="s">
        <v>1109</v>
      </c>
      <c r="N882" s="115" t="s">
        <v>6504</v>
      </c>
      <c r="O882" s="115">
        <v>1.5</v>
      </c>
      <c r="P882" s="115" t="s">
        <v>1109</v>
      </c>
      <c r="Q882" s="166"/>
      <c r="R882" s="164"/>
      <c r="S882" s="164"/>
      <c r="T882" s="164"/>
      <c r="U882" s="164"/>
      <c r="V882" s="162"/>
      <c r="W882" s="158"/>
      <c r="X882" s="158"/>
      <c r="Y882" s="158"/>
      <c r="Z882" s="158"/>
      <c r="AA882" s="158"/>
      <c r="AB882" s="158"/>
      <c r="AC882" s="113">
        <v>517</v>
      </c>
      <c r="AD882" s="113">
        <v>70</v>
      </c>
      <c r="AE882" s="113">
        <v>131</v>
      </c>
      <c r="AF882" s="113">
        <v>100</v>
      </c>
      <c r="AG882" s="120">
        <v>86</v>
      </c>
      <c r="AH882" s="113">
        <v>90</v>
      </c>
      <c r="AI882" s="113">
        <v>40</v>
      </c>
    </row>
    <row r="883" spans="1:35">
      <c r="A883" s="113">
        <v>782</v>
      </c>
      <c r="B883" s="113" t="s">
        <v>2212</v>
      </c>
      <c r="C883" s="120" t="s">
        <v>6139</v>
      </c>
      <c r="D883" s="124">
        <v>0.5</v>
      </c>
      <c r="E883" s="124">
        <v>0.5</v>
      </c>
      <c r="F883" s="113" t="s">
        <v>23</v>
      </c>
      <c r="G883" s="113" t="s">
        <v>2702</v>
      </c>
      <c r="H883" s="113" t="s">
        <v>23</v>
      </c>
      <c r="I883" s="113" t="s">
        <v>1109</v>
      </c>
      <c r="J883" s="118" t="s">
        <v>2129</v>
      </c>
      <c r="K883" s="118">
        <v>3</v>
      </c>
      <c r="L883" s="118" t="s">
        <v>6139</v>
      </c>
      <c r="M883" s="115" t="s">
        <v>1109</v>
      </c>
      <c r="N883" s="115" t="s">
        <v>6505</v>
      </c>
      <c r="O883" s="115">
        <v>1.5</v>
      </c>
      <c r="P883" s="115" t="s">
        <v>1109</v>
      </c>
      <c r="Q883" s="166"/>
      <c r="R883" s="164"/>
      <c r="S883" s="164"/>
      <c r="T883" s="164"/>
      <c r="U883" s="164"/>
      <c r="V883" s="162"/>
      <c r="W883" s="158"/>
      <c r="X883" s="158"/>
      <c r="Y883" s="158"/>
      <c r="Z883" s="158"/>
      <c r="AA883" s="158"/>
      <c r="AB883" s="158"/>
      <c r="AC883" s="113">
        <v>300</v>
      </c>
      <c r="AD883" s="113">
        <v>45</v>
      </c>
      <c r="AE883" s="113">
        <v>55</v>
      </c>
      <c r="AF883" s="113">
        <v>65</v>
      </c>
      <c r="AG883" s="120">
        <v>45</v>
      </c>
      <c r="AH883" s="113">
        <v>45</v>
      </c>
      <c r="AI883" s="113">
        <v>45</v>
      </c>
    </row>
    <row r="884" spans="1:35">
      <c r="A884" s="113">
        <v>783</v>
      </c>
      <c r="B884" s="113" t="s">
        <v>2213</v>
      </c>
      <c r="C884" s="120" t="s">
        <v>6140</v>
      </c>
      <c r="D884" s="124">
        <v>0.5</v>
      </c>
      <c r="E884" s="124">
        <v>0.5</v>
      </c>
      <c r="F884" s="113" t="s">
        <v>23</v>
      </c>
      <c r="G884" s="113" t="s">
        <v>2702</v>
      </c>
      <c r="H884" s="113" t="s">
        <v>23</v>
      </c>
      <c r="I884" s="113" t="s">
        <v>78</v>
      </c>
      <c r="J884" s="118" t="s">
        <v>2129</v>
      </c>
      <c r="K884" s="118">
        <v>3</v>
      </c>
      <c r="L884" s="118" t="s">
        <v>6139</v>
      </c>
      <c r="M884" s="115" t="s">
        <v>6139</v>
      </c>
      <c r="N884" s="115" t="s">
        <v>6506</v>
      </c>
      <c r="O884" s="115">
        <v>1.5</v>
      </c>
      <c r="P884" s="115" t="s">
        <v>2128</v>
      </c>
      <c r="Q884" s="166"/>
      <c r="R884" s="164"/>
      <c r="S884" s="164"/>
      <c r="T884" s="164"/>
      <c r="U884" s="164"/>
      <c r="V884" s="162"/>
      <c r="W884" s="158"/>
      <c r="X884" s="158"/>
      <c r="Y884" s="158"/>
      <c r="Z884" s="158"/>
      <c r="AA884" s="158"/>
      <c r="AB884" s="158"/>
      <c r="AC884" s="113">
        <v>420</v>
      </c>
      <c r="AD884" s="113">
        <v>55</v>
      </c>
      <c r="AE884" s="113">
        <v>75</v>
      </c>
      <c r="AF884" s="113">
        <v>90</v>
      </c>
      <c r="AG884" s="120">
        <v>65</v>
      </c>
      <c r="AH884" s="113">
        <v>70</v>
      </c>
      <c r="AI884" s="113">
        <v>65</v>
      </c>
    </row>
    <row r="885" spans="1:35">
      <c r="A885" s="113">
        <v>784</v>
      </c>
      <c r="B885" s="113" t="s">
        <v>2214</v>
      </c>
      <c r="C885" s="120" t="s">
        <v>6141</v>
      </c>
      <c r="D885" s="124">
        <v>0.5</v>
      </c>
      <c r="E885" s="124">
        <v>0.5</v>
      </c>
      <c r="F885" s="113" t="s">
        <v>23</v>
      </c>
      <c r="G885" s="113" t="s">
        <v>2702</v>
      </c>
      <c r="H885" s="113" t="s">
        <v>23</v>
      </c>
      <c r="I885" s="113" t="s">
        <v>78</v>
      </c>
      <c r="J885" s="118" t="s">
        <v>2129</v>
      </c>
      <c r="K885" s="118">
        <v>3</v>
      </c>
      <c r="L885" s="118" t="s">
        <v>6139</v>
      </c>
      <c r="M885" s="115" t="s">
        <v>6140</v>
      </c>
      <c r="N885" s="115" t="s">
        <v>6504</v>
      </c>
      <c r="O885" s="115">
        <v>1.5</v>
      </c>
      <c r="P885" s="115" t="s">
        <v>2128</v>
      </c>
      <c r="Q885" s="166"/>
      <c r="R885" s="164"/>
      <c r="S885" s="164"/>
      <c r="T885" s="164"/>
      <c r="U885" s="164"/>
      <c r="V885" s="162"/>
      <c r="W885" s="158"/>
      <c r="X885" s="158"/>
      <c r="Y885" s="158"/>
      <c r="Z885" s="158"/>
      <c r="AA885" s="158"/>
      <c r="AB885" s="158"/>
      <c r="AC885" s="113">
        <v>600</v>
      </c>
      <c r="AD885" s="113">
        <v>75</v>
      </c>
      <c r="AE885" s="113">
        <v>110</v>
      </c>
      <c r="AF885" s="113">
        <v>125</v>
      </c>
      <c r="AG885" s="120">
        <v>100</v>
      </c>
      <c r="AH885" s="113">
        <v>105</v>
      </c>
      <c r="AI885" s="113">
        <v>85</v>
      </c>
    </row>
    <row r="886" spans="1:35">
      <c r="A886" s="113">
        <v>785</v>
      </c>
      <c r="B886" s="113" t="s">
        <v>2292</v>
      </c>
      <c r="C886" s="120" t="s">
        <v>6142</v>
      </c>
      <c r="D886" s="124" t="s">
        <v>1109</v>
      </c>
      <c r="E886" s="124" t="s">
        <v>1109</v>
      </c>
      <c r="F886" s="113" t="s">
        <v>2333</v>
      </c>
      <c r="G886" s="113" t="s">
        <v>2702</v>
      </c>
      <c r="H886" s="113" t="s">
        <v>46</v>
      </c>
      <c r="I886" s="113" t="s">
        <v>56</v>
      </c>
      <c r="J886" s="118" t="s">
        <v>12</v>
      </c>
      <c r="K886" s="118">
        <v>5</v>
      </c>
      <c r="L886" s="118" t="s">
        <v>6142</v>
      </c>
      <c r="M886" s="115" t="s">
        <v>1109</v>
      </c>
      <c r="N886" s="115" t="s">
        <v>6504</v>
      </c>
      <c r="O886" s="115">
        <v>2</v>
      </c>
      <c r="P886" s="115" t="s">
        <v>1109</v>
      </c>
      <c r="Q886" s="166"/>
      <c r="R886" s="164"/>
      <c r="S886" s="164"/>
      <c r="T886" s="164"/>
      <c r="U886" s="164"/>
      <c r="V886" s="162"/>
      <c r="W886" s="158"/>
      <c r="X886" s="158"/>
      <c r="Y886" s="158"/>
      <c r="Z886" s="158"/>
      <c r="AA886" s="158"/>
      <c r="AB886" s="158"/>
      <c r="AC886" s="113">
        <v>570</v>
      </c>
      <c r="AD886" s="113">
        <v>70</v>
      </c>
      <c r="AE886" s="113">
        <v>115</v>
      </c>
      <c r="AF886" s="113">
        <v>85</v>
      </c>
      <c r="AG886" s="120">
        <v>95</v>
      </c>
      <c r="AH886" s="113">
        <v>75</v>
      </c>
      <c r="AI886" s="113">
        <v>130</v>
      </c>
    </row>
    <row r="887" spans="1:35">
      <c r="A887" s="113">
        <v>786</v>
      </c>
      <c r="B887" s="113" t="s">
        <v>2293</v>
      </c>
      <c r="C887" s="120" t="s">
        <v>6143</v>
      </c>
      <c r="D887" s="124" t="s">
        <v>1109</v>
      </c>
      <c r="E887" s="124" t="s">
        <v>1109</v>
      </c>
      <c r="F887" s="113" t="s">
        <v>2333</v>
      </c>
      <c r="G887" s="113" t="s">
        <v>2702</v>
      </c>
      <c r="H887" s="113" t="s">
        <v>86</v>
      </c>
      <c r="I887" s="113" t="s">
        <v>56</v>
      </c>
      <c r="J887" s="118" t="s">
        <v>12</v>
      </c>
      <c r="K887" s="118">
        <v>5</v>
      </c>
      <c r="L887" s="118" t="s">
        <v>6143</v>
      </c>
      <c r="M887" s="115" t="s">
        <v>1109</v>
      </c>
      <c r="N887" s="115" t="s">
        <v>6504</v>
      </c>
      <c r="O887" s="115">
        <v>2</v>
      </c>
      <c r="P887" s="115" t="s">
        <v>1109</v>
      </c>
      <c r="Q887" s="166"/>
      <c r="R887" s="164"/>
      <c r="S887" s="164"/>
      <c r="T887" s="164"/>
      <c r="U887" s="164"/>
      <c r="V887" s="162"/>
      <c r="W887" s="158"/>
      <c r="X887" s="158"/>
      <c r="Y887" s="158"/>
      <c r="Z887" s="158"/>
      <c r="AA887" s="158"/>
      <c r="AB887" s="158"/>
      <c r="AC887" s="113">
        <v>570</v>
      </c>
      <c r="AD887" s="113">
        <v>70</v>
      </c>
      <c r="AE887" s="113">
        <v>85</v>
      </c>
      <c r="AF887" s="113">
        <v>75</v>
      </c>
      <c r="AG887" s="120">
        <v>130</v>
      </c>
      <c r="AH887" s="113">
        <v>115</v>
      </c>
      <c r="AI887" s="113">
        <v>95</v>
      </c>
    </row>
    <row r="888" spans="1:35">
      <c r="A888" s="113">
        <v>787</v>
      </c>
      <c r="B888" s="113" t="s">
        <v>2294</v>
      </c>
      <c r="C888" s="120" t="s">
        <v>6144</v>
      </c>
      <c r="D888" s="124" t="s">
        <v>1109</v>
      </c>
      <c r="E888" s="124" t="s">
        <v>1109</v>
      </c>
      <c r="F888" s="113" t="s">
        <v>2333</v>
      </c>
      <c r="G888" s="113" t="s">
        <v>2702</v>
      </c>
      <c r="H888" s="113" t="s">
        <v>14</v>
      </c>
      <c r="I888" s="113" t="s">
        <v>56</v>
      </c>
      <c r="J888" s="118" t="s">
        <v>12</v>
      </c>
      <c r="K888" s="118">
        <v>5</v>
      </c>
      <c r="L888" s="118" t="s">
        <v>6144</v>
      </c>
      <c r="M888" s="115" t="s">
        <v>1109</v>
      </c>
      <c r="N888" s="115" t="s">
        <v>6504</v>
      </c>
      <c r="O888" s="115">
        <v>2</v>
      </c>
      <c r="P888" s="115" t="s">
        <v>1109</v>
      </c>
      <c r="Q888" s="166"/>
      <c r="R888" s="164"/>
      <c r="S888" s="164"/>
      <c r="T888" s="164"/>
      <c r="U888" s="164"/>
      <c r="V888" s="162"/>
      <c r="W888" s="158"/>
      <c r="X888" s="158"/>
      <c r="Y888" s="158"/>
      <c r="Z888" s="158"/>
      <c r="AA888" s="158"/>
      <c r="AB888" s="158"/>
      <c r="AC888" s="113">
        <v>570</v>
      </c>
      <c r="AD888" s="113">
        <v>70</v>
      </c>
      <c r="AE888" s="113">
        <v>130</v>
      </c>
      <c r="AF888" s="113">
        <v>115</v>
      </c>
      <c r="AG888" s="120">
        <v>85</v>
      </c>
      <c r="AH888" s="113">
        <v>95</v>
      </c>
      <c r="AI888" s="113">
        <v>75</v>
      </c>
    </row>
    <row r="889" spans="1:35">
      <c r="A889" s="113">
        <v>788</v>
      </c>
      <c r="B889" s="113" t="s">
        <v>2295</v>
      </c>
      <c r="C889" s="120" t="s">
        <v>6145</v>
      </c>
      <c r="D889" s="124" t="s">
        <v>1109</v>
      </c>
      <c r="E889" s="124" t="s">
        <v>1109</v>
      </c>
      <c r="F889" s="113" t="s">
        <v>2333</v>
      </c>
      <c r="G889" s="113" t="s">
        <v>2702</v>
      </c>
      <c r="H889" s="113" t="s">
        <v>25</v>
      </c>
      <c r="I889" s="113" t="s">
        <v>56</v>
      </c>
      <c r="J889" s="118" t="s">
        <v>12</v>
      </c>
      <c r="K889" s="118">
        <v>5</v>
      </c>
      <c r="L889" s="118" t="s">
        <v>6145</v>
      </c>
      <c r="M889" s="115" t="s">
        <v>1109</v>
      </c>
      <c r="N889" s="115" t="s">
        <v>6504</v>
      </c>
      <c r="O889" s="115">
        <v>2</v>
      </c>
      <c r="P889" s="115" t="s">
        <v>1109</v>
      </c>
      <c r="Q889" s="166"/>
      <c r="R889" s="164"/>
      <c r="S889" s="164"/>
      <c r="T889" s="164"/>
      <c r="U889" s="164"/>
      <c r="V889" s="162"/>
      <c r="W889" s="158"/>
      <c r="X889" s="158"/>
      <c r="Y889" s="158"/>
      <c r="Z889" s="158"/>
      <c r="AA889" s="158"/>
      <c r="AB889" s="158"/>
      <c r="AC889" s="113">
        <v>570</v>
      </c>
      <c r="AD889" s="113">
        <v>70</v>
      </c>
      <c r="AE889" s="113">
        <v>75</v>
      </c>
      <c r="AF889" s="113">
        <v>115</v>
      </c>
      <c r="AG889" s="120">
        <v>95</v>
      </c>
      <c r="AH889" s="113">
        <v>130</v>
      </c>
      <c r="AI889" s="113">
        <v>85</v>
      </c>
    </row>
    <row r="890" spans="1:35">
      <c r="A890" s="113">
        <v>789</v>
      </c>
      <c r="B890" s="113" t="s">
        <v>2296</v>
      </c>
      <c r="C890" s="120" t="s">
        <v>6146</v>
      </c>
      <c r="D890" s="124" t="s">
        <v>1109</v>
      </c>
      <c r="E890" s="124" t="s">
        <v>1109</v>
      </c>
      <c r="F890" s="113" t="s">
        <v>2333</v>
      </c>
      <c r="G890" s="113" t="s">
        <v>2702</v>
      </c>
      <c r="H890" s="113" t="s">
        <v>86</v>
      </c>
      <c r="I890" s="113" t="s">
        <v>1109</v>
      </c>
      <c r="J890" s="118" t="s">
        <v>12</v>
      </c>
      <c r="K890" s="118">
        <v>5</v>
      </c>
      <c r="L890" s="118" t="s">
        <v>6146</v>
      </c>
      <c r="M890" s="115" t="s">
        <v>1109</v>
      </c>
      <c r="N890" s="115" t="s">
        <v>6505</v>
      </c>
      <c r="O890" s="115">
        <v>2</v>
      </c>
      <c r="P890" s="115" t="s">
        <v>1109</v>
      </c>
      <c r="Q890" s="166"/>
      <c r="R890" s="164"/>
      <c r="S890" s="164"/>
      <c r="T890" s="164"/>
      <c r="U890" s="164"/>
      <c r="V890" s="162"/>
      <c r="W890" s="158"/>
      <c r="X890" s="158"/>
      <c r="Y890" s="158"/>
      <c r="Z890" s="158"/>
      <c r="AA890" s="158"/>
      <c r="AB890" s="158"/>
      <c r="AC890" s="113">
        <v>200</v>
      </c>
      <c r="AD890" s="113">
        <v>43</v>
      </c>
      <c r="AE890" s="113">
        <v>29</v>
      </c>
      <c r="AF890" s="113">
        <v>31</v>
      </c>
      <c r="AG890" s="120">
        <v>29</v>
      </c>
      <c r="AH890" s="113">
        <v>31</v>
      </c>
      <c r="AI890" s="113">
        <v>37</v>
      </c>
    </row>
    <row r="891" spans="1:35">
      <c r="A891" s="113">
        <v>790</v>
      </c>
      <c r="B891" s="113" t="s">
        <v>2297</v>
      </c>
      <c r="C891" s="120" t="s">
        <v>6147</v>
      </c>
      <c r="D891" s="124" t="s">
        <v>1109</v>
      </c>
      <c r="E891" s="124" t="s">
        <v>1109</v>
      </c>
      <c r="F891" s="113" t="s">
        <v>2333</v>
      </c>
      <c r="G891" s="113" t="s">
        <v>2702</v>
      </c>
      <c r="H891" s="113" t="s">
        <v>86</v>
      </c>
      <c r="I891" s="113" t="s">
        <v>1109</v>
      </c>
      <c r="J891" s="118" t="s">
        <v>12</v>
      </c>
      <c r="K891" s="118">
        <v>5</v>
      </c>
      <c r="L891" s="118" t="s">
        <v>6146</v>
      </c>
      <c r="M891" s="115" t="s">
        <v>6146</v>
      </c>
      <c r="N891" s="115" t="s">
        <v>6506</v>
      </c>
      <c r="O891" s="115">
        <v>2</v>
      </c>
      <c r="P891" s="115" t="s">
        <v>1109</v>
      </c>
      <c r="Q891" s="166"/>
      <c r="R891" s="164"/>
      <c r="S891" s="164"/>
      <c r="T891" s="164"/>
      <c r="U891" s="164"/>
      <c r="V891" s="162"/>
      <c r="W891" s="158"/>
      <c r="X891" s="158"/>
      <c r="Y891" s="158"/>
      <c r="Z891" s="158"/>
      <c r="AA891" s="158"/>
      <c r="AB891" s="158"/>
      <c r="AC891" s="113">
        <v>400</v>
      </c>
      <c r="AD891" s="113">
        <v>43</v>
      </c>
      <c r="AE891" s="113">
        <v>29</v>
      </c>
      <c r="AF891" s="113">
        <v>131</v>
      </c>
      <c r="AG891" s="120">
        <v>29</v>
      </c>
      <c r="AH891" s="113">
        <v>131</v>
      </c>
      <c r="AI891" s="113">
        <v>37</v>
      </c>
    </row>
    <row r="892" spans="1:35">
      <c r="A892" s="113">
        <v>791</v>
      </c>
      <c r="B892" s="113" t="s">
        <v>2298</v>
      </c>
      <c r="C892" s="120" t="s">
        <v>6148</v>
      </c>
      <c r="D892" s="124" t="s">
        <v>1109</v>
      </c>
      <c r="E892" s="124" t="s">
        <v>1109</v>
      </c>
      <c r="F892" s="113" t="s">
        <v>2333</v>
      </c>
      <c r="G892" s="113" t="s">
        <v>2702</v>
      </c>
      <c r="H892" s="113" t="s">
        <v>86</v>
      </c>
      <c r="I892" s="113" t="s">
        <v>106</v>
      </c>
      <c r="J892" s="118" t="s">
        <v>12</v>
      </c>
      <c r="K892" s="118">
        <v>5</v>
      </c>
      <c r="L892" s="118" t="s">
        <v>6148</v>
      </c>
      <c r="M892" s="115" t="s">
        <v>6147</v>
      </c>
      <c r="N892" s="115" t="s">
        <v>6504</v>
      </c>
      <c r="O892" s="115">
        <v>2</v>
      </c>
      <c r="P892" s="115" t="s">
        <v>2128</v>
      </c>
      <c r="Q892" s="166"/>
      <c r="R892" s="164"/>
      <c r="S892" s="164"/>
      <c r="T892" s="164"/>
      <c r="U892" s="164"/>
      <c r="V892" s="162"/>
      <c r="W892" s="158"/>
      <c r="X892" s="158"/>
      <c r="Y892" s="158"/>
      <c r="Z892" s="158"/>
      <c r="AA892" s="158"/>
      <c r="AB892" s="158"/>
      <c r="AC892" s="113">
        <v>680</v>
      </c>
      <c r="AD892" s="113">
        <v>137</v>
      </c>
      <c r="AE892" s="113">
        <v>137</v>
      </c>
      <c r="AF892" s="113">
        <v>107</v>
      </c>
      <c r="AG892" s="120">
        <v>113</v>
      </c>
      <c r="AH892" s="113">
        <v>89</v>
      </c>
      <c r="AI892" s="113">
        <v>97</v>
      </c>
    </row>
    <row r="893" spans="1:35">
      <c r="A893" s="113">
        <v>792</v>
      </c>
      <c r="B893" s="113" t="s">
        <v>2299</v>
      </c>
      <c r="C893" s="120" t="s">
        <v>6149</v>
      </c>
      <c r="D893" s="124" t="s">
        <v>1109</v>
      </c>
      <c r="E893" s="124" t="s">
        <v>1109</v>
      </c>
      <c r="F893" s="113" t="s">
        <v>2333</v>
      </c>
      <c r="G893" s="113" t="s">
        <v>2702</v>
      </c>
      <c r="H893" s="113" t="s">
        <v>86</v>
      </c>
      <c r="I893" s="113" t="s">
        <v>119</v>
      </c>
      <c r="J893" s="118" t="s">
        <v>12</v>
      </c>
      <c r="K893" s="118">
        <v>5</v>
      </c>
      <c r="L893" s="118" t="s">
        <v>6149</v>
      </c>
      <c r="M893" s="115" t="s">
        <v>6147</v>
      </c>
      <c r="N893" s="115" t="s">
        <v>6504</v>
      </c>
      <c r="O893" s="115">
        <v>2</v>
      </c>
      <c r="P893" s="115" t="s">
        <v>2128</v>
      </c>
      <c r="Q893" s="166"/>
      <c r="R893" s="164"/>
      <c r="S893" s="164"/>
      <c r="T893" s="164"/>
      <c r="U893" s="164"/>
      <c r="V893" s="162"/>
      <c r="W893" s="158"/>
      <c r="X893" s="158"/>
      <c r="Y893" s="158"/>
      <c r="Z893" s="158"/>
      <c r="AA893" s="158"/>
      <c r="AB893" s="158"/>
      <c r="AC893" s="113">
        <v>680</v>
      </c>
      <c r="AD893" s="113">
        <v>137</v>
      </c>
      <c r="AE893" s="113">
        <v>113</v>
      </c>
      <c r="AF893" s="113">
        <v>89</v>
      </c>
      <c r="AG893" s="120">
        <v>137</v>
      </c>
      <c r="AH893" s="113">
        <v>107</v>
      </c>
      <c r="AI893" s="113">
        <v>97</v>
      </c>
    </row>
    <row r="894" spans="1:35">
      <c r="A894" s="113">
        <v>801</v>
      </c>
      <c r="B894" s="113" t="s">
        <v>2308</v>
      </c>
      <c r="C894" s="120" t="s">
        <v>6161</v>
      </c>
      <c r="D894" s="124" t="s">
        <v>1109</v>
      </c>
      <c r="E894" s="124" t="s">
        <v>1109</v>
      </c>
      <c r="F894" s="113" t="s">
        <v>2333</v>
      </c>
      <c r="G894" s="113" t="s">
        <v>2702</v>
      </c>
      <c r="H894" s="113" t="s">
        <v>106</v>
      </c>
      <c r="I894" s="113" t="s">
        <v>56</v>
      </c>
      <c r="J894" s="118" t="s">
        <v>12</v>
      </c>
      <c r="K894" s="118">
        <v>5</v>
      </c>
      <c r="L894" s="118" t="s">
        <v>6161</v>
      </c>
      <c r="M894" s="115" t="s">
        <v>1109</v>
      </c>
      <c r="N894" s="115" t="s">
        <v>6504</v>
      </c>
      <c r="O894" s="115">
        <v>2</v>
      </c>
      <c r="P894" s="115" t="s">
        <v>1109</v>
      </c>
      <c r="Q894" s="166"/>
      <c r="R894" s="164"/>
      <c r="S894" s="164"/>
      <c r="T894" s="164"/>
      <c r="U894" s="164"/>
      <c r="V894" s="162"/>
      <c r="W894" s="158"/>
      <c r="X894" s="158"/>
      <c r="Y894" s="158"/>
      <c r="Z894" s="158"/>
      <c r="AA894" s="158"/>
      <c r="AB894" s="158"/>
      <c r="AC894" s="113">
        <v>600</v>
      </c>
      <c r="AD894" s="113">
        <v>80</v>
      </c>
      <c r="AE894" s="113">
        <v>95</v>
      </c>
      <c r="AF894" s="113">
        <v>115</v>
      </c>
      <c r="AG894" s="120">
        <v>130</v>
      </c>
      <c r="AH894" s="113">
        <v>115</v>
      </c>
      <c r="AI894" s="113">
        <v>65</v>
      </c>
    </row>
    <row r="895" spans="1:35">
      <c r="A895" s="113">
        <v>802</v>
      </c>
      <c r="B895" s="113" t="s">
        <v>2309</v>
      </c>
      <c r="C895" s="120" t="s">
        <v>6162</v>
      </c>
      <c r="D895" s="124" t="s">
        <v>1109</v>
      </c>
      <c r="E895" s="124" t="s">
        <v>1109</v>
      </c>
      <c r="F895" s="113" t="s">
        <v>2333</v>
      </c>
      <c r="G895" s="113" t="s">
        <v>2702</v>
      </c>
      <c r="H895" s="113" t="s">
        <v>78</v>
      </c>
      <c r="I895" s="113" t="s">
        <v>119</v>
      </c>
      <c r="J895" s="118" t="s">
        <v>12</v>
      </c>
      <c r="K895" s="118">
        <v>5</v>
      </c>
      <c r="L895" s="118" t="s">
        <v>6162</v>
      </c>
      <c r="M895" s="115" t="s">
        <v>1109</v>
      </c>
      <c r="N895" s="115" t="s">
        <v>6504</v>
      </c>
      <c r="O895" s="115">
        <v>2</v>
      </c>
      <c r="P895" s="115" t="s">
        <v>1109</v>
      </c>
      <c r="Q895" s="166"/>
      <c r="R895" s="164"/>
      <c r="S895" s="164"/>
      <c r="T895" s="164"/>
      <c r="U895" s="164"/>
      <c r="V895" s="162"/>
      <c r="W895" s="158"/>
      <c r="X895" s="158"/>
      <c r="Y895" s="158"/>
      <c r="Z895" s="158"/>
      <c r="AA895" s="158"/>
      <c r="AB895" s="158"/>
      <c r="AC895" s="113">
        <v>600</v>
      </c>
      <c r="AD895" s="113">
        <v>90</v>
      </c>
      <c r="AE895" s="113">
        <v>125</v>
      </c>
      <c r="AF895" s="113">
        <v>80</v>
      </c>
      <c r="AG895" s="120">
        <v>90</v>
      </c>
      <c r="AH895" s="113">
        <v>90</v>
      </c>
      <c r="AI895" s="113">
        <v>125</v>
      </c>
    </row>
    <row r="896" spans="1:35">
      <c r="A896" s="113">
        <v>807</v>
      </c>
      <c r="B896" s="113" t="s">
        <v>2314</v>
      </c>
      <c r="C896" s="120" t="s">
        <v>6167</v>
      </c>
      <c r="D896" s="124" t="s">
        <v>1109</v>
      </c>
      <c r="E896" s="124" t="s">
        <v>1109</v>
      </c>
      <c r="F896" s="113" t="s">
        <v>2333</v>
      </c>
      <c r="G896" s="113" t="s">
        <v>2702</v>
      </c>
      <c r="H896" s="113" t="s">
        <v>46</v>
      </c>
      <c r="I896" s="113" t="s">
        <v>1109</v>
      </c>
      <c r="J896" s="118" t="s">
        <v>12</v>
      </c>
      <c r="K896" s="118">
        <v>5</v>
      </c>
      <c r="L896" s="118" t="s">
        <v>6167</v>
      </c>
      <c r="M896" s="115" t="s">
        <v>1109</v>
      </c>
      <c r="N896" s="115" t="s">
        <v>6504</v>
      </c>
      <c r="O896" s="115">
        <v>2</v>
      </c>
      <c r="P896" s="115" t="s">
        <v>1109</v>
      </c>
      <c r="Q896" s="166"/>
      <c r="R896" s="164"/>
      <c r="S896" s="164"/>
      <c r="T896" s="164"/>
      <c r="U896" s="164"/>
      <c r="V896" s="162"/>
      <c r="W896" s="158"/>
      <c r="X896" s="158"/>
      <c r="Y896" s="158"/>
      <c r="Z896" s="158"/>
      <c r="AA896" s="158"/>
      <c r="AB896" s="158"/>
      <c r="AC896" s="113">
        <v>600</v>
      </c>
      <c r="AD896" s="113">
        <v>88</v>
      </c>
      <c r="AE896" s="113">
        <v>112</v>
      </c>
      <c r="AF896" s="113">
        <v>75</v>
      </c>
      <c r="AG896" s="120">
        <v>102</v>
      </c>
      <c r="AH896" s="113">
        <v>80</v>
      </c>
      <c r="AI896" s="113">
        <v>143</v>
      </c>
    </row>
    <row r="897" spans="1:35">
      <c r="A897" s="113">
        <v>808</v>
      </c>
      <c r="B897" s="113" t="s">
        <v>2315</v>
      </c>
      <c r="C897" s="120" t="s">
        <v>6168</v>
      </c>
      <c r="D897" s="124" t="s">
        <v>1109</v>
      </c>
      <c r="E897" s="124" t="s">
        <v>1109</v>
      </c>
      <c r="F897" s="113" t="s">
        <v>2333</v>
      </c>
      <c r="G897" s="113" t="s">
        <v>2702</v>
      </c>
      <c r="H897" s="113" t="s">
        <v>106</v>
      </c>
      <c r="I897" s="113" t="s">
        <v>1109</v>
      </c>
      <c r="J897" s="118" t="s">
        <v>12</v>
      </c>
      <c r="K897" s="118">
        <v>5</v>
      </c>
      <c r="L897" s="118" t="s">
        <v>6168</v>
      </c>
      <c r="M897" s="115" t="s">
        <v>1109</v>
      </c>
      <c r="N897" s="115" t="s">
        <v>6505</v>
      </c>
      <c r="O897" s="115">
        <v>2</v>
      </c>
      <c r="P897" s="115" t="s">
        <v>1109</v>
      </c>
      <c r="Q897" s="166"/>
      <c r="R897" s="164"/>
      <c r="S897" s="164"/>
      <c r="T897" s="164"/>
      <c r="U897" s="164"/>
      <c r="V897" s="162"/>
      <c r="W897" s="158"/>
      <c r="X897" s="158"/>
      <c r="Y897" s="158"/>
      <c r="Z897" s="158"/>
      <c r="AA897" s="158"/>
      <c r="AB897" s="158"/>
      <c r="AC897" s="113">
        <v>300</v>
      </c>
      <c r="AD897" s="113">
        <v>46</v>
      </c>
      <c r="AE897" s="113">
        <v>65</v>
      </c>
      <c r="AF897" s="113">
        <v>65</v>
      </c>
      <c r="AG897" s="120">
        <v>55</v>
      </c>
      <c r="AH897" s="113">
        <v>35</v>
      </c>
      <c r="AI897" s="113">
        <v>34</v>
      </c>
    </row>
    <row r="898" spans="1:35">
      <c r="A898" s="113">
        <v>809</v>
      </c>
      <c r="B898" s="113" t="s">
        <v>2316</v>
      </c>
      <c r="C898" s="120" t="s">
        <v>6169</v>
      </c>
      <c r="D898" s="124" t="s">
        <v>1109</v>
      </c>
      <c r="E898" s="124" t="s">
        <v>1109</v>
      </c>
      <c r="F898" s="113" t="s">
        <v>2333</v>
      </c>
      <c r="G898" s="113" t="s">
        <v>2702</v>
      </c>
      <c r="H898" s="113" t="s">
        <v>106</v>
      </c>
      <c r="I898" s="113" t="s">
        <v>1109</v>
      </c>
      <c r="J898" s="118" t="s">
        <v>12</v>
      </c>
      <c r="K898" s="118">
        <v>5</v>
      </c>
      <c r="L898" s="118" t="s">
        <v>6168</v>
      </c>
      <c r="M898" s="120" t="s">
        <v>6168</v>
      </c>
      <c r="N898" s="115" t="s">
        <v>6504</v>
      </c>
      <c r="O898" s="115">
        <v>2</v>
      </c>
      <c r="P898" s="115" t="s">
        <v>2128</v>
      </c>
      <c r="Q898" s="166"/>
      <c r="R898" s="164"/>
      <c r="S898" s="164"/>
      <c r="T898" s="164"/>
      <c r="U898" s="164"/>
      <c r="V898" s="162"/>
      <c r="W898" s="158"/>
      <c r="X898" s="158"/>
      <c r="Y898" s="158"/>
      <c r="Z898" s="158"/>
      <c r="AA898" s="158"/>
      <c r="AB898" s="158"/>
      <c r="AC898" s="113">
        <v>600</v>
      </c>
      <c r="AD898" s="113">
        <v>135</v>
      </c>
      <c r="AE898" s="113">
        <v>143</v>
      </c>
      <c r="AF898" s="113">
        <v>143</v>
      </c>
      <c r="AG898" s="120">
        <v>80</v>
      </c>
      <c r="AH898" s="113">
        <v>65</v>
      </c>
      <c r="AI898" s="113">
        <v>34</v>
      </c>
    </row>
    <row r="899" spans="1:35">
      <c r="A899" s="113">
        <v>810</v>
      </c>
      <c r="B899" s="113" t="s">
        <v>2157</v>
      </c>
      <c r="C899" s="120" t="s">
        <v>6170</v>
      </c>
      <c r="D899" s="124">
        <v>0.85</v>
      </c>
      <c r="E899" s="124">
        <v>0.15</v>
      </c>
      <c r="F899" s="113" t="s">
        <v>14</v>
      </c>
      <c r="G899" s="113" t="s">
        <v>2703</v>
      </c>
      <c r="H899" s="113" t="s">
        <v>14</v>
      </c>
      <c r="I899" s="113" t="s">
        <v>1109</v>
      </c>
      <c r="J899" s="118" t="s">
        <v>792</v>
      </c>
      <c r="K899" s="118">
        <v>4</v>
      </c>
      <c r="L899" s="118" t="s">
        <v>6170</v>
      </c>
      <c r="M899" s="115" t="s">
        <v>1109</v>
      </c>
      <c r="N899" s="115" t="s">
        <v>6505</v>
      </c>
      <c r="O899" s="115">
        <v>1.75</v>
      </c>
      <c r="P899" s="115" t="s">
        <v>1109</v>
      </c>
      <c r="Q899" s="166"/>
      <c r="R899" s="164"/>
      <c r="S899" s="164"/>
      <c r="T899" s="164"/>
      <c r="U899" s="164"/>
      <c r="V899" s="162"/>
      <c r="W899" s="158"/>
      <c r="X899" s="158"/>
      <c r="Y899" s="158"/>
      <c r="Z899" s="158"/>
      <c r="AA899" s="158"/>
      <c r="AB899" s="158"/>
      <c r="AC899" s="113">
        <v>310</v>
      </c>
      <c r="AD899" s="113">
        <v>50</v>
      </c>
      <c r="AE899" s="113">
        <v>65</v>
      </c>
      <c r="AF899" s="113">
        <v>50</v>
      </c>
      <c r="AG899" s="120">
        <v>40</v>
      </c>
      <c r="AH899" s="113">
        <v>40</v>
      </c>
      <c r="AI899" s="113">
        <v>65</v>
      </c>
    </row>
    <row r="900" spans="1:35">
      <c r="A900" s="113">
        <v>811</v>
      </c>
      <c r="B900" s="113" t="s">
        <v>2158</v>
      </c>
      <c r="C900" s="120" t="s">
        <v>6171</v>
      </c>
      <c r="D900" s="124">
        <v>0.85</v>
      </c>
      <c r="E900" s="124">
        <v>0.15</v>
      </c>
      <c r="F900" s="113" t="s">
        <v>14</v>
      </c>
      <c r="G900" s="113" t="s">
        <v>2703</v>
      </c>
      <c r="H900" s="113" t="s">
        <v>14</v>
      </c>
      <c r="I900" s="113" t="s">
        <v>1109</v>
      </c>
      <c r="J900" s="118" t="s">
        <v>792</v>
      </c>
      <c r="K900" s="118">
        <v>4</v>
      </c>
      <c r="L900" s="118" t="s">
        <v>6170</v>
      </c>
      <c r="M900" s="115" t="s">
        <v>6170</v>
      </c>
      <c r="N900" s="115" t="s">
        <v>6506</v>
      </c>
      <c r="O900" s="115">
        <v>1.75</v>
      </c>
      <c r="P900" s="115" t="s">
        <v>2128</v>
      </c>
      <c r="Q900" s="166"/>
      <c r="R900" s="164"/>
      <c r="S900" s="164"/>
      <c r="T900" s="164"/>
      <c r="U900" s="164"/>
      <c r="V900" s="162"/>
      <c r="W900" s="158"/>
      <c r="X900" s="158"/>
      <c r="Y900" s="158"/>
      <c r="Z900" s="158"/>
      <c r="AA900" s="158"/>
      <c r="AB900" s="158"/>
      <c r="AC900" s="113">
        <v>420</v>
      </c>
      <c r="AD900" s="113">
        <v>70</v>
      </c>
      <c r="AE900" s="113">
        <v>85</v>
      </c>
      <c r="AF900" s="113">
        <v>70</v>
      </c>
      <c r="AG900" s="120">
        <v>55</v>
      </c>
      <c r="AH900" s="113">
        <v>60</v>
      </c>
      <c r="AI900" s="113">
        <v>80</v>
      </c>
    </row>
    <row r="901" spans="1:35">
      <c r="A901" s="113">
        <v>812</v>
      </c>
      <c r="B901" s="113" t="s">
        <v>2159</v>
      </c>
      <c r="C901" s="120" t="s">
        <v>6172</v>
      </c>
      <c r="D901" s="124">
        <v>0.85</v>
      </c>
      <c r="E901" s="124">
        <v>0.15</v>
      </c>
      <c r="F901" s="113" t="s">
        <v>14</v>
      </c>
      <c r="G901" s="113" t="s">
        <v>2703</v>
      </c>
      <c r="H901" s="113" t="s">
        <v>14</v>
      </c>
      <c r="I901" s="113" t="s">
        <v>1109</v>
      </c>
      <c r="J901" s="118" t="s">
        <v>792</v>
      </c>
      <c r="K901" s="118">
        <v>4</v>
      </c>
      <c r="L901" s="118" t="s">
        <v>6170</v>
      </c>
      <c r="M901" s="115" t="s">
        <v>6171</v>
      </c>
      <c r="N901" s="115" t="s">
        <v>6504</v>
      </c>
      <c r="O901" s="115">
        <v>1.75</v>
      </c>
      <c r="P901" s="115" t="s">
        <v>2128</v>
      </c>
      <c r="Q901" s="166"/>
      <c r="R901" s="164"/>
      <c r="S901" s="164"/>
      <c r="T901" s="164"/>
      <c r="U901" s="164"/>
      <c r="V901" s="162"/>
      <c r="W901" s="158"/>
      <c r="X901" s="158"/>
      <c r="Y901" s="158"/>
      <c r="Z901" s="158"/>
      <c r="AA901" s="158"/>
      <c r="AB901" s="158"/>
      <c r="AC901" s="113">
        <v>530</v>
      </c>
      <c r="AD901" s="113">
        <v>100</v>
      </c>
      <c r="AE901" s="113">
        <v>125</v>
      </c>
      <c r="AF901" s="113">
        <v>90</v>
      </c>
      <c r="AG901" s="120">
        <v>60</v>
      </c>
      <c r="AH901" s="113">
        <v>70</v>
      </c>
      <c r="AI901" s="113">
        <v>85</v>
      </c>
    </row>
    <row r="902" spans="1:35">
      <c r="A902" s="113">
        <v>813</v>
      </c>
      <c r="B902" s="113" t="s">
        <v>2160</v>
      </c>
      <c r="C902" s="120" t="s">
        <v>6173</v>
      </c>
      <c r="D902" s="124">
        <v>0.85</v>
      </c>
      <c r="E902" s="124">
        <v>0.15</v>
      </c>
      <c r="F902" s="113" t="s">
        <v>2332</v>
      </c>
      <c r="G902" s="113" t="s">
        <v>2703</v>
      </c>
      <c r="H902" s="113" t="s">
        <v>19</v>
      </c>
      <c r="I902" s="113" t="s">
        <v>1109</v>
      </c>
      <c r="J902" s="118" t="s">
        <v>792</v>
      </c>
      <c r="K902" s="118">
        <v>4</v>
      </c>
      <c r="L902" s="118" t="s">
        <v>6173</v>
      </c>
      <c r="M902" s="115" t="s">
        <v>1109</v>
      </c>
      <c r="N902" s="115" t="s">
        <v>6505</v>
      </c>
      <c r="O902" s="115">
        <v>1.75</v>
      </c>
      <c r="P902" s="115" t="s">
        <v>1109</v>
      </c>
      <c r="Q902" s="166"/>
      <c r="R902" s="164"/>
      <c r="S902" s="164"/>
      <c r="T902" s="164"/>
      <c r="U902" s="164"/>
      <c r="V902" s="162"/>
      <c r="W902" s="158"/>
      <c r="X902" s="158"/>
      <c r="Y902" s="158"/>
      <c r="Z902" s="158"/>
      <c r="AA902" s="158"/>
      <c r="AB902" s="158"/>
      <c r="AC902" s="113">
        <v>310</v>
      </c>
      <c r="AD902" s="113">
        <v>50</v>
      </c>
      <c r="AE902" s="113">
        <v>71</v>
      </c>
      <c r="AF902" s="113">
        <v>40</v>
      </c>
      <c r="AG902" s="120">
        <v>40</v>
      </c>
      <c r="AH902" s="113">
        <v>40</v>
      </c>
      <c r="AI902" s="113">
        <v>69</v>
      </c>
    </row>
    <row r="903" spans="1:35">
      <c r="A903" s="113">
        <v>814</v>
      </c>
      <c r="B903" s="113" t="s">
        <v>2161</v>
      </c>
      <c r="C903" s="120" t="s">
        <v>6174</v>
      </c>
      <c r="D903" s="124">
        <v>0.85</v>
      </c>
      <c r="E903" s="124">
        <v>0.15</v>
      </c>
      <c r="F903" s="113" t="s">
        <v>2332</v>
      </c>
      <c r="G903" s="113" t="s">
        <v>2703</v>
      </c>
      <c r="H903" s="113" t="s">
        <v>19</v>
      </c>
      <c r="I903" s="113" t="s">
        <v>1109</v>
      </c>
      <c r="J903" s="118" t="s">
        <v>792</v>
      </c>
      <c r="K903" s="118">
        <v>4</v>
      </c>
      <c r="L903" s="118" t="s">
        <v>6173</v>
      </c>
      <c r="M903" s="115" t="s">
        <v>6173</v>
      </c>
      <c r="N903" s="115" t="s">
        <v>6506</v>
      </c>
      <c r="O903" s="115">
        <v>1.75</v>
      </c>
      <c r="P903" s="115" t="s">
        <v>2128</v>
      </c>
      <c r="Q903" s="166"/>
      <c r="R903" s="164"/>
      <c r="S903" s="164"/>
      <c r="T903" s="164"/>
      <c r="U903" s="164"/>
      <c r="V903" s="162"/>
      <c r="W903" s="158"/>
      <c r="X903" s="158"/>
      <c r="Y903" s="158"/>
      <c r="Z903" s="158"/>
      <c r="AA903" s="158"/>
      <c r="AB903" s="158"/>
      <c r="AC903" s="113">
        <v>420</v>
      </c>
      <c r="AD903" s="113">
        <v>65</v>
      </c>
      <c r="AE903" s="113">
        <v>86</v>
      </c>
      <c r="AF903" s="113">
        <v>60</v>
      </c>
      <c r="AG903" s="120">
        <v>55</v>
      </c>
      <c r="AH903" s="113">
        <v>60</v>
      </c>
      <c r="AI903" s="113">
        <v>94</v>
      </c>
    </row>
    <row r="904" spans="1:35">
      <c r="A904" s="113">
        <v>815</v>
      </c>
      <c r="B904" s="113" t="s">
        <v>2162</v>
      </c>
      <c r="C904" s="120" t="s">
        <v>6175</v>
      </c>
      <c r="D904" s="124">
        <v>0.85</v>
      </c>
      <c r="E904" s="124">
        <v>0.15</v>
      </c>
      <c r="F904" s="113" t="s">
        <v>2332</v>
      </c>
      <c r="G904" s="113" t="s">
        <v>2703</v>
      </c>
      <c r="H904" s="113" t="s">
        <v>19</v>
      </c>
      <c r="I904" s="113" t="s">
        <v>1109</v>
      </c>
      <c r="J904" s="118" t="s">
        <v>792</v>
      </c>
      <c r="K904" s="118">
        <v>4</v>
      </c>
      <c r="L904" s="118" t="s">
        <v>6173</v>
      </c>
      <c r="M904" s="115" t="s">
        <v>6174</v>
      </c>
      <c r="N904" s="115" t="s">
        <v>6504</v>
      </c>
      <c r="O904" s="115">
        <v>1.75</v>
      </c>
      <c r="P904" s="115" t="s">
        <v>2128</v>
      </c>
      <c r="Q904" s="166"/>
      <c r="R904" s="164"/>
      <c r="S904" s="164"/>
      <c r="T904" s="164"/>
      <c r="U904" s="164"/>
      <c r="V904" s="162"/>
      <c r="W904" s="158"/>
      <c r="X904" s="158"/>
      <c r="Y904" s="158"/>
      <c r="Z904" s="158"/>
      <c r="AA904" s="158"/>
      <c r="AB904" s="158"/>
      <c r="AC904" s="113">
        <v>530</v>
      </c>
      <c r="AD904" s="113">
        <v>80</v>
      </c>
      <c r="AE904" s="113">
        <v>116</v>
      </c>
      <c r="AF904" s="113">
        <v>75</v>
      </c>
      <c r="AG904" s="120">
        <v>65</v>
      </c>
      <c r="AH904" s="113">
        <v>75</v>
      </c>
      <c r="AI904" s="113">
        <v>119</v>
      </c>
    </row>
    <row r="905" spans="1:35">
      <c r="A905" s="113">
        <v>816</v>
      </c>
      <c r="B905" s="113" t="s">
        <v>2163</v>
      </c>
      <c r="C905" s="120" t="s">
        <v>6176</v>
      </c>
      <c r="D905" s="124">
        <v>0.85</v>
      </c>
      <c r="E905" s="124">
        <v>0.15</v>
      </c>
      <c r="F905" s="113" t="s">
        <v>2331</v>
      </c>
      <c r="G905" s="113" t="s">
        <v>2703</v>
      </c>
      <c r="H905" s="113" t="s">
        <v>25</v>
      </c>
      <c r="I905" s="113" t="s">
        <v>1109</v>
      </c>
      <c r="J905" s="118" t="s">
        <v>792</v>
      </c>
      <c r="K905" s="118">
        <v>4</v>
      </c>
      <c r="L905" s="118" t="s">
        <v>6176</v>
      </c>
      <c r="M905" s="115" t="s">
        <v>1109</v>
      </c>
      <c r="N905" s="115" t="s">
        <v>6505</v>
      </c>
      <c r="O905" s="115">
        <v>1.75</v>
      </c>
      <c r="P905" s="115" t="s">
        <v>1109</v>
      </c>
      <c r="Q905" s="166"/>
      <c r="R905" s="164"/>
      <c r="S905" s="164"/>
      <c r="T905" s="164"/>
      <c r="U905" s="164"/>
      <c r="V905" s="162"/>
      <c r="W905" s="158"/>
      <c r="X905" s="158"/>
      <c r="Y905" s="158"/>
      <c r="Z905" s="158"/>
      <c r="AA905" s="158"/>
      <c r="AB905" s="158"/>
      <c r="AC905" s="113">
        <v>310</v>
      </c>
      <c r="AD905" s="113">
        <v>50</v>
      </c>
      <c r="AE905" s="113">
        <v>40</v>
      </c>
      <c r="AF905" s="113">
        <v>40</v>
      </c>
      <c r="AG905" s="120">
        <v>70</v>
      </c>
      <c r="AH905" s="113">
        <v>40</v>
      </c>
      <c r="AI905" s="113">
        <v>70</v>
      </c>
    </row>
    <row r="906" spans="1:35">
      <c r="A906" s="113">
        <v>817</v>
      </c>
      <c r="B906" s="113" t="s">
        <v>2164</v>
      </c>
      <c r="C906" s="120" t="s">
        <v>6177</v>
      </c>
      <c r="D906" s="124">
        <v>0.85</v>
      </c>
      <c r="E906" s="124">
        <v>0.15</v>
      </c>
      <c r="F906" s="113" t="s">
        <v>2331</v>
      </c>
      <c r="G906" s="113" t="s">
        <v>2703</v>
      </c>
      <c r="H906" s="113" t="s">
        <v>25</v>
      </c>
      <c r="I906" s="113" t="s">
        <v>1109</v>
      </c>
      <c r="J906" s="118" t="s">
        <v>792</v>
      </c>
      <c r="K906" s="118">
        <v>4</v>
      </c>
      <c r="L906" s="118" t="s">
        <v>6176</v>
      </c>
      <c r="M906" s="115" t="s">
        <v>6176</v>
      </c>
      <c r="N906" s="115" t="s">
        <v>6506</v>
      </c>
      <c r="O906" s="115">
        <v>1.75</v>
      </c>
      <c r="P906" s="115" t="s">
        <v>2128</v>
      </c>
      <c r="Q906" s="166"/>
      <c r="R906" s="164"/>
      <c r="S906" s="164"/>
      <c r="T906" s="164"/>
      <c r="U906" s="164"/>
      <c r="V906" s="162"/>
      <c r="W906" s="158"/>
      <c r="X906" s="158"/>
      <c r="Y906" s="158"/>
      <c r="Z906" s="158"/>
      <c r="AA906" s="158"/>
      <c r="AB906" s="158"/>
      <c r="AC906" s="113">
        <v>420</v>
      </c>
      <c r="AD906" s="113">
        <v>65</v>
      </c>
      <c r="AE906" s="113">
        <v>60</v>
      </c>
      <c r="AF906" s="113">
        <v>55</v>
      </c>
      <c r="AG906" s="120">
        <v>95</v>
      </c>
      <c r="AH906" s="113">
        <v>55</v>
      </c>
      <c r="AI906" s="113">
        <v>90</v>
      </c>
    </row>
    <row r="907" spans="1:35">
      <c r="A907" s="113">
        <v>818</v>
      </c>
      <c r="B907" s="113" t="s">
        <v>2165</v>
      </c>
      <c r="C907" s="120" t="s">
        <v>6178</v>
      </c>
      <c r="D907" s="124">
        <v>0.85</v>
      </c>
      <c r="E907" s="124">
        <v>0.15</v>
      </c>
      <c r="F907" s="113" t="s">
        <v>2331</v>
      </c>
      <c r="G907" s="113" t="s">
        <v>2703</v>
      </c>
      <c r="H907" s="113" t="s">
        <v>25</v>
      </c>
      <c r="I907" s="113" t="s">
        <v>1109</v>
      </c>
      <c r="J907" s="118" t="s">
        <v>792</v>
      </c>
      <c r="K907" s="118">
        <v>4</v>
      </c>
      <c r="L907" s="118" t="s">
        <v>6176</v>
      </c>
      <c r="M907" s="115" t="s">
        <v>6177</v>
      </c>
      <c r="N907" s="115" t="s">
        <v>6504</v>
      </c>
      <c r="O907" s="115">
        <v>1.75</v>
      </c>
      <c r="P907" s="115" t="s">
        <v>2128</v>
      </c>
      <c r="Q907" s="166"/>
      <c r="R907" s="164"/>
      <c r="S907" s="164"/>
      <c r="T907" s="164"/>
      <c r="U907" s="164"/>
      <c r="V907" s="162"/>
      <c r="W907" s="158"/>
      <c r="X907" s="158"/>
      <c r="Y907" s="158"/>
      <c r="Z907" s="158"/>
      <c r="AA907" s="158"/>
      <c r="AB907" s="158"/>
      <c r="AC907" s="113">
        <v>530</v>
      </c>
      <c r="AD907" s="113">
        <v>70</v>
      </c>
      <c r="AE907" s="113">
        <v>85</v>
      </c>
      <c r="AF907" s="113">
        <v>65</v>
      </c>
      <c r="AG907" s="120">
        <v>125</v>
      </c>
      <c r="AH907" s="113">
        <v>65</v>
      </c>
      <c r="AI907" s="113">
        <v>120</v>
      </c>
    </row>
    <row r="908" spans="1:35">
      <c r="A908" s="113">
        <v>819</v>
      </c>
      <c r="B908" s="113" t="s">
        <v>2215</v>
      </c>
      <c r="C908" s="120" t="s">
        <v>6179</v>
      </c>
      <c r="D908" s="124">
        <v>0.5</v>
      </c>
      <c r="E908" s="124">
        <v>0.5</v>
      </c>
      <c r="F908" s="113" t="s">
        <v>2332</v>
      </c>
      <c r="G908" s="113" t="s">
        <v>2703</v>
      </c>
      <c r="H908" s="113" t="s">
        <v>36</v>
      </c>
      <c r="I908" s="113" t="s">
        <v>1109</v>
      </c>
      <c r="J908" s="118" t="s">
        <v>2129</v>
      </c>
      <c r="K908" s="118">
        <v>1</v>
      </c>
      <c r="L908" s="118" t="s">
        <v>6179</v>
      </c>
      <c r="M908" s="115" t="s">
        <v>1109</v>
      </c>
      <c r="N908" s="115" t="s">
        <v>6505</v>
      </c>
      <c r="O908" s="115">
        <v>1</v>
      </c>
      <c r="P908" s="115" t="s">
        <v>1109</v>
      </c>
      <c r="Q908" s="166"/>
      <c r="R908" s="164"/>
      <c r="S908" s="164"/>
      <c r="T908" s="164"/>
      <c r="U908" s="164"/>
      <c r="V908" s="162"/>
      <c r="W908" s="158"/>
      <c r="X908" s="158"/>
      <c r="Y908" s="158"/>
      <c r="Z908" s="158"/>
      <c r="AA908" s="158"/>
      <c r="AB908" s="158"/>
      <c r="AC908" s="113">
        <v>275</v>
      </c>
      <c r="AD908" s="113">
        <v>70</v>
      </c>
      <c r="AE908" s="113">
        <v>55</v>
      </c>
      <c r="AF908" s="113">
        <v>55</v>
      </c>
      <c r="AG908" s="120">
        <v>35</v>
      </c>
      <c r="AH908" s="113">
        <v>35</v>
      </c>
      <c r="AI908" s="113">
        <v>25</v>
      </c>
    </row>
    <row r="909" spans="1:35">
      <c r="A909" s="113">
        <v>820</v>
      </c>
      <c r="B909" s="113" t="s">
        <v>2216</v>
      </c>
      <c r="C909" s="120" t="s">
        <v>6180</v>
      </c>
      <c r="D909" s="124">
        <v>0.5</v>
      </c>
      <c r="E909" s="124">
        <v>0.5</v>
      </c>
      <c r="F909" s="113" t="s">
        <v>2332</v>
      </c>
      <c r="G909" s="113" t="s">
        <v>2703</v>
      </c>
      <c r="H909" s="113" t="s">
        <v>36</v>
      </c>
      <c r="I909" s="113" t="s">
        <v>1109</v>
      </c>
      <c r="J909" s="118" t="s">
        <v>2129</v>
      </c>
      <c r="K909" s="118">
        <v>1</v>
      </c>
      <c r="L909" s="118" t="s">
        <v>6179</v>
      </c>
      <c r="M909" s="115" t="s">
        <v>6179</v>
      </c>
      <c r="N909" s="115" t="s">
        <v>6504</v>
      </c>
      <c r="O909" s="115">
        <v>1</v>
      </c>
      <c r="P909" s="115" t="s">
        <v>2128</v>
      </c>
      <c r="Q909" s="166"/>
      <c r="R909" s="164"/>
      <c r="S909" s="164"/>
      <c r="T909" s="164"/>
      <c r="U909" s="164"/>
      <c r="V909" s="162"/>
      <c r="W909" s="158"/>
      <c r="X909" s="158"/>
      <c r="Y909" s="158"/>
      <c r="Z909" s="158"/>
      <c r="AA909" s="158"/>
      <c r="AB909" s="158"/>
      <c r="AC909" s="113">
        <v>460</v>
      </c>
      <c r="AD909" s="113">
        <v>120</v>
      </c>
      <c r="AE909" s="113">
        <v>95</v>
      </c>
      <c r="AF909" s="113">
        <v>95</v>
      </c>
      <c r="AG909" s="120">
        <v>55</v>
      </c>
      <c r="AH909" s="113">
        <v>75</v>
      </c>
      <c r="AI909" s="113">
        <v>20</v>
      </c>
    </row>
    <row r="910" spans="1:35">
      <c r="A910" s="113">
        <v>821</v>
      </c>
      <c r="B910" s="113" t="s">
        <v>2217</v>
      </c>
      <c r="C910" s="120" t="s">
        <v>6181</v>
      </c>
      <c r="D910" s="124">
        <v>0.5</v>
      </c>
      <c r="E910" s="124">
        <v>0.5</v>
      </c>
      <c r="F910" s="113" t="s">
        <v>22</v>
      </c>
      <c r="G910" s="113" t="s">
        <v>2703</v>
      </c>
      <c r="H910" s="113" t="s">
        <v>22</v>
      </c>
      <c r="I910" s="113" t="s">
        <v>1109</v>
      </c>
      <c r="J910" s="118" t="s">
        <v>2129</v>
      </c>
      <c r="K910" s="118">
        <v>1</v>
      </c>
      <c r="L910" s="118" t="s">
        <v>6181</v>
      </c>
      <c r="M910" s="115" t="s">
        <v>1109</v>
      </c>
      <c r="N910" s="115" t="s">
        <v>6505</v>
      </c>
      <c r="O910" s="115">
        <v>1</v>
      </c>
      <c r="P910" s="115" t="s">
        <v>1109</v>
      </c>
      <c r="Q910" s="166"/>
      <c r="R910" s="164"/>
      <c r="S910" s="164"/>
      <c r="T910" s="164"/>
      <c r="U910" s="164"/>
      <c r="V910" s="162"/>
      <c r="W910" s="158"/>
      <c r="X910" s="158"/>
      <c r="Y910" s="158"/>
      <c r="Z910" s="158"/>
      <c r="AA910" s="158"/>
      <c r="AB910" s="158"/>
      <c r="AC910" s="113">
        <v>245</v>
      </c>
      <c r="AD910" s="113">
        <v>38</v>
      </c>
      <c r="AE910" s="113">
        <v>47</v>
      </c>
      <c r="AF910" s="113">
        <v>35</v>
      </c>
      <c r="AG910" s="120">
        <v>33</v>
      </c>
      <c r="AH910" s="113">
        <v>35</v>
      </c>
      <c r="AI910" s="113">
        <v>57</v>
      </c>
    </row>
    <row r="911" spans="1:35">
      <c r="A911" s="113">
        <v>822</v>
      </c>
      <c r="B911" s="113" t="s">
        <v>2218</v>
      </c>
      <c r="C911" s="120" t="s">
        <v>6182</v>
      </c>
      <c r="D911" s="124">
        <v>0.5</v>
      </c>
      <c r="E911" s="124">
        <v>0.5</v>
      </c>
      <c r="F911" s="113" t="s">
        <v>22</v>
      </c>
      <c r="G911" s="113" t="s">
        <v>2703</v>
      </c>
      <c r="H911" s="113" t="s">
        <v>22</v>
      </c>
      <c r="I911" s="113" t="s">
        <v>1109</v>
      </c>
      <c r="J911" s="118" t="s">
        <v>2129</v>
      </c>
      <c r="K911" s="118">
        <v>1</v>
      </c>
      <c r="L911" s="118" t="s">
        <v>6181</v>
      </c>
      <c r="M911" s="115" t="s">
        <v>6181</v>
      </c>
      <c r="N911" s="115" t="s">
        <v>6506</v>
      </c>
      <c r="O911" s="115">
        <v>1</v>
      </c>
      <c r="P911" s="115" t="s">
        <v>2128</v>
      </c>
      <c r="Q911" s="166"/>
      <c r="R911" s="164"/>
      <c r="S911" s="164"/>
      <c r="T911" s="164"/>
      <c r="U911" s="164"/>
      <c r="V911" s="162"/>
      <c r="W911" s="158"/>
      <c r="X911" s="158"/>
      <c r="Y911" s="158"/>
      <c r="Z911" s="158"/>
      <c r="AA911" s="158"/>
      <c r="AB911" s="158"/>
      <c r="AC911" s="113">
        <v>365</v>
      </c>
      <c r="AD911" s="113">
        <v>68</v>
      </c>
      <c r="AE911" s="113">
        <v>67</v>
      </c>
      <c r="AF911" s="113">
        <v>55</v>
      </c>
      <c r="AG911" s="120">
        <v>43</v>
      </c>
      <c r="AH911" s="113">
        <v>55</v>
      </c>
      <c r="AI911" s="113">
        <v>77</v>
      </c>
    </row>
    <row r="912" spans="1:35">
      <c r="A912" s="113">
        <v>823</v>
      </c>
      <c r="B912" s="113" t="s">
        <v>2219</v>
      </c>
      <c r="C912" s="120" t="s">
        <v>6183</v>
      </c>
      <c r="D912" s="124">
        <v>0.5</v>
      </c>
      <c r="E912" s="124">
        <v>0.5</v>
      </c>
      <c r="F912" s="113" t="s">
        <v>22</v>
      </c>
      <c r="G912" s="113" t="s">
        <v>2703</v>
      </c>
      <c r="H912" s="113" t="s">
        <v>22</v>
      </c>
      <c r="I912" s="113" t="s">
        <v>106</v>
      </c>
      <c r="J912" s="118" t="s">
        <v>2129</v>
      </c>
      <c r="K912" s="118">
        <v>1</v>
      </c>
      <c r="L912" s="118" t="s">
        <v>6181</v>
      </c>
      <c r="M912" s="115" t="s">
        <v>6182</v>
      </c>
      <c r="N912" s="115" t="s">
        <v>6504</v>
      </c>
      <c r="O912" s="115">
        <v>1</v>
      </c>
      <c r="P912" s="115" t="s">
        <v>2128</v>
      </c>
      <c r="Q912" s="166"/>
      <c r="R912" s="164"/>
      <c r="S912" s="164"/>
      <c r="T912" s="164"/>
      <c r="U912" s="164"/>
      <c r="V912" s="162"/>
      <c r="W912" s="158"/>
      <c r="X912" s="158"/>
      <c r="Y912" s="158"/>
      <c r="Z912" s="158"/>
      <c r="AA912" s="158"/>
      <c r="AB912" s="158"/>
      <c r="AC912" s="113">
        <v>495</v>
      </c>
      <c r="AD912" s="113">
        <v>98</v>
      </c>
      <c r="AE912" s="113">
        <v>87</v>
      </c>
      <c r="AF912" s="113">
        <v>105</v>
      </c>
      <c r="AG912" s="120">
        <v>53</v>
      </c>
      <c r="AH912" s="113">
        <v>85</v>
      </c>
      <c r="AI912" s="113">
        <v>67</v>
      </c>
    </row>
    <row r="913" spans="1:35">
      <c r="A913" s="113">
        <v>824</v>
      </c>
      <c r="B913" s="113" t="s">
        <v>2220</v>
      </c>
      <c r="C913" s="120" t="s">
        <v>6184</v>
      </c>
      <c r="D913" s="124">
        <v>0.5</v>
      </c>
      <c r="E913" s="124">
        <v>0.5</v>
      </c>
      <c r="F913" s="113" t="s">
        <v>29</v>
      </c>
      <c r="G913" s="113" t="s">
        <v>2703</v>
      </c>
      <c r="H913" s="113" t="s">
        <v>29</v>
      </c>
      <c r="I913" s="113" t="s">
        <v>1109</v>
      </c>
      <c r="J913" s="118" t="s">
        <v>2129</v>
      </c>
      <c r="K913" s="118">
        <v>1</v>
      </c>
      <c r="L913" s="118" t="s">
        <v>6184</v>
      </c>
      <c r="M913" s="115" t="s">
        <v>1109</v>
      </c>
      <c r="N913" s="115" t="s">
        <v>6505</v>
      </c>
      <c r="O913" s="115">
        <v>1</v>
      </c>
      <c r="P913" s="115" t="s">
        <v>1109</v>
      </c>
      <c r="Q913" s="166"/>
      <c r="R913" s="164"/>
      <c r="S913" s="164"/>
      <c r="T913" s="164"/>
      <c r="U913" s="164"/>
      <c r="V913" s="162"/>
      <c r="W913" s="158"/>
      <c r="X913" s="158"/>
      <c r="Y913" s="158"/>
      <c r="Z913" s="158"/>
      <c r="AA913" s="158"/>
      <c r="AB913" s="158"/>
      <c r="AC913" s="113">
        <v>180</v>
      </c>
      <c r="AD913" s="113">
        <v>25</v>
      </c>
      <c r="AE913" s="113">
        <v>20</v>
      </c>
      <c r="AF913" s="113">
        <v>20</v>
      </c>
      <c r="AG913" s="120">
        <v>25</v>
      </c>
      <c r="AH913" s="113">
        <v>45</v>
      </c>
      <c r="AI913" s="113">
        <v>45</v>
      </c>
    </row>
    <row r="914" spans="1:35">
      <c r="A914" s="113">
        <v>825</v>
      </c>
      <c r="B914" s="113" t="s">
        <v>2221</v>
      </c>
      <c r="C914" s="120" t="s">
        <v>6185</v>
      </c>
      <c r="D914" s="124">
        <v>0.5</v>
      </c>
      <c r="E914" s="124">
        <v>0.5</v>
      </c>
      <c r="F914" s="113" t="s">
        <v>29</v>
      </c>
      <c r="G914" s="113" t="s">
        <v>2703</v>
      </c>
      <c r="H914" s="113" t="s">
        <v>29</v>
      </c>
      <c r="I914" s="113" t="s">
        <v>86</v>
      </c>
      <c r="J914" s="118" t="s">
        <v>2129</v>
      </c>
      <c r="K914" s="118">
        <v>1</v>
      </c>
      <c r="L914" s="118" t="s">
        <v>6184</v>
      </c>
      <c r="M914" s="115" t="s">
        <v>6184</v>
      </c>
      <c r="N914" s="115" t="s">
        <v>6506</v>
      </c>
      <c r="O914" s="115">
        <v>1</v>
      </c>
      <c r="P914" s="115" t="s">
        <v>2128</v>
      </c>
      <c r="Q914" s="166"/>
      <c r="R914" s="164"/>
      <c r="S914" s="164"/>
      <c r="T914" s="164"/>
      <c r="U914" s="164"/>
      <c r="V914" s="162"/>
      <c r="W914" s="158"/>
      <c r="X914" s="158"/>
      <c r="Y914" s="158"/>
      <c r="Z914" s="158"/>
      <c r="AA914" s="158"/>
      <c r="AB914" s="158"/>
      <c r="AC914" s="113">
        <v>335</v>
      </c>
      <c r="AD914" s="113">
        <v>50</v>
      </c>
      <c r="AE914" s="113">
        <v>35</v>
      </c>
      <c r="AF914" s="113">
        <v>80</v>
      </c>
      <c r="AG914" s="120">
        <v>50</v>
      </c>
      <c r="AH914" s="113">
        <v>90</v>
      </c>
      <c r="AI914" s="113">
        <v>30</v>
      </c>
    </row>
    <row r="915" spans="1:35">
      <c r="A915" s="113">
        <v>826</v>
      </c>
      <c r="B915" s="113" t="s">
        <v>2222</v>
      </c>
      <c r="C915" s="120" t="s">
        <v>6186</v>
      </c>
      <c r="D915" s="124">
        <v>0.5</v>
      </c>
      <c r="E915" s="124">
        <v>0.5</v>
      </c>
      <c r="F915" s="113" t="s">
        <v>29</v>
      </c>
      <c r="G915" s="113" t="s">
        <v>2703</v>
      </c>
      <c r="H915" s="113" t="s">
        <v>29</v>
      </c>
      <c r="I915" s="113" t="s">
        <v>86</v>
      </c>
      <c r="J915" s="118" t="s">
        <v>2129</v>
      </c>
      <c r="K915" s="118">
        <v>1</v>
      </c>
      <c r="L915" s="118" t="s">
        <v>6184</v>
      </c>
      <c r="M915" s="115" t="s">
        <v>6185</v>
      </c>
      <c r="N915" s="115" t="s">
        <v>6504</v>
      </c>
      <c r="O915" s="115">
        <v>1</v>
      </c>
      <c r="P915" s="115" t="s">
        <v>2128</v>
      </c>
      <c r="Q915" s="166"/>
      <c r="R915" s="164"/>
      <c r="S915" s="164"/>
      <c r="T915" s="164"/>
      <c r="U915" s="164"/>
      <c r="V915" s="162"/>
      <c r="W915" s="158"/>
      <c r="X915" s="158"/>
      <c r="Y915" s="158"/>
      <c r="Z915" s="158"/>
      <c r="AA915" s="158"/>
      <c r="AB915" s="158"/>
      <c r="AC915" s="113">
        <v>505</v>
      </c>
      <c r="AD915" s="113">
        <v>60</v>
      </c>
      <c r="AE915" s="113">
        <v>45</v>
      </c>
      <c r="AF915" s="113">
        <v>110</v>
      </c>
      <c r="AG915" s="120">
        <v>80</v>
      </c>
      <c r="AH915" s="113">
        <v>120</v>
      </c>
      <c r="AI915" s="113">
        <v>90</v>
      </c>
    </row>
    <row r="916" spans="1:35">
      <c r="A916" s="113">
        <v>827</v>
      </c>
      <c r="B916" s="113" t="s">
        <v>2223</v>
      </c>
      <c r="C916" s="120" t="s">
        <v>6187</v>
      </c>
      <c r="D916" s="124">
        <v>0.5</v>
      </c>
      <c r="E916" s="124">
        <v>0.5</v>
      </c>
      <c r="F916" s="113" t="s">
        <v>2332</v>
      </c>
      <c r="G916" s="113" t="s">
        <v>2703</v>
      </c>
      <c r="H916" s="113" t="s">
        <v>158</v>
      </c>
      <c r="I916" s="113" t="s">
        <v>1109</v>
      </c>
      <c r="J916" s="118" t="s">
        <v>2129</v>
      </c>
      <c r="K916" s="118">
        <v>1</v>
      </c>
      <c r="L916" s="118" t="s">
        <v>6187</v>
      </c>
      <c r="M916" s="115" t="s">
        <v>1109</v>
      </c>
      <c r="N916" s="115" t="s">
        <v>6505</v>
      </c>
      <c r="O916" s="115">
        <v>1</v>
      </c>
      <c r="P916" s="115" t="s">
        <v>1109</v>
      </c>
      <c r="Q916" s="166"/>
      <c r="R916" s="164"/>
      <c r="S916" s="164"/>
      <c r="T916" s="164"/>
      <c r="U916" s="164"/>
      <c r="V916" s="162"/>
      <c r="W916" s="158"/>
      <c r="X916" s="158"/>
      <c r="Y916" s="158"/>
      <c r="Z916" s="158"/>
      <c r="AA916" s="158"/>
      <c r="AB916" s="158"/>
      <c r="AC916" s="113">
        <v>245</v>
      </c>
      <c r="AD916" s="113">
        <v>40</v>
      </c>
      <c r="AE916" s="113">
        <v>28</v>
      </c>
      <c r="AF916" s="113">
        <v>28</v>
      </c>
      <c r="AG916" s="120">
        <v>47</v>
      </c>
      <c r="AH916" s="113">
        <v>52</v>
      </c>
      <c r="AI916" s="113">
        <v>50</v>
      </c>
    </row>
    <row r="917" spans="1:35">
      <c r="A917" s="113">
        <v>828</v>
      </c>
      <c r="B917" s="113" t="s">
        <v>2224</v>
      </c>
      <c r="C917" s="120" t="s">
        <v>6188</v>
      </c>
      <c r="D917" s="124">
        <v>0.5</v>
      </c>
      <c r="E917" s="124">
        <v>0.5</v>
      </c>
      <c r="F917" s="113" t="s">
        <v>2332</v>
      </c>
      <c r="G917" s="113" t="s">
        <v>2703</v>
      </c>
      <c r="H917" s="113" t="s">
        <v>158</v>
      </c>
      <c r="I917" s="113" t="s">
        <v>1109</v>
      </c>
      <c r="J917" s="118" t="s">
        <v>2129</v>
      </c>
      <c r="K917" s="118">
        <v>1</v>
      </c>
      <c r="L917" s="118" t="s">
        <v>6187</v>
      </c>
      <c r="M917" s="115" t="s">
        <v>6187</v>
      </c>
      <c r="N917" s="115" t="s">
        <v>6504</v>
      </c>
      <c r="O917" s="115">
        <v>1</v>
      </c>
      <c r="P917" s="115" t="s">
        <v>2128</v>
      </c>
      <c r="Q917" s="166"/>
      <c r="R917" s="164"/>
      <c r="S917" s="164"/>
      <c r="T917" s="164"/>
      <c r="U917" s="164"/>
      <c r="V917" s="162"/>
      <c r="W917" s="158"/>
      <c r="X917" s="158"/>
      <c r="Y917" s="158"/>
      <c r="Z917" s="158"/>
      <c r="AA917" s="158"/>
      <c r="AB917" s="158"/>
      <c r="AC917" s="113">
        <v>455</v>
      </c>
      <c r="AD917" s="113">
        <v>70</v>
      </c>
      <c r="AE917" s="113">
        <v>58</v>
      </c>
      <c r="AF917" s="113">
        <v>58</v>
      </c>
      <c r="AG917" s="120">
        <v>87</v>
      </c>
      <c r="AH917" s="113">
        <v>92</v>
      </c>
      <c r="AI917" s="113">
        <v>90</v>
      </c>
    </row>
    <row r="918" spans="1:35">
      <c r="A918" s="113">
        <v>829</v>
      </c>
      <c r="B918" s="113" t="s">
        <v>2225</v>
      </c>
      <c r="C918" s="120" t="s">
        <v>6189</v>
      </c>
      <c r="D918" s="124">
        <v>0.5</v>
      </c>
      <c r="E918" s="124">
        <v>0.5</v>
      </c>
      <c r="F918" s="113" t="s">
        <v>14</v>
      </c>
      <c r="G918" s="113" t="s">
        <v>2703</v>
      </c>
      <c r="H918" s="113" t="s">
        <v>14</v>
      </c>
      <c r="I918" s="113" t="s">
        <v>1109</v>
      </c>
      <c r="J918" s="118" t="s">
        <v>2129</v>
      </c>
      <c r="K918" s="118">
        <v>1</v>
      </c>
      <c r="L918" s="118" t="s">
        <v>6189</v>
      </c>
      <c r="M918" s="115" t="s">
        <v>1109</v>
      </c>
      <c r="N918" s="115" t="s">
        <v>6505</v>
      </c>
      <c r="O918" s="115">
        <v>1</v>
      </c>
      <c r="P918" s="115" t="s">
        <v>1109</v>
      </c>
      <c r="Q918" s="166"/>
      <c r="R918" s="164"/>
      <c r="S918" s="164"/>
      <c r="T918" s="164"/>
      <c r="U918" s="164"/>
      <c r="V918" s="162"/>
      <c r="W918" s="158"/>
      <c r="X918" s="158"/>
      <c r="Y918" s="158"/>
      <c r="Z918" s="158"/>
      <c r="AA918" s="158"/>
      <c r="AB918" s="158"/>
      <c r="AC918" s="113">
        <v>250</v>
      </c>
      <c r="AD918" s="113">
        <v>40</v>
      </c>
      <c r="AE918" s="113">
        <v>40</v>
      </c>
      <c r="AF918" s="113">
        <v>60</v>
      </c>
      <c r="AG918" s="120">
        <v>40</v>
      </c>
      <c r="AH918" s="113">
        <v>60</v>
      </c>
      <c r="AI918" s="113">
        <v>10</v>
      </c>
    </row>
    <row r="919" spans="1:35">
      <c r="A919" s="113">
        <v>830</v>
      </c>
      <c r="B919" s="113" t="s">
        <v>2226</v>
      </c>
      <c r="C919" s="120" t="s">
        <v>6190</v>
      </c>
      <c r="D919" s="124">
        <v>0.5</v>
      </c>
      <c r="E919" s="124">
        <v>0.5</v>
      </c>
      <c r="F919" s="113" t="s">
        <v>14</v>
      </c>
      <c r="G919" s="113" t="s">
        <v>2703</v>
      </c>
      <c r="H919" s="113" t="s">
        <v>14</v>
      </c>
      <c r="I919" s="113" t="s">
        <v>1109</v>
      </c>
      <c r="J919" s="118" t="s">
        <v>2129</v>
      </c>
      <c r="K919" s="118">
        <v>1</v>
      </c>
      <c r="L919" s="118" t="s">
        <v>6189</v>
      </c>
      <c r="M919" s="115" t="s">
        <v>6189</v>
      </c>
      <c r="N919" s="115" t="s">
        <v>6504</v>
      </c>
      <c r="O919" s="115">
        <v>1</v>
      </c>
      <c r="P919" s="115" t="s">
        <v>2128</v>
      </c>
      <c r="Q919" s="166"/>
      <c r="R919" s="164"/>
      <c r="S919" s="164"/>
      <c r="T919" s="164"/>
      <c r="U919" s="164"/>
      <c r="V919" s="162"/>
      <c r="W919" s="158"/>
      <c r="X919" s="158"/>
      <c r="Y919" s="158"/>
      <c r="Z919" s="158"/>
      <c r="AA919" s="158"/>
      <c r="AB919" s="158"/>
      <c r="AC919" s="113">
        <v>460</v>
      </c>
      <c r="AD919" s="113">
        <v>60</v>
      </c>
      <c r="AE919" s="113">
        <v>50</v>
      </c>
      <c r="AF919" s="113">
        <v>90</v>
      </c>
      <c r="AG919" s="120">
        <v>80</v>
      </c>
      <c r="AH919" s="113">
        <v>120</v>
      </c>
      <c r="AI919" s="113">
        <v>60</v>
      </c>
    </row>
    <row r="920" spans="1:35">
      <c r="A920" s="113">
        <v>831</v>
      </c>
      <c r="B920" s="113" t="s">
        <v>2227</v>
      </c>
      <c r="C920" s="120" t="s">
        <v>6191</v>
      </c>
      <c r="D920" s="124">
        <v>0.5</v>
      </c>
      <c r="E920" s="124">
        <v>0.5</v>
      </c>
      <c r="F920" s="113" t="s">
        <v>2332</v>
      </c>
      <c r="G920" s="113" t="s">
        <v>2703</v>
      </c>
      <c r="H920" s="113" t="s">
        <v>36</v>
      </c>
      <c r="I920" s="113" t="s">
        <v>1109</v>
      </c>
      <c r="J920" s="118" t="s">
        <v>2129</v>
      </c>
      <c r="K920" s="118">
        <v>1</v>
      </c>
      <c r="L920" s="118" t="s">
        <v>6191</v>
      </c>
      <c r="M920" s="115" t="s">
        <v>1109</v>
      </c>
      <c r="N920" s="115" t="s">
        <v>6505</v>
      </c>
      <c r="O920" s="115">
        <v>1</v>
      </c>
      <c r="P920" s="115" t="s">
        <v>1109</v>
      </c>
      <c r="Q920" s="166"/>
      <c r="R920" s="164"/>
      <c r="S920" s="164"/>
      <c r="T920" s="164"/>
      <c r="U920" s="164"/>
      <c r="V920" s="162"/>
      <c r="W920" s="158"/>
      <c r="X920" s="158"/>
      <c r="Y920" s="158"/>
      <c r="Z920" s="158"/>
      <c r="AA920" s="158"/>
      <c r="AB920" s="158"/>
      <c r="AC920" s="113">
        <v>270</v>
      </c>
      <c r="AD920" s="113">
        <v>42</v>
      </c>
      <c r="AE920" s="113">
        <v>40</v>
      </c>
      <c r="AF920" s="113">
        <v>55</v>
      </c>
      <c r="AG920" s="120">
        <v>40</v>
      </c>
      <c r="AH920" s="113">
        <v>45</v>
      </c>
      <c r="AI920" s="113">
        <v>48</v>
      </c>
    </row>
    <row r="921" spans="1:35">
      <c r="A921" s="113">
        <v>832</v>
      </c>
      <c r="B921" s="113" t="s">
        <v>2228</v>
      </c>
      <c r="C921" s="120" t="s">
        <v>6192</v>
      </c>
      <c r="D921" s="124">
        <v>0.5</v>
      </c>
      <c r="E921" s="124">
        <v>0.5</v>
      </c>
      <c r="F921" s="113" t="s">
        <v>2332</v>
      </c>
      <c r="G921" s="113" t="s">
        <v>2703</v>
      </c>
      <c r="H921" s="113" t="s">
        <v>36</v>
      </c>
      <c r="I921" s="113" t="s">
        <v>1109</v>
      </c>
      <c r="J921" s="118" t="s">
        <v>2129</v>
      </c>
      <c r="K921" s="118">
        <v>1</v>
      </c>
      <c r="L921" s="118" t="s">
        <v>6191</v>
      </c>
      <c r="M921" s="115" t="s">
        <v>6191</v>
      </c>
      <c r="N921" s="115" t="s">
        <v>6504</v>
      </c>
      <c r="O921" s="115">
        <v>1</v>
      </c>
      <c r="P921" s="115" t="s">
        <v>2128</v>
      </c>
      <c r="Q921" s="166"/>
      <c r="R921" s="164"/>
      <c r="S921" s="164"/>
      <c r="T921" s="164"/>
      <c r="U921" s="164"/>
      <c r="V921" s="162"/>
      <c r="W921" s="158"/>
      <c r="X921" s="158"/>
      <c r="Y921" s="158"/>
      <c r="Z921" s="158"/>
      <c r="AA921" s="158"/>
      <c r="AB921" s="158"/>
      <c r="AC921" s="113">
        <v>490</v>
      </c>
      <c r="AD921" s="113">
        <v>72</v>
      </c>
      <c r="AE921" s="113">
        <v>80</v>
      </c>
      <c r="AF921" s="113">
        <v>100</v>
      </c>
      <c r="AG921" s="120">
        <v>60</v>
      </c>
      <c r="AH921" s="113">
        <v>90</v>
      </c>
      <c r="AI921" s="113">
        <v>88</v>
      </c>
    </row>
    <row r="922" spans="1:35">
      <c r="A922" s="113">
        <v>833</v>
      </c>
      <c r="B922" s="113" t="s">
        <v>2229</v>
      </c>
      <c r="C922" s="120" t="s">
        <v>6193</v>
      </c>
      <c r="D922" s="124">
        <v>0.5</v>
      </c>
      <c r="E922" s="124">
        <v>0.5</v>
      </c>
      <c r="F922" s="113" t="s">
        <v>2331</v>
      </c>
      <c r="G922" s="113" t="s">
        <v>2703</v>
      </c>
      <c r="H922" s="113" t="s">
        <v>25</v>
      </c>
      <c r="I922" s="113" t="s">
        <v>1109</v>
      </c>
      <c r="J922" s="118" t="s">
        <v>2129</v>
      </c>
      <c r="K922" s="118">
        <v>2</v>
      </c>
      <c r="L922" s="118" t="s">
        <v>6193</v>
      </c>
      <c r="M922" s="115" t="s">
        <v>1109</v>
      </c>
      <c r="N922" s="115" t="s">
        <v>6505</v>
      </c>
      <c r="O922" s="115">
        <v>1.25</v>
      </c>
      <c r="P922" s="115" t="s">
        <v>1109</v>
      </c>
      <c r="Q922" s="166"/>
      <c r="R922" s="164"/>
      <c r="S922" s="164"/>
      <c r="T922" s="164"/>
      <c r="U922" s="164"/>
      <c r="V922" s="162"/>
      <c r="W922" s="158"/>
      <c r="X922" s="158"/>
      <c r="Y922" s="158"/>
      <c r="Z922" s="158"/>
      <c r="AA922" s="158"/>
      <c r="AB922" s="158"/>
      <c r="AC922" s="113">
        <v>284</v>
      </c>
      <c r="AD922" s="113">
        <v>50</v>
      </c>
      <c r="AE922" s="113">
        <v>64</v>
      </c>
      <c r="AF922" s="113">
        <v>50</v>
      </c>
      <c r="AG922" s="120">
        <v>38</v>
      </c>
      <c r="AH922" s="113">
        <v>38</v>
      </c>
      <c r="AI922" s="113">
        <v>44</v>
      </c>
    </row>
    <row r="923" spans="1:35">
      <c r="A923" s="113">
        <v>834</v>
      </c>
      <c r="B923" s="113" t="s">
        <v>2230</v>
      </c>
      <c r="C923" s="120" t="s">
        <v>6194</v>
      </c>
      <c r="D923" s="124">
        <v>0.5</v>
      </c>
      <c r="E923" s="124">
        <v>0.5</v>
      </c>
      <c r="F923" s="113" t="s">
        <v>2331</v>
      </c>
      <c r="G923" s="113" t="s">
        <v>2703</v>
      </c>
      <c r="H923" s="113" t="s">
        <v>25</v>
      </c>
      <c r="I923" s="113" t="s">
        <v>98</v>
      </c>
      <c r="J923" s="118" t="s">
        <v>2129</v>
      </c>
      <c r="K923" s="118">
        <v>2</v>
      </c>
      <c r="L923" s="118" t="s">
        <v>6193</v>
      </c>
      <c r="M923" s="115" t="s">
        <v>6193</v>
      </c>
      <c r="N923" s="115" t="s">
        <v>6504</v>
      </c>
      <c r="O923" s="115">
        <v>1.25</v>
      </c>
      <c r="P923" s="115" t="s">
        <v>2128</v>
      </c>
      <c r="Q923" s="166"/>
      <c r="R923" s="164"/>
      <c r="S923" s="164"/>
      <c r="T923" s="164"/>
      <c r="U923" s="164"/>
      <c r="V923" s="162"/>
      <c r="W923" s="158"/>
      <c r="X923" s="158"/>
      <c r="Y923" s="158"/>
      <c r="Z923" s="158"/>
      <c r="AA923" s="158"/>
      <c r="AB923" s="158"/>
      <c r="AC923" s="113">
        <v>485</v>
      </c>
      <c r="AD923" s="113">
        <v>90</v>
      </c>
      <c r="AE923" s="113">
        <v>115</v>
      </c>
      <c r="AF923" s="113">
        <v>90</v>
      </c>
      <c r="AG923" s="120">
        <v>48</v>
      </c>
      <c r="AH923" s="113">
        <v>68</v>
      </c>
      <c r="AI923" s="113">
        <v>74</v>
      </c>
    </row>
    <row r="924" spans="1:35">
      <c r="A924" s="113">
        <v>835</v>
      </c>
      <c r="B924" s="113" t="s">
        <v>2231</v>
      </c>
      <c r="C924" s="120" t="s">
        <v>6195</v>
      </c>
      <c r="D924" s="124">
        <v>0.5</v>
      </c>
      <c r="E924" s="124">
        <v>0.5</v>
      </c>
      <c r="F924" s="113" t="s">
        <v>2332</v>
      </c>
      <c r="G924" s="113" t="s">
        <v>2703</v>
      </c>
      <c r="H924" s="113" t="s">
        <v>46</v>
      </c>
      <c r="I924" s="113" t="s">
        <v>1109</v>
      </c>
      <c r="J924" s="118" t="s">
        <v>2129</v>
      </c>
      <c r="K924" s="118">
        <v>1</v>
      </c>
      <c r="L924" s="118" t="s">
        <v>6195</v>
      </c>
      <c r="M924" s="115" t="s">
        <v>1109</v>
      </c>
      <c r="N924" s="115" t="s">
        <v>6505</v>
      </c>
      <c r="O924" s="115">
        <v>1</v>
      </c>
      <c r="P924" s="115" t="s">
        <v>1109</v>
      </c>
      <c r="Q924" s="166"/>
      <c r="R924" s="164"/>
      <c r="S924" s="164"/>
      <c r="T924" s="164"/>
      <c r="U924" s="164"/>
      <c r="V924" s="162"/>
      <c r="W924" s="158"/>
      <c r="X924" s="158"/>
      <c r="Y924" s="158"/>
      <c r="Z924" s="158"/>
      <c r="AA924" s="158"/>
      <c r="AB924" s="158"/>
      <c r="AC924" s="113">
        <v>270</v>
      </c>
      <c r="AD924" s="113">
        <v>59</v>
      </c>
      <c r="AE924" s="113">
        <v>45</v>
      </c>
      <c r="AF924" s="113">
        <v>50</v>
      </c>
      <c r="AG924" s="120">
        <v>40</v>
      </c>
      <c r="AH924" s="113">
        <v>50</v>
      </c>
      <c r="AI924" s="113">
        <v>26</v>
      </c>
    </row>
    <row r="925" spans="1:35">
      <c r="A925" s="113">
        <v>836</v>
      </c>
      <c r="B925" s="113" t="s">
        <v>2232</v>
      </c>
      <c r="C925" s="120" t="s">
        <v>6196</v>
      </c>
      <c r="D925" s="124">
        <v>0.5</v>
      </c>
      <c r="E925" s="124">
        <v>0.5</v>
      </c>
      <c r="F925" s="113" t="s">
        <v>2332</v>
      </c>
      <c r="G925" s="113" t="s">
        <v>2703</v>
      </c>
      <c r="H925" s="113" t="s">
        <v>46</v>
      </c>
      <c r="I925" s="113" t="s">
        <v>1109</v>
      </c>
      <c r="J925" s="118" t="s">
        <v>2129</v>
      </c>
      <c r="K925" s="118">
        <v>1</v>
      </c>
      <c r="L925" s="118" t="s">
        <v>6195</v>
      </c>
      <c r="M925" s="115" t="s">
        <v>6195</v>
      </c>
      <c r="N925" s="115" t="s">
        <v>6504</v>
      </c>
      <c r="O925" s="115">
        <v>1</v>
      </c>
      <c r="P925" s="115" t="s">
        <v>2128</v>
      </c>
      <c r="Q925" s="166"/>
      <c r="R925" s="164"/>
      <c r="S925" s="164"/>
      <c r="T925" s="164"/>
      <c r="U925" s="164"/>
      <c r="V925" s="162"/>
      <c r="W925" s="158"/>
      <c r="X925" s="158"/>
      <c r="Y925" s="158"/>
      <c r="Z925" s="158"/>
      <c r="AA925" s="158"/>
      <c r="AB925" s="158"/>
      <c r="AC925" s="113">
        <v>490</v>
      </c>
      <c r="AD925" s="113">
        <v>69</v>
      </c>
      <c r="AE925" s="113">
        <v>90</v>
      </c>
      <c r="AF925" s="113">
        <v>60</v>
      </c>
      <c r="AG925" s="120">
        <v>90</v>
      </c>
      <c r="AH925" s="113">
        <v>60</v>
      </c>
      <c r="AI925" s="113">
        <v>121</v>
      </c>
    </row>
    <row r="926" spans="1:35">
      <c r="A926" s="113">
        <v>837</v>
      </c>
      <c r="B926" s="113" t="s">
        <v>2233</v>
      </c>
      <c r="C926" s="120" t="s">
        <v>6197</v>
      </c>
      <c r="D926" s="124">
        <v>0.5</v>
      </c>
      <c r="E926" s="124">
        <v>0.5</v>
      </c>
      <c r="F926" s="113" t="s">
        <v>2112</v>
      </c>
      <c r="G926" s="113" t="s">
        <v>2703</v>
      </c>
      <c r="H926" s="113" t="s">
        <v>98</v>
      </c>
      <c r="I926" s="113" t="s">
        <v>1109</v>
      </c>
      <c r="J926" s="118" t="s">
        <v>2129</v>
      </c>
      <c r="K926" s="118">
        <v>1</v>
      </c>
      <c r="L926" s="118" t="s">
        <v>6197</v>
      </c>
      <c r="M926" s="115" t="s">
        <v>1109</v>
      </c>
      <c r="N926" s="115" t="s">
        <v>6505</v>
      </c>
      <c r="O926" s="115">
        <v>1</v>
      </c>
      <c r="P926" s="115" t="s">
        <v>1109</v>
      </c>
      <c r="Q926" s="166"/>
      <c r="R926" s="164"/>
      <c r="S926" s="164"/>
      <c r="T926" s="164"/>
      <c r="U926" s="164"/>
      <c r="V926" s="162"/>
      <c r="W926" s="158"/>
      <c r="X926" s="158"/>
      <c r="Y926" s="158"/>
      <c r="Z926" s="158"/>
      <c r="AA926" s="158"/>
      <c r="AB926" s="158"/>
      <c r="AC926" s="113">
        <v>240</v>
      </c>
      <c r="AD926" s="113">
        <v>30</v>
      </c>
      <c r="AE926" s="113">
        <v>40</v>
      </c>
      <c r="AF926" s="113">
        <v>50</v>
      </c>
      <c r="AG926" s="120">
        <v>40</v>
      </c>
      <c r="AH926" s="113">
        <v>50</v>
      </c>
      <c r="AI926" s="113">
        <v>30</v>
      </c>
    </row>
    <row r="927" spans="1:35">
      <c r="A927" s="113">
        <v>838</v>
      </c>
      <c r="B927" s="113" t="s">
        <v>2234</v>
      </c>
      <c r="C927" s="120" t="s">
        <v>6198</v>
      </c>
      <c r="D927" s="124">
        <v>0.5</v>
      </c>
      <c r="E927" s="124">
        <v>0.5</v>
      </c>
      <c r="F927" s="113" t="s">
        <v>2112</v>
      </c>
      <c r="G927" s="113" t="s">
        <v>2703</v>
      </c>
      <c r="H927" s="113" t="s">
        <v>98</v>
      </c>
      <c r="I927" s="113" t="s">
        <v>19</v>
      </c>
      <c r="J927" s="118" t="s">
        <v>2129</v>
      </c>
      <c r="K927" s="118">
        <v>1</v>
      </c>
      <c r="L927" s="118" t="s">
        <v>6197</v>
      </c>
      <c r="M927" s="115" t="s">
        <v>6197</v>
      </c>
      <c r="N927" s="115" t="s">
        <v>6506</v>
      </c>
      <c r="O927" s="115">
        <v>1</v>
      </c>
      <c r="P927" s="115" t="s">
        <v>2128</v>
      </c>
      <c r="Q927" s="166"/>
      <c r="R927" s="164"/>
      <c r="S927" s="164"/>
      <c r="T927" s="164"/>
      <c r="U927" s="164"/>
      <c r="V927" s="162"/>
      <c r="W927" s="158"/>
      <c r="X927" s="158"/>
      <c r="Y927" s="158"/>
      <c r="Z927" s="158"/>
      <c r="AA927" s="158"/>
      <c r="AB927" s="158"/>
      <c r="AC927" s="113">
        <v>410</v>
      </c>
      <c r="AD927" s="113">
        <v>80</v>
      </c>
      <c r="AE927" s="113">
        <v>60</v>
      </c>
      <c r="AF927" s="113">
        <v>90</v>
      </c>
      <c r="AG927" s="120">
        <v>60</v>
      </c>
      <c r="AH927" s="113">
        <v>70</v>
      </c>
      <c r="AI927" s="113">
        <v>50</v>
      </c>
    </row>
    <row r="928" spans="1:35">
      <c r="A928" s="113">
        <v>839</v>
      </c>
      <c r="B928" s="113" t="s">
        <v>2235</v>
      </c>
      <c r="C928" s="120" t="s">
        <v>6199</v>
      </c>
      <c r="D928" s="124">
        <v>0.5</v>
      </c>
      <c r="E928" s="124">
        <v>0.5</v>
      </c>
      <c r="F928" s="113" t="s">
        <v>2112</v>
      </c>
      <c r="G928" s="113" t="s">
        <v>2703</v>
      </c>
      <c r="H928" s="113" t="s">
        <v>98</v>
      </c>
      <c r="I928" s="113" t="s">
        <v>19</v>
      </c>
      <c r="J928" s="118" t="s">
        <v>2129</v>
      </c>
      <c r="K928" s="118">
        <v>1</v>
      </c>
      <c r="L928" s="118" t="s">
        <v>6197</v>
      </c>
      <c r="M928" s="115" t="s">
        <v>6198</v>
      </c>
      <c r="N928" s="115" t="s">
        <v>6504</v>
      </c>
      <c r="O928" s="115">
        <v>1</v>
      </c>
      <c r="P928" s="115" t="s">
        <v>2128</v>
      </c>
      <c r="Q928" s="166"/>
      <c r="R928" s="164"/>
      <c r="S928" s="164"/>
      <c r="T928" s="164"/>
      <c r="U928" s="164"/>
      <c r="V928" s="162"/>
      <c r="W928" s="158"/>
      <c r="X928" s="158"/>
      <c r="Y928" s="158"/>
      <c r="Z928" s="158"/>
      <c r="AA928" s="158"/>
      <c r="AB928" s="158"/>
      <c r="AC928" s="113">
        <v>510</v>
      </c>
      <c r="AD928" s="113">
        <v>110</v>
      </c>
      <c r="AE928" s="113">
        <v>80</v>
      </c>
      <c r="AF928" s="113">
        <v>120</v>
      </c>
      <c r="AG928" s="120">
        <v>80</v>
      </c>
      <c r="AH928" s="113">
        <v>90</v>
      </c>
      <c r="AI928" s="113">
        <v>30</v>
      </c>
    </row>
    <row r="929" spans="1:35">
      <c r="A929" s="113">
        <v>840</v>
      </c>
      <c r="B929" s="113" t="s">
        <v>2236</v>
      </c>
      <c r="C929" s="120" t="s">
        <v>6200</v>
      </c>
      <c r="D929" s="124">
        <v>0.5</v>
      </c>
      <c r="E929" s="124">
        <v>0.5</v>
      </c>
      <c r="F929" s="113" t="s">
        <v>23</v>
      </c>
      <c r="G929" s="113" t="s">
        <v>2703</v>
      </c>
      <c r="H929" s="113" t="s">
        <v>14</v>
      </c>
      <c r="I929" s="113" t="s">
        <v>23</v>
      </c>
      <c r="J929" s="118" t="s">
        <v>2129</v>
      </c>
      <c r="K929" s="118">
        <v>2</v>
      </c>
      <c r="L929" s="118" t="s">
        <v>6200</v>
      </c>
      <c r="M929" s="115" t="s">
        <v>1109</v>
      </c>
      <c r="N929" s="115" t="s">
        <v>6505</v>
      </c>
      <c r="O929" s="115">
        <v>1.25</v>
      </c>
      <c r="P929" s="115" t="s">
        <v>1109</v>
      </c>
      <c r="Q929" s="166"/>
      <c r="R929" s="164"/>
      <c r="S929" s="164"/>
      <c r="T929" s="164"/>
      <c r="U929" s="164"/>
      <c r="V929" s="162"/>
      <c r="W929" s="158"/>
      <c r="X929" s="158"/>
      <c r="Y929" s="158"/>
      <c r="Z929" s="158"/>
      <c r="AA929" s="158"/>
      <c r="AB929" s="158"/>
      <c r="AC929" s="113">
        <v>260</v>
      </c>
      <c r="AD929" s="113">
        <v>40</v>
      </c>
      <c r="AE929" s="113">
        <v>40</v>
      </c>
      <c r="AF929" s="113">
        <v>80</v>
      </c>
      <c r="AG929" s="120">
        <v>40</v>
      </c>
      <c r="AH929" s="113">
        <v>40</v>
      </c>
      <c r="AI929" s="113">
        <v>20</v>
      </c>
    </row>
    <row r="930" spans="1:35">
      <c r="A930" s="113">
        <v>841</v>
      </c>
      <c r="B930" s="113" t="s">
        <v>2237</v>
      </c>
      <c r="C930" s="120" t="s">
        <v>6201</v>
      </c>
      <c r="D930" s="124">
        <v>0.5</v>
      </c>
      <c r="E930" s="124">
        <v>0.5</v>
      </c>
      <c r="F930" s="113" t="s">
        <v>23</v>
      </c>
      <c r="G930" s="113" t="s">
        <v>2703</v>
      </c>
      <c r="H930" s="113" t="s">
        <v>14</v>
      </c>
      <c r="I930" s="113" t="s">
        <v>23</v>
      </c>
      <c r="J930" s="118" t="s">
        <v>2129</v>
      </c>
      <c r="K930" s="118">
        <v>2</v>
      </c>
      <c r="L930" s="118" t="s">
        <v>6200</v>
      </c>
      <c r="M930" s="115" t="s">
        <v>6200</v>
      </c>
      <c r="N930" s="115" t="s">
        <v>6504</v>
      </c>
      <c r="O930" s="115">
        <v>1.25</v>
      </c>
      <c r="P930" s="115" t="s">
        <v>2130</v>
      </c>
      <c r="Q930" s="166"/>
      <c r="R930" s="164"/>
      <c r="S930" s="164"/>
      <c r="T930" s="164"/>
      <c r="U930" s="164"/>
      <c r="V930" s="162"/>
      <c r="W930" s="158"/>
      <c r="X930" s="158"/>
      <c r="Y930" s="158"/>
      <c r="Z930" s="158"/>
      <c r="AA930" s="158"/>
      <c r="AB930" s="158"/>
      <c r="AC930" s="113">
        <v>485</v>
      </c>
      <c r="AD930" s="113">
        <v>70</v>
      </c>
      <c r="AE930" s="113">
        <v>110</v>
      </c>
      <c r="AF930" s="113">
        <v>80</v>
      </c>
      <c r="AG930" s="120">
        <v>95</v>
      </c>
      <c r="AH930" s="113">
        <v>60</v>
      </c>
      <c r="AI930" s="113">
        <v>70</v>
      </c>
    </row>
    <row r="931" spans="1:35">
      <c r="A931" s="113">
        <v>842</v>
      </c>
      <c r="B931" s="113" t="s">
        <v>2238</v>
      </c>
      <c r="C931" s="120" t="s">
        <v>6202</v>
      </c>
      <c r="D931" s="124">
        <v>0.5</v>
      </c>
      <c r="E931" s="124">
        <v>0.5</v>
      </c>
      <c r="F931" s="113" t="s">
        <v>23</v>
      </c>
      <c r="G931" s="113" t="s">
        <v>2703</v>
      </c>
      <c r="H931" s="113" t="s">
        <v>14</v>
      </c>
      <c r="I931" s="113" t="s">
        <v>23</v>
      </c>
      <c r="J931" s="118" t="s">
        <v>2129</v>
      </c>
      <c r="K931" s="118">
        <v>2</v>
      </c>
      <c r="L931" s="118" t="s">
        <v>6200</v>
      </c>
      <c r="M931" s="115" t="s">
        <v>6200</v>
      </c>
      <c r="N931" s="115" t="s">
        <v>6504</v>
      </c>
      <c r="O931" s="115">
        <v>1.25</v>
      </c>
      <c r="P931" s="115" t="s">
        <v>2130</v>
      </c>
      <c r="Q931" s="166"/>
      <c r="R931" s="164"/>
      <c r="S931" s="164"/>
      <c r="T931" s="164"/>
      <c r="U931" s="164"/>
      <c r="V931" s="162"/>
      <c r="W931" s="158"/>
      <c r="X931" s="158"/>
      <c r="Y931" s="158"/>
      <c r="Z931" s="158"/>
      <c r="AA931" s="158"/>
      <c r="AB931" s="158"/>
      <c r="AC931" s="113">
        <v>485</v>
      </c>
      <c r="AD931" s="113">
        <v>110</v>
      </c>
      <c r="AE931" s="113">
        <v>85</v>
      </c>
      <c r="AF931" s="113">
        <v>80</v>
      </c>
      <c r="AG931" s="120">
        <v>100</v>
      </c>
      <c r="AH931" s="113">
        <v>80</v>
      </c>
      <c r="AI931" s="113">
        <v>30</v>
      </c>
    </row>
    <row r="932" spans="1:35">
      <c r="A932" s="113">
        <v>843</v>
      </c>
      <c r="B932" s="113" t="s">
        <v>2239</v>
      </c>
      <c r="C932" s="120" t="s">
        <v>6203</v>
      </c>
      <c r="D932" s="124">
        <v>0.5</v>
      </c>
      <c r="E932" s="124">
        <v>0.5</v>
      </c>
      <c r="F932" s="113" t="s">
        <v>2332</v>
      </c>
      <c r="G932" s="113" t="s">
        <v>2703</v>
      </c>
      <c r="H932" s="113" t="s">
        <v>49</v>
      </c>
      <c r="I932" s="113" t="s">
        <v>1109</v>
      </c>
      <c r="J932" s="118" t="s">
        <v>2129</v>
      </c>
      <c r="K932" s="118">
        <v>2</v>
      </c>
      <c r="L932" s="118" t="s">
        <v>6203</v>
      </c>
      <c r="M932" s="115" t="s">
        <v>1109</v>
      </c>
      <c r="N932" s="115" t="s">
        <v>6505</v>
      </c>
      <c r="O932" s="115">
        <v>1.25</v>
      </c>
      <c r="P932" s="115" t="s">
        <v>1109</v>
      </c>
      <c r="Q932" s="166"/>
      <c r="R932" s="164"/>
      <c r="S932" s="164"/>
      <c r="T932" s="164"/>
      <c r="U932" s="164"/>
      <c r="V932" s="162"/>
      <c r="W932" s="158"/>
      <c r="X932" s="158"/>
      <c r="Y932" s="158"/>
      <c r="Z932" s="158"/>
      <c r="AA932" s="158"/>
      <c r="AB932" s="158"/>
      <c r="AC932" s="113">
        <v>315</v>
      </c>
      <c r="AD932" s="113">
        <v>52</v>
      </c>
      <c r="AE932" s="113">
        <v>57</v>
      </c>
      <c r="AF932" s="113">
        <v>75</v>
      </c>
      <c r="AG932" s="120">
        <v>35</v>
      </c>
      <c r="AH932" s="113">
        <v>50</v>
      </c>
      <c r="AI932" s="113">
        <v>46</v>
      </c>
    </row>
    <row r="933" spans="1:35">
      <c r="A933" s="113">
        <v>844</v>
      </c>
      <c r="B933" s="113" t="s">
        <v>2240</v>
      </c>
      <c r="C933" s="120" t="s">
        <v>6204</v>
      </c>
      <c r="D933" s="124">
        <v>0.5</v>
      </c>
      <c r="E933" s="124">
        <v>0.5</v>
      </c>
      <c r="F933" s="113" t="s">
        <v>2332</v>
      </c>
      <c r="G933" s="113" t="s">
        <v>2703</v>
      </c>
      <c r="H933" s="113" t="s">
        <v>49</v>
      </c>
      <c r="I933" s="113" t="s">
        <v>1109</v>
      </c>
      <c r="J933" s="118" t="s">
        <v>2129</v>
      </c>
      <c r="K933" s="118">
        <v>2</v>
      </c>
      <c r="L933" s="118" t="s">
        <v>6203</v>
      </c>
      <c r="M933" s="115" t="s">
        <v>6203</v>
      </c>
      <c r="N933" s="115" t="s">
        <v>6504</v>
      </c>
      <c r="O933" s="115">
        <v>1.25</v>
      </c>
      <c r="P933" s="115" t="s">
        <v>2128</v>
      </c>
      <c r="Q933" s="166"/>
      <c r="R933" s="164"/>
      <c r="S933" s="164"/>
      <c r="T933" s="164"/>
      <c r="U933" s="164"/>
      <c r="V933" s="162"/>
      <c r="W933" s="158"/>
      <c r="X933" s="158"/>
      <c r="Y933" s="158"/>
      <c r="Z933" s="158"/>
      <c r="AA933" s="158"/>
      <c r="AB933" s="158"/>
      <c r="AC933" s="113">
        <v>510</v>
      </c>
      <c r="AD933" s="113">
        <v>72</v>
      </c>
      <c r="AE933" s="113">
        <v>107</v>
      </c>
      <c r="AF933" s="113">
        <v>125</v>
      </c>
      <c r="AG933" s="120">
        <v>65</v>
      </c>
      <c r="AH933" s="113">
        <v>70</v>
      </c>
      <c r="AI933" s="113">
        <v>71</v>
      </c>
    </row>
    <row r="934" spans="1:35">
      <c r="A934" s="113">
        <v>845</v>
      </c>
      <c r="B934" s="113" t="s">
        <v>2241</v>
      </c>
      <c r="C934" s="120" t="s">
        <v>6205</v>
      </c>
      <c r="D934" s="124">
        <v>0.5</v>
      </c>
      <c r="E934" s="124">
        <v>0.5</v>
      </c>
      <c r="F934" s="113" t="s">
        <v>22</v>
      </c>
      <c r="G934" s="113" t="s">
        <v>2703</v>
      </c>
      <c r="H934" s="113" t="s">
        <v>22</v>
      </c>
      <c r="I934" s="113" t="s">
        <v>25</v>
      </c>
      <c r="J934" s="118" t="s">
        <v>2129</v>
      </c>
      <c r="K934" s="118">
        <v>3</v>
      </c>
      <c r="L934" s="118" t="s">
        <v>6205</v>
      </c>
      <c r="M934" s="115" t="s">
        <v>1109</v>
      </c>
      <c r="N934" s="115" t="s">
        <v>6504</v>
      </c>
      <c r="O934" s="115">
        <v>1.5</v>
      </c>
      <c r="P934" s="115" t="s">
        <v>1109</v>
      </c>
      <c r="Q934" s="166"/>
      <c r="R934" s="164"/>
      <c r="S934" s="164"/>
      <c r="T934" s="164"/>
      <c r="U934" s="164"/>
      <c r="V934" s="162"/>
      <c r="W934" s="158"/>
      <c r="X934" s="158"/>
      <c r="Y934" s="158"/>
      <c r="Z934" s="158"/>
      <c r="AA934" s="158"/>
      <c r="AB934" s="158"/>
      <c r="AC934" s="113">
        <v>475</v>
      </c>
      <c r="AD934" s="113">
        <v>70</v>
      </c>
      <c r="AE934" s="113">
        <v>85</v>
      </c>
      <c r="AF934" s="113">
        <v>55</v>
      </c>
      <c r="AG934" s="120">
        <v>85</v>
      </c>
      <c r="AH934" s="113">
        <v>95</v>
      </c>
      <c r="AI934" s="113">
        <v>85</v>
      </c>
    </row>
    <row r="935" spans="1:35">
      <c r="A935" s="113">
        <v>846</v>
      </c>
      <c r="B935" s="113" t="s">
        <v>2242</v>
      </c>
      <c r="C935" s="120" t="s">
        <v>6206</v>
      </c>
      <c r="D935" s="124">
        <v>0.5</v>
      </c>
      <c r="E935" s="124">
        <v>0.5</v>
      </c>
      <c r="F935" s="113" t="s">
        <v>2335</v>
      </c>
      <c r="G935" s="113" t="s">
        <v>2703</v>
      </c>
      <c r="H935" s="113" t="s">
        <v>25</v>
      </c>
      <c r="I935" s="113" t="s">
        <v>1109</v>
      </c>
      <c r="J935" s="118" t="s">
        <v>2129</v>
      </c>
      <c r="K935" s="118">
        <v>1</v>
      </c>
      <c r="L935" s="118" t="s">
        <v>6206</v>
      </c>
      <c r="M935" s="115" t="s">
        <v>1109</v>
      </c>
      <c r="N935" s="115" t="s">
        <v>6505</v>
      </c>
      <c r="O935" s="115">
        <v>1</v>
      </c>
      <c r="P935" s="115" t="s">
        <v>1109</v>
      </c>
      <c r="Q935" s="166"/>
      <c r="R935" s="164"/>
      <c r="S935" s="164"/>
      <c r="T935" s="164"/>
      <c r="U935" s="164"/>
      <c r="V935" s="162"/>
      <c r="W935" s="158"/>
      <c r="X935" s="158"/>
      <c r="Y935" s="158"/>
      <c r="Z935" s="158"/>
      <c r="AA935" s="158"/>
      <c r="AB935" s="158"/>
      <c r="AC935" s="113">
        <v>280</v>
      </c>
      <c r="AD935" s="113">
        <v>41</v>
      </c>
      <c r="AE935" s="113">
        <v>63</v>
      </c>
      <c r="AF935" s="113">
        <v>40</v>
      </c>
      <c r="AG935" s="120">
        <v>40</v>
      </c>
      <c r="AH935" s="113">
        <v>30</v>
      </c>
      <c r="AI935" s="113">
        <v>66</v>
      </c>
    </row>
    <row r="936" spans="1:35">
      <c r="A936" s="113">
        <v>847</v>
      </c>
      <c r="B936" s="113" t="s">
        <v>2243</v>
      </c>
      <c r="C936" s="120" t="s">
        <v>6207</v>
      </c>
      <c r="D936" s="124">
        <v>0.5</v>
      </c>
      <c r="E936" s="124">
        <v>0.5</v>
      </c>
      <c r="F936" s="113" t="s">
        <v>2335</v>
      </c>
      <c r="G936" s="113" t="s">
        <v>2703</v>
      </c>
      <c r="H936" s="113" t="s">
        <v>25</v>
      </c>
      <c r="I936" s="113" t="s">
        <v>1109</v>
      </c>
      <c r="J936" s="118" t="s">
        <v>2129</v>
      </c>
      <c r="K936" s="118">
        <v>1</v>
      </c>
      <c r="L936" s="118" t="s">
        <v>6206</v>
      </c>
      <c r="M936" s="115" t="s">
        <v>6206</v>
      </c>
      <c r="N936" s="115" t="s">
        <v>6504</v>
      </c>
      <c r="O936" s="115">
        <v>1</v>
      </c>
      <c r="P936" s="115" t="s">
        <v>2128</v>
      </c>
      <c r="Q936" s="166"/>
      <c r="R936" s="164"/>
      <c r="S936" s="164"/>
      <c r="T936" s="164"/>
      <c r="U936" s="164"/>
      <c r="V936" s="162"/>
      <c r="W936" s="158"/>
      <c r="X936" s="158"/>
      <c r="Y936" s="158"/>
      <c r="Z936" s="158"/>
      <c r="AA936" s="158"/>
      <c r="AB936" s="158"/>
      <c r="AC936" s="113">
        <v>490</v>
      </c>
      <c r="AD936" s="113">
        <v>61</v>
      </c>
      <c r="AE936" s="113">
        <v>123</v>
      </c>
      <c r="AF936" s="113">
        <v>60</v>
      </c>
      <c r="AG936" s="120">
        <v>60</v>
      </c>
      <c r="AH936" s="113">
        <v>50</v>
      </c>
      <c r="AI936" s="113">
        <v>136</v>
      </c>
    </row>
    <row r="937" spans="1:35">
      <c r="A937" s="113">
        <v>848</v>
      </c>
      <c r="B937" s="113" t="s">
        <v>2267</v>
      </c>
      <c r="C937" s="120" t="s">
        <v>6208</v>
      </c>
      <c r="D937" s="124">
        <v>0.5</v>
      </c>
      <c r="E937" s="124">
        <v>0.5</v>
      </c>
      <c r="F937" s="113" t="s">
        <v>2333</v>
      </c>
      <c r="G937" s="113" t="s">
        <v>2703</v>
      </c>
      <c r="H937" s="113" t="s">
        <v>46</v>
      </c>
      <c r="I937" s="113" t="s">
        <v>15</v>
      </c>
      <c r="J937" s="118" t="s">
        <v>2129</v>
      </c>
      <c r="K937" s="118">
        <v>3</v>
      </c>
      <c r="L937" s="118" t="s">
        <v>6208</v>
      </c>
      <c r="M937" s="115" t="s">
        <v>1109</v>
      </c>
      <c r="N937" s="115" t="s">
        <v>6507</v>
      </c>
      <c r="O937" s="115">
        <v>1.5</v>
      </c>
      <c r="P937" s="115" t="s">
        <v>1109</v>
      </c>
      <c r="Q937" s="166">
        <v>0.1</v>
      </c>
      <c r="R937" s="164"/>
      <c r="S937" s="164"/>
      <c r="T937" s="164"/>
      <c r="U937" s="164"/>
      <c r="V937" s="162"/>
      <c r="W937" s="158"/>
      <c r="X937" s="158"/>
      <c r="Y937" s="158"/>
      <c r="Z937" s="158"/>
      <c r="AA937" s="158"/>
      <c r="AB937" s="158"/>
      <c r="AC937" s="113">
        <v>242</v>
      </c>
      <c r="AD937" s="113">
        <v>40</v>
      </c>
      <c r="AE937" s="113">
        <v>38</v>
      </c>
      <c r="AF937" s="113">
        <v>35</v>
      </c>
      <c r="AG937" s="120">
        <v>54</v>
      </c>
      <c r="AH937" s="113">
        <v>35</v>
      </c>
      <c r="AI937" s="113">
        <v>40</v>
      </c>
    </row>
    <row r="938" spans="1:35">
      <c r="A938" s="113">
        <v>849</v>
      </c>
      <c r="B938" s="113" t="s">
        <v>2763</v>
      </c>
      <c r="C938" s="120" t="s">
        <v>6209</v>
      </c>
      <c r="D938" s="124">
        <v>0.5</v>
      </c>
      <c r="E938" s="124">
        <v>0.5</v>
      </c>
      <c r="F938" s="113" t="s">
        <v>2334</v>
      </c>
      <c r="G938" s="113" t="s">
        <v>2703</v>
      </c>
      <c r="H938" s="113" t="s">
        <v>46</v>
      </c>
      <c r="I938" s="113" t="s">
        <v>15</v>
      </c>
      <c r="J938" s="118" t="s">
        <v>2129</v>
      </c>
      <c r="K938" s="118">
        <v>3</v>
      </c>
      <c r="L938" s="118" t="s">
        <v>6208</v>
      </c>
      <c r="M938" s="115" t="s">
        <v>6208</v>
      </c>
      <c r="N938" s="115" t="s">
        <v>6504</v>
      </c>
      <c r="O938" s="115">
        <v>1.5</v>
      </c>
      <c r="P938" s="115" t="s">
        <v>2128</v>
      </c>
      <c r="Q938" s="166">
        <v>2</v>
      </c>
      <c r="R938" s="164"/>
      <c r="S938" s="164"/>
      <c r="T938" s="164"/>
      <c r="U938" s="164">
        <v>70</v>
      </c>
      <c r="V938" s="162"/>
      <c r="W938" s="168" t="s">
        <v>6531</v>
      </c>
      <c r="X938" s="169"/>
      <c r="Y938" s="169">
        <v>70</v>
      </c>
      <c r="Z938" s="169">
        <v>6</v>
      </c>
      <c r="AA938" s="169"/>
      <c r="AB938" s="169"/>
      <c r="AC938" s="113">
        <v>502</v>
      </c>
      <c r="AD938" s="113">
        <v>75</v>
      </c>
      <c r="AE938" s="113">
        <v>98</v>
      </c>
      <c r="AF938" s="113">
        <v>70</v>
      </c>
      <c r="AG938" s="120">
        <v>114</v>
      </c>
      <c r="AH938" s="113">
        <v>70</v>
      </c>
      <c r="AI938" s="113">
        <v>75</v>
      </c>
    </row>
    <row r="939" spans="1:35">
      <c r="A939" s="113">
        <v>849</v>
      </c>
      <c r="B939" s="113" t="s">
        <v>2764</v>
      </c>
      <c r="C939" s="120" t="s">
        <v>6210</v>
      </c>
      <c r="D939" s="124">
        <v>0.5</v>
      </c>
      <c r="E939" s="124">
        <v>0.5</v>
      </c>
      <c r="F939" s="113" t="s">
        <v>2334</v>
      </c>
      <c r="G939" s="113" t="s">
        <v>2703</v>
      </c>
      <c r="H939" s="113" t="s">
        <v>46</v>
      </c>
      <c r="I939" s="113" t="s">
        <v>15</v>
      </c>
      <c r="J939" s="118" t="s">
        <v>2129</v>
      </c>
      <c r="K939" s="118">
        <v>3</v>
      </c>
      <c r="L939" s="118" t="s">
        <v>6208</v>
      </c>
      <c r="M939" s="115" t="s">
        <v>6208</v>
      </c>
      <c r="N939" s="115" t="s">
        <v>6504</v>
      </c>
      <c r="O939" s="115">
        <v>1.5</v>
      </c>
      <c r="P939" s="115" t="s">
        <v>2128</v>
      </c>
      <c r="Q939" s="166">
        <v>2</v>
      </c>
      <c r="R939" s="164">
        <v>70</v>
      </c>
      <c r="S939" s="164"/>
      <c r="T939" s="164"/>
      <c r="U939" s="164"/>
      <c r="V939" s="162"/>
      <c r="W939" s="168" t="s">
        <v>6531</v>
      </c>
      <c r="X939" s="169"/>
      <c r="Y939" s="169">
        <v>70</v>
      </c>
      <c r="Z939" s="169">
        <v>6</v>
      </c>
      <c r="AA939" s="169"/>
      <c r="AB939" s="169"/>
      <c r="AC939" s="113">
        <v>502</v>
      </c>
      <c r="AD939" s="113">
        <v>75</v>
      </c>
      <c r="AE939" s="113">
        <v>98</v>
      </c>
      <c r="AF939" s="113">
        <v>70</v>
      </c>
      <c r="AG939" s="120">
        <v>114</v>
      </c>
      <c r="AH939" s="113">
        <v>70</v>
      </c>
      <c r="AI939" s="113">
        <v>75</v>
      </c>
    </row>
    <row r="940" spans="1:35">
      <c r="A940" s="113">
        <v>850</v>
      </c>
      <c r="B940" s="113" t="s">
        <v>2245</v>
      </c>
      <c r="C940" s="120" t="s">
        <v>6211</v>
      </c>
      <c r="D940" s="124">
        <v>0.5</v>
      </c>
      <c r="E940" s="124">
        <v>0.5</v>
      </c>
      <c r="F940" s="113" t="s">
        <v>29</v>
      </c>
      <c r="G940" s="113" t="s">
        <v>2703</v>
      </c>
      <c r="H940" s="113" t="s">
        <v>19</v>
      </c>
      <c r="I940" s="113" t="s">
        <v>29</v>
      </c>
      <c r="J940" s="118" t="s">
        <v>2129</v>
      </c>
      <c r="K940" s="118">
        <v>2</v>
      </c>
      <c r="L940" s="118" t="s">
        <v>6211</v>
      </c>
      <c r="M940" s="115" t="s">
        <v>1109</v>
      </c>
      <c r="N940" s="115" t="s">
        <v>6505</v>
      </c>
      <c r="O940" s="115">
        <v>1.25</v>
      </c>
      <c r="P940" s="115" t="s">
        <v>1109</v>
      </c>
      <c r="Q940" s="166"/>
      <c r="R940" s="164"/>
      <c r="S940" s="164"/>
      <c r="T940" s="164"/>
      <c r="U940" s="164"/>
      <c r="V940" s="162"/>
      <c r="W940" s="158"/>
      <c r="X940" s="158"/>
      <c r="Y940" s="158"/>
      <c r="Z940" s="158"/>
      <c r="AA940" s="158"/>
      <c r="AB940" s="158"/>
      <c r="AC940" s="113">
        <v>305</v>
      </c>
      <c r="AD940" s="113">
        <v>50</v>
      </c>
      <c r="AE940" s="113">
        <v>65</v>
      </c>
      <c r="AF940" s="113">
        <v>45</v>
      </c>
      <c r="AG940" s="120">
        <v>50</v>
      </c>
      <c r="AH940" s="113">
        <v>50</v>
      </c>
      <c r="AI940" s="113">
        <v>45</v>
      </c>
    </row>
    <row r="941" spans="1:35">
      <c r="A941" s="113">
        <v>851</v>
      </c>
      <c r="B941" s="113" t="s">
        <v>2246</v>
      </c>
      <c r="C941" s="120" t="s">
        <v>6212</v>
      </c>
      <c r="D941" s="124">
        <v>0.5</v>
      </c>
      <c r="E941" s="124">
        <v>0.5</v>
      </c>
      <c r="F941" s="113" t="s">
        <v>29</v>
      </c>
      <c r="G941" s="113" t="s">
        <v>2703</v>
      </c>
      <c r="H941" s="113" t="s">
        <v>19</v>
      </c>
      <c r="I941" s="113" t="s">
        <v>29</v>
      </c>
      <c r="J941" s="118" t="s">
        <v>2129</v>
      </c>
      <c r="K941" s="118">
        <v>2</v>
      </c>
      <c r="L941" s="118" t="s">
        <v>6211</v>
      </c>
      <c r="M941" s="115" t="s">
        <v>6211</v>
      </c>
      <c r="N941" s="115" t="s">
        <v>6504</v>
      </c>
      <c r="O941" s="115">
        <v>1.25</v>
      </c>
      <c r="P941" s="115" t="s">
        <v>2128</v>
      </c>
      <c r="Q941" s="166"/>
      <c r="R941" s="164"/>
      <c r="S941" s="164"/>
      <c r="T941" s="164"/>
      <c r="U941" s="164"/>
      <c r="V941" s="162"/>
      <c r="W941" s="158"/>
      <c r="X941" s="158"/>
      <c r="Y941" s="158"/>
      <c r="Z941" s="158"/>
      <c r="AA941" s="158"/>
      <c r="AB941" s="158"/>
      <c r="AC941" s="113">
        <v>525</v>
      </c>
      <c r="AD941" s="113">
        <v>100</v>
      </c>
      <c r="AE941" s="113">
        <v>115</v>
      </c>
      <c r="AF941" s="113">
        <v>65</v>
      </c>
      <c r="AG941" s="120">
        <v>90</v>
      </c>
      <c r="AH941" s="113">
        <v>90</v>
      </c>
      <c r="AI941" s="113">
        <v>65</v>
      </c>
    </row>
    <row r="942" spans="1:35">
      <c r="A942" s="113">
        <v>852</v>
      </c>
      <c r="B942" s="113" t="s">
        <v>2247</v>
      </c>
      <c r="C942" s="120" t="s">
        <v>6213</v>
      </c>
      <c r="D942" s="124">
        <v>0.5</v>
      </c>
      <c r="E942" s="124">
        <v>0.5</v>
      </c>
      <c r="F942" s="113" t="s">
        <v>2334</v>
      </c>
      <c r="G942" s="113" t="s">
        <v>2703</v>
      </c>
      <c r="H942" s="113" t="s">
        <v>78</v>
      </c>
      <c r="I942" s="113" t="s">
        <v>1109</v>
      </c>
      <c r="J942" s="118" t="s">
        <v>2129</v>
      </c>
      <c r="K942" s="118">
        <v>2</v>
      </c>
      <c r="L942" s="118" t="s">
        <v>6213</v>
      </c>
      <c r="M942" s="115" t="s">
        <v>1109</v>
      </c>
      <c r="N942" s="115" t="s">
        <v>6505</v>
      </c>
      <c r="O942" s="115">
        <v>1.25</v>
      </c>
      <c r="P942" s="115" t="s">
        <v>1109</v>
      </c>
      <c r="Q942" s="166"/>
      <c r="R942" s="164"/>
      <c r="S942" s="164"/>
      <c r="T942" s="164"/>
      <c r="U942" s="164"/>
      <c r="V942" s="162"/>
      <c r="W942" s="158"/>
      <c r="X942" s="158"/>
      <c r="Y942" s="158"/>
      <c r="Z942" s="158"/>
      <c r="AA942" s="158"/>
      <c r="AB942" s="158"/>
      <c r="AC942" s="113">
        <v>310</v>
      </c>
      <c r="AD942" s="113">
        <v>50</v>
      </c>
      <c r="AE942" s="113">
        <v>68</v>
      </c>
      <c r="AF942" s="113">
        <v>60</v>
      </c>
      <c r="AG942" s="120">
        <v>50</v>
      </c>
      <c r="AH942" s="113">
        <v>50</v>
      </c>
      <c r="AI942" s="113">
        <v>32</v>
      </c>
    </row>
    <row r="943" spans="1:35">
      <c r="A943" s="113">
        <v>853</v>
      </c>
      <c r="B943" s="113" t="s">
        <v>2248</v>
      </c>
      <c r="C943" s="120" t="s">
        <v>6214</v>
      </c>
      <c r="D943" s="124">
        <v>0.5</v>
      </c>
      <c r="E943" s="124">
        <v>0.5</v>
      </c>
      <c r="F943" s="113" t="s">
        <v>2334</v>
      </c>
      <c r="G943" s="113" t="s">
        <v>2703</v>
      </c>
      <c r="H943" s="113" t="s">
        <v>78</v>
      </c>
      <c r="I943" s="113" t="s">
        <v>1109</v>
      </c>
      <c r="J943" s="118" t="s">
        <v>2129</v>
      </c>
      <c r="K943" s="118">
        <v>2</v>
      </c>
      <c r="L943" s="118" t="s">
        <v>6213</v>
      </c>
      <c r="M943" s="115" t="s">
        <v>6213</v>
      </c>
      <c r="N943" s="115" t="s">
        <v>6504</v>
      </c>
      <c r="O943" s="115">
        <v>1.25</v>
      </c>
      <c r="P943" s="115" t="s">
        <v>2128</v>
      </c>
      <c r="Q943" s="166"/>
      <c r="R943" s="164"/>
      <c r="S943" s="164"/>
      <c r="T943" s="164"/>
      <c r="U943" s="164"/>
      <c r="V943" s="162"/>
      <c r="W943" s="158"/>
      <c r="X943" s="158"/>
      <c r="Y943" s="158"/>
      <c r="Z943" s="158"/>
      <c r="AA943" s="158"/>
      <c r="AB943" s="158"/>
      <c r="AC943" s="113">
        <v>480</v>
      </c>
      <c r="AD943" s="113">
        <v>80</v>
      </c>
      <c r="AE943" s="113">
        <v>118</v>
      </c>
      <c r="AF943" s="113">
        <v>90</v>
      </c>
      <c r="AG943" s="120">
        <v>70</v>
      </c>
      <c r="AH943" s="113">
        <v>80</v>
      </c>
      <c r="AI943" s="113">
        <v>42</v>
      </c>
    </row>
    <row r="944" spans="1:35">
      <c r="A944" s="113">
        <v>854</v>
      </c>
      <c r="B944" s="113" t="s">
        <v>2284</v>
      </c>
      <c r="C944" s="120" t="s">
        <v>6215</v>
      </c>
      <c r="D944" s="124" t="s">
        <v>1109</v>
      </c>
      <c r="E944" s="124" t="s">
        <v>1109</v>
      </c>
      <c r="F944" s="113" t="s">
        <v>2336</v>
      </c>
      <c r="G944" s="113" t="s">
        <v>2703</v>
      </c>
      <c r="H944" s="113" t="s">
        <v>119</v>
      </c>
      <c r="I944" s="113" t="s">
        <v>1109</v>
      </c>
      <c r="J944" s="118" t="s">
        <v>2129</v>
      </c>
      <c r="K944" s="118">
        <v>2</v>
      </c>
      <c r="L944" s="118" t="s">
        <v>6215</v>
      </c>
      <c r="M944" s="115" t="s">
        <v>1109</v>
      </c>
      <c r="N944" s="115" t="s">
        <v>6505</v>
      </c>
      <c r="O944" s="115">
        <v>1.25</v>
      </c>
      <c r="P944" s="115" t="s">
        <v>1109</v>
      </c>
      <c r="Q944" s="166"/>
      <c r="R944" s="164"/>
      <c r="S944" s="164"/>
      <c r="T944" s="164"/>
      <c r="U944" s="164"/>
      <c r="V944" s="162"/>
      <c r="W944" s="158"/>
      <c r="X944" s="158"/>
      <c r="Y944" s="158"/>
      <c r="Z944" s="158"/>
      <c r="AA944" s="158"/>
      <c r="AB944" s="158"/>
      <c r="AC944" s="113">
        <v>308</v>
      </c>
      <c r="AD944" s="113">
        <v>40</v>
      </c>
      <c r="AE944" s="113">
        <v>45</v>
      </c>
      <c r="AF944" s="113">
        <v>45</v>
      </c>
      <c r="AG944" s="120">
        <v>74</v>
      </c>
      <c r="AH944" s="113">
        <v>54</v>
      </c>
      <c r="AI944" s="113">
        <v>50</v>
      </c>
    </row>
    <row r="945" spans="1:35">
      <c r="A945" s="113">
        <v>855</v>
      </c>
      <c r="B945" s="113" t="s">
        <v>2285</v>
      </c>
      <c r="C945" s="120" t="s">
        <v>6216</v>
      </c>
      <c r="D945" s="124" t="s">
        <v>1109</v>
      </c>
      <c r="E945" s="124" t="s">
        <v>1109</v>
      </c>
      <c r="F945" s="113" t="s">
        <v>2336</v>
      </c>
      <c r="G945" s="113" t="s">
        <v>2703</v>
      </c>
      <c r="H945" s="113" t="s">
        <v>119</v>
      </c>
      <c r="I945" s="113" t="s">
        <v>1109</v>
      </c>
      <c r="J945" s="118" t="s">
        <v>2129</v>
      </c>
      <c r="K945" s="118">
        <v>2</v>
      </c>
      <c r="L945" s="118" t="s">
        <v>6215</v>
      </c>
      <c r="M945" s="115" t="s">
        <v>6215</v>
      </c>
      <c r="N945" s="115" t="s">
        <v>6504</v>
      </c>
      <c r="O945" s="115">
        <v>1.25</v>
      </c>
      <c r="P945" s="115" t="s">
        <v>2128</v>
      </c>
      <c r="Q945" s="166"/>
      <c r="R945" s="164"/>
      <c r="S945" s="164"/>
      <c r="T945" s="164"/>
      <c r="U945" s="164"/>
      <c r="V945" s="162"/>
      <c r="W945" s="158"/>
      <c r="X945" s="158"/>
      <c r="Y945" s="158"/>
      <c r="Z945" s="158"/>
      <c r="AA945" s="158"/>
      <c r="AB945" s="158"/>
      <c r="AC945" s="113">
        <v>508</v>
      </c>
      <c r="AD945" s="113">
        <v>60</v>
      </c>
      <c r="AE945" s="113">
        <v>65</v>
      </c>
      <c r="AF945" s="113">
        <v>65</v>
      </c>
      <c r="AG945" s="120">
        <v>134</v>
      </c>
      <c r="AH945" s="113">
        <v>114</v>
      </c>
      <c r="AI945" s="113">
        <v>70</v>
      </c>
    </row>
    <row r="946" spans="1:35">
      <c r="A946" s="113">
        <v>856</v>
      </c>
      <c r="B946" s="113" t="s">
        <v>2277</v>
      </c>
      <c r="C946" s="120" t="s">
        <v>6217</v>
      </c>
      <c r="D946" s="124">
        <v>0</v>
      </c>
      <c r="E946" s="124">
        <v>1</v>
      </c>
      <c r="F946" s="113" t="s">
        <v>56</v>
      </c>
      <c r="G946" s="113" t="s">
        <v>2703</v>
      </c>
      <c r="H946" s="113" t="s">
        <v>86</v>
      </c>
      <c r="I946" s="113" t="s">
        <v>1109</v>
      </c>
      <c r="J946" s="118" t="s">
        <v>2129</v>
      </c>
      <c r="K946" s="118">
        <v>2</v>
      </c>
      <c r="L946" s="118" t="s">
        <v>6217</v>
      </c>
      <c r="M946" s="115" t="s">
        <v>1109</v>
      </c>
      <c r="N946" s="115" t="s">
        <v>6505</v>
      </c>
      <c r="O946" s="115">
        <v>1.25</v>
      </c>
      <c r="P946" s="115" t="s">
        <v>1109</v>
      </c>
      <c r="Q946" s="166"/>
      <c r="R946" s="164"/>
      <c r="S946" s="164"/>
      <c r="T946" s="164"/>
      <c r="U946" s="164"/>
      <c r="V946" s="162"/>
      <c r="W946" s="158"/>
      <c r="X946" s="158"/>
      <c r="Y946" s="158"/>
      <c r="Z946" s="158"/>
      <c r="AA946" s="158"/>
      <c r="AB946" s="158"/>
      <c r="AC946" s="113">
        <v>265</v>
      </c>
      <c r="AD946" s="113">
        <v>42</v>
      </c>
      <c r="AE946" s="113">
        <v>30</v>
      </c>
      <c r="AF946" s="113">
        <v>45</v>
      </c>
      <c r="AG946" s="120">
        <v>56</v>
      </c>
      <c r="AH946" s="113">
        <v>53</v>
      </c>
      <c r="AI946" s="113">
        <v>39</v>
      </c>
    </row>
    <row r="947" spans="1:35">
      <c r="A947" s="113">
        <v>857</v>
      </c>
      <c r="B947" s="113" t="s">
        <v>2278</v>
      </c>
      <c r="C947" s="120" t="s">
        <v>6218</v>
      </c>
      <c r="D947" s="124">
        <v>0</v>
      </c>
      <c r="E947" s="124">
        <v>1</v>
      </c>
      <c r="F947" s="113" t="s">
        <v>56</v>
      </c>
      <c r="G947" s="113" t="s">
        <v>2703</v>
      </c>
      <c r="H947" s="113" t="s">
        <v>86</v>
      </c>
      <c r="I947" s="113" t="s">
        <v>1109</v>
      </c>
      <c r="J947" s="118" t="s">
        <v>2129</v>
      </c>
      <c r="K947" s="118">
        <v>2</v>
      </c>
      <c r="L947" s="118" t="s">
        <v>6217</v>
      </c>
      <c r="M947" s="115" t="s">
        <v>6217</v>
      </c>
      <c r="N947" s="115" t="s">
        <v>6506</v>
      </c>
      <c r="O947" s="115">
        <v>1.25</v>
      </c>
      <c r="P947" s="115" t="s">
        <v>2128</v>
      </c>
      <c r="Q947" s="166"/>
      <c r="R947" s="164"/>
      <c r="S947" s="164"/>
      <c r="T947" s="164"/>
      <c r="U947" s="164"/>
      <c r="V947" s="162"/>
      <c r="W947" s="158"/>
      <c r="X947" s="158"/>
      <c r="Y947" s="158"/>
      <c r="Z947" s="158"/>
      <c r="AA947" s="158"/>
      <c r="AB947" s="158"/>
      <c r="AC947" s="113">
        <v>370</v>
      </c>
      <c r="AD947" s="113">
        <v>57</v>
      </c>
      <c r="AE947" s="113">
        <v>40</v>
      </c>
      <c r="AF947" s="113">
        <v>65</v>
      </c>
      <c r="AG947" s="120">
        <v>86</v>
      </c>
      <c r="AH947" s="113">
        <v>73</v>
      </c>
      <c r="AI947" s="113">
        <v>49</v>
      </c>
    </row>
    <row r="948" spans="1:35">
      <c r="A948" s="113">
        <v>858</v>
      </c>
      <c r="B948" s="113" t="s">
        <v>2279</v>
      </c>
      <c r="C948" s="120" t="s">
        <v>6219</v>
      </c>
      <c r="D948" s="124">
        <v>0</v>
      </c>
      <c r="E948" s="124">
        <v>1</v>
      </c>
      <c r="F948" s="113" t="s">
        <v>56</v>
      </c>
      <c r="G948" s="113" t="s">
        <v>2703</v>
      </c>
      <c r="H948" s="113" t="s">
        <v>86</v>
      </c>
      <c r="I948" s="113" t="s">
        <v>56</v>
      </c>
      <c r="J948" s="118" t="s">
        <v>2129</v>
      </c>
      <c r="K948" s="118">
        <v>2</v>
      </c>
      <c r="L948" s="118" t="s">
        <v>6217</v>
      </c>
      <c r="M948" s="115" t="s">
        <v>6218</v>
      </c>
      <c r="N948" s="115" t="s">
        <v>6504</v>
      </c>
      <c r="O948" s="115">
        <v>1.25</v>
      </c>
      <c r="P948" s="115" t="s">
        <v>2128</v>
      </c>
      <c r="Q948" s="166"/>
      <c r="R948" s="164"/>
      <c r="S948" s="164"/>
      <c r="T948" s="164"/>
      <c r="U948" s="164"/>
      <c r="V948" s="162"/>
      <c r="W948" s="158"/>
      <c r="X948" s="158"/>
      <c r="Y948" s="158"/>
      <c r="Z948" s="158"/>
      <c r="AA948" s="158"/>
      <c r="AB948" s="158"/>
      <c r="AC948" s="113">
        <v>510</v>
      </c>
      <c r="AD948" s="113">
        <v>57</v>
      </c>
      <c r="AE948" s="113">
        <v>90</v>
      </c>
      <c r="AF948" s="113">
        <v>95</v>
      </c>
      <c r="AG948" s="120">
        <v>136</v>
      </c>
      <c r="AH948" s="113">
        <v>103</v>
      </c>
      <c r="AI948" s="113">
        <v>29</v>
      </c>
    </row>
    <row r="949" spans="1:35">
      <c r="A949" s="113">
        <v>859</v>
      </c>
      <c r="B949" s="113" t="s">
        <v>2144</v>
      </c>
      <c r="C949" s="120" t="s">
        <v>6220</v>
      </c>
      <c r="D949" s="124">
        <v>1</v>
      </c>
      <c r="E949" s="124">
        <v>0</v>
      </c>
      <c r="F949" s="113" t="s">
        <v>56</v>
      </c>
      <c r="G949" s="113" t="s">
        <v>2703</v>
      </c>
      <c r="H949" s="113" t="s">
        <v>158</v>
      </c>
      <c r="I949" s="113" t="s">
        <v>56</v>
      </c>
      <c r="J949" s="118" t="s">
        <v>2129</v>
      </c>
      <c r="K949" s="118">
        <v>2</v>
      </c>
      <c r="L949" s="118" t="s">
        <v>6220</v>
      </c>
      <c r="M949" s="115" t="s">
        <v>1109</v>
      </c>
      <c r="N949" s="115" t="s">
        <v>6505</v>
      </c>
      <c r="O949" s="115">
        <v>1.25</v>
      </c>
      <c r="P949" s="115" t="s">
        <v>1109</v>
      </c>
      <c r="Q949" s="166"/>
      <c r="R949" s="164"/>
      <c r="S949" s="164"/>
      <c r="T949" s="164"/>
      <c r="U949" s="164"/>
      <c r="V949" s="162"/>
      <c r="W949" s="158"/>
      <c r="X949" s="158"/>
      <c r="Y949" s="158"/>
      <c r="Z949" s="158"/>
      <c r="AA949" s="158"/>
      <c r="AB949" s="158"/>
      <c r="AC949" s="113">
        <v>265</v>
      </c>
      <c r="AD949" s="113">
        <v>45</v>
      </c>
      <c r="AE949" s="113">
        <v>45</v>
      </c>
      <c r="AF949" s="113">
        <v>30</v>
      </c>
      <c r="AG949" s="120">
        <v>55</v>
      </c>
      <c r="AH949" s="113">
        <v>40</v>
      </c>
      <c r="AI949" s="113">
        <v>50</v>
      </c>
    </row>
    <row r="950" spans="1:35">
      <c r="A950" s="113">
        <v>860</v>
      </c>
      <c r="B950" s="113" t="s">
        <v>2145</v>
      </c>
      <c r="C950" s="120" t="s">
        <v>6221</v>
      </c>
      <c r="D950" s="124">
        <v>1</v>
      </c>
      <c r="E950" s="124">
        <v>0</v>
      </c>
      <c r="F950" s="113" t="s">
        <v>56</v>
      </c>
      <c r="G950" s="113" t="s">
        <v>2703</v>
      </c>
      <c r="H950" s="113" t="s">
        <v>158</v>
      </c>
      <c r="I950" s="113" t="s">
        <v>56</v>
      </c>
      <c r="J950" s="118" t="s">
        <v>2129</v>
      </c>
      <c r="K950" s="118">
        <v>2</v>
      </c>
      <c r="L950" s="118" t="s">
        <v>6220</v>
      </c>
      <c r="M950" s="115" t="s">
        <v>6220</v>
      </c>
      <c r="N950" s="115" t="s">
        <v>6506</v>
      </c>
      <c r="O950" s="115">
        <v>1.25</v>
      </c>
      <c r="P950" s="115" t="s">
        <v>2128</v>
      </c>
      <c r="Q950" s="166"/>
      <c r="R950" s="164"/>
      <c r="S950" s="164"/>
      <c r="T950" s="164"/>
      <c r="U950" s="164"/>
      <c r="V950" s="162"/>
      <c r="W950" s="158"/>
      <c r="X950" s="158"/>
      <c r="Y950" s="158"/>
      <c r="Z950" s="158"/>
      <c r="AA950" s="158"/>
      <c r="AB950" s="158"/>
      <c r="AC950" s="113">
        <v>370</v>
      </c>
      <c r="AD950" s="113">
        <v>65</v>
      </c>
      <c r="AE950" s="113">
        <v>60</v>
      </c>
      <c r="AF950" s="113">
        <v>45</v>
      </c>
      <c r="AG950" s="120">
        <v>75</v>
      </c>
      <c r="AH950" s="113">
        <v>55</v>
      </c>
      <c r="AI950" s="113">
        <v>70</v>
      </c>
    </row>
    <row r="951" spans="1:35">
      <c r="A951" s="113">
        <v>861</v>
      </c>
      <c r="B951" s="113" t="s">
        <v>2146</v>
      </c>
      <c r="C951" s="120" t="s">
        <v>6222</v>
      </c>
      <c r="D951" s="124">
        <v>1</v>
      </c>
      <c r="E951" s="124">
        <v>0</v>
      </c>
      <c r="F951" s="113" t="s">
        <v>56</v>
      </c>
      <c r="G951" s="113" t="s">
        <v>2703</v>
      </c>
      <c r="H951" s="113" t="s">
        <v>158</v>
      </c>
      <c r="I951" s="113" t="s">
        <v>56</v>
      </c>
      <c r="J951" s="118" t="s">
        <v>2129</v>
      </c>
      <c r="K951" s="118">
        <v>2</v>
      </c>
      <c r="L951" s="118" t="s">
        <v>6220</v>
      </c>
      <c r="M951" s="115" t="s">
        <v>6221</v>
      </c>
      <c r="N951" s="115" t="s">
        <v>6504</v>
      </c>
      <c r="O951" s="115">
        <v>1.25</v>
      </c>
      <c r="P951" s="115" t="s">
        <v>2128</v>
      </c>
      <c r="Q951" s="166"/>
      <c r="R951" s="164"/>
      <c r="S951" s="164"/>
      <c r="T951" s="164"/>
      <c r="U951" s="164"/>
      <c r="V951" s="162"/>
      <c r="W951" s="158"/>
      <c r="X951" s="158"/>
      <c r="Y951" s="158"/>
      <c r="Z951" s="158"/>
      <c r="AA951" s="158"/>
      <c r="AB951" s="158"/>
      <c r="AC951" s="113">
        <v>510</v>
      </c>
      <c r="AD951" s="113">
        <v>95</v>
      </c>
      <c r="AE951" s="113">
        <v>120</v>
      </c>
      <c r="AF951" s="113">
        <v>65</v>
      </c>
      <c r="AG951" s="120">
        <v>95</v>
      </c>
      <c r="AH951" s="113">
        <v>75</v>
      </c>
      <c r="AI951" s="113">
        <v>60</v>
      </c>
    </row>
    <row r="952" spans="1:35">
      <c r="A952" s="113">
        <v>862</v>
      </c>
      <c r="B952" s="113" t="s">
        <v>2249</v>
      </c>
      <c r="C952" s="120" t="s">
        <v>6223</v>
      </c>
      <c r="D952" s="124">
        <v>0.5</v>
      </c>
      <c r="E952" s="124">
        <v>0.5</v>
      </c>
      <c r="F952" s="113" t="s">
        <v>2332</v>
      </c>
      <c r="G952" s="113" t="s">
        <v>2703</v>
      </c>
      <c r="H952" s="113" t="s">
        <v>158</v>
      </c>
      <c r="I952" s="113" t="s">
        <v>36</v>
      </c>
      <c r="J952" s="118" t="s">
        <v>2129</v>
      </c>
      <c r="K952" s="118">
        <v>1</v>
      </c>
      <c r="L952" s="118" t="s">
        <v>5538</v>
      </c>
      <c r="M952" s="120" t="s">
        <v>5541</v>
      </c>
      <c r="N952" s="115" t="s">
        <v>6504</v>
      </c>
      <c r="O952" s="115">
        <v>1</v>
      </c>
      <c r="P952" s="115" t="s">
        <v>2128</v>
      </c>
      <c r="Q952" s="166"/>
      <c r="R952" s="164"/>
      <c r="S952" s="164"/>
      <c r="T952" s="164"/>
      <c r="U952" s="164"/>
      <c r="V952" s="162"/>
      <c r="W952" s="158"/>
      <c r="X952" s="158"/>
      <c r="Y952" s="158"/>
      <c r="Z952" s="158"/>
      <c r="AA952" s="158"/>
      <c r="AB952" s="158"/>
      <c r="AC952" s="113">
        <v>520</v>
      </c>
      <c r="AD952" s="113">
        <v>93</v>
      </c>
      <c r="AE952" s="113">
        <v>90</v>
      </c>
      <c r="AF952" s="113">
        <v>101</v>
      </c>
      <c r="AG952" s="120">
        <v>60</v>
      </c>
      <c r="AH952" s="113">
        <v>81</v>
      </c>
      <c r="AI952" s="113">
        <v>95</v>
      </c>
    </row>
    <row r="953" spans="1:35">
      <c r="A953" s="113">
        <v>863</v>
      </c>
      <c r="B953" s="113" t="s">
        <v>2250</v>
      </c>
      <c r="C953" s="120" t="s">
        <v>6224</v>
      </c>
      <c r="D953" s="124">
        <v>0.5</v>
      </c>
      <c r="E953" s="124">
        <v>0.5</v>
      </c>
      <c r="F953" s="113" t="s">
        <v>2332</v>
      </c>
      <c r="G953" s="113" t="s">
        <v>2703</v>
      </c>
      <c r="H953" s="113" t="s">
        <v>106</v>
      </c>
      <c r="I953" s="113" t="s">
        <v>1109</v>
      </c>
      <c r="J953" s="118" t="s">
        <v>2129</v>
      </c>
      <c r="K953" s="118">
        <v>1</v>
      </c>
      <c r="L953" s="118" t="s">
        <v>5277</v>
      </c>
      <c r="M953" s="120" t="s">
        <v>5279</v>
      </c>
      <c r="N953" s="115" t="s">
        <v>6504</v>
      </c>
      <c r="O953" s="115">
        <v>1</v>
      </c>
      <c r="P953" s="115" t="s">
        <v>2128</v>
      </c>
      <c r="Q953" s="166"/>
      <c r="R953" s="164"/>
      <c r="S953" s="164"/>
      <c r="T953" s="164"/>
      <c r="U953" s="164"/>
      <c r="V953" s="162"/>
      <c r="W953" s="158"/>
      <c r="X953" s="158"/>
      <c r="Y953" s="158"/>
      <c r="Z953" s="158"/>
      <c r="AA953" s="158"/>
      <c r="AB953" s="158"/>
      <c r="AC953" s="113">
        <v>440</v>
      </c>
      <c r="AD953" s="113">
        <v>70</v>
      </c>
      <c r="AE953" s="113">
        <v>110</v>
      </c>
      <c r="AF953" s="113">
        <v>100</v>
      </c>
      <c r="AG953" s="120">
        <v>50</v>
      </c>
      <c r="AH953" s="113">
        <v>60</v>
      </c>
      <c r="AI953" s="113">
        <v>50</v>
      </c>
    </row>
    <row r="954" spans="1:35">
      <c r="A954" s="113">
        <v>864</v>
      </c>
      <c r="B954" s="113" t="s">
        <v>2270</v>
      </c>
      <c r="C954" s="120" t="s">
        <v>6225</v>
      </c>
      <c r="D954" s="124">
        <v>0.25</v>
      </c>
      <c r="E954" s="124">
        <v>0.75</v>
      </c>
      <c r="F954" s="113" t="s">
        <v>2337</v>
      </c>
      <c r="G954" s="113" t="s">
        <v>2703</v>
      </c>
      <c r="H954" s="113" t="s">
        <v>119</v>
      </c>
      <c r="I954" s="113" t="s">
        <v>1109</v>
      </c>
      <c r="J954" s="118" t="s">
        <v>2129</v>
      </c>
      <c r="K954" s="118">
        <v>3</v>
      </c>
      <c r="L954" s="118" t="s">
        <v>5491</v>
      </c>
      <c r="M954" s="120" t="s">
        <v>5492</v>
      </c>
      <c r="N954" s="115" t="s">
        <v>6504</v>
      </c>
      <c r="O954" s="115">
        <v>1.5</v>
      </c>
      <c r="P954" s="115" t="s">
        <v>2128</v>
      </c>
      <c r="Q954" s="166"/>
      <c r="R954" s="164"/>
      <c r="S954" s="164"/>
      <c r="T954" s="164"/>
      <c r="U954" s="164"/>
      <c r="V954" s="162"/>
      <c r="W954" s="158"/>
      <c r="X954" s="158"/>
      <c r="Y954" s="158"/>
      <c r="Z954" s="158"/>
      <c r="AA954" s="158"/>
      <c r="AB954" s="158"/>
      <c r="AC954" s="113">
        <v>510</v>
      </c>
      <c r="AD954" s="113">
        <v>60</v>
      </c>
      <c r="AE954" s="113">
        <v>95</v>
      </c>
      <c r="AF954" s="113">
        <v>50</v>
      </c>
      <c r="AG954" s="120">
        <v>145</v>
      </c>
      <c r="AH954" s="113">
        <v>130</v>
      </c>
      <c r="AI954" s="113">
        <v>30</v>
      </c>
    </row>
    <row r="955" spans="1:35">
      <c r="A955" s="113">
        <v>865</v>
      </c>
      <c r="B955" s="113" t="s">
        <v>2251</v>
      </c>
      <c r="C955" s="120" t="s">
        <v>6226</v>
      </c>
      <c r="D955" s="124">
        <v>0.5</v>
      </c>
      <c r="E955" s="124">
        <v>0.5</v>
      </c>
      <c r="F955" s="113" t="s">
        <v>22</v>
      </c>
      <c r="G955" s="113" t="s">
        <v>2703</v>
      </c>
      <c r="H955" s="113" t="s">
        <v>78</v>
      </c>
      <c r="I955" s="113" t="s">
        <v>1109</v>
      </c>
      <c r="J955" s="118" t="s">
        <v>2129</v>
      </c>
      <c r="K955" s="118">
        <v>2</v>
      </c>
      <c r="L955" s="118" t="s">
        <v>5322</v>
      </c>
      <c r="M955" s="120" t="s">
        <v>5323</v>
      </c>
      <c r="N955" s="115" t="s">
        <v>6504</v>
      </c>
      <c r="O955" s="115">
        <v>1.25</v>
      </c>
      <c r="P955" s="115" t="s">
        <v>2128</v>
      </c>
      <c r="Q955" s="166"/>
      <c r="R955" s="164"/>
      <c r="S955" s="164"/>
      <c r="T955" s="164"/>
      <c r="U955" s="164"/>
      <c r="V955" s="162"/>
      <c r="W955" s="158"/>
      <c r="X955" s="158"/>
      <c r="Y955" s="158"/>
      <c r="Z955" s="158"/>
      <c r="AA955" s="158"/>
      <c r="AB955" s="158"/>
      <c r="AC955" s="113">
        <v>507</v>
      </c>
      <c r="AD955" s="113">
        <v>62</v>
      </c>
      <c r="AE955" s="113">
        <v>135</v>
      </c>
      <c r="AF955" s="113">
        <v>95</v>
      </c>
      <c r="AG955" s="120">
        <v>68</v>
      </c>
      <c r="AH955" s="113">
        <v>82</v>
      </c>
      <c r="AI955" s="113">
        <v>65</v>
      </c>
    </row>
    <row r="956" spans="1:35">
      <c r="A956" s="113">
        <v>866</v>
      </c>
      <c r="B956" s="113" t="s">
        <v>2252</v>
      </c>
      <c r="C956" s="120" t="s">
        <v>6227</v>
      </c>
      <c r="D956" s="124">
        <v>0.5</v>
      </c>
      <c r="E956" s="124">
        <v>0.5</v>
      </c>
      <c r="F956" s="113" t="s">
        <v>2334</v>
      </c>
      <c r="G956" s="113" t="s">
        <v>2703</v>
      </c>
      <c r="H956" s="113" t="s">
        <v>113</v>
      </c>
      <c r="I956" s="113" t="s">
        <v>86</v>
      </c>
      <c r="J956" s="118" t="s">
        <v>2129</v>
      </c>
      <c r="K956" s="118">
        <v>3</v>
      </c>
      <c r="L956" s="118" t="s">
        <v>5741</v>
      </c>
      <c r="M956" s="120" t="s">
        <v>5372</v>
      </c>
      <c r="N956" s="115" t="s">
        <v>6504</v>
      </c>
      <c r="O956" s="115">
        <v>1.5</v>
      </c>
      <c r="P956" s="115" t="s">
        <v>2128</v>
      </c>
      <c r="Q956" s="166"/>
      <c r="R956" s="164"/>
      <c r="S956" s="164"/>
      <c r="T956" s="164"/>
      <c r="U956" s="164"/>
      <c r="V956" s="162"/>
      <c r="W956" s="158"/>
      <c r="X956" s="158"/>
      <c r="Y956" s="158"/>
      <c r="Z956" s="158"/>
      <c r="AA956" s="158"/>
      <c r="AB956" s="158"/>
      <c r="AC956" s="113">
        <v>520</v>
      </c>
      <c r="AD956" s="113">
        <v>80</v>
      </c>
      <c r="AE956" s="113">
        <v>85</v>
      </c>
      <c r="AF956" s="113">
        <v>75</v>
      </c>
      <c r="AG956" s="120">
        <v>110</v>
      </c>
      <c r="AH956" s="113">
        <v>100</v>
      </c>
      <c r="AI956" s="113">
        <v>70</v>
      </c>
    </row>
    <row r="957" spans="1:35">
      <c r="A957" s="113">
        <v>867</v>
      </c>
      <c r="B957" s="113" t="s">
        <v>2253</v>
      </c>
      <c r="C957" s="120" t="s">
        <v>6228</v>
      </c>
      <c r="D957" s="124">
        <v>0.5</v>
      </c>
      <c r="E957" s="124">
        <v>0.5</v>
      </c>
      <c r="F957" s="113" t="s">
        <v>2336</v>
      </c>
      <c r="G957" s="113" t="s">
        <v>2703</v>
      </c>
      <c r="H957" s="113" t="s">
        <v>49</v>
      </c>
      <c r="I957" s="113" t="s">
        <v>119</v>
      </c>
      <c r="J957" s="118" t="s">
        <v>2129</v>
      </c>
      <c r="K957" s="118">
        <v>2</v>
      </c>
      <c r="L957" s="118" t="s">
        <v>5884</v>
      </c>
      <c r="M957" s="120" t="s">
        <v>5885</v>
      </c>
      <c r="N957" s="115" t="s">
        <v>6504</v>
      </c>
      <c r="O957" s="115">
        <v>1.25</v>
      </c>
      <c r="P957" s="115" t="s">
        <v>2128</v>
      </c>
      <c r="Q957" s="166"/>
      <c r="R957" s="164"/>
      <c r="S957" s="164"/>
      <c r="T957" s="164"/>
      <c r="U957" s="164"/>
      <c r="V957" s="162"/>
      <c r="W957" s="158"/>
      <c r="X957" s="158"/>
      <c r="Y957" s="158"/>
      <c r="Z957" s="158"/>
      <c r="AA957" s="158"/>
      <c r="AB957" s="158"/>
      <c r="AC957" s="113">
        <v>483</v>
      </c>
      <c r="AD957" s="113">
        <v>58</v>
      </c>
      <c r="AE957" s="113">
        <v>95</v>
      </c>
      <c r="AF957" s="113">
        <v>145</v>
      </c>
      <c r="AG957" s="120">
        <v>50</v>
      </c>
      <c r="AH957" s="113">
        <v>105</v>
      </c>
      <c r="AI957" s="113">
        <v>30</v>
      </c>
    </row>
    <row r="958" spans="1:35">
      <c r="A958" s="113">
        <v>868</v>
      </c>
      <c r="B958" s="113" t="s">
        <v>2280</v>
      </c>
      <c r="C958" s="120" t="s">
        <v>6229</v>
      </c>
      <c r="D958" s="124">
        <v>0</v>
      </c>
      <c r="E958" s="124">
        <v>1</v>
      </c>
      <c r="F958" s="113" t="s">
        <v>2336</v>
      </c>
      <c r="G958" s="113" t="s">
        <v>2703</v>
      </c>
      <c r="H958" s="113" t="s">
        <v>56</v>
      </c>
      <c r="I958" s="113" t="s">
        <v>1109</v>
      </c>
      <c r="J958" s="118" t="s">
        <v>2129</v>
      </c>
      <c r="K958" s="118">
        <v>2</v>
      </c>
      <c r="L958" s="118" t="s">
        <v>6229</v>
      </c>
      <c r="M958" s="115" t="s">
        <v>1109</v>
      </c>
      <c r="N958" s="115" t="s">
        <v>6505</v>
      </c>
      <c r="O958" s="115">
        <v>1.25</v>
      </c>
      <c r="P958" s="115" t="s">
        <v>1109</v>
      </c>
      <c r="Q958" s="166"/>
      <c r="R958" s="164"/>
      <c r="S958" s="164"/>
      <c r="T958" s="164"/>
      <c r="U958" s="164"/>
      <c r="V958" s="162"/>
      <c r="W958" s="158"/>
      <c r="X958" s="158"/>
      <c r="Y958" s="158"/>
      <c r="Z958" s="158"/>
      <c r="AA958" s="158"/>
      <c r="AB958" s="158"/>
      <c r="AC958" s="113">
        <v>270</v>
      </c>
      <c r="AD958" s="113">
        <v>45</v>
      </c>
      <c r="AE958" s="113">
        <v>40</v>
      </c>
      <c r="AF958" s="113">
        <v>40</v>
      </c>
      <c r="AG958" s="120">
        <v>50</v>
      </c>
      <c r="AH958" s="113">
        <v>61</v>
      </c>
      <c r="AI958" s="113">
        <v>34</v>
      </c>
    </row>
    <row r="959" spans="1:35">
      <c r="A959" s="113">
        <v>869</v>
      </c>
      <c r="B959" s="113" t="s">
        <v>2281</v>
      </c>
      <c r="C959" s="120" t="s">
        <v>6230</v>
      </c>
      <c r="D959" s="124">
        <v>0</v>
      </c>
      <c r="E959" s="124">
        <v>1</v>
      </c>
      <c r="F959" s="113" t="s">
        <v>2336</v>
      </c>
      <c r="G959" s="113" t="s">
        <v>2703</v>
      </c>
      <c r="H959" s="113" t="s">
        <v>56</v>
      </c>
      <c r="I959" s="113" t="s">
        <v>1109</v>
      </c>
      <c r="J959" s="118" t="s">
        <v>2129</v>
      </c>
      <c r="K959" s="118">
        <v>2</v>
      </c>
      <c r="L959" s="118" t="s">
        <v>6229</v>
      </c>
      <c r="M959" s="115" t="s">
        <v>6229</v>
      </c>
      <c r="N959" s="115" t="s">
        <v>6504</v>
      </c>
      <c r="O959" s="115">
        <v>1.25</v>
      </c>
      <c r="P959" s="115" t="s">
        <v>2128</v>
      </c>
      <c r="Q959" s="166"/>
      <c r="R959" s="164"/>
      <c r="S959" s="164"/>
      <c r="T959" s="164"/>
      <c r="U959" s="164"/>
      <c r="V959" s="162"/>
      <c r="W959" s="158"/>
      <c r="X959" s="158"/>
      <c r="Y959" s="158"/>
      <c r="Z959" s="158"/>
      <c r="AA959" s="158"/>
      <c r="AB959" s="158"/>
      <c r="AC959" s="113">
        <v>495</v>
      </c>
      <c r="AD959" s="113">
        <v>65</v>
      </c>
      <c r="AE959" s="113">
        <v>60</v>
      </c>
      <c r="AF959" s="113">
        <v>75</v>
      </c>
      <c r="AG959" s="120">
        <v>110</v>
      </c>
      <c r="AH959" s="113">
        <v>121</v>
      </c>
      <c r="AI959" s="113">
        <v>64</v>
      </c>
    </row>
    <row r="960" spans="1:35">
      <c r="A960" s="113">
        <v>870</v>
      </c>
      <c r="B960" s="113" t="s">
        <v>2286</v>
      </c>
      <c r="C960" s="120" t="s">
        <v>6231</v>
      </c>
      <c r="D960" s="124" t="s">
        <v>1109</v>
      </c>
      <c r="E960" s="124" t="s">
        <v>1109</v>
      </c>
      <c r="F960" s="113" t="s">
        <v>2112</v>
      </c>
      <c r="G960" s="113" t="s">
        <v>2703</v>
      </c>
      <c r="H960" s="113" t="s">
        <v>78</v>
      </c>
      <c r="I960" s="113" t="s">
        <v>1109</v>
      </c>
      <c r="J960" s="118" t="s">
        <v>2129</v>
      </c>
      <c r="K960" s="118">
        <v>3</v>
      </c>
      <c r="L960" s="118" t="s">
        <v>6231</v>
      </c>
      <c r="M960" s="115" t="s">
        <v>1109</v>
      </c>
      <c r="N960" s="115" t="s">
        <v>6504</v>
      </c>
      <c r="O960" s="115">
        <v>1.5</v>
      </c>
      <c r="P960" s="115" t="s">
        <v>1109</v>
      </c>
      <c r="Q960" s="166"/>
      <c r="R960" s="164"/>
      <c r="S960" s="164"/>
      <c r="T960" s="164"/>
      <c r="U960" s="164"/>
      <c r="V960" s="162"/>
      <c r="W960" s="158"/>
      <c r="X960" s="158"/>
      <c r="Y960" s="158"/>
      <c r="Z960" s="158"/>
      <c r="AA960" s="158"/>
      <c r="AB960" s="158"/>
      <c r="AC960" s="113">
        <v>470</v>
      </c>
      <c r="AD960" s="113">
        <v>65</v>
      </c>
      <c r="AE960" s="113">
        <v>100</v>
      </c>
      <c r="AF960" s="113">
        <v>100</v>
      </c>
      <c r="AG960" s="120">
        <v>70</v>
      </c>
      <c r="AH960" s="113">
        <v>60</v>
      </c>
      <c r="AI960" s="113">
        <v>75</v>
      </c>
    </row>
    <row r="961" spans="1:35">
      <c r="A961" s="113">
        <v>871</v>
      </c>
      <c r="B961" s="113" t="s">
        <v>2254</v>
      </c>
      <c r="C961" s="120" t="s">
        <v>6232</v>
      </c>
      <c r="D961" s="124">
        <v>0.5</v>
      </c>
      <c r="E961" s="124">
        <v>0.5</v>
      </c>
      <c r="F961" s="113" t="s">
        <v>2336</v>
      </c>
      <c r="G961" s="113" t="s">
        <v>2703</v>
      </c>
      <c r="H961" s="113" t="s">
        <v>46</v>
      </c>
      <c r="I961" s="113" t="s">
        <v>1109</v>
      </c>
      <c r="J961" s="118" t="s">
        <v>2129</v>
      </c>
      <c r="K961" s="118">
        <v>3</v>
      </c>
      <c r="L961" s="118" t="s">
        <v>6232</v>
      </c>
      <c r="M961" s="115" t="s">
        <v>1109</v>
      </c>
      <c r="N961" s="115" t="s">
        <v>6504</v>
      </c>
      <c r="O961" s="115">
        <v>1.5</v>
      </c>
      <c r="P961" s="115" t="s">
        <v>1109</v>
      </c>
      <c r="Q961" s="166"/>
      <c r="R961" s="164"/>
      <c r="S961" s="164"/>
      <c r="T961" s="164"/>
      <c r="U961" s="164"/>
      <c r="V961" s="162"/>
      <c r="W961" s="158"/>
      <c r="X961" s="158"/>
      <c r="Y961" s="158"/>
      <c r="Z961" s="158"/>
      <c r="AA961" s="158"/>
      <c r="AB961" s="158"/>
      <c r="AC961" s="113">
        <v>435</v>
      </c>
      <c r="AD961" s="113">
        <v>48</v>
      </c>
      <c r="AE961" s="113">
        <v>101</v>
      </c>
      <c r="AF961" s="113">
        <v>95</v>
      </c>
      <c r="AG961" s="120">
        <v>91</v>
      </c>
      <c r="AH961" s="113">
        <v>85</v>
      </c>
      <c r="AI961" s="113">
        <v>15</v>
      </c>
    </row>
    <row r="962" spans="1:35">
      <c r="A962" s="113">
        <v>872</v>
      </c>
      <c r="B962" s="113" t="s">
        <v>2255</v>
      </c>
      <c r="C962" s="120" t="s">
        <v>6233</v>
      </c>
      <c r="D962" s="124">
        <v>0.5</v>
      </c>
      <c r="E962" s="124">
        <v>0.5</v>
      </c>
      <c r="F962" s="113" t="s">
        <v>29</v>
      </c>
      <c r="G962" s="113" t="s">
        <v>2703</v>
      </c>
      <c r="H962" s="113" t="s">
        <v>113</v>
      </c>
      <c r="I962" s="113" t="s">
        <v>29</v>
      </c>
      <c r="J962" s="118" t="s">
        <v>2129</v>
      </c>
      <c r="K962" s="118">
        <v>2</v>
      </c>
      <c r="L962" s="118" t="s">
        <v>6233</v>
      </c>
      <c r="M962" s="115" t="s">
        <v>1109</v>
      </c>
      <c r="N962" s="115" t="s">
        <v>6505</v>
      </c>
      <c r="O962" s="115">
        <v>1.25</v>
      </c>
      <c r="P962" s="115" t="s">
        <v>1109</v>
      </c>
      <c r="Q962" s="166"/>
      <c r="R962" s="164"/>
      <c r="S962" s="164"/>
      <c r="T962" s="164"/>
      <c r="U962" s="164"/>
      <c r="V962" s="162"/>
      <c r="W962" s="158"/>
      <c r="X962" s="158"/>
      <c r="Y962" s="158"/>
      <c r="Z962" s="158"/>
      <c r="AA962" s="158"/>
      <c r="AB962" s="158"/>
      <c r="AC962" s="113">
        <v>185</v>
      </c>
      <c r="AD962" s="113">
        <v>30</v>
      </c>
      <c r="AE962" s="113">
        <v>25</v>
      </c>
      <c r="AF962" s="113">
        <v>35</v>
      </c>
      <c r="AG962" s="120">
        <v>45</v>
      </c>
      <c r="AH962" s="113">
        <v>30</v>
      </c>
      <c r="AI962" s="113">
        <v>20</v>
      </c>
    </row>
    <row r="963" spans="1:35">
      <c r="A963" s="113">
        <v>873</v>
      </c>
      <c r="B963" s="113" t="s">
        <v>2256</v>
      </c>
      <c r="C963" s="120" t="s">
        <v>6234</v>
      </c>
      <c r="D963" s="124">
        <v>0.5</v>
      </c>
      <c r="E963" s="124">
        <v>0.5</v>
      </c>
      <c r="F963" s="113" t="s">
        <v>29</v>
      </c>
      <c r="G963" s="113" t="s">
        <v>2703</v>
      </c>
      <c r="H963" s="113" t="s">
        <v>113</v>
      </c>
      <c r="I963" s="113" t="s">
        <v>29</v>
      </c>
      <c r="J963" s="118" t="s">
        <v>2129</v>
      </c>
      <c r="K963" s="118">
        <v>2</v>
      </c>
      <c r="L963" s="118" t="s">
        <v>6233</v>
      </c>
      <c r="M963" s="115" t="s">
        <v>6233</v>
      </c>
      <c r="N963" s="115" t="s">
        <v>6504</v>
      </c>
      <c r="O963" s="115">
        <v>1.25</v>
      </c>
      <c r="P963" s="115" t="s">
        <v>2128</v>
      </c>
      <c r="Q963" s="166"/>
      <c r="R963" s="164"/>
      <c r="S963" s="164"/>
      <c r="T963" s="164"/>
      <c r="U963" s="164"/>
      <c r="V963" s="162"/>
      <c r="W963" s="158"/>
      <c r="X963" s="158"/>
      <c r="Y963" s="158"/>
      <c r="Z963" s="158"/>
      <c r="AA963" s="158"/>
      <c r="AB963" s="158"/>
      <c r="AC963" s="113">
        <v>475</v>
      </c>
      <c r="AD963" s="113">
        <v>70</v>
      </c>
      <c r="AE963" s="113">
        <v>65</v>
      </c>
      <c r="AF963" s="113">
        <v>60</v>
      </c>
      <c r="AG963" s="120">
        <v>125</v>
      </c>
      <c r="AH963" s="113">
        <v>90</v>
      </c>
      <c r="AI963" s="113">
        <v>65</v>
      </c>
    </row>
    <row r="964" spans="1:35">
      <c r="A964" s="113">
        <v>874</v>
      </c>
      <c r="B964" s="113" t="s">
        <v>2257</v>
      </c>
      <c r="C964" s="120" t="s">
        <v>6235</v>
      </c>
      <c r="D964" s="124">
        <v>0.5</v>
      </c>
      <c r="E964" s="124">
        <v>0.5</v>
      </c>
      <c r="F964" s="113" t="s">
        <v>2112</v>
      </c>
      <c r="G964" s="113" t="s">
        <v>2703</v>
      </c>
      <c r="H964" s="113" t="s">
        <v>98</v>
      </c>
      <c r="I964" s="113" t="s">
        <v>1109</v>
      </c>
      <c r="J964" s="118" t="s">
        <v>2129</v>
      </c>
      <c r="K964" s="118">
        <v>3</v>
      </c>
      <c r="L964" s="118" t="s">
        <v>6235</v>
      </c>
      <c r="M964" s="115" t="s">
        <v>1109</v>
      </c>
      <c r="N964" s="115" t="s">
        <v>6504</v>
      </c>
      <c r="O964" s="115">
        <v>1.5</v>
      </c>
      <c r="P964" s="115" t="s">
        <v>1109</v>
      </c>
      <c r="Q964" s="166"/>
      <c r="R964" s="164"/>
      <c r="S964" s="164"/>
      <c r="T964" s="164"/>
      <c r="U964" s="164"/>
      <c r="V964" s="162"/>
      <c r="W964" s="158"/>
      <c r="X964" s="158"/>
      <c r="Y964" s="158"/>
      <c r="Z964" s="158"/>
      <c r="AA964" s="158"/>
      <c r="AB964" s="158"/>
      <c r="AC964" s="113">
        <v>470</v>
      </c>
      <c r="AD964" s="113">
        <v>100</v>
      </c>
      <c r="AE964" s="113">
        <v>125</v>
      </c>
      <c r="AF964" s="113">
        <v>135</v>
      </c>
      <c r="AG964" s="120">
        <v>20</v>
      </c>
      <c r="AH964" s="113">
        <v>20</v>
      </c>
      <c r="AI964" s="113">
        <v>70</v>
      </c>
    </row>
    <row r="965" spans="1:35">
      <c r="A965" s="113">
        <v>875</v>
      </c>
      <c r="B965" s="113" t="s">
        <v>2765</v>
      </c>
      <c r="C965" s="120" t="s">
        <v>6236</v>
      </c>
      <c r="D965" s="124">
        <v>0.5</v>
      </c>
      <c r="E965" s="124">
        <v>0.5</v>
      </c>
      <c r="F965" s="113" t="s">
        <v>2331</v>
      </c>
      <c r="G965" s="113" t="s">
        <v>2703</v>
      </c>
      <c r="H965" s="113" t="s">
        <v>113</v>
      </c>
      <c r="I965" s="113" t="s">
        <v>1109</v>
      </c>
      <c r="J965" s="118" t="s">
        <v>2129</v>
      </c>
      <c r="K965" s="118">
        <v>3</v>
      </c>
      <c r="L965" s="118" t="s">
        <v>6236</v>
      </c>
      <c r="M965" s="115" t="s">
        <v>1109</v>
      </c>
      <c r="N965" s="115" t="s">
        <v>6504</v>
      </c>
      <c r="O965" s="115">
        <v>1.5</v>
      </c>
      <c r="P965" s="115" t="s">
        <v>1109</v>
      </c>
      <c r="Q965" s="166"/>
      <c r="R965" s="164"/>
      <c r="S965" s="164"/>
      <c r="T965" s="164"/>
      <c r="U965" s="164"/>
      <c r="V965" s="162"/>
      <c r="W965" s="158"/>
      <c r="X965" s="158"/>
      <c r="Y965" s="158"/>
      <c r="Z965" s="158"/>
      <c r="AA965" s="158"/>
      <c r="AB965" s="158"/>
      <c r="AC965" s="113">
        <v>470</v>
      </c>
      <c r="AD965" s="113">
        <v>75</v>
      </c>
      <c r="AE965" s="113">
        <v>80</v>
      </c>
      <c r="AF965" s="113">
        <v>110</v>
      </c>
      <c r="AG965" s="120">
        <v>65</v>
      </c>
      <c r="AH965" s="113">
        <v>90</v>
      </c>
      <c r="AI965" s="113">
        <v>50</v>
      </c>
    </row>
    <row r="966" spans="1:35">
      <c r="A966" s="113">
        <v>875</v>
      </c>
      <c r="B966" s="113" t="s">
        <v>2766</v>
      </c>
      <c r="C966" s="120" t="s">
        <v>6237</v>
      </c>
      <c r="D966" s="124">
        <v>0.5</v>
      </c>
      <c r="E966" s="124">
        <v>0.5</v>
      </c>
      <c r="F966" s="113" t="s">
        <v>2331</v>
      </c>
      <c r="G966" s="113" t="s">
        <v>2703</v>
      </c>
      <c r="H966" s="113" t="s">
        <v>113</v>
      </c>
      <c r="I966" s="113" t="s">
        <v>1109</v>
      </c>
      <c r="J966" s="118" t="s">
        <v>2129</v>
      </c>
      <c r="K966" s="118">
        <v>3</v>
      </c>
      <c r="L966" s="118" t="s">
        <v>6236</v>
      </c>
      <c r="M966" s="115" t="s">
        <v>1109</v>
      </c>
      <c r="N966" s="115" t="s">
        <v>6504</v>
      </c>
      <c r="O966" s="115">
        <v>1.5</v>
      </c>
      <c r="P966" s="115" t="s">
        <v>1109</v>
      </c>
      <c r="Q966" s="166"/>
      <c r="R966" s="164"/>
      <c r="S966" s="164"/>
      <c r="T966" s="164"/>
      <c r="U966" s="164"/>
      <c r="V966" s="162"/>
      <c r="W966" s="158"/>
      <c r="X966" s="158"/>
      <c r="Y966" s="158"/>
      <c r="Z966" s="158"/>
      <c r="AA966" s="158"/>
      <c r="AB966" s="158"/>
      <c r="AC966" s="113">
        <v>470</v>
      </c>
      <c r="AD966" s="113">
        <v>75</v>
      </c>
      <c r="AE966" s="113">
        <v>80</v>
      </c>
      <c r="AF966" s="113">
        <v>70</v>
      </c>
      <c r="AG966" s="120">
        <v>65</v>
      </c>
      <c r="AH966" s="113">
        <v>50</v>
      </c>
      <c r="AI966" s="113">
        <v>130</v>
      </c>
    </row>
    <row r="967" spans="1:35">
      <c r="A967" s="113">
        <v>876</v>
      </c>
      <c r="B967" s="113" t="s">
        <v>2767</v>
      </c>
      <c r="C967" s="120" t="s">
        <v>6238</v>
      </c>
      <c r="D967" s="124">
        <v>1</v>
      </c>
      <c r="E967" s="132" t="s">
        <v>1109</v>
      </c>
      <c r="F967" s="113" t="s">
        <v>56</v>
      </c>
      <c r="G967" s="113" t="s">
        <v>2703</v>
      </c>
      <c r="H967" s="113" t="s">
        <v>86</v>
      </c>
      <c r="I967" s="113" t="s">
        <v>36</v>
      </c>
      <c r="J967" s="118" t="s">
        <v>2129</v>
      </c>
      <c r="K967" s="118">
        <v>2</v>
      </c>
      <c r="L967" s="118" t="s">
        <v>6238</v>
      </c>
      <c r="M967" s="115" t="s">
        <v>1109</v>
      </c>
      <c r="N967" s="115" t="s">
        <v>6504</v>
      </c>
      <c r="O967" s="115">
        <v>1.25</v>
      </c>
      <c r="P967" s="115" t="s">
        <v>1109</v>
      </c>
      <c r="Q967" s="166"/>
      <c r="R967" s="164"/>
      <c r="S967" s="164"/>
      <c r="T967" s="164"/>
      <c r="U967" s="164"/>
      <c r="V967" s="162"/>
      <c r="W967" s="158"/>
      <c r="X967" s="158"/>
      <c r="Y967" s="158"/>
      <c r="Z967" s="158"/>
      <c r="AA967" s="158"/>
      <c r="AB967" s="158"/>
      <c r="AC967" s="113">
        <v>475</v>
      </c>
      <c r="AD967" s="113">
        <v>60</v>
      </c>
      <c r="AE967" s="113">
        <v>65</v>
      </c>
      <c r="AF967" s="113">
        <v>55</v>
      </c>
      <c r="AG967" s="120">
        <v>105</v>
      </c>
      <c r="AH967" s="113">
        <v>95</v>
      </c>
      <c r="AI967" s="113">
        <v>95</v>
      </c>
    </row>
    <row r="968" spans="1:35">
      <c r="A968" s="113">
        <v>876</v>
      </c>
      <c r="B968" s="113" t="s">
        <v>2768</v>
      </c>
      <c r="C968" s="120" t="s">
        <v>6239</v>
      </c>
      <c r="D968" s="132" t="s">
        <v>1109</v>
      </c>
      <c r="E968" s="124">
        <v>1</v>
      </c>
      <c r="F968" s="113" t="s">
        <v>56</v>
      </c>
      <c r="G968" s="113" t="s">
        <v>2703</v>
      </c>
      <c r="H968" s="113" t="s">
        <v>86</v>
      </c>
      <c r="I968" s="113" t="s">
        <v>36</v>
      </c>
      <c r="J968" s="118" t="s">
        <v>2129</v>
      </c>
      <c r="K968" s="118">
        <v>2</v>
      </c>
      <c r="L968" s="118" t="s">
        <v>6239</v>
      </c>
      <c r="M968" s="115" t="s">
        <v>1109</v>
      </c>
      <c r="N968" s="115" t="s">
        <v>6504</v>
      </c>
      <c r="O968" s="115">
        <v>1.25</v>
      </c>
      <c r="P968" s="115" t="s">
        <v>1109</v>
      </c>
      <c r="Q968" s="166"/>
      <c r="R968" s="164"/>
      <c r="S968" s="164"/>
      <c r="T968" s="164"/>
      <c r="U968" s="164"/>
      <c r="V968" s="162"/>
      <c r="W968" s="158"/>
      <c r="X968" s="158"/>
      <c r="Y968" s="158"/>
      <c r="Z968" s="158"/>
      <c r="AA968" s="158"/>
      <c r="AB968" s="158"/>
      <c r="AC968" s="113">
        <v>475</v>
      </c>
      <c r="AD968" s="113">
        <v>70</v>
      </c>
      <c r="AE968" s="113">
        <v>55</v>
      </c>
      <c r="AF968" s="113">
        <v>65</v>
      </c>
      <c r="AG968" s="120">
        <v>95</v>
      </c>
      <c r="AH968" s="113">
        <v>105</v>
      </c>
      <c r="AI968" s="113">
        <v>85</v>
      </c>
    </row>
    <row r="969" spans="1:35">
      <c r="A969" s="113">
        <v>877</v>
      </c>
      <c r="B969" s="113" t="s">
        <v>2260</v>
      </c>
      <c r="C969" s="120" t="s">
        <v>6240</v>
      </c>
      <c r="D969" s="124">
        <v>0.5</v>
      </c>
      <c r="E969" s="124">
        <v>0.5</v>
      </c>
      <c r="F969" s="113" t="s">
        <v>2332</v>
      </c>
      <c r="G969" s="113" t="s">
        <v>2703</v>
      </c>
      <c r="H969" s="113" t="s">
        <v>46</v>
      </c>
      <c r="I969" s="113" t="s">
        <v>158</v>
      </c>
      <c r="J969" s="118" t="s">
        <v>2129</v>
      </c>
      <c r="K969" s="118">
        <v>3</v>
      </c>
      <c r="L969" s="118" t="s">
        <v>6240</v>
      </c>
      <c r="M969" s="115" t="s">
        <v>1109</v>
      </c>
      <c r="N969" s="115" t="s">
        <v>6504</v>
      </c>
      <c r="O969" s="115">
        <v>1.5</v>
      </c>
      <c r="P969" s="115" t="s">
        <v>1109</v>
      </c>
      <c r="Q969" s="166"/>
      <c r="R969" s="164"/>
      <c r="S969" s="164"/>
      <c r="T969" s="164"/>
      <c r="U969" s="164"/>
      <c r="V969" s="162"/>
      <c r="W969" s="158"/>
      <c r="X969" s="158"/>
      <c r="Y969" s="158"/>
      <c r="Z969" s="158"/>
      <c r="AA969" s="158"/>
      <c r="AB969" s="158"/>
      <c r="AC969" s="113">
        <v>436</v>
      </c>
      <c r="AD969" s="113">
        <v>58</v>
      </c>
      <c r="AE969" s="113">
        <v>95</v>
      </c>
      <c r="AF969" s="113">
        <v>58</v>
      </c>
      <c r="AG969" s="120">
        <v>70</v>
      </c>
      <c r="AH969" s="113">
        <v>58</v>
      </c>
      <c r="AI969" s="113">
        <v>97</v>
      </c>
    </row>
    <row r="970" spans="1:35">
      <c r="A970" s="113">
        <v>878</v>
      </c>
      <c r="B970" s="113" t="s">
        <v>2261</v>
      </c>
      <c r="C970" s="120" t="s">
        <v>6241</v>
      </c>
      <c r="D970" s="124">
        <v>0.5</v>
      </c>
      <c r="E970" s="124">
        <v>0.5</v>
      </c>
      <c r="F970" s="113" t="s">
        <v>2112</v>
      </c>
      <c r="G970" s="113" t="s">
        <v>2703</v>
      </c>
      <c r="H970" s="113" t="s">
        <v>106</v>
      </c>
      <c r="I970" s="113" t="s">
        <v>1109</v>
      </c>
      <c r="J970" s="118" t="s">
        <v>2129</v>
      </c>
      <c r="K970" s="118">
        <v>2</v>
      </c>
      <c r="L970" s="118" t="s">
        <v>6241</v>
      </c>
      <c r="M970" s="115" t="s">
        <v>1109</v>
      </c>
      <c r="N970" s="115" t="s">
        <v>6505</v>
      </c>
      <c r="O970" s="115">
        <v>1.25</v>
      </c>
      <c r="P970" s="115" t="s">
        <v>1109</v>
      </c>
      <c r="Q970" s="166"/>
      <c r="R970" s="164"/>
      <c r="S970" s="164"/>
      <c r="T970" s="164"/>
      <c r="U970" s="164"/>
      <c r="V970" s="162"/>
      <c r="W970" s="158"/>
      <c r="X970" s="158"/>
      <c r="Y970" s="158"/>
      <c r="Z970" s="158"/>
      <c r="AA970" s="158"/>
      <c r="AB970" s="158"/>
      <c r="AC970" s="113">
        <v>330</v>
      </c>
      <c r="AD970" s="113">
        <v>72</v>
      </c>
      <c r="AE970" s="113">
        <v>80</v>
      </c>
      <c r="AF970" s="113">
        <v>49</v>
      </c>
      <c r="AG970" s="120">
        <v>40</v>
      </c>
      <c r="AH970" s="113">
        <v>49</v>
      </c>
      <c r="AI970" s="113">
        <v>40</v>
      </c>
    </row>
    <row r="971" spans="1:35">
      <c r="A971" s="113">
        <v>879</v>
      </c>
      <c r="B971" s="113" t="s">
        <v>2262</v>
      </c>
      <c r="C971" s="120" t="s">
        <v>6242</v>
      </c>
      <c r="D971" s="124">
        <v>0.5</v>
      </c>
      <c r="E971" s="124">
        <v>0.5</v>
      </c>
      <c r="F971" s="113" t="s">
        <v>2112</v>
      </c>
      <c r="G971" s="113" t="s">
        <v>2703</v>
      </c>
      <c r="H971" s="113" t="s">
        <v>106</v>
      </c>
      <c r="I971" s="113" t="s">
        <v>1109</v>
      </c>
      <c r="J971" s="118" t="s">
        <v>2129</v>
      </c>
      <c r="K971" s="118">
        <v>2</v>
      </c>
      <c r="L971" s="118" t="s">
        <v>6241</v>
      </c>
      <c r="M971" s="115" t="s">
        <v>6241</v>
      </c>
      <c r="N971" s="115" t="s">
        <v>6504</v>
      </c>
      <c r="O971" s="115">
        <v>1.25</v>
      </c>
      <c r="P971" s="115" t="s">
        <v>2128</v>
      </c>
      <c r="Q971" s="166"/>
      <c r="R971" s="164"/>
      <c r="S971" s="164"/>
      <c r="T971" s="164"/>
      <c r="U971" s="164"/>
      <c r="V971" s="162"/>
      <c r="W971" s="158"/>
      <c r="X971" s="158"/>
      <c r="Y971" s="158"/>
      <c r="Z971" s="158"/>
      <c r="AA971" s="158"/>
      <c r="AB971" s="158"/>
      <c r="AC971" s="113">
        <v>500</v>
      </c>
      <c r="AD971" s="113">
        <v>122</v>
      </c>
      <c r="AE971" s="113">
        <v>130</v>
      </c>
      <c r="AF971" s="113">
        <v>69</v>
      </c>
      <c r="AG971" s="120">
        <v>80</v>
      </c>
      <c r="AH971" s="113">
        <v>69</v>
      </c>
      <c r="AI971" s="113">
        <v>30</v>
      </c>
    </row>
    <row r="972" spans="1:35">
      <c r="A972" s="113">
        <v>880</v>
      </c>
      <c r="B972" s="113" t="s">
        <v>2317</v>
      </c>
      <c r="C972" s="120" t="s">
        <v>6243</v>
      </c>
      <c r="D972" s="124" t="s">
        <v>1109</v>
      </c>
      <c r="E972" s="124" t="s">
        <v>1109</v>
      </c>
      <c r="F972" s="113" t="s">
        <v>2333</v>
      </c>
      <c r="G972" s="113" t="s">
        <v>2703</v>
      </c>
      <c r="H972" s="113" t="s">
        <v>46</v>
      </c>
      <c r="I972" s="113" t="s">
        <v>23</v>
      </c>
      <c r="J972" s="118" t="s">
        <v>2129</v>
      </c>
      <c r="K972" s="118">
        <v>3</v>
      </c>
      <c r="L972" s="118" t="s">
        <v>6243</v>
      </c>
      <c r="M972" s="115" t="s">
        <v>1109</v>
      </c>
      <c r="N972" s="115" t="s">
        <v>6504</v>
      </c>
      <c r="O972" s="115">
        <v>1.5</v>
      </c>
      <c r="P972" s="115" t="s">
        <v>1109</v>
      </c>
      <c r="Q972" s="166"/>
      <c r="R972" s="164"/>
      <c r="S972" s="164"/>
      <c r="T972" s="164"/>
      <c r="U972" s="164"/>
      <c r="V972" s="162"/>
      <c r="W972" s="158"/>
      <c r="X972" s="158"/>
      <c r="Y972" s="158"/>
      <c r="Z972" s="158"/>
      <c r="AA972" s="158"/>
      <c r="AB972" s="158"/>
      <c r="AC972" s="113">
        <v>505</v>
      </c>
      <c r="AD972" s="113">
        <v>90</v>
      </c>
      <c r="AE972" s="113">
        <v>100</v>
      </c>
      <c r="AF972" s="113">
        <v>90</v>
      </c>
      <c r="AG972" s="120">
        <v>80</v>
      </c>
      <c r="AH972" s="113">
        <v>70</v>
      </c>
      <c r="AI972" s="113">
        <v>75</v>
      </c>
    </row>
    <row r="973" spans="1:35">
      <c r="A973" s="113">
        <v>881</v>
      </c>
      <c r="B973" s="113" t="s">
        <v>2318</v>
      </c>
      <c r="C973" s="120" t="s">
        <v>6244</v>
      </c>
      <c r="D973" s="124" t="s">
        <v>1109</v>
      </c>
      <c r="E973" s="124" t="s">
        <v>1109</v>
      </c>
      <c r="F973" s="113" t="s">
        <v>2333</v>
      </c>
      <c r="G973" s="113" t="s">
        <v>2703</v>
      </c>
      <c r="H973" s="113" t="s">
        <v>46</v>
      </c>
      <c r="I973" s="113" t="s">
        <v>113</v>
      </c>
      <c r="J973" s="118" t="s">
        <v>2129</v>
      </c>
      <c r="K973" s="118">
        <v>3</v>
      </c>
      <c r="L973" s="118" t="s">
        <v>6244</v>
      </c>
      <c r="M973" s="115" t="s">
        <v>1109</v>
      </c>
      <c r="N973" s="115" t="s">
        <v>6504</v>
      </c>
      <c r="O973" s="115">
        <v>1.5</v>
      </c>
      <c r="P973" s="115" t="s">
        <v>1109</v>
      </c>
      <c r="Q973" s="166"/>
      <c r="R973" s="164"/>
      <c r="S973" s="164"/>
      <c r="T973" s="164"/>
      <c r="U973" s="164"/>
      <c r="V973" s="162"/>
      <c r="W973" s="158"/>
      <c r="X973" s="158"/>
      <c r="Y973" s="158"/>
      <c r="Z973" s="158"/>
      <c r="AA973" s="158"/>
      <c r="AB973" s="158"/>
      <c r="AC973" s="113">
        <v>505</v>
      </c>
      <c r="AD973" s="113">
        <v>90</v>
      </c>
      <c r="AE973" s="113">
        <v>100</v>
      </c>
      <c r="AF973" s="113">
        <v>90</v>
      </c>
      <c r="AG973" s="120">
        <v>90</v>
      </c>
      <c r="AH973" s="113">
        <v>80</v>
      </c>
      <c r="AI973" s="113">
        <v>55</v>
      </c>
    </row>
    <row r="974" spans="1:35">
      <c r="A974" s="113">
        <v>882</v>
      </c>
      <c r="B974" s="113" t="s">
        <v>2319</v>
      </c>
      <c r="C974" s="120" t="s">
        <v>6245</v>
      </c>
      <c r="D974" s="124" t="s">
        <v>1109</v>
      </c>
      <c r="E974" s="124" t="s">
        <v>1109</v>
      </c>
      <c r="F974" s="113" t="s">
        <v>2333</v>
      </c>
      <c r="G974" s="113" t="s">
        <v>2703</v>
      </c>
      <c r="H974" s="113" t="s">
        <v>25</v>
      </c>
      <c r="I974" s="113" t="s">
        <v>23</v>
      </c>
      <c r="J974" s="118" t="s">
        <v>2129</v>
      </c>
      <c r="K974" s="118">
        <v>3</v>
      </c>
      <c r="L974" s="118" t="s">
        <v>6245</v>
      </c>
      <c r="M974" s="115" t="s">
        <v>1109</v>
      </c>
      <c r="N974" s="115" t="s">
        <v>6504</v>
      </c>
      <c r="O974" s="115">
        <v>1.5</v>
      </c>
      <c r="P974" s="115" t="s">
        <v>1109</v>
      </c>
      <c r="Q974" s="166"/>
      <c r="R974" s="164"/>
      <c r="S974" s="164"/>
      <c r="T974" s="164"/>
      <c r="U974" s="164"/>
      <c r="V974" s="162"/>
      <c r="W974" s="158"/>
      <c r="X974" s="158"/>
      <c r="Y974" s="158"/>
      <c r="Z974" s="158"/>
      <c r="AA974" s="158"/>
      <c r="AB974" s="158"/>
      <c r="AC974" s="113">
        <v>505</v>
      </c>
      <c r="AD974" s="113">
        <v>90</v>
      </c>
      <c r="AE974" s="113">
        <v>90</v>
      </c>
      <c r="AF974" s="113">
        <v>100</v>
      </c>
      <c r="AG974" s="120">
        <v>70</v>
      </c>
      <c r="AH974" s="113">
        <v>80</v>
      </c>
      <c r="AI974" s="113">
        <v>75</v>
      </c>
    </row>
    <row r="975" spans="1:35">
      <c r="A975" s="113">
        <v>883</v>
      </c>
      <c r="B975" s="113" t="s">
        <v>2320</v>
      </c>
      <c r="C975" s="120" t="s">
        <v>6246</v>
      </c>
      <c r="D975" s="124" t="s">
        <v>1109</v>
      </c>
      <c r="E975" s="124" t="s">
        <v>1109</v>
      </c>
      <c r="F975" s="113" t="s">
        <v>2333</v>
      </c>
      <c r="G975" s="113" t="s">
        <v>2703</v>
      </c>
      <c r="H975" s="113" t="s">
        <v>25</v>
      </c>
      <c r="I975" s="113" t="s">
        <v>113</v>
      </c>
      <c r="J975" s="118" t="s">
        <v>2129</v>
      </c>
      <c r="K975" s="118">
        <v>3</v>
      </c>
      <c r="L975" s="118" t="s">
        <v>6246</v>
      </c>
      <c r="M975" s="115" t="s">
        <v>1109</v>
      </c>
      <c r="N975" s="115" t="s">
        <v>6504</v>
      </c>
      <c r="O975" s="115">
        <v>1.5</v>
      </c>
      <c r="P975" s="115" t="s">
        <v>1109</v>
      </c>
      <c r="Q975" s="166"/>
      <c r="R975" s="164"/>
      <c r="S975" s="164"/>
      <c r="T975" s="164"/>
      <c r="U975" s="164"/>
      <c r="V975" s="162"/>
      <c r="W975" s="158"/>
      <c r="X975" s="158"/>
      <c r="Y975" s="158"/>
      <c r="Z975" s="158"/>
      <c r="AA975" s="158"/>
      <c r="AB975" s="158"/>
      <c r="AC975" s="113">
        <v>505</v>
      </c>
      <c r="AD975" s="113">
        <v>90</v>
      </c>
      <c r="AE975" s="113">
        <v>90</v>
      </c>
      <c r="AF975" s="113">
        <v>100</v>
      </c>
      <c r="AG975" s="120">
        <v>80</v>
      </c>
      <c r="AH975" s="113">
        <v>90</v>
      </c>
      <c r="AI975" s="113">
        <v>55</v>
      </c>
    </row>
    <row r="976" spans="1:35">
      <c r="A976" s="113">
        <v>884</v>
      </c>
      <c r="B976" s="113" t="s">
        <v>2263</v>
      </c>
      <c r="C976" s="120" t="s">
        <v>6247</v>
      </c>
      <c r="D976" s="124">
        <v>0.5</v>
      </c>
      <c r="E976" s="124">
        <v>0.5</v>
      </c>
      <c r="F976" s="113" t="s">
        <v>23</v>
      </c>
      <c r="G976" s="113" t="s">
        <v>2703</v>
      </c>
      <c r="H976" s="113" t="s">
        <v>106</v>
      </c>
      <c r="I976" s="113" t="s">
        <v>23</v>
      </c>
      <c r="J976" s="118" t="s">
        <v>2129</v>
      </c>
      <c r="K976" s="118">
        <v>3</v>
      </c>
      <c r="L976" s="118" t="s">
        <v>6247</v>
      </c>
      <c r="M976" s="115" t="s">
        <v>1109</v>
      </c>
      <c r="N976" s="115" t="s">
        <v>6505</v>
      </c>
      <c r="O976" s="115">
        <v>1.5</v>
      </c>
      <c r="P976" s="115" t="s">
        <v>1109</v>
      </c>
      <c r="Q976" s="166"/>
      <c r="R976" s="164"/>
      <c r="S976" s="164"/>
      <c r="T976" s="164"/>
      <c r="U976" s="164"/>
      <c r="V976" s="162"/>
      <c r="W976" s="158"/>
      <c r="X976" s="158"/>
      <c r="Y976" s="158"/>
      <c r="Z976" s="158"/>
      <c r="AA976" s="158"/>
      <c r="AB976" s="158"/>
      <c r="AC976" s="113">
        <v>535</v>
      </c>
      <c r="AD976" s="113">
        <v>70</v>
      </c>
      <c r="AE976" s="113">
        <v>95</v>
      </c>
      <c r="AF976" s="113">
        <v>115</v>
      </c>
      <c r="AG976" s="120">
        <v>120</v>
      </c>
      <c r="AH976" s="113">
        <v>50</v>
      </c>
      <c r="AI976" s="113">
        <v>85</v>
      </c>
    </row>
    <row r="977" spans="1:35">
      <c r="A977" s="113">
        <v>885</v>
      </c>
      <c r="B977" s="113" t="s">
        <v>2264</v>
      </c>
      <c r="C977" s="120" t="s">
        <v>6248</v>
      </c>
      <c r="D977" s="124">
        <v>0.5</v>
      </c>
      <c r="E977" s="124">
        <v>0.5</v>
      </c>
      <c r="F977" s="113" t="s">
        <v>2336</v>
      </c>
      <c r="G977" s="113" t="s">
        <v>2703</v>
      </c>
      <c r="H977" s="113" t="s">
        <v>23</v>
      </c>
      <c r="I977" s="113" t="s">
        <v>119</v>
      </c>
      <c r="J977" s="118" t="s">
        <v>2129</v>
      </c>
      <c r="K977" s="118">
        <v>3</v>
      </c>
      <c r="L977" s="118" t="s">
        <v>6248</v>
      </c>
      <c r="M977" s="115" t="s">
        <v>1109</v>
      </c>
      <c r="N977" s="115" t="s">
        <v>6505</v>
      </c>
      <c r="O977" s="115">
        <v>1.5</v>
      </c>
      <c r="P977" s="115" t="s">
        <v>1109</v>
      </c>
      <c r="Q977" s="166"/>
      <c r="R977" s="164"/>
      <c r="S977" s="164"/>
      <c r="T977" s="164"/>
      <c r="U977" s="164"/>
      <c r="V977" s="162"/>
      <c r="W977" s="158"/>
      <c r="X977" s="158"/>
      <c r="Y977" s="158"/>
      <c r="Z977" s="158"/>
      <c r="AA977" s="158"/>
      <c r="AB977" s="158"/>
      <c r="AC977" s="113">
        <v>270</v>
      </c>
      <c r="AD977" s="113">
        <v>28</v>
      </c>
      <c r="AE977" s="113">
        <v>60</v>
      </c>
      <c r="AF977" s="113">
        <v>30</v>
      </c>
      <c r="AG977" s="120">
        <v>40</v>
      </c>
      <c r="AH977" s="113">
        <v>30</v>
      </c>
      <c r="AI977" s="113">
        <v>82</v>
      </c>
    </row>
    <row r="978" spans="1:35">
      <c r="A978" s="113">
        <v>886</v>
      </c>
      <c r="B978" s="113" t="s">
        <v>2265</v>
      </c>
      <c r="C978" s="120" t="s">
        <v>6249</v>
      </c>
      <c r="D978" s="124">
        <v>0.5</v>
      </c>
      <c r="E978" s="124">
        <v>0.5</v>
      </c>
      <c r="F978" s="113" t="s">
        <v>2336</v>
      </c>
      <c r="G978" s="113" t="s">
        <v>2703</v>
      </c>
      <c r="H978" s="113" t="s">
        <v>23</v>
      </c>
      <c r="I978" s="113" t="s">
        <v>119</v>
      </c>
      <c r="J978" s="118" t="s">
        <v>2129</v>
      </c>
      <c r="K978" s="118">
        <v>3</v>
      </c>
      <c r="L978" s="118" t="s">
        <v>6248</v>
      </c>
      <c r="M978" s="115" t="s">
        <v>6248</v>
      </c>
      <c r="N978" s="115" t="s">
        <v>6506</v>
      </c>
      <c r="O978" s="115">
        <v>1.5</v>
      </c>
      <c r="P978" s="115" t="s">
        <v>2128</v>
      </c>
      <c r="Q978" s="166"/>
      <c r="R978" s="164"/>
      <c r="S978" s="164"/>
      <c r="T978" s="164"/>
      <c r="U978" s="164"/>
      <c r="V978" s="162"/>
      <c r="W978" s="158"/>
      <c r="X978" s="158"/>
      <c r="Y978" s="158"/>
      <c r="Z978" s="158"/>
      <c r="AA978" s="158"/>
      <c r="AB978" s="158"/>
      <c r="AC978" s="113">
        <v>410</v>
      </c>
      <c r="AD978" s="113">
        <v>68</v>
      </c>
      <c r="AE978" s="113">
        <v>80</v>
      </c>
      <c r="AF978" s="113">
        <v>50</v>
      </c>
      <c r="AG978" s="120">
        <v>60</v>
      </c>
      <c r="AH978" s="113">
        <v>50</v>
      </c>
      <c r="AI978" s="113">
        <v>102</v>
      </c>
    </row>
    <row r="979" spans="1:35">
      <c r="A979" s="113">
        <v>887</v>
      </c>
      <c r="B979" s="113" t="s">
        <v>2266</v>
      </c>
      <c r="C979" s="120" t="s">
        <v>6250</v>
      </c>
      <c r="D979" s="124">
        <v>0.5</v>
      </c>
      <c r="E979" s="124">
        <v>0.5</v>
      </c>
      <c r="F979" s="113" t="s">
        <v>2336</v>
      </c>
      <c r="G979" s="113" t="s">
        <v>2703</v>
      </c>
      <c r="H979" s="113" t="s">
        <v>23</v>
      </c>
      <c r="I979" s="113" t="s">
        <v>119</v>
      </c>
      <c r="J979" s="118" t="s">
        <v>2129</v>
      </c>
      <c r="K979" s="118">
        <v>3</v>
      </c>
      <c r="L979" s="118" t="s">
        <v>6248</v>
      </c>
      <c r="M979" s="115" t="s">
        <v>6249</v>
      </c>
      <c r="N979" s="115" t="s">
        <v>6504</v>
      </c>
      <c r="O979" s="115">
        <v>1.5</v>
      </c>
      <c r="P979" s="115" t="s">
        <v>2128</v>
      </c>
      <c r="Q979" s="166"/>
      <c r="R979" s="164"/>
      <c r="S979" s="164"/>
      <c r="T979" s="164"/>
      <c r="U979" s="164"/>
      <c r="V979" s="162"/>
      <c r="W979" s="158"/>
      <c r="X979" s="158"/>
      <c r="Y979" s="158"/>
      <c r="Z979" s="158"/>
      <c r="AA979" s="158"/>
      <c r="AB979" s="158"/>
      <c r="AC979" s="113">
        <v>600</v>
      </c>
      <c r="AD979" s="113">
        <v>88</v>
      </c>
      <c r="AE979" s="113">
        <v>120</v>
      </c>
      <c r="AF979" s="113">
        <v>75</v>
      </c>
      <c r="AG979" s="120">
        <v>100</v>
      </c>
      <c r="AH979" s="113">
        <v>75</v>
      </c>
      <c r="AI979" s="113">
        <v>142</v>
      </c>
    </row>
    <row r="980" spans="1:35">
      <c r="A980" s="113">
        <v>888</v>
      </c>
      <c r="B980" s="113" t="s">
        <v>2321</v>
      </c>
      <c r="C980" s="120" t="s">
        <v>6251</v>
      </c>
      <c r="D980" s="124" t="s">
        <v>1109</v>
      </c>
      <c r="E980" s="124" t="s">
        <v>1109</v>
      </c>
      <c r="F980" s="113" t="s">
        <v>2333</v>
      </c>
      <c r="G980" s="113" t="s">
        <v>2703</v>
      </c>
      <c r="H980" s="113" t="s">
        <v>56</v>
      </c>
      <c r="I980" s="113" t="s">
        <v>1109</v>
      </c>
      <c r="J980" s="118" t="s">
        <v>12</v>
      </c>
      <c r="K980" s="118">
        <v>5</v>
      </c>
      <c r="L980" s="118" t="s">
        <v>6251</v>
      </c>
      <c r="M980" s="115" t="s">
        <v>1109</v>
      </c>
      <c r="N980" s="115" t="s">
        <v>6504</v>
      </c>
      <c r="O980" s="115">
        <v>2</v>
      </c>
      <c r="P980" s="115" t="s">
        <v>1109</v>
      </c>
      <c r="Q980" s="166"/>
      <c r="R980" s="164"/>
      <c r="S980" s="164"/>
      <c r="T980" s="164"/>
      <c r="U980" s="164"/>
      <c r="V980" s="162"/>
      <c r="W980" s="158"/>
      <c r="X980" s="158"/>
      <c r="Y980" s="158"/>
      <c r="Z980" s="158"/>
      <c r="AA980" s="158"/>
      <c r="AB980" s="158"/>
      <c r="AC980" s="113">
        <v>670</v>
      </c>
      <c r="AD980" s="113">
        <v>92</v>
      </c>
      <c r="AE980" s="113">
        <v>130</v>
      </c>
      <c r="AF980" s="113">
        <v>115</v>
      </c>
      <c r="AG980" s="120">
        <v>80</v>
      </c>
      <c r="AH980" s="113">
        <v>115</v>
      </c>
      <c r="AI980" s="113">
        <v>138</v>
      </c>
    </row>
    <row r="981" spans="1:35">
      <c r="A981" s="113">
        <v>888</v>
      </c>
      <c r="B981" s="113" t="s">
        <v>2770</v>
      </c>
      <c r="C981" s="120" t="s">
        <v>6252</v>
      </c>
      <c r="D981" s="124" t="s">
        <v>1109</v>
      </c>
      <c r="E981" s="124" t="s">
        <v>1109</v>
      </c>
      <c r="F981" s="113" t="s">
        <v>2333</v>
      </c>
      <c r="G981" s="113" t="s">
        <v>2703</v>
      </c>
      <c r="H981" s="113" t="s">
        <v>56</v>
      </c>
      <c r="I981" s="113" t="s">
        <v>106</v>
      </c>
      <c r="J981" s="118" t="s">
        <v>12</v>
      </c>
      <c r="K981" s="118">
        <v>5</v>
      </c>
      <c r="L981" s="118" t="s">
        <v>6251</v>
      </c>
      <c r="M981" s="115" t="s">
        <v>1109</v>
      </c>
      <c r="N981" s="115" t="s">
        <v>6504</v>
      </c>
      <c r="O981" s="115">
        <v>2</v>
      </c>
      <c r="P981" s="115" t="s">
        <v>1109</v>
      </c>
      <c r="Q981" s="166"/>
      <c r="R981" s="164"/>
      <c r="S981" s="164"/>
      <c r="T981" s="164"/>
      <c r="U981" s="164"/>
      <c r="V981" s="162"/>
      <c r="W981" s="158"/>
      <c r="X981" s="158"/>
      <c r="Y981" s="158"/>
      <c r="Z981" s="158"/>
      <c r="AA981" s="158"/>
      <c r="AB981" s="158"/>
      <c r="AC981" s="113">
        <v>720</v>
      </c>
      <c r="AD981" s="113">
        <v>92</v>
      </c>
      <c r="AE981" s="113">
        <v>170</v>
      </c>
      <c r="AF981" s="113">
        <v>115</v>
      </c>
      <c r="AG981" s="120">
        <v>80</v>
      </c>
      <c r="AH981" s="113">
        <v>115</v>
      </c>
      <c r="AI981" s="113">
        <v>148</v>
      </c>
    </row>
    <row r="982" spans="1:35">
      <c r="A982" s="113">
        <v>889</v>
      </c>
      <c r="B982" s="113" t="s">
        <v>2322</v>
      </c>
      <c r="C982" s="120" t="s">
        <v>6253</v>
      </c>
      <c r="D982" s="124" t="s">
        <v>1109</v>
      </c>
      <c r="E982" s="124" t="s">
        <v>1109</v>
      </c>
      <c r="F982" s="113" t="s">
        <v>2333</v>
      </c>
      <c r="G982" s="113" t="s">
        <v>2703</v>
      </c>
      <c r="H982" s="113" t="s">
        <v>78</v>
      </c>
      <c r="I982" s="113" t="s">
        <v>1109</v>
      </c>
      <c r="J982" s="118" t="s">
        <v>12</v>
      </c>
      <c r="K982" s="118">
        <v>5</v>
      </c>
      <c r="L982" s="118" t="s">
        <v>6253</v>
      </c>
      <c r="M982" s="115" t="s">
        <v>1109</v>
      </c>
      <c r="N982" s="115" t="s">
        <v>6504</v>
      </c>
      <c r="O982" s="115">
        <v>2</v>
      </c>
      <c r="P982" s="115" t="s">
        <v>1109</v>
      </c>
      <c r="Q982" s="166"/>
      <c r="R982" s="164"/>
      <c r="S982" s="164"/>
      <c r="T982" s="164"/>
      <c r="U982" s="164"/>
      <c r="V982" s="162"/>
      <c r="W982" s="158"/>
      <c r="X982" s="158"/>
      <c r="Y982" s="158"/>
      <c r="Z982" s="158"/>
      <c r="AA982" s="158"/>
      <c r="AB982" s="158"/>
      <c r="AC982" s="113">
        <v>670</v>
      </c>
      <c r="AD982" s="113">
        <v>92</v>
      </c>
      <c r="AE982" s="113">
        <v>130</v>
      </c>
      <c r="AF982" s="113">
        <v>115</v>
      </c>
      <c r="AG982" s="120">
        <v>80</v>
      </c>
      <c r="AH982" s="113">
        <v>115</v>
      </c>
      <c r="AI982" s="113">
        <v>138</v>
      </c>
    </row>
    <row r="983" spans="1:35">
      <c r="A983" s="113">
        <v>889</v>
      </c>
      <c r="B983" s="113" t="s">
        <v>2772</v>
      </c>
      <c r="C983" s="120" t="s">
        <v>6254</v>
      </c>
      <c r="D983" s="124" t="s">
        <v>1109</v>
      </c>
      <c r="E983" s="124" t="s">
        <v>1109</v>
      </c>
      <c r="F983" s="113" t="s">
        <v>2333</v>
      </c>
      <c r="G983" s="113" t="s">
        <v>2703</v>
      </c>
      <c r="H983" s="113" t="s">
        <v>78</v>
      </c>
      <c r="I983" s="113" t="s">
        <v>106</v>
      </c>
      <c r="J983" s="118" t="s">
        <v>12</v>
      </c>
      <c r="K983" s="118">
        <v>5</v>
      </c>
      <c r="L983" s="118" t="s">
        <v>6253</v>
      </c>
      <c r="M983" s="115" t="s">
        <v>1109</v>
      </c>
      <c r="N983" s="115" t="s">
        <v>6504</v>
      </c>
      <c r="O983" s="115">
        <v>2</v>
      </c>
      <c r="P983" s="115" t="s">
        <v>1109</v>
      </c>
      <c r="Q983" s="166"/>
      <c r="R983" s="164"/>
      <c r="S983" s="164"/>
      <c r="T983" s="164"/>
      <c r="U983" s="164"/>
      <c r="V983" s="162"/>
      <c r="W983" s="158"/>
      <c r="X983" s="158"/>
      <c r="Y983" s="158"/>
      <c r="Z983" s="158"/>
      <c r="AA983" s="158"/>
      <c r="AB983" s="158"/>
      <c r="AC983" s="113">
        <v>720</v>
      </c>
      <c r="AD983" s="113">
        <v>92</v>
      </c>
      <c r="AE983" s="113">
        <v>130</v>
      </c>
      <c r="AF983" s="113">
        <v>145</v>
      </c>
      <c r="AG983" s="120">
        <v>80</v>
      </c>
      <c r="AH983" s="113">
        <v>145</v>
      </c>
      <c r="AI983" s="113">
        <v>128</v>
      </c>
    </row>
    <row r="984" spans="1:35">
      <c r="A984" s="113">
        <v>890</v>
      </c>
      <c r="B984" s="113" t="s">
        <v>2323</v>
      </c>
      <c r="C984" s="120" t="s">
        <v>6255</v>
      </c>
      <c r="D984" s="124" t="s">
        <v>1109</v>
      </c>
      <c r="E984" s="124" t="s">
        <v>1109</v>
      </c>
      <c r="F984" s="113" t="s">
        <v>2333</v>
      </c>
      <c r="G984" s="113" t="s">
        <v>2703</v>
      </c>
      <c r="H984" s="113" t="s">
        <v>15</v>
      </c>
      <c r="I984" s="113" t="s">
        <v>23</v>
      </c>
      <c r="J984" s="118" t="s">
        <v>12</v>
      </c>
      <c r="K984" s="118">
        <v>5</v>
      </c>
      <c r="L984" s="118" t="s">
        <v>6255</v>
      </c>
      <c r="M984" s="115" t="s">
        <v>1109</v>
      </c>
      <c r="N984" s="115" t="s">
        <v>6504</v>
      </c>
      <c r="O984" s="115">
        <v>2</v>
      </c>
      <c r="P984" s="115" t="s">
        <v>1109</v>
      </c>
      <c r="Q984" s="166"/>
      <c r="R984" s="164"/>
      <c r="S984" s="164"/>
      <c r="T984" s="164"/>
      <c r="U984" s="164"/>
      <c r="V984" s="162"/>
      <c r="W984" s="158"/>
      <c r="X984" s="158"/>
      <c r="Y984" s="158"/>
      <c r="Z984" s="158"/>
      <c r="AA984" s="158"/>
      <c r="AB984" s="158"/>
      <c r="AC984" s="113">
        <v>690</v>
      </c>
      <c r="AD984" s="113">
        <v>140</v>
      </c>
      <c r="AE984" s="113">
        <v>85</v>
      </c>
      <c r="AF984" s="113">
        <v>95</v>
      </c>
      <c r="AG984" s="120">
        <v>145</v>
      </c>
      <c r="AH984" s="113">
        <v>95</v>
      </c>
      <c r="AI984" s="113">
        <v>130</v>
      </c>
    </row>
    <row r="985" spans="1:35">
      <c r="A985" s="113">
        <v>890</v>
      </c>
      <c r="B985" s="113" t="s">
        <v>2773</v>
      </c>
      <c r="C985" s="120" t="s">
        <v>6256</v>
      </c>
      <c r="D985" s="124" t="s">
        <v>1109</v>
      </c>
      <c r="E985" s="124" t="s">
        <v>1109</v>
      </c>
      <c r="F985" s="113" t="s">
        <v>2333</v>
      </c>
      <c r="G985" s="113" t="s">
        <v>2703</v>
      </c>
      <c r="H985" s="113" t="s">
        <v>15</v>
      </c>
      <c r="I985" s="113" t="s">
        <v>23</v>
      </c>
      <c r="J985" s="118" t="s">
        <v>12</v>
      </c>
      <c r="K985" s="118">
        <v>5</v>
      </c>
      <c r="L985" s="118" t="s">
        <v>6255</v>
      </c>
      <c r="M985" s="115" t="s">
        <v>1109</v>
      </c>
      <c r="N985" s="115" t="s">
        <v>6504</v>
      </c>
      <c r="O985" s="115">
        <v>2</v>
      </c>
      <c r="P985" s="115" t="s">
        <v>1109</v>
      </c>
      <c r="Q985" s="166"/>
      <c r="R985" s="164"/>
      <c r="S985" s="164"/>
      <c r="T985" s="164"/>
      <c r="U985" s="164"/>
      <c r="V985" s="162"/>
      <c r="W985" s="158"/>
      <c r="X985" s="158"/>
      <c r="Y985" s="158"/>
      <c r="Z985" s="158"/>
      <c r="AA985" s="158"/>
      <c r="AB985" s="158"/>
      <c r="AC985" s="113">
        <v>1125</v>
      </c>
      <c r="AD985" s="113">
        <v>255</v>
      </c>
      <c r="AE985" s="113">
        <v>115</v>
      </c>
      <c r="AF985" s="113">
        <v>250</v>
      </c>
      <c r="AG985" s="120">
        <v>125</v>
      </c>
      <c r="AH985" s="113">
        <v>250</v>
      </c>
      <c r="AI985" s="113">
        <v>130</v>
      </c>
    </row>
    <row r="986" spans="1:35">
      <c r="A986" s="113">
        <v>891</v>
      </c>
      <c r="B986" s="113" t="s">
        <v>2166</v>
      </c>
      <c r="C986" s="120" t="s">
        <v>6257</v>
      </c>
      <c r="D986" s="124">
        <v>0.85</v>
      </c>
      <c r="E986" s="124">
        <v>0.15</v>
      </c>
      <c r="F986" s="113" t="s">
        <v>2333</v>
      </c>
      <c r="G986" s="113" t="s">
        <v>2703</v>
      </c>
      <c r="H986" s="113" t="s">
        <v>78</v>
      </c>
      <c r="I986" s="113" t="s">
        <v>1109</v>
      </c>
      <c r="J986" s="118" t="s">
        <v>12</v>
      </c>
      <c r="K986" s="118">
        <v>5</v>
      </c>
      <c r="L986" s="118" t="s">
        <v>6257</v>
      </c>
      <c r="M986" s="115" t="s">
        <v>1109</v>
      </c>
      <c r="N986" s="115" t="s">
        <v>6505</v>
      </c>
      <c r="O986" s="115">
        <v>2</v>
      </c>
      <c r="P986" s="115" t="s">
        <v>1109</v>
      </c>
      <c r="Q986" s="166"/>
      <c r="R986" s="164"/>
      <c r="S986" s="164"/>
      <c r="T986" s="164"/>
      <c r="U986" s="164"/>
      <c r="V986" s="162"/>
      <c r="W986" s="158"/>
      <c r="X986" s="158"/>
      <c r="Y986" s="158"/>
      <c r="Z986" s="158"/>
      <c r="AA986" s="158"/>
      <c r="AB986" s="158"/>
      <c r="AC986" s="113">
        <v>385</v>
      </c>
      <c r="AD986" s="113">
        <v>60</v>
      </c>
      <c r="AE986" s="113">
        <v>90</v>
      </c>
      <c r="AF986" s="113">
        <v>60</v>
      </c>
      <c r="AG986" s="120">
        <v>53</v>
      </c>
      <c r="AH986" s="113">
        <v>50</v>
      </c>
      <c r="AI986" s="113">
        <v>72</v>
      </c>
    </row>
    <row r="987" spans="1:35">
      <c r="A987" s="113">
        <v>892</v>
      </c>
      <c r="B987" s="113" t="s">
        <v>2774</v>
      </c>
      <c r="C987" s="120" t="s">
        <v>6259</v>
      </c>
      <c r="D987" s="124">
        <v>0.85</v>
      </c>
      <c r="E987" s="124">
        <v>0.15</v>
      </c>
      <c r="F987" s="113" t="s">
        <v>2333</v>
      </c>
      <c r="G987" s="113" t="s">
        <v>2703</v>
      </c>
      <c r="H987" s="113" t="s">
        <v>78</v>
      </c>
      <c r="I987" s="113" t="s">
        <v>158</v>
      </c>
      <c r="J987" s="118" t="s">
        <v>12</v>
      </c>
      <c r="K987" s="118">
        <v>5</v>
      </c>
      <c r="L987" s="118" t="s">
        <v>6257</v>
      </c>
      <c r="M987" s="115" t="s">
        <v>6257</v>
      </c>
      <c r="N987" s="115" t="s">
        <v>6504</v>
      </c>
      <c r="O987" s="115">
        <v>2</v>
      </c>
      <c r="P987" s="115" t="s">
        <v>2130</v>
      </c>
      <c r="Q987" s="166"/>
      <c r="R987" s="164"/>
      <c r="S987" s="164"/>
      <c r="T987" s="164"/>
      <c r="U987" s="164"/>
      <c r="V987" s="162"/>
      <c r="W987" s="158"/>
      <c r="X987" s="158"/>
      <c r="Y987" s="158"/>
      <c r="Z987" s="158"/>
      <c r="AA987" s="158"/>
      <c r="AB987" s="158"/>
      <c r="AC987" s="113">
        <v>550</v>
      </c>
      <c r="AD987" s="113">
        <v>100</v>
      </c>
      <c r="AE987" s="113">
        <v>130</v>
      </c>
      <c r="AF987" s="113">
        <v>100</v>
      </c>
      <c r="AG987" s="120">
        <v>63</v>
      </c>
      <c r="AH987" s="113">
        <v>60</v>
      </c>
      <c r="AI987" s="113">
        <v>97</v>
      </c>
    </row>
    <row r="988" spans="1:35">
      <c r="A988" s="113">
        <v>892</v>
      </c>
      <c r="B988" s="113" t="s">
        <v>2775</v>
      </c>
      <c r="C988" s="120" t="s">
        <v>6258</v>
      </c>
      <c r="D988" s="124">
        <v>0.85</v>
      </c>
      <c r="E988" s="124">
        <v>0.15</v>
      </c>
      <c r="F988" s="113" t="s">
        <v>2333</v>
      </c>
      <c r="G988" s="113" t="s">
        <v>2703</v>
      </c>
      <c r="H988" s="113" t="s">
        <v>78</v>
      </c>
      <c r="I988" s="113" t="s">
        <v>25</v>
      </c>
      <c r="J988" s="118" t="s">
        <v>12</v>
      </c>
      <c r="K988" s="118">
        <v>5</v>
      </c>
      <c r="L988" s="118" t="s">
        <v>6257</v>
      </c>
      <c r="M988" s="115" t="s">
        <v>6257</v>
      </c>
      <c r="N988" s="115" t="s">
        <v>6504</v>
      </c>
      <c r="O988" s="115">
        <v>2</v>
      </c>
      <c r="P988" s="115" t="s">
        <v>2130</v>
      </c>
      <c r="Q988" s="166"/>
      <c r="R988" s="164"/>
      <c r="S988" s="164"/>
      <c r="T988" s="164"/>
      <c r="U988" s="164"/>
      <c r="V988" s="162"/>
      <c r="W988" s="158"/>
      <c r="X988" s="158"/>
      <c r="Y988" s="158"/>
      <c r="Z988" s="158"/>
      <c r="AA988" s="158"/>
      <c r="AB988" s="158"/>
      <c r="AC988" s="113">
        <v>550</v>
      </c>
      <c r="AD988" s="113">
        <v>100</v>
      </c>
      <c r="AE988" s="113">
        <v>130</v>
      </c>
      <c r="AF988" s="113">
        <v>100</v>
      </c>
      <c r="AG988" s="120">
        <v>63</v>
      </c>
      <c r="AH988" s="113">
        <v>60</v>
      </c>
      <c r="AI988" s="113">
        <v>97</v>
      </c>
    </row>
    <row r="989" spans="1:35">
      <c r="A989" s="113">
        <v>893</v>
      </c>
      <c r="B989" s="113" t="s">
        <v>2324</v>
      </c>
      <c r="C989" s="120" t="s">
        <v>6260</v>
      </c>
      <c r="D989" s="124" t="s">
        <v>1109</v>
      </c>
      <c r="E989" s="124" t="s">
        <v>1109</v>
      </c>
      <c r="F989" s="113" t="s">
        <v>2333</v>
      </c>
      <c r="G989" s="113" t="s">
        <v>2703</v>
      </c>
      <c r="H989" s="113" t="s">
        <v>158</v>
      </c>
      <c r="I989" s="113" t="s">
        <v>14</v>
      </c>
      <c r="J989" s="118" t="s">
        <v>12</v>
      </c>
      <c r="K989" s="118">
        <v>5</v>
      </c>
      <c r="L989" s="118" t="s">
        <v>6260</v>
      </c>
      <c r="M989" s="115" t="s">
        <v>1109</v>
      </c>
      <c r="N989" s="115" t="s">
        <v>6504</v>
      </c>
      <c r="O989" s="115">
        <v>2</v>
      </c>
      <c r="P989" s="115" t="s">
        <v>1109</v>
      </c>
      <c r="Q989" s="166"/>
      <c r="R989" s="164"/>
      <c r="S989" s="164"/>
      <c r="T989" s="164"/>
      <c r="U989" s="164"/>
      <c r="V989" s="162"/>
      <c r="W989" s="158"/>
      <c r="X989" s="158"/>
      <c r="Y989" s="158"/>
      <c r="Z989" s="158"/>
      <c r="AA989" s="158"/>
      <c r="AB989" s="158"/>
      <c r="AC989" s="113">
        <v>600</v>
      </c>
      <c r="AD989" s="113">
        <v>105</v>
      </c>
      <c r="AE989" s="113">
        <v>120</v>
      </c>
      <c r="AF989" s="113">
        <v>105</v>
      </c>
      <c r="AG989" s="120">
        <v>70</v>
      </c>
      <c r="AH989" s="113">
        <v>95</v>
      </c>
      <c r="AI989" s="113">
        <v>105</v>
      </c>
    </row>
    <row r="990" spans="1:35">
      <c r="A990" s="113">
        <v>894</v>
      </c>
      <c r="B990" s="113" t="s">
        <v>2325</v>
      </c>
      <c r="C990" s="120" t="s">
        <v>6261</v>
      </c>
      <c r="D990" s="124" t="s">
        <v>1109</v>
      </c>
      <c r="E990" s="124" t="s">
        <v>1109</v>
      </c>
      <c r="F990" s="113" t="s">
        <v>2333</v>
      </c>
      <c r="G990" s="113" t="s">
        <v>2703</v>
      </c>
      <c r="H990" s="113" t="s">
        <v>46</v>
      </c>
      <c r="I990" s="113" t="s">
        <v>1109</v>
      </c>
      <c r="J990" s="118" t="s">
        <v>12</v>
      </c>
      <c r="K990" s="118">
        <v>5</v>
      </c>
      <c r="L990" s="118" t="s">
        <v>6261</v>
      </c>
      <c r="M990" s="115" t="s">
        <v>1109</v>
      </c>
      <c r="N990" s="115" t="s">
        <v>6504</v>
      </c>
      <c r="O990" s="115">
        <v>2</v>
      </c>
      <c r="P990" s="115" t="s">
        <v>1109</v>
      </c>
      <c r="Q990" s="166"/>
      <c r="R990" s="164"/>
      <c r="S990" s="164"/>
      <c r="T990" s="164"/>
      <c r="U990" s="164"/>
      <c r="V990" s="162"/>
      <c r="W990" s="158"/>
      <c r="X990" s="158"/>
      <c r="Y990" s="158"/>
      <c r="Z990" s="158"/>
      <c r="AA990" s="158"/>
      <c r="AB990" s="158"/>
      <c r="AC990" s="113">
        <v>580</v>
      </c>
      <c r="AD990" s="113">
        <v>80</v>
      </c>
      <c r="AE990" s="113">
        <v>100</v>
      </c>
      <c r="AF990" s="113">
        <v>50</v>
      </c>
      <c r="AG990" s="120">
        <v>100</v>
      </c>
      <c r="AH990" s="113">
        <v>50</v>
      </c>
      <c r="AI990" s="113">
        <v>200</v>
      </c>
    </row>
    <row r="991" spans="1:35">
      <c r="A991" s="113">
        <v>895</v>
      </c>
      <c r="B991" s="113" t="s">
        <v>2326</v>
      </c>
      <c r="C991" s="120" t="s">
        <v>6262</v>
      </c>
      <c r="D991" s="124" t="s">
        <v>1109</v>
      </c>
      <c r="E991" s="124" t="s">
        <v>1109</v>
      </c>
      <c r="F991" s="113" t="s">
        <v>2333</v>
      </c>
      <c r="G991" s="113" t="s">
        <v>2703</v>
      </c>
      <c r="H991" s="113" t="s">
        <v>23</v>
      </c>
      <c r="I991" s="113" t="s">
        <v>1109</v>
      </c>
      <c r="J991" s="118" t="s">
        <v>12</v>
      </c>
      <c r="K991" s="118">
        <v>5</v>
      </c>
      <c r="L991" s="118" t="s">
        <v>6262</v>
      </c>
      <c r="M991" s="115" t="s">
        <v>1109</v>
      </c>
      <c r="N991" s="115" t="s">
        <v>6504</v>
      </c>
      <c r="O991" s="115">
        <v>2</v>
      </c>
      <c r="P991" s="115" t="s">
        <v>1109</v>
      </c>
      <c r="Q991" s="166"/>
      <c r="R991" s="164"/>
      <c r="S991" s="164"/>
      <c r="T991" s="164"/>
      <c r="U991" s="164"/>
      <c r="V991" s="162"/>
      <c r="W991" s="158"/>
      <c r="X991" s="158"/>
      <c r="Y991" s="158"/>
      <c r="Z991" s="158"/>
      <c r="AA991" s="158"/>
      <c r="AB991" s="158"/>
      <c r="AC991" s="113">
        <v>580</v>
      </c>
      <c r="AD991" s="113">
        <v>200</v>
      </c>
      <c r="AE991" s="113">
        <v>100</v>
      </c>
      <c r="AF991" s="113">
        <v>50</v>
      </c>
      <c r="AG991" s="120">
        <v>100</v>
      </c>
      <c r="AH991" s="113">
        <v>50</v>
      </c>
      <c r="AI991" s="113">
        <v>80</v>
      </c>
    </row>
    <row r="992" spans="1:35">
      <c r="A992" s="113">
        <v>896</v>
      </c>
      <c r="B992" s="113" t="s">
        <v>2327</v>
      </c>
      <c r="C992" s="120" t="s">
        <v>6263</v>
      </c>
      <c r="D992" s="124" t="s">
        <v>1109</v>
      </c>
      <c r="E992" s="124" t="s">
        <v>1109</v>
      </c>
      <c r="F992" s="113" t="s">
        <v>2333</v>
      </c>
      <c r="G992" s="113" t="s">
        <v>2703</v>
      </c>
      <c r="H992" s="113" t="s">
        <v>113</v>
      </c>
      <c r="I992" s="113" t="s">
        <v>1109</v>
      </c>
      <c r="J992" s="118" t="s">
        <v>12</v>
      </c>
      <c r="K992" s="118">
        <v>5</v>
      </c>
      <c r="L992" s="118" t="s">
        <v>6263</v>
      </c>
      <c r="M992" s="115" t="s">
        <v>1109</v>
      </c>
      <c r="N992" s="115" t="s">
        <v>6504</v>
      </c>
      <c r="O992" s="115">
        <v>2</v>
      </c>
      <c r="P992" s="115" t="s">
        <v>1109</v>
      </c>
      <c r="Q992" s="166"/>
      <c r="R992" s="164"/>
      <c r="S992" s="164"/>
      <c r="T992" s="164"/>
      <c r="U992" s="164"/>
      <c r="V992" s="162"/>
      <c r="W992" s="158"/>
      <c r="X992" s="158"/>
      <c r="Y992" s="158"/>
      <c r="Z992" s="158"/>
      <c r="AA992" s="158"/>
      <c r="AB992" s="158"/>
      <c r="AC992" s="113">
        <v>580</v>
      </c>
      <c r="AD992" s="113">
        <v>100</v>
      </c>
      <c r="AE992" s="113">
        <v>145</v>
      </c>
      <c r="AF992" s="113">
        <v>130</v>
      </c>
      <c r="AG992" s="120">
        <v>65</v>
      </c>
      <c r="AH992" s="113">
        <v>110</v>
      </c>
      <c r="AI992" s="113">
        <v>30</v>
      </c>
    </row>
    <row r="993" spans="1:35">
      <c r="A993" s="113">
        <v>897</v>
      </c>
      <c r="B993" s="113" t="s">
        <v>2328</v>
      </c>
      <c r="C993" s="120" t="s">
        <v>6264</v>
      </c>
      <c r="D993" s="124" t="s">
        <v>1109</v>
      </c>
      <c r="E993" s="124" t="s">
        <v>1109</v>
      </c>
      <c r="F993" s="113" t="s">
        <v>2333</v>
      </c>
      <c r="G993" s="113" t="s">
        <v>2703</v>
      </c>
      <c r="H993" s="113" t="s">
        <v>119</v>
      </c>
      <c r="I993" s="113" t="s">
        <v>1109</v>
      </c>
      <c r="J993" s="118" t="s">
        <v>12</v>
      </c>
      <c r="K993" s="118">
        <v>5</v>
      </c>
      <c r="L993" s="118" t="s">
        <v>6264</v>
      </c>
      <c r="M993" s="115" t="s">
        <v>1109</v>
      </c>
      <c r="N993" s="115" t="s">
        <v>6504</v>
      </c>
      <c r="O993" s="115">
        <v>2</v>
      </c>
      <c r="P993" s="115" t="s">
        <v>1109</v>
      </c>
      <c r="Q993" s="166"/>
      <c r="R993" s="164"/>
      <c r="S993" s="164"/>
      <c r="T993" s="164"/>
      <c r="U993" s="164"/>
      <c r="V993" s="162"/>
      <c r="W993" s="158"/>
      <c r="X993" s="158"/>
      <c r="Y993" s="158"/>
      <c r="Z993" s="158"/>
      <c r="AA993" s="158"/>
      <c r="AB993" s="158"/>
      <c r="AC993" s="113">
        <v>580</v>
      </c>
      <c r="AD993" s="113">
        <v>100</v>
      </c>
      <c r="AE993" s="113">
        <v>65</v>
      </c>
      <c r="AF993" s="113">
        <v>60</v>
      </c>
      <c r="AG993" s="120">
        <v>145</v>
      </c>
      <c r="AH993" s="113">
        <v>80</v>
      </c>
      <c r="AI993" s="113">
        <v>130</v>
      </c>
    </row>
    <row r="994" spans="1:35">
      <c r="A994" s="113">
        <v>898</v>
      </c>
      <c r="B994" s="113" t="s">
        <v>2329</v>
      </c>
      <c r="C994" s="120" t="s">
        <v>6265</v>
      </c>
      <c r="D994" s="124" t="s">
        <v>1109</v>
      </c>
      <c r="E994" s="124" t="s">
        <v>1109</v>
      </c>
      <c r="F994" s="113" t="s">
        <v>2333</v>
      </c>
      <c r="G994" s="113" t="s">
        <v>2703</v>
      </c>
      <c r="H994" s="113" t="s">
        <v>86</v>
      </c>
      <c r="I994" s="113" t="s">
        <v>14</v>
      </c>
      <c r="J994" s="118" t="s">
        <v>12</v>
      </c>
      <c r="K994" s="118">
        <v>5</v>
      </c>
      <c r="L994" s="118" t="s">
        <v>6265</v>
      </c>
      <c r="M994" s="115" t="s">
        <v>1109</v>
      </c>
      <c r="N994" s="115" t="s">
        <v>6504</v>
      </c>
      <c r="O994" s="115">
        <v>2</v>
      </c>
      <c r="P994" s="115" t="s">
        <v>1109</v>
      </c>
      <c r="Q994" s="166"/>
      <c r="R994" s="164"/>
      <c r="S994" s="164"/>
      <c r="T994" s="164"/>
      <c r="U994" s="164"/>
      <c r="V994" s="162"/>
      <c r="W994" s="158"/>
      <c r="X994" s="158"/>
      <c r="Y994" s="158"/>
      <c r="Z994" s="158"/>
      <c r="AA994" s="158"/>
      <c r="AB994" s="158"/>
      <c r="AC994" s="113">
        <v>500</v>
      </c>
      <c r="AD994" s="113">
        <v>100</v>
      </c>
      <c r="AE994" s="113">
        <v>80</v>
      </c>
      <c r="AF994" s="113">
        <v>80</v>
      </c>
      <c r="AG994" s="120">
        <v>80</v>
      </c>
      <c r="AH994" s="113">
        <v>80</v>
      </c>
      <c r="AI994" s="113">
        <v>80</v>
      </c>
    </row>
    <row r="995" spans="1:35">
      <c r="A995" s="113">
        <v>898</v>
      </c>
      <c r="B995" s="113" t="s">
        <v>2776</v>
      </c>
      <c r="C995" s="120" t="s">
        <v>6266</v>
      </c>
      <c r="D995" s="124" t="s">
        <v>1109</v>
      </c>
      <c r="E995" s="124" t="s">
        <v>1109</v>
      </c>
      <c r="F995" s="113" t="s">
        <v>2333</v>
      </c>
      <c r="G995" s="113" t="s">
        <v>2703</v>
      </c>
      <c r="H995" s="113" t="s">
        <v>86</v>
      </c>
      <c r="I995" s="113" t="s">
        <v>113</v>
      </c>
      <c r="J995" s="118" t="s">
        <v>12</v>
      </c>
      <c r="K995" s="118">
        <v>5</v>
      </c>
      <c r="L995" s="118" t="s">
        <v>6265</v>
      </c>
      <c r="M995" s="115" t="s">
        <v>1109</v>
      </c>
      <c r="N995" s="115" t="s">
        <v>6504</v>
      </c>
      <c r="O995" s="115">
        <v>2</v>
      </c>
      <c r="P995" s="115" t="s">
        <v>1109</v>
      </c>
      <c r="Q995" s="166"/>
      <c r="R995" s="164"/>
      <c r="S995" s="164"/>
      <c r="T995" s="164"/>
      <c r="U995" s="164"/>
      <c r="V995" s="162"/>
      <c r="W995" s="158"/>
      <c r="X995" s="158"/>
      <c r="Y995" s="158"/>
      <c r="Z995" s="158"/>
      <c r="AA995" s="158"/>
      <c r="AB995" s="158"/>
      <c r="AC995" s="113">
        <v>680</v>
      </c>
      <c r="AD995" s="113">
        <v>100</v>
      </c>
      <c r="AE995" s="113">
        <v>165</v>
      </c>
      <c r="AF995" s="113">
        <v>150</v>
      </c>
      <c r="AG995" s="120">
        <v>85</v>
      </c>
      <c r="AH995" s="113">
        <v>130</v>
      </c>
      <c r="AI995" s="113">
        <v>50</v>
      </c>
    </row>
    <row r="996" spans="1:35">
      <c r="A996" s="113">
        <v>898</v>
      </c>
      <c r="B996" s="113" t="s">
        <v>2777</v>
      </c>
      <c r="C996" s="120" t="s">
        <v>6267</v>
      </c>
      <c r="D996" s="124" t="s">
        <v>1109</v>
      </c>
      <c r="E996" s="124" t="s">
        <v>1109</v>
      </c>
      <c r="F996" s="113" t="s">
        <v>2333</v>
      </c>
      <c r="G996" s="113" t="s">
        <v>2703</v>
      </c>
      <c r="H996" s="113" t="s">
        <v>86</v>
      </c>
      <c r="I996" s="113" t="s">
        <v>119</v>
      </c>
      <c r="J996" s="118" t="s">
        <v>12</v>
      </c>
      <c r="K996" s="118">
        <v>5</v>
      </c>
      <c r="L996" s="118" t="s">
        <v>6265</v>
      </c>
      <c r="M996" s="115" t="s">
        <v>1109</v>
      </c>
      <c r="N996" s="115" t="s">
        <v>6504</v>
      </c>
      <c r="O996" s="115">
        <v>2</v>
      </c>
      <c r="P996" s="115" t="s">
        <v>1109</v>
      </c>
      <c r="Q996" s="166"/>
      <c r="R996" s="164"/>
      <c r="S996" s="164"/>
      <c r="T996" s="164"/>
      <c r="U996" s="164"/>
      <c r="V996" s="162"/>
      <c r="W996" s="158"/>
      <c r="X996" s="158"/>
      <c r="Y996" s="158"/>
      <c r="Z996" s="158"/>
      <c r="AA996" s="158"/>
      <c r="AB996" s="158"/>
      <c r="AC996" s="113">
        <v>680</v>
      </c>
      <c r="AD996" s="113">
        <v>100</v>
      </c>
      <c r="AE996" s="113">
        <v>85</v>
      </c>
      <c r="AF996" s="113">
        <v>80</v>
      </c>
      <c r="AG996" s="120">
        <v>165</v>
      </c>
      <c r="AH996" s="113">
        <v>100</v>
      </c>
      <c r="AI996" s="113">
        <v>150</v>
      </c>
    </row>
    <row r="997" spans="1:35">
      <c r="A997" s="113">
        <v>899</v>
      </c>
      <c r="B997" s="113" t="s">
        <v>2338</v>
      </c>
      <c r="C997" s="120" t="s">
        <v>6268</v>
      </c>
      <c r="D997" s="124">
        <v>0.5</v>
      </c>
      <c r="E997" s="124">
        <v>0.5</v>
      </c>
      <c r="F997" s="113" t="s">
        <v>2332</v>
      </c>
      <c r="G997" s="113" t="s">
        <v>4319</v>
      </c>
      <c r="H997" s="113" t="s">
        <v>36</v>
      </c>
      <c r="I997" s="113" t="s">
        <v>86</v>
      </c>
      <c r="J997" s="118" t="s">
        <v>2129</v>
      </c>
      <c r="K997" s="118">
        <v>3</v>
      </c>
      <c r="L997" s="118" t="s">
        <v>5505</v>
      </c>
      <c r="M997" s="115" t="s">
        <v>5505</v>
      </c>
      <c r="N997" s="115" t="s">
        <v>6504</v>
      </c>
      <c r="O997" s="115">
        <v>1.5</v>
      </c>
      <c r="P997" s="115" t="s">
        <v>2128</v>
      </c>
      <c r="Q997" s="166"/>
      <c r="R997" s="164"/>
      <c r="S997" s="164"/>
      <c r="T997" s="164"/>
      <c r="U997" s="164"/>
      <c r="V997" s="162"/>
      <c r="W997" s="158"/>
      <c r="X997" s="158"/>
      <c r="Y997" s="158"/>
      <c r="Z997" s="158"/>
      <c r="AA997" s="158"/>
      <c r="AB997" s="158"/>
      <c r="AC997" s="113">
        <v>525</v>
      </c>
      <c r="AD997" s="113">
        <v>103</v>
      </c>
      <c r="AE997" s="113">
        <v>105</v>
      </c>
      <c r="AF997" s="113">
        <v>72</v>
      </c>
      <c r="AG997" s="120">
        <v>105</v>
      </c>
      <c r="AH997" s="113">
        <v>75</v>
      </c>
      <c r="AI997" s="113">
        <v>65</v>
      </c>
    </row>
    <row r="998" spans="1:35">
      <c r="A998" s="113">
        <v>900</v>
      </c>
      <c r="B998" s="113" t="s">
        <v>2339</v>
      </c>
      <c r="C998" s="120" t="s">
        <v>6269</v>
      </c>
      <c r="D998" s="124">
        <v>0.5</v>
      </c>
      <c r="E998" s="124">
        <v>0.5</v>
      </c>
      <c r="F998" s="113" t="s">
        <v>29</v>
      </c>
      <c r="G998" s="113" t="s">
        <v>4319</v>
      </c>
      <c r="H998" s="113" t="s">
        <v>29</v>
      </c>
      <c r="I998" s="113" t="s">
        <v>98</v>
      </c>
      <c r="J998" s="118" t="s">
        <v>2129</v>
      </c>
      <c r="K998" s="118">
        <v>3</v>
      </c>
      <c r="L998" s="118" t="s">
        <v>5373</v>
      </c>
      <c r="M998" s="115" t="s">
        <v>5373</v>
      </c>
      <c r="N998" s="115" t="s">
        <v>6504</v>
      </c>
      <c r="O998" s="115">
        <v>1.5</v>
      </c>
      <c r="P998" s="115" t="s">
        <v>2130</v>
      </c>
      <c r="Q998" s="166"/>
      <c r="R998" s="164"/>
      <c r="S998" s="164"/>
      <c r="T998" s="164"/>
      <c r="U998" s="164"/>
      <c r="V998" s="162"/>
      <c r="W998" s="158"/>
      <c r="X998" s="158"/>
      <c r="Y998" s="158"/>
      <c r="Z998" s="158"/>
      <c r="AA998" s="158"/>
      <c r="AB998" s="158"/>
      <c r="AC998" s="113">
        <v>500</v>
      </c>
      <c r="AD998" s="113">
        <v>70</v>
      </c>
      <c r="AE998" s="113">
        <v>135</v>
      </c>
      <c r="AF998" s="113">
        <v>95</v>
      </c>
      <c r="AG998" s="120">
        <v>45</v>
      </c>
      <c r="AH998" s="113">
        <v>70</v>
      </c>
      <c r="AI998" s="113">
        <v>85</v>
      </c>
    </row>
    <row r="999" spans="1:35">
      <c r="A999" s="113">
        <v>901</v>
      </c>
      <c r="B999" s="113" t="s">
        <v>2340</v>
      </c>
      <c r="C999" s="120" t="s">
        <v>6270</v>
      </c>
      <c r="D999" s="124">
        <v>0.5</v>
      </c>
      <c r="E999" s="124">
        <v>0.5</v>
      </c>
      <c r="F999" s="113" t="s">
        <v>2332</v>
      </c>
      <c r="G999" s="113" t="s">
        <v>4319</v>
      </c>
      <c r="H999" s="113" t="s">
        <v>49</v>
      </c>
      <c r="I999" s="113" t="s">
        <v>36</v>
      </c>
      <c r="J999" s="118" t="s">
        <v>2129</v>
      </c>
      <c r="K999" s="118">
        <v>2</v>
      </c>
      <c r="L999" s="118" t="s">
        <v>5485</v>
      </c>
      <c r="M999" s="115" t="s">
        <v>5486</v>
      </c>
      <c r="N999" s="115" t="s">
        <v>6504</v>
      </c>
      <c r="O999" s="115">
        <v>1.25</v>
      </c>
      <c r="P999" s="115" t="s">
        <v>2130</v>
      </c>
      <c r="Q999" s="166"/>
      <c r="R999" s="164"/>
      <c r="S999" s="164"/>
      <c r="T999" s="164"/>
      <c r="U999" s="164"/>
      <c r="V999" s="162"/>
      <c r="W999" s="158"/>
      <c r="X999" s="158"/>
      <c r="Y999" s="158"/>
      <c r="Z999" s="158"/>
      <c r="AA999" s="158"/>
      <c r="AB999" s="158"/>
      <c r="AC999" s="113">
        <v>550</v>
      </c>
      <c r="AD999" s="113">
        <v>130</v>
      </c>
      <c r="AE999" s="113">
        <v>140</v>
      </c>
      <c r="AF999" s="113">
        <v>105</v>
      </c>
      <c r="AG999" s="120">
        <v>45</v>
      </c>
      <c r="AH999" s="113">
        <v>80</v>
      </c>
      <c r="AI999" s="113">
        <v>50</v>
      </c>
    </row>
    <row r="1000" spans="1:35">
      <c r="A1000" s="113">
        <v>902</v>
      </c>
      <c r="B1000" s="113" t="s">
        <v>2778</v>
      </c>
      <c r="C1000" s="120" t="s">
        <v>6272</v>
      </c>
      <c r="D1000" s="124">
        <v>0.5</v>
      </c>
      <c r="E1000" s="124">
        <v>0.5</v>
      </c>
      <c r="F1000" s="113" t="s">
        <v>2337</v>
      </c>
      <c r="G1000" s="113" t="s">
        <v>4319</v>
      </c>
      <c r="H1000" s="113" t="s">
        <v>25</v>
      </c>
      <c r="I1000" s="113" t="s">
        <v>119</v>
      </c>
      <c r="J1000" s="118" t="s">
        <v>2129</v>
      </c>
      <c r="K1000" s="118">
        <v>2</v>
      </c>
      <c r="L1000" s="118" t="s">
        <v>5868</v>
      </c>
      <c r="M1000" s="115" t="s">
        <v>5868</v>
      </c>
      <c r="N1000" s="115" t="s">
        <v>6504</v>
      </c>
      <c r="O1000" s="115">
        <v>1.25</v>
      </c>
      <c r="P1000" s="115" t="s">
        <v>2128</v>
      </c>
      <c r="Q1000" s="166"/>
      <c r="R1000" s="164"/>
      <c r="S1000" s="164"/>
      <c r="T1000" s="164"/>
      <c r="U1000" s="164"/>
      <c r="V1000" s="162"/>
      <c r="W1000" s="158"/>
      <c r="X1000" s="158"/>
      <c r="Y1000" s="158"/>
      <c r="Z1000" s="158"/>
      <c r="AA1000" s="158"/>
      <c r="AB1000" s="158"/>
      <c r="AC1000" s="113">
        <v>530</v>
      </c>
      <c r="AD1000" s="113">
        <v>120</v>
      </c>
      <c r="AE1000" s="113">
        <v>112</v>
      </c>
      <c r="AF1000" s="113">
        <v>65</v>
      </c>
      <c r="AG1000" s="120">
        <v>80</v>
      </c>
      <c r="AH1000" s="113">
        <v>75</v>
      </c>
      <c r="AI1000" s="113">
        <v>78</v>
      </c>
    </row>
    <row r="1001" spans="1:35">
      <c r="A1001" s="113">
        <v>902</v>
      </c>
      <c r="B1001" s="113" t="s">
        <v>2779</v>
      </c>
      <c r="C1001" s="120" t="s">
        <v>6271</v>
      </c>
      <c r="D1001" s="124">
        <v>0.5</v>
      </c>
      <c r="E1001" s="124">
        <v>0.5</v>
      </c>
      <c r="F1001" s="113" t="s">
        <v>2337</v>
      </c>
      <c r="G1001" s="113" t="s">
        <v>4319</v>
      </c>
      <c r="H1001" s="113" t="s">
        <v>25</v>
      </c>
      <c r="I1001" s="113" t="s">
        <v>119</v>
      </c>
      <c r="J1001" s="118" t="s">
        <v>2129</v>
      </c>
      <c r="K1001" s="118">
        <v>2</v>
      </c>
      <c r="L1001" s="118" t="s">
        <v>5868</v>
      </c>
      <c r="M1001" s="115" t="s">
        <v>5868</v>
      </c>
      <c r="N1001" s="115" t="s">
        <v>6504</v>
      </c>
      <c r="O1001" s="115">
        <v>1.25</v>
      </c>
      <c r="P1001" s="115" t="s">
        <v>2128</v>
      </c>
      <c r="Q1001" s="166"/>
      <c r="R1001" s="164"/>
      <c r="S1001" s="164"/>
      <c r="T1001" s="164"/>
      <c r="U1001" s="164"/>
      <c r="V1001" s="162"/>
      <c r="W1001" s="158"/>
      <c r="X1001" s="158"/>
      <c r="Y1001" s="158"/>
      <c r="Z1001" s="158"/>
      <c r="AA1001" s="158"/>
      <c r="AB1001" s="158"/>
      <c r="AC1001" s="113">
        <v>530</v>
      </c>
      <c r="AD1001" s="113">
        <v>120</v>
      </c>
      <c r="AE1001" s="113">
        <v>92</v>
      </c>
      <c r="AF1001" s="113">
        <v>65</v>
      </c>
      <c r="AG1001" s="120">
        <v>100</v>
      </c>
      <c r="AH1001" s="113">
        <v>75</v>
      </c>
      <c r="AI1001" s="113">
        <v>78</v>
      </c>
    </row>
    <row r="1002" spans="1:35">
      <c r="A1002" s="113">
        <v>903</v>
      </c>
      <c r="B1002" s="113" t="s">
        <v>2342</v>
      </c>
      <c r="C1002" s="120" t="s">
        <v>6273</v>
      </c>
      <c r="D1002" s="124">
        <v>0.5</v>
      </c>
      <c r="E1002" s="124">
        <v>0.5</v>
      </c>
      <c r="F1002" s="113" t="s">
        <v>2332</v>
      </c>
      <c r="G1002" s="113" t="s">
        <v>4319</v>
      </c>
      <c r="H1002" s="113" t="s">
        <v>78</v>
      </c>
      <c r="I1002" s="113" t="s">
        <v>15</v>
      </c>
      <c r="J1002" s="118" t="s">
        <v>2129</v>
      </c>
      <c r="K1002" s="118">
        <v>2</v>
      </c>
      <c r="L1002" s="118" t="s">
        <v>5483</v>
      </c>
      <c r="M1002" s="115" t="s">
        <v>5484</v>
      </c>
      <c r="N1002" s="115" t="s">
        <v>6504</v>
      </c>
      <c r="O1002" s="115">
        <v>1.25</v>
      </c>
      <c r="P1002" s="115" t="s">
        <v>2130</v>
      </c>
      <c r="Q1002" s="166"/>
      <c r="R1002" s="164"/>
      <c r="S1002" s="164"/>
      <c r="T1002" s="164"/>
      <c r="U1002" s="164"/>
      <c r="V1002" s="162"/>
      <c r="W1002" s="158"/>
      <c r="X1002" s="158"/>
      <c r="Y1002" s="158"/>
      <c r="Z1002" s="158"/>
      <c r="AA1002" s="158"/>
      <c r="AB1002" s="158"/>
      <c r="AC1002" s="113">
        <v>510</v>
      </c>
      <c r="AD1002" s="113">
        <v>80</v>
      </c>
      <c r="AE1002" s="113">
        <v>130</v>
      </c>
      <c r="AF1002" s="113">
        <v>60</v>
      </c>
      <c r="AG1002" s="120">
        <v>40</v>
      </c>
      <c r="AH1002" s="113">
        <v>80</v>
      </c>
      <c r="AI1002" s="113">
        <v>120</v>
      </c>
    </row>
    <row r="1003" spans="1:35">
      <c r="A1003" s="113">
        <v>904</v>
      </c>
      <c r="B1003" s="113" t="s">
        <v>2343</v>
      </c>
      <c r="C1003" s="120" t="s">
        <v>6274</v>
      </c>
      <c r="D1003" s="124">
        <v>0.5</v>
      </c>
      <c r="E1003" s="124">
        <v>0.5</v>
      </c>
      <c r="F1003" s="113" t="s">
        <v>2337</v>
      </c>
      <c r="G1003" s="113" t="s">
        <v>4319</v>
      </c>
      <c r="H1003" s="113" t="s">
        <v>158</v>
      </c>
      <c r="I1003" s="113" t="s">
        <v>15</v>
      </c>
      <c r="J1003" s="118" t="s">
        <v>2129</v>
      </c>
      <c r="K1003" s="118">
        <v>2</v>
      </c>
      <c r="L1003" s="118" t="s">
        <v>5476</v>
      </c>
      <c r="M1003" s="115" t="s">
        <v>5477</v>
      </c>
      <c r="N1003" s="115" t="s">
        <v>6504</v>
      </c>
      <c r="O1003" s="115">
        <v>1.25</v>
      </c>
      <c r="P1003" s="115" t="s">
        <v>2128</v>
      </c>
      <c r="Q1003" s="166"/>
      <c r="R1003" s="164"/>
      <c r="S1003" s="164"/>
      <c r="T1003" s="164"/>
      <c r="U1003" s="164"/>
      <c r="V1003" s="162"/>
      <c r="W1003" s="158"/>
      <c r="X1003" s="158"/>
      <c r="Y1003" s="158"/>
      <c r="Z1003" s="158"/>
      <c r="AA1003" s="158"/>
      <c r="AB1003" s="158"/>
      <c r="AC1003" s="113">
        <v>510</v>
      </c>
      <c r="AD1003" s="113">
        <v>85</v>
      </c>
      <c r="AE1003" s="113">
        <v>115</v>
      </c>
      <c r="AF1003" s="113">
        <v>95</v>
      </c>
      <c r="AG1003" s="120">
        <v>65</v>
      </c>
      <c r="AH1003" s="113">
        <v>65</v>
      </c>
      <c r="AI1003" s="113">
        <v>85</v>
      </c>
    </row>
    <row r="1004" spans="1:35">
      <c r="A1004" s="113">
        <v>905</v>
      </c>
      <c r="B1004" s="113" t="s">
        <v>2780</v>
      </c>
      <c r="C1004" s="120" t="s">
        <v>6275</v>
      </c>
      <c r="D1004" s="124">
        <v>0</v>
      </c>
      <c r="E1004" s="124">
        <v>1</v>
      </c>
      <c r="F1004" s="113" t="s">
        <v>2333</v>
      </c>
      <c r="G1004" s="113" t="s">
        <v>4319</v>
      </c>
      <c r="H1004" s="113" t="s">
        <v>56</v>
      </c>
      <c r="I1004" s="113" t="s">
        <v>22</v>
      </c>
      <c r="J1004" s="118" t="s">
        <v>12</v>
      </c>
      <c r="K1004" s="118">
        <v>5</v>
      </c>
      <c r="L1004" s="118" t="s">
        <v>6275</v>
      </c>
      <c r="M1004" s="115" t="s">
        <v>1109</v>
      </c>
      <c r="N1004" s="115" t="s">
        <v>6504</v>
      </c>
      <c r="O1004" s="115">
        <v>2</v>
      </c>
      <c r="P1004" s="115" t="s">
        <v>1109</v>
      </c>
      <c r="Q1004" s="166"/>
      <c r="R1004" s="164"/>
      <c r="S1004" s="164"/>
      <c r="T1004" s="164"/>
      <c r="U1004" s="164"/>
      <c r="V1004" s="162"/>
      <c r="W1004" s="158"/>
      <c r="X1004" s="158"/>
      <c r="Y1004" s="158"/>
      <c r="Z1004" s="158"/>
      <c r="AA1004" s="158"/>
      <c r="AB1004" s="158"/>
      <c r="AC1004" s="113">
        <v>580</v>
      </c>
      <c r="AD1004" s="113">
        <v>74</v>
      </c>
      <c r="AE1004" s="113">
        <v>115</v>
      </c>
      <c r="AF1004" s="113">
        <v>70</v>
      </c>
      <c r="AG1004" s="120">
        <v>135</v>
      </c>
      <c r="AH1004" s="113">
        <v>80</v>
      </c>
      <c r="AI1004" s="113">
        <v>106</v>
      </c>
    </row>
    <row r="1005" spans="1:35">
      <c r="A1005" s="113">
        <v>905</v>
      </c>
      <c r="B1005" s="113" t="s">
        <v>2781</v>
      </c>
      <c r="C1005" s="120" t="s">
        <v>6276</v>
      </c>
      <c r="D1005" s="124">
        <v>0</v>
      </c>
      <c r="E1005" s="124">
        <v>1</v>
      </c>
      <c r="F1005" s="113" t="s">
        <v>2333</v>
      </c>
      <c r="G1005" s="113" t="s">
        <v>4319</v>
      </c>
      <c r="H1005" s="113" t="s">
        <v>56</v>
      </c>
      <c r="I1005" s="113" t="s">
        <v>22</v>
      </c>
      <c r="J1005" s="118" t="s">
        <v>12</v>
      </c>
      <c r="K1005" s="118">
        <v>5</v>
      </c>
      <c r="L1005" s="118" t="s">
        <v>6275</v>
      </c>
      <c r="M1005" s="115" t="s">
        <v>1109</v>
      </c>
      <c r="N1005" s="115" t="s">
        <v>6504</v>
      </c>
      <c r="O1005" s="115">
        <v>2</v>
      </c>
      <c r="P1005" s="115" t="s">
        <v>1109</v>
      </c>
      <c r="Q1005" s="166"/>
      <c r="R1005" s="164"/>
      <c r="S1005" s="164"/>
      <c r="T1005" s="164"/>
      <c r="U1005" s="164"/>
      <c r="V1005" s="162"/>
      <c r="W1005" s="158"/>
      <c r="X1005" s="158"/>
      <c r="Y1005" s="158"/>
      <c r="Z1005" s="158"/>
      <c r="AA1005" s="158"/>
      <c r="AB1005" s="158"/>
      <c r="AC1005" s="113">
        <v>580</v>
      </c>
      <c r="AD1005" s="113">
        <v>74</v>
      </c>
      <c r="AE1005" s="113">
        <v>115</v>
      </c>
      <c r="AF1005" s="113">
        <v>110</v>
      </c>
      <c r="AG1005" s="120">
        <v>135</v>
      </c>
      <c r="AH1005" s="113">
        <v>100</v>
      </c>
      <c r="AI1005" s="113">
        <v>46</v>
      </c>
    </row>
    <row r="1006" spans="1:35">
      <c r="A1006" s="113">
        <v>906</v>
      </c>
      <c r="B1006" s="113" t="s">
        <v>5094</v>
      </c>
      <c r="C1006" s="120" t="s">
        <v>6277</v>
      </c>
      <c r="D1006" s="124">
        <v>0.85</v>
      </c>
      <c r="E1006" s="124">
        <v>0.15</v>
      </c>
      <c r="F1006" s="113" t="s">
        <v>14</v>
      </c>
      <c r="G1006" s="113" t="s">
        <v>5208</v>
      </c>
      <c r="H1006" s="113" t="s">
        <v>14</v>
      </c>
      <c r="I1006" s="113" t="s">
        <v>1109</v>
      </c>
      <c r="J1006" s="118" t="s">
        <v>792</v>
      </c>
      <c r="K1006" s="118">
        <v>4</v>
      </c>
      <c r="L1006" s="118" t="s">
        <v>6277</v>
      </c>
      <c r="M1006" s="115" t="s">
        <v>1109</v>
      </c>
      <c r="N1006" s="115" t="s">
        <v>6505</v>
      </c>
      <c r="O1006" s="115">
        <v>1.75</v>
      </c>
      <c r="P1006" s="115" t="s">
        <v>1109</v>
      </c>
      <c r="Q1006" s="166"/>
      <c r="R1006" s="164"/>
      <c r="S1006" s="164"/>
      <c r="T1006" s="164"/>
      <c r="U1006" s="164"/>
      <c r="V1006" s="162"/>
      <c r="W1006" s="158"/>
      <c r="X1006" s="158"/>
      <c r="Y1006" s="158"/>
      <c r="Z1006" s="158"/>
      <c r="AA1006" s="158"/>
      <c r="AB1006" s="158"/>
      <c r="AC1006" s="113">
        <v>310</v>
      </c>
      <c r="AD1006" s="113">
        <v>40</v>
      </c>
      <c r="AE1006" s="113">
        <v>61</v>
      </c>
      <c r="AF1006" s="113">
        <v>54</v>
      </c>
      <c r="AG1006" s="120">
        <v>45</v>
      </c>
      <c r="AH1006" s="113">
        <v>45</v>
      </c>
      <c r="AI1006" s="113">
        <v>65</v>
      </c>
    </row>
    <row r="1007" spans="1:35">
      <c r="A1007" s="113">
        <v>907</v>
      </c>
      <c r="B1007" s="113" t="s">
        <v>5095</v>
      </c>
      <c r="C1007" s="120" t="s">
        <v>6278</v>
      </c>
      <c r="D1007" s="124">
        <v>0.85</v>
      </c>
      <c r="E1007" s="124">
        <v>0.15</v>
      </c>
      <c r="F1007" s="113" t="s">
        <v>14</v>
      </c>
      <c r="G1007" s="113" t="s">
        <v>5208</v>
      </c>
      <c r="H1007" s="113" t="s">
        <v>14</v>
      </c>
      <c r="I1007" s="113" t="s">
        <v>1109</v>
      </c>
      <c r="J1007" s="118" t="s">
        <v>792</v>
      </c>
      <c r="K1007" s="118">
        <v>4</v>
      </c>
      <c r="L1007" s="118" t="s">
        <v>6277</v>
      </c>
      <c r="M1007" s="115" t="s">
        <v>6277</v>
      </c>
      <c r="N1007" s="115" t="s">
        <v>6506</v>
      </c>
      <c r="O1007" s="115">
        <v>1.75</v>
      </c>
      <c r="P1007" s="115" t="s">
        <v>2128</v>
      </c>
      <c r="Q1007" s="166"/>
      <c r="R1007" s="164"/>
      <c r="S1007" s="164"/>
      <c r="T1007" s="164"/>
      <c r="U1007" s="164"/>
      <c r="V1007" s="162"/>
      <c r="W1007" s="158"/>
      <c r="X1007" s="158"/>
      <c r="Y1007" s="158"/>
      <c r="Z1007" s="158"/>
      <c r="AA1007" s="158"/>
      <c r="AB1007" s="158"/>
      <c r="AC1007" s="113">
        <v>410</v>
      </c>
      <c r="AD1007" s="113">
        <v>61</v>
      </c>
      <c r="AE1007" s="113">
        <v>80</v>
      </c>
      <c r="AF1007" s="113">
        <v>63</v>
      </c>
      <c r="AG1007" s="120">
        <v>60</v>
      </c>
      <c r="AH1007" s="113">
        <v>63</v>
      </c>
      <c r="AI1007" s="113">
        <v>83</v>
      </c>
    </row>
    <row r="1008" spans="1:35">
      <c r="A1008" s="113">
        <v>908</v>
      </c>
      <c r="B1008" s="113" t="s">
        <v>5096</v>
      </c>
      <c r="C1008" s="120" t="s">
        <v>6279</v>
      </c>
      <c r="D1008" s="124">
        <v>0.85</v>
      </c>
      <c r="E1008" s="124">
        <v>0.15</v>
      </c>
      <c r="F1008" s="113" t="s">
        <v>14</v>
      </c>
      <c r="G1008" s="113" t="s">
        <v>5208</v>
      </c>
      <c r="H1008" s="113" t="s">
        <v>14</v>
      </c>
      <c r="I1008" s="113" t="s">
        <v>158</v>
      </c>
      <c r="J1008" s="118" t="s">
        <v>792</v>
      </c>
      <c r="K1008" s="118">
        <v>4</v>
      </c>
      <c r="L1008" s="118" t="s">
        <v>6277</v>
      </c>
      <c r="M1008" s="115" t="s">
        <v>6278</v>
      </c>
      <c r="N1008" s="115" t="s">
        <v>6504</v>
      </c>
      <c r="O1008" s="115">
        <v>1.75</v>
      </c>
      <c r="P1008" s="115" t="s">
        <v>2128</v>
      </c>
      <c r="Q1008" s="166"/>
      <c r="R1008" s="164"/>
      <c r="S1008" s="164"/>
      <c r="T1008" s="164"/>
      <c r="U1008" s="164"/>
      <c r="V1008" s="162"/>
      <c r="W1008" s="158"/>
      <c r="X1008" s="158"/>
      <c r="Y1008" s="158"/>
      <c r="Z1008" s="158"/>
      <c r="AA1008" s="158"/>
      <c r="AB1008" s="158"/>
      <c r="AC1008" s="113">
        <v>530</v>
      </c>
      <c r="AD1008" s="113">
        <v>76</v>
      </c>
      <c r="AE1008" s="113">
        <v>110</v>
      </c>
      <c r="AF1008" s="113">
        <v>70</v>
      </c>
      <c r="AG1008" s="120">
        <v>81</v>
      </c>
      <c r="AH1008" s="113">
        <v>70</v>
      </c>
      <c r="AI1008" s="113">
        <v>123</v>
      </c>
    </row>
    <row r="1009" spans="1:35">
      <c r="A1009" s="113">
        <v>909</v>
      </c>
      <c r="B1009" s="113" t="s">
        <v>5097</v>
      </c>
      <c r="C1009" s="120" t="s">
        <v>6280</v>
      </c>
      <c r="D1009" s="124">
        <v>0.85</v>
      </c>
      <c r="E1009" s="124">
        <v>0.15</v>
      </c>
      <c r="F1009" s="113" t="s">
        <v>2332</v>
      </c>
      <c r="G1009" s="113" t="s">
        <v>5208</v>
      </c>
      <c r="H1009" s="113" t="s">
        <v>19</v>
      </c>
      <c r="I1009" s="113" t="s">
        <v>1109</v>
      </c>
      <c r="J1009" s="118" t="s">
        <v>792</v>
      </c>
      <c r="K1009" s="118">
        <v>4</v>
      </c>
      <c r="L1009" s="118" t="s">
        <v>6280</v>
      </c>
      <c r="M1009" s="115" t="s">
        <v>1109</v>
      </c>
      <c r="N1009" s="115" t="s">
        <v>6505</v>
      </c>
      <c r="O1009" s="115">
        <v>1.75</v>
      </c>
      <c r="P1009" s="115" t="s">
        <v>1109</v>
      </c>
      <c r="Q1009" s="166"/>
      <c r="R1009" s="164"/>
      <c r="S1009" s="164"/>
      <c r="T1009" s="164"/>
      <c r="U1009" s="164"/>
      <c r="V1009" s="162"/>
      <c r="W1009" s="158"/>
      <c r="X1009" s="158"/>
      <c r="Y1009" s="158"/>
      <c r="Z1009" s="158"/>
      <c r="AA1009" s="158"/>
      <c r="AB1009" s="158"/>
      <c r="AC1009" s="113">
        <v>310</v>
      </c>
      <c r="AD1009" s="113">
        <v>67</v>
      </c>
      <c r="AE1009" s="113">
        <v>45</v>
      </c>
      <c r="AF1009" s="113">
        <v>59</v>
      </c>
      <c r="AG1009" s="120">
        <v>63</v>
      </c>
      <c r="AH1009" s="113">
        <v>40</v>
      </c>
      <c r="AI1009" s="113">
        <v>36</v>
      </c>
    </row>
    <row r="1010" spans="1:35">
      <c r="A1010" s="113">
        <v>910</v>
      </c>
      <c r="B1010" s="113" t="s">
        <v>5098</v>
      </c>
      <c r="C1010" s="120" t="s">
        <v>6281</v>
      </c>
      <c r="D1010" s="124">
        <v>0.85</v>
      </c>
      <c r="E1010" s="124">
        <v>0.15</v>
      </c>
      <c r="F1010" s="113" t="s">
        <v>2332</v>
      </c>
      <c r="G1010" s="113" t="s">
        <v>5208</v>
      </c>
      <c r="H1010" s="113" t="s">
        <v>19</v>
      </c>
      <c r="I1010" s="113" t="s">
        <v>1109</v>
      </c>
      <c r="J1010" s="118" t="s">
        <v>792</v>
      </c>
      <c r="K1010" s="118">
        <v>4</v>
      </c>
      <c r="L1010" s="118" t="s">
        <v>6280</v>
      </c>
      <c r="M1010" s="115" t="s">
        <v>6280</v>
      </c>
      <c r="N1010" s="115" t="s">
        <v>6506</v>
      </c>
      <c r="O1010" s="115">
        <v>1.75</v>
      </c>
      <c r="P1010" s="115" t="s">
        <v>2128</v>
      </c>
      <c r="Q1010" s="166"/>
      <c r="R1010" s="164"/>
      <c r="S1010" s="164"/>
      <c r="T1010" s="164"/>
      <c r="U1010" s="164"/>
      <c r="V1010" s="162"/>
      <c r="W1010" s="158"/>
      <c r="X1010" s="158"/>
      <c r="Y1010" s="158"/>
      <c r="Z1010" s="158"/>
      <c r="AA1010" s="158"/>
      <c r="AB1010" s="158"/>
      <c r="AC1010" s="113">
        <v>411</v>
      </c>
      <c r="AD1010" s="113">
        <v>81</v>
      </c>
      <c r="AE1010" s="113">
        <v>55</v>
      </c>
      <c r="AF1010" s="113">
        <v>78</v>
      </c>
      <c r="AG1010" s="120">
        <v>90</v>
      </c>
      <c r="AH1010" s="113">
        <v>58</v>
      </c>
      <c r="AI1010" s="113">
        <v>49</v>
      </c>
    </row>
    <row r="1011" spans="1:35">
      <c r="A1011" s="113">
        <v>911</v>
      </c>
      <c r="B1011" s="113" t="s">
        <v>5099</v>
      </c>
      <c r="C1011" s="120" t="s">
        <v>6282</v>
      </c>
      <c r="D1011" s="124">
        <v>0.85</v>
      </c>
      <c r="E1011" s="124">
        <v>0.15</v>
      </c>
      <c r="F1011" s="113" t="s">
        <v>2332</v>
      </c>
      <c r="G1011" s="113" t="s">
        <v>5208</v>
      </c>
      <c r="H1011" s="113" t="s">
        <v>19</v>
      </c>
      <c r="I1011" s="113" t="s">
        <v>119</v>
      </c>
      <c r="J1011" s="118" t="s">
        <v>792</v>
      </c>
      <c r="K1011" s="118">
        <v>4</v>
      </c>
      <c r="L1011" s="118" t="s">
        <v>6280</v>
      </c>
      <c r="M1011" s="115" t="s">
        <v>6281</v>
      </c>
      <c r="N1011" s="115" t="s">
        <v>6504</v>
      </c>
      <c r="O1011" s="115">
        <v>1.75</v>
      </c>
      <c r="P1011" s="115" t="s">
        <v>2128</v>
      </c>
      <c r="Q1011" s="166"/>
      <c r="R1011" s="164"/>
      <c r="S1011" s="164"/>
      <c r="T1011" s="164"/>
      <c r="U1011" s="164"/>
      <c r="V1011" s="162"/>
      <c r="W1011" s="158"/>
      <c r="X1011" s="158"/>
      <c r="Y1011" s="158"/>
      <c r="Z1011" s="158"/>
      <c r="AA1011" s="158"/>
      <c r="AB1011" s="158"/>
      <c r="AC1011" s="113">
        <v>530</v>
      </c>
      <c r="AD1011" s="113">
        <v>104</v>
      </c>
      <c r="AE1011" s="113">
        <v>75</v>
      </c>
      <c r="AF1011" s="113">
        <v>100</v>
      </c>
      <c r="AG1011" s="120">
        <v>110</v>
      </c>
      <c r="AH1011" s="113">
        <v>75</v>
      </c>
      <c r="AI1011" s="113">
        <v>66</v>
      </c>
    </row>
    <row r="1012" spans="1:35">
      <c r="A1012" s="113">
        <v>912</v>
      </c>
      <c r="B1012" s="113" t="s">
        <v>5100</v>
      </c>
      <c r="C1012" s="120" t="s">
        <v>6283</v>
      </c>
      <c r="D1012" s="124">
        <v>0.85</v>
      </c>
      <c r="E1012" s="124">
        <v>0.15</v>
      </c>
      <c r="F1012" s="113" t="s">
        <v>22</v>
      </c>
      <c r="G1012" s="113" t="s">
        <v>5208</v>
      </c>
      <c r="H1012" s="113" t="s">
        <v>25</v>
      </c>
      <c r="I1012" s="113" t="s">
        <v>1109</v>
      </c>
      <c r="J1012" s="118" t="s">
        <v>792</v>
      </c>
      <c r="K1012" s="118">
        <v>4</v>
      </c>
      <c r="L1012" s="118" t="s">
        <v>6283</v>
      </c>
      <c r="M1012" s="115" t="s">
        <v>1109</v>
      </c>
      <c r="N1012" s="115" t="s">
        <v>6505</v>
      </c>
      <c r="O1012" s="115">
        <v>1.75</v>
      </c>
      <c r="P1012" s="115" t="s">
        <v>1109</v>
      </c>
      <c r="Q1012" s="166"/>
      <c r="R1012" s="164"/>
      <c r="S1012" s="164"/>
      <c r="T1012" s="164"/>
      <c r="U1012" s="164"/>
      <c r="V1012" s="162"/>
      <c r="W1012" s="158"/>
      <c r="X1012" s="158"/>
      <c r="Y1012" s="158"/>
      <c r="Z1012" s="158"/>
      <c r="AA1012" s="158"/>
      <c r="AB1012" s="158"/>
      <c r="AC1012" s="113">
        <v>310</v>
      </c>
      <c r="AD1012" s="113">
        <v>55</v>
      </c>
      <c r="AE1012" s="113">
        <v>65</v>
      </c>
      <c r="AF1012" s="113">
        <v>45</v>
      </c>
      <c r="AG1012" s="120">
        <v>50</v>
      </c>
      <c r="AH1012" s="113">
        <v>45</v>
      </c>
      <c r="AI1012" s="113">
        <v>50</v>
      </c>
    </row>
    <row r="1013" spans="1:35">
      <c r="A1013" s="113">
        <v>913</v>
      </c>
      <c r="B1013" s="113" t="s">
        <v>5101</v>
      </c>
      <c r="C1013" s="120" t="s">
        <v>6284</v>
      </c>
      <c r="D1013" s="124">
        <v>0.85</v>
      </c>
      <c r="E1013" s="124">
        <v>0.15</v>
      </c>
      <c r="F1013" s="113" t="s">
        <v>22</v>
      </c>
      <c r="G1013" s="113" t="s">
        <v>5208</v>
      </c>
      <c r="H1013" s="113" t="s">
        <v>25</v>
      </c>
      <c r="I1013" s="113" t="s">
        <v>1109</v>
      </c>
      <c r="J1013" s="118" t="s">
        <v>792</v>
      </c>
      <c r="K1013" s="118">
        <v>4</v>
      </c>
      <c r="L1013" s="118" t="s">
        <v>6283</v>
      </c>
      <c r="M1013" s="115" t="s">
        <v>6283</v>
      </c>
      <c r="N1013" s="115" t="s">
        <v>6506</v>
      </c>
      <c r="O1013" s="115">
        <v>1.75</v>
      </c>
      <c r="P1013" s="115" t="s">
        <v>2128</v>
      </c>
      <c r="Q1013" s="166"/>
      <c r="R1013" s="164"/>
      <c r="S1013" s="164"/>
      <c r="T1013" s="164"/>
      <c r="U1013" s="164"/>
      <c r="V1013" s="162"/>
      <c r="W1013" s="158"/>
      <c r="X1013" s="158"/>
      <c r="Y1013" s="158"/>
      <c r="Z1013" s="158"/>
      <c r="AA1013" s="158"/>
      <c r="AB1013" s="158"/>
      <c r="AC1013" s="113">
        <v>410</v>
      </c>
      <c r="AD1013" s="113">
        <v>70</v>
      </c>
      <c r="AE1013" s="113">
        <v>85</v>
      </c>
      <c r="AF1013" s="113">
        <v>65</v>
      </c>
      <c r="AG1013" s="120">
        <v>65</v>
      </c>
      <c r="AH1013" s="113">
        <v>60</v>
      </c>
      <c r="AI1013" s="113">
        <v>65</v>
      </c>
    </row>
    <row r="1014" spans="1:35">
      <c r="A1014" s="113">
        <v>914</v>
      </c>
      <c r="B1014" s="113" t="s">
        <v>5102</v>
      </c>
      <c r="C1014" s="120" t="s">
        <v>6285</v>
      </c>
      <c r="D1014" s="124">
        <v>0.85</v>
      </c>
      <c r="E1014" s="124">
        <v>0.15</v>
      </c>
      <c r="F1014" s="113" t="s">
        <v>22</v>
      </c>
      <c r="G1014" s="113" t="s">
        <v>5208</v>
      </c>
      <c r="H1014" s="113" t="s">
        <v>25</v>
      </c>
      <c r="I1014" s="113" t="s">
        <v>78</v>
      </c>
      <c r="J1014" s="118" t="s">
        <v>792</v>
      </c>
      <c r="K1014" s="118">
        <v>4</v>
      </c>
      <c r="L1014" s="118" t="s">
        <v>6283</v>
      </c>
      <c r="M1014" s="115" t="s">
        <v>6284</v>
      </c>
      <c r="N1014" s="115" t="s">
        <v>6504</v>
      </c>
      <c r="O1014" s="115">
        <v>1.75</v>
      </c>
      <c r="P1014" s="115" t="s">
        <v>2128</v>
      </c>
      <c r="Q1014" s="166"/>
      <c r="R1014" s="164"/>
      <c r="S1014" s="164"/>
      <c r="T1014" s="164"/>
      <c r="U1014" s="164"/>
      <c r="V1014" s="162"/>
      <c r="W1014" s="158"/>
      <c r="X1014" s="158"/>
      <c r="Y1014" s="158"/>
      <c r="Z1014" s="158"/>
      <c r="AA1014" s="158"/>
      <c r="AB1014" s="158"/>
      <c r="AC1014" s="113">
        <v>530</v>
      </c>
      <c r="AD1014" s="113">
        <v>85</v>
      </c>
      <c r="AE1014" s="113">
        <v>120</v>
      </c>
      <c r="AF1014" s="113">
        <v>80</v>
      </c>
      <c r="AG1014" s="120">
        <v>85</v>
      </c>
      <c r="AH1014" s="113">
        <v>75</v>
      </c>
      <c r="AI1014" s="113">
        <v>85</v>
      </c>
    </row>
    <row r="1015" spans="1:35">
      <c r="A1015" s="113">
        <v>915</v>
      </c>
      <c r="B1015" s="113" t="s">
        <v>5103</v>
      </c>
      <c r="C1015" s="120" t="s">
        <v>6286</v>
      </c>
      <c r="D1015" s="124">
        <v>0.5</v>
      </c>
      <c r="E1015" s="124">
        <v>0.5</v>
      </c>
      <c r="F1015" s="113" t="s">
        <v>2332</v>
      </c>
      <c r="G1015" s="113" t="s">
        <v>5208</v>
      </c>
      <c r="H1015" s="113" t="s">
        <v>36</v>
      </c>
      <c r="I1015" s="113" t="s">
        <v>1109</v>
      </c>
      <c r="J1015" s="118" t="s">
        <v>2129</v>
      </c>
      <c r="K1015" s="118">
        <v>1</v>
      </c>
      <c r="L1015" s="118" t="s">
        <v>6286</v>
      </c>
      <c r="M1015" s="115" t="s">
        <v>1109</v>
      </c>
      <c r="N1015" s="115" t="s">
        <v>6505</v>
      </c>
      <c r="O1015" s="115">
        <v>1</v>
      </c>
      <c r="P1015" s="115" t="s">
        <v>1109</v>
      </c>
      <c r="Q1015" s="166"/>
      <c r="R1015" s="164"/>
      <c r="S1015" s="164"/>
      <c r="T1015" s="164"/>
      <c r="U1015" s="164"/>
      <c r="V1015" s="162"/>
      <c r="W1015" s="158"/>
      <c r="X1015" s="158"/>
      <c r="Y1015" s="158"/>
      <c r="Z1015" s="158"/>
      <c r="AA1015" s="158"/>
      <c r="AB1015" s="158"/>
      <c r="AC1015" s="113">
        <v>254</v>
      </c>
      <c r="AD1015" s="113">
        <v>54</v>
      </c>
      <c r="AE1015" s="113">
        <v>45</v>
      </c>
      <c r="AF1015" s="113">
        <v>40</v>
      </c>
      <c r="AG1015" s="120">
        <v>35</v>
      </c>
      <c r="AH1015" s="113">
        <v>45</v>
      </c>
      <c r="AI1015" s="113">
        <v>35</v>
      </c>
    </row>
    <row r="1016" spans="1:35">
      <c r="A1016" s="113">
        <v>916</v>
      </c>
      <c r="B1016" s="113" t="s">
        <v>5194</v>
      </c>
      <c r="C1016" s="120" t="s">
        <v>6288</v>
      </c>
      <c r="D1016" s="124">
        <v>0.5</v>
      </c>
      <c r="E1016" s="124">
        <v>0.5</v>
      </c>
      <c r="F1016" s="113" t="s">
        <v>2332</v>
      </c>
      <c r="G1016" s="113" t="s">
        <v>5208</v>
      </c>
      <c r="H1016" s="113" t="s">
        <v>36</v>
      </c>
      <c r="I1016" s="113" t="s">
        <v>1109</v>
      </c>
      <c r="J1016" s="118" t="s">
        <v>2129</v>
      </c>
      <c r="K1016" s="118">
        <v>1</v>
      </c>
      <c r="L1016" s="118" t="s">
        <v>6286</v>
      </c>
      <c r="M1016" s="115" t="s">
        <v>6286</v>
      </c>
      <c r="N1016" s="115" t="s">
        <v>6504</v>
      </c>
      <c r="O1016" s="115">
        <v>1</v>
      </c>
      <c r="P1016" s="115" t="s">
        <v>2128</v>
      </c>
      <c r="Q1016" s="166"/>
      <c r="R1016" s="164"/>
      <c r="S1016" s="164"/>
      <c r="T1016" s="164"/>
      <c r="U1016" s="164"/>
      <c r="V1016" s="162"/>
      <c r="W1016" s="158"/>
      <c r="X1016" s="158"/>
      <c r="Y1016" s="158"/>
      <c r="Z1016" s="158"/>
      <c r="AA1016" s="158"/>
      <c r="AB1016" s="158"/>
      <c r="AC1016" s="113">
        <v>489</v>
      </c>
      <c r="AD1016" s="113">
        <v>110</v>
      </c>
      <c r="AE1016" s="113">
        <v>100</v>
      </c>
      <c r="AF1016" s="113">
        <v>75</v>
      </c>
      <c r="AG1016" s="120">
        <v>59</v>
      </c>
      <c r="AH1016" s="113">
        <v>80</v>
      </c>
      <c r="AI1016" s="113">
        <v>65</v>
      </c>
    </row>
    <row r="1017" spans="1:35">
      <c r="A1017" s="113">
        <v>916</v>
      </c>
      <c r="B1017" s="113" t="s">
        <v>5195</v>
      </c>
      <c r="C1017" s="120" t="s">
        <v>6287</v>
      </c>
      <c r="D1017" s="124">
        <v>0.5</v>
      </c>
      <c r="E1017" s="124">
        <v>0.5</v>
      </c>
      <c r="F1017" s="113" t="s">
        <v>2332</v>
      </c>
      <c r="G1017" s="113" t="s">
        <v>5208</v>
      </c>
      <c r="H1017" s="113" t="s">
        <v>36</v>
      </c>
      <c r="I1017" s="113" t="s">
        <v>1109</v>
      </c>
      <c r="J1017" s="118" t="s">
        <v>2129</v>
      </c>
      <c r="K1017" s="118">
        <v>1</v>
      </c>
      <c r="L1017" s="118" t="s">
        <v>6286</v>
      </c>
      <c r="M1017" s="115" t="s">
        <v>6286</v>
      </c>
      <c r="N1017" s="115" t="s">
        <v>6504</v>
      </c>
      <c r="O1017" s="115">
        <v>1</v>
      </c>
      <c r="P1017" s="115" t="s">
        <v>2128</v>
      </c>
      <c r="Q1017" s="166"/>
      <c r="R1017" s="164"/>
      <c r="S1017" s="164"/>
      <c r="T1017" s="164"/>
      <c r="U1017" s="164"/>
      <c r="V1017" s="162"/>
      <c r="W1017" s="158"/>
      <c r="X1017" s="158"/>
      <c r="Y1017" s="158"/>
      <c r="Z1017" s="158"/>
      <c r="AA1017" s="158"/>
      <c r="AB1017" s="158"/>
      <c r="AC1017" s="113">
        <v>489</v>
      </c>
      <c r="AD1017" s="113">
        <v>115</v>
      </c>
      <c r="AE1017" s="113">
        <v>90</v>
      </c>
      <c r="AF1017" s="113">
        <v>70</v>
      </c>
      <c r="AG1017" s="120">
        <v>59</v>
      </c>
      <c r="AH1017" s="113">
        <v>90</v>
      </c>
      <c r="AI1017" s="113">
        <v>65</v>
      </c>
    </row>
    <row r="1018" spans="1:35">
      <c r="A1018" s="113">
        <v>917</v>
      </c>
      <c r="B1018" s="113" t="s">
        <v>5104</v>
      </c>
      <c r="C1018" s="120" t="s">
        <v>6289</v>
      </c>
      <c r="D1018" s="124">
        <v>0.5</v>
      </c>
      <c r="E1018" s="124">
        <v>0.5</v>
      </c>
      <c r="F1018" s="113" t="s">
        <v>29</v>
      </c>
      <c r="G1018" s="113" t="s">
        <v>5208</v>
      </c>
      <c r="H1018" s="113" t="s">
        <v>29</v>
      </c>
      <c r="I1018" s="113" t="s">
        <v>1109</v>
      </c>
      <c r="J1018" s="118" t="s">
        <v>2129</v>
      </c>
      <c r="K1018" s="118">
        <v>1</v>
      </c>
      <c r="L1018" s="118" t="s">
        <v>6289</v>
      </c>
      <c r="M1018" s="115" t="s">
        <v>1109</v>
      </c>
      <c r="N1018" s="115" t="s">
        <v>6505</v>
      </c>
      <c r="O1018" s="115">
        <v>1</v>
      </c>
      <c r="P1018" s="115" t="s">
        <v>1109</v>
      </c>
      <c r="Q1018" s="166"/>
      <c r="R1018" s="164"/>
      <c r="S1018" s="164"/>
      <c r="T1018" s="164"/>
      <c r="U1018" s="164"/>
      <c r="V1018" s="162"/>
      <c r="W1018" s="158"/>
      <c r="X1018" s="158"/>
      <c r="Y1018" s="158"/>
      <c r="Z1018" s="158"/>
      <c r="AA1018" s="158"/>
      <c r="AB1018" s="158"/>
      <c r="AC1018" s="113">
        <v>210</v>
      </c>
      <c r="AD1018" s="113">
        <v>35</v>
      </c>
      <c r="AE1018" s="113">
        <v>41</v>
      </c>
      <c r="AF1018" s="113">
        <v>45</v>
      </c>
      <c r="AG1018" s="120">
        <v>29</v>
      </c>
      <c r="AH1018" s="113">
        <v>40</v>
      </c>
      <c r="AI1018" s="113">
        <v>20</v>
      </c>
    </row>
    <row r="1019" spans="1:35">
      <c r="A1019" s="113">
        <v>918</v>
      </c>
      <c r="B1019" s="113" t="s">
        <v>5105</v>
      </c>
      <c r="C1019" s="120" t="s">
        <v>6290</v>
      </c>
      <c r="D1019" s="124">
        <v>0.5</v>
      </c>
      <c r="E1019" s="124">
        <v>0.5</v>
      </c>
      <c r="F1019" s="113" t="s">
        <v>29</v>
      </c>
      <c r="G1019" s="113" t="s">
        <v>5208</v>
      </c>
      <c r="H1019" s="113" t="s">
        <v>29</v>
      </c>
      <c r="I1019" s="113" t="s">
        <v>1109</v>
      </c>
      <c r="J1019" s="118" t="s">
        <v>2129</v>
      </c>
      <c r="K1019" s="118">
        <v>1</v>
      </c>
      <c r="L1019" s="118" t="s">
        <v>6289</v>
      </c>
      <c r="M1019" s="115" t="s">
        <v>6289</v>
      </c>
      <c r="N1019" s="115" t="s">
        <v>6504</v>
      </c>
      <c r="O1019" s="115">
        <v>1</v>
      </c>
      <c r="P1019" s="115" t="s">
        <v>2128</v>
      </c>
      <c r="Q1019" s="166"/>
      <c r="R1019" s="164"/>
      <c r="S1019" s="164"/>
      <c r="T1019" s="164"/>
      <c r="U1019" s="164"/>
      <c r="V1019" s="162"/>
      <c r="W1019" s="158"/>
      <c r="X1019" s="158"/>
      <c r="Y1019" s="158"/>
      <c r="Z1019" s="158"/>
      <c r="AA1019" s="158"/>
      <c r="AB1019" s="158"/>
      <c r="AC1019" s="113">
        <v>404</v>
      </c>
      <c r="AD1019" s="113">
        <v>60</v>
      </c>
      <c r="AE1019" s="113">
        <v>79</v>
      </c>
      <c r="AF1019" s="113">
        <v>92</v>
      </c>
      <c r="AG1019" s="120">
        <v>52</v>
      </c>
      <c r="AH1019" s="113">
        <v>86</v>
      </c>
      <c r="AI1019" s="113">
        <v>35</v>
      </c>
    </row>
    <row r="1020" spans="1:35">
      <c r="A1020" s="113">
        <v>919</v>
      </c>
      <c r="B1020" s="113" t="s">
        <v>5106</v>
      </c>
      <c r="C1020" s="120" t="s">
        <v>6291</v>
      </c>
      <c r="D1020" s="124">
        <v>0.5</v>
      </c>
      <c r="E1020" s="124">
        <v>0.5</v>
      </c>
      <c r="F1020" s="113" t="s">
        <v>29</v>
      </c>
      <c r="G1020" s="113" t="s">
        <v>5208</v>
      </c>
      <c r="H1020" s="113" t="s">
        <v>29</v>
      </c>
      <c r="I1020" s="113" t="s">
        <v>1109</v>
      </c>
      <c r="J1020" s="118" t="s">
        <v>2129</v>
      </c>
      <c r="K1020" s="118">
        <v>1</v>
      </c>
      <c r="L1020" s="118" t="s">
        <v>6291</v>
      </c>
      <c r="M1020" s="115" t="s">
        <v>1109</v>
      </c>
      <c r="N1020" s="115" t="s">
        <v>6505</v>
      </c>
      <c r="O1020" s="115">
        <v>1</v>
      </c>
      <c r="P1020" s="115" t="s">
        <v>1109</v>
      </c>
      <c r="Q1020" s="166"/>
      <c r="R1020" s="164"/>
      <c r="S1020" s="164"/>
      <c r="T1020" s="164"/>
      <c r="U1020" s="164"/>
      <c r="V1020" s="162"/>
      <c r="W1020" s="158"/>
      <c r="X1020" s="158"/>
      <c r="Y1020" s="158"/>
      <c r="Z1020" s="158"/>
      <c r="AA1020" s="158"/>
      <c r="AB1020" s="158"/>
      <c r="AC1020" s="113">
        <v>210</v>
      </c>
      <c r="AD1020" s="113">
        <v>33</v>
      </c>
      <c r="AE1020" s="113">
        <v>46</v>
      </c>
      <c r="AF1020" s="113">
        <v>40</v>
      </c>
      <c r="AG1020" s="120">
        <v>21</v>
      </c>
      <c r="AH1020" s="113">
        <v>25</v>
      </c>
      <c r="AI1020" s="113">
        <v>45</v>
      </c>
    </row>
    <row r="1021" spans="1:35">
      <c r="A1021" s="113">
        <v>920</v>
      </c>
      <c r="B1021" s="113" t="s">
        <v>5107</v>
      </c>
      <c r="C1021" s="120" t="s">
        <v>6292</v>
      </c>
      <c r="D1021" s="124">
        <v>0.5</v>
      </c>
      <c r="E1021" s="124">
        <v>0.5</v>
      </c>
      <c r="F1021" s="113" t="s">
        <v>29</v>
      </c>
      <c r="G1021" s="113" t="s">
        <v>5208</v>
      </c>
      <c r="H1021" s="113" t="s">
        <v>29</v>
      </c>
      <c r="I1021" s="113" t="s">
        <v>158</v>
      </c>
      <c r="J1021" s="118" t="s">
        <v>2129</v>
      </c>
      <c r="K1021" s="118">
        <v>1</v>
      </c>
      <c r="L1021" s="118" t="s">
        <v>6291</v>
      </c>
      <c r="M1021" s="115" t="s">
        <v>6291</v>
      </c>
      <c r="N1021" s="115" t="s">
        <v>6504</v>
      </c>
      <c r="O1021" s="115">
        <v>1</v>
      </c>
      <c r="P1021" s="115" t="s">
        <v>2128</v>
      </c>
      <c r="Q1021" s="166"/>
      <c r="R1021" s="164"/>
      <c r="S1021" s="164"/>
      <c r="T1021" s="164"/>
      <c r="U1021" s="164"/>
      <c r="V1021" s="162"/>
      <c r="W1021" s="158"/>
      <c r="X1021" s="158"/>
      <c r="Y1021" s="158"/>
      <c r="Z1021" s="158"/>
      <c r="AA1021" s="158"/>
      <c r="AB1021" s="158"/>
      <c r="AC1021" s="113">
        <v>450</v>
      </c>
      <c r="AD1021" s="113">
        <v>71</v>
      </c>
      <c r="AE1021" s="113">
        <v>102</v>
      </c>
      <c r="AF1021" s="113">
        <v>78</v>
      </c>
      <c r="AG1021" s="120">
        <v>52</v>
      </c>
      <c r="AH1021" s="113">
        <v>55</v>
      </c>
      <c r="AI1021" s="113">
        <v>92</v>
      </c>
    </row>
    <row r="1022" spans="1:35">
      <c r="A1022" s="113">
        <v>921</v>
      </c>
      <c r="B1022" s="113" t="s">
        <v>5108</v>
      </c>
      <c r="C1022" s="120" t="s">
        <v>6293</v>
      </c>
      <c r="D1022" s="124">
        <v>0.5</v>
      </c>
      <c r="E1022" s="124">
        <v>0.5</v>
      </c>
      <c r="F1022" s="113" t="s">
        <v>2332</v>
      </c>
      <c r="G1022" s="113" t="s">
        <v>5208</v>
      </c>
      <c r="H1022" s="113" t="s">
        <v>46</v>
      </c>
      <c r="I1022" s="113" t="s">
        <v>1109</v>
      </c>
      <c r="J1022" s="118" t="s">
        <v>2129</v>
      </c>
      <c r="K1022" s="118">
        <v>1</v>
      </c>
      <c r="L1022" s="118" t="s">
        <v>6293</v>
      </c>
      <c r="M1022" s="115" t="s">
        <v>1109</v>
      </c>
      <c r="N1022" s="115" t="s">
        <v>6505</v>
      </c>
      <c r="O1022" s="115">
        <v>1</v>
      </c>
      <c r="P1022" s="115" t="s">
        <v>1109</v>
      </c>
      <c r="Q1022" s="166"/>
      <c r="R1022" s="164"/>
      <c r="S1022" s="164"/>
      <c r="T1022" s="164"/>
      <c r="U1022" s="164"/>
      <c r="V1022" s="162"/>
      <c r="W1022" s="158"/>
      <c r="X1022" s="158"/>
      <c r="Y1022" s="158"/>
      <c r="Z1022" s="158"/>
      <c r="AA1022" s="158"/>
      <c r="AB1022" s="158"/>
      <c r="AC1022" s="113">
        <v>240</v>
      </c>
      <c r="AD1022" s="113">
        <v>45</v>
      </c>
      <c r="AE1022" s="113">
        <v>50</v>
      </c>
      <c r="AF1022" s="113">
        <v>20</v>
      </c>
      <c r="AG1022" s="120">
        <v>40</v>
      </c>
      <c r="AH1022" s="113">
        <v>25</v>
      </c>
      <c r="AI1022" s="113">
        <v>60</v>
      </c>
    </row>
    <row r="1023" spans="1:35">
      <c r="A1023" s="113">
        <v>922</v>
      </c>
      <c r="B1023" s="113" t="s">
        <v>5109</v>
      </c>
      <c r="C1023" s="120" t="s">
        <v>6294</v>
      </c>
      <c r="D1023" s="124">
        <v>0.5</v>
      </c>
      <c r="E1023" s="124">
        <v>0.5</v>
      </c>
      <c r="F1023" s="113" t="s">
        <v>2332</v>
      </c>
      <c r="G1023" s="113" t="s">
        <v>5208</v>
      </c>
      <c r="H1023" s="113" t="s">
        <v>46</v>
      </c>
      <c r="I1023" s="113" t="s">
        <v>78</v>
      </c>
      <c r="J1023" s="118" t="s">
        <v>2129</v>
      </c>
      <c r="K1023" s="118">
        <v>1</v>
      </c>
      <c r="L1023" s="118" t="s">
        <v>6293</v>
      </c>
      <c r="M1023" s="115" t="s">
        <v>6293</v>
      </c>
      <c r="N1023" s="115" t="s">
        <v>6506</v>
      </c>
      <c r="O1023" s="115">
        <v>1</v>
      </c>
      <c r="P1023" s="115" t="s">
        <v>2128</v>
      </c>
      <c r="Q1023" s="166"/>
      <c r="R1023" s="164"/>
      <c r="S1023" s="164"/>
      <c r="T1023" s="164"/>
      <c r="U1023" s="164"/>
      <c r="V1023" s="162"/>
      <c r="W1023" s="158"/>
      <c r="X1023" s="158"/>
      <c r="Y1023" s="158"/>
      <c r="Z1023" s="158"/>
      <c r="AA1023" s="158"/>
      <c r="AB1023" s="158"/>
      <c r="AC1023" s="113">
        <v>350</v>
      </c>
      <c r="AD1023" s="113">
        <v>60</v>
      </c>
      <c r="AE1023" s="113">
        <v>75</v>
      </c>
      <c r="AF1023" s="113">
        <v>40</v>
      </c>
      <c r="AG1023" s="120">
        <v>50</v>
      </c>
      <c r="AH1023" s="113">
        <v>40</v>
      </c>
      <c r="AI1023" s="113">
        <v>85</v>
      </c>
    </row>
    <row r="1024" spans="1:35">
      <c r="A1024" s="113">
        <v>923</v>
      </c>
      <c r="B1024" s="113" t="s">
        <v>5110</v>
      </c>
      <c r="C1024" s="120" t="s">
        <v>6295</v>
      </c>
      <c r="D1024" s="124">
        <v>0.5</v>
      </c>
      <c r="E1024" s="124">
        <v>0.5</v>
      </c>
      <c r="F1024" s="113" t="s">
        <v>2332</v>
      </c>
      <c r="G1024" s="113" t="s">
        <v>5208</v>
      </c>
      <c r="H1024" s="113" t="s">
        <v>46</v>
      </c>
      <c r="I1024" s="113" t="s">
        <v>78</v>
      </c>
      <c r="J1024" s="118" t="s">
        <v>2129</v>
      </c>
      <c r="K1024" s="118">
        <v>1</v>
      </c>
      <c r="L1024" s="118" t="s">
        <v>6293</v>
      </c>
      <c r="M1024" s="115" t="s">
        <v>6294</v>
      </c>
      <c r="N1024" s="115" t="s">
        <v>6504</v>
      </c>
      <c r="O1024" s="115">
        <v>1</v>
      </c>
      <c r="P1024" s="115" t="s">
        <v>2128</v>
      </c>
      <c r="Q1024" s="166"/>
      <c r="R1024" s="164"/>
      <c r="S1024" s="164"/>
      <c r="T1024" s="164"/>
      <c r="U1024" s="164"/>
      <c r="V1024" s="162"/>
      <c r="W1024" s="158"/>
      <c r="X1024" s="158"/>
      <c r="Y1024" s="158"/>
      <c r="Z1024" s="158"/>
      <c r="AA1024" s="158"/>
      <c r="AB1024" s="158"/>
      <c r="AC1024" s="113">
        <v>490</v>
      </c>
      <c r="AD1024" s="113">
        <v>70</v>
      </c>
      <c r="AE1024" s="113">
        <v>115</v>
      </c>
      <c r="AF1024" s="113">
        <v>70</v>
      </c>
      <c r="AG1024" s="120">
        <v>70</v>
      </c>
      <c r="AH1024" s="113">
        <v>60</v>
      </c>
      <c r="AI1024" s="113">
        <v>105</v>
      </c>
    </row>
    <row r="1025" spans="1:35">
      <c r="A1025" s="113">
        <v>924</v>
      </c>
      <c r="B1025" s="113" t="s">
        <v>5111</v>
      </c>
      <c r="C1025" s="120" t="s">
        <v>6296</v>
      </c>
      <c r="D1025" s="132" t="s">
        <v>1109</v>
      </c>
      <c r="E1025" s="132" t="s">
        <v>1109</v>
      </c>
      <c r="F1025" s="113" t="s">
        <v>56</v>
      </c>
      <c r="G1025" s="113" t="s">
        <v>5208</v>
      </c>
      <c r="H1025" s="113" t="s">
        <v>36</v>
      </c>
      <c r="I1025" s="113" t="s">
        <v>1109</v>
      </c>
      <c r="J1025" s="118" t="s">
        <v>2129</v>
      </c>
      <c r="K1025" s="118">
        <v>1</v>
      </c>
      <c r="L1025" s="118" t="s">
        <v>6296</v>
      </c>
      <c r="M1025" s="115" t="s">
        <v>1109</v>
      </c>
      <c r="N1025" s="115" t="s">
        <v>6505</v>
      </c>
      <c r="O1025" s="115">
        <v>1</v>
      </c>
      <c r="P1025" s="115" t="s">
        <v>1109</v>
      </c>
      <c r="Q1025" s="166"/>
      <c r="R1025" s="164"/>
      <c r="S1025" s="164"/>
      <c r="T1025" s="164"/>
      <c r="U1025" s="164"/>
      <c r="V1025" s="162"/>
      <c r="W1025" s="158"/>
      <c r="X1025" s="158"/>
      <c r="Y1025" s="158"/>
      <c r="Z1025" s="158"/>
      <c r="AA1025" s="158"/>
      <c r="AB1025" s="158"/>
      <c r="AC1025" s="113">
        <v>305</v>
      </c>
      <c r="AD1025" s="113">
        <v>50</v>
      </c>
      <c r="AE1025" s="113">
        <v>50</v>
      </c>
      <c r="AF1025" s="113">
        <v>45</v>
      </c>
      <c r="AG1025" s="120">
        <v>40</v>
      </c>
      <c r="AH1025" s="113">
        <v>45</v>
      </c>
      <c r="AI1025" s="113">
        <v>75</v>
      </c>
    </row>
    <row r="1026" spans="1:35">
      <c r="A1026" s="113">
        <v>925</v>
      </c>
      <c r="B1026" s="113" t="s">
        <v>5196</v>
      </c>
      <c r="C1026" s="120" t="s">
        <v>6298</v>
      </c>
      <c r="D1026" s="132" t="s">
        <v>1109</v>
      </c>
      <c r="E1026" s="132" t="s">
        <v>1109</v>
      </c>
      <c r="F1026" s="113" t="s">
        <v>56</v>
      </c>
      <c r="G1026" s="113" t="s">
        <v>5208</v>
      </c>
      <c r="H1026" s="113" t="s">
        <v>36</v>
      </c>
      <c r="I1026" s="113" t="s">
        <v>1109</v>
      </c>
      <c r="J1026" s="118" t="s">
        <v>2129</v>
      </c>
      <c r="K1026" s="118">
        <v>1</v>
      </c>
      <c r="L1026" s="118" t="s">
        <v>6296</v>
      </c>
      <c r="M1026" s="115" t="s">
        <v>6296</v>
      </c>
      <c r="N1026" s="115" t="s">
        <v>6504</v>
      </c>
      <c r="O1026" s="115">
        <v>1</v>
      </c>
      <c r="P1026" s="115" t="s">
        <v>2128</v>
      </c>
      <c r="Q1026" s="166"/>
      <c r="R1026" s="164"/>
      <c r="S1026" s="164"/>
      <c r="T1026" s="164"/>
      <c r="U1026" s="164"/>
      <c r="V1026" s="162"/>
      <c r="W1026" s="158"/>
      <c r="X1026" s="158"/>
      <c r="Y1026" s="158"/>
      <c r="Z1026" s="158"/>
      <c r="AA1026" s="158"/>
      <c r="AB1026" s="158"/>
      <c r="AC1026" s="113">
        <v>470</v>
      </c>
      <c r="AD1026" s="113">
        <v>74</v>
      </c>
      <c r="AE1026" s="113">
        <v>75</v>
      </c>
      <c r="AF1026" s="113">
        <v>70</v>
      </c>
      <c r="AG1026" s="120">
        <v>65</v>
      </c>
      <c r="AH1026" s="113">
        <v>75</v>
      </c>
      <c r="AI1026" s="113">
        <v>111</v>
      </c>
    </row>
    <row r="1027" spans="1:35">
      <c r="A1027" s="113">
        <v>925</v>
      </c>
      <c r="B1027" s="113" t="s">
        <v>5197</v>
      </c>
      <c r="C1027" s="120" t="s">
        <v>6297</v>
      </c>
      <c r="D1027" s="132" t="s">
        <v>1109</v>
      </c>
      <c r="E1027" s="132" t="s">
        <v>1109</v>
      </c>
      <c r="F1027" s="113" t="s">
        <v>56</v>
      </c>
      <c r="G1027" s="113" t="s">
        <v>5208</v>
      </c>
      <c r="H1027" s="113" t="s">
        <v>36</v>
      </c>
      <c r="I1027" s="113" t="s">
        <v>1109</v>
      </c>
      <c r="J1027" s="118" t="s">
        <v>2129</v>
      </c>
      <c r="K1027" s="118">
        <v>1</v>
      </c>
      <c r="L1027" s="118" t="s">
        <v>6296</v>
      </c>
      <c r="M1027" s="115" t="s">
        <v>6296</v>
      </c>
      <c r="N1027" s="115" t="s">
        <v>6504</v>
      </c>
      <c r="O1027" s="115">
        <v>1</v>
      </c>
      <c r="P1027" s="115" t="s">
        <v>2128</v>
      </c>
      <c r="Q1027" s="166"/>
      <c r="R1027" s="164"/>
      <c r="S1027" s="164"/>
      <c r="T1027" s="164"/>
      <c r="U1027" s="164"/>
      <c r="V1027" s="162"/>
      <c r="W1027" s="158"/>
      <c r="X1027" s="158"/>
      <c r="Y1027" s="158"/>
      <c r="Z1027" s="158"/>
      <c r="AA1027" s="158"/>
      <c r="AB1027" s="158"/>
      <c r="AC1027" s="113">
        <v>470</v>
      </c>
      <c r="AD1027" s="113">
        <v>74</v>
      </c>
      <c r="AE1027" s="113">
        <v>75</v>
      </c>
      <c r="AF1027" s="113">
        <v>70</v>
      </c>
      <c r="AG1027" s="120">
        <v>65</v>
      </c>
      <c r="AH1027" s="113">
        <v>75</v>
      </c>
      <c r="AI1027" s="113">
        <v>111</v>
      </c>
    </row>
    <row r="1028" spans="1:35">
      <c r="A1028" s="113">
        <v>926</v>
      </c>
      <c r="B1028" s="113" t="s">
        <v>5112</v>
      </c>
      <c r="C1028" s="120" t="s">
        <v>6299</v>
      </c>
      <c r="D1028" s="124">
        <v>0.5</v>
      </c>
      <c r="E1028" s="124">
        <v>0.5</v>
      </c>
      <c r="F1028" s="113" t="s">
        <v>2332</v>
      </c>
      <c r="G1028" s="113" t="s">
        <v>5208</v>
      </c>
      <c r="H1028" s="113" t="s">
        <v>56</v>
      </c>
      <c r="I1028" s="113" t="s">
        <v>1109</v>
      </c>
      <c r="J1028" s="118" t="s">
        <v>2129</v>
      </c>
      <c r="K1028" s="118">
        <v>1</v>
      </c>
      <c r="L1028" s="118" t="s">
        <v>6299</v>
      </c>
      <c r="M1028" s="115" t="s">
        <v>1109</v>
      </c>
      <c r="N1028" s="115" t="s">
        <v>6505</v>
      </c>
      <c r="O1028" s="115">
        <v>1</v>
      </c>
      <c r="P1028" s="115" t="s">
        <v>1109</v>
      </c>
      <c r="Q1028" s="166"/>
      <c r="R1028" s="164"/>
      <c r="S1028" s="164"/>
      <c r="T1028" s="164"/>
      <c r="U1028" s="164"/>
      <c r="V1028" s="162"/>
      <c r="W1028" s="158"/>
      <c r="X1028" s="158"/>
      <c r="Y1028" s="158"/>
      <c r="Z1028" s="158"/>
      <c r="AA1028" s="158"/>
      <c r="AB1028" s="158"/>
      <c r="AC1028" s="113">
        <v>312</v>
      </c>
      <c r="AD1028" s="113">
        <v>37</v>
      </c>
      <c r="AE1028" s="113">
        <v>55</v>
      </c>
      <c r="AF1028" s="113">
        <v>70</v>
      </c>
      <c r="AG1028" s="120">
        <v>30</v>
      </c>
      <c r="AH1028" s="113">
        <v>55</v>
      </c>
      <c r="AI1028" s="113">
        <v>65</v>
      </c>
    </row>
    <row r="1029" spans="1:35">
      <c r="A1029" s="113">
        <v>927</v>
      </c>
      <c r="B1029" s="113" t="s">
        <v>5113</v>
      </c>
      <c r="C1029" s="120" t="s">
        <v>6300</v>
      </c>
      <c r="D1029" s="124">
        <v>0.5</v>
      </c>
      <c r="E1029" s="124">
        <v>0.5</v>
      </c>
      <c r="F1029" s="113" t="s">
        <v>2332</v>
      </c>
      <c r="G1029" s="113" t="s">
        <v>5208</v>
      </c>
      <c r="H1029" s="113" t="s">
        <v>56</v>
      </c>
      <c r="I1029" s="113" t="s">
        <v>1109</v>
      </c>
      <c r="J1029" s="118" t="s">
        <v>2129</v>
      </c>
      <c r="K1029" s="118">
        <v>1</v>
      </c>
      <c r="L1029" s="118" t="s">
        <v>6299</v>
      </c>
      <c r="M1029" s="115" t="s">
        <v>6299</v>
      </c>
      <c r="N1029" s="115" t="s">
        <v>6504</v>
      </c>
      <c r="O1029" s="115">
        <v>1</v>
      </c>
      <c r="P1029" s="115" t="s">
        <v>2128</v>
      </c>
      <c r="Q1029" s="166"/>
      <c r="R1029" s="164"/>
      <c r="S1029" s="164"/>
      <c r="T1029" s="164"/>
      <c r="U1029" s="164"/>
      <c r="V1029" s="162"/>
      <c r="W1029" s="158"/>
      <c r="X1029" s="158"/>
      <c r="Y1029" s="158"/>
      <c r="Z1029" s="158"/>
      <c r="AA1029" s="158"/>
      <c r="AB1029" s="158"/>
      <c r="AC1029" s="113">
        <v>477</v>
      </c>
      <c r="AD1029" s="113">
        <v>57</v>
      </c>
      <c r="AE1029" s="113">
        <v>80</v>
      </c>
      <c r="AF1029" s="113">
        <v>115</v>
      </c>
      <c r="AG1029" s="120">
        <v>50</v>
      </c>
      <c r="AH1029" s="113">
        <v>80</v>
      </c>
      <c r="AI1029" s="113">
        <v>95</v>
      </c>
    </row>
    <row r="1030" spans="1:35">
      <c r="A1030" s="113">
        <v>928</v>
      </c>
      <c r="B1030" s="113" t="s">
        <v>5114</v>
      </c>
      <c r="C1030" s="120" t="s">
        <v>6301</v>
      </c>
      <c r="D1030" s="124">
        <v>0.5</v>
      </c>
      <c r="E1030" s="124">
        <v>0.5</v>
      </c>
      <c r="F1030" s="113" t="s">
        <v>14</v>
      </c>
      <c r="G1030" s="113" t="s">
        <v>5208</v>
      </c>
      <c r="H1030" s="113" t="s">
        <v>14</v>
      </c>
      <c r="I1030" s="113" t="s">
        <v>36</v>
      </c>
      <c r="J1030" s="118" t="s">
        <v>2129</v>
      </c>
      <c r="K1030" s="118">
        <v>1</v>
      </c>
      <c r="L1030" s="118" t="s">
        <v>6301</v>
      </c>
      <c r="M1030" s="115" t="s">
        <v>1109</v>
      </c>
      <c r="N1030" s="115" t="s">
        <v>6505</v>
      </c>
      <c r="O1030" s="115">
        <v>1</v>
      </c>
      <c r="P1030" s="115" t="s">
        <v>1109</v>
      </c>
      <c r="Q1030" s="166"/>
      <c r="R1030" s="164"/>
      <c r="S1030" s="164"/>
      <c r="T1030" s="164"/>
      <c r="U1030" s="164"/>
      <c r="V1030" s="162"/>
      <c r="W1030" s="158"/>
      <c r="X1030" s="158"/>
      <c r="Y1030" s="158"/>
      <c r="Z1030" s="158"/>
      <c r="AA1030" s="158"/>
      <c r="AB1030" s="158"/>
      <c r="AC1030" s="113">
        <v>260</v>
      </c>
      <c r="AD1030" s="113">
        <v>41</v>
      </c>
      <c r="AE1030" s="113">
        <v>35</v>
      </c>
      <c r="AF1030" s="113">
        <v>45</v>
      </c>
      <c r="AG1030" s="120">
        <v>58</v>
      </c>
      <c r="AH1030" s="113">
        <v>51</v>
      </c>
      <c r="AI1030" s="113">
        <v>30</v>
      </c>
    </row>
    <row r="1031" spans="1:35">
      <c r="A1031" s="113">
        <v>929</v>
      </c>
      <c r="B1031" s="113" t="s">
        <v>5115</v>
      </c>
      <c r="C1031" s="120" t="s">
        <v>6302</v>
      </c>
      <c r="D1031" s="124">
        <v>0.5</v>
      </c>
      <c r="E1031" s="124">
        <v>0.5</v>
      </c>
      <c r="F1031" s="113" t="s">
        <v>14</v>
      </c>
      <c r="G1031" s="113" t="s">
        <v>5208</v>
      </c>
      <c r="H1031" s="113" t="s">
        <v>14</v>
      </c>
      <c r="I1031" s="113" t="s">
        <v>36</v>
      </c>
      <c r="J1031" s="118" t="s">
        <v>2129</v>
      </c>
      <c r="K1031" s="118">
        <v>1</v>
      </c>
      <c r="L1031" s="118" t="s">
        <v>6301</v>
      </c>
      <c r="M1031" s="115" t="s">
        <v>6301</v>
      </c>
      <c r="N1031" s="115" t="s">
        <v>6506</v>
      </c>
      <c r="O1031" s="115">
        <v>1</v>
      </c>
      <c r="P1031" s="115" t="s">
        <v>2128</v>
      </c>
      <c r="Q1031" s="166"/>
      <c r="R1031" s="164"/>
      <c r="S1031" s="164"/>
      <c r="T1031" s="164"/>
      <c r="U1031" s="164"/>
      <c r="V1031" s="162"/>
      <c r="W1031" s="158"/>
      <c r="X1031" s="158"/>
      <c r="Y1031" s="158"/>
      <c r="Z1031" s="158"/>
      <c r="AA1031" s="158"/>
      <c r="AB1031" s="158"/>
      <c r="AC1031" s="113">
        <v>354</v>
      </c>
      <c r="AD1031" s="113">
        <v>52</v>
      </c>
      <c r="AE1031" s="113">
        <v>53</v>
      </c>
      <c r="AF1031" s="113">
        <v>60</v>
      </c>
      <c r="AG1031" s="120">
        <v>78</v>
      </c>
      <c r="AH1031" s="113">
        <v>78</v>
      </c>
      <c r="AI1031" s="113">
        <v>33</v>
      </c>
    </row>
    <row r="1032" spans="1:35">
      <c r="A1032" s="113">
        <v>930</v>
      </c>
      <c r="B1032" s="113" t="s">
        <v>5116</v>
      </c>
      <c r="C1032" s="120" t="s">
        <v>6303</v>
      </c>
      <c r="D1032" s="124">
        <v>0.5</v>
      </c>
      <c r="E1032" s="124">
        <v>0.5</v>
      </c>
      <c r="F1032" s="113" t="s">
        <v>14</v>
      </c>
      <c r="G1032" s="113" t="s">
        <v>5208</v>
      </c>
      <c r="H1032" s="113" t="s">
        <v>14</v>
      </c>
      <c r="I1032" s="113" t="s">
        <v>36</v>
      </c>
      <c r="J1032" s="118" t="s">
        <v>2129</v>
      </c>
      <c r="K1032" s="118">
        <v>1</v>
      </c>
      <c r="L1032" s="118" t="s">
        <v>6301</v>
      </c>
      <c r="M1032" s="115" t="s">
        <v>6302</v>
      </c>
      <c r="N1032" s="115" t="s">
        <v>6504</v>
      </c>
      <c r="O1032" s="115">
        <v>1</v>
      </c>
      <c r="P1032" s="115" t="s">
        <v>2128</v>
      </c>
      <c r="Q1032" s="166"/>
      <c r="R1032" s="164"/>
      <c r="S1032" s="164"/>
      <c r="T1032" s="164"/>
      <c r="U1032" s="164"/>
      <c r="V1032" s="162"/>
      <c r="W1032" s="158"/>
      <c r="X1032" s="158"/>
      <c r="Y1032" s="158"/>
      <c r="Z1032" s="158"/>
      <c r="AA1032" s="158"/>
      <c r="AB1032" s="158"/>
      <c r="AC1032" s="113">
        <v>510</v>
      </c>
      <c r="AD1032" s="113">
        <v>78</v>
      </c>
      <c r="AE1032" s="113">
        <v>69</v>
      </c>
      <c r="AF1032" s="113">
        <v>90</v>
      </c>
      <c r="AG1032" s="120">
        <v>125</v>
      </c>
      <c r="AH1032" s="113">
        <v>109</v>
      </c>
      <c r="AI1032" s="113">
        <v>39</v>
      </c>
    </row>
    <row r="1033" spans="1:35">
      <c r="A1033" s="113">
        <v>931</v>
      </c>
      <c r="B1033" s="113" t="s">
        <v>5199</v>
      </c>
      <c r="C1033" s="120" t="s">
        <v>6304</v>
      </c>
      <c r="D1033" s="124">
        <v>0.5</v>
      </c>
      <c r="E1033" s="124">
        <v>0.5</v>
      </c>
      <c r="F1033" s="113" t="s">
        <v>22</v>
      </c>
      <c r="G1033" s="113" t="s">
        <v>5208</v>
      </c>
      <c r="H1033" s="113" t="s">
        <v>36</v>
      </c>
      <c r="I1033" s="113" t="s">
        <v>22</v>
      </c>
      <c r="J1033" s="118" t="s">
        <v>2129</v>
      </c>
      <c r="K1033" s="118">
        <v>2</v>
      </c>
      <c r="L1033" s="118" t="s">
        <v>6304</v>
      </c>
      <c r="M1033" s="115" t="s">
        <v>1109</v>
      </c>
      <c r="N1033" s="115" t="s">
        <v>6504</v>
      </c>
      <c r="O1033" s="115">
        <v>1.25</v>
      </c>
      <c r="P1033" s="115" t="s">
        <v>1109</v>
      </c>
      <c r="Q1033" s="166"/>
      <c r="R1033" s="164"/>
      <c r="S1033" s="164"/>
      <c r="T1033" s="164"/>
      <c r="U1033" s="164"/>
      <c r="V1033" s="162"/>
      <c r="W1033" s="158"/>
      <c r="X1033" s="158"/>
      <c r="Y1033" s="158"/>
      <c r="Z1033" s="158"/>
      <c r="AA1033" s="158"/>
      <c r="AB1033" s="158"/>
      <c r="AC1033" s="113">
        <v>417</v>
      </c>
      <c r="AD1033" s="113">
        <v>82</v>
      </c>
      <c r="AE1033" s="113">
        <v>96</v>
      </c>
      <c r="AF1033" s="113">
        <v>51</v>
      </c>
      <c r="AG1033" s="120">
        <v>45</v>
      </c>
      <c r="AH1033" s="113">
        <v>51</v>
      </c>
      <c r="AI1033" s="113">
        <v>92</v>
      </c>
    </row>
    <row r="1034" spans="1:35">
      <c r="A1034" s="113">
        <v>931</v>
      </c>
      <c r="B1034" s="113" t="s">
        <v>5198</v>
      </c>
      <c r="C1034" s="120" t="s">
        <v>6305</v>
      </c>
      <c r="D1034" s="124">
        <v>0.5</v>
      </c>
      <c r="E1034" s="124">
        <v>0.5</v>
      </c>
      <c r="F1034" s="113" t="s">
        <v>22</v>
      </c>
      <c r="G1034" s="113" t="s">
        <v>5208</v>
      </c>
      <c r="H1034" s="113" t="s">
        <v>36</v>
      </c>
      <c r="I1034" s="113" t="s">
        <v>22</v>
      </c>
      <c r="J1034" s="118" t="s">
        <v>2129</v>
      </c>
      <c r="K1034" s="118">
        <v>2</v>
      </c>
      <c r="L1034" s="118" t="s">
        <v>6304</v>
      </c>
      <c r="M1034" s="115" t="s">
        <v>1109</v>
      </c>
      <c r="N1034" s="115" t="s">
        <v>6504</v>
      </c>
      <c r="O1034" s="115">
        <v>1.25</v>
      </c>
      <c r="P1034" s="115" t="s">
        <v>1109</v>
      </c>
      <c r="Q1034" s="166"/>
      <c r="R1034" s="164"/>
      <c r="S1034" s="164"/>
      <c r="T1034" s="164"/>
      <c r="U1034" s="164"/>
      <c r="V1034" s="162"/>
      <c r="W1034" s="158"/>
      <c r="X1034" s="158"/>
      <c r="Y1034" s="158"/>
      <c r="Z1034" s="158"/>
      <c r="AA1034" s="158"/>
      <c r="AB1034" s="158"/>
      <c r="AC1034" s="113">
        <v>417</v>
      </c>
      <c r="AD1034" s="113">
        <v>82</v>
      </c>
      <c r="AE1034" s="113">
        <v>96</v>
      </c>
      <c r="AF1034" s="113">
        <v>51</v>
      </c>
      <c r="AG1034" s="120">
        <v>45</v>
      </c>
      <c r="AH1034" s="113">
        <v>51</v>
      </c>
      <c r="AI1034" s="113">
        <v>92</v>
      </c>
    </row>
    <row r="1035" spans="1:35">
      <c r="A1035" s="113">
        <v>931</v>
      </c>
      <c r="B1035" s="113" t="s">
        <v>5201</v>
      </c>
      <c r="C1035" s="120" t="s">
        <v>6306</v>
      </c>
      <c r="D1035" s="124">
        <v>0.5</v>
      </c>
      <c r="E1035" s="124">
        <v>0.5</v>
      </c>
      <c r="F1035" s="113" t="s">
        <v>22</v>
      </c>
      <c r="G1035" s="113" t="s">
        <v>5208</v>
      </c>
      <c r="H1035" s="113" t="s">
        <v>36</v>
      </c>
      <c r="I1035" s="113" t="s">
        <v>22</v>
      </c>
      <c r="J1035" s="118" t="s">
        <v>2129</v>
      </c>
      <c r="K1035" s="118">
        <v>2</v>
      </c>
      <c r="L1035" s="118" t="s">
        <v>6304</v>
      </c>
      <c r="M1035" s="115" t="s">
        <v>1109</v>
      </c>
      <c r="N1035" s="115" t="s">
        <v>6504</v>
      </c>
      <c r="O1035" s="115">
        <v>1.25</v>
      </c>
      <c r="P1035" s="115" t="s">
        <v>1109</v>
      </c>
      <c r="Q1035" s="166"/>
      <c r="R1035" s="164"/>
      <c r="S1035" s="164"/>
      <c r="T1035" s="164"/>
      <c r="U1035" s="164"/>
      <c r="V1035" s="162"/>
      <c r="W1035" s="158"/>
      <c r="X1035" s="158"/>
      <c r="Y1035" s="158"/>
      <c r="Z1035" s="158"/>
      <c r="AA1035" s="158"/>
      <c r="AB1035" s="158"/>
      <c r="AC1035" s="113">
        <v>417</v>
      </c>
      <c r="AD1035" s="113">
        <v>82</v>
      </c>
      <c r="AE1035" s="113">
        <v>96</v>
      </c>
      <c r="AF1035" s="113">
        <v>51</v>
      </c>
      <c r="AG1035" s="120">
        <v>45</v>
      </c>
      <c r="AH1035" s="113">
        <v>51</v>
      </c>
      <c r="AI1035" s="113">
        <v>92</v>
      </c>
    </row>
    <row r="1036" spans="1:35">
      <c r="A1036" s="113">
        <v>931</v>
      </c>
      <c r="B1036" s="113" t="s">
        <v>5200</v>
      </c>
      <c r="C1036" s="120" t="s">
        <v>6307</v>
      </c>
      <c r="D1036" s="124">
        <v>0.5</v>
      </c>
      <c r="E1036" s="124">
        <v>0.5</v>
      </c>
      <c r="F1036" s="113" t="s">
        <v>22</v>
      </c>
      <c r="G1036" s="113" t="s">
        <v>5208</v>
      </c>
      <c r="H1036" s="113" t="s">
        <v>36</v>
      </c>
      <c r="I1036" s="113" t="s">
        <v>22</v>
      </c>
      <c r="J1036" s="118" t="s">
        <v>2129</v>
      </c>
      <c r="K1036" s="118">
        <v>2</v>
      </c>
      <c r="L1036" s="118" t="s">
        <v>6304</v>
      </c>
      <c r="M1036" s="115" t="s">
        <v>1109</v>
      </c>
      <c r="N1036" s="115" t="s">
        <v>6504</v>
      </c>
      <c r="O1036" s="115">
        <v>1.25</v>
      </c>
      <c r="P1036" s="115" t="s">
        <v>1109</v>
      </c>
      <c r="Q1036" s="166"/>
      <c r="R1036" s="164"/>
      <c r="S1036" s="164"/>
      <c r="T1036" s="164"/>
      <c r="U1036" s="164"/>
      <c r="V1036" s="162"/>
      <c r="W1036" s="158"/>
      <c r="X1036" s="158"/>
      <c r="Y1036" s="158"/>
      <c r="Z1036" s="158"/>
      <c r="AA1036" s="158"/>
      <c r="AB1036" s="158"/>
      <c r="AC1036" s="113">
        <v>417</v>
      </c>
      <c r="AD1036" s="113">
        <v>82</v>
      </c>
      <c r="AE1036" s="113">
        <v>96</v>
      </c>
      <c r="AF1036" s="113">
        <v>51</v>
      </c>
      <c r="AG1036" s="120">
        <v>45</v>
      </c>
      <c r="AH1036" s="113">
        <v>51</v>
      </c>
      <c r="AI1036" s="113">
        <v>92</v>
      </c>
    </row>
    <row r="1037" spans="1:35">
      <c r="A1037" s="113">
        <v>932</v>
      </c>
      <c r="B1037" s="113" t="s">
        <v>5117</v>
      </c>
      <c r="C1037" s="120" t="s">
        <v>6308</v>
      </c>
      <c r="D1037" s="124">
        <v>0.5</v>
      </c>
      <c r="E1037" s="124">
        <v>0.5</v>
      </c>
      <c r="F1037" s="113" t="s">
        <v>2112</v>
      </c>
      <c r="G1037" s="113" t="s">
        <v>5208</v>
      </c>
      <c r="H1037" s="113" t="s">
        <v>98</v>
      </c>
      <c r="I1037" s="113" t="s">
        <v>1109</v>
      </c>
      <c r="J1037" s="118" t="s">
        <v>2129</v>
      </c>
      <c r="K1037" s="118">
        <v>1</v>
      </c>
      <c r="L1037" s="118" t="s">
        <v>6308</v>
      </c>
      <c r="M1037" s="115" t="s">
        <v>1109</v>
      </c>
      <c r="N1037" s="115" t="s">
        <v>6505</v>
      </c>
      <c r="O1037" s="115">
        <v>1</v>
      </c>
      <c r="P1037" s="115" t="s">
        <v>1109</v>
      </c>
      <c r="Q1037" s="166"/>
      <c r="R1037" s="164"/>
      <c r="S1037" s="164"/>
      <c r="T1037" s="164"/>
      <c r="U1037" s="164"/>
      <c r="V1037" s="162"/>
      <c r="W1037" s="158"/>
      <c r="X1037" s="158"/>
      <c r="Y1037" s="158"/>
      <c r="Z1037" s="158"/>
      <c r="AA1037" s="158"/>
      <c r="AB1037" s="158"/>
      <c r="AC1037" s="113">
        <v>280</v>
      </c>
      <c r="AD1037" s="113">
        <v>55</v>
      </c>
      <c r="AE1037" s="113">
        <v>55</v>
      </c>
      <c r="AF1037" s="113">
        <v>75</v>
      </c>
      <c r="AG1037" s="120">
        <v>35</v>
      </c>
      <c r="AH1037" s="113">
        <v>35</v>
      </c>
      <c r="AI1037" s="113">
        <v>25</v>
      </c>
    </row>
    <row r="1038" spans="1:35">
      <c r="A1038" s="113">
        <v>933</v>
      </c>
      <c r="B1038" s="113" t="s">
        <v>5118</v>
      </c>
      <c r="C1038" s="120" t="s">
        <v>6309</v>
      </c>
      <c r="D1038" s="124">
        <v>0.5</v>
      </c>
      <c r="E1038" s="124">
        <v>0.5</v>
      </c>
      <c r="F1038" s="113" t="s">
        <v>2112</v>
      </c>
      <c r="G1038" s="113" t="s">
        <v>5208</v>
      </c>
      <c r="H1038" s="113" t="s">
        <v>98</v>
      </c>
      <c r="I1038" s="113" t="s">
        <v>1109</v>
      </c>
      <c r="J1038" s="118" t="s">
        <v>2129</v>
      </c>
      <c r="K1038" s="118">
        <v>1</v>
      </c>
      <c r="L1038" s="118" t="s">
        <v>6308</v>
      </c>
      <c r="M1038" s="115" t="s">
        <v>6308</v>
      </c>
      <c r="N1038" s="115" t="s">
        <v>6506</v>
      </c>
      <c r="O1038" s="115">
        <v>1</v>
      </c>
      <c r="P1038" s="115" t="s">
        <v>2128</v>
      </c>
      <c r="Q1038" s="166"/>
      <c r="R1038" s="164"/>
      <c r="S1038" s="164"/>
      <c r="T1038" s="164"/>
      <c r="U1038" s="164"/>
      <c r="V1038" s="162"/>
      <c r="W1038" s="158"/>
      <c r="X1038" s="158"/>
      <c r="Y1038" s="158"/>
      <c r="Z1038" s="158"/>
      <c r="AA1038" s="158"/>
      <c r="AB1038" s="158"/>
      <c r="AC1038" s="113">
        <v>355</v>
      </c>
      <c r="AD1038" s="113">
        <v>60</v>
      </c>
      <c r="AE1038" s="113">
        <v>60</v>
      </c>
      <c r="AF1038" s="113">
        <v>100</v>
      </c>
      <c r="AG1038" s="120">
        <v>35</v>
      </c>
      <c r="AH1038" s="113">
        <v>65</v>
      </c>
      <c r="AI1038" s="113">
        <v>35</v>
      </c>
    </row>
    <row r="1039" spans="1:35">
      <c r="A1039" s="113">
        <v>934</v>
      </c>
      <c r="B1039" s="113" t="s">
        <v>5119</v>
      </c>
      <c r="C1039" s="120" t="s">
        <v>6310</v>
      </c>
      <c r="D1039" s="124">
        <v>0.5</v>
      </c>
      <c r="E1039" s="124">
        <v>0.5</v>
      </c>
      <c r="F1039" s="113" t="s">
        <v>2112</v>
      </c>
      <c r="G1039" s="113" t="s">
        <v>5208</v>
      </c>
      <c r="H1039" s="113" t="s">
        <v>98</v>
      </c>
      <c r="I1039" s="113" t="s">
        <v>1109</v>
      </c>
      <c r="J1039" s="118" t="s">
        <v>2129</v>
      </c>
      <c r="K1039" s="118">
        <v>1</v>
      </c>
      <c r="L1039" s="118" t="s">
        <v>6308</v>
      </c>
      <c r="M1039" s="115" t="s">
        <v>6309</v>
      </c>
      <c r="N1039" s="115" t="s">
        <v>6504</v>
      </c>
      <c r="O1039" s="115">
        <v>1</v>
      </c>
      <c r="P1039" s="115" t="s">
        <v>2128</v>
      </c>
      <c r="Q1039" s="166"/>
      <c r="R1039" s="164"/>
      <c r="S1039" s="164"/>
      <c r="T1039" s="164"/>
      <c r="U1039" s="164"/>
      <c r="V1039" s="162"/>
      <c r="W1039" s="158"/>
      <c r="X1039" s="158"/>
      <c r="Y1039" s="158"/>
      <c r="Z1039" s="158"/>
      <c r="AA1039" s="158"/>
      <c r="AB1039" s="158"/>
      <c r="AC1039" s="113">
        <v>500</v>
      </c>
      <c r="AD1039" s="113">
        <v>100</v>
      </c>
      <c r="AE1039" s="113">
        <v>100</v>
      </c>
      <c r="AF1039" s="113">
        <v>130</v>
      </c>
      <c r="AG1039" s="120">
        <v>45</v>
      </c>
      <c r="AH1039" s="113">
        <v>90</v>
      </c>
      <c r="AI1039" s="113">
        <v>35</v>
      </c>
    </row>
    <row r="1040" spans="1:35">
      <c r="A1040" s="113">
        <v>935</v>
      </c>
      <c r="B1040" s="113" t="s">
        <v>5120</v>
      </c>
      <c r="C1040" s="120" t="s">
        <v>6311</v>
      </c>
      <c r="D1040" s="124">
        <v>0.5</v>
      </c>
      <c r="E1040" s="124">
        <v>0.5</v>
      </c>
      <c r="F1040" s="113" t="s">
        <v>2334</v>
      </c>
      <c r="G1040" s="113" t="s">
        <v>5208</v>
      </c>
      <c r="H1040" s="113" t="s">
        <v>19</v>
      </c>
      <c r="I1040" s="113" t="s">
        <v>1109</v>
      </c>
      <c r="J1040" s="118" t="s">
        <v>2129</v>
      </c>
      <c r="K1040" s="118">
        <v>3</v>
      </c>
      <c r="L1040" s="118" t="s">
        <v>6311</v>
      </c>
      <c r="M1040" s="115" t="s">
        <v>1109</v>
      </c>
      <c r="N1040" s="115" t="s">
        <v>6505</v>
      </c>
      <c r="O1040" s="115">
        <v>1.5</v>
      </c>
      <c r="P1040" s="115" t="s">
        <v>1109</v>
      </c>
      <c r="Q1040" s="166"/>
      <c r="R1040" s="164"/>
      <c r="S1040" s="164"/>
      <c r="T1040" s="164"/>
      <c r="U1040" s="164"/>
      <c r="V1040" s="162"/>
      <c r="W1040" s="158"/>
      <c r="X1040" s="158"/>
      <c r="Y1040" s="158"/>
      <c r="Z1040" s="158"/>
      <c r="AA1040" s="158"/>
      <c r="AB1040" s="158"/>
      <c r="AC1040" s="113">
        <v>255</v>
      </c>
      <c r="AD1040" s="113">
        <v>40</v>
      </c>
      <c r="AE1040" s="113">
        <v>50</v>
      </c>
      <c r="AF1040" s="113">
        <v>40</v>
      </c>
      <c r="AG1040" s="120">
        <v>50</v>
      </c>
      <c r="AH1040" s="113">
        <v>40</v>
      </c>
      <c r="AI1040" s="113">
        <v>35</v>
      </c>
    </row>
    <row r="1041" spans="1:35">
      <c r="A1041" s="113">
        <v>936</v>
      </c>
      <c r="B1041" s="113" t="s">
        <v>5121</v>
      </c>
      <c r="C1041" s="120" t="s">
        <v>6312</v>
      </c>
      <c r="D1041" s="124">
        <v>0.5</v>
      </c>
      <c r="E1041" s="124">
        <v>0.5</v>
      </c>
      <c r="F1041" s="113" t="s">
        <v>2334</v>
      </c>
      <c r="G1041" s="113" t="s">
        <v>5208</v>
      </c>
      <c r="H1041" s="113" t="s">
        <v>19</v>
      </c>
      <c r="I1041" s="113" t="s">
        <v>86</v>
      </c>
      <c r="J1041" s="118" t="s">
        <v>2129</v>
      </c>
      <c r="K1041" s="118">
        <v>3</v>
      </c>
      <c r="L1041" s="118" t="s">
        <v>6311</v>
      </c>
      <c r="M1041" s="115" t="s">
        <v>6311</v>
      </c>
      <c r="N1041" s="115" t="s">
        <v>6504</v>
      </c>
      <c r="O1041" s="115">
        <v>1.5</v>
      </c>
      <c r="P1041" s="115" t="s">
        <v>2130</v>
      </c>
      <c r="Q1041" s="166"/>
      <c r="R1041" s="164"/>
      <c r="S1041" s="164"/>
      <c r="T1041" s="164"/>
      <c r="U1041" s="164"/>
      <c r="V1041" s="162"/>
      <c r="W1041" s="158"/>
      <c r="X1041" s="158"/>
      <c r="Y1041" s="158"/>
      <c r="Z1041" s="158"/>
      <c r="AA1041" s="158"/>
      <c r="AB1041" s="158"/>
      <c r="AC1041" s="113">
        <v>525</v>
      </c>
      <c r="AD1041" s="113">
        <v>85</v>
      </c>
      <c r="AE1041" s="113">
        <v>60</v>
      </c>
      <c r="AF1041" s="113">
        <v>100</v>
      </c>
      <c r="AG1041" s="120">
        <v>125</v>
      </c>
      <c r="AH1041" s="113">
        <v>80</v>
      </c>
      <c r="AI1041" s="113">
        <v>75</v>
      </c>
    </row>
    <row r="1042" spans="1:35">
      <c r="A1042" s="113">
        <v>937</v>
      </c>
      <c r="B1042" s="113" t="s">
        <v>5122</v>
      </c>
      <c r="C1042" s="120" t="s">
        <v>6313</v>
      </c>
      <c r="D1042" s="124">
        <v>0.5</v>
      </c>
      <c r="E1042" s="124">
        <v>0.5</v>
      </c>
      <c r="F1042" s="113" t="s">
        <v>2334</v>
      </c>
      <c r="G1042" s="113" t="s">
        <v>5208</v>
      </c>
      <c r="H1042" s="113" t="s">
        <v>19</v>
      </c>
      <c r="I1042" s="113" t="s">
        <v>119</v>
      </c>
      <c r="J1042" s="118" t="s">
        <v>2129</v>
      </c>
      <c r="K1042" s="118">
        <v>3</v>
      </c>
      <c r="L1042" s="118" t="s">
        <v>6311</v>
      </c>
      <c r="M1042" s="115" t="s">
        <v>6311</v>
      </c>
      <c r="N1042" s="115" t="s">
        <v>6504</v>
      </c>
      <c r="O1042" s="115">
        <v>1.5</v>
      </c>
      <c r="P1042" s="115" t="s">
        <v>2130</v>
      </c>
      <c r="Q1042" s="166"/>
      <c r="R1042" s="164"/>
      <c r="S1042" s="164"/>
      <c r="T1042" s="164"/>
      <c r="U1042" s="164"/>
      <c r="V1042" s="162"/>
      <c r="W1042" s="158"/>
      <c r="X1042" s="158"/>
      <c r="Y1042" s="158"/>
      <c r="Z1042" s="158"/>
      <c r="AA1042" s="158"/>
      <c r="AB1042" s="158"/>
      <c r="AC1042" s="113">
        <v>525</v>
      </c>
      <c r="AD1042" s="113">
        <v>75</v>
      </c>
      <c r="AE1042" s="113">
        <v>125</v>
      </c>
      <c r="AF1042" s="113">
        <v>80</v>
      </c>
      <c r="AG1042" s="120">
        <v>60</v>
      </c>
      <c r="AH1042" s="113">
        <v>100</v>
      </c>
      <c r="AI1042" s="113">
        <v>85</v>
      </c>
    </row>
    <row r="1043" spans="1:35">
      <c r="A1043" s="113">
        <v>938</v>
      </c>
      <c r="B1043" s="113" t="s">
        <v>5123</v>
      </c>
      <c r="C1043" s="120" t="s">
        <v>6314</v>
      </c>
      <c r="D1043" s="124">
        <v>0.5</v>
      </c>
      <c r="E1043" s="124">
        <v>0.5</v>
      </c>
      <c r="F1043" s="113" t="s">
        <v>2331</v>
      </c>
      <c r="G1043" s="113" t="s">
        <v>5208</v>
      </c>
      <c r="H1043" s="113" t="s">
        <v>46</v>
      </c>
      <c r="I1043" s="113" t="s">
        <v>1109</v>
      </c>
      <c r="J1043" s="118" t="s">
        <v>2129</v>
      </c>
      <c r="K1043" s="118">
        <v>2</v>
      </c>
      <c r="L1043" s="118" t="s">
        <v>6314</v>
      </c>
      <c r="M1043" s="115" t="s">
        <v>1109</v>
      </c>
      <c r="N1043" s="115" t="s">
        <v>6505</v>
      </c>
      <c r="O1043" s="115">
        <v>1.25</v>
      </c>
      <c r="P1043" s="115" t="s">
        <v>1109</v>
      </c>
      <c r="Q1043" s="166"/>
      <c r="R1043" s="164"/>
      <c r="S1043" s="164"/>
      <c r="T1043" s="164"/>
      <c r="U1043" s="164"/>
      <c r="V1043" s="162"/>
      <c r="W1043" s="158"/>
      <c r="X1043" s="158"/>
      <c r="Y1043" s="158"/>
      <c r="Z1043" s="158"/>
      <c r="AA1043" s="158"/>
      <c r="AB1043" s="158"/>
      <c r="AC1043" s="113">
        <v>272</v>
      </c>
      <c r="AD1043" s="113">
        <v>61</v>
      </c>
      <c r="AE1043" s="113">
        <v>31</v>
      </c>
      <c r="AF1043" s="113">
        <v>41</v>
      </c>
      <c r="AG1043" s="120">
        <v>59</v>
      </c>
      <c r="AH1043" s="113">
        <v>35</v>
      </c>
      <c r="AI1043" s="113">
        <v>45</v>
      </c>
    </row>
    <row r="1044" spans="1:35">
      <c r="A1044" s="113">
        <v>939</v>
      </c>
      <c r="B1044" s="113" t="s">
        <v>5124</v>
      </c>
      <c r="C1044" s="120" t="s">
        <v>6315</v>
      </c>
      <c r="D1044" s="124">
        <v>0.5</v>
      </c>
      <c r="E1044" s="124">
        <v>0.5</v>
      </c>
      <c r="F1044" s="113" t="s">
        <v>2331</v>
      </c>
      <c r="G1044" s="113" t="s">
        <v>5208</v>
      </c>
      <c r="H1044" s="113" t="s">
        <v>46</v>
      </c>
      <c r="I1044" s="113" t="s">
        <v>1109</v>
      </c>
      <c r="J1044" s="118" t="s">
        <v>2129</v>
      </c>
      <c r="K1044" s="118">
        <v>2</v>
      </c>
      <c r="L1044" s="118" t="s">
        <v>6314</v>
      </c>
      <c r="M1044" s="115" t="s">
        <v>6314</v>
      </c>
      <c r="N1044" s="115" t="s">
        <v>6504</v>
      </c>
      <c r="O1044" s="115">
        <v>1.25</v>
      </c>
      <c r="P1044" s="115" t="s">
        <v>1803</v>
      </c>
      <c r="Q1044" s="166"/>
      <c r="R1044" s="164"/>
      <c r="S1044" s="164"/>
      <c r="T1044" s="164"/>
      <c r="U1044" s="164"/>
      <c r="V1044" s="162"/>
      <c r="W1044" s="158"/>
      <c r="X1044" s="158"/>
      <c r="Y1044" s="158"/>
      <c r="Z1044" s="158"/>
      <c r="AA1044" s="158"/>
      <c r="AB1044" s="158"/>
      <c r="AC1044" s="113">
        <v>495</v>
      </c>
      <c r="AD1044" s="113">
        <v>109</v>
      </c>
      <c r="AE1044" s="113">
        <v>64</v>
      </c>
      <c r="AF1044" s="113">
        <v>91</v>
      </c>
      <c r="AG1044" s="120">
        <v>103</v>
      </c>
      <c r="AH1044" s="113">
        <v>83</v>
      </c>
      <c r="AI1044" s="113">
        <v>45</v>
      </c>
    </row>
    <row r="1045" spans="1:35">
      <c r="A1045" s="113">
        <v>940</v>
      </c>
      <c r="B1045" s="113" t="s">
        <v>5125</v>
      </c>
      <c r="C1045" s="120" t="s">
        <v>6316</v>
      </c>
      <c r="D1045" s="124">
        <v>0.5</v>
      </c>
      <c r="E1045" s="124">
        <v>0.5</v>
      </c>
      <c r="F1045" s="113" t="s">
        <v>22</v>
      </c>
      <c r="G1045" s="113" t="s">
        <v>5208</v>
      </c>
      <c r="H1045" s="113" t="s">
        <v>46</v>
      </c>
      <c r="I1045" s="113" t="s">
        <v>22</v>
      </c>
      <c r="J1045" s="118" t="s">
        <v>2129</v>
      </c>
      <c r="K1045" s="118">
        <v>1</v>
      </c>
      <c r="L1045" s="118" t="s">
        <v>6316</v>
      </c>
      <c r="M1045" s="115" t="s">
        <v>1109</v>
      </c>
      <c r="N1045" s="115" t="s">
        <v>6505</v>
      </c>
      <c r="O1045" s="115">
        <v>1</v>
      </c>
      <c r="P1045" s="115" t="s">
        <v>1109</v>
      </c>
      <c r="Q1045" s="166"/>
      <c r="R1045" s="164"/>
      <c r="S1045" s="164"/>
      <c r="T1045" s="164"/>
      <c r="U1045" s="164"/>
      <c r="V1045" s="162"/>
      <c r="W1045" s="158"/>
      <c r="X1045" s="158"/>
      <c r="Y1045" s="158"/>
      <c r="Z1045" s="158"/>
      <c r="AA1045" s="158"/>
      <c r="AB1045" s="158"/>
      <c r="AC1045" s="113">
        <v>280</v>
      </c>
      <c r="AD1045" s="113">
        <v>40</v>
      </c>
      <c r="AE1045" s="113">
        <v>40</v>
      </c>
      <c r="AF1045" s="113">
        <v>35</v>
      </c>
      <c r="AG1045" s="120">
        <v>55</v>
      </c>
      <c r="AH1045" s="113">
        <v>40</v>
      </c>
      <c r="AI1045" s="113">
        <v>70</v>
      </c>
    </row>
    <row r="1046" spans="1:35">
      <c r="A1046" s="113">
        <v>941</v>
      </c>
      <c r="B1046" s="113" t="s">
        <v>5126</v>
      </c>
      <c r="C1046" s="120" t="s">
        <v>6317</v>
      </c>
      <c r="D1046" s="124">
        <v>0.5</v>
      </c>
      <c r="E1046" s="124">
        <v>0.5</v>
      </c>
      <c r="F1046" s="113" t="s">
        <v>22</v>
      </c>
      <c r="G1046" s="113" t="s">
        <v>5208</v>
      </c>
      <c r="H1046" s="113" t="s">
        <v>46</v>
      </c>
      <c r="I1046" s="113" t="s">
        <v>22</v>
      </c>
      <c r="J1046" s="118" t="s">
        <v>2129</v>
      </c>
      <c r="K1046" s="118">
        <v>1</v>
      </c>
      <c r="L1046" s="118" t="s">
        <v>6316</v>
      </c>
      <c r="M1046" s="115" t="s">
        <v>6316</v>
      </c>
      <c r="N1046" s="115" t="s">
        <v>6504</v>
      </c>
      <c r="O1046" s="115">
        <v>1</v>
      </c>
      <c r="P1046" s="115" t="s">
        <v>2128</v>
      </c>
      <c r="Q1046" s="166"/>
      <c r="R1046" s="164"/>
      <c r="S1046" s="164"/>
      <c r="T1046" s="164"/>
      <c r="U1046" s="164"/>
      <c r="V1046" s="162"/>
      <c r="W1046" s="158"/>
      <c r="X1046" s="158"/>
      <c r="Y1046" s="158"/>
      <c r="Z1046" s="158"/>
      <c r="AA1046" s="158"/>
      <c r="AB1046" s="158"/>
      <c r="AC1046" s="113">
        <v>490</v>
      </c>
      <c r="AD1046" s="113">
        <v>70</v>
      </c>
      <c r="AE1046" s="113">
        <v>70</v>
      </c>
      <c r="AF1046" s="113">
        <v>60</v>
      </c>
      <c r="AG1046" s="120">
        <v>105</v>
      </c>
      <c r="AH1046" s="113">
        <v>60</v>
      </c>
      <c r="AI1046" s="113">
        <v>125</v>
      </c>
    </row>
    <row r="1047" spans="1:35">
      <c r="A1047" s="113">
        <v>942</v>
      </c>
      <c r="B1047" s="113" t="s">
        <v>5127</v>
      </c>
      <c r="C1047" s="120" t="s">
        <v>6318</v>
      </c>
      <c r="D1047" s="124">
        <v>0.5</v>
      </c>
      <c r="E1047" s="124">
        <v>0.5</v>
      </c>
      <c r="F1047" s="113" t="s">
        <v>2332</v>
      </c>
      <c r="G1047" s="113" t="s">
        <v>5208</v>
      </c>
      <c r="H1047" s="113" t="s">
        <v>158</v>
      </c>
      <c r="I1047" s="113" t="s">
        <v>1109</v>
      </c>
      <c r="J1047" s="118" t="s">
        <v>2129</v>
      </c>
      <c r="K1047" s="118">
        <v>1</v>
      </c>
      <c r="L1047" s="118" t="s">
        <v>6318</v>
      </c>
      <c r="M1047" s="115" t="s">
        <v>1109</v>
      </c>
      <c r="N1047" s="115" t="s">
        <v>6505</v>
      </c>
      <c r="O1047" s="115">
        <v>1</v>
      </c>
      <c r="P1047" s="115" t="s">
        <v>1109</v>
      </c>
      <c r="Q1047" s="166"/>
      <c r="R1047" s="164"/>
      <c r="S1047" s="164"/>
      <c r="T1047" s="164"/>
      <c r="U1047" s="164"/>
      <c r="V1047" s="162"/>
      <c r="W1047" s="158"/>
      <c r="X1047" s="158"/>
      <c r="Y1047" s="158"/>
      <c r="Z1047" s="158"/>
      <c r="AA1047" s="158"/>
      <c r="AB1047" s="158"/>
      <c r="AC1047" s="113">
        <v>340</v>
      </c>
      <c r="AD1047" s="113">
        <v>60</v>
      </c>
      <c r="AE1047" s="113">
        <v>78</v>
      </c>
      <c r="AF1047" s="113">
        <v>60</v>
      </c>
      <c r="AG1047" s="120">
        <v>40</v>
      </c>
      <c r="AH1047" s="113">
        <v>51</v>
      </c>
      <c r="AI1047" s="113">
        <v>51</v>
      </c>
    </row>
    <row r="1048" spans="1:35">
      <c r="A1048" s="113">
        <v>943</v>
      </c>
      <c r="B1048" s="113" t="s">
        <v>5128</v>
      </c>
      <c r="C1048" s="120" t="s">
        <v>6319</v>
      </c>
      <c r="D1048" s="124">
        <v>0.5</v>
      </c>
      <c r="E1048" s="124">
        <v>0.5</v>
      </c>
      <c r="F1048" s="113" t="s">
        <v>2332</v>
      </c>
      <c r="G1048" s="113" t="s">
        <v>5208</v>
      </c>
      <c r="H1048" s="113" t="s">
        <v>158</v>
      </c>
      <c r="I1048" s="113" t="s">
        <v>1109</v>
      </c>
      <c r="J1048" s="118" t="s">
        <v>2129</v>
      </c>
      <c r="K1048" s="118">
        <v>1</v>
      </c>
      <c r="L1048" s="118" t="s">
        <v>6318</v>
      </c>
      <c r="M1048" s="115" t="s">
        <v>6318</v>
      </c>
      <c r="N1048" s="115" t="s">
        <v>6504</v>
      </c>
      <c r="O1048" s="115">
        <v>1</v>
      </c>
      <c r="P1048" s="115" t="s">
        <v>2128</v>
      </c>
      <c r="Q1048" s="166"/>
      <c r="R1048" s="164"/>
      <c r="S1048" s="164"/>
      <c r="T1048" s="164"/>
      <c r="U1048" s="164"/>
      <c r="V1048" s="162"/>
      <c r="W1048" s="158"/>
      <c r="X1048" s="158"/>
      <c r="Y1048" s="158"/>
      <c r="Z1048" s="158"/>
      <c r="AA1048" s="158"/>
      <c r="AB1048" s="158"/>
      <c r="AC1048" s="113">
        <v>505</v>
      </c>
      <c r="AD1048" s="113">
        <v>80</v>
      </c>
      <c r="AE1048" s="113">
        <v>120</v>
      </c>
      <c r="AF1048" s="113">
        <v>90</v>
      </c>
      <c r="AG1048" s="120">
        <v>60</v>
      </c>
      <c r="AH1048" s="113">
        <v>70</v>
      </c>
      <c r="AI1048" s="113">
        <v>85</v>
      </c>
    </row>
    <row r="1049" spans="1:35">
      <c r="A1049" s="113">
        <v>944</v>
      </c>
      <c r="B1049" s="113" t="s">
        <v>5129</v>
      </c>
      <c r="C1049" s="120" t="s">
        <v>6320</v>
      </c>
      <c r="D1049" s="124">
        <v>0.5</v>
      </c>
      <c r="E1049" s="124">
        <v>0.5</v>
      </c>
      <c r="F1049" s="113" t="s">
        <v>2332</v>
      </c>
      <c r="G1049" s="113" t="s">
        <v>5208</v>
      </c>
      <c r="H1049" s="113" t="s">
        <v>15</v>
      </c>
      <c r="I1049" s="113" t="s">
        <v>36</v>
      </c>
      <c r="J1049" s="118" t="s">
        <v>2129</v>
      </c>
      <c r="K1049" s="118">
        <v>2</v>
      </c>
      <c r="L1049" s="118" t="s">
        <v>6320</v>
      </c>
      <c r="M1049" s="115" t="s">
        <v>1109</v>
      </c>
      <c r="N1049" s="115" t="s">
        <v>6505</v>
      </c>
      <c r="O1049" s="115">
        <v>1.25</v>
      </c>
      <c r="P1049" s="115" t="s">
        <v>1109</v>
      </c>
      <c r="Q1049" s="166"/>
      <c r="R1049" s="164"/>
      <c r="S1049" s="164"/>
      <c r="T1049" s="164"/>
      <c r="U1049" s="164"/>
      <c r="V1049" s="162"/>
      <c r="W1049" s="158"/>
      <c r="X1049" s="158"/>
      <c r="Y1049" s="158"/>
      <c r="Z1049" s="158"/>
      <c r="AA1049" s="158"/>
      <c r="AB1049" s="158"/>
      <c r="AC1049" s="113">
        <v>290</v>
      </c>
      <c r="AD1049" s="113">
        <v>40</v>
      </c>
      <c r="AE1049" s="113">
        <v>65</v>
      </c>
      <c r="AF1049" s="113">
        <v>35</v>
      </c>
      <c r="AG1049" s="120">
        <v>40</v>
      </c>
      <c r="AH1049" s="113">
        <v>35</v>
      </c>
      <c r="AI1049" s="113">
        <v>75</v>
      </c>
    </row>
    <row r="1050" spans="1:35">
      <c r="A1050" s="113">
        <v>945</v>
      </c>
      <c r="B1050" s="113" t="s">
        <v>5130</v>
      </c>
      <c r="C1050" s="120" t="s">
        <v>6321</v>
      </c>
      <c r="D1050" s="124">
        <v>0.5</v>
      </c>
      <c r="E1050" s="124">
        <v>0.5</v>
      </c>
      <c r="F1050" s="113" t="s">
        <v>2332</v>
      </c>
      <c r="G1050" s="113" t="s">
        <v>5208</v>
      </c>
      <c r="H1050" s="113" t="s">
        <v>15</v>
      </c>
      <c r="I1050" s="113" t="s">
        <v>36</v>
      </c>
      <c r="J1050" s="118" t="s">
        <v>2129</v>
      </c>
      <c r="K1050" s="118">
        <v>2</v>
      </c>
      <c r="L1050" s="118" t="s">
        <v>6320</v>
      </c>
      <c r="M1050" s="115" t="s">
        <v>6320</v>
      </c>
      <c r="N1050" s="115" t="s">
        <v>6504</v>
      </c>
      <c r="O1050" s="115">
        <v>1.25</v>
      </c>
      <c r="P1050" s="115" t="s">
        <v>2128</v>
      </c>
      <c r="Q1050" s="166"/>
      <c r="R1050" s="164"/>
      <c r="S1050" s="164"/>
      <c r="T1050" s="164"/>
      <c r="U1050" s="164"/>
      <c r="V1050" s="162"/>
      <c r="W1050" s="158"/>
      <c r="X1050" s="158"/>
      <c r="Y1050" s="158"/>
      <c r="Z1050" s="158"/>
      <c r="AA1050" s="158"/>
      <c r="AB1050" s="158"/>
      <c r="AC1050" s="113">
        <v>485</v>
      </c>
      <c r="AD1050" s="113">
        <v>63</v>
      </c>
      <c r="AE1050" s="113">
        <v>95</v>
      </c>
      <c r="AF1050" s="113">
        <v>65</v>
      </c>
      <c r="AG1050" s="120">
        <v>80</v>
      </c>
      <c r="AH1050" s="113">
        <v>72</v>
      </c>
      <c r="AI1050" s="113">
        <v>110</v>
      </c>
    </row>
    <row r="1051" spans="1:35">
      <c r="A1051" s="113">
        <v>946</v>
      </c>
      <c r="B1051" s="113" t="s">
        <v>5131</v>
      </c>
      <c r="C1051" s="120" t="s">
        <v>6322</v>
      </c>
      <c r="D1051" s="124">
        <v>0.5</v>
      </c>
      <c r="E1051" s="124">
        <v>0.5</v>
      </c>
      <c r="F1051" s="113" t="s">
        <v>14</v>
      </c>
      <c r="G1051" s="113" t="s">
        <v>5208</v>
      </c>
      <c r="H1051" s="113" t="s">
        <v>14</v>
      </c>
      <c r="I1051" s="113" t="s">
        <v>119</v>
      </c>
      <c r="J1051" s="118" t="s">
        <v>2129</v>
      </c>
      <c r="K1051" s="118">
        <v>2</v>
      </c>
      <c r="L1051" s="118" t="s">
        <v>6322</v>
      </c>
      <c r="M1051" s="115" t="s">
        <v>1109</v>
      </c>
      <c r="N1051" s="115" t="s">
        <v>6505</v>
      </c>
      <c r="O1051" s="115">
        <v>1.25</v>
      </c>
      <c r="P1051" s="115" t="s">
        <v>1109</v>
      </c>
      <c r="Q1051" s="166"/>
      <c r="R1051" s="164"/>
      <c r="S1051" s="164"/>
      <c r="T1051" s="164"/>
      <c r="U1051" s="164"/>
      <c r="V1051" s="162"/>
      <c r="W1051" s="158"/>
      <c r="X1051" s="158"/>
      <c r="Y1051" s="158"/>
      <c r="Z1051" s="158"/>
      <c r="AA1051" s="158"/>
      <c r="AB1051" s="158"/>
      <c r="AC1051" s="113">
        <v>275</v>
      </c>
      <c r="AD1051" s="113">
        <v>40</v>
      </c>
      <c r="AE1051" s="113">
        <v>65</v>
      </c>
      <c r="AF1051" s="113">
        <v>30</v>
      </c>
      <c r="AG1051" s="120">
        <v>45</v>
      </c>
      <c r="AH1051" s="113">
        <v>35</v>
      </c>
      <c r="AI1051" s="113">
        <v>60</v>
      </c>
    </row>
    <row r="1052" spans="1:35">
      <c r="A1052" s="113">
        <v>947</v>
      </c>
      <c r="B1052" s="113" t="s">
        <v>5132</v>
      </c>
      <c r="C1052" s="120" t="s">
        <v>6323</v>
      </c>
      <c r="D1052" s="124">
        <v>0.5</v>
      </c>
      <c r="E1052" s="124">
        <v>0.5</v>
      </c>
      <c r="F1052" s="113" t="s">
        <v>14</v>
      </c>
      <c r="G1052" s="113" t="s">
        <v>5208</v>
      </c>
      <c r="H1052" s="113" t="s">
        <v>14</v>
      </c>
      <c r="I1052" s="113" t="s">
        <v>119</v>
      </c>
      <c r="J1052" s="118" t="s">
        <v>2129</v>
      </c>
      <c r="K1052" s="118">
        <v>2</v>
      </c>
      <c r="L1052" s="118" t="s">
        <v>6322</v>
      </c>
      <c r="M1052" s="115" t="s">
        <v>6322</v>
      </c>
      <c r="N1052" s="115" t="s">
        <v>6504</v>
      </c>
      <c r="O1052" s="115">
        <v>1.25</v>
      </c>
      <c r="P1052" s="115" t="s">
        <v>2128</v>
      </c>
      <c r="Q1052" s="166"/>
      <c r="R1052" s="164"/>
      <c r="S1052" s="164"/>
      <c r="T1052" s="164"/>
      <c r="U1052" s="164"/>
      <c r="V1052" s="162"/>
      <c r="W1052" s="158"/>
      <c r="X1052" s="158"/>
      <c r="Y1052" s="158"/>
      <c r="Z1052" s="158"/>
      <c r="AA1052" s="158"/>
      <c r="AB1052" s="158"/>
      <c r="AC1052" s="113">
        <v>480</v>
      </c>
      <c r="AD1052" s="113">
        <v>55</v>
      </c>
      <c r="AE1052" s="113">
        <v>115</v>
      </c>
      <c r="AF1052" s="113">
        <v>70</v>
      </c>
      <c r="AG1052" s="120">
        <v>80</v>
      </c>
      <c r="AH1052" s="113">
        <v>70</v>
      </c>
      <c r="AI1052" s="113">
        <v>90</v>
      </c>
    </row>
    <row r="1053" spans="1:35">
      <c r="A1053" s="113">
        <v>948</v>
      </c>
      <c r="B1053" s="113" t="s">
        <v>5133</v>
      </c>
      <c r="C1053" s="120" t="s">
        <v>6324</v>
      </c>
      <c r="D1053" s="124">
        <v>0.5</v>
      </c>
      <c r="E1053" s="124">
        <v>0.5</v>
      </c>
      <c r="F1053" s="113" t="s">
        <v>14</v>
      </c>
      <c r="G1053" s="113" t="s">
        <v>5208</v>
      </c>
      <c r="H1053" s="113" t="s">
        <v>49</v>
      </c>
      <c r="I1053" s="113" t="s">
        <v>14</v>
      </c>
      <c r="J1053" s="118" t="s">
        <v>2129</v>
      </c>
      <c r="K1053" s="118">
        <v>1</v>
      </c>
      <c r="L1053" s="118" t="s">
        <v>5303</v>
      </c>
      <c r="M1053" s="115" t="s">
        <v>1109</v>
      </c>
      <c r="N1053" s="115" t="s">
        <v>6505</v>
      </c>
      <c r="O1053" s="115">
        <v>1</v>
      </c>
      <c r="P1053" s="115" t="s">
        <v>1109</v>
      </c>
      <c r="Q1053" s="166"/>
      <c r="R1053" s="164"/>
      <c r="S1053" s="164"/>
      <c r="T1053" s="164"/>
      <c r="U1053" s="164"/>
      <c r="V1053" s="162"/>
      <c r="W1053" s="158"/>
      <c r="X1053" s="158"/>
      <c r="Y1053" s="158"/>
      <c r="Z1053" s="158"/>
      <c r="AA1053" s="158"/>
      <c r="AB1053" s="158"/>
      <c r="AC1053" s="113">
        <v>335</v>
      </c>
      <c r="AD1053" s="113">
        <v>40</v>
      </c>
      <c r="AE1053" s="113">
        <v>40</v>
      </c>
      <c r="AF1053" s="113">
        <v>35</v>
      </c>
      <c r="AG1053" s="120">
        <v>50</v>
      </c>
      <c r="AH1053" s="113">
        <v>100</v>
      </c>
      <c r="AI1053" s="113">
        <v>70</v>
      </c>
    </row>
    <row r="1054" spans="1:35">
      <c r="A1054" s="113">
        <v>949</v>
      </c>
      <c r="B1054" s="113" t="s">
        <v>5134</v>
      </c>
      <c r="C1054" s="120" t="s">
        <v>6325</v>
      </c>
      <c r="D1054" s="124">
        <v>0.5</v>
      </c>
      <c r="E1054" s="124">
        <v>0.5</v>
      </c>
      <c r="F1054" s="113" t="s">
        <v>14</v>
      </c>
      <c r="G1054" s="113" t="s">
        <v>5208</v>
      </c>
      <c r="H1054" s="113" t="s">
        <v>49</v>
      </c>
      <c r="I1054" s="113" t="s">
        <v>14</v>
      </c>
      <c r="J1054" s="118" t="s">
        <v>2129</v>
      </c>
      <c r="K1054" s="118">
        <v>1</v>
      </c>
      <c r="L1054" s="118" t="s">
        <v>5303</v>
      </c>
      <c r="M1054" s="115" t="s">
        <v>6324</v>
      </c>
      <c r="N1054" s="115" t="s">
        <v>6504</v>
      </c>
      <c r="O1054" s="115">
        <v>1</v>
      </c>
      <c r="P1054" s="115" t="s">
        <v>2128</v>
      </c>
      <c r="Q1054" s="166"/>
      <c r="R1054" s="164"/>
      <c r="S1054" s="164"/>
      <c r="T1054" s="164"/>
      <c r="U1054" s="164"/>
      <c r="V1054" s="162"/>
      <c r="W1054" s="158"/>
      <c r="X1054" s="158"/>
      <c r="Y1054" s="158"/>
      <c r="Z1054" s="158"/>
      <c r="AA1054" s="158"/>
      <c r="AB1054" s="158"/>
      <c r="AC1054" s="113">
        <v>515</v>
      </c>
      <c r="AD1054" s="113">
        <v>80</v>
      </c>
      <c r="AE1054" s="113">
        <v>70</v>
      </c>
      <c r="AF1054" s="113">
        <v>65</v>
      </c>
      <c r="AG1054" s="120">
        <v>80</v>
      </c>
      <c r="AH1054" s="113">
        <v>120</v>
      </c>
      <c r="AI1054" s="113">
        <v>100</v>
      </c>
    </row>
    <row r="1055" spans="1:35">
      <c r="A1055" s="113">
        <v>950</v>
      </c>
      <c r="B1055" s="113" t="s">
        <v>5135</v>
      </c>
      <c r="C1055" s="120" t="s">
        <v>6326</v>
      </c>
      <c r="D1055" s="124">
        <v>0.5</v>
      </c>
      <c r="E1055" s="124">
        <v>0.5</v>
      </c>
      <c r="F1055" s="113" t="s">
        <v>2335</v>
      </c>
      <c r="G1055" s="113" t="s">
        <v>5208</v>
      </c>
      <c r="H1055" s="113" t="s">
        <v>98</v>
      </c>
      <c r="I1055" s="113" t="s">
        <v>1109</v>
      </c>
      <c r="J1055" s="118" t="s">
        <v>2129</v>
      </c>
      <c r="K1055" s="118">
        <v>3</v>
      </c>
      <c r="L1055" s="118" t="s">
        <v>6326</v>
      </c>
      <c r="M1055" s="115" t="s">
        <v>1109</v>
      </c>
      <c r="N1055" s="115" t="s">
        <v>6504</v>
      </c>
      <c r="O1055" s="115">
        <v>1.5</v>
      </c>
      <c r="P1055" s="115" t="s">
        <v>1109</v>
      </c>
      <c r="Q1055" s="166"/>
      <c r="R1055" s="164"/>
      <c r="S1055" s="164"/>
      <c r="T1055" s="164"/>
      <c r="U1055" s="164"/>
      <c r="V1055" s="162"/>
      <c r="W1055" s="158"/>
      <c r="X1055" s="158"/>
      <c r="Y1055" s="158"/>
      <c r="Z1055" s="158"/>
      <c r="AA1055" s="158"/>
      <c r="AB1055" s="158"/>
      <c r="AC1055" s="113">
        <v>450</v>
      </c>
      <c r="AD1055" s="113">
        <v>70</v>
      </c>
      <c r="AE1055" s="113">
        <v>100</v>
      </c>
      <c r="AF1055" s="113">
        <v>115</v>
      </c>
      <c r="AG1055" s="120">
        <v>35</v>
      </c>
      <c r="AH1055" s="113">
        <v>55</v>
      </c>
      <c r="AI1055" s="113">
        <v>75</v>
      </c>
    </row>
    <row r="1056" spans="1:35">
      <c r="A1056" s="113">
        <v>951</v>
      </c>
      <c r="B1056" s="113" t="s">
        <v>5136</v>
      </c>
      <c r="C1056" s="120" t="s">
        <v>6327</v>
      </c>
      <c r="D1056" s="124">
        <v>0.5</v>
      </c>
      <c r="E1056" s="124">
        <v>0.5</v>
      </c>
      <c r="F1056" s="113" t="s">
        <v>14</v>
      </c>
      <c r="G1056" s="113" t="s">
        <v>5208</v>
      </c>
      <c r="H1056" s="113" t="s">
        <v>14</v>
      </c>
      <c r="I1056" s="113" t="s">
        <v>1109</v>
      </c>
      <c r="J1056" s="118" t="s">
        <v>2129</v>
      </c>
      <c r="K1056" s="118">
        <v>2</v>
      </c>
      <c r="L1056" s="118" t="s">
        <v>6327</v>
      </c>
      <c r="M1056" s="115" t="s">
        <v>1109</v>
      </c>
      <c r="N1056" s="115" t="s">
        <v>6505</v>
      </c>
      <c r="O1056" s="115">
        <v>1.25</v>
      </c>
      <c r="P1056" s="115" t="s">
        <v>1109</v>
      </c>
      <c r="Q1056" s="166"/>
      <c r="R1056" s="164"/>
      <c r="S1056" s="164"/>
      <c r="T1056" s="164"/>
      <c r="U1056" s="164"/>
      <c r="V1056" s="162"/>
      <c r="W1056" s="158"/>
      <c r="X1056" s="158"/>
      <c r="Y1056" s="158"/>
      <c r="Z1056" s="158"/>
      <c r="AA1056" s="158"/>
      <c r="AB1056" s="158"/>
      <c r="AC1056" s="113">
        <v>304</v>
      </c>
      <c r="AD1056" s="113">
        <v>50</v>
      </c>
      <c r="AE1056" s="113">
        <v>62</v>
      </c>
      <c r="AF1056" s="113">
        <v>40</v>
      </c>
      <c r="AG1056" s="120">
        <v>62</v>
      </c>
      <c r="AH1056" s="113">
        <v>40</v>
      </c>
      <c r="AI1056" s="113">
        <v>50</v>
      </c>
    </row>
    <row r="1057" spans="1:35">
      <c r="A1057" s="113">
        <v>952</v>
      </c>
      <c r="B1057" s="113" t="s">
        <v>5137</v>
      </c>
      <c r="C1057" s="120" t="s">
        <v>6328</v>
      </c>
      <c r="D1057" s="124">
        <v>0.5</v>
      </c>
      <c r="E1057" s="124">
        <v>0.5</v>
      </c>
      <c r="F1057" s="113" t="s">
        <v>14</v>
      </c>
      <c r="G1057" s="113" t="s">
        <v>5208</v>
      </c>
      <c r="H1057" s="113" t="s">
        <v>14</v>
      </c>
      <c r="I1057" s="113" t="s">
        <v>19</v>
      </c>
      <c r="J1057" s="118" t="s">
        <v>2129</v>
      </c>
      <c r="K1057" s="118">
        <v>2</v>
      </c>
      <c r="L1057" s="118" t="s">
        <v>6327</v>
      </c>
      <c r="M1057" s="115" t="s">
        <v>6327</v>
      </c>
      <c r="N1057" s="115" t="s">
        <v>6504</v>
      </c>
      <c r="O1057" s="115">
        <v>1.25</v>
      </c>
      <c r="P1057" s="115" t="s">
        <v>1803</v>
      </c>
      <c r="Q1057" s="166"/>
      <c r="R1057" s="164"/>
      <c r="S1057" s="164"/>
      <c r="T1057" s="164"/>
      <c r="U1057" s="164"/>
      <c r="V1057" s="162"/>
      <c r="W1057" s="158"/>
      <c r="X1057" s="158"/>
      <c r="Y1057" s="158"/>
      <c r="Z1057" s="158"/>
      <c r="AA1057" s="158"/>
      <c r="AB1057" s="158"/>
      <c r="AC1057" s="113">
        <v>486</v>
      </c>
      <c r="AD1057" s="113">
        <v>65</v>
      </c>
      <c r="AE1057" s="113">
        <v>108</v>
      </c>
      <c r="AF1057" s="113">
        <v>65</v>
      </c>
      <c r="AG1057" s="120">
        <v>108</v>
      </c>
      <c r="AH1057" s="113">
        <v>65</v>
      </c>
      <c r="AI1057" s="113">
        <v>75</v>
      </c>
    </row>
    <row r="1058" spans="1:35">
      <c r="A1058" s="113">
        <v>953</v>
      </c>
      <c r="B1058" s="113" t="s">
        <v>5138</v>
      </c>
      <c r="C1058" s="120" t="s">
        <v>6329</v>
      </c>
      <c r="D1058" s="124">
        <v>0.5</v>
      </c>
      <c r="E1058" s="124">
        <v>0.5</v>
      </c>
      <c r="F1058" s="113" t="s">
        <v>29</v>
      </c>
      <c r="G1058" s="113" t="s">
        <v>5208</v>
      </c>
      <c r="H1058" s="113" t="s">
        <v>29</v>
      </c>
      <c r="I1058" s="113" t="s">
        <v>1109</v>
      </c>
      <c r="J1058" s="118" t="s">
        <v>2129</v>
      </c>
      <c r="K1058" s="118">
        <v>2</v>
      </c>
      <c r="L1058" s="118" t="s">
        <v>6329</v>
      </c>
      <c r="M1058" s="115" t="s">
        <v>1109</v>
      </c>
      <c r="N1058" s="115" t="s">
        <v>6505</v>
      </c>
      <c r="O1058" s="115">
        <v>1.25</v>
      </c>
      <c r="P1058" s="115" t="s">
        <v>1109</v>
      </c>
      <c r="Q1058" s="166"/>
      <c r="R1058" s="164"/>
      <c r="S1058" s="164"/>
      <c r="T1058" s="164"/>
      <c r="U1058" s="164"/>
      <c r="V1058" s="162"/>
      <c r="W1058" s="158"/>
      <c r="X1058" s="158"/>
      <c r="Y1058" s="158"/>
      <c r="Z1058" s="158"/>
      <c r="AA1058" s="158"/>
      <c r="AB1058" s="158"/>
      <c r="AC1058" s="113">
        <v>270</v>
      </c>
      <c r="AD1058" s="113">
        <v>41</v>
      </c>
      <c r="AE1058" s="113">
        <v>50</v>
      </c>
      <c r="AF1058" s="113">
        <v>60</v>
      </c>
      <c r="AG1058" s="120">
        <v>31</v>
      </c>
      <c r="AH1058" s="113">
        <v>58</v>
      </c>
      <c r="AI1058" s="113">
        <v>30</v>
      </c>
    </row>
    <row r="1059" spans="1:35">
      <c r="A1059" s="113">
        <v>954</v>
      </c>
      <c r="B1059" s="113" t="s">
        <v>5139</v>
      </c>
      <c r="C1059" s="120" t="s">
        <v>6330</v>
      </c>
      <c r="D1059" s="124">
        <v>0.5</v>
      </c>
      <c r="E1059" s="124">
        <v>0.5</v>
      </c>
      <c r="F1059" s="113" t="s">
        <v>29</v>
      </c>
      <c r="G1059" s="113" t="s">
        <v>5208</v>
      </c>
      <c r="H1059" s="113" t="s">
        <v>29</v>
      </c>
      <c r="I1059" s="113" t="s">
        <v>86</v>
      </c>
      <c r="J1059" s="118" t="s">
        <v>2129</v>
      </c>
      <c r="K1059" s="118">
        <v>2</v>
      </c>
      <c r="L1059" s="118" t="s">
        <v>6329</v>
      </c>
      <c r="M1059" s="115" t="s">
        <v>6329</v>
      </c>
      <c r="N1059" s="115" t="s">
        <v>6504</v>
      </c>
      <c r="O1059" s="115">
        <v>1.25</v>
      </c>
      <c r="P1059" s="115" t="s">
        <v>2128</v>
      </c>
      <c r="Q1059" s="166"/>
      <c r="R1059" s="164"/>
      <c r="S1059" s="164"/>
      <c r="T1059" s="164"/>
      <c r="U1059" s="164"/>
      <c r="V1059" s="162"/>
      <c r="W1059" s="158"/>
      <c r="X1059" s="158"/>
      <c r="Y1059" s="158"/>
      <c r="Z1059" s="158"/>
      <c r="AA1059" s="158"/>
      <c r="AB1059" s="158"/>
      <c r="AC1059" s="113">
        <v>470</v>
      </c>
      <c r="AD1059" s="113">
        <v>75</v>
      </c>
      <c r="AE1059" s="113">
        <v>50</v>
      </c>
      <c r="AF1059" s="113">
        <v>85</v>
      </c>
      <c r="AG1059" s="120">
        <v>115</v>
      </c>
      <c r="AH1059" s="113">
        <v>100</v>
      </c>
      <c r="AI1059" s="113">
        <v>45</v>
      </c>
    </row>
    <row r="1060" spans="1:35">
      <c r="A1060" s="113">
        <v>955</v>
      </c>
      <c r="B1060" s="113" t="s">
        <v>5140</v>
      </c>
      <c r="C1060" s="120" t="s">
        <v>6331</v>
      </c>
      <c r="D1060" s="124">
        <v>0.5</v>
      </c>
      <c r="E1060" s="124">
        <v>0.5</v>
      </c>
      <c r="F1060" s="113" t="s">
        <v>22</v>
      </c>
      <c r="G1060" s="113" t="s">
        <v>5208</v>
      </c>
      <c r="H1060" s="113" t="s">
        <v>86</v>
      </c>
      <c r="I1060" s="113" t="s">
        <v>1109</v>
      </c>
      <c r="J1060" s="118" t="s">
        <v>2129</v>
      </c>
      <c r="K1060" s="118">
        <v>2</v>
      </c>
      <c r="L1060" s="118" t="s">
        <v>6331</v>
      </c>
      <c r="M1060" s="115" t="s">
        <v>1109</v>
      </c>
      <c r="N1060" s="115" t="s">
        <v>6505</v>
      </c>
      <c r="O1060" s="115">
        <v>1.25</v>
      </c>
      <c r="P1060" s="115" t="s">
        <v>1109</v>
      </c>
      <c r="Q1060" s="166"/>
      <c r="R1060" s="164"/>
      <c r="S1060" s="164"/>
      <c r="T1060" s="164"/>
      <c r="U1060" s="164"/>
      <c r="V1060" s="162"/>
      <c r="W1060" s="158"/>
      <c r="X1060" s="158"/>
      <c r="Y1060" s="158"/>
      <c r="Z1060" s="158"/>
      <c r="AA1060" s="158"/>
      <c r="AB1060" s="158"/>
      <c r="AC1060" s="113">
        <v>255</v>
      </c>
      <c r="AD1060" s="113">
        <v>30</v>
      </c>
      <c r="AE1060" s="113">
        <v>35</v>
      </c>
      <c r="AF1060" s="113">
        <v>30</v>
      </c>
      <c r="AG1060" s="120">
        <v>55</v>
      </c>
      <c r="AH1060" s="113">
        <v>30</v>
      </c>
      <c r="AI1060" s="113">
        <v>75</v>
      </c>
    </row>
    <row r="1061" spans="1:35">
      <c r="A1061" s="113">
        <v>956</v>
      </c>
      <c r="B1061" s="113" t="s">
        <v>5141</v>
      </c>
      <c r="C1061" s="120" t="s">
        <v>6332</v>
      </c>
      <c r="D1061" s="124">
        <v>0.5</v>
      </c>
      <c r="E1061" s="124">
        <v>0.5</v>
      </c>
      <c r="F1061" s="113" t="s">
        <v>22</v>
      </c>
      <c r="G1061" s="113" t="s">
        <v>5208</v>
      </c>
      <c r="H1061" s="113" t="s">
        <v>86</v>
      </c>
      <c r="I1061" s="113" t="s">
        <v>1109</v>
      </c>
      <c r="J1061" s="118" t="s">
        <v>2129</v>
      </c>
      <c r="K1061" s="118">
        <v>2</v>
      </c>
      <c r="L1061" s="118" t="s">
        <v>6331</v>
      </c>
      <c r="M1061" s="115" t="s">
        <v>6331</v>
      </c>
      <c r="N1061" s="115" t="s">
        <v>6504</v>
      </c>
      <c r="O1061" s="115">
        <v>1.25</v>
      </c>
      <c r="P1061" s="115" t="s">
        <v>2128</v>
      </c>
      <c r="Q1061" s="166"/>
      <c r="R1061" s="164"/>
      <c r="S1061" s="164"/>
      <c r="T1061" s="164"/>
      <c r="U1061" s="164"/>
      <c r="V1061" s="162"/>
      <c r="W1061" s="158"/>
      <c r="X1061" s="158"/>
      <c r="Y1061" s="158"/>
      <c r="Z1061" s="158"/>
      <c r="AA1061" s="158"/>
      <c r="AB1061" s="158"/>
      <c r="AC1061" s="113">
        <v>481</v>
      </c>
      <c r="AD1061" s="113">
        <v>95</v>
      </c>
      <c r="AE1061" s="113">
        <v>60</v>
      </c>
      <c r="AF1061" s="113">
        <v>60</v>
      </c>
      <c r="AG1061" s="120">
        <v>101</v>
      </c>
      <c r="AH1061" s="113">
        <v>60</v>
      </c>
      <c r="AI1061" s="113">
        <v>105</v>
      </c>
    </row>
    <row r="1062" spans="1:35">
      <c r="A1062" s="113">
        <v>957</v>
      </c>
      <c r="B1062" s="113" t="s">
        <v>5142</v>
      </c>
      <c r="C1062" s="120" t="s">
        <v>6333</v>
      </c>
      <c r="D1062" s="124">
        <v>0</v>
      </c>
      <c r="E1062" s="124">
        <v>1</v>
      </c>
      <c r="F1062" s="113" t="s">
        <v>56</v>
      </c>
      <c r="G1062" s="113" t="s">
        <v>5208</v>
      </c>
      <c r="H1062" s="113" t="s">
        <v>56</v>
      </c>
      <c r="I1062" s="113" t="s">
        <v>106</v>
      </c>
      <c r="J1062" s="118" t="s">
        <v>2129</v>
      </c>
      <c r="K1062" s="118">
        <v>2</v>
      </c>
      <c r="L1062" s="118" t="s">
        <v>6333</v>
      </c>
      <c r="M1062" s="115" t="s">
        <v>1109</v>
      </c>
      <c r="N1062" s="115" t="s">
        <v>6505</v>
      </c>
      <c r="O1062" s="115">
        <v>1.25</v>
      </c>
      <c r="P1062" s="115" t="s">
        <v>1109</v>
      </c>
      <c r="Q1062" s="166"/>
      <c r="R1062" s="164"/>
      <c r="S1062" s="164"/>
      <c r="T1062" s="164"/>
      <c r="U1062" s="164"/>
      <c r="V1062" s="162"/>
      <c r="W1062" s="158"/>
      <c r="X1062" s="158"/>
      <c r="Y1062" s="158"/>
      <c r="Z1062" s="158"/>
      <c r="AA1062" s="158"/>
      <c r="AB1062" s="158"/>
      <c r="AC1062" s="113">
        <v>297</v>
      </c>
      <c r="AD1062" s="113">
        <v>50</v>
      </c>
      <c r="AE1062" s="113">
        <v>45</v>
      </c>
      <c r="AF1062" s="113">
        <v>45</v>
      </c>
      <c r="AG1062" s="120">
        <v>35</v>
      </c>
      <c r="AH1062" s="113">
        <v>64</v>
      </c>
      <c r="AI1062" s="113">
        <v>58</v>
      </c>
    </row>
    <row r="1063" spans="1:35">
      <c r="A1063" s="113">
        <v>958</v>
      </c>
      <c r="B1063" s="113" t="s">
        <v>5143</v>
      </c>
      <c r="C1063" s="120" t="s">
        <v>6334</v>
      </c>
      <c r="D1063" s="124">
        <v>0</v>
      </c>
      <c r="E1063" s="124">
        <v>1</v>
      </c>
      <c r="F1063" s="113" t="s">
        <v>56</v>
      </c>
      <c r="G1063" s="113" t="s">
        <v>5208</v>
      </c>
      <c r="H1063" s="113" t="s">
        <v>56</v>
      </c>
      <c r="I1063" s="113" t="s">
        <v>106</v>
      </c>
      <c r="J1063" s="118" t="s">
        <v>2129</v>
      </c>
      <c r="K1063" s="118">
        <v>2</v>
      </c>
      <c r="L1063" s="118" t="s">
        <v>6333</v>
      </c>
      <c r="M1063" s="115" t="s">
        <v>6333</v>
      </c>
      <c r="N1063" s="115" t="s">
        <v>6506</v>
      </c>
      <c r="O1063" s="115">
        <v>1.25</v>
      </c>
      <c r="P1063" s="115" t="s">
        <v>2128</v>
      </c>
      <c r="Q1063" s="166"/>
      <c r="R1063" s="164"/>
      <c r="S1063" s="164"/>
      <c r="T1063" s="164"/>
      <c r="U1063" s="164"/>
      <c r="V1063" s="162"/>
      <c r="W1063" s="158"/>
      <c r="X1063" s="158"/>
      <c r="Y1063" s="158"/>
      <c r="Z1063" s="158"/>
      <c r="AA1063" s="158"/>
      <c r="AB1063" s="158"/>
      <c r="AC1063" s="113">
        <v>380</v>
      </c>
      <c r="AD1063" s="113">
        <v>65</v>
      </c>
      <c r="AE1063" s="113">
        <v>55</v>
      </c>
      <c r="AF1063" s="113">
        <v>55</v>
      </c>
      <c r="AG1063" s="120">
        <v>45</v>
      </c>
      <c r="AH1063" s="113">
        <v>82</v>
      </c>
      <c r="AI1063" s="113">
        <v>78</v>
      </c>
    </row>
    <row r="1064" spans="1:35">
      <c r="A1064" s="113">
        <v>959</v>
      </c>
      <c r="B1064" s="113" t="s">
        <v>5144</v>
      </c>
      <c r="C1064" s="120" t="s">
        <v>6335</v>
      </c>
      <c r="D1064" s="124">
        <v>0</v>
      </c>
      <c r="E1064" s="124">
        <v>1</v>
      </c>
      <c r="F1064" s="113" t="s">
        <v>56</v>
      </c>
      <c r="G1064" s="113" t="s">
        <v>5208</v>
      </c>
      <c r="H1064" s="113" t="s">
        <v>56</v>
      </c>
      <c r="I1064" s="113" t="s">
        <v>106</v>
      </c>
      <c r="J1064" s="118" t="s">
        <v>2129</v>
      </c>
      <c r="K1064" s="118">
        <v>2</v>
      </c>
      <c r="L1064" s="118" t="s">
        <v>6333</v>
      </c>
      <c r="M1064" s="115" t="s">
        <v>6334</v>
      </c>
      <c r="N1064" s="115" t="s">
        <v>6504</v>
      </c>
      <c r="O1064" s="115">
        <v>1.25</v>
      </c>
      <c r="P1064" s="115" t="s">
        <v>2128</v>
      </c>
      <c r="Q1064" s="166"/>
      <c r="R1064" s="164"/>
      <c r="S1064" s="164"/>
      <c r="T1064" s="164"/>
      <c r="U1064" s="164"/>
      <c r="V1064" s="162"/>
      <c r="W1064" s="158"/>
      <c r="X1064" s="158"/>
      <c r="Y1064" s="158"/>
      <c r="Z1064" s="158"/>
      <c r="AA1064" s="158"/>
      <c r="AB1064" s="158"/>
      <c r="AC1064" s="113">
        <v>506</v>
      </c>
      <c r="AD1064" s="113">
        <v>85</v>
      </c>
      <c r="AE1064" s="113">
        <v>75</v>
      </c>
      <c r="AF1064" s="113">
        <v>77</v>
      </c>
      <c r="AG1064" s="120">
        <v>70</v>
      </c>
      <c r="AH1064" s="113">
        <v>105</v>
      </c>
      <c r="AI1064" s="113">
        <v>94</v>
      </c>
    </row>
    <row r="1065" spans="1:35">
      <c r="A1065" s="113">
        <v>960</v>
      </c>
      <c r="B1065" s="113" t="s">
        <v>5145</v>
      </c>
      <c r="C1065" s="120" t="s">
        <v>6336</v>
      </c>
      <c r="D1065" s="124">
        <v>0.5</v>
      </c>
      <c r="E1065" s="124">
        <v>0.5</v>
      </c>
      <c r="F1065" s="113" t="s">
        <v>2335</v>
      </c>
      <c r="G1065" s="113" t="s">
        <v>5208</v>
      </c>
      <c r="H1065" s="113" t="s">
        <v>25</v>
      </c>
      <c r="I1065" s="113" t="s">
        <v>1109</v>
      </c>
      <c r="J1065" s="118" t="s">
        <v>2129</v>
      </c>
      <c r="K1065" s="118">
        <v>2</v>
      </c>
      <c r="L1065" s="118" t="s">
        <v>5273</v>
      </c>
      <c r="M1065" s="115" t="s">
        <v>1109</v>
      </c>
      <c r="N1065" s="115" t="s">
        <v>6505</v>
      </c>
      <c r="O1065" s="115">
        <v>1.25</v>
      </c>
      <c r="P1065" s="115" t="s">
        <v>1109</v>
      </c>
      <c r="Q1065" s="166"/>
      <c r="R1065" s="164"/>
      <c r="S1065" s="164"/>
      <c r="T1065" s="164"/>
      <c r="U1065" s="164"/>
      <c r="V1065" s="162"/>
      <c r="W1065" s="158"/>
      <c r="X1065" s="158"/>
      <c r="Y1065" s="158"/>
      <c r="Z1065" s="158"/>
      <c r="AA1065" s="158"/>
      <c r="AB1065" s="158"/>
      <c r="AC1065" s="113">
        <v>245</v>
      </c>
      <c r="AD1065" s="113">
        <v>10</v>
      </c>
      <c r="AE1065" s="113">
        <v>55</v>
      </c>
      <c r="AF1065" s="113">
        <v>25</v>
      </c>
      <c r="AG1065" s="120">
        <v>35</v>
      </c>
      <c r="AH1065" s="113">
        <v>25</v>
      </c>
      <c r="AI1065" s="113">
        <v>95</v>
      </c>
    </row>
    <row r="1066" spans="1:35">
      <c r="A1066" s="113">
        <v>961</v>
      </c>
      <c r="B1066" s="113" t="s">
        <v>5146</v>
      </c>
      <c r="C1066" s="120" t="s">
        <v>6337</v>
      </c>
      <c r="D1066" s="124">
        <v>0.5</v>
      </c>
      <c r="E1066" s="124">
        <v>0.5</v>
      </c>
      <c r="F1066" s="113" t="s">
        <v>2335</v>
      </c>
      <c r="G1066" s="113" t="s">
        <v>5208</v>
      </c>
      <c r="H1066" s="113" t="s">
        <v>25</v>
      </c>
      <c r="I1066" s="113" t="s">
        <v>1109</v>
      </c>
      <c r="J1066" s="118" t="s">
        <v>2129</v>
      </c>
      <c r="K1066" s="118">
        <v>2</v>
      </c>
      <c r="L1066" s="118" t="s">
        <v>5273</v>
      </c>
      <c r="M1066" s="115" t="s">
        <v>6336</v>
      </c>
      <c r="N1066" s="115" t="s">
        <v>6504</v>
      </c>
      <c r="O1066" s="115">
        <v>1.25</v>
      </c>
      <c r="P1066" s="115" t="s">
        <v>2128</v>
      </c>
      <c r="Q1066" s="166"/>
      <c r="R1066" s="164"/>
      <c r="S1066" s="164"/>
      <c r="T1066" s="164"/>
      <c r="U1066" s="164"/>
      <c r="V1066" s="162"/>
      <c r="W1066" s="158"/>
      <c r="X1066" s="158"/>
      <c r="Y1066" s="158"/>
      <c r="Z1066" s="158"/>
      <c r="AA1066" s="158"/>
      <c r="AB1066" s="158"/>
      <c r="AC1066" s="113">
        <v>425</v>
      </c>
      <c r="AD1066" s="113">
        <v>35</v>
      </c>
      <c r="AE1066" s="113">
        <v>100</v>
      </c>
      <c r="AF1066" s="113">
        <v>50</v>
      </c>
      <c r="AG1066" s="120">
        <v>50</v>
      </c>
      <c r="AH1066" s="113">
        <v>70</v>
      </c>
      <c r="AI1066" s="113">
        <v>120</v>
      </c>
    </row>
    <row r="1067" spans="1:35">
      <c r="A1067" s="113">
        <v>962</v>
      </c>
      <c r="B1067" s="113" t="s">
        <v>5147</v>
      </c>
      <c r="C1067" s="120" t="s">
        <v>6338</v>
      </c>
      <c r="D1067" s="124">
        <v>0.5</v>
      </c>
      <c r="E1067" s="124">
        <v>0.5</v>
      </c>
      <c r="F1067" s="113" t="s">
        <v>22</v>
      </c>
      <c r="G1067" s="113" t="s">
        <v>5208</v>
      </c>
      <c r="H1067" s="113" t="s">
        <v>22</v>
      </c>
      <c r="I1067" s="113" t="s">
        <v>158</v>
      </c>
      <c r="J1067" s="118" t="s">
        <v>2129</v>
      </c>
      <c r="K1067" s="118">
        <v>3</v>
      </c>
      <c r="L1067" s="118" t="s">
        <v>6338</v>
      </c>
      <c r="M1067" s="115" t="s">
        <v>1109</v>
      </c>
      <c r="N1067" s="115" t="s">
        <v>6504</v>
      </c>
      <c r="O1067" s="115">
        <v>1.5</v>
      </c>
      <c r="P1067" s="115" t="s">
        <v>1109</v>
      </c>
      <c r="Q1067" s="166"/>
      <c r="R1067" s="164"/>
      <c r="S1067" s="164"/>
      <c r="T1067" s="164"/>
      <c r="U1067" s="164"/>
      <c r="V1067" s="162"/>
      <c r="W1067" s="158"/>
      <c r="X1067" s="158"/>
      <c r="Y1067" s="158"/>
      <c r="Z1067" s="158"/>
      <c r="AA1067" s="158"/>
      <c r="AB1067" s="158"/>
      <c r="AC1067" s="113">
        <v>485</v>
      </c>
      <c r="AD1067" s="113">
        <v>70</v>
      </c>
      <c r="AE1067" s="113">
        <v>103</v>
      </c>
      <c r="AF1067" s="113">
        <v>85</v>
      </c>
      <c r="AG1067" s="120">
        <v>60</v>
      </c>
      <c r="AH1067" s="113">
        <v>85</v>
      </c>
      <c r="AI1067" s="113">
        <v>82</v>
      </c>
    </row>
    <row r="1068" spans="1:35">
      <c r="A1068" s="113">
        <v>963</v>
      </c>
      <c r="B1068" s="113" t="s">
        <v>5148</v>
      </c>
      <c r="C1068" s="120" t="s">
        <v>6339</v>
      </c>
      <c r="D1068" s="124">
        <v>0.5</v>
      </c>
      <c r="E1068" s="124">
        <v>0.5</v>
      </c>
      <c r="F1068" s="113" t="s">
        <v>2337</v>
      </c>
      <c r="G1068" s="113" t="s">
        <v>5208</v>
      </c>
      <c r="H1068" s="113" t="s">
        <v>25</v>
      </c>
      <c r="I1068" s="113" t="s">
        <v>1109</v>
      </c>
      <c r="J1068" s="118" t="s">
        <v>2129</v>
      </c>
      <c r="K1068" s="118">
        <v>2</v>
      </c>
      <c r="L1068" s="118" t="s">
        <v>6339</v>
      </c>
      <c r="M1068" s="115" t="s">
        <v>1109</v>
      </c>
      <c r="N1068" s="115" t="s">
        <v>6505</v>
      </c>
      <c r="O1068" s="115">
        <v>1.25</v>
      </c>
      <c r="P1068" s="115" t="s">
        <v>1109</v>
      </c>
      <c r="Q1068" s="166"/>
      <c r="R1068" s="164"/>
      <c r="S1068" s="164"/>
      <c r="T1068" s="164"/>
      <c r="U1068" s="164"/>
      <c r="V1068" s="162"/>
      <c r="W1068" s="158"/>
      <c r="X1068" s="158"/>
      <c r="Y1068" s="158"/>
      <c r="Z1068" s="158"/>
      <c r="AA1068" s="158"/>
      <c r="AB1068" s="158"/>
      <c r="AC1068" s="113">
        <v>315</v>
      </c>
      <c r="AD1068" s="113">
        <v>70</v>
      </c>
      <c r="AE1068" s="113">
        <v>45</v>
      </c>
      <c r="AF1068" s="113">
        <v>40</v>
      </c>
      <c r="AG1068" s="120">
        <v>45</v>
      </c>
      <c r="AH1068" s="113">
        <v>40</v>
      </c>
      <c r="AI1068" s="113">
        <v>75</v>
      </c>
    </row>
    <row r="1069" spans="1:35">
      <c r="A1069" s="113">
        <v>964</v>
      </c>
      <c r="B1069" s="113" t="s">
        <v>5203</v>
      </c>
      <c r="C1069" s="120" t="s">
        <v>6340</v>
      </c>
      <c r="D1069" s="124">
        <v>0.5</v>
      </c>
      <c r="E1069" s="124">
        <v>0.5</v>
      </c>
      <c r="F1069" s="113" t="s">
        <v>2337</v>
      </c>
      <c r="G1069" s="113" t="s">
        <v>5208</v>
      </c>
      <c r="H1069" s="113" t="s">
        <v>25</v>
      </c>
      <c r="I1069" s="113" t="s">
        <v>1109</v>
      </c>
      <c r="J1069" s="118" t="s">
        <v>2129</v>
      </c>
      <c r="K1069" s="118">
        <v>2</v>
      </c>
      <c r="L1069" s="118" t="s">
        <v>6339</v>
      </c>
      <c r="M1069" s="115" t="s">
        <v>6339</v>
      </c>
      <c r="N1069" s="115" t="s">
        <v>6504</v>
      </c>
      <c r="O1069" s="115">
        <v>1.25</v>
      </c>
      <c r="P1069" s="115" t="s">
        <v>1109</v>
      </c>
      <c r="Q1069" s="166"/>
      <c r="R1069" s="164"/>
      <c r="S1069" s="164"/>
      <c r="T1069" s="164"/>
      <c r="U1069" s="164"/>
      <c r="V1069" s="162"/>
      <c r="W1069" s="158"/>
      <c r="X1069" s="158"/>
      <c r="Y1069" s="158"/>
      <c r="Z1069" s="158"/>
      <c r="AA1069" s="158"/>
      <c r="AB1069" s="158"/>
      <c r="AC1069" s="113">
        <v>650</v>
      </c>
      <c r="AD1069" s="113">
        <v>100</v>
      </c>
      <c r="AE1069" s="113">
        <v>160</v>
      </c>
      <c r="AF1069" s="113">
        <v>97</v>
      </c>
      <c r="AG1069" s="120">
        <v>106</v>
      </c>
      <c r="AH1069" s="113">
        <v>87</v>
      </c>
      <c r="AI1069" s="113">
        <v>100</v>
      </c>
    </row>
    <row r="1070" spans="1:35">
      <c r="A1070" s="113">
        <v>964</v>
      </c>
      <c r="B1070" s="113" t="s">
        <v>5202</v>
      </c>
      <c r="C1070" s="120" t="s">
        <v>6341</v>
      </c>
      <c r="D1070" s="124">
        <v>0.5</v>
      </c>
      <c r="E1070" s="124">
        <v>0.5</v>
      </c>
      <c r="F1070" s="113" t="s">
        <v>2337</v>
      </c>
      <c r="G1070" s="113" t="s">
        <v>5208</v>
      </c>
      <c r="H1070" s="113" t="s">
        <v>25</v>
      </c>
      <c r="I1070" s="113" t="s">
        <v>1109</v>
      </c>
      <c r="J1070" s="118" t="s">
        <v>2129</v>
      </c>
      <c r="K1070" s="118">
        <v>2</v>
      </c>
      <c r="L1070" s="118" t="s">
        <v>6339</v>
      </c>
      <c r="M1070" s="115" t="s">
        <v>6339</v>
      </c>
      <c r="N1070" s="115" t="s">
        <v>6504</v>
      </c>
      <c r="O1070" s="115">
        <v>1.25</v>
      </c>
      <c r="P1070" s="115" t="s">
        <v>2128</v>
      </c>
      <c r="Q1070" s="166"/>
      <c r="R1070" s="164"/>
      <c r="S1070" s="164"/>
      <c r="T1070" s="164"/>
      <c r="U1070" s="164"/>
      <c r="V1070" s="162"/>
      <c r="W1070" s="158"/>
      <c r="X1070" s="158"/>
      <c r="Y1070" s="158"/>
      <c r="Z1070" s="158"/>
      <c r="AA1070" s="158"/>
      <c r="AB1070" s="158"/>
      <c r="AC1070" s="113">
        <v>457</v>
      </c>
      <c r="AD1070" s="113">
        <v>100</v>
      </c>
      <c r="AE1070" s="113">
        <v>70</v>
      </c>
      <c r="AF1070" s="113">
        <v>72</v>
      </c>
      <c r="AG1070" s="120">
        <v>53</v>
      </c>
      <c r="AH1070" s="113">
        <v>62</v>
      </c>
      <c r="AI1070" s="113">
        <v>100</v>
      </c>
    </row>
    <row r="1071" spans="1:35">
      <c r="A1071" s="113">
        <v>965</v>
      </c>
      <c r="B1071" s="113" t="s">
        <v>5149</v>
      </c>
      <c r="C1071" s="120" t="s">
        <v>6342</v>
      </c>
      <c r="D1071" s="124">
        <v>0.5</v>
      </c>
      <c r="E1071" s="124">
        <v>0.5</v>
      </c>
      <c r="F1071" s="113" t="s">
        <v>2112</v>
      </c>
      <c r="G1071" s="113" t="s">
        <v>5208</v>
      </c>
      <c r="H1071" s="113" t="s">
        <v>106</v>
      </c>
      <c r="I1071" s="113" t="s">
        <v>15</v>
      </c>
      <c r="J1071" s="118" t="s">
        <v>2129</v>
      </c>
      <c r="K1071" s="118">
        <v>2</v>
      </c>
      <c r="L1071" s="118" t="s">
        <v>6342</v>
      </c>
      <c r="M1071" s="115" t="s">
        <v>1109</v>
      </c>
      <c r="N1071" s="115" t="s">
        <v>6505</v>
      </c>
      <c r="O1071" s="115">
        <v>1.25</v>
      </c>
      <c r="P1071" s="115" t="s">
        <v>1109</v>
      </c>
      <c r="Q1071" s="166"/>
      <c r="R1071" s="164"/>
      <c r="S1071" s="164"/>
      <c r="T1071" s="164"/>
      <c r="U1071" s="164"/>
      <c r="V1071" s="162"/>
      <c r="W1071" s="158"/>
      <c r="X1071" s="158"/>
      <c r="Y1071" s="158"/>
      <c r="Z1071" s="158"/>
      <c r="AA1071" s="158"/>
      <c r="AB1071" s="158"/>
      <c r="AC1071" s="113">
        <v>300</v>
      </c>
      <c r="AD1071" s="113">
        <v>45</v>
      </c>
      <c r="AE1071" s="113">
        <v>70</v>
      </c>
      <c r="AF1071" s="113">
        <v>63</v>
      </c>
      <c r="AG1071" s="120">
        <v>30</v>
      </c>
      <c r="AH1071" s="113">
        <v>45</v>
      </c>
      <c r="AI1071" s="113">
        <v>47</v>
      </c>
    </row>
    <row r="1072" spans="1:35">
      <c r="A1072" s="113">
        <v>966</v>
      </c>
      <c r="B1072" s="113" t="s">
        <v>5150</v>
      </c>
      <c r="C1072" s="120" t="s">
        <v>6343</v>
      </c>
      <c r="D1072" s="124">
        <v>0.5</v>
      </c>
      <c r="E1072" s="124">
        <v>0.5</v>
      </c>
      <c r="F1072" s="113" t="s">
        <v>2112</v>
      </c>
      <c r="G1072" s="113" t="s">
        <v>5208</v>
      </c>
      <c r="H1072" s="113" t="s">
        <v>106</v>
      </c>
      <c r="I1072" s="113" t="s">
        <v>15</v>
      </c>
      <c r="J1072" s="118" t="s">
        <v>2129</v>
      </c>
      <c r="K1072" s="118">
        <v>2</v>
      </c>
      <c r="L1072" s="118" t="s">
        <v>6342</v>
      </c>
      <c r="M1072" s="115" t="s">
        <v>6342</v>
      </c>
      <c r="N1072" s="115" t="s">
        <v>6504</v>
      </c>
      <c r="O1072" s="115">
        <v>1.25</v>
      </c>
      <c r="P1072" s="115" t="s">
        <v>2128</v>
      </c>
      <c r="Q1072" s="166"/>
      <c r="R1072" s="164"/>
      <c r="S1072" s="164"/>
      <c r="T1072" s="164"/>
      <c r="U1072" s="164"/>
      <c r="V1072" s="162"/>
      <c r="W1072" s="158"/>
      <c r="X1072" s="158"/>
      <c r="Y1072" s="158"/>
      <c r="Z1072" s="158"/>
      <c r="AA1072" s="158"/>
      <c r="AB1072" s="158"/>
      <c r="AC1072" s="113">
        <v>500</v>
      </c>
      <c r="AD1072" s="113">
        <v>80</v>
      </c>
      <c r="AE1072" s="113">
        <v>119</v>
      </c>
      <c r="AF1072" s="113">
        <v>90</v>
      </c>
      <c r="AG1072" s="120">
        <v>54</v>
      </c>
      <c r="AH1072" s="113">
        <v>67</v>
      </c>
      <c r="AI1072" s="113">
        <v>90</v>
      </c>
    </row>
    <row r="1073" spans="1:35">
      <c r="A1073" s="113">
        <v>967</v>
      </c>
      <c r="B1073" s="113" t="s">
        <v>5151</v>
      </c>
      <c r="C1073" s="120" t="s">
        <v>6344</v>
      </c>
      <c r="D1073" s="124">
        <v>0.5</v>
      </c>
      <c r="E1073" s="124">
        <v>0.5</v>
      </c>
      <c r="F1073" s="113" t="s">
        <v>2332</v>
      </c>
      <c r="G1073" s="113" t="s">
        <v>5208</v>
      </c>
      <c r="H1073" s="113" t="s">
        <v>23</v>
      </c>
      <c r="I1073" s="113" t="s">
        <v>36</v>
      </c>
      <c r="J1073" s="118" t="s">
        <v>2129</v>
      </c>
      <c r="K1073" s="118">
        <v>2</v>
      </c>
      <c r="L1073" s="118" t="s">
        <v>6344</v>
      </c>
      <c r="M1073" s="115" t="s">
        <v>1109</v>
      </c>
      <c r="N1073" s="115" t="s">
        <v>6504</v>
      </c>
      <c r="O1073" s="115">
        <v>1.25</v>
      </c>
      <c r="P1073" s="115" t="s">
        <v>1109</v>
      </c>
      <c r="Q1073" s="166"/>
      <c r="R1073" s="164"/>
      <c r="S1073" s="164"/>
      <c r="T1073" s="164"/>
      <c r="U1073" s="164"/>
      <c r="V1073" s="162"/>
      <c r="W1073" s="158"/>
      <c r="X1073" s="158"/>
      <c r="Y1073" s="158"/>
      <c r="Z1073" s="158"/>
      <c r="AA1073" s="158"/>
      <c r="AB1073" s="158"/>
      <c r="AC1073" s="113">
        <v>501</v>
      </c>
      <c r="AD1073" s="113">
        <v>70</v>
      </c>
      <c r="AE1073" s="113">
        <v>95</v>
      </c>
      <c r="AF1073" s="113">
        <v>65</v>
      </c>
      <c r="AG1073" s="120">
        <v>85</v>
      </c>
      <c r="AH1073" s="113">
        <v>65</v>
      </c>
      <c r="AI1073" s="113">
        <v>121</v>
      </c>
    </row>
    <row r="1074" spans="1:35">
      <c r="A1074" s="113">
        <v>968</v>
      </c>
      <c r="B1074" s="113" t="s">
        <v>5152</v>
      </c>
      <c r="C1074" s="120" t="s">
        <v>6345</v>
      </c>
      <c r="D1074" s="124">
        <v>0.5</v>
      </c>
      <c r="E1074" s="124">
        <v>0.5</v>
      </c>
      <c r="F1074" s="113" t="s">
        <v>2332</v>
      </c>
      <c r="G1074" s="113" t="s">
        <v>5208</v>
      </c>
      <c r="H1074" s="113" t="s">
        <v>106</v>
      </c>
      <c r="I1074" s="113" t="s">
        <v>1109</v>
      </c>
      <c r="J1074" s="118" t="s">
        <v>2129</v>
      </c>
      <c r="K1074" s="118">
        <v>3</v>
      </c>
      <c r="L1074" s="118" t="s">
        <v>6345</v>
      </c>
      <c r="M1074" s="115" t="s">
        <v>1109</v>
      </c>
      <c r="N1074" s="115" t="s">
        <v>6504</v>
      </c>
      <c r="O1074" s="115">
        <v>1.5</v>
      </c>
      <c r="P1074" s="115" t="s">
        <v>1109</v>
      </c>
      <c r="Q1074" s="166"/>
      <c r="R1074" s="164"/>
      <c r="S1074" s="164"/>
      <c r="T1074" s="164"/>
      <c r="U1074" s="164"/>
      <c r="V1074" s="162"/>
      <c r="W1074" s="158"/>
      <c r="X1074" s="158"/>
      <c r="Y1074" s="158"/>
      <c r="Z1074" s="158"/>
      <c r="AA1074" s="158"/>
      <c r="AB1074" s="158"/>
      <c r="AC1074" s="113">
        <v>480</v>
      </c>
      <c r="AD1074" s="113">
        <v>70</v>
      </c>
      <c r="AE1074" s="113">
        <v>85</v>
      </c>
      <c r="AF1074" s="113">
        <v>145</v>
      </c>
      <c r="AG1074" s="120">
        <v>60</v>
      </c>
      <c r="AH1074" s="113">
        <v>55</v>
      </c>
      <c r="AI1074" s="113">
        <v>65</v>
      </c>
    </row>
    <row r="1075" spans="1:35">
      <c r="A1075" s="113">
        <v>969</v>
      </c>
      <c r="B1075" s="113" t="s">
        <v>5153</v>
      </c>
      <c r="C1075" s="120" t="s">
        <v>6346</v>
      </c>
      <c r="D1075" s="124">
        <v>0.5</v>
      </c>
      <c r="E1075" s="124">
        <v>0.5</v>
      </c>
      <c r="F1075" s="113" t="s">
        <v>2112</v>
      </c>
      <c r="G1075" s="113" t="s">
        <v>5208</v>
      </c>
      <c r="H1075" s="113" t="s">
        <v>98</v>
      </c>
      <c r="I1075" s="113" t="s">
        <v>15</v>
      </c>
      <c r="J1075" s="118" t="s">
        <v>2129</v>
      </c>
      <c r="K1075" s="118">
        <v>3</v>
      </c>
      <c r="L1075" s="118" t="s">
        <v>6346</v>
      </c>
      <c r="M1075" s="115" t="s">
        <v>1109</v>
      </c>
      <c r="N1075" s="115" t="s">
        <v>6505</v>
      </c>
      <c r="O1075" s="115">
        <v>1.5</v>
      </c>
      <c r="P1075" s="115" t="s">
        <v>1109</v>
      </c>
      <c r="Q1075" s="166"/>
      <c r="R1075" s="164"/>
      <c r="S1075" s="164"/>
      <c r="T1075" s="164"/>
      <c r="U1075" s="164"/>
      <c r="V1075" s="162"/>
      <c r="W1075" s="158"/>
      <c r="X1075" s="158"/>
      <c r="Y1075" s="158"/>
      <c r="Z1075" s="158"/>
      <c r="AA1075" s="158"/>
      <c r="AB1075" s="158"/>
      <c r="AC1075" s="113">
        <v>350</v>
      </c>
      <c r="AD1075" s="113">
        <v>48</v>
      </c>
      <c r="AE1075" s="113">
        <v>35</v>
      </c>
      <c r="AF1075" s="113">
        <v>42</v>
      </c>
      <c r="AG1075" s="120">
        <v>105</v>
      </c>
      <c r="AH1075" s="113">
        <v>60</v>
      </c>
      <c r="AI1075" s="113">
        <v>60</v>
      </c>
    </row>
    <row r="1076" spans="1:35">
      <c r="A1076" s="113">
        <v>970</v>
      </c>
      <c r="B1076" s="113" t="s">
        <v>5154</v>
      </c>
      <c r="C1076" s="120" t="s">
        <v>6347</v>
      </c>
      <c r="D1076" s="124">
        <v>0.5</v>
      </c>
      <c r="E1076" s="124">
        <v>0.5</v>
      </c>
      <c r="F1076" s="113" t="s">
        <v>2112</v>
      </c>
      <c r="G1076" s="113" t="s">
        <v>5208</v>
      </c>
      <c r="H1076" s="113" t="s">
        <v>98</v>
      </c>
      <c r="I1076" s="113" t="s">
        <v>15</v>
      </c>
      <c r="J1076" s="118" t="s">
        <v>2129</v>
      </c>
      <c r="K1076" s="118">
        <v>3</v>
      </c>
      <c r="L1076" s="118" t="s">
        <v>6346</v>
      </c>
      <c r="M1076" s="115" t="s">
        <v>6346</v>
      </c>
      <c r="N1076" s="115" t="s">
        <v>6504</v>
      </c>
      <c r="O1076" s="115">
        <v>1.5</v>
      </c>
      <c r="P1076" s="115" t="s">
        <v>2128</v>
      </c>
      <c r="Q1076" s="166"/>
      <c r="R1076" s="164"/>
      <c r="S1076" s="164"/>
      <c r="T1076" s="164"/>
      <c r="U1076" s="164"/>
      <c r="V1076" s="162"/>
      <c r="W1076" s="158"/>
      <c r="X1076" s="158"/>
      <c r="Y1076" s="158"/>
      <c r="Z1076" s="158"/>
      <c r="AA1076" s="158"/>
      <c r="AB1076" s="158"/>
      <c r="AC1076" s="113">
        <v>525</v>
      </c>
      <c r="AD1076" s="113">
        <v>83</v>
      </c>
      <c r="AE1076" s="113">
        <v>55</v>
      </c>
      <c r="AF1076" s="113">
        <v>90</v>
      </c>
      <c r="AG1076" s="120">
        <v>130</v>
      </c>
      <c r="AH1076" s="113">
        <v>81</v>
      </c>
      <c r="AI1076" s="113">
        <v>86</v>
      </c>
    </row>
    <row r="1077" spans="1:35">
      <c r="A1077" s="113">
        <v>971</v>
      </c>
      <c r="B1077" s="113" t="s">
        <v>5155</v>
      </c>
      <c r="C1077" s="120" t="s">
        <v>6348</v>
      </c>
      <c r="D1077" s="124">
        <v>0.5</v>
      </c>
      <c r="E1077" s="124">
        <v>0.5</v>
      </c>
      <c r="F1077" s="113" t="s">
        <v>2332</v>
      </c>
      <c r="G1077" s="113" t="s">
        <v>5208</v>
      </c>
      <c r="H1077" s="113" t="s">
        <v>119</v>
      </c>
      <c r="I1077" s="113" t="s">
        <v>1109</v>
      </c>
      <c r="J1077" s="118" t="s">
        <v>2129</v>
      </c>
      <c r="K1077" s="118">
        <v>2</v>
      </c>
      <c r="L1077" s="118" t="s">
        <v>6348</v>
      </c>
      <c r="M1077" s="115" t="s">
        <v>1109</v>
      </c>
      <c r="N1077" s="115" t="s">
        <v>6505</v>
      </c>
      <c r="O1077" s="115">
        <v>1.25</v>
      </c>
      <c r="P1077" s="115" t="s">
        <v>1109</v>
      </c>
      <c r="Q1077" s="166"/>
      <c r="R1077" s="164"/>
      <c r="S1077" s="164"/>
      <c r="T1077" s="164"/>
      <c r="U1077" s="164"/>
      <c r="V1077" s="162"/>
      <c r="W1077" s="158"/>
      <c r="X1077" s="158"/>
      <c r="Y1077" s="158"/>
      <c r="Z1077" s="158"/>
      <c r="AA1077" s="158"/>
      <c r="AB1077" s="158"/>
      <c r="AC1077" s="113">
        <v>290</v>
      </c>
      <c r="AD1077" s="113">
        <v>50</v>
      </c>
      <c r="AE1077" s="113">
        <v>61</v>
      </c>
      <c r="AF1077" s="113">
        <v>60</v>
      </c>
      <c r="AG1077" s="120">
        <v>30</v>
      </c>
      <c r="AH1077" s="113">
        <v>55</v>
      </c>
      <c r="AI1077" s="113">
        <v>34</v>
      </c>
    </row>
    <row r="1078" spans="1:35">
      <c r="A1078" s="113">
        <v>972</v>
      </c>
      <c r="B1078" s="113" t="s">
        <v>5156</v>
      </c>
      <c r="C1078" s="120" t="s">
        <v>6349</v>
      </c>
      <c r="D1078" s="124">
        <v>0.5</v>
      </c>
      <c r="E1078" s="124">
        <v>0.5</v>
      </c>
      <c r="F1078" s="113" t="s">
        <v>2332</v>
      </c>
      <c r="G1078" s="113" t="s">
        <v>5208</v>
      </c>
      <c r="H1078" s="113" t="s">
        <v>119</v>
      </c>
      <c r="I1078" s="113" t="s">
        <v>1109</v>
      </c>
      <c r="J1078" s="118" t="s">
        <v>2129</v>
      </c>
      <c r="K1078" s="118">
        <v>2</v>
      </c>
      <c r="L1078" s="118" t="s">
        <v>6348</v>
      </c>
      <c r="M1078" s="115" t="s">
        <v>6348</v>
      </c>
      <c r="N1078" s="115" t="s">
        <v>6504</v>
      </c>
      <c r="O1078" s="115">
        <v>1.25</v>
      </c>
      <c r="P1078" s="115" t="s">
        <v>2128</v>
      </c>
      <c r="Q1078" s="166"/>
      <c r="R1078" s="164"/>
      <c r="S1078" s="164"/>
      <c r="T1078" s="164"/>
      <c r="U1078" s="164"/>
      <c r="V1078" s="162"/>
      <c r="W1078" s="158"/>
      <c r="X1078" s="158"/>
      <c r="Y1078" s="158"/>
      <c r="Z1078" s="158"/>
      <c r="AA1078" s="158"/>
      <c r="AB1078" s="158"/>
      <c r="AC1078" s="113">
        <v>488</v>
      </c>
      <c r="AD1078" s="113">
        <v>72</v>
      </c>
      <c r="AE1078" s="113">
        <v>101</v>
      </c>
      <c r="AF1078" s="113">
        <v>100</v>
      </c>
      <c r="AG1078" s="120">
        <v>50</v>
      </c>
      <c r="AH1078" s="113">
        <v>97</v>
      </c>
      <c r="AI1078" s="113">
        <v>68</v>
      </c>
    </row>
    <row r="1079" spans="1:35">
      <c r="A1079" s="113">
        <v>973</v>
      </c>
      <c r="B1079" s="113" t="s">
        <v>5157</v>
      </c>
      <c r="C1079" s="120" t="s">
        <v>6350</v>
      </c>
      <c r="D1079" s="124">
        <v>0.5</v>
      </c>
      <c r="E1079" s="124">
        <v>0.5</v>
      </c>
      <c r="F1079" s="113" t="s">
        <v>22</v>
      </c>
      <c r="G1079" s="113" t="s">
        <v>5208</v>
      </c>
      <c r="H1079" s="113" t="s">
        <v>22</v>
      </c>
      <c r="I1079" s="113" t="s">
        <v>78</v>
      </c>
      <c r="J1079" s="118" t="s">
        <v>2129</v>
      </c>
      <c r="K1079" s="118">
        <v>2</v>
      </c>
      <c r="L1079" s="118" t="s">
        <v>6350</v>
      </c>
      <c r="M1079" s="115" t="s">
        <v>1109</v>
      </c>
      <c r="N1079" s="115" t="s">
        <v>6504</v>
      </c>
      <c r="O1079" s="115">
        <v>1.25</v>
      </c>
      <c r="P1079" s="115" t="s">
        <v>1109</v>
      </c>
      <c r="Q1079" s="166"/>
      <c r="R1079" s="164"/>
      <c r="S1079" s="164"/>
      <c r="T1079" s="164"/>
      <c r="U1079" s="164"/>
      <c r="V1079" s="162"/>
      <c r="W1079" s="158"/>
      <c r="X1079" s="158"/>
      <c r="Y1079" s="158"/>
      <c r="Z1079" s="158"/>
      <c r="AA1079" s="158"/>
      <c r="AB1079" s="158"/>
      <c r="AC1079" s="113">
        <v>500</v>
      </c>
      <c r="AD1079" s="113">
        <v>82</v>
      </c>
      <c r="AE1079" s="113">
        <v>115</v>
      </c>
      <c r="AF1079" s="113">
        <v>74</v>
      </c>
      <c r="AG1079" s="120">
        <v>75</v>
      </c>
      <c r="AH1079" s="113">
        <v>64</v>
      </c>
      <c r="AI1079" s="113">
        <v>90</v>
      </c>
    </row>
    <row r="1080" spans="1:35">
      <c r="A1080" s="113">
        <v>974</v>
      </c>
      <c r="B1080" s="113" t="s">
        <v>5158</v>
      </c>
      <c r="C1080" s="120" t="s">
        <v>6351</v>
      </c>
      <c r="D1080" s="124">
        <v>0.5</v>
      </c>
      <c r="E1080" s="124">
        <v>0.5</v>
      </c>
      <c r="F1080" s="113" t="s">
        <v>2332</v>
      </c>
      <c r="G1080" s="113" t="s">
        <v>5208</v>
      </c>
      <c r="H1080" s="113" t="s">
        <v>113</v>
      </c>
      <c r="I1080" s="113" t="s">
        <v>1109</v>
      </c>
      <c r="J1080" s="118" t="s">
        <v>2129</v>
      </c>
      <c r="K1080" s="118">
        <v>2</v>
      </c>
      <c r="L1080" s="118" t="s">
        <v>6351</v>
      </c>
      <c r="M1080" s="115" t="s">
        <v>1109</v>
      </c>
      <c r="N1080" s="115" t="s">
        <v>6505</v>
      </c>
      <c r="O1080" s="115">
        <v>1.25</v>
      </c>
      <c r="P1080" s="115" t="s">
        <v>1109</v>
      </c>
      <c r="Q1080" s="166"/>
      <c r="R1080" s="164"/>
      <c r="S1080" s="164"/>
      <c r="T1080" s="164"/>
      <c r="U1080" s="164"/>
      <c r="V1080" s="162"/>
      <c r="W1080" s="158"/>
      <c r="X1080" s="158"/>
      <c r="Y1080" s="158"/>
      <c r="Z1080" s="158"/>
      <c r="AA1080" s="158"/>
      <c r="AB1080" s="158"/>
      <c r="AC1080" s="113">
        <v>334</v>
      </c>
      <c r="AD1080" s="113">
        <v>108</v>
      </c>
      <c r="AE1080" s="113">
        <v>68</v>
      </c>
      <c r="AF1080" s="113">
        <v>45</v>
      </c>
      <c r="AG1080" s="120">
        <v>30</v>
      </c>
      <c r="AH1080" s="113">
        <v>40</v>
      </c>
      <c r="AI1080" s="113">
        <v>43</v>
      </c>
    </row>
    <row r="1081" spans="1:35">
      <c r="A1081" s="113">
        <v>975</v>
      </c>
      <c r="B1081" s="113" t="s">
        <v>5159</v>
      </c>
      <c r="C1081" s="120" t="s">
        <v>6352</v>
      </c>
      <c r="D1081" s="124">
        <v>0.5</v>
      </c>
      <c r="E1081" s="124">
        <v>0.5</v>
      </c>
      <c r="F1081" s="113" t="s">
        <v>2332</v>
      </c>
      <c r="G1081" s="113" t="s">
        <v>5208</v>
      </c>
      <c r="H1081" s="113" t="s">
        <v>113</v>
      </c>
      <c r="I1081" s="113" t="s">
        <v>1109</v>
      </c>
      <c r="J1081" s="118" t="s">
        <v>2129</v>
      </c>
      <c r="K1081" s="118">
        <v>2</v>
      </c>
      <c r="L1081" s="118" t="s">
        <v>6351</v>
      </c>
      <c r="M1081" s="115" t="s">
        <v>6351</v>
      </c>
      <c r="N1081" s="115" t="s">
        <v>6504</v>
      </c>
      <c r="O1081" s="115">
        <v>1.25</v>
      </c>
      <c r="P1081" s="115" t="s">
        <v>1803</v>
      </c>
      <c r="Q1081" s="166"/>
      <c r="R1081" s="164"/>
      <c r="S1081" s="164"/>
      <c r="T1081" s="164"/>
      <c r="U1081" s="164"/>
      <c r="V1081" s="162"/>
      <c r="W1081" s="158"/>
      <c r="X1081" s="158"/>
      <c r="Y1081" s="158"/>
      <c r="Z1081" s="158"/>
      <c r="AA1081" s="158"/>
      <c r="AB1081" s="158"/>
      <c r="AC1081" s="113">
        <v>521</v>
      </c>
      <c r="AD1081" s="113">
        <v>170</v>
      </c>
      <c r="AE1081" s="113">
        <v>113</v>
      </c>
      <c r="AF1081" s="113">
        <v>65</v>
      </c>
      <c r="AG1081" s="120">
        <v>45</v>
      </c>
      <c r="AH1081" s="113">
        <v>55</v>
      </c>
      <c r="AI1081" s="113">
        <v>73</v>
      </c>
    </row>
    <row r="1082" spans="1:35">
      <c r="A1082" s="113">
        <v>976</v>
      </c>
      <c r="B1082" s="113" t="s">
        <v>5160</v>
      </c>
      <c r="C1082" s="120" t="s">
        <v>6353</v>
      </c>
      <c r="D1082" s="124">
        <v>0.5</v>
      </c>
      <c r="E1082" s="124">
        <v>0.5</v>
      </c>
      <c r="F1082" s="113" t="s">
        <v>2337</v>
      </c>
      <c r="G1082" s="113" t="s">
        <v>5208</v>
      </c>
      <c r="H1082" s="113" t="s">
        <v>25</v>
      </c>
      <c r="I1082" s="113" t="s">
        <v>86</v>
      </c>
      <c r="J1082" s="118" t="s">
        <v>2129</v>
      </c>
      <c r="K1082" s="118">
        <v>2</v>
      </c>
      <c r="L1082" s="118" t="s">
        <v>6353</v>
      </c>
      <c r="M1082" s="115" t="s">
        <v>1109</v>
      </c>
      <c r="N1082" s="115" t="s">
        <v>6504</v>
      </c>
      <c r="O1082" s="115">
        <v>1.25</v>
      </c>
      <c r="P1082" s="115" t="s">
        <v>1109</v>
      </c>
      <c r="Q1082" s="166"/>
      <c r="R1082" s="164"/>
      <c r="S1082" s="164"/>
      <c r="T1082" s="164"/>
      <c r="U1082" s="164"/>
      <c r="V1082" s="162"/>
      <c r="W1082" s="158"/>
      <c r="X1082" s="158"/>
      <c r="Y1082" s="158"/>
      <c r="Z1082" s="158"/>
      <c r="AA1082" s="158"/>
      <c r="AB1082" s="158"/>
      <c r="AC1082" s="113">
        <v>478</v>
      </c>
      <c r="AD1082" s="113">
        <v>90</v>
      </c>
      <c r="AE1082" s="113">
        <v>102</v>
      </c>
      <c r="AF1082" s="113">
        <v>73</v>
      </c>
      <c r="AG1082" s="120">
        <v>78</v>
      </c>
      <c r="AH1082" s="113">
        <v>65</v>
      </c>
      <c r="AI1082" s="113">
        <v>70</v>
      </c>
    </row>
    <row r="1083" spans="1:35">
      <c r="A1083" s="113">
        <v>977</v>
      </c>
      <c r="B1083" s="113" t="s">
        <v>5161</v>
      </c>
      <c r="C1083" s="120" t="s">
        <v>6354</v>
      </c>
      <c r="D1083" s="124">
        <v>0.5</v>
      </c>
      <c r="E1083" s="124">
        <v>0.5</v>
      </c>
      <c r="F1083" s="113" t="s">
        <v>2337</v>
      </c>
      <c r="G1083" s="113" t="s">
        <v>5208</v>
      </c>
      <c r="H1083" s="113" t="s">
        <v>25</v>
      </c>
      <c r="I1083" s="113" t="s">
        <v>1109</v>
      </c>
      <c r="J1083" s="118" t="s">
        <v>2129</v>
      </c>
      <c r="K1083" s="118">
        <v>3</v>
      </c>
      <c r="L1083" s="118" t="s">
        <v>6354</v>
      </c>
      <c r="M1083" s="115" t="s">
        <v>1109</v>
      </c>
      <c r="N1083" s="115" t="s">
        <v>6504</v>
      </c>
      <c r="O1083" s="115">
        <v>1.5</v>
      </c>
      <c r="P1083" s="115" t="s">
        <v>1109</v>
      </c>
      <c r="Q1083" s="166"/>
      <c r="R1083" s="164"/>
      <c r="S1083" s="164"/>
      <c r="T1083" s="164"/>
      <c r="U1083" s="164"/>
      <c r="V1083" s="162"/>
      <c r="W1083" s="158"/>
      <c r="X1083" s="158"/>
      <c r="Y1083" s="158"/>
      <c r="Z1083" s="158"/>
      <c r="AA1083" s="158"/>
      <c r="AB1083" s="158"/>
      <c r="AC1083" s="113">
        <v>530</v>
      </c>
      <c r="AD1083" s="113">
        <v>150</v>
      </c>
      <c r="AE1083" s="113">
        <v>100</v>
      </c>
      <c r="AF1083" s="113">
        <v>115</v>
      </c>
      <c r="AG1083" s="120">
        <v>65</v>
      </c>
      <c r="AH1083" s="113">
        <v>65</v>
      </c>
      <c r="AI1083" s="113">
        <v>35</v>
      </c>
    </row>
    <row r="1084" spans="1:35">
      <c r="A1084" s="113">
        <v>978</v>
      </c>
      <c r="B1084" s="113" t="s">
        <v>5162</v>
      </c>
      <c r="C1084" s="120" t="s">
        <v>6355</v>
      </c>
      <c r="D1084" s="124">
        <v>0.5</v>
      </c>
      <c r="E1084" s="124">
        <v>0.5</v>
      </c>
      <c r="F1084" s="113" t="s">
        <v>2337</v>
      </c>
      <c r="G1084" s="113" t="s">
        <v>5208</v>
      </c>
      <c r="H1084" s="113" t="s">
        <v>23</v>
      </c>
      <c r="I1084" s="113" t="s">
        <v>25</v>
      </c>
      <c r="J1084" s="118" t="s">
        <v>2129</v>
      </c>
      <c r="K1084" s="118">
        <v>3</v>
      </c>
      <c r="L1084" s="118" t="s">
        <v>6355</v>
      </c>
      <c r="M1084" s="115" t="s">
        <v>1109</v>
      </c>
      <c r="N1084" s="115" t="s">
        <v>6504</v>
      </c>
      <c r="O1084" s="115">
        <v>1.5</v>
      </c>
      <c r="P1084" s="115" t="s">
        <v>1109</v>
      </c>
      <c r="Q1084" s="166"/>
      <c r="R1084" s="164"/>
      <c r="S1084" s="164"/>
      <c r="T1084" s="164"/>
      <c r="U1084" s="164"/>
      <c r="V1084" s="162"/>
      <c r="W1084" s="158"/>
      <c r="X1084" s="158"/>
      <c r="Y1084" s="158"/>
      <c r="Z1084" s="158"/>
      <c r="AA1084" s="158"/>
      <c r="AB1084" s="158"/>
      <c r="AC1084" s="113">
        <v>475</v>
      </c>
      <c r="AD1084" s="113">
        <v>68</v>
      </c>
      <c r="AE1084" s="113">
        <v>50</v>
      </c>
      <c r="AF1084" s="113">
        <v>60</v>
      </c>
      <c r="AG1084" s="120">
        <v>120</v>
      </c>
      <c r="AH1084" s="113">
        <v>95</v>
      </c>
      <c r="AI1084" s="113">
        <v>82</v>
      </c>
    </row>
    <row r="1085" spans="1:35">
      <c r="A1085" s="113">
        <v>979</v>
      </c>
      <c r="B1085" s="113" t="s">
        <v>5163</v>
      </c>
      <c r="C1085" s="120" t="s">
        <v>6356</v>
      </c>
      <c r="D1085" s="124">
        <v>0.5</v>
      </c>
      <c r="E1085" s="124">
        <v>0.5</v>
      </c>
      <c r="F1085" s="113" t="s">
        <v>2332</v>
      </c>
      <c r="G1085" s="113" t="s">
        <v>5208</v>
      </c>
      <c r="H1085" s="113" t="s">
        <v>78</v>
      </c>
      <c r="I1085" s="113" t="s">
        <v>119</v>
      </c>
      <c r="J1085" s="118" t="s">
        <v>2129</v>
      </c>
      <c r="K1085" s="118">
        <v>2</v>
      </c>
      <c r="L1085" s="118" t="s">
        <v>5284</v>
      </c>
      <c r="M1085" s="115" t="s">
        <v>5285</v>
      </c>
      <c r="N1085" s="115" t="s">
        <v>6504</v>
      </c>
      <c r="O1085" s="115">
        <v>1.25</v>
      </c>
      <c r="P1085" s="115" t="s">
        <v>2128</v>
      </c>
      <c r="Q1085" s="166"/>
      <c r="R1085" s="164"/>
      <c r="S1085" s="164"/>
      <c r="T1085" s="164"/>
      <c r="U1085" s="164"/>
      <c r="V1085" s="162"/>
      <c r="W1085" s="158"/>
      <c r="X1085" s="158"/>
      <c r="Y1085" s="158"/>
      <c r="Z1085" s="158"/>
      <c r="AA1085" s="158"/>
      <c r="AB1085" s="158"/>
      <c r="AC1085" s="113">
        <v>535</v>
      </c>
      <c r="AD1085" s="113">
        <v>110</v>
      </c>
      <c r="AE1085" s="113">
        <v>115</v>
      </c>
      <c r="AF1085" s="113">
        <v>80</v>
      </c>
      <c r="AG1085" s="120">
        <v>50</v>
      </c>
      <c r="AH1085" s="113">
        <v>90</v>
      </c>
      <c r="AI1085" s="113">
        <v>90</v>
      </c>
    </row>
    <row r="1086" spans="1:35">
      <c r="A1086" s="113">
        <v>980</v>
      </c>
      <c r="B1086" s="113" t="s">
        <v>5164</v>
      </c>
      <c r="C1086" s="120" t="s">
        <v>6357</v>
      </c>
      <c r="D1086" s="124">
        <v>0.5</v>
      </c>
      <c r="E1086" s="124">
        <v>0.5</v>
      </c>
      <c r="F1086" s="113" t="s">
        <v>2331</v>
      </c>
      <c r="G1086" s="113" t="s">
        <v>5208</v>
      </c>
      <c r="H1086" s="113" t="s">
        <v>15</v>
      </c>
      <c r="I1086" s="113" t="s">
        <v>49</v>
      </c>
      <c r="J1086" s="118" t="s">
        <v>2129</v>
      </c>
      <c r="K1086" s="118">
        <v>1</v>
      </c>
      <c r="L1086" s="118" t="s">
        <v>5456</v>
      </c>
      <c r="M1086" s="115" t="s">
        <v>5457</v>
      </c>
      <c r="N1086" s="115" t="s">
        <v>6504</v>
      </c>
      <c r="O1086" s="115">
        <v>1</v>
      </c>
      <c r="P1086" s="115" t="s">
        <v>2128</v>
      </c>
      <c r="Q1086" s="166"/>
      <c r="R1086" s="164"/>
      <c r="S1086" s="164"/>
      <c r="T1086" s="164"/>
      <c r="U1086" s="164"/>
      <c r="V1086" s="162"/>
      <c r="W1086" s="158"/>
      <c r="X1086" s="158"/>
      <c r="Y1086" s="158"/>
      <c r="Z1086" s="158"/>
      <c r="AA1086" s="158"/>
      <c r="AB1086" s="158"/>
      <c r="AC1086" s="113">
        <v>430</v>
      </c>
      <c r="AD1086" s="113">
        <v>130</v>
      </c>
      <c r="AE1086" s="113">
        <v>75</v>
      </c>
      <c r="AF1086" s="113">
        <v>60</v>
      </c>
      <c r="AG1086" s="120">
        <v>45</v>
      </c>
      <c r="AH1086" s="113">
        <v>100</v>
      </c>
      <c r="AI1086" s="113">
        <v>20</v>
      </c>
    </row>
    <row r="1087" spans="1:35">
      <c r="A1087" s="113">
        <v>981</v>
      </c>
      <c r="B1087" s="113" t="s">
        <v>5165</v>
      </c>
      <c r="C1087" s="120" t="s">
        <v>6358</v>
      </c>
      <c r="D1087" s="124">
        <v>0.5</v>
      </c>
      <c r="E1087" s="124">
        <v>0.5</v>
      </c>
      <c r="F1087" s="113" t="s">
        <v>2332</v>
      </c>
      <c r="G1087" s="113" t="s">
        <v>5208</v>
      </c>
      <c r="H1087" s="113" t="s">
        <v>36</v>
      </c>
      <c r="I1087" s="113" t="s">
        <v>86</v>
      </c>
      <c r="J1087" s="118" t="s">
        <v>2129</v>
      </c>
      <c r="K1087" s="118">
        <v>3</v>
      </c>
      <c r="L1087" s="118" t="s">
        <v>5467</v>
      </c>
      <c r="M1087" s="115" t="s">
        <v>5467</v>
      </c>
      <c r="N1087" s="115" t="s">
        <v>6504</v>
      </c>
      <c r="O1087" s="115">
        <v>1.5</v>
      </c>
      <c r="P1087" s="115" t="s">
        <v>2128</v>
      </c>
      <c r="Q1087" s="166"/>
      <c r="R1087" s="164"/>
      <c r="S1087" s="164"/>
      <c r="T1087" s="164"/>
      <c r="U1087" s="164"/>
      <c r="V1087" s="162"/>
      <c r="W1087" s="158"/>
      <c r="X1087" s="158"/>
      <c r="Y1087" s="158"/>
      <c r="Z1087" s="158"/>
      <c r="AA1087" s="158"/>
      <c r="AB1087" s="158"/>
      <c r="AC1087" s="113">
        <v>520</v>
      </c>
      <c r="AD1087" s="113">
        <v>120</v>
      </c>
      <c r="AE1087" s="113">
        <v>90</v>
      </c>
      <c r="AF1087" s="113">
        <v>70</v>
      </c>
      <c r="AG1087" s="120">
        <v>110</v>
      </c>
      <c r="AH1087" s="113">
        <v>70</v>
      </c>
      <c r="AI1087" s="113">
        <v>60</v>
      </c>
    </row>
    <row r="1088" spans="1:35">
      <c r="A1088" s="113">
        <v>982</v>
      </c>
      <c r="B1088" s="113" t="s">
        <v>5204</v>
      </c>
      <c r="C1088" s="120" t="s">
        <v>6360</v>
      </c>
      <c r="D1088" s="124">
        <v>0.5</v>
      </c>
      <c r="E1088" s="124">
        <v>0.5</v>
      </c>
      <c r="F1088" s="113" t="s">
        <v>2332</v>
      </c>
      <c r="G1088" s="113" t="s">
        <v>5208</v>
      </c>
      <c r="H1088" s="113" t="s">
        <v>36</v>
      </c>
      <c r="I1088" s="113" t="s">
        <v>1109</v>
      </c>
      <c r="J1088" s="118" t="s">
        <v>2129</v>
      </c>
      <c r="K1088" s="118">
        <v>2</v>
      </c>
      <c r="L1088" s="118" t="s">
        <v>5470</v>
      </c>
      <c r="M1088" s="115" t="s">
        <v>5470</v>
      </c>
      <c r="N1088" s="115" t="s">
        <v>6504</v>
      </c>
      <c r="O1088" s="115">
        <v>1.25</v>
      </c>
      <c r="P1088" s="115" t="s">
        <v>2128</v>
      </c>
      <c r="Q1088" s="166"/>
      <c r="R1088" s="164"/>
      <c r="S1088" s="164"/>
      <c r="T1088" s="164"/>
      <c r="U1088" s="164"/>
      <c r="V1088" s="162"/>
      <c r="W1088" s="158"/>
      <c r="X1088" s="158"/>
      <c r="Y1088" s="158"/>
      <c r="Z1088" s="158"/>
      <c r="AA1088" s="158"/>
      <c r="AB1088" s="158"/>
      <c r="AC1088" s="113">
        <v>520</v>
      </c>
      <c r="AD1088" s="113">
        <v>125</v>
      </c>
      <c r="AE1088" s="113">
        <v>100</v>
      </c>
      <c r="AF1088" s="113">
        <v>80</v>
      </c>
      <c r="AG1088" s="120">
        <v>85</v>
      </c>
      <c r="AH1088" s="113">
        <v>75</v>
      </c>
      <c r="AI1088" s="113">
        <v>55</v>
      </c>
    </row>
    <row r="1089" spans="1:35">
      <c r="A1089" s="113">
        <v>982</v>
      </c>
      <c r="B1089" s="113" t="s">
        <v>5205</v>
      </c>
      <c r="C1089" s="120" t="s">
        <v>6359</v>
      </c>
      <c r="D1089" s="124">
        <v>0.5</v>
      </c>
      <c r="E1089" s="124">
        <v>0.5</v>
      </c>
      <c r="F1089" s="113" t="s">
        <v>2332</v>
      </c>
      <c r="G1089" s="113" t="s">
        <v>5208</v>
      </c>
      <c r="H1089" s="113" t="s">
        <v>36</v>
      </c>
      <c r="I1089" s="113" t="s">
        <v>1109</v>
      </c>
      <c r="J1089" s="118" t="s">
        <v>2129</v>
      </c>
      <c r="K1089" s="118">
        <v>2</v>
      </c>
      <c r="L1089" s="118" t="s">
        <v>5470</v>
      </c>
      <c r="M1089" s="115" t="s">
        <v>5470</v>
      </c>
      <c r="N1089" s="115" t="s">
        <v>6504</v>
      </c>
      <c r="O1089" s="115">
        <v>1.25</v>
      </c>
      <c r="P1089" s="115" t="s">
        <v>2128</v>
      </c>
      <c r="Q1089" s="166"/>
      <c r="R1089" s="164"/>
      <c r="S1089" s="164"/>
      <c r="T1089" s="164"/>
      <c r="U1089" s="164"/>
      <c r="V1089" s="162"/>
      <c r="W1089" s="158"/>
      <c r="X1089" s="158"/>
      <c r="Y1089" s="158"/>
      <c r="Z1089" s="158"/>
      <c r="AA1089" s="158"/>
      <c r="AB1089" s="158"/>
      <c r="AC1089" s="113">
        <v>520</v>
      </c>
      <c r="AD1089" s="113">
        <v>125</v>
      </c>
      <c r="AE1089" s="113">
        <v>100</v>
      </c>
      <c r="AF1089" s="113">
        <v>80</v>
      </c>
      <c r="AG1089" s="120">
        <v>85</v>
      </c>
      <c r="AH1089" s="113">
        <v>75</v>
      </c>
      <c r="AI1089" s="113">
        <v>55</v>
      </c>
    </row>
    <row r="1090" spans="1:35">
      <c r="A1090" s="113">
        <v>983</v>
      </c>
      <c r="B1090" s="113" t="s">
        <v>5166</v>
      </c>
      <c r="C1090" s="120" t="s">
        <v>6361</v>
      </c>
      <c r="D1090" s="124">
        <v>0.5</v>
      </c>
      <c r="E1090" s="124">
        <v>0.5</v>
      </c>
      <c r="F1090" s="113" t="s">
        <v>2334</v>
      </c>
      <c r="G1090" s="113" t="s">
        <v>5208</v>
      </c>
      <c r="H1090" s="113" t="s">
        <v>158</v>
      </c>
      <c r="I1090" s="113" t="s">
        <v>106</v>
      </c>
      <c r="J1090" s="118" t="s">
        <v>2129</v>
      </c>
      <c r="K1090" s="118">
        <v>2</v>
      </c>
      <c r="L1090" s="118" t="s">
        <v>5950</v>
      </c>
      <c r="M1090" s="115" t="s">
        <v>5951</v>
      </c>
      <c r="N1090" s="115" t="s">
        <v>6504</v>
      </c>
      <c r="O1090" s="115">
        <v>1.25</v>
      </c>
      <c r="P1090" s="115" t="s">
        <v>2130</v>
      </c>
      <c r="Q1090" s="166"/>
      <c r="R1090" s="164"/>
      <c r="S1090" s="164"/>
      <c r="T1090" s="164"/>
      <c r="U1090" s="164"/>
      <c r="V1090" s="162"/>
      <c r="W1090" s="158"/>
      <c r="X1090" s="158"/>
      <c r="Y1090" s="158"/>
      <c r="Z1090" s="158"/>
      <c r="AA1090" s="158"/>
      <c r="AB1090" s="158"/>
      <c r="AC1090" s="113">
        <v>550</v>
      </c>
      <c r="AD1090" s="113">
        <v>100</v>
      </c>
      <c r="AE1090" s="113">
        <v>135</v>
      </c>
      <c r="AF1090" s="113">
        <v>120</v>
      </c>
      <c r="AG1090" s="120">
        <v>60</v>
      </c>
      <c r="AH1090" s="113">
        <v>85</v>
      </c>
      <c r="AI1090" s="113">
        <v>50</v>
      </c>
    </row>
    <row r="1091" spans="1:35">
      <c r="A1091" s="113">
        <v>996</v>
      </c>
      <c r="B1091" s="113" t="s">
        <v>5179</v>
      </c>
      <c r="C1091" s="120" t="s">
        <v>6374</v>
      </c>
      <c r="D1091" s="124">
        <v>0.5</v>
      </c>
      <c r="E1091" s="124">
        <v>0.5</v>
      </c>
      <c r="F1091" s="113" t="s">
        <v>23</v>
      </c>
      <c r="G1091" s="113" t="s">
        <v>5208</v>
      </c>
      <c r="H1091" s="113" t="s">
        <v>23</v>
      </c>
      <c r="I1091" s="113" t="s">
        <v>113</v>
      </c>
      <c r="J1091" s="118" t="s">
        <v>2129</v>
      </c>
      <c r="K1091" s="118">
        <v>3</v>
      </c>
      <c r="L1091" s="118" t="s">
        <v>6374</v>
      </c>
      <c r="M1091" s="115" t="s">
        <v>1109</v>
      </c>
      <c r="N1091" s="115" t="s">
        <v>6505</v>
      </c>
      <c r="O1091" s="115">
        <v>1.5</v>
      </c>
      <c r="P1091" s="115" t="s">
        <v>1109</v>
      </c>
      <c r="Q1091" s="166"/>
      <c r="R1091" s="164"/>
      <c r="S1091" s="164"/>
      <c r="T1091" s="164"/>
      <c r="U1091" s="164"/>
      <c r="V1091" s="162"/>
      <c r="W1091" s="158"/>
      <c r="X1091" s="158"/>
      <c r="Y1091" s="158"/>
      <c r="Z1091" s="158"/>
      <c r="AA1091" s="158"/>
      <c r="AB1091" s="158"/>
      <c r="AC1091" s="113">
        <v>320</v>
      </c>
      <c r="AD1091" s="113">
        <v>65</v>
      </c>
      <c r="AE1091" s="113">
        <v>75</v>
      </c>
      <c r="AF1091" s="113">
        <v>45</v>
      </c>
      <c r="AG1091" s="120">
        <v>35</v>
      </c>
      <c r="AH1091" s="113">
        <v>45</v>
      </c>
      <c r="AI1091" s="113">
        <v>55</v>
      </c>
    </row>
    <row r="1092" spans="1:35">
      <c r="A1092" s="113">
        <v>997</v>
      </c>
      <c r="B1092" s="113" t="s">
        <v>5180</v>
      </c>
      <c r="C1092" s="120" t="s">
        <v>6375</v>
      </c>
      <c r="D1092" s="124">
        <v>0.5</v>
      </c>
      <c r="E1092" s="124">
        <v>0.5</v>
      </c>
      <c r="F1092" s="113" t="s">
        <v>23</v>
      </c>
      <c r="G1092" s="113" t="s">
        <v>5208</v>
      </c>
      <c r="H1092" s="113" t="s">
        <v>23</v>
      </c>
      <c r="I1092" s="113" t="s">
        <v>113</v>
      </c>
      <c r="J1092" s="118" t="s">
        <v>2129</v>
      </c>
      <c r="K1092" s="118">
        <v>3</v>
      </c>
      <c r="L1092" s="118" t="s">
        <v>6374</v>
      </c>
      <c r="M1092" s="115" t="s">
        <v>6374</v>
      </c>
      <c r="N1092" s="115" t="s">
        <v>6506</v>
      </c>
      <c r="O1092" s="115">
        <v>1.5</v>
      </c>
      <c r="P1092" s="115" t="s">
        <v>2128</v>
      </c>
      <c r="Q1092" s="166"/>
      <c r="R1092" s="164"/>
      <c r="S1092" s="164"/>
      <c r="T1092" s="164"/>
      <c r="U1092" s="164"/>
      <c r="V1092" s="162"/>
      <c r="W1092" s="158"/>
      <c r="X1092" s="158"/>
      <c r="Y1092" s="158"/>
      <c r="Z1092" s="158"/>
      <c r="AA1092" s="158"/>
      <c r="AB1092" s="158"/>
      <c r="AC1092" s="113">
        <v>423</v>
      </c>
      <c r="AD1092" s="113">
        <v>90</v>
      </c>
      <c r="AE1092" s="113">
        <v>95</v>
      </c>
      <c r="AF1092" s="113">
        <v>66</v>
      </c>
      <c r="AG1092" s="120">
        <v>45</v>
      </c>
      <c r="AH1092" s="113">
        <v>65</v>
      </c>
      <c r="AI1092" s="113">
        <v>62</v>
      </c>
    </row>
    <row r="1093" spans="1:35">
      <c r="A1093" s="113">
        <v>998</v>
      </c>
      <c r="B1093" s="113" t="s">
        <v>5181</v>
      </c>
      <c r="C1093" s="120" t="s">
        <v>6376</v>
      </c>
      <c r="D1093" s="124">
        <v>0.5</v>
      </c>
      <c r="E1093" s="124">
        <v>0.5</v>
      </c>
      <c r="F1093" s="113" t="s">
        <v>23</v>
      </c>
      <c r="G1093" s="113" t="s">
        <v>5208</v>
      </c>
      <c r="H1093" s="113" t="s">
        <v>23</v>
      </c>
      <c r="I1093" s="113" t="s">
        <v>113</v>
      </c>
      <c r="J1093" s="118" t="s">
        <v>2129</v>
      </c>
      <c r="K1093" s="118">
        <v>3</v>
      </c>
      <c r="L1093" s="118" t="s">
        <v>6374</v>
      </c>
      <c r="M1093" s="115" t="s">
        <v>6375</v>
      </c>
      <c r="N1093" s="115" t="s">
        <v>6504</v>
      </c>
      <c r="O1093" s="115">
        <v>1.5</v>
      </c>
      <c r="P1093" s="115" t="s">
        <v>2128</v>
      </c>
      <c r="Q1093" s="166"/>
      <c r="R1093" s="164"/>
      <c r="S1093" s="164"/>
      <c r="T1093" s="164"/>
      <c r="U1093" s="164"/>
      <c r="V1093" s="162"/>
      <c r="W1093" s="158"/>
      <c r="X1093" s="158"/>
      <c r="Y1093" s="158"/>
      <c r="Z1093" s="158"/>
      <c r="AA1093" s="158"/>
      <c r="AB1093" s="158"/>
      <c r="AC1093" s="113">
        <v>600</v>
      </c>
      <c r="AD1093" s="113">
        <v>115</v>
      </c>
      <c r="AE1093" s="113">
        <v>145</v>
      </c>
      <c r="AF1093" s="113">
        <v>92</v>
      </c>
      <c r="AG1093" s="120">
        <v>75</v>
      </c>
      <c r="AH1093" s="113">
        <v>86</v>
      </c>
      <c r="AI1093" s="113">
        <v>87</v>
      </c>
    </row>
    <row r="1094" spans="1:35">
      <c r="A1094" s="113">
        <v>999</v>
      </c>
      <c r="B1094" s="113" t="s">
        <v>5207</v>
      </c>
      <c r="C1094" s="120" t="s">
        <v>6378</v>
      </c>
      <c r="D1094" s="132" t="s">
        <v>1109</v>
      </c>
      <c r="E1094" s="132" t="s">
        <v>1109</v>
      </c>
      <c r="F1094" s="113" t="s">
        <v>2333</v>
      </c>
      <c r="G1094" s="113" t="s">
        <v>5208</v>
      </c>
      <c r="H1094" s="113" t="s">
        <v>119</v>
      </c>
      <c r="I1094" s="113" t="s">
        <v>1109</v>
      </c>
      <c r="J1094" s="118" t="s">
        <v>2129</v>
      </c>
      <c r="K1094" s="118">
        <v>3</v>
      </c>
      <c r="L1094" s="118" t="s">
        <v>6378</v>
      </c>
      <c r="M1094" s="115" t="s">
        <v>1109</v>
      </c>
      <c r="N1094" s="115" t="s">
        <v>6505</v>
      </c>
      <c r="O1094" s="115">
        <v>1.5</v>
      </c>
      <c r="P1094" s="115" t="s">
        <v>1109</v>
      </c>
      <c r="Q1094" s="166"/>
      <c r="R1094" s="164"/>
      <c r="S1094" s="164"/>
      <c r="T1094" s="164"/>
      <c r="U1094" s="164"/>
      <c r="V1094" s="162"/>
      <c r="W1094" s="158"/>
      <c r="X1094" s="158"/>
      <c r="Y1094" s="158"/>
      <c r="Z1094" s="158"/>
      <c r="AA1094" s="158"/>
      <c r="AB1094" s="158"/>
      <c r="AC1094" s="113">
        <v>300</v>
      </c>
      <c r="AD1094" s="113">
        <v>45</v>
      </c>
      <c r="AE1094" s="113">
        <v>30</v>
      </c>
      <c r="AF1094" s="113">
        <v>25</v>
      </c>
      <c r="AG1094" s="120">
        <v>75</v>
      </c>
      <c r="AH1094" s="113">
        <v>45</v>
      </c>
      <c r="AI1094" s="113">
        <v>80</v>
      </c>
    </row>
    <row r="1095" spans="1:35">
      <c r="A1095" s="113">
        <v>999</v>
      </c>
      <c r="B1095" s="113" t="s">
        <v>5206</v>
      </c>
      <c r="C1095" s="120" t="s">
        <v>6377</v>
      </c>
      <c r="D1095" s="132" t="s">
        <v>1109</v>
      </c>
      <c r="E1095" s="132" t="s">
        <v>1109</v>
      </c>
      <c r="F1095" s="113" t="s">
        <v>2333</v>
      </c>
      <c r="G1095" s="113" t="s">
        <v>5208</v>
      </c>
      <c r="H1095" s="113" t="s">
        <v>119</v>
      </c>
      <c r="I1095" s="113" t="s">
        <v>1109</v>
      </c>
      <c r="J1095" s="118" t="s">
        <v>2129</v>
      </c>
      <c r="K1095" s="118">
        <v>3</v>
      </c>
      <c r="L1095" s="118" t="s">
        <v>6378</v>
      </c>
      <c r="M1095" s="115" t="s">
        <v>1109</v>
      </c>
      <c r="N1095" s="115" t="s">
        <v>6505</v>
      </c>
      <c r="O1095" s="115">
        <v>1.5</v>
      </c>
      <c r="P1095" s="115" t="s">
        <v>1109</v>
      </c>
      <c r="Q1095" s="166"/>
      <c r="R1095" s="164"/>
      <c r="S1095" s="164"/>
      <c r="T1095" s="164"/>
      <c r="U1095" s="164"/>
      <c r="V1095" s="162"/>
      <c r="W1095" s="158"/>
      <c r="X1095" s="158"/>
      <c r="Y1095" s="158"/>
      <c r="Z1095" s="158"/>
      <c r="AA1095" s="158"/>
      <c r="AB1095" s="158"/>
      <c r="AC1095" s="113">
        <v>300</v>
      </c>
      <c r="AD1095" s="113">
        <v>45</v>
      </c>
      <c r="AE1095" s="113">
        <v>30</v>
      </c>
      <c r="AF1095" s="113">
        <v>70</v>
      </c>
      <c r="AG1095" s="120">
        <v>75</v>
      </c>
      <c r="AH1095" s="113">
        <v>70</v>
      </c>
      <c r="AI1095" s="113">
        <v>10</v>
      </c>
    </row>
    <row r="1096" spans="1:35">
      <c r="A1096" s="113">
        <v>1000</v>
      </c>
      <c r="B1096" s="113" t="s">
        <v>5182</v>
      </c>
      <c r="C1096" s="120" t="s">
        <v>6379</v>
      </c>
      <c r="D1096" s="132" t="s">
        <v>1109</v>
      </c>
      <c r="E1096" s="132" t="s">
        <v>1109</v>
      </c>
      <c r="F1096" s="113" t="s">
        <v>2333</v>
      </c>
      <c r="G1096" s="113" t="s">
        <v>5208</v>
      </c>
      <c r="H1096" s="113" t="s">
        <v>106</v>
      </c>
      <c r="I1096" s="113" t="s">
        <v>119</v>
      </c>
      <c r="J1096" s="118" t="s">
        <v>2129</v>
      </c>
      <c r="K1096" s="118">
        <v>3</v>
      </c>
      <c r="L1096" s="118" t="s">
        <v>6378</v>
      </c>
      <c r="M1096" s="113" t="s">
        <v>6378</v>
      </c>
      <c r="N1096" s="115" t="s">
        <v>6504</v>
      </c>
      <c r="O1096" s="115">
        <v>1.5</v>
      </c>
      <c r="P1096" s="115" t="s">
        <v>814</v>
      </c>
      <c r="Q1096" s="166"/>
      <c r="R1096" s="164"/>
      <c r="S1096" s="164"/>
      <c r="T1096" s="164"/>
      <c r="U1096" s="164"/>
      <c r="V1096" s="162"/>
      <c r="W1096" s="158"/>
      <c r="X1096" s="158"/>
      <c r="Y1096" s="158"/>
      <c r="Z1096" s="158"/>
      <c r="AA1096" s="158"/>
      <c r="AB1096" s="158"/>
      <c r="AC1096" s="113">
        <v>550</v>
      </c>
      <c r="AD1096" s="113">
        <v>87</v>
      </c>
      <c r="AE1096" s="113">
        <v>60</v>
      </c>
      <c r="AF1096" s="113">
        <v>95</v>
      </c>
      <c r="AG1096" s="120">
        <v>133</v>
      </c>
      <c r="AH1096" s="113">
        <v>91</v>
      </c>
      <c r="AI1096" s="113">
        <v>84</v>
      </c>
    </row>
    <row r="1097" spans="1:35">
      <c r="A1097" s="113">
        <v>1001</v>
      </c>
      <c r="B1097" s="113" t="s">
        <v>5183</v>
      </c>
      <c r="C1097" s="120" t="s">
        <v>6380</v>
      </c>
      <c r="D1097" s="132" t="s">
        <v>1109</v>
      </c>
      <c r="E1097" s="132" t="s">
        <v>1109</v>
      </c>
      <c r="F1097" s="113" t="s">
        <v>2333</v>
      </c>
      <c r="G1097" s="113" t="s">
        <v>5208</v>
      </c>
      <c r="H1097" s="113" t="s">
        <v>158</v>
      </c>
      <c r="I1097" s="113" t="s">
        <v>14</v>
      </c>
      <c r="J1097" s="118" t="s">
        <v>12</v>
      </c>
      <c r="K1097" s="118">
        <v>5</v>
      </c>
      <c r="L1097" s="118" t="s">
        <v>6380</v>
      </c>
      <c r="M1097" s="115" t="s">
        <v>1109</v>
      </c>
      <c r="N1097" s="115" t="s">
        <v>6504</v>
      </c>
      <c r="O1097" s="115">
        <v>2</v>
      </c>
      <c r="P1097" s="115" t="s">
        <v>1109</v>
      </c>
      <c r="Q1097" s="166"/>
      <c r="R1097" s="164"/>
      <c r="S1097" s="164"/>
      <c r="T1097" s="164"/>
      <c r="U1097" s="164"/>
      <c r="V1097" s="162"/>
      <c r="W1097" s="158"/>
      <c r="X1097" s="158"/>
      <c r="Y1097" s="158"/>
      <c r="Z1097" s="158"/>
      <c r="AA1097" s="158"/>
      <c r="AB1097" s="158"/>
      <c r="AC1097" s="113">
        <v>570</v>
      </c>
      <c r="AD1097" s="113">
        <v>85</v>
      </c>
      <c r="AE1097" s="113">
        <v>85</v>
      </c>
      <c r="AF1097" s="113">
        <v>100</v>
      </c>
      <c r="AG1097" s="120">
        <v>95</v>
      </c>
      <c r="AH1097" s="113">
        <v>135</v>
      </c>
      <c r="AI1097" s="113">
        <v>70</v>
      </c>
    </row>
    <row r="1098" spans="1:35">
      <c r="A1098" s="113">
        <v>1002</v>
      </c>
      <c r="B1098" s="113" t="s">
        <v>5184</v>
      </c>
      <c r="C1098" s="120" t="s">
        <v>6381</v>
      </c>
      <c r="D1098" s="132" t="s">
        <v>1109</v>
      </c>
      <c r="E1098" s="132" t="s">
        <v>1109</v>
      </c>
      <c r="F1098" s="113" t="s">
        <v>2333</v>
      </c>
      <c r="G1098" s="113" t="s">
        <v>5208</v>
      </c>
      <c r="H1098" s="113" t="s">
        <v>158</v>
      </c>
      <c r="I1098" s="113" t="s">
        <v>113</v>
      </c>
      <c r="J1098" s="118" t="s">
        <v>12</v>
      </c>
      <c r="K1098" s="118">
        <v>5</v>
      </c>
      <c r="L1098" s="118" t="s">
        <v>6381</v>
      </c>
      <c r="M1098" s="115" t="s">
        <v>1109</v>
      </c>
      <c r="N1098" s="115" t="s">
        <v>6504</v>
      </c>
      <c r="O1098" s="115">
        <v>2</v>
      </c>
      <c r="P1098" s="115" t="s">
        <v>1109</v>
      </c>
      <c r="Q1098" s="166"/>
      <c r="R1098" s="164"/>
      <c r="S1098" s="164"/>
      <c r="T1098" s="164"/>
      <c r="U1098" s="164"/>
      <c r="V1098" s="162"/>
      <c r="W1098" s="158"/>
      <c r="X1098" s="158"/>
      <c r="Y1098" s="158"/>
      <c r="Z1098" s="158"/>
      <c r="AA1098" s="158"/>
      <c r="AB1098" s="158"/>
      <c r="AC1098" s="113">
        <v>570</v>
      </c>
      <c r="AD1098" s="113">
        <v>80</v>
      </c>
      <c r="AE1098" s="113">
        <v>120</v>
      </c>
      <c r="AF1098" s="113">
        <v>80</v>
      </c>
      <c r="AG1098" s="120">
        <v>90</v>
      </c>
      <c r="AH1098" s="113">
        <v>65</v>
      </c>
      <c r="AI1098" s="113">
        <v>135</v>
      </c>
    </row>
    <row r="1099" spans="1:35">
      <c r="A1099" s="113">
        <v>1003</v>
      </c>
      <c r="B1099" s="113" t="s">
        <v>5185</v>
      </c>
      <c r="C1099" s="120" t="s">
        <v>6382</v>
      </c>
      <c r="D1099" s="132" t="s">
        <v>1109</v>
      </c>
      <c r="E1099" s="132" t="s">
        <v>1109</v>
      </c>
      <c r="F1099" s="113" t="s">
        <v>2333</v>
      </c>
      <c r="G1099" s="113" t="s">
        <v>5208</v>
      </c>
      <c r="H1099" s="113" t="s">
        <v>158</v>
      </c>
      <c r="I1099" s="113" t="s">
        <v>49</v>
      </c>
      <c r="J1099" s="118" t="s">
        <v>12</v>
      </c>
      <c r="K1099" s="118">
        <v>5</v>
      </c>
      <c r="L1099" s="118" t="s">
        <v>6382</v>
      </c>
      <c r="M1099" s="115" t="s">
        <v>1109</v>
      </c>
      <c r="N1099" s="115" t="s">
        <v>6504</v>
      </c>
      <c r="O1099" s="115">
        <v>2</v>
      </c>
      <c r="P1099" s="115" t="s">
        <v>1109</v>
      </c>
      <c r="Q1099" s="166"/>
      <c r="R1099" s="164"/>
      <c r="S1099" s="164"/>
      <c r="T1099" s="164"/>
      <c r="U1099" s="164"/>
      <c r="V1099" s="162"/>
      <c r="W1099" s="158"/>
      <c r="X1099" s="158"/>
      <c r="Y1099" s="158"/>
      <c r="Z1099" s="158"/>
      <c r="AA1099" s="158"/>
      <c r="AB1099" s="158"/>
      <c r="AC1099" s="113">
        <v>570</v>
      </c>
      <c r="AD1099" s="113">
        <v>155</v>
      </c>
      <c r="AE1099" s="113">
        <v>110</v>
      </c>
      <c r="AF1099" s="113">
        <v>125</v>
      </c>
      <c r="AG1099" s="120">
        <v>55</v>
      </c>
      <c r="AH1099" s="113">
        <v>80</v>
      </c>
      <c r="AI1099" s="113">
        <v>45</v>
      </c>
    </row>
    <row r="1100" spans="1:35">
      <c r="A1100" s="113">
        <v>1004</v>
      </c>
      <c r="B1100" s="113" t="s">
        <v>5186</v>
      </c>
      <c r="C1100" s="120" t="s">
        <v>6383</v>
      </c>
      <c r="D1100" s="132" t="s">
        <v>1109</v>
      </c>
      <c r="E1100" s="132" t="s">
        <v>1109</v>
      </c>
      <c r="F1100" s="113" t="s">
        <v>2333</v>
      </c>
      <c r="G1100" s="113" t="s">
        <v>5208</v>
      </c>
      <c r="H1100" s="113" t="s">
        <v>158</v>
      </c>
      <c r="I1100" s="113" t="s">
        <v>19</v>
      </c>
      <c r="J1100" s="118" t="s">
        <v>12</v>
      </c>
      <c r="K1100" s="118">
        <v>5</v>
      </c>
      <c r="L1100" s="118" t="s">
        <v>6383</v>
      </c>
      <c r="M1100" s="115" t="s">
        <v>1109</v>
      </c>
      <c r="N1100" s="115" t="s">
        <v>6504</v>
      </c>
      <c r="O1100" s="115">
        <v>2</v>
      </c>
      <c r="P1100" s="115" t="s">
        <v>1109</v>
      </c>
      <c r="Q1100" s="166"/>
      <c r="R1100" s="164"/>
      <c r="S1100" s="164"/>
      <c r="T1100" s="164"/>
      <c r="U1100" s="164"/>
      <c r="V1100" s="162"/>
      <c r="W1100" s="158"/>
      <c r="X1100" s="158"/>
      <c r="Y1100" s="158"/>
      <c r="Z1100" s="158"/>
      <c r="AA1100" s="158"/>
      <c r="AB1100" s="158"/>
      <c r="AC1100" s="113">
        <v>570</v>
      </c>
      <c r="AD1100" s="113">
        <v>55</v>
      </c>
      <c r="AE1100" s="113">
        <v>80</v>
      </c>
      <c r="AF1100" s="113">
        <v>80</v>
      </c>
      <c r="AG1100" s="120">
        <v>135</v>
      </c>
      <c r="AH1100" s="113">
        <v>120</v>
      </c>
      <c r="AI1100" s="113">
        <v>100</v>
      </c>
    </row>
    <row r="1101" spans="1:35">
      <c r="A1101" s="113">
        <v>1007</v>
      </c>
      <c r="B1101" s="113" t="s">
        <v>5189</v>
      </c>
      <c r="C1101" s="120" t="s">
        <v>6386</v>
      </c>
      <c r="D1101" s="132" t="s">
        <v>1109</v>
      </c>
      <c r="E1101" s="132" t="s">
        <v>1109</v>
      </c>
      <c r="F1101" s="113" t="s">
        <v>2333</v>
      </c>
      <c r="G1101" s="113" t="s">
        <v>5208</v>
      </c>
      <c r="H1101" s="113" t="s">
        <v>78</v>
      </c>
      <c r="I1101" s="113" t="s">
        <v>23</v>
      </c>
      <c r="J1101" s="118" t="s">
        <v>12</v>
      </c>
      <c r="K1101" s="118">
        <v>5</v>
      </c>
      <c r="L1101" s="118" t="s">
        <v>6386</v>
      </c>
      <c r="M1101" s="115" t="s">
        <v>1109</v>
      </c>
      <c r="N1101" s="115" t="s">
        <v>6504</v>
      </c>
      <c r="O1101" s="115">
        <v>2</v>
      </c>
      <c r="P1101" s="115" t="s">
        <v>1109</v>
      </c>
      <c r="Q1101" s="166"/>
      <c r="R1101" s="164"/>
      <c r="S1101" s="164"/>
      <c r="T1101" s="164"/>
      <c r="U1101" s="164"/>
      <c r="V1101" s="162"/>
      <c r="W1101" s="158"/>
      <c r="X1101" s="158"/>
      <c r="Y1101" s="158"/>
      <c r="Z1101" s="158"/>
      <c r="AA1101" s="158"/>
      <c r="AB1101" s="158"/>
      <c r="AC1101" s="113">
        <v>670</v>
      </c>
      <c r="AD1101" s="113">
        <v>100</v>
      </c>
      <c r="AE1101" s="113">
        <v>135</v>
      </c>
      <c r="AF1101" s="113">
        <v>115</v>
      </c>
      <c r="AG1101" s="120">
        <v>85</v>
      </c>
      <c r="AH1101" s="113">
        <v>100</v>
      </c>
      <c r="AI1101" s="113">
        <v>135</v>
      </c>
    </row>
    <row r="1102" spans="1:35">
      <c r="A1102" s="113">
        <v>1008</v>
      </c>
      <c r="B1102" s="113" t="s">
        <v>5190</v>
      </c>
      <c r="C1102" s="120" t="s">
        <v>6387</v>
      </c>
      <c r="D1102" s="132" t="s">
        <v>1109</v>
      </c>
      <c r="E1102" s="132" t="s">
        <v>1109</v>
      </c>
      <c r="F1102" s="113" t="s">
        <v>2333</v>
      </c>
      <c r="G1102" s="113" t="s">
        <v>5208</v>
      </c>
      <c r="H1102" s="113" t="s">
        <v>46</v>
      </c>
      <c r="I1102" s="113" t="s">
        <v>23</v>
      </c>
      <c r="J1102" s="118" t="s">
        <v>12</v>
      </c>
      <c r="K1102" s="118">
        <v>5</v>
      </c>
      <c r="L1102" s="118" t="s">
        <v>6387</v>
      </c>
      <c r="M1102" s="115" t="s">
        <v>1109</v>
      </c>
      <c r="N1102" s="115" t="s">
        <v>6504</v>
      </c>
      <c r="O1102" s="115">
        <v>2</v>
      </c>
      <c r="P1102" s="115" t="s">
        <v>1109</v>
      </c>
      <c r="Q1102" s="166"/>
      <c r="R1102" s="164"/>
      <c r="S1102" s="164"/>
      <c r="T1102" s="164"/>
      <c r="U1102" s="164"/>
      <c r="V1102" s="162"/>
      <c r="W1102" s="158"/>
      <c r="X1102" s="158"/>
      <c r="Y1102" s="158"/>
      <c r="Z1102" s="158"/>
      <c r="AA1102" s="158"/>
      <c r="AB1102" s="158"/>
      <c r="AC1102" s="113">
        <v>670</v>
      </c>
      <c r="AD1102" s="113">
        <v>100</v>
      </c>
      <c r="AE1102" s="113">
        <v>85</v>
      </c>
      <c r="AF1102" s="113">
        <v>100</v>
      </c>
      <c r="AG1102" s="120">
        <v>135</v>
      </c>
      <c r="AH1102" s="113">
        <v>115</v>
      </c>
      <c r="AI1102" s="113">
        <v>135</v>
      </c>
    </row>
  </sheetData>
  <mergeCells count="3">
    <mergeCell ref="A1:J1"/>
    <mergeCell ref="M1:P1"/>
    <mergeCell ref="AC1:AI1"/>
  </mergeCells>
  <conditionalFormatting sqref="M97">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FEB84"/>
        <color rgb="FFF8696B"/>
      </colorScale>
    </cfRule>
  </conditionalFormatting>
  <conditionalFormatting sqref="P97:AB97">
    <cfRule type="colorScale" priority="685">
      <colorScale>
        <cfvo type="min"/>
        <cfvo type="percentile" val="50"/>
        <cfvo type="max"/>
        <color rgb="FF63BE7B"/>
        <color rgb="FFFFEB84"/>
        <color rgb="FFF8696B"/>
      </colorScale>
    </cfRule>
    <cfRule type="colorScale" priority="686">
      <colorScale>
        <cfvo type="min"/>
        <cfvo type="percentile" val="50"/>
        <cfvo type="max"/>
        <color rgb="FF63BE7B"/>
        <color rgb="FFFFEB84"/>
        <color rgb="FFF8696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A7A84E-A203-B548-8A80-334C93F2FBC1}">
          <x14:formula1>
            <xm:f>Hoja3!$B$2:$B$5</xm:f>
          </x14:formula1>
          <xm:sqref>W155:W178 W180:W937 W940:W1102 W3:W153</xm:sqref>
        </x14:dataValidation>
        <x14:dataValidation type="list" allowBlank="1" showInputMessage="1" showErrorMessage="1" xr:uid="{D2EE83AE-7BCD-E746-8866-CE234CD87C5C}">
          <x14:formula1>
            <xm:f>Hoja3!$A$2:$A$6</xm:f>
          </x14:formula1>
          <xm:sqref>Q3:R3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6218-FFB5-604C-A85D-1694AFBDB725}">
  <dimension ref="A2:K22"/>
  <sheetViews>
    <sheetView workbookViewId="0">
      <selection sqref="A1:XFD1048576"/>
    </sheetView>
  </sheetViews>
  <sheetFormatPr baseColWidth="10" defaultRowHeight="15"/>
  <cols>
    <col min="3" max="3" width="10.5" bestFit="1" customWidth="1"/>
    <col min="4" max="4" width="9.83203125" bestFit="1" customWidth="1"/>
    <col min="5" max="5" width="10.6640625" bestFit="1" customWidth="1"/>
    <col min="6" max="6" width="9.83203125" bestFit="1" customWidth="1"/>
    <col min="7" max="7" width="9.6640625" bestFit="1" customWidth="1"/>
    <col min="8" max="8" width="7.6640625" bestFit="1" customWidth="1"/>
    <col min="9" max="9" width="5.6640625" bestFit="1" customWidth="1"/>
    <col min="10" max="10" width="11" bestFit="1" customWidth="1"/>
    <col min="11" max="11" width="10.5" bestFit="1" customWidth="1"/>
  </cols>
  <sheetData>
    <row r="2" spans="1:11">
      <c r="A2" t="s">
        <v>6509</v>
      </c>
      <c r="B2" t="s">
        <v>6530</v>
      </c>
    </row>
    <row r="3" spans="1:11">
      <c r="A3" t="s">
        <v>6510</v>
      </c>
      <c r="B3" t="s">
        <v>6531</v>
      </c>
    </row>
    <row r="4" spans="1:11">
      <c r="A4" t="s">
        <v>6511</v>
      </c>
      <c r="B4" t="s">
        <v>6532</v>
      </c>
    </row>
    <row r="5" spans="1:11">
      <c r="A5" t="s">
        <v>6512</v>
      </c>
      <c r="B5" t="s">
        <v>6533</v>
      </c>
    </row>
    <row r="6" spans="1:11">
      <c r="A6" t="s">
        <v>6513</v>
      </c>
    </row>
    <row r="8" spans="1:11" ht="16">
      <c r="C8" s="153" t="s">
        <v>6514</v>
      </c>
      <c r="D8" s="153" t="s">
        <v>6515</v>
      </c>
      <c r="E8" s="153" t="s">
        <v>6516</v>
      </c>
      <c r="F8" s="153" t="s">
        <v>6517</v>
      </c>
      <c r="G8" s="153" t="s">
        <v>6518</v>
      </c>
      <c r="H8" s="153" t="s">
        <v>6519</v>
      </c>
      <c r="I8" s="153" t="s">
        <v>6520</v>
      </c>
      <c r="J8" s="153" t="s">
        <v>6521</v>
      </c>
      <c r="K8" s="153" t="s">
        <v>6522</v>
      </c>
    </row>
    <row r="10" spans="1:11" ht="16">
      <c r="C10" s="153"/>
    </row>
    <row r="12" spans="1:11" ht="16">
      <c r="C12" s="153"/>
    </row>
    <row r="14" spans="1:11" ht="16">
      <c r="C14" s="153"/>
    </row>
    <row r="16" spans="1:11" ht="16">
      <c r="C16" s="153"/>
    </row>
    <row r="18" spans="3:3" ht="16">
      <c r="C18" s="153"/>
    </row>
    <row r="20" spans="3:3" ht="16">
      <c r="C20" s="153"/>
    </row>
    <row r="22" spans="3:3" ht="16">
      <c r="C22" s="15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20658-3412-4D27-87D6-FCC668B67D6C}">
  <dimension ref="A1:D40"/>
  <sheetViews>
    <sheetView topLeftCell="A19" workbookViewId="0">
      <selection activeCell="B29" sqref="B29:D29"/>
    </sheetView>
  </sheetViews>
  <sheetFormatPr baseColWidth="10" defaultRowHeight="15"/>
  <cols>
    <col min="1" max="1" width="16.5" bestFit="1" customWidth="1"/>
    <col min="2" max="2" width="18.83203125" bestFit="1" customWidth="1"/>
    <col min="3" max="3" width="14.5" bestFit="1" customWidth="1"/>
    <col min="4" max="4" width="14.33203125" bestFit="1" customWidth="1"/>
    <col min="5" max="5" width="1.83203125" bestFit="1" customWidth="1"/>
    <col min="6" max="6" width="1.5" bestFit="1" customWidth="1"/>
    <col min="7" max="7" width="11.6640625" bestFit="1" customWidth="1"/>
    <col min="8" max="8" width="5.6640625" bestFit="1" customWidth="1"/>
    <col min="9" max="9" width="3.83203125" bestFit="1" customWidth="1"/>
    <col min="10" max="10" width="5.6640625" bestFit="1" customWidth="1"/>
    <col min="11" max="11" width="6.5" bestFit="1" customWidth="1"/>
    <col min="12" max="12" width="7.33203125" bestFit="1" customWidth="1"/>
    <col min="13" max="13" width="5.83203125" bestFit="1" customWidth="1"/>
    <col min="14" max="14" width="4.1640625" bestFit="1" customWidth="1"/>
    <col min="15" max="15" width="6.5" bestFit="1" customWidth="1"/>
    <col min="16" max="16" width="5.1640625" bestFit="1" customWidth="1"/>
    <col min="17" max="17" width="4.33203125" bestFit="1" customWidth="1"/>
    <col min="18" max="18" width="5.1640625" bestFit="1" customWidth="1"/>
    <col min="19" max="19" width="4.6640625" bestFit="1" customWidth="1"/>
    <col min="20" max="20" width="6.5" bestFit="1" customWidth="1"/>
    <col min="21" max="21" width="3.83203125" bestFit="1" customWidth="1"/>
    <col min="22" max="22" width="4.33203125" bestFit="1" customWidth="1"/>
    <col min="23" max="23" width="4.5" bestFit="1" customWidth="1"/>
    <col min="24" max="24" width="5.33203125" bestFit="1" customWidth="1"/>
    <col min="25" max="25" width="4.33203125" bestFit="1" customWidth="1"/>
    <col min="26" max="26" width="2.1640625" bestFit="1" customWidth="1"/>
    <col min="27" max="27" width="4.83203125" bestFit="1" customWidth="1"/>
    <col min="28" max="28" width="7.83203125" bestFit="1" customWidth="1"/>
    <col min="29" max="29" width="4" bestFit="1" customWidth="1"/>
    <col min="30" max="30" width="4.83203125" bestFit="1" customWidth="1"/>
    <col min="31" max="31" width="6.33203125" bestFit="1" customWidth="1"/>
    <col min="32" max="32" width="6.5" bestFit="1" customWidth="1"/>
    <col min="33" max="33" width="5.33203125" bestFit="1" customWidth="1"/>
    <col min="34" max="34" width="5.83203125" bestFit="1" customWidth="1"/>
    <col min="35" max="35" width="5.5" bestFit="1" customWidth="1"/>
    <col min="36" max="36" width="5" bestFit="1" customWidth="1"/>
    <col min="37" max="37" width="11.6640625" bestFit="1" customWidth="1"/>
  </cols>
  <sheetData>
    <row r="1" spans="1:4">
      <c r="A1" s="151" t="s">
        <v>6422</v>
      </c>
      <c r="B1" t="s">
        <v>6486</v>
      </c>
    </row>
    <row r="2" spans="1:4">
      <c r="A2" s="151" t="s">
        <v>1965</v>
      </c>
      <c r="B2" t="s">
        <v>6486</v>
      </c>
    </row>
    <row r="4" spans="1:4">
      <c r="C4" s="151" t="s">
        <v>6484</v>
      </c>
    </row>
    <row r="5" spans="1:4">
      <c r="A5" s="151" t="s">
        <v>0</v>
      </c>
      <c r="B5" s="151" t="s">
        <v>2701</v>
      </c>
      <c r="C5" t="s">
        <v>6483</v>
      </c>
      <c r="D5" t="s">
        <v>6485</v>
      </c>
    </row>
    <row r="6" spans="1:4">
      <c r="A6">
        <v>1</v>
      </c>
      <c r="B6" t="s">
        <v>6391</v>
      </c>
      <c r="C6">
        <v>26</v>
      </c>
      <c r="D6">
        <v>155</v>
      </c>
    </row>
    <row r="7" spans="1:4">
      <c r="A7">
        <v>2</v>
      </c>
      <c r="B7" t="s">
        <v>6392</v>
      </c>
      <c r="C7">
        <v>25</v>
      </c>
      <c r="D7">
        <v>158</v>
      </c>
    </row>
    <row r="8" spans="1:4">
      <c r="A8">
        <v>3</v>
      </c>
      <c r="B8" t="s">
        <v>6393</v>
      </c>
      <c r="C8">
        <v>24</v>
      </c>
      <c r="D8">
        <v>153</v>
      </c>
    </row>
    <row r="9" spans="1:4">
      <c r="A9">
        <v>4</v>
      </c>
      <c r="B9" t="s">
        <v>6394</v>
      </c>
      <c r="C9">
        <v>24</v>
      </c>
      <c r="D9">
        <v>147</v>
      </c>
    </row>
    <row r="10" spans="1:4">
      <c r="A10">
        <v>5</v>
      </c>
      <c r="B10" t="s">
        <v>6395</v>
      </c>
      <c r="C10">
        <v>23</v>
      </c>
      <c r="D10">
        <v>154</v>
      </c>
    </row>
    <row r="11" spans="1:4">
      <c r="A11">
        <v>6</v>
      </c>
      <c r="B11" t="s">
        <v>2704</v>
      </c>
      <c r="C11">
        <v>23</v>
      </c>
      <c r="D11">
        <v>150</v>
      </c>
    </row>
    <row r="12" spans="1:4">
      <c r="A12">
        <v>7</v>
      </c>
      <c r="B12" t="s">
        <v>6396</v>
      </c>
      <c r="C12">
        <v>24</v>
      </c>
      <c r="D12">
        <v>151</v>
      </c>
    </row>
    <row r="13" spans="1:4">
      <c r="A13">
        <v>8</v>
      </c>
      <c r="B13" t="s">
        <v>6397</v>
      </c>
      <c r="C13">
        <v>22</v>
      </c>
      <c r="D13">
        <v>141</v>
      </c>
    </row>
    <row r="14" spans="1:4">
      <c r="A14">
        <v>9</v>
      </c>
      <c r="B14" t="s">
        <v>6400</v>
      </c>
      <c r="C14">
        <v>22</v>
      </c>
      <c r="D14">
        <v>141</v>
      </c>
    </row>
    <row r="15" spans="1:4">
      <c r="A15">
        <v>10</v>
      </c>
      <c r="B15" t="s">
        <v>6401</v>
      </c>
      <c r="C15">
        <v>22</v>
      </c>
      <c r="D15">
        <v>145</v>
      </c>
    </row>
    <row r="16" spans="1:4">
      <c r="A16">
        <v>11</v>
      </c>
      <c r="B16" t="s">
        <v>6402</v>
      </c>
      <c r="C16">
        <v>24</v>
      </c>
      <c r="D16">
        <v>150</v>
      </c>
    </row>
    <row r="17" spans="1:4">
      <c r="A17">
        <v>12</v>
      </c>
      <c r="B17" t="s">
        <v>6403</v>
      </c>
      <c r="C17">
        <v>23</v>
      </c>
      <c r="D17">
        <v>146</v>
      </c>
    </row>
    <row r="18" spans="1:4">
      <c r="A18">
        <v>13</v>
      </c>
      <c r="B18" t="s">
        <v>6404</v>
      </c>
      <c r="C18">
        <v>23</v>
      </c>
      <c r="D18">
        <v>144</v>
      </c>
    </row>
    <row r="19" spans="1:4">
      <c r="A19">
        <v>14</v>
      </c>
      <c r="B19" t="s">
        <v>6405</v>
      </c>
      <c r="C19">
        <v>25</v>
      </c>
      <c r="D19">
        <v>154</v>
      </c>
    </row>
    <row r="20" spans="1:4">
      <c r="A20">
        <v>15</v>
      </c>
      <c r="B20" t="s">
        <v>6406</v>
      </c>
      <c r="C20">
        <v>24</v>
      </c>
      <c r="D20">
        <v>147</v>
      </c>
    </row>
    <row r="21" spans="1:4">
      <c r="A21">
        <v>16</v>
      </c>
      <c r="B21" t="s">
        <v>6407</v>
      </c>
      <c r="C21">
        <v>25</v>
      </c>
      <c r="D21">
        <v>147</v>
      </c>
    </row>
    <row r="22" spans="1:4">
      <c r="A22">
        <v>17</v>
      </c>
      <c r="B22" t="s">
        <v>6408</v>
      </c>
      <c r="C22">
        <v>25</v>
      </c>
      <c r="D22">
        <v>151</v>
      </c>
    </row>
    <row r="23" spans="1:4">
      <c r="A23">
        <v>18</v>
      </c>
      <c r="B23" t="s">
        <v>6409</v>
      </c>
      <c r="C23">
        <v>24</v>
      </c>
      <c r="D23">
        <v>144</v>
      </c>
    </row>
    <row r="24" spans="1:4">
      <c r="A24">
        <v>19</v>
      </c>
      <c r="B24" t="s">
        <v>6477</v>
      </c>
      <c r="C24">
        <v>23</v>
      </c>
      <c r="D24">
        <v>143</v>
      </c>
    </row>
    <row r="25" spans="1:4">
      <c r="A25">
        <v>20</v>
      </c>
      <c r="B25" t="s">
        <v>2706</v>
      </c>
      <c r="C25">
        <v>24</v>
      </c>
      <c r="D25">
        <v>151</v>
      </c>
    </row>
    <row r="26" spans="1:4">
      <c r="A26">
        <v>21</v>
      </c>
      <c r="B26" t="s">
        <v>2705</v>
      </c>
      <c r="C26">
        <v>25</v>
      </c>
      <c r="D26">
        <v>156</v>
      </c>
    </row>
    <row r="27" spans="1:4">
      <c r="A27">
        <v>22</v>
      </c>
      <c r="B27" t="s">
        <v>6410</v>
      </c>
      <c r="C27">
        <v>25</v>
      </c>
      <c r="D27">
        <v>153</v>
      </c>
    </row>
    <row r="28" spans="1:4">
      <c r="A28">
        <v>23</v>
      </c>
      <c r="B28" t="s">
        <v>6411</v>
      </c>
      <c r="C28">
        <v>22</v>
      </c>
      <c r="D28">
        <v>138</v>
      </c>
    </row>
    <row r="29" spans="1:4">
      <c r="A29">
        <v>24</v>
      </c>
      <c r="B29" t="s">
        <v>6412</v>
      </c>
      <c r="C29">
        <v>24</v>
      </c>
      <c r="D29">
        <v>148</v>
      </c>
    </row>
    <row r="30" spans="1:4">
      <c r="A30">
        <v>25</v>
      </c>
      <c r="B30" t="s">
        <v>2708</v>
      </c>
      <c r="C30">
        <v>24</v>
      </c>
      <c r="D30">
        <v>146</v>
      </c>
    </row>
    <row r="31" spans="1:4">
      <c r="A31">
        <v>26</v>
      </c>
      <c r="B31" t="s">
        <v>2709</v>
      </c>
      <c r="C31">
        <v>24</v>
      </c>
      <c r="D31">
        <v>143</v>
      </c>
    </row>
    <row r="32" spans="1:4">
      <c r="A32">
        <v>27</v>
      </c>
      <c r="B32" t="s">
        <v>6413</v>
      </c>
      <c r="C32">
        <v>24</v>
      </c>
      <c r="D32">
        <v>150</v>
      </c>
    </row>
    <row r="33" spans="1:4">
      <c r="A33">
        <v>28</v>
      </c>
      <c r="B33" t="s">
        <v>6414</v>
      </c>
      <c r="C33">
        <v>24</v>
      </c>
      <c r="D33">
        <v>150</v>
      </c>
    </row>
    <row r="34" spans="1:4">
      <c r="A34">
        <v>29</v>
      </c>
      <c r="B34" t="s">
        <v>2710</v>
      </c>
      <c r="C34">
        <v>24</v>
      </c>
      <c r="D34">
        <v>147</v>
      </c>
    </row>
    <row r="35" spans="1:4">
      <c r="A35">
        <v>30</v>
      </c>
      <c r="B35" t="s">
        <v>2711</v>
      </c>
      <c r="C35">
        <v>24</v>
      </c>
      <c r="D35">
        <v>148</v>
      </c>
    </row>
    <row r="36" spans="1:4">
      <c r="A36">
        <v>31</v>
      </c>
      <c r="B36" t="s">
        <v>6415</v>
      </c>
      <c r="C36">
        <v>24</v>
      </c>
      <c r="D36">
        <v>149</v>
      </c>
    </row>
    <row r="37" spans="1:4">
      <c r="A37">
        <v>32</v>
      </c>
      <c r="B37" t="s">
        <v>6416</v>
      </c>
      <c r="C37">
        <v>24</v>
      </c>
      <c r="D37">
        <v>151</v>
      </c>
    </row>
    <row r="38" spans="1:4">
      <c r="A38">
        <v>33</v>
      </c>
      <c r="B38" t="s">
        <v>6417</v>
      </c>
      <c r="C38">
        <v>23</v>
      </c>
      <c r="D38">
        <v>143</v>
      </c>
    </row>
    <row r="39" spans="1:4">
      <c r="A39">
        <v>34</v>
      </c>
      <c r="B39" t="s">
        <v>6418</v>
      </c>
      <c r="C39">
        <v>25</v>
      </c>
      <c r="D39">
        <v>154</v>
      </c>
    </row>
    <row r="40" spans="1:4">
      <c r="A40">
        <v>100</v>
      </c>
      <c r="B40" t="s">
        <v>6475</v>
      </c>
      <c r="C40">
        <v>25</v>
      </c>
      <c r="D40">
        <v>157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3:M32"/>
  <sheetViews>
    <sheetView showGridLines="0" workbookViewId="0">
      <selection activeCell="E10" sqref="E10:J10"/>
    </sheetView>
  </sheetViews>
  <sheetFormatPr baseColWidth="10" defaultColWidth="8.6640625" defaultRowHeight="14"/>
  <cols>
    <col min="1" max="1" width="8.6640625" style="53"/>
    <col min="2" max="2" width="16.1640625" style="53" customWidth="1"/>
    <col min="3" max="3" width="4.5" style="56" bestFit="1" customWidth="1"/>
    <col min="4" max="4" width="4.5" style="56" customWidth="1"/>
    <col min="5" max="6" width="4.33203125" style="57" customWidth="1"/>
    <col min="7" max="7" width="8.1640625" style="53" customWidth="1"/>
    <col min="8" max="8" width="0.5" style="53" customWidth="1"/>
    <col min="9" max="10" width="8.1640625" style="53" customWidth="1"/>
    <col min="11" max="16384" width="8.6640625" style="53"/>
  </cols>
  <sheetData>
    <row r="3" spans="2:13">
      <c r="B3" s="59" t="str">
        <f>VLOOKUP(C3,'Pokemon Db'!A:AP,2,0)</f>
        <v>Charizard</v>
      </c>
      <c r="C3" s="55">
        <v>6</v>
      </c>
      <c r="D3" s="55"/>
      <c r="E3" s="59" t="str">
        <f>CONCATENATE("#",C3," - ",B3)</f>
        <v>#6 - Charizard</v>
      </c>
      <c r="F3" s="59"/>
    </row>
    <row r="4" spans="2:13" ht="6.5" customHeight="1">
      <c r="E4" s="58"/>
      <c r="F4" s="58"/>
    </row>
    <row r="5" spans="2:13" ht="16" customHeight="1">
      <c r="E5" s="58"/>
      <c r="F5" s="58"/>
    </row>
    <row r="6" spans="2:13" ht="16" customHeight="1">
      <c r="E6" s="58"/>
      <c r="F6" s="58"/>
      <c r="J6" s="64"/>
      <c r="M6" s="54"/>
    </row>
    <row r="7" spans="2:13" ht="16" customHeight="1">
      <c r="E7" s="58"/>
      <c r="F7" s="58"/>
      <c r="J7" s="65"/>
      <c r="M7" s="54"/>
    </row>
    <row r="8" spans="2:13" ht="16" customHeight="1">
      <c r="E8" s="58"/>
      <c r="F8" s="58"/>
      <c r="J8" s="66"/>
      <c r="M8" s="54"/>
    </row>
    <row r="9" spans="2:13" ht="5.5" customHeight="1">
      <c r="E9" s="58"/>
      <c r="F9" s="58"/>
      <c r="I9" s="62"/>
      <c r="M9" s="54"/>
    </row>
    <row r="10" spans="2:13" ht="18" customHeight="1">
      <c r="E10" s="193">
        <f>VLOOKUP(C3,'Pokemon Db'!A:AP,19,0)</f>
        <v>534</v>
      </c>
      <c r="F10" s="194"/>
      <c r="G10" s="194"/>
      <c r="H10" s="194"/>
      <c r="I10" s="194"/>
      <c r="J10" s="195"/>
    </row>
    <row r="11" spans="2:13" ht="42" customHeight="1">
      <c r="E11" s="196" t="e">
        <f>VLOOKUP(E10,Habs!B:D,3,0)</f>
        <v>#N/A</v>
      </c>
      <c r="F11" s="197"/>
      <c r="G11" s="197"/>
      <c r="H11" s="197"/>
      <c r="I11" s="197"/>
      <c r="J11" s="198"/>
    </row>
    <row r="12" spans="2:13" ht="3" customHeight="1">
      <c r="E12" s="60"/>
      <c r="F12" s="60"/>
      <c r="G12" s="61"/>
      <c r="H12" s="61"/>
      <c r="I12" s="61"/>
    </row>
    <row r="13" spans="2:13" ht="18" customHeight="1">
      <c r="E13" s="69">
        <f>VLOOKUP(C3,'Pokemon Db'!A:AL,22,0)</f>
        <v>78</v>
      </c>
      <c r="F13" s="67">
        <f>VLOOKUP(C3,'Pokemon Db'!A:AP,21,0)</f>
        <v>84</v>
      </c>
      <c r="G13" s="67"/>
      <c r="H13" s="67"/>
      <c r="I13" s="67"/>
      <c r="J13" s="68"/>
    </row>
    <row r="14" spans="2:13" ht="16" customHeight="1">
      <c r="E14" s="199" t="e">
        <f>VLOOKUP(F13,Movimientos!A:C,3,0)</f>
        <v>#N/A</v>
      </c>
      <c r="F14" s="200"/>
      <c r="G14" s="200"/>
      <c r="H14" s="200"/>
      <c r="I14" s="200"/>
      <c r="J14" s="201"/>
    </row>
    <row r="15" spans="2:13" ht="18" customHeight="1">
      <c r="E15" s="69">
        <f>VLOOKUP(C3,'Pokemon Db'!A:AL,24,0)</f>
        <v>85</v>
      </c>
      <c r="F15" s="67">
        <f>VLOOKUP(C3,'Pokemon Db'!A:AP,23,0)</f>
        <v>109</v>
      </c>
      <c r="G15" s="67"/>
      <c r="H15" s="67"/>
      <c r="I15" s="67"/>
      <c r="J15" s="68"/>
    </row>
    <row r="16" spans="2:13" ht="16" customHeight="1">
      <c r="E16" s="180" t="e">
        <f>VLOOKUP(F15,Movimientos!A:C,3,0)</f>
        <v>#N/A</v>
      </c>
      <c r="F16" s="181"/>
      <c r="G16" s="181"/>
      <c r="H16" s="181"/>
      <c r="I16" s="181"/>
      <c r="J16" s="182"/>
    </row>
    <row r="17" spans="5:10" ht="3" customHeight="1">
      <c r="E17" s="58"/>
      <c r="F17" s="58"/>
    </row>
    <row r="18" spans="5:10" ht="18" customHeight="1">
      <c r="E18" s="183" t="s">
        <v>1487</v>
      </c>
      <c r="F18" s="184"/>
      <c r="G18" s="185"/>
      <c r="H18" s="63"/>
      <c r="I18" s="189" t="s">
        <v>1488</v>
      </c>
      <c r="J18" s="190"/>
    </row>
    <row r="19" spans="5:10" ht="18" customHeight="1">
      <c r="E19" s="186"/>
      <c r="F19" s="187"/>
      <c r="G19" s="188"/>
      <c r="H19" s="63"/>
      <c r="I19" s="191"/>
      <c r="J19" s="192"/>
    </row>
    <row r="29" spans="5:10" ht="14" customHeight="1"/>
    <row r="32" spans="5:10" ht="14" customHeight="1"/>
  </sheetData>
  <mergeCells count="6">
    <mergeCell ref="E16:J16"/>
    <mergeCell ref="E18:G19"/>
    <mergeCell ref="I18:J19"/>
    <mergeCell ref="E10:J10"/>
    <mergeCell ref="E11:J11"/>
    <mergeCell ref="E14:J14"/>
  </mergeCells>
  <pageMargins left="0.7" right="0.7" top="0.75" bottom="0.75" header="0.3" footer="0.3"/>
  <pageSetup paperSize="9" orientation="portrait" r:id="rId1"/>
  <ignoredErrors>
    <ignoredError sqref="E15"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F1A1-1C48-D14E-A37B-A5BEF0D6DA51}">
  <sheetPr>
    <tabColor theme="9"/>
  </sheetPr>
  <dimension ref="A1:S154"/>
  <sheetViews>
    <sheetView workbookViewId="0">
      <selection activeCell="H2" sqref="H2"/>
    </sheetView>
  </sheetViews>
  <sheetFormatPr baseColWidth="10" defaultRowHeight="15"/>
  <cols>
    <col min="1" max="1" width="4.1640625" bestFit="1" customWidth="1"/>
    <col min="2" max="2" width="30.1640625" bestFit="1" customWidth="1"/>
    <col min="3" max="3" width="5.6640625" bestFit="1" customWidth="1"/>
    <col min="4" max="4" width="6.1640625" bestFit="1" customWidth="1"/>
    <col min="5" max="5" width="11.33203125" bestFit="1" customWidth="1"/>
    <col min="6" max="6" width="9.33203125" bestFit="1" customWidth="1"/>
    <col min="7" max="7" width="3.83203125" bestFit="1" customWidth="1"/>
    <col min="8" max="8" width="24.83203125" bestFit="1" customWidth="1"/>
    <col min="9" max="9" width="9.33203125" bestFit="1" customWidth="1"/>
    <col min="10" max="10" width="3.83203125" bestFit="1" customWidth="1"/>
    <col min="11" max="11" width="6.1640625" bestFit="1" customWidth="1"/>
    <col min="12" max="12" width="7" bestFit="1" customWidth="1"/>
    <col min="13" max="13" width="5.6640625" bestFit="1" customWidth="1"/>
    <col min="14" max="14" width="12" bestFit="1" customWidth="1"/>
    <col min="15" max="15" width="5.33203125" bestFit="1" customWidth="1"/>
    <col min="16" max="16" width="7.1640625" bestFit="1" customWidth="1"/>
    <col min="17" max="17" width="12.1640625" bestFit="1" customWidth="1"/>
    <col min="18" max="18" width="8.6640625" bestFit="1" customWidth="1"/>
    <col min="19" max="19" width="30.1640625" bestFit="1" customWidth="1"/>
  </cols>
  <sheetData>
    <row r="1" spans="1:19">
      <c r="A1" s="136" t="s">
        <v>0</v>
      </c>
      <c r="B1" s="136" t="s">
        <v>1</v>
      </c>
      <c r="C1" s="136" t="s">
        <v>3051</v>
      </c>
      <c r="D1" s="136" t="s">
        <v>1967</v>
      </c>
      <c r="E1" s="121" t="s">
        <v>1802</v>
      </c>
      <c r="F1" s="121" t="s">
        <v>2141</v>
      </c>
      <c r="G1" s="121" t="s">
        <v>2142</v>
      </c>
      <c r="H1" s="147" t="s">
        <v>4661</v>
      </c>
      <c r="I1" s="147" t="s">
        <v>2141</v>
      </c>
      <c r="J1" s="147" t="s">
        <v>2142</v>
      </c>
      <c r="K1" s="109" t="s">
        <v>1989</v>
      </c>
      <c r="L1" s="109" t="s">
        <v>1990</v>
      </c>
      <c r="M1" s="109" t="s">
        <v>1991</v>
      </c>
      <c r="N1" s="109" t="s">
        <v>2001</v>
      </c>
      <c r="O1" s="109" t="s">
        <v>1992</v>
      </c>
      <c r="P1" s="109" t="s">
        <v>2021</v>
      </c>
      <c r="Q1" s="109" t="s">
        <v>2143</v>
      </c>
      <c r="R1" s="109" t="s">
        <v>2027</v>
      </c>
      <c r="S1" s="136" t="s">
        <v>1</v>
      </c>
    </row>
    <row r="2" spans="1:19">
      <c r="A2" s="113">
        <v>1</v>
      </c>
      <c r="B2" s="113" t="s">
        <v>13</v>
      </c>
      <c r="C2" s="120" t="s">
        <v>4326</v>
      </c>
      <c r="D2" s="118" t="s">
        <v>4326</v>
      </c>
      <c r="E2" s="115" t="s">
        <v>1109</v>
      </c>
      <c r="F2" s="115" t="s">
        <v>1109</v>
      </c>
      <c r="G2" s="115" t="s">
        <v>1109</v>
      </c>
      <c r="H2" s="115" t="s">
        <v>16</v>
      </c>
      <c r="I2" s="115" t="s">
        <v>2128</v>
      </c>
      <c r="J2" s="115">
        <v>3</v>
      </c>
      <c r="K2" s="115"/>
      <c r="L2" s="115"/>
      <c r="M2" s="115"/>
      <c r="N2" s="115"/>
      <c r="O2" s="115"/>
      <c r="P2" s="115"/>
      <c r="Q2" s="115"/>
      <c r="R2" s="115"/>
      <c r="S2" s="113" t="s">
        <v>13</v>
      </c>
    </row>
    <row r="3" spans="1:19">
      <c r="A3" s="113">
        <v>2</v>
      </c>
      <c r="B3" s="113" t="s">
        <v>16</v>
      </c>
      <c r="C3" s="120" t="s">
        <v>4327</v>
      </c>
      <c r="D3" s="118" t="s">
        <v>4326</v>
      </c>
      <c r="E3" s="115" t="s">
        <v>4326</v>
      </c>
      <c r="F3" s="115" t="s">
        <v>2128</v>
      </c>
      <c r="G3" s="115">
        <v>3</v>
      </c>
      <c r="H3" s="115" t="s">
        <v>17</v>
      </c>
      <c r="I3" s="115" t="s">
        <v>2128</v>
      </c>
      <c r="J3" s="115">
        <v>4</v>
      </c>
      <c r="K3" s="115"/>
      <c r="L3" s="115"/>
      <c r="M3" s="115"/>
      <c r="N3" s="115"/>
      <c r="O3" s="115"/>
      <c r="P3" s="115"/>
      <c r="Q3" s="115"/>
      <c r="R3" s="115"/>
      <c r="S3" s="113" t="s">
        <v>16</v>
      </c>
    </row>
    <row r="4" spans="1:19">
      <c r="A4" s="113">
        <v>3</v>
      </c>
      <c r="B4" s="113" t="s">
        <v>17</v>
      </c>
      <c r="C4" s="120" t="s">
        <v>4328</v>
      </c>
      <c r="D4" s="118" t="s">
        <v>4326</v>
      </c>
      <c r="E4" s="115" t="s">
        <v>4327</v>
      </c>
      <c r="F4" s="115" t="s">
        <v>2128</v>
      </c>
      <c r="G4" s="115">
        <v>4</v>
      </c>
      <c r="H4" s="115" t="s">
        <v>1109</v>
      </c>
      <c r="I4" s="115" t="s">
        <v>1109</v>
      </c>
      <c r="J4" s="115" t="s">
        <v>1109</v>
      </c>
      <c r="K4" s="115"/>
      <c r="L4" s="115"/>
      <c r="M4" s="115"/>
      <c r="N4" s="115"/>
      <c r="O4" s="115"/>
      <c r="P4" s="115"/>
      <c r="Q4" s="115"/>
      <c r="R4" s="115"/>
      <c r="S4" s="113" t="s">
        <v>17</v>
      </c>
    </row>
    <row r="5" spans="1:19">
      <c r="A5" s="113">
        <v>4</v>
      </c>
      <c r="B5" s="113" t="s">
        <v>18</v>
      </c>
      <c r="C5" s="120" t="s">
        <v>4329</v>
      </c>
      <c r="D5" s="118" t="s">
        <v>4329</v>
      </c>
      <c r="E5" s="115" t="s">
        <v>1109</v>
      </c>
      <c r="F5" s="115" t="s">
        <v>1109</v>
      </c>
      <c r="G5" s="115" t="s">
        <v>1109</v>
      </c>
      <c r="H5" s="115" t="s">
        <v>20</v>
      </c>
      <c r="I5" s="115" t="s">
        <v>2128</v>
      </c>
      <c r="J5" s="115">
        <v>3</v>
      </c>
      <c r="K5" s="115"/>
      <c r="L5" s="115"/>
      <c r="M5" s="115"/>
      <c r="N5" s="115"/>
      <c r="O5" s="115"/>
      <c r="P5" s="115"/>
      <c r="Q5" s="115"/>
      <c r="R5" s="115"/>
      <c r="S5" s="113" t="s">
        <v>18</v>
      </c>
    </row>
    <row r="6" spans="1:19">
      <c r="A6" s="113">
        <v>5</v>
      </c>
      <c r="B6" s="113" t="s">
        <v>20</v>
      </c>
      <c r="C6" s="120" t="s">
        <v>4330</v>
      </c>
      <c r="D6" s="118" t="s">
        <v>4329</v>
      </c>
      <c r="E6" s="115" t="s">
        <v>4329</v>
      </c>
      <c r="F6" s="115" t="s">
        <v>2128</v>
      </c>
      <c r="G6" s="115">
        <v>3</v>
      </c>
      <c r="H6" s="115" t="s">
        <v>21</v>
      </c>
      <c r="I6" s="115" t="s">
        <v>2128</v>
      </c>
      <c r="J6" s="115">
        <v>4</v>
      </c>
      <c r="K6" s="115"/>
      <c r="L6" s="115"/>
      <c r="M6" s="115"/>
      <c r="N6" s="115"/>
      <c r="O6" s="115"/>
      <c r="P6" s="115"/>
      <c r="Q6" s="115"/>
      <c r="R6" s="115"/>
      <c r="S6" s="113" t="s">
        <v>20</v>
      </c>
    </row>
    <row r="7" spans="1:19">
      <c r="A7" s="113">
        <v>6</v>
      </c>
      <c r="B7" s="113" t="s">
        <v>21</v>
      </c>
      <c r="C7" s="120" t="s">
        <v>4331</v>
      </c>
      <c r="D7" s="118" t="s">
        <v>4329</v>
      </c>
      <c r="E7" s="115" t="s">
        <v>4330</v>
      </c>
      <c r="F7" s="115" t="s">
        <v>2128</v>
      </c>
      <c r="G7" s="115">
        <v>4</v>
      </c>
      <c r="H7" s="115" t="s">
        <v>1109</v>
      </c>
      <c r="I7" s="115" t="s">
        <v>1109</v>
      </c>
      <c r="J7" s="115" t="s">
        <v>1109</v>
      </c>
      <c r="K7" s="115"/>
      <c r="L7" s="115"/>
      <c r="M7" s="115"/>
      <c r="N7" s="115"/>
      <c r="O7" s="115"/>
      <c r="P7" s="115"/>
      <c r="Q7" s="115"/>
      <c r="R7" s="115"/>
      <c r="S7" s="113" t="s">
        <v>21</v>
      </c>
    </row>
    <row r="8" spans="1:19">
      <c r="A8" s="113">
        <v>7</v>
      </c>
      <c r="B8" s="113" t="s">
        <v>24</v>
      </c>
      <c r="C8" s="120" t="s">
        <v>4332</v>
      </c>
      <c r="D8" s="118" t="s">
        <v>4332</v>
      </c>
      <c r="E8" s="115" t="s">
        <v>1109</v>
      </c>
      <c r="F8" s="115" t="s">
        <v>1109</v>
      </c>
      <c r="G8" s="115" t="s">
        <v>1109</v>
      </c>
      <c r="H8" s="115" t="s">
        <v>26</v>
      </c>
      <c r="I8" s="115" t="s">
        <v>2128</v>
      </c>
      <c r="J8" s="115">
        <v>3</v>
      </c>
      <c r="K8" s="115"/>
      <c r="L8" s="115"/>
      <c r="M8" s="115"/>
      <c r="N8" s="115"/>
      <c r="O8" s="115"/>
      <c r="P8" s="115"/>
      <c r="Q8" s="115"/>
      <c r="R8" s="115"/>
      <c r="S8" s="113" t="s">
        <v>24</v>
      </c>
    </row>
    <row r="9" spans="1:19">
      <c r="A9" s="113">
        <v>8</v>
      </c>
      <c r="B9" s="113" t="s">
        <v>26</v>
      </c>
      <c r="C9" s="120" t="s">
        <v>4333</v>
      </c>
      <c r="D9" s="118" t="s">
        <v>4332</v>
      </c>
      <c r="E9" s="115" t="s">
        <v>4332</v>
      </c>
      <c r="F9" s="115" t="s">
        <v>2128</v>
      </c>
      <c r="G9" s="115">
        <v>3</v>
      </c>
      <c r="H9" s="115" t="s">
        <v>27</v>
      </c>
      <c r="I9" s="115" t="s">
        <v>2128</v>
      </c>
      <c r="J9" s="115">
        <v>4</v>
      </c>
      <c r="K9" s="115"/>
      <c r="L9" s="115"/>
      <c r="M9" s="115"/>
      <c r="N9" s="115"/>
      <c r="O9" s="115"/>
      <c r="P9" s="115"/>
      <c r="Q9" s="115"/>
      <c r="R9" s="115"/>
      <c r="S9" s="113" t="s">
        <v>26</v>
      </c>
    </row>
    <row r="10" spans="1:19">
      <c r="A10" s="113">
        <v>9</v>
      </c>
      <c r="B10" s="113" t="s">
        <v>27</v>
      </c>
      <c r="C10" s="120" t="s">
        <v>4334</v>
      </c>
      <c r="D10" s="118" t="s">
        <v>4332</v>
      </c>
      <c r="E10" s="115" t="s">
        <v>4333</v>
      </c>
      <c r="F10" s="115" t="s">
        <v>2128</v>
      </c>
      <c r="G10" s="115">
        <v>4</v>
      </c>
      <c r="H10" s="115" t="s">
        <v>1109</v>
      </c>
      <c r="I10" s="115" t="s">
        <v>1109</v>
      </c>
      <c r="J10" s="115" t="s">
        <v>1109</v>
      </c>
      <c r="K10" s="115"/>
      <c r="L10" s="115"/>
      <c r="M10" s="115"/>
      <c r="N10" s="115"/>
      <c r="O10" s="115"/>
      <c r="P10" s="115"/>
      <c r="Q10" s="115"/>
      <c r="R10" s="115"/>
      <c r="S10" s="113" t="s">
        <v>27</v>
      </c>
    </row>
    <row r="11" spans="1:19">
      <c r="A11" s="113">
        <v>10</v>
      </c>
      <c r="B11" s="113" t="s">
        <v>28</v>
      </c>
      <c r="C11" s="120" t="s">
        <v>4335</v>
      </c>
      <c r="D11" s="118" t="s">
        <v>4335</v>
      </c>
      <c r="E11" s="115" t="s">
        <v>1109</v>
      </c>
      <c r="F11" s="115" t="s">
        <v>1109</v>
      </c>
      <c r="G11" s="115" t="s">
        <v>1109</v>
      </c>
      <c r="H11" s="115" t="s">
        <v>30</v>
      </c>
      <c r="I11" s="115" t="s">
        <v>2128</v>
      </c>
      <c r="J11" s="115">
        <v>2</v>
      </c>
      <c r="K11" s="115"/>
      <c r="L11" s="115"/>
      <c r="M11" s="115"/>
      <c r="N11" s="115"/>
      <c r="O11" s="115"/>
      <c r="P11" s="115"/>
      <c r="Q11" s="115"/>
      <c r="R11" s="115"/>
      <c r="S11" s="113" t="s">
        <v>28</v>
      </c>
    </row>
    <row r="12" spans="1:19">
      <c r="A12" s="113">
        <v>11</v>
      </c>
      <c r="B12" s="113" t="s">
        <v>30</v>
      </c>
      <c r="C12" s="120" t="s">
        <v>4336</v>
      </c>
      <c r="D12" s="118" t="s">
        <v>4335</v>
      </c>
      <c r="E12" s="115" t="s">
        <v>4335</v>
      </c>
      <c r="F12" s="115" t="s">
        <v>2128</v>
      </c>
      <c r="G12" s="115">
        <v>2</v>
      </c>
      <c r="H12" s="115" t="s">
        <v>31</v>
      </c>
      <c r="I12" s="115" t="s">
        <v>2128</v>
      </c>
      <c r="J12" s="115">
        <v>2</v>
      </c>
      <c r="K12" s="115"/>
      <c r="L12" s="115"/>
      <c r="M12" s="115"/>
      <c r="N12" s="115"/>
      <c r="O12" s="115"/>
      <c r="P12" s="115"/>
      <c r="Q12" s="115"/>
      <c r="R12" s="115"/>
      <c r="S12" s="113" t="s">
        <v>30</v>
      </c>
    </row>
    <row r="13" spans="1:19">
      <c r="A13" s="113">
        <v>12</v>
      </c>
      <c r="B13" s="113" t="s">
        <v>31</v>
      </c>
      <c r="C13" s="120" t="s">
        <v>4337</v>
      </c>
      <c r="D13" s="118" t="s">
        <v>4335</v>
      </c>
      <c r="E13" s="115" t="s">
        <v>4336</v>
      </c>
      <c r="F13" s="115" t="s">
        <v>2128</v>
      </c>
      <c r="G13" s="115">
        <v>2</v>
      </c>
      <c r="H13" s="115" t="s">
        <v>1109</v>
      </c>
      <c r="I13" s="115" t="s">
        <v>1109</v>
      </c>
      <c r="J13" s="115" t="s">
        <v>1109</v>
      </c>
      <c r="K13" s="115"/>
      <c r="L13" s="115"/>
      <c r="M13" s="115"/>
      <c r="N13" s="115"/>
      <c r="O13" s="115"/>
      <c r="P13" s="115"/>
      <c r="Q13" s="115"/>
      <c r="R13" s="115"/>
      <c r="S13" s="113" t="s">
        <v>31</v>
      </c>
    </row>
    <row r="14" spans="1:19">
      <c r="A14" s="113">
        <v>13</v>
      </c>
      <c r="B14" s="113" t="s">
        <v>32</v>
      </c>
      <c r="C14" s="120" t="s">
        <v>4338</v>
      </c>
      <c r="D14" s="118" t="s">
        <v>4338</v>
      </c>
      <c r="E14" s="115" t="s">
        <v>1109</v>
      </c>
      <c r="F14" s="115" t="s">
        <v>1109</v>
      </c>
      <c r="G14" s="115" t="s">
        <v>1109</v>
      </c>
      <c r="H14" s="115" t="s">
        <v>33</v>
      </c>
      <c r="I14" s="115" t="s">
        <v>2128</v>
      </c>
      <c r="J14" s="115">
        <v>2</v>
      </c>
      <c r="K14" s="115"/>
      <c r="L14" s="115"/>
      <c r="M14" s="115"/>
      <c r="N14" s="115"/>
      <c r="O14" s="115"/>
      <c r="P14" s="115"/>
      <c r="Q14" s="115"/>
      <c r="R14" s="115"/>
      <c r="S14" s="113" t="s">
        <v>32</v>
      </c>
    </row>
    <row r="15" spans="1:19">
      <c r="A15" s="113">
        <v>14</v>
      </c>
      <c r="B15" s="113" t="s">
        <v>33</v>
      </c>
      <c r="C15" s="120" t="s">
        <v>4339</v>
      </c>
      <c r="D15" s="118" t="s">
        <v>4338</v>
      </c>
      <c r="E15" s="115" t="s">
        <v>4338</v>
      </c>
      <c r="F15" s="115" t="s">
        <v>2128</v>
      </c>
      <c r="G15" s="115">
        <v>2</v>
      </c>
      <c r="H15" s="115" t="s">
        <v>34</v>
      </c>
      <c r="I15" s="115" t="s">
        <v>2128</v>
      </c>
      <c r="J15" s="115">
        <v>2</v>
      </c>
      <c r="K15" s="115"/>
      <c r="L15" s="115"/>
      <c r="M15" s="115"/>
      <c r="N15" s="115"/>
      <c r="O15" s="115"/>
      <c r="P15" s="115"/>
      <c r="Q15" s="115"/>
      <c r="R15" s="115"/>
      <c r="S15" s="113" t="s">
        <v>33</v>
      </c>
    </row>
    <row r="16" spans="1:19">
      <c r="A16" s="113">
        <v>15</v>
      </c>
      <c r="B16" s="113" t="s">
        <v>34</v>
      </c>
      <c r="C16" s="120" t="s">
        <v>4340</v>
      </c>
      <c r="D16" s="118" t="s">
        <v>4338</v>
      </c>
      <c r="E16" s="115" t="s">
        <v>4339</v>
      </c>
      <c r="F16" s="115" t="s">
        <v>2128</v>
      </c>
      <c r="G16" s="115">
        <v>2</v>
      </c>
      <c r="H16" s="115" t="s">
        <v>1109</v>
      </c>
      <c r="I16" s="115" t="s">
        <v>1109</v>
      </c>
      <c r="J16" s="115" t="s">
        <v>1109</v>
      </c>
      <c r="K16" s="115"/>
      <c r="L16" s="115"/>
      <c r="M16" s="115"/>
      <c r="N16" s="115"/>
      <c r="O16" s="115"/>
      <c r="P16" s="115"/>
      <c r="Q16" s="115"/>
      <c r="R16" s="115"/>
      <c r="S16" s="113" t="s">
        <v>34</v>
      </c>
    </row>
    <row r="17" spans="1:19">
      <c r="A17" s="113">
        <v>16</v>
      </c>
      <c r="B17" s="113" t="s">
        <v>35</v>
      </c>
      <c r="C17" s="120" t="s">
        <v>4341</v>
      </c>
      <c r="D17" s="118" t="s">
        <v>4341</v>
      </c>
      <c r="E17" s="115" t="s">
        <v>1109</v>
      </c>
      <c r="F17" s="115" t="s">
        <v>1109</v>
      </c>
      <c r="G17" s="115" t="s">
        <v>1109</v>
      </c>
      <c r="H17" s="115" t="s">
        <v>37</v>
      </c>
      <c r="I17" s="115" t="s">
        <v>2128</v>
      </c>
      <c r="J17" s="115">
        <v>3</v>
      </c>
      <c r="K17" s="115"/>
      <c r="L17" s="115"/>
      <c r="M17" s="115"/>
      <c r="N17" s="115"/>
      <c r="O17" s="115"/>
      <c r="P17" s="115"/>
      <c r="Q17" s="115"/>
      <c r="R17" s="115"/>
      <c r="S17" s="113" t="s">
        <v>35</v>
      </c>
    </row>
    <row r="18" spans="1:19">
      <c r="A18" s="113">
        <v>17</v>
      </c>
      <c r="B18" s="113" t="s">
        <v>37</v>
      </c>
      <c r="C18" s="120" t="s">
        <v>4342</v>
      </c>
      <c r="D18" s="118" t="s">
        <v>4341</v>
      </c>
      <c r="E18" s="115" t="s">
        <v>4341</v>
      </c>
      <c r="F18" s="115" t="s">
        <v>2128</v>
      </c>
      <c r="G18" s="115">
        <v>3</v>
      </c>
      <c r="H18" s="115" t="s">
        <v>38</v>
      </c>
      <c r="I18" s="115" t="s">
        <v>2128</v>
      </c>
      <c r="J18" s="115">
        <v>4</v>
      </c>
      <c r="K18" s="115"/>
      <c r="L18" s="115"/>
      <c r="M18" s="115"/>
      <c r="N18" s="115"/>
      <c r="O18" s="115"/>
      <c r="P18" s="115"/>
      <c r="Q18" s="115"/>
      <c r="R18" s="115"/>
      <c r="S18" s="113" t="s">
        <v>37</v>
      </c>
    </row>
    <row r="19" spans="1:19">
      <c r="A19" s="113">
        <v>18</v>
      </c>
      <c r="B19" s="113" t="s">
        <v>38</v>
      </c>
      <c r="C19" s="120" t="s">
        <v>4343</v>
      </c>
      <c r="D19" s="118" t="s">
        <v>4341</v>
      </c>
      <c r="E19" s="115" t="s">
        <v>4342</v>
      </c>
      <c r="F19" s="115" t="s">
        <v>2128</v>
      </c>
      <c r="G19" s="115">
        <v>4</v>
      </c>
      <c r="H19" s="115" t="s">
        <v>1109</v>
      </c>
      <c r="I19" s="115" t="s">
        <v>1109</v>
      </c>
      <c r="J19" s="115" t="s">
        <v>1109</v>
      </c>
      <c r="K19" s="115"/>
      <c r="L19" s="115"/>
      <c r="M19" s="115"/>
      <c r="N19" s="115"/>
      <c r="O19" s="115"/>
      <c r="P19" s="115"/>
      <c r="Q19" s="115"/>
      <c r="R19" s="115"/>
      <c r="S19" s="113" t="s">
        <v>38</v>
      </c>
    </row>
    <row r="20" spans="1:19">
      <c r="A20" s="113">
        <v>19</v>
      </c>
      <c r="B20" s="113" t="s">
        <v>39</v>
      </c>
      <c r="C20" s="120" t="s">
        <v>2792</v>
      </c>
      <c r="D20" s="118" t="s">
        <v>2792</v>
      </c>
      <c r="E20" s="115" t="s">
        <v>1109</v>
      </c>
      <c r="F20" s="115" t="s">
        <v>1109</v>
      </c>
      <c r="G20" s="115" t="s">
        <v>1109</v>
      </c>
      <c r="H20" s="115" t="s">
        <v>40</v>
      </c>
      <c r="I20" s="115" t="s">
        <v>2128</v>
      </c>
      <c r="J20" s="115">
        <v>3</v>
      </c>
      <c r="K20" s="115"/>
      <c r="L20" s="115"/>
      <c r="M20" s="115"/>
      <c r="N20" s="115"/>
      <c r="O20" s="115"/>
      <c r="P20" s="115"/>
      <c r="Q20" s="115"/>
      <c r="R20" s="115"/>
      <c r="S20" s="113" t="s">
        <v>39</v>
      </c>
    </row>
    <row r="21" spans="1:19">
      <c r="A21" s="113">
        <v>20</v>
      </c>
      <c r="B21" s="113" t="s">
        <v>40</v>
      </c>
      <c r="C21" s="120" t="s">
        <v>2794</v>
      </c>
      <c r="D21" s="118" t="s">
        <v>2792</v>
      </c>
      <c r="E21" s="115" t="s">
        <v>2792</v>
      </c>
      <c r="F21" s="115" t="s">
        <v>2128</v>
      </c>
      <c r="G21" s="115">
        <v>3</v>
      </c>
      <c r="H21" s="115" t="s">
        <v>1109</v>
      </c>
      <c r="I21" s="115" t="s">
        <v>1109</v>
      </c>
      <c r="J21" s="115" t="s">
        <v>1109</v>
      </c>
      <c r="K21" s="115"/>
      <c r="L21" s="115"/>
      <c r="M21" s="115"/>
      <c r="N21" s="115"/>
      <c r="O21" s="115"/>
      <c r="P21" s="115"/>
      <c r="Q21" s="115"/>
      <c r="R21" s="115"/>
      <c r="S21" s="113" t="s">
        <v>40</v>
      </c>
    </row>
    <row r="22" spans="1:19">
      <c r="A22" s="113">
        <v>21</v>
      </c>
      <c r="B22" s="113" t="s">
        <v>41</v>
      </c>
      <c r="C22" s="120" t="s">
        <v>4344</v>
      </c>
      <c r="D22" s="118" t="s">
        <v>4344</v>
      </c>
      <c r="E22" s="115" t="s">
        <v>1109</v>
      </c>
      <c r="F22" s="115" t="s">
        <v>1109</v>
      </c>
      <c r="G22" s="115" t="s">
        <v>1109</v>
      </c>
      <c r="H22" s="115" t="s">
        <v>42</v>
      </c>
      <c r="I22" s="115" t="s">
        <v>2128</v>
      </c>
      <c r="J22" s="115">
        <v>3</v>
      </c>
      <c r="K22" s="115"/>
      <c r="L22" s="115"/>
      <c r="M22" s="115"/>
      <c r="N22" s="115"/>
      <c r="O22" s="115"/>
      <c r="P22" s="115"/>
      <c r="Q22" s="115"/>
      <c r="R22" s="115"/>
      <c r="S22" s="113" t="s">
        <v>41</v>
      </c>
    </row>
    <row r="23" spans="1:19">
      <c r="A23" s="113">
        <v>22</v>
      </c>
      <c r="B23" s="113" t="s">
        <v>42</v>
      </c>
      <c r="C23" s="120" t="s">
        <v>4345</v>
      </c>
      <c r="D23" s="118" t="s">
        <v>4344</v>
      </c>
      <c r="E23" s="115" t="s">
        <v>4344</v>
      </c>
      <c r="F23" s="115" t="s">
        <v>2128</v>
      </c>
      <c r="G23" s="115">
        <v>3</v>
      </c>
      <c r="H23" s="115" t="s">
        <v>1109</v>
      </c>
      <c r="I23" s="115" t="s">
        <v>1109</v>
      </c>
      <c r="J23" s="115" t="s">
        <v>1109</v>
      </c>
      <c r="K23" s="115"/>
      <c r="L23" s="115"/>
      <c r="M23" s="115"/>
      <c r="N23" s="115"/>
      <c r="O23" s="115"/>
      <c r="P23" s="115"/>
      <c r="Q23" s="115"/>
      <c r="R23" s="115"/>
      <c r="S23" s="113" t="s">
        <v>42</v>
      </c>
    </row>
    <row r="24" spans="1:19">
      <c r="A24" s="113">
        <v>23</v>
      </c>
      <c r="B24" s="113" t="s">
        <v>43</v>
      </c>
      <c r="C24" s="120" t="s">
        <v>4346</v>
      </c>
      <c r="D24" s="118" t="s">
        <v>4346</v>
      </c>
      <c r="E24" s="115" t="s">
        <v>1109</v>
      </c>
      <c r="F24" s="115" t="s">
        <v>1109</v>
      </c>
      <c r="G24" s="115" t="s">
        <v>1109</v>
      </c>
      <c r="H24" s="115" t="s">
        <v>44</v>
      </c>
      <c r="I24" s="115" t="s">
        <v>2128</v>
      </c>
      <c r="J24" s="115">
        <v>3</v>
      </c>
      <c r="K24" s="115"/>
      <c r="L24" s="115"/>
      <c r="M24" s="115"/>
      <c r="N24" s="115"/>
      <c r="O24" s="115"/>
      <c r="P24" s="115"/>
      <c r="Q24" s="115"/>
      <c r="R24" s="115"/>
      <c r="S24" s="113" t="s">
        <v>43</v>
      </c>
    </row>
    <row r="25" spans="1:19">
      <c r="A25" s="113">
        <v>24</v>
      </c>
      <c r="B25" s="113" t="s">
        <v>44</v>
      </c>
      <c r="C25" s="120" t="s">
        <v>4347</v>
      </c>
      <c r="D25" s="118" t="s">
        <v>4346</v>
      </c>
      <c r="E25" s="115" t="s">
        <v>4346</v>
      </c>
      <c r="F25" s="115" t="s">
        <v>2128</v>
      </c>
      <c r="G25" s="115">
        <v>3</v>
      </c>
      <c r="H25" s="115" t="s">
        <v>1109</v>
      </c>
      <c r="I25" s="115" t="s">
        <v>1109</v>
      </c>
      <c r="J25" s="115" t="s">
        <v>1109</v>
      </c>
      <c r="K25" s="115"/>
      <c r="L25" s="115"/>
      <c r="M25" s="115"/>
      <c r="N25" s="115"/>
      <c r="O25" s="115"/>
      <c r="P25" s="115"/>
      <c r="Q25" s="115"/>
      <c r="R25" s="115"/>
      <c r="S25" s="113" t="s">
        <v>44</v>
      </c>
    </row>
    <row r="26" spans="1:19">
      <c r="A26" s="113">
        <v>25</v>
      </c>
      <c r="B26" s="113" t="s">
        <v>2796</v>
      </c>
      <c r="C26" s="120" t="s">
        <v>4469</v>
      </c>
      <c r="D26" s="118" t="s">
        <v>4459</v>
      </c>
      <c r="E26" s="115" t="s">
        <v>1109</v>
      </c>
      <c r="F26" s="115" t="s">
        <v>1109</v>
      </c>
      <c r="G26" s="115"/>
      <c r="H26" s="115" t="s">
        <v>1109</v>
      </c>
      <c r="I26" s="115" t="s">
        <v>1109</v>
      </c>
      <c r="J26" s="115" t="s">
        <v>1109</v>
      </c>
      <c r="K26" s="115"/>
      <c r="L26" s="115"/>
      <c r="M26" s="115"/>
      <c r="N26" s="115"/>
      <c r="O26" s="115"/>
      <c r="P26" s="115"/>
      <c r="Q26" s="115"/>
      <c r="R26" s="115"/>
      <c r="S26" s="113" t="s">
        <v>2796</v>
      </c>
    </row>
    <row r="27" spans="1:19">
      <c r="A27" s="113">
        <v>25</v>
      </c>
      <c r="B27" s="113" t="s">
        <v>45</v>
      </c>
      <c r="C27" s="120" t="s">
        <v>4348</v>
      </c>
      <c r="D27" s="118" t="s">
        <v>4459</v>
      </c>
      <c r="E27" s="115" t="s">
        <v>4459</v>
      </c>
      <c r="F27" s="115" t="s">
        <v>2128</v>
      </c>
      <c r="G27" s="115">
        <v>3</v>
      </c>
      <c r="H27" s="115" t="s">
        <v>47</v>
      </c>
      <c r="I27" s="115" t="s">
        <v>1803</v>
      </c>
      <c r="J27" s="115" t="s">
        <v>1109</v>
      </c>
      <c r="K27" s="115">
        <v>30</v>
      </c>
      <c r="L27" s="115"/>
      <c r="M27" s="115"/>
      <c r="N27" s="115"/>
      <c r="O27" s="115"/>
      <c r="P27" s="115"/>
      <c r="Q27" s="115"/>
      <c r="R27" s="115"/>
      <c r="S27" s="113" t="s">
        <v>45</v>
      </c>
    </row>
    <row r="28" spans="1:19">
      <c r="A28" s="113">
        <v>26</v>
      </c>
      <c r="B28" s="113" t="s">
        <v>47</v>
      </c>
      <c r="C28" s="120" t="s">
        <v>2797</v>
      </c>
      <c r="D28" s="118" t="s">
        <v>4459</v>
      </c>
      <c r="E28" s="115" t="s">
        <v>4348</v>
      </c>
      <c r="F28" s="115" t="s">
        <v>1803</v>
      </c>
      <c r="G28" s="115" t="s">
        <v>1109</v>
      </c>
      <c r="H28" s="115" t="s">
        <v>1109</v>
      </c>
      <c r="I28" s="115" t="s">
        <v>1109</v>
      </c>
      <c r="J28" s="115" t="s">
        <v>1109</v>
      </c>
      <c r="K28" s="115"/>
      <c r="L28" s="115"/>
      <c r="M28" s="115"/>
      <c r="N28" s="115"/>
      <c r="O28" s="115"/>
      <c r="P28" s="115"/>
      <c r="Q28" s="115"/>
      <c r="R28" s="115"/>
      <c r="S28" s="113" t="s">
        <v>47</v>
      </c>
    </row>
    <row r="29" spans="1:19">
      <c r="A29" s="113">
        <v>27</v>
      </c>
      <c r="B29" s="113" t="s">
        <v>48</v>
      </c>
      <c r="C29" s="120" t="s">
        <v>2799</v>
      </c>
      <c r="D29" s="118" t="s">
        <v>2799</v>
      </c>
      <c r="E29" s="115" t="s">
        <v>1109</v>
      </c>
      <c r="F29" s="115" t="s">
        <v>1109</v>
      </c>
      <c r="G29" s="115" t="s">
        <v>1109</v>
      </c>
      <c r="H29" s="115" t="s">
        <v>50</v>
      </c>
      <c r="I29" s="115" t="s">
        <v>2128</v>
      </c>
      <c r="J29" s="115">
        <v>3</v>
      </c>
      <c r="K29" s="115"/>
      <c r="L29" s="115"/>
      <c r="M29" s="115"/>
      <c r="N29" s="115"/>
      <c r="O29" s="115"/>
      <c r="P29" s="115"/>
      <c r="Q29" s="115"/>
      <c r="R29" s="115"/>
      <c r="S29" s="113" t="s">
        <v>48</v>
      </c>
    </row>
    <row r="30" spans="1:19">
      <c r="A30" s="113">
        <v>28</v>
      </c>
      <c r="B30" s="113" t="s">
        <v>50</v>
      </c>
      <c r="C30" s="120" t="s">
        <v>2801</v>
      </c>
      <c r="D30" s="118" t="s">
        <v>2799</v>
      </c>
      <c r="E30" s="115" t="s">
        <v>2799</v>
      </c>
      <c r="F30" s="115" t="s">
        <v>2128</v>
      </c>
      <c r="G30" s="115">
        <v>3</v>
      </c>
      <c r="H30" s="115" t="s">
        <v>1109</v>
      </c>
      <c r="I30" s="115" t="s">
        <v>1109</v>
      </c>
      <c r="J30" s="115" t="s">
        <v>1109</v>
      </c>
      <c r="K30" s="115"/>
      <c r="L30" s="115"/>
      <c r="M30" s="115"/>
      <c r="N30" s="115"/>
      <c r="O30" s="115"/>
      <c r="P30" s="115"/>
      <c r="Q30" s="115"/>
      <c r="R30" s="115"/>
      <c r="S30" s="113" t="s">
        <v>50</v>
      </c>
    </row>
    <row r="31" spans="1:19">
      <c r="A31" s="113">
        <v>29</v>
      </c>
      <c r="B31" s="113" t="s">
        <v>2131</v>
      </c>
      <c r="C31" s="120" t="s">
        <v>4349</v>
      </c>
      <c r="D31" s="118" t="s">
        <v>4349</v>
      </c>
      <c r="E31" s="115" t="s">
        <v>1109</v>
      </c>
      <c r="F31" s="115" t="s">
        <v>1109</v>
      </c>
      <c r="G31" s="115" t="s">
        <v>1109</v>
      </c>
      <c r="H31" s="115" t="s">
        <v>51</v>
      </c>
      <c r="I31" s="115" t="s">
        <v>2128</v>
      </c>
      <c r="J31" s="115">
        <v>3</v>
      </c>
      <c r="K31" s="115"/>
      <c r="L31" s="115"/>
      <c r="M31" s="115"/>
      <c r="N31" s="115"/>
      <c r="O31" s="115"/>
      <c r="P31" s="115"/>
      <c r="Q31" s="115"/>
      <c r="R31" s="115"/>
      <c r="S31" s="113" t="s">
        <v>2131</v>
      </c>
    </row>
    <row r="32" spans="1:19">
      <c r="A32" s="113">
        <v>30</v>
      </c>
      <c r="B32" s="113" t="s">
        <v>51</v>
      </c>
      <c r="C32" s="120" t="s">
        <v>4350</v>
      </c>
      <c r="D32" s="118" t="s">
        <v>4349</v>
      </c>
      <c r="E32" s="115" t="s">
        <v>4349</v>
      </c>
      <c r="F32" s="115" t="s">
        <v>2128</v>
      </c>
      <c r="G32" s="115">
        <v>3</v>
      </c>
      <c r="H32" s="115" t="s">
        <v>52</v>
      </c>
      <c r="I32" s="115" t="s">
        <v>1803</v>
      </c>
      <c r="J32" s="115" t="s">
        <v>1109</v>
      </c>
      <c r="K32" s="115"/>
      <c r="L32" s="115"/>
      <c r="M32" s="115"/>
      <c r="N32" s="115"/>
      <c r="O32" s="115"/>
      <c r="P32" s="115"/>
      <c r="Q32" s="115"/>
      <c r="R32" s="115"/>
      <c r="S32" s="113" t="s">
        <v>51</v>
      </c>
    </row>
    <row r="33" spans="1:19">
      <c r="A33" s="113">
        <v>31</v>
      </c>
      <c r="B33" s="113" t="s">
        <v>52</v>
      </c>
      <c r="C33" s="120" t="s">
        <v>4351</v>
      </c>
      <c r="D33" s="118" t="s">
        <v>4349</v>
      </c>
      <c r="E33" s="115" t="s">
        <v>4350</v>
      </c>
      <c r="F33" s="115" t="s">
        <v>1803</v>
      </c>
      <c r="G33" s="115" t="s">
        <v>1109</v>
      </c>
      <c r="H33" s="115" t="s">
        <v>1109</v>
      </c>
      <c r="I33" s="115" t="s">
        <v>1109</v>
      </c>
      <c r="J33" s="115" t="s">
        <v>1109</v>
      </c>
      <c r="K33" s="115"/>
      <c r="L33" s="115"/>
      <c r="M33" s="115"/>
      <c r="N33" s="115"/>
      <c r="O33" s="115"/>
      <c r="P33" s="115"/>
      <c r="Q33" s="115"/>
      <c r="R33" s="115"/>
      <c r="S33" s="113" t="s">
        <v>52</v>
      </c>
    </row>
    <row r="34" spans="1:19">
      <c r="A34" s="113">
        <v>32</v>
      </c>
      <c r="B34" s="113" t="s">
        <v>2132</v>
      </c>
      <c r="C34" s="120" t="s">
        <v>4352</v>
      </c>
      <c r="D34" s="118" t="s">
        <v>4352</v>
      </c>
      <c r="E34" s="115" t="s">
        <v>1109</v>
      </c>
      <c r="F34" s="115" t="s">
        <v>1109</v>
      </c>
      <c r="G34" s="115" t="s">
        <v>1109</v>
      </c>
      <c r="H34" s="115" t="s">
        <v>53</v>
      </c>
      <c r="I34" s="115" t="s">
        <v>2128</v>
      </c>
      <c r="J34" s="115">
        <v>3</v>
      </c>
      <c r="K34" s="115"/>
      <c r="L34" s="115"/>
      <c r="M34" s="115"/>
      <c r="N34" s="115"/>
      <c r="O34" s="115"/>
      <c r="P34" s="115"/>
      <c r="Q34" s="115"/>
      <c r="R34" s="115"/>
      <c r="S34" s="113" t="s">
        <v>2132</v>
      </c>
    </row>
    <row r="35" spans="1:19">
      <c r="A35" s="113">
        <v>33</v>
      </c>
      <c r="B35" s="113" t="s">
        <v>53</v>
      </c>
      <c r="C35" s="120" t="s">
        <v>4353</v>
      </c>
      <c r="D35" s="118" t="s">
        <v>4352</v>
      </c>
      <c r="E35" s="115" t="s">
        <v>4352</v>
      </c>
      <c r="F35" s="115" t="s">
        <v>2128</v>
      </c>
      <c r="G35" s="115">
        <v>3</v>
      </c>
      <c r="H35" s="115" t="s">
        <v>54</v>
      </c>
      <c r="I35" s="115" t="s">
        <v>1803</v>
      </c>
      <c r="J35" s="115" t="s">
        <v>1109</v>
      </c>
      <c r="K35" s="115"/>
      <c r="L35" s="115"/>
      <c r="M35" s="115"/>
      <c r="N35" s="115"/>
      <c r="O35" s="115"/>
      <c r="P35" s="115"/>
      <c r="Q35" s="115"/>
      <c r="R35" s="115"/>
      <c r="S35" s="113" t="s">
        <v>53</v>
      </c>
    </row>
    <row r="36" spans="1:19">
      <c r="A36" s="113">
        <v>34</v>
      </c>
      <c r="B36" s="113" t="s">
        <v>54</v>
      </c>
      <c r="C36" s="120" t="s">
        <v>4354</v>
      </c>
      <c r="D36" s="118" t="s">
        <v>4352</v>
      </c>
      <c r="E36" s="115" t="s">
        <v>4353</v>
      </c>
      <c r="F36" s="115" t="s">
        <v>1803</v>
      </c>
      <c r="G36" s="115" t="s">
        <v>1109</v>
      </c>
      <c r="H36" s="115" t="s">
        <v>1109</v>
      </c>
      <c r="I36" s="115" t="s">
        <v>1109</v>
      </c>
      <c r="J36" s="115" t="s">
        <v>1109</v>
      </c>
      <c r="K36" s="115"/>
      <c r="L36" s="115"/>
      <c r="M36" s="115"/>
      <c r="N36" s="115"/>
      <c r="O36" s="115"/>
      <c r="P36" s="115"/>
      <c r="Q36" s="115"/>
      <c r="R36" s="115"/>
      <c r="S36" s="113" t="s">
        <v>54</v>
      </c>
    </row>
    <row r="37" spans="1:19">
      <c r="A37" s="113">
        <v>35</v>
      </c>
      <c r="B37" s="113" t="s">
        <v>55</v>
      </c>
      <c r="C37" s="120" t="s">
        <v>4355</v>
      </c>
      <c r="D37" s="118" t="s">
        <v>4460</v>
      </c>
      <c r="E37" s="115" t="s">
        <v>4460</v>
      </c>
      <c r="F37" s="115" t="s">
        <v>2128</v>
      </c>
      <c r="G37" s="115">
        <v>3</v>
      </c>
      <c r="H37" s="115" t="s">
        <v>57</v>
      </c>
      <c r="I37" s="115" t="s">
        <v>1803</v>
      </c>
      <c r="J37" s="115" t="s">
        <v>1109</v>
      </c>
      <c r="K37" s="115">
        <v>30</v>
      </c>
      <c r="L37" s="115"/>
      <c r="M37" s="115"/>
      <c r="N37" s="115"/>
      <c r="O37" s="115"/>
      <c r="P37" s="115"/>
      <c r="Q37" s="115"/>
      <c r="R37" s="115"/>
      <c r="S37" s="113" t="s">
        <v>55</v>
      </c>
    </row>
    <row r="38" spans="1:19">
      <c r="A38" s="113">
        <v>36</v>
      </c>
      <c r="B38" s="113" t="s">
        <v>57</v>
      </c>
      <c r="C38" s="120" t="s">
        <v>4356</v>
      </c>
      <c r="D38" s="118" t="s">
        <v>4460</v>
      </c>
      <c r="E38" s="115" t="s">
        <v>4355</v>
      </c>
      <c r="F38" s="115" t="s">
        <v>1803</v>
      </c>
      <c r="G38" s="115" t="s">
        <v>1109</v>
      </c>
      <c r="H38" s="115" t="s">
        <v>1109</v>
      </c>
      <c r="I38" s="115" t="s">
        <v>1109</v>
      </c>
      <c r="J38" s="115" t="s">
        <v>1109</v>
      </c>
      <c r="K38" s="115"/>
      <c r="L38" s="115"/>
      <c r="M38" s="115"/>
      <c r="N38" s="115"/>
      <c r="O38" s="115"/>
      <c r="P38" s="115"/>
      <c r="Q38" s="115"/>
      <c r="R38" s="115"/>
      <c r="S38" s="113" t="s">
        <v>57</v>
      </c>
    </row>
    <row r="39" spans="1:19">
      <c r="A39" s="113">
        <v>37</v>
      </c>
      <c r="B39" s="113" t="s">
        <v>58</v>
      </c>
      <c r="C39" s="120" t="s">
        <v>2803</v>
      </c>
      <c r="D39" s="118" t="s">
        <v>2803</v>
      </c>
      <c r="E39" s="115" t="s">
        <v>1109</v>
      </c>
      <c r="F39" s="115" t="s">
        <v>1109</v>
      </c>
      <c r="G39" s="115" t="s">
        <v>1109</v>
      </c>
      <c r="H39" s="115" t="s">
        <v>59</v>
      </c>
      <c r="I39" s="115" t="s">
        <v>1803</v>
      </c>
      <c r="J39" s="115" t="s">
        <v>1109</v>
      </c>
      <c r="K39" s="115"/>
      <c r="L39" s="115"/>
      <c r="M39" s="115"/>
      <c r="N39" s="115"/>
      <c r="O39" s="115"/>
      <c r="P39" s="115"/>
      <c r="Q39" s="115"/>
      <c r="R39" s="115"/>
      <c r="S39" s="113" t="s">
        <v>58</v>
      </c>
    </row>
    <row r="40" spans="1:19">
      <c r="A40" s="113">
        <v>38</v>
      </c>
      <c r="B40" s="113" t="s">
        <v>59</v>
      </c>
      <c r="C40" s="120" t="s">
        <v>2805</v>
      </c>
      <c r="D40" s="118" t="s">
        <v>2803</v>
      </c>
      <c r="E40" s="115" t="s">
        <v>2803</v>
      </c>
      <c r="F40" s="115" t="s">
        <v>1803</v>
      </c>
      <c r="G40" s="115" t="s">
        <v>1109</v>
      </c>
      <c r="H40" s="115" t="s">
        <v>1109</v>
      </c>
      <c r="I40" s="115" t="s">
        <v>1109</v>
      </c>
      <c r="J40" s="115" t="s">
        <v>1109</v>
      </c>
      <c r="K40" s="115"/>
      <c r="L40" s="115"/>
      <c r="M40" s="115"/>
      <c r="N40" s="115"/>
      <c r="O40" s="115"/>
      <c r="P40" s="115"/>
      <c r="Q40" s="115"/>
      <c r="R40" s="115"/>
      <c r="S40" s="113" t="s">
        <v>59</v>
      </c>
    </row>
    <row r="41" spans="1:19">
      <c r="A41" s="113">
        <v>39</v>
      </c>
      <c r="B41" s="113" t="s">
        <v>60</v>
      </c>
      <c r="C41" s="120" t="s">
        <v>4357</v>
      </c>
      <c r="D41" s="118" t="s">
        <v>4461</v>
      </c>
      <c r="E41" s="115" t="s">
        <v>4461</v>
      </c>
      <c r="F41" s="115" t="s">
        <v>2128</v>
      </c>
      <c r="G41" s="115">
        <v>3</v>
      </c>
      <c r="H41" s="115" t="s">
        <v>61</v>
      </c>
      <c r="I41" s="115" t="s">
        <v>1803</v>
      </c>
      <c r="J41" s="115" t="s">
        <v>1109</v>
      </c>
      <c r="K41" s="115">
        <v>30</v>
      </c>
      <c r="L41" s="115"/>
      <c r="M41" s="115"/>
      <c r="N41" s="115"/>
      <c r="O41" s="115"/>
      <c r="P41" s="115"/>
      <c r="Q41" s="115"/>
      <c r="R41" s="115"/>
      <c r="S41" s="113" t="s">
        <v>60</v>
      </c>
    </row>
    <row r="42" spans="1:19">
      <c r="A42" s="113">
        <v>40</v>
      </c>
      <c r="B42" s="113" t="s">
        <v>61</v>
      </c>
      <c r="C42" s="120" t="s">
        <v>4358</v>
      </c>
      <c r="D42" s="118" t="s">
        <v>4461</v>
      </c>
      <c r="E42" s="115" t="s">
        <v>4357</v>
      </c>
      <c r="F42" s="115" t="s">
        <v>1803</v>
      </c>
      <c r="G42" s="115" t="s">
        <v>1109</v>
      </c>
      <c r="H42" s="115" t="s">
        <v>1109</v>
      </c>
      <c r="I42" s="115" t="s">
        <v>1109</v>
      </c>
      <c r="J42" s="115" t="s">
        <v>1109</v>
      </c>
      <c r="K42" s="115"/>
      <c r="L42" s="115"/>
      <c r="M42" s="115"/>
      <c r="N42" s="115"/>
      <c r="O42" s="115"/>
      <c r="P42" s="115"/>
      <c r="Q42" s="115"/>
      <c r="R42" s="115"/>
      <c r="S42" s="113" t="s">
        <v>61</v>
      </c>
    </row>
    <row r="43" spans="1:19">
      <c r="A43" s="113">
        <v>41</v>
      </c>
      <c r="B43" s="113" t="s">
        <v>62</v>
      </c>
      <c r="C43" s="120" t="s">
        <v>4359</v>
      </c>
      <c r="D43" s="118" t="s">
        <v>4359</v>
      </c>
      <c r="E43" s="115" t="s">
        <v>1109</v>
      </c>
      <c r="F43" s="115" t="s">
        <v>1109</v>
      </c>
      <c r="G43" s="115" t="s">
        <v>1109</v>
      </c>
      <c r="H43" s="115" t="s">
        <v>63</v>
      </c>
      <c r="I43" s="115" t="s">
        <v>2128</v>
      </c>
      <c r="J43" s="115">
        <v>3</v>
      </c>
      <c r="K43" s="115"/>
      <c r="L43" s="115"/>
      <c r="M43" s="115"/>
      <c r="N43" s="115"/>
      <c r="O43" s="115"/>
      <c r="P43" s="115"/>
      <c r="Q43" s="115"/>
      <c r="R43" s="115"/>
      <c r="S43" s="113" t="s">
        <v>62</v>
      </c>
    </row>
    <row r="44" spans="1:19">
      <c r="A44" s="113">
        <v>42</v>
      </c>
      <c r="B44" s="113" t="s">
        <v>63</v>
      </c>
      <c r="C44" s="120" t="s">
        <v>4360</v>
      </c>
      <c r="D44" s="118" t="s">
        <v>4359</v>
      </c>
      <c r="E44" s="115" t="s">
        <v>4359</v>
      </c>
      <c r="F44" s="115" t="s">
        <v>2128</v>
      </c>
      <c r="G44" s="115">
        <v>3</v>
      </c>
      <c r="H44" s="115" t="s">
        <v>1109</v>
      </c>
      <c r="I44" s="115" t="s">
        <v>1109</v>
      </c>
      <c r="J44" s="115" t="s">
        <v>1109</v>
      </c>
      <c r="K44" s="115"/>
      <c r="L44" s="115"/>
      <c r="M44" s="115"/>
      <c r="N44" s="115"/>
      <c r="O44" s="115"/>
      <c r="P44" s="115"/>
      <c r="Q44" s="115"/>
      <c r="R44" s="115"/>
      <c r="S44" s="113" t="s">
        <v>63</v>
      </c>
    </row>
    <row r="45" spans="1:19">
      <c r="A45" s="113">
        <v>43</v>
      </c>
      <c r="B45" s="113" t="s">
        <v>64</v>
      </c>
      <c r="C45" s="120" t="s">
        <v>4361</v>
      </c>
      <c r="D45" s="118" t="s">
        <v>4361</v>
      </c>
      <c r="E45" s="115" t="s">
        <v>1109</v>
      </c>
      <c r="F45" s="115" t="s">
        <v>1109</v>
      </c>
      <c r="G45" s="115" t="s">
        <v>1109</v>
      </c>
      <c r="H45" s="115" t="s">
        <v>65</v>
      </c>
      <c r="I45" s="115" t="s">
        <v>2128</v>
      </c>
      <c r="J45" s="115">
        <v>3</v>
      </c>
      <c r="K45" s="115"/>
      <c r="L45" s="115"/>
      <c r="M45" s="115"/>
      <c r="N45" s="115"/>
      <c r="O45" s="115"/>
      <c r="P45" s="115"/>
      <c r="Q45" s="115"/>
      <c r="R45" s="115"/>
      <c r="S45" s="113" t="s">
        <v>64</v>
      </c>
    </row>
    <row r="46" spans="1:19">
      <c r="A46" s="113">
        <v>44</v>
      </c>
      <c r="B46" s="113" t="s">
        <v>65</v>
      </c>
      <c r="C46" s="120" t="s">
        <v>4362</v>
      </c>
      <c r="D46" s="118" t="s">
        <v>4361</v>
      </c>
      <c r="E46" s="115" t="s">
        <v>4361</v>
      </c>
      <c r="F46" s="115" t="s">
        <v>2128</v>
      </c>
      <c r="G46" s="115">
        <v>3</v>
      </c>
      <c r="H46" s="115" t="s">
        <v>66</v>
      </c>
      <c r="I46" s="115" t="s">
        <v>1803</v>
      </c>
      <c r="J46" s="115" t="s">
        <v>1109</v>
      </c>
      <c r="K46" s="115"/>
      <c r="L46" s="115"/>
      <c r="M46" s="115"/>
      <c r="N46" s="115"/>
      <c r="O46" s="115"/>
      <c r="P46" s="115"/>
      <c r="Q46" s="115"/>
      <c r="R46" s="115"/>
      <c r="S46" s="113" t="s">
        <v>65</v>
      </c>
    </row>
    <row r="47" spans="1:19">
      <c r="A47" s="113">
        <v>45</v>
      </c>
      <c r="B47" s="113" t="s">
        <v>66</v>
      </c>
      <c r="C47" s="120" t="s">
        <v>4363</v>
      </c>
      <c r="D47" s="118" t="s">
        <v>4361</v>
      </c>
      <c r="E47" s="115" t="s">
        <v>4362</v>
      </c>
      <c r="F47" s="115" t="s">
        <v>1803</v>
      </c>
      <c r="G47" s="115" t="s">
        <v>1109</v>
      </c>
      <c r="H47" s="115" t="s">
        <v>1109</v>
      </c>
      <c r="I47" s="115" t="s">
        <v>1109</v>
      </c>
      <c r="J47" s="115" t="s">
        <v>1109</v>
      </c>
      <c r="K47" s="115"/>
      <c r="L47" s="115"/>
      <c r="M47" s="115"/>
      <c r="N47" s="115"/>
      <c r="O47" s="115"/>
      <c r="P47" s="115"/>
      <c r="Q47" s="115"/>
      <c r="R47" s="115"/>
      <c r="S47" s="113" t="s">
        <v>66</v>
      </c>
    </row>
    <row r="48" spans="1:19">
      <c r="A48" s="113">
        <v>46</v>
      </c>
      <c r="B48" s="113" t="s">
        <v>67</v>
      </c>
      <c r="C48" s="120" t="s">
        <v>4364</v>
      </c>
      <c r="D48" s="118" t="s">
        <v>4364</v>
      </c>
      <c r="E48" s="115" t="s">
        <v>1109</v>
      </c>
      <c r="F48" s="115" t="s">
        <v>1109</v>
      </c>
      <c r="G48" s="115" t="s">
        <v>1109</v>
      </c>
      <c r="H48" s="115" t="s">
        <v>68</v>
      </c>
      <c r="I48" s="115" t="s">
        <v>2128</v>
      </c>
      <c r="J48" s="115">
        <v>3</v>
      </c>
      <c r="K48" s="115"/>
      <c r="L48" s="115"/>
      <c r="M48" s="115"/>
      <c r="N48" s="115"/>
      <c r="O48" s="115"/>
      <c r="P48" s="115"/>
      <c r="Q48" s="115"/>
      <c r="R48" s="115"/>
      <c r="S48" s="113" t="s">
        <v>67</v>
      </c>
    </row>
    <row r="49" spans="1:19">
      <c r="A49" s="113">
        <v>47</v>
      </c>
      <c r="B49" s="113" t="s">
        <v>68</v>
      </c>
      <c r="C49" s="120" t="s">
        <v>4365</v>
      </c>
      <c r="D49" s="118" t="s">
        <v>4364</v>
      </c>
      <c r="E49" s="115" t="s">
        <v>4364</v>
      </c>
      <c r="F49" s="115" t="s">
        <v>2128</v>
      </c>
      <c r="G49" s="115">
        <v>3</v>
      </c>
      <c r="H49" s="115" t="s">
        <v>1109</v>
      </c>
      <c r="I49" s="115" t="s">
        <v>1109</v>
      </c>
      <c r="J49" s="115" t="s">
        <v>1109</v>
      </c>
      <c r="K49" s="115"/>
      <c r="L49" s="115"/>
      <c r="M49" s="115"/>
      <c r="N49" s="115"/>
      <c r="O49" s="115"/>
      <c r="P49" s="115"/>
      <c r="Q49" s="115"/>
      <c r="R49" s="115"/>
      <c r="S49" s="113" t="s">
        <v>68</v>
      </c>
    </row>
    <row r="50" spans="1:19">
      <c r="A50" s="113">
        <v>48</v>
      </c>
      <c r="B50" s="113" t="s">
        <v>69</v>
      </c>
      <c r="C50" s="120" t="s">
        <v>4366</v>
      </c>
      <c r="D50" s="118" t="s">
        <v>4366</v>
      </c>
      <c r="E50" s="115" t="s">
        <v>1109</v>
      </c>
      <c r="F50" s="115" t="s">
        <v>1109</v>
      </c>
      <c r="G50" s="115" t="s">
        <v>1109</v>
      </c>
      <c r="H50" s="115" t="s">
        <v>70</v>
      </c>
      <c r="I50" s="115" t="s">
        <v>2128</v>
      </c>
      <c r="J50" s="115">
        <v>4</v>
      </c>
      <c r="K50" s="115"/>
      <c r="L50" s="115"/>
      <c r="M50" s="115"/>
      <c r="N50" s="115"/>
      <c r="O50" s="115"/>
      <c r="P50" s="115"/>
      <c r="Q50" s="115"/>
      <c r="R50" s="115"/>
      <c r="S50" s="113" t="s">
        <v>69</v>
      </c>
    </row>
    <row r="51" spans="1:19">
      <c r="A51" s="113">
        <v>49</v>
      </c>
      <c r="B51" s="113" t="s">
        <v>70</v>
      </c>
      <c r="C51" s="120" t="s">
        <v>4367</v>
      </c>
      <c r="D51" s="118" t="s">
        <v>4366</v>
      </c>
      <c r="E51" s="115" t="s">
        <v>4366</v>
      </c>
      <c r="F51" s="115" t="s">
        <v>2128</v>
      </c>
      <c r="G51" s="115">
        <v>4</v>
      </c>
      <c r="H51" s="115" t="s">
        <v>1109</v>
      </c>
      <c r="I51" s="115" t="s">
        <v>1109</v>
      </c>
      <c r="J51" s="115" t="s">
        <v>1109</v>
      </c>
      <c r="K51" s="115"/>
      <c r="L51" s="115"/>
      <c r="M51" s="115"/>
      <c r="N51" s="115"/>
      <c r="O51" s="115"/>
      <c r="P51" s="115"/>
      <c r="Q51" s="115"/>
      <c r="R51" s="115"/>
      <c r="S51" s="113" t="s">
        <v>70</v>
      </c>
    </row>
    <row r="52" spans="1:19">
      <c r="A52" s="113">
        <v>50</v>
      </c>
      <c r="B52" s="113" t="s">
        <v>71</v>
      </c>
      <c r="C52" s="120" t="s">
        <v>2807</v>
      </c>
      <c r="D52" s="118" t="s">
        <v>2807</v>
      </c>
      <c r="E52" s="115" t="s">
        <v>1109</v>
      </c>
      <c r="F52" s="115" t="s">
        <v>1109</v>
      </c>
      <c r="G52" s="115" t="s">
        <v>1109</v>
      </c>
      <c r="H52" s="115" t="s">
        <v>72</v>
      </c>
      <c r="I52" s="115" t="s">
        <v>2128</v>
      </c>
      <c r="J52" s="115">
        <v>3</v>
      </c>
      <c r="K52" s="115"/>
      <c r="L52" s="115"/>
      <c r="M52" s="115"/>
      <c r="N52" s="115"/>
      <c r="O52" s="115"/>
      <c r="P52" s="115"/>
      <c r="Q52" s="115"/>
      <c r="R52" s="115"/>
      <c r="S52" s="113" t="s">
        <v>71</v>
      </c>
    </row>
    <row r="53" spans="1:19">
      <c r="A53" s="113">
        <v>51</v>
      </c>
      <c r="B53" s="113" t="s">
        <v>72</v>
      </c>
      <c r="C53" s="120" t="s">
        <v>2809</v>
      </c>
      <c r="D53" s="118" t="s">
        <v>2807</v>
      </c>
      <c r="E53" s="115" t="s">
        <v>2807</v>
      </c>
      <c r="F53" s="115" t="s">
        <v>2128</v>
      </c>
      <c r="G53" s="115">
        <v>3</v>
      </c>
      <c r="H53" s="115" t="s">
        <v>1109</v>
      </c>
      <c r="I53" s="115" t="s">
        <v>1109</v>
      </c>
      <c r="J53" s="115" t="s">
        <v>1109</v>
      </c>
      <c r="K53" s="115"/>
      <c r="L53" s="115"/>
      <c r="M53" s="115"/>
      <c r="N53" s="115"/>
      <c r="O53" s="115"/>
      <c r="P53" s="115"/>
      <c r="Q53" s="115"/>
      <c r="R53" s="115"/>
      <c r="S53" s="113" t="s">
        <v>72</v>
      </c>
    </row>
    <row r="54" spans="1:19">
      <c r="A54" s="113">
        <v>52</v>
      </c>
      <c r="B54" s="113" t="s">
        <v>73</v>
      </c>
      <c r="C54" s="120" t="s">
        <v>2811</v>
      </c>
      <c r="D54" s="118" t="s">
        <v>2811</v>
      </c>
      <c r="E54" s="115" t="s">
        <v>1109</v>
      </c>
      <c r="F54" s="115" t="s">
        <v>1109</v>
      </c>
      <c r="G54" s="115" t="s">
        <v>1109</v>
      </c>
      <c r="H54" s="115" t="s">
        <v>74</v>
      </c>
      <c r="I54" s="115" t="s">
        <v>2128</v>
      </c>
      <c r="J54" s="115">
        <v>3</v>
      </c>
      <c r="K54" s="115"/>
      <c r="L54" s="115"/>
      <c r="M54" s="115"/>
      <c r="N54" s="115"/>
      <c r="O54" s="115"/>
      <c r="P54" s="115"/>
      <c r="Q54" s="115"/>
      <c r="R54" s="115"/>
      <c r="S54" s="113" t="s">
        <v>73</v>
      </c>
    </row>
    <row r="55" spans="1:19">
      <c r="A55" s="113">
        <v>53</v>
      </c>
      <c r="B55" s="113" t="s">
        <v>74</v>
      </c>
      <c r="C55" s="120" t="s">
        <v>2815</v>
      </c>
      <c r="D55" s="118" t="s">
        <v>2811</v>
      </c>
      <c r="E55" s="115" t="s">
        <v>2811</v>
      </c>
      <c r="F55" s="115" t="s">
        <v>2128</v>
      </c>
      <c r="G55" s="115">
        <v>3</v>
      </c>
      <c r="H55" s="115" t="s">
        <v>1109</v>
      </c>
      <c r="I55" s="115" t="s">
        <v>1109</v>
      </c>
      <c r="J55" s="115" t="s">
        <v>1109</v>
      </c>
      <c r="K55" s="115"/>
      <c r="L55" s="115"/>
      <c r="M55" s="115"/>
      <c r="N55" s="115"/>
      <c r="O55" s="115"/>
      <c r="P55" s="115"/>
      <c r="Q55" s="115"/>
      <c r="R55" s="115"/>
      <c r="S55" s="113" t="s">
        <v>74</v>
      </c>
    </row>
    <row r="56" spans="1:19">
      <c r="A56" s="113">
        <v>54</v>
      </c>
      <c r="B56" s="113" t="s">
        <v>75</v>
      </c>
      <c r="C56" s="120" t="s">
        <v>4368</v>
      </c>
      <c r="D56" s="118" t="s">
        <v>4368</v>
      </c>
      <c r="E56" s="115" t="s">
        <v>1109</v>
      </c>
      <c r="F56" s="115" t="s">
        <v>1109</v>
      </c>
      <c r="G56" s="115" t="s">
        <v>1109</v>
      </c>
      <c r="H56" s="115" t="s">
        <v>76</v>
      </c>
      <c r="I56" s="115" t="s">
        <v>2128</v>
      </c>
      <c r="J56" s="115">
        <v>4</v>
      </c>
      <c r="K56" s="115"/>
      <c r="L56" s="115"/>
      <c r="M56" s="115"/>
      <c r="N56" s="115"/>
      <c r="O56" s="115"/>
      <c r="P56" s="115"/>
      <c r="Q56" s="115"/>
      <c r="R56" s="115"/>
      <c r="S56" s="113" t="s">
        <v>75</v>
      </c>
    </row>
    <row r="57" spans="1:19">
      <c r="A57" s="113">
        <v>55</v>
      </c>
      <c r="B57" s="113" t="s">
        <v>76</v>
      </c>
      <c r="C57" s="120" t="s">
        <v>4369</v>
      </c>
      <c r="D57" s="118" t="s">
        <v>4368</v>
      </c>
      <c r="E57" s="115" t="s">
        <v>4368</v>
      </c>
      <c r="F57" s="115" t="s">
        <v>2128</v>
      </c>
      <c r="G57" s="115">
        <v>4</v>
      </c>
      <c r="H57" s="115" t="s">
        <v>1109</v>
      </c>
      <c r="I57" s="115" t="s">
        <v>1109</v>
      </c>
      <c r="J57" s="115" t="s">
        <v>1109</v>
      </c>
      <c r="K57" s="115"/>
      <c r="L57" s="115"/>
      <c r="M57" s="115"/>
      <c r="N57" s="115"/>
      <c r="O57" s="115"/>
      <c r="P57" s="115"/>
      <c r="Q57" s="115"/>
      <c r="R57" s="115"/>
      <c r="S57" s="113" t="s">
        <v>76</v>
      </c>
    </row>
    <row r="58" spans="1:19">
      <c r="A58" s="113">
        <v>56</v>
      </c>
      <c r="B58" s="113" t="s">
        <v>77</v>
      </c>
      <c r="C58" s="120" t="s">
        <v>4370</v>
      </c>
      <c r="D58" s="118" t="s">
        <v>4370</v>
      </c>
      <c r="E58" s="115" t="s">
        <v>1109</v>
      </c>
      <c r="F58" s="115" t="s">
        <v>1109</v>
      </c>
      <c r="G58" s="115" t="s">
        <v>1109</v>
      </c>
      <c r="H58" s="115" t="s">
        <v>79</v>
      </c>
      <c r="I58" s="115" t="s">
        <v>2128</v>
      </c>
      <c r="J58" s="115">
        <v>3</v>
      </c>
      <c r="K58" s="115"/>
      <c r="L58" s="115"/>
      <c r="M58" s="115"/>
      <c r="N58" s="115"/>
      <c r="O58" s="115"/>
      <c r="P58" s="115"/>
      <c r="Q58" s="115"/>
      <c r="R58" s="115"/>
      <c r="S58" s="113" t="s">
        <v>77</v>
      </c>
    </row>
    <row r="59" spans="1:19">
      <c r="A59" s="113">
        <v>57</v>
      </c>
      <c r="B59" s="113" t="s">
        <v>79</v>
      </c>
      <c r="C59" s="120" t="s">
        <v>4371</v>
      </c>
      <c r="D59" s="118" t="s">
        <v>4370</v>
      </c>
      <c r="E59" s="115" t="s">
        <v>4370</v>
      </c>
      <c r="F59" s="115" t="s">
        <v>2128</v>
      </c>
      <c r="G59" s="115">
        <v>3</v>
      </c>
      <c r="H59" s="115" t="s">
        <v>1109</v>
      </c>
      <c r="I59" s="115" t="s">
        <v>1109</v>
      </c>
      <c r="J59" s="115" t="s">
        <v>1109</v>
      </c>
      <c r="K59" s="115"/>
      <c r="L59" s="115"/>
      <c r="M59" s="115"/>
      <c r="N59" s="115"/>
      <c r="O59" s="115"/>
      <c r="P59" s="115"/>
      <c r="Q59" s="115"/>
      <c r="R59" s="115"/>
      <c r="S59" s="113" t="s">
        <v>79</v>
      </c>
    </row>
    <row r="60" spans="1:19">
      <c r="A60" s="113">
        <v>58</v>
      </c>
      <c r="B60" s="113" t="s">
        <v>80</v>
      </c>
      <c r="C60" s="120" t="s">
        <v>4372</v>
      </c>
      <c r="D60" s="118" t="s">
        <v>4372</v>
      </c>
      <c r="E60" s="115" t="s">
        <v>1109</v>
      </c>
      <c r="F60" s="115" t="s">
        <v>1109</v>
      </c>
      <c r="G60" s="115" t="s">
        <v>1109</v>
      </c>
      <c r="H60" s="115" t="s">
        <v>81</v>
      </c>
      <c r="I60" s="115" t="s">
        <v>1803</v>
      </c>
      <c r="J60" s="115" t="s">
        <v>1109</v>
      </c>
      <c r="K60" s="115"/>
      <c r="L60" s="115"/>
      <c r="M60" s="115"/>
      <c r="N60" s="115"/>
      <c r="O60" s="115"/>
      <c r="P60" s="115"/>
      <c r="Q60" s="115"/>
      <c r="R60" s="115"/>
      <c r="S60" s="113" t="s">
        <v>80</v>
      </c>
    </row>
    <row r="61" spans="1:19">
      <c r="A61" s="113">
        <v>59</v>
      </c>
      <c r="B61" s="113" t="s">
        <v>81</v>
      </c>
      <c r="C61" s="120" t="s">
        <v>4373</v>
      </c>
      <c r="D61" s="118" t="s">
        <v>4372</v>
      </c>
      <c r="E61" s="115" t="s">
        <v>4372</v>
      </c>
      <c r="F61" s="115" t="s">
        <v>1803</v>
      </c>
      <c r="G61" s="115" t="s">
        <v>1109</v>
      </c>
      <c r="H61" s="115" t="s">
        <v>1109</v>
      </c>
      <c r="I61" s="115" t="s">
        <v>1109</v>
      </c>
      <c r="J61" s="115" t="s">
        <v>1109</v>
      </c>
      <c r="K61" s="115"/>
      <c r="L61" s="115"/>
      <c r="M61" s="115"/>
      <c r="N61" s="115"/>
      <c r="O61" s="115"/>
      <c r="P61" s="115"/>
      <c r="Q61" s="115"/>
      <c r="R61" s="115"/>
      <c r="S61" s="113" t="s">
        <v>81</v>
      </c>
    </row>
    <row r="62" spans="1:19">
      <c r="A62" s="113">
        <v>60</v>
      </c>
      <c r="B62" s="113" t="s">
        <v>82</v>
      </c>
      <c r="C62" s="120" t="s">
        <v>4374</v>
      </c>
      <c r="D62" s="118" t="s">
        <v>4374</v>
      </c>
      <c r="E62" s="115" t="s">
        <v>1109</v>
      </c>
      <c r="F62" s="115" t="s">
        <v>1109</v>
      </c>
      <c r="G62" s="115" t="s">
        <v>1109</v>
      </c>
      <c r="H62" s="115" t="s">
        <v>83</v>
      </c>
      <c r="I62" s="115" t="s">
        <v>2128</v>
      </c>
      <c r="J62" s="115">
        <v>3</v>
      </c>
      <c r="K62" s="115"/>
      <c r="L62" s="115"/>
      <c r="M62" s="115"/>
      <c r="N62" s="115"/>
      <c r="O62" s="115"/>
      <c r="P62" s="115"/>
      <c r="Q62" s="115"/>
      <c r="R62" s="115"/>
      <c r="S62" s="113" t="s">
        <v>82</v>
      </c>
    </row>
    <row r="63" spans="1:19">
      <c r="A63" s="113">
        <v>61</v>
      </c>
      <c r="B63" s="113" t="s">
        <v>83</v>
      </c>
      <c r="C63" s="120" t="s">
        <v>4375</v>
      </c>
      <c r="D63" s="118" t="s">
        <v>4374</v>
      </c>
      <c r="E63" s="115" t="s">
        <v>4374</v>
      </c>
      <c r="F63" s="115" t="s">
        <v>2128</v>
      </c>
      <c r="G63" s="115">
        <v>3</v>
      </c>
      <c r="H63" s="115" t="s">
        <v>84</v>
      </c>
      <c r="I63" s="115" t="s">
        <v>1803</v>
      </c>
      <c r="J63" s="115" t="s">
        <v>1109</v>
      </c>
      <c r="K63" s="115"/>
      <c r="L63" s="115"/>
      <c r="M63" s="115"/>
      <c r="N63" s="115"/>
      <c r="O63" s="115"/>
      <c r="P63" s="115"/>
      <c r="Q63" s="115"/>
      <c r="R63" s="115"/>
      <c r="S63" s="113" t="s">
        <v>83</v>
      </c>
    </row>
    <row r="64" spans="1:19">
      <c r="A64" s="113">
        <v>62</v>
      </c>
      <c r="B64" s="113" t="s">
        <v>84</v>
      </c>
      <c r="C64" s="120" t="s">
        <v>4376</v>
      </c>
      <c r="D64" s="118" t="s">
        <v>4374</v>
      </c>
      <c r="E64" s="115" t="s">
        <v>4375</v>
      </c>
      <c r="F64" s="115" t="s">
        <v>1803</v>
      </c>
      <c r="G64" s="115" t="s">
        <v>1109</v>
      </c>
      <c r="H64" s="115" t="s">
        <v>1109</v>
      </c>
      <c r="I64" s="115" t="s">
        <v>1109</v>
      </c>
      <c r="J64" s="115" t="s">
        <v>1109</v>
      </c>
      <c r="K64" s="115"/>
      <c r="L64" s="115"/>
      <c r="M64" s="115"/>
      <c r="N64" s="115"/>
      <c r="O64" s="115"/>
      <c r="P64" s="115"/>
      <c r="Q64" s="115"/>
      <c r="R64" s="115"/>
      <c r="S64" s="113" t="s">
        <v>84</v>
      </c>
    </row>
    <row r="65" spans="1:19">
      <c r="A65" s="113">
        <v>63</v>
      </c>
      <c r="B65" s="113" t="s">
        <v>85</v>
      </c>
      <c r="C65" s="120" t="s">
        <v>4377</v>
      </c>
      <c r="D65" s="118" t="s">
        <v>4377</v>
      </c>
      <c r="E65" s="115" t="s">
        <v>1109</v>
      </c>
      <c r="F65" s="115" t="s">
        <v>1109</v>
      </c>
      <c r="G65" s="115" t="s">
        <v>1109</v>
      </c>
      <c r="H65" s="115" t="s">
        <v>87</v>
      </c>
      <c r="I65" s="115" t="s">
        <v>2128</v>
      </c>
      <c r="J65" s="115">
        <v>3</v>
      </c>
      <c r="K65" s="115"/>
      <c r="L65" s="115"/>
      <c r="M65" s="115"/>
      <c r="N65" s="115"/>
      <c r="O65" s="115"/>
      <c r="P65" s="115"/>
      <c r="Q65" s="115"/>
      <c r="R65" s="115"/>
      <c r="S65" s="113" t="s">
        <v>85</v>
      </c>
    </row>
    <row r="66" spans="1:19">
      <c r="A66" s="113">
        <v>64</v>
      </c>
      <c r="B66" s="113" t="s">
        <v>87</v>
      </c>
      <c r="C66" s="120" t="s">
        <v>4378</v>
      </c>
      <c r="D66" s="118" t="s">
        <v>4377</v>
      </c>
      <c r="E66" s="115" t="s">
        <v>4377</v>
      </c>
      <c r="F66" s="115" t="s">
        <v>2128</v>
      </c>
      <c r="G66" s="115">
        <v>3</v>
      </c>
      <c r="H66" s="115" t="s">
        <v>88</v>
      </c>
      <c r="I66" s="115" t="s">
        <v>2128</v>
      </c>
      <c r="J66" s="115">
        <v>5</v>
      </c>
      <c r="K66" s="115"/>
      <c r="L66" s="115"/>
      <c r="M66" s="115"/>
      <c r="N66" s="115"/>
      <c r="O66" s="115"/>
      <c r="P66" s="115"/>
      <c r="Q66" s="115"/>
      <c r="R66" s="115"/>
      <c r="S66" s="113" t="s">
        <v>87</v>
      </c>
    </row>
    <row r="67" spans="1:19">
      <c r="A67" s="113">
        <v>65</v>
      </c>
      <c r="B67" s="113" t="s">
        <v>88</v>
      </c>
      <c r="C67" s="120" t="s">
        <v>4379</v>
      </c>
      <c r="D67" s="118" t="s">
        <v>4377</v>
      </c>
      <c r="E67" s="115" t="s">
        <v>4378</v>
      </c>
      <c r="F67" s="115" t="s">
        <v>2128</v>
      </c>
      <c r="G67" s="115">
        <v>5</v>
      </c>
      <c r="H67" s="115" t="s">
        <v>1109</v>
      </c>
      <c r="I67" s="115" t="s">
        <v>1109</v>
      </c>
      <c r="J67" s="115" t="s">
        <v>1109</v>
      </c>
      <c r="K67" s="115"/>
      <c r="L67" s="115"/>
      <c r="M67" s="115"/>
      <c r="N67" s="115"/>
      <c r="O67" s="115"/>
      <c r="P67" s="115"/>
      <c r="Q67" s="115"/>
      <c r="R67" s="115"/>
      <c r="S67" s="113" t="s">
        <v>88</v>
      </c>
    </row>
    <row r="68" spans="1:19">
      <c r="A68" s="113">
        <v>66</v>
      </c>
      <c r="B68" s="113" t="s">
        <v>89</v>
      </c>
      <c r="C68" s="120" t="s">
        <v>4380</v>
      </c>
      <c r="D68" s="118" t="s">
        <v>4380</v>
      </c>
      <c r="E68" s="115" t="s">
        <v>1109</v>
      </c>
      <c r="F68" s="115" t="s">
        <v>1109</v>
      </c>
      <c r="G68" s="115" t="s">
        <v>1109</v>
      </c>
      <c r="H68" s="115" t="s">
        <v>90</v>
      </c>
      <c r="I68" s="115" t="s">
        <v>2128</v>
      </c>
      <c r="J68" s="115">
        <v>3</v>
      </c>
      <c r="K68" s="115"/>
      <c r="L68" s="115"/>
      <c r="M68" s="115"/>
      <c r="N68" s="115"/>
      <c r="O68" s="115"/>
      <c r="P68" s="115"/>
      <c r="Q68" s="115"/>
      <c r="R68" s="115"/>
      <c r="S68" s="113" t="s">
        <v>89</v>
      </c>
    </row>
    <row r="69" spans="1:19">
      <c r="A69" s="113">
        <v>67</v>
      </c>
      <c r="B69" s="113" t="s">
        <v>90</v>
      </c>
      <c r="C69" s="120" t="s">
        <v>4381</v>
      </c>
      <c r="D69" s="118" t="s">
        <v>4380</v>
      </c>
      <c r="E69" s="115" t="s">
        <v>4380</v>
      </c>
      <c r="F69" s="115" t="s">
        <v>2128</v>
      </c>
      <c r="G69" s="115">
        <v>3</v>
      </c>
      <c r="H69" s="115" t="s">
        <v>91</v>
      </c>
      <c r="I69" s="115" t="s">
        <v>2128</v>
      </c>
      <c r="J69" s="115">
        <v>5</v>
      </c>
      <c r="K69" s="115"/>
      <c r="L69" s="115"/>
      <c r="M69" s="115"/>
      <c r="N69" s="115"/>
      <c r="O69" s="115"/>
      <c r="P69" s="115"/>
      <c r="Q69" s="115"/>
      <c r="R69" s="115"/>
      <c r="S69" s="113" t="s">
        <v>90</v>
      </c>
    </row>
    <row r="70" spans="1:19">
      <c r="A70" s="113">
        <v>68</v>
      </c>
      <c r="B70" s="113" t="s">
        <v>91</v>
      </c>
      <c r="C70" s="120" t="s">
        <v>4382</v>
      </c>
      <c r="D70" s="118" t="s">
        <v>4380</v>
      </c>
      <c r="E70" s="115" t="s">
        <v>4381</v>
      </c>
      <c r="F70" s="115" t="s">
        <v>2128</v>
      </c>
      <c r="G70" s="115">
        <v>5</v>
      </c>
      <c r="H70" s="115" t="s">
        <v>1109</v>
      </c>
      <c r="I70" s="115" t="s">
        <v>1109</v>
      </c>
      <c r="J70" s="115" t="s">
        <v>1109</v>
      </c>
      <c r="K70" s="115"/>
      <c r="L70" s="115"/>
      <c r="M70" s="115"/>
      <c r="N70" s="115"/>
      <c r="O70" s="115"/>
      <c r="P70" s="115"/>
      <c r="Q70" s="115"/>
      <c r="R70" s="115"/>
      <c r="S70" s="113" t="s">
        <v>91</v>
      </c>
    </row>
    <row r="71" spans="1:19">
      <c r="A71" s="113">
        <v>69</v>
      </c>
      <c r="B71" s="113" t="s">
        <v>92</v>
      </c>
      <c r="C71" s="120" t="s">
        <v>4383</v>
      </c>
      <c r="D71" s="118" t="s">
        <v>4383</v>
      </c>
      <c r="E71" s="115" t="s">
        <v>1109</v>
      </c>
      <c r="F71" s="115" t="s">
        <v>1109</v>
      </c>
      <c r="G71" s="115" t="s">
        <v>1109</v>
      </c>
      <c r="H71" s="115" t="s">
        <v>93</v>
      </c>
      <c r="I71" s="115" t="s">
        <v>2128</v>
      </c>
      <c r="J71" s="115">
        <v>3</v>
      </c>
      <c r="K71" s="115"/>
      <c r="L71" s="115"/>
      <c r="M71" s="115"/>
      <c r="N71" s="115"/>
      <c r="O71" s="115"/>
      <c r="P71" s="115"/>
      <c r="Q71" s="115"/>
      <c r="R71" s="115"/>
      <c r="S71" s="113" t="s">
        <v>92</v>
      </c>
    </row>
    <row r="72" spans="1:19">
      <c r="A72" s="113">
        <v>70</v>
      </c>
      <c r="B72" s="113" t="s">
        <v>93</v>
      </c>
      <c r="C72" s="120" t="s">
        <v>4384</v>
      </c>
      <c r="D72" s="118" t="s">
        <v>4383</v>
      </c>
      <c r="E72" s="115" t="s">
        <v>4383</v>
      </c>
      <c r="F72" s="115" t="s">
        <v>2128</v>
      </c>
      <c r="G72" s="115">
        <v>3</v>
      </c>
      <c r="H72" s="115" t="s">
        <v>94</v>
      </c>
      <c r="I72" s="115" t="s">
        <v>1803</v>
      </c>
      <c r="J72" s="115" t="s">
        <v>1109</v>
      </c>
      <c r="K72" s="115"/>
      <c r="L72" s="115"/>
      <c r="M72" s="115"/>
      <c r="N72" s="115"/>
      <c r="O72" s="115"/>
      <c r="P72" s="115"/>
      <c r="Q72" s="115"/>
      <c r="R72" s="115"/>
      <c r="S72" s="113" t="s">
        <v>93</v>
      </c>
    </row>
    <row r="73" spans="1:19">
      <c r="A73" s="113">
        <v>71</v>
      </c>
      <c r="B73" s="113" t="s">
        <v>94</v>
      </c>
      <c r="C73" s="120" t="s">
        <v>4385</v>
      </c>
      <c r="D73" s="118" t="s">
        <v>4383</v>
      </c>
      <c r="E73" s="115" t="s">
        <v>4384</v>
      </c>
      <c r="F73" s="115" t="s">
        <v>1803</v>
      </c>
      <c r="G73" s="115" t="s">
        <v>1109</v>
      </c>
      <c r="H73" s="115" t="s">
        <v>1109</v>
      </c>
      <c r="I73" s="115" t="s">
        <v>1109</v>
      </c>
      <c r="J73" s="115" t="s">
        <v>1109</v>
      </c>
      <c r="K73" s="115"/>
      <c r="L73" s="115"/>
      <c r="M73" s="115"/>
      <c r="N73" s="115"/>
      <c r="O73" s="115"/>
      <c r="P73" s="115"/>
      <c r="Q73" s="115"/>
      <c r="R73" s="115"/>
      <c r="S73" s="113" t="s">
        <v>94</v>
      </c>
    </row>
    <row r="74" spans="1:19">
      <c r="A74" s="113">
        <v>72</v>
      </c>
      <c r="B74" s="113" t="s">
        <v>95</v>
      </c>
      <c r="C74" s="120" t="s">
        <v>4386</v>
      </c>
      <c r="D74" s="118" t="s">
        <v>4386</v>
      </c>
      <c r="E74" s="115" t="s">
        <v>1109</v>
      </c>
      <c r="F74" s="115" t="s">
        <v>1109</v>
      </c>
      <c r="G74" s="115" t="s">
        <v>1109</v>
      </c>
      <c r="H74" s="115" t="s">
        <v>96</v>
      </c>
      <c r="I74" s="115" t="s">
        <v>2128</v>
      </c>
      <c r="J74" s="115">
        <v>4</v>
      </c>
      <c r="K74" s="115"/>
      <c r="L74" s="115"/>
      <c r="M74" s="115"/>
      <c r="N74" s="115"/>
      <c r="O74" s="115"/>
      <c r="P74" s="115"/>
      <c r="Q74" s="115"/>
      <c r="R74" s="115"/>
      <c r="S74" s="113" t="s">
        <v>95</v>
      </c>
    </row>
    <row r="75" spans="1:19">
      <c r="A75" s="113">
        <v>73</v>
      </c>
      <c r="B75" s="113" t="s">
        <v>96</v>
      </c>
      <c r="C75" s="120" t="s">
        <v>4387</v>
      </c>
      <c r="D75" s="118" t="s">
        <v>4386</v>
      </c>
      <c r="E75" s="115" t="s">
        <v>4386</v>
      </c>
      <c r="F75" s="115" t="s">
        <v>2128</v>
      </c>
      <c r="G75" s="115">
        <v>4</v>
      </c>
      <c r="H75" s="115" t="s">
        <v>1109</v>
      </c>
      <c r="I75" s="115" t="s">
        <v>1109</v>
      </c>
      <c r="J75" s="115" t="s">
        <v>1109</v>
      </c>
      <c r="K75" s="115"/>
      <c r="L75" s="115"/>
      <c r="M75" s="115"/>
      <c r="N75" s="115"/>
      <c r="O75" s="115"/>
      <c r="P75" s="115"/>
      <c r="Q75" s="115"/>
      <c r="R75" s="115"/>
      <c r="S75" s="113" t="s">
        <v>96</v>
      </c>
    </row>
    <row r="76" spans="1:19">
      <c r="A76" s="113">
        <v>74</v>
      </c>
      <c r="B76" s="113" t="s">
        <v>97</v>
      </c>
      <c r="C76" s="120" t="s">
        <v>2823</v>
      </c>
      <c r="D76" s="118" t="s">
        <v>2823</v>
      </c>
      <c r="E76" s="115" t="s">
        <v>1109</v>
      </c>
      <c r="F76" s="115" t="s">
        <v>1109</v>
      </c>
      <c r="G76" s="115" t="s">
        <v>1109</v>
      </c>
      <c r="H76" s="115" t="s">
        <v>99</v>
      </c>
      <c r="I76" s="115" t="s">
        <v>2128</v>
      </c>
      <c r="J76" s="115">
        <v>3</v>
      </c>
      <c r="K76" s="115"/>
      <c r="L76" s="115"/>
      <c r="M76" s="115"/>
      <c r="N76" s="115"/>
      <c r="O76" s="115"/>
      <c r="P76" s="115"/>
      <c r="Q76" s="115"/>
      <c r="R76" s="115"/>
      <c r="S76" s="113" t="s">
        <v>97</v>
      </c>
    </row>
    <row r="77" spans="1:19">
      <c r="A77" s="113">
        <v>75</v>
      </c>
      <c r="B77" s="113" t="s">
        <v>99</v>
      </c>
      <c r="C77" s="120" t="s">
        <v>2825</v>
      </c>
      <c r="D77" s="118" t="s">
        <v>2823</v>
      </c>
      <c r="E77" s="115" t="s">
        <v>2823</v>
      </c>
      <c r="F77" s="115" t="s">
        <v>2128</v>
      </c>
      <c r="G77" s="115">
        <v>3</v>
      </c>
      <c r="H77" s="115" t="s">
        <v>100</v>
      </c>
      <c r="I77" s="115" t="s">
        <v>2128</v>
      </c>
      <c r="J77" s="115">
        <v>5</v>
      </c>
      <c r="K77" s="115"/>
      <c r="L77" s="115"/>
      <c r="M77" s="115"/>
      <c r="N77" s="115"/>
      <c r="O77" s="115"/>
      <c r="P77" s="115"/>
      <c r="Q77" s="115"/>
      <c r="R77" s="115"/>
      <c r="S77" s="113" t="s">
        <v>99</v>
      </c>
    </row>
    <row r="78" spans="1:19">
      <c r="A78" s="113">
        <v>76</v>
      </c>
      <c r="B78" s="113" t="s">
        <v>100</v>
      </c>
      <c r="C78" s="120" t="s">
        <v>2827</v>
      </c>
      <c r="D78" s="118" t="s">
        <v>2823</v>
      </c>
      <c r="E78" s="115" t="s">
        <v>2825</v>
      </c>
      <c r="F78" s="115" t="s">
        <v>2128</v>
      </c>
      <c r="G78" s="115">
        <v>5</v>
      </c>
      <c r="H78" s="115" t="s">
        <v>1109</v>
      </c>
      <c r="I78" s="115" t="s">
        <v>1109</v>
      </c>
      <c r="J78" s="115" t="s">
        <v>1109</v>
      </c>
      <c r="K78" s="115"/>
      <c r="L78" s="115"/>
      <c r="M78" s="115"/>
      <c r="N78" s="115"/>
      <c r="O78" s="115"/>
      <c r="P78" s="115"/>
      <c r="Q78" s="115"/>
      <c r="R78" s="115"/>
      <c r="S78" s="113" t="s">
        <v>100</v>
      </c>
    </row>
    <row r="79" spans="1:19">
      <c r="A79" s="113">
        <v>77</v>
      </c>
      <c r="B79" s="113" t="s">
        <v>101</v>
      </c>
      <c r="C79" s="120" t="s">
        <v>4388</v>
      </c>
      <c r="D79" s="118" t="s">
        <v>4388</v>
      </c>
      <c r="E79" s="115" t="s">
        <v>1109</v>
      </c>
      <c r="F79" s="115" t="s">
        <v>1109</v>
      </c>
      <c r="G79" s="115" t="s">
        <v>1109</v>
      </c>
      <c r="H79" s="115" t="s">
        <v>102</v>
      </c>
      <c r="I79" s="115" t="s">
        <v>2128</v>
      </c>
      <c r="J79" s="115">
        <v>5</v>
      </c>
      <c r="K79" s="115"/>
      <c r="L79" s="115"/>
      <c r="M79" s="115"/>
      <c r="N79" s="115"/>
      <c r="O79" s="115"/>
      <c r="P79" s="115"/>
      <c r="Q79" s="115"/>
      <c r="R79" s="115"/>
      <c r="S79" s="113" t="s">
        <v>101</v>
      </c>
    </row>
    <row r="80" spans="1:19">
      <c r="A80" s="113">
        <v>78</v>
      </c>
      <c r="B80" s="113" t="s">
        <v>102</v>
      </c>
      <c r="C80" s="120" t="s">
        <v>4389</v>
      </c>
      <c r="D80" s="118" t="s">
        <v>4388</v>
      </c>
      <c r="E80" s="115" t="s">
        <v>4388</v>
      </c>
      <c r="F80" s="115" t="s">
        <v>2128</v>
      </c>
      <c r="G80" s="115">
        <v>5</v>
      </c>
      <c r="H80" s="115" t="s">
        <v>1109</v>
      </c>
      <c r="I80" s="115" t="s">
        <v>1109</v>
      </c>
      <c r="J80" s="115" t="s">
        <v>1109</v>
      </c>
      <c r="K80" s="115"/>
      <c r="L80" s="115"/>
      <c r="M80" s="115"/>
      <c r="N80" s="115"/>
      <c r="O80" s="115"/>
      <c r="P80" s="115"/>
      <c r="Q80" s="115"/>
      <c r="R80" s="115"/>
      <c r="S80" s="113" t="s">
        <v>102</v>
      </c>
    </row>
    <row r="81" spans="1:19">
      <c r="A81" s="113">
        <v>79</v>
      </c>
      <c r="B81" s="113" t="s">
        <v>103</v>
      </c>
      <c r="C81" s="120" t="s">
        <v>4390</v>
      </c>
      <c r="D81" s="118" t="s">
        <v>4390</v>
      </c>
      <c r="E81" s="115" t="s">
        <v>1109</v>
      </c>
      <c r="F81" s="115" t="s">
        <v>1109</v>
      </c>
      <c r="G81" s="115" t="s">
        <v>1109</v>
      </c>
      <c r="H81" s="115" t="s">
        <v>104</v>
      </c>
      <c r="I81" s="115" t="s">
        <v>1803</v>
      </c>
      <c r="J81" s="115" t="s">
        <v>1109</v>
      </c>
      <c r="K81" s="115"/>
      <c r="L81" s="115"/>
      <c r="M81" s="115"/>
      <c r="N81" s="115"/>
      <c r="O81" s="115"/>
      <c r="P81" s="115"/>
      <c r="Q81" s="115"/>
      <c r="R81" s="115"/>
      <c r="S81" s="113" t="s">
        <v>103</v>
      </c>
    </row>
    <row r="82" spans="1:19">
      <c r="A82" s="113">
        <v>80</v>
      </c>
      <c r="B82" s="113" t="s">
        <v>104</v>
      </c>
      <c r="C82" s="120" t="s">
        <v>4391</v>
      </c>
      <c r="D82" s="118" t="s">
        <v>4390</v>
      </c>
      <c r="E82" s="115" t="s">
        <v>4390</v>
      </c>
      <c r="F82" s="115" t="s">
        <v>1803</v>
      </c>
      <c r="G82" s="115" t="s">
        <v>1109</v>
      </c>
      <c r="H82" s="115" t="s">
        <v>1109</v>
      </c>
      <c r="I82" s="115" t="s">
        <v>1109</v>
      </c>
      <c r="J82" s="115" t="s">
        <v>1109</v>
      </c>
      <c r="K82" s="115"/>
      <c r="L82" s="115"/>
      <c r="M82" s="115"/>
      <c r="N82" s="115"/>
      <c r="O82" s="115"/>
      <c r="P82" s="115"/>
      <c r="Q82" s="115"/>
      <c r="R82" s="115"/>
      <c r="S82" s="113" t="s">
        <v>104</v>
      </c>
    </row>
    <row r="83" spans="1:19">
      <c r="A83" s="113">
        <v>81</v>
      </c>
      <c r="B83" s="113" t="s">
        <v>105</v>
      </c>
      <c r="C83" s="120" t="s">
        <v>4392</v>
      </c>
      <c r="D83" s="118" t="s">
        <v>4392</v>
      </c>
      <c r="E83" s="115" t="s">
        <v>1109</v>
      </c>
      <c r="F83" s="115" t="s">
        <v>1109</v>
      </c>
      <c r="G83" s="115" t="s">
        <v>1109</v>
      </c>
      <c r="H83" s="115" t="s">
        <v>107</v>
      </c>
      <c r="I83" s="115" t="s">
        <v>2128</v>
      </c>
      <c r="J83" s="115">
        <v>4</v>
      </c>
      <c r="K83" s="115"/>
      <c r="L83" s="115"/>
      <c r="M83" s="115"/>
      <c r="N83" s="115"/>
      <c r="O83" s="115"/>
      <c r="P83" s="115"/>
      <c r="Q83" s="115"/>
      <c r="R83" s="115"/>
      <c r="S83" s="113" t="s">
        <v>105</v>
      </c>
    </row>
    <row r="84" spans="1:19">
      <c r="A84" s="113">
        <v>82</v>
      </c>
      <c r="B84" s="113" t="s">
        <v>107</v>
      </c>
      <c r="C84" s="120" t="s">
        <v>4393</v>
      </c>
      <c r="D84" s="118" t="s">
        <v>4392</v>
      </c>
      <c r="E84" s="115" t="s">
        <v>4392</v>
      </c>
      <c r="F84" s="115" t="s">
        <v>2128</v>
      </c>
      <c r="G84" s="115">
        <v>4</v>
      </c>
      <c r="H84" s="115" t="s">
        <v>1109</v>
      </c>
      <c r="I84" s="115" t="s">
        <v>1109</v>
      </c>
      <c r="J84" s="115" t="s">
        <v>1109</v>
      </c>
      <c r="K84" s="115"/>
      <c r="L84" s="115"/>
      <c r="M84" s="115"/>
      <c r="N84" s="115"/>
      <c r="O84" s="115"/>
      <c r="P84" s="115"/>
      <c r="Q84" s="115"/>
      <c r="R84" s="115"/>
      <c r="S84" s="113" t="s">
        <v>107</v>
      </c>
    </row>
    <row r="85" spans="1:19">
      <c r="A85" s="113">
        <v>83</v>
      </c>
      <c r="B85" s="113" t="s">
        <v>108</v>
      </c>
      <c r="C85" s="120" t="s">
        <v>4394</v>
      </c>
      <c r="D85" s="118" t="s">
        <v>4394</v>
      </c>
      <c r="E85" s="115" t="s">
        <v>1109</v>
      </c>
      <c r="F85" s="115" t="s">
        <v>1109</v>
      </c>
      <c r="G85" s="115" t="s">
        <v>1109</v>
      </c>
      <c r="H85" s="115" t="s">
        <v>1109</v>
      </c>
      <c r="I85" s="115" t="s">
        <v>1109</v>
      </c>
      <c r="J85" s="115" t="s">
        <v>1109</v>
      </c>
      <c r="K85" s="115"/>
      <c r="L85" s="115"/>
      <c r="M85" s="115"/>
      <c r="N85" s="115"/>
      <c r="O85" s="115"/>
      <c r="P85" s="115"/>
      <c r="Q85" s="115"/>
      <c r="R85" s="115"/>
      <c r="S85" s="113" t="s">
        <v>108</v>
      </c>
    </row>
    <row r="86" spans="1:19">
      <c r="A86" s="113">
        <v>84</v>
      </c>
      <c r="B86" s="113" t="s">
        <v>109</v>
      </c>
      <c r="C86" s="120" t="s">
        <v>4395</v>
      </c>
      <c r="D86" s="118" t="s">
        <v>4395</v>
      </c>
      <c r="E86" s="115" t="s">
        <v>1109</v>
      </c>
      <c r="F86" s="115" t="s">
        <v>1109</v>
      </c>
      <c r="G86" s="115" t="s">
        <v>1109</v>
      </c>
      <c r="H86" s="115" t="s">
        <v>110</v>
      </c>
      <c r="I86" s="115" t="s">
        <v>2128</v>
      </c>
      <c r="J86" s="115">
        <v>4</v>
      </c>
      <c r="K86" s="115"/>
      <c r="L86" s="115"/>
      <c r="M86" s="115"/>
      <c r="N86" s="115"/>
      <c r="O86" s="115"/>
      <c r="P86" s="115"/>
      <c r="Q86" s="115"/>
      <c r="R86" s="115"/>
      <c r="S86" s="113" t="s">
        <v>109</v>
      </c>
    </row>
    <row r="87" spans="1:19">
      <c r="A87" s="113">
        <v>85</v>
      </c>
      <c r="B87" s="113" t="s">
        <v>110</v>
      </c>
      <c r="C87" s="120" t="s">
        <v>4396</v>
      </c>
      <c r="D87" s="118" t="s">
        <v>4395</v>
      </c>
      <c r="E87" s="115" t="s">
        <v>4395</v>
      </c>
      <c r="F87" s="115" t="s">
        <v>2128</v>
      </c>
      <c r="G87" s="115">
        <v>4</v>
      </c>
      <c r="H87" s="115" t="s">
        <v>1109</v>
      </c>
      <c r="I87" s="115" t="s">
        <v>1109</v>
      </c>
      <c r="J87" s="115" t="s">
        <v>1109</v>
      </c>
      <c r="K87" s="115"/>
      <c r="L87" s="115"/>
      <c r="M87" s="115"/>
      <c r="N87" s="115"/>
      <c r="O87" s="115"/>
      <c r="P87" s="115"/>
      <c r="Q87" s="115"/>
      <c r="R87" s="115"/>
      <c r="S87" s="113" t="s">
        <v>110</v>
      </c>
    </row>
    <row r="88" spans="1:19">
      <c r="A88" s="113">
        <v>86</v>
      </c>
      <c r="B88" s="113" t="s">
        <v>111</v>
      </c>
      <c r="C88" s="120" t="s">
        <v>4397</v>
      </c>
      <c r="D88" s="118" t="s">
        <v>4397</v>
      </c>
      <c r="E88" s="115" t="s">
        <v>1109</v>
      </c>
      <c r="F88" s="115" t="s">
        <v>1109</v>
      </c>
      <c r="G88" s="115" t="s">
        <v>1109</v>
      </c>
      <c r="H88" s="115" t="s">
        <v>112</v>
      </c>
      <c r="I88" s="115" t="s">
        <v>2128</v>
      </c>
      <c r="J88" s="115">
        <v>4</v>
      </c>
      <c r="K88" s="115"/>
      <c r="L88" s="115"/>
      <c r="M88" s="115"/>
      <c r="N88" s="115"/>
      <c r="O88" s="115"/>
      <c r="P88" s="115"/>
      <c r="Q88" s="115"/>
      <c r="R88" s="115"/>
      <c r="S88" s="113" t="s">
        <v>111</v>
      </c>
    </row>
    <row r="89" spans="1:19">
      <c r="A89" s="113">
        <v>87</v>
      </c>
      <c r="B89" s="113" t="s">
        <v>112</v>
      </c>
      <c r="C89" s="120" t="s">
        <v>4398</v>
      </c>
      <c r="D89" s="118" t="s">
        <v>4397</v>
      </c>
      <c r="E89" s="115" t="s">
        <v>4397</v>
      </c>
      <c r="F89" s="115" t="s">
        <v>2128</v>
      </c>
      <c r="G89" s="115">
        <v>4</v>
      </c>
      <c r="H89" s="115" t="s">
        <v>1109</v>
      </c>
      <c r="I89" s="115" t="s">
        <v>1109</v>
      </c>
      <c r="J89" s="115" t="s">
        <v>1109</v>
      </c>
      <c r="K89" s="115"/>
      <c r="L89" s="115"/>
      <c r="M89" s="115"/>
      <c r="N89" s="115"/>
      <c r="O89" s="115"/>
      <c r="P89" s="115"/>
      <c r="Q89" s="115"/>
      <c r="R89" s="115"/>
      <c r="S89" s="113" t="s">
        <v>112</v>
      </c>
    </row>
    <row r="90" spans="1:19">
      <c r="A90" s="113">
        <v>88</v>
      </c>
      <c r="B90" s="113" t="s">
        <v>114</v>
      </c>
      <c r="C90" s="120" t="s">
        <v>2841</v>
      </c>
      <c r="D90" s="118" t="s">
        <v>2841</v>
      </c>
      <c r="E90" s="115" t="s">
        <v>1109</v>
      </c>
      <c r="F90" s="115" t="s">
        <v>1109</v>
      </c>
      <c r="G90" s="115" t="s">
        <v>1109</v>
      </c>
      <c r="H90" s="115" t="s">
        <v>115</v>
      </c>
      <c r="I90" s="115" t="s">
        <v>2128</v>
      </c>
      <c r="J90" s="115">
        <v>4</v>
      </c>
      <c r="K90" s="115"/>
      <c r="L90" s="115"/>
      <c r="M90" s="115"/>
      <c r="N90" s="115"/>
      <c r="O90" s="115"/>
      <c r="P90" s="115"/>
      <c r="Q90" s="115"/>
      <c r="R90" s="115"/>
      <c r="S90" s="113" t="s">
        <v>114</v>
      </c>
    </row>
    <row r="91" spans="1:19">
      <c r="A91" s="113">
        <v>89</v>
      </c>
      <c r="B91" s="113" t="s">
        <v>115</v>
      </c>
      <c r="C91" s="120" t="s">
        <v>2843</v>
      </c>
      <c r="D91" s="118" t="s">
        <v>2841</v>
      </c>
      <c r="E91" s="115" t="s">
        <v>2841</v>
      </c>
      <c r="F91" s="115" t="s">
        <v>2128</v>
      </c>
      <c r="G91" s="115">
        <v>4</v>
      </c>
      <c r="H91" s="115" t="s">
        <v>1109</v>
      </c>
      <c r="I91" s="115" t="s">
        <v>1109</v>
      </c>
      <c r="J91" s="115" t="s">
        <v>1109</v>
      </c>
      <c r="K91" s="115"/>
      <c r="L91" s="115"/>
      <c r="M91" s="115"/>
      <c r="N91" s="115"/>
      <c r="O91" s="115"/>
      <c r="P91" s="115"/>
      <c r="Q91" s="115"/>
      <c r="R91" s="115"/>
      <c r="S91" s="113" t="s">
        <v>115</v>
      </c>
    </row>
    <row r="92" spans="1:19">
      <c r="A92" s="113">
        <v>90</v>
      </c>
      <c r="B92" s="113" t="s">
        <v>116</v>
      </c>
      <c r="C92" s="120" t="s">
        <v>4399</v>
      </c>
      <c r="D92" s="118" t="s">
        <v>4399</v>
      </c>
      <c r="E92" s="115" t="s">
        <v>1109</v>
      </c>
      <c r="F92" s="115" t="s">
        <v>1109</v>
      </c>
      <c r="G92" s="115" t="s">
        <v>1109</v>
      </c>
      <c r="H92" s="115" t="s">
        <v>117</v>
      </c>
      <c r="I92" s="115" t="s">
        <v>1803</v>
      </c>
      <c r="J92" s="115" t="s">
        <v>1109</v>
      </c>
      <c r="K92" s="115"/>
      <c r="L92" s="115"/>
      <c r="M92" s="115"/>
      <c r="N92" s="115"/>
      <c r="O92" s="115"/>
      <c r="P92" s="115"/>
      <c r="Q92" s="115"/>
      <c r="R92" s="115"/>
      <c r="S92" s="113" t="s">
        <v>116</v>
      </c>
    </row>
    <row r="93" spans="1:19">
      <c r="A93" s="113">
        <v>91</v>
      </c>
      <c r="B93" s="113" t="s">
        <v>117</v>
      </c>
      <c r="C93" s="120" t="s">
        <v>4400</v>
      </c>
      <c r="D93" s="118" t="s">
        <v>4399</v>
      </c>
      <c r="E93" s="115" t="s">
        <v>4399</v>
      </c>
      <c r="F93" s="115" t="s">
        <v>1803</v>
      </c>
      <c r="G93" s="115" t="s">
        <v>1109</v>
      </c>
      <c r="H93" s="115" t="s">
        <v>1109</v>
      </c>
      <c r="I93" s="115" t="s">
        <v>1109</v>
      </c>
      <c r="J93" s="115" t="s">
        <v>1109</v>
      </c>
      <c r="K93" s="115"/>
      <c r="L93" s="115"/>
      <c r="M93" s="115"/>
      <c r="N93" s="115"/>
      <c r="O93" s="115"/>
      <c r="P93" s="115"/>
      <c r="Q93" s="115"/>
      <c r="R93" s="115"/>
      <c r="S93" s="113" t="s">
        <v>117</v>
      </c>
    </row>
    <row r="94" spans="1:19">
      <c r="A94" s="113">
        <v>92</v>
      </c>
      <c r="B94" s="113" t="s">
        <v>118</v>
      </c>
      <c r="C94" s="120" t="s">
        <v>4401</v>
      </c>
      <c r="D94" s="118" t="s">
        <v>4401</v>
      </c>
      <c r="E94" s="115" t="s">
        <v>1109</v>
      </c>
      <c r="F94" s="115" t="s">
        <v>1109</v>
      </c>
      <c r="G94" s="115" t="s">
        <v>1109</v>
      </c>
      <c r="H94" s="115" t="s">
        <v>120</v>
      </c>
      <c r="I94" s="115" t="s">
        <v>2128</v>
      </c>
      <c r="J94" s="115">
        <v>3</v>
      </c>
      <c r="K94" s="115"/>
      <c r="L94" s="115"/>
      <c r="M94" s="115"/>
      <c r="N94" s="115"/>
      <c r="O94" s="115"/>
      <c r="P94" s="115"/>
      <c r="Q94" s="115"/>
      <c r="R94" s="115"/>
      <c r="S94" s="113" t="s">
        <v>118</v>
      </c>
    </row>
    <row r="95" spans="1:19">
      <c r="A95" s="113">
        <v>93</v>
      </c>
      <c r="B95" s="113" t="s">
        <v>120</v>
      </c>
      <c r="C95" s="120" t="s">
        <v>4402</v>
      </c>
      <c r="D95" s="118" t="s">
        <v>4401</v>
      </c>
      <c r="E95" s="115" t="s">
        <v>4401</v>
      </c>
      <c r="F95" s="115" t="s">
        <v>2128</v>
      </c>
      <c r="G95" s="115">
        <v>3</v>
      </c>
      <c r="H95" s="115" t="s">
        <v>121</v>
      </c>
      <c r="I95" s="115" t="s">
        <v>2128</v>
      </c>
      <c r="J95" s="115">
        <v>5</v>
      </c>
      <c r="K95" s="115"/>
      <c r="L95" s="115"/>
      <c r="M95" s="115"/>
      <c r="N95" s="115"/>
      <c r="O95" s="115"/>
      <c r="P95" s="115"/>
      <c r="Q95" s="115"/>
      <c r="R95" s="115"/>
      <c r="S95" s="113" t="s">
        <v>120</v>
      </c>
    </row>
    <row r="96" spans="1:19">
      <c r="A96" s="113">
        <v>94</v>
      </c>
      <c r="B96" s="113" t="s">
        <v>121</v>
      </c>
      <c r="C96" s="120" t="s">
        <v>4403</v>
      </c>
      <c r="D96" s="118" t="s">
        <v>4401</v>
      </c>
      <c r="E96" s="115" t="s">
        <v>4402</v>
      </c>
      <c r="F96" s="115" t="s">
        <v>2128</v>
      </c>
      <c r="G96" s="115">
        <v>5</v>
      </c>
      <c r="H96" s="115" t="s">
        <v>1109</v>
      </c>
      <c r="I96" s="115" t="s">
        <v>1109</v>
      </c>
      <c r="J96" s="115" t="s">
        <v>1109</v>
      </c>
      <c r="K96" s="115"/>
      <c r="L96" s="115"/>
      <c r="M96" s="115"/>
      <c r="N96" s="115"/>
      <c r="O96" s="115"/>
      <c r="P96" s="115"/>
      <c r="Q96" s="115"/>
      <c r="R96" s="115"/>
      <c r="S96" s="113" t="s">
        <v>121</v>
      </c>
    </row>
    <row r="97" spans="1:19">
      <c r="A97" s="113">
        <v>95</v>
      </c>
      <c r="B97" s="113" t="s">
        <v>122</v>
      </c>
      <c r="C97" s="120" t="s">
        <v>4404</v>
      </c>
      <c r="D97" s="118" t="s">
        <v>4404</v>
      </c>
      <c r="E97" s="115" t="s">
        <v>1109</v>
      </c>
      <c r="F97" s="115" t="s">
        <v>1109</v>
      </c>
      <c r="G97" s="115" t="s">
        <v>1109</v>
      </c>
      <c r="H97" s="115" t="s">
        <v>1109</v>
      </c>
      <c r="I97" s="115" t="s">
        <v>1109</v>
      </c>
      <c r="J97" s="115" t="s">
        <v>1109</v>
      </c>
      <c r="K97" s="115"/>
      <c r="L97" s="115"/>
      <c r="M97" s="115"/>
      <c r="N97" s="115"/>
      <c r="O97" s="115"/>
      <c r="P97" s="115"/>
      <c r="Q97" s="115"/>
      <c r="R97" s="115"/>
      <c r="S97" s="113" t="s">
        <v>122</v>
      </c>
    </row>
    <row r="98" spans="1:19">
      <c r="A98" s="113">
        <v>96</v>
      </c>
      <c r="B98" s="113" t="s">
        <v>123</v>
      </c>
      <c r="C98" s="120" t="s">
        <v>4405</v>
      </c>
      <c r="D98" s="118" t="s">
        <v>4405</v>
      </c>
      <c r="E98" s="115" t="s">
        <v>1109</v>
      </c>
      <c r="F98" s="115" t="s">
        <v>1109</v>
      </c>
      <c r="G98" s="115" t="s">
        <v>1109</v>
      </c>
      <c r="H98" s="115" t="s">
        <v>124</v>
      </c>
      <c r="I98" s="115" t="s">
        <v>2128</v>
      </c>
      <c r="J98" s="115">
        <v>3</v>
      </c>
      <c r="K98" s="115"/>
      <c r="L98" s="115"/>
      <c r="M98" s="115"/>
      <c r="N98" s="115"/>
      <c r="O98" s="115"/>
      <c r="P98" s="115"/>
      <c r="Q98" s="115"/>
      <c r="R98" s="115"/>
      <c r="S98" s="113" t="s">
        <v>123</v>
      </c>
    </row>
    <row r="99" spans="1:19">
      <c r="A99" s="113">
        <v>97</v>
      </c>
      <c r="B99" s="113" t="s">
        <v>124</v>
      </c>
      <c r="C99" s="120" t="s">
        <v>4406</v>
      </c>
      <c r="D99" s="118" t="s">
        <v>4405</v>
      </c>
      <c r="E99" s="115" t="s">
        <v>4405</v>
      </c>
      <c r="F99" s="115" t="s">
        <v>2128</v>
      </c>
      <c r="G99" s="115">
        <v>3</v>
      </c>
      <c r="H99" s="115" t="s">
        <v>1109</v>
      </c>
      <c r="I99" s="115" t="s">
        <v>1109</v>
      </c>
      <c r="J99" s="115" t="s">
        <v>1109</v>
      </c>
      <c r="K99" s="115"/>
      <c r="L99" s="115"/>
      <c r="M99" s="115"/>
      <c r="N99" s="115"/>
      <c r="O99" s="115"/>
      <c r="P99" s="115"/>
      <c r="Q99" s="115"/>
      <c r="R99" s="115"/>
      <c r="S99" s="113" t="s">
        <v>124</v>
      </c>
    </row>
    <row r="100" spans="1:19">
      <c r="A100" s="113">
        <v>98</v>
      </c>
      <c r="B100" s="113" t="s">
        <v>125</v>
      </c>
      <c r="C100" s="120" t="s">
        <v>4407</v>
      </c>
      <c r="D100" s="118" t="s">
        <v>4407</v>
      </c>
      <c r="E100" s="115" t="s">
        <v>1109</v>
      </c>
      <c r="F100" s="115" t="s">
        <v>1109</v>
      </c>
      <c r="G100" s="115" t="s">
        <v>1109</v>
      </c>
      <c r="H100" s="115" t="s">
        <v>126</v>
      </c>
      <c r="I100" s="115" t="s">
        <v>2128</v>
      </c>
      <c r="J100" s="115">
        <v>3</v>
      </c>
      <c r="K100" s="115"/>
      <c r="L100" s="115"/>
      <c r="M100" s="115"/>
      <c r="N100" s="115"/>
      <c r="O100" s="115"/>
      <c r="P100" s="115"/>
      <c r="Q100" s="115"/>
      <c r="R100" s="115"/>
      <c r="S100" s="113" t="s">
        <v>125</v>
      </c>
    </row>
    <row r="101" spans="1:19">
      <c r="A101" s="113">
        <v>99</v>
      </c>
      <c r="B101" s="113" t="s">
        <v>126</v>
      </c>
      <c r="C101" s="120" t="s">
        <v>4408</v>
      </c>
      <c r="D101" s="118" t="s">
        <v>4407</v>
      </c>
      <c r="E101" s="115" t="s">
        <v>4407</v>
      </c>
      <c r="F101" s="115" t="s">
        <v>2128</v>
      </c>
      <c r="G101" s="115">
        <v>3</v>
      </c>
      <c r="H101" s="115" t="s">
        <v>1109</v>
      </c>
      <c r="I101" s="115" t="s">
        <v>1109</v>
      </c>
      <c r="J101" s="115" t="s">
        <v>1109</v>
      </c>
      <c r="K101" s="115"/>
      <c r="L101" s="115"/>
      <c r="M101" s="115"/>
      <c r="N101" s="115"/>
      <c r="O101" s="115"/>
      <c r="P101" s="115"/>
      <c r="Q101" s="115"/>
      <c r="R101" s="115"/>
      <c r="S101" s="113" t="s">
        <v>126</v>
      </c>
    </row>
    <row r="102" spans="1:19">
      <c r="A102" s="113">
        <v>100</v>
      </c>
      <c r="B102" s="113" t="s">
        <v>127</v>
      </c>
      <c r="C102" s="120" t="s">
        <v>4409</v>
      </c>
      <c r="D102" s="118" t="s">
        <v>4409</v>
      </c>
      <c r="E102" s="115" t="s">
        <v>1109</v>
      </c>
      <c r="F102" s="115" t="s">
        <v>1109</v>
      </c>
      <c r="G102" s="115" t="s">
        <v>1109</v>
      </c>
      <c r="H102" s="115" t="s">
        <v>128</v>
      </c>
      <c r="I102" s="115" t="s">
        <v>2128</v>
      </c>
      <c r="J102" s="115">
        <v>4</v>
      </c>
      <c r="K102" s="115"/>
      <c r="L102" s="115"/>
      <c r="M102" s="115"/>
      <c r="N102" s="115"/>
      <c r="O102" s="115"/>
      <c r="P102" s="115"/>
      <c r="Q102" s="115"/>
      <c r="R102" s="115"/>
      <c r="S102" s="113" t="s">
        <v>127</v>
      </c>
    </row>
    <row r="103" spans="1:19">
      <c r="A103" s="113">
        <v>101</v>
      </c>
      <c r="B103" s="113" t="s">
        <v>128</v>
      </c>
      <c r="C103" s="120" t="s">
        <v>4410</v>
      </c>
      <c r="D103" s="118" t="s">
        <v>4409</v>
      </c>
      <c r="E103" s="115" t="s">
        <v>4409</v>
      </c>
      <c r="F103" s="115" t="s">
        <v>2128</v>
      </c>
      <c r="G103" s="115">
        <v>4</v>
      </c>
      <c r="H103" s="115" t="s">
        <v>1109</v>
      </c>
      <c r="I103" s="115" t="s">
        <v>1109</v>
      </c>
      <c r="J103" s="115" t="s">
        <v>1109</v>
      </c>
      <c r="K103" s="115"/>
      <c r="L103" s="115"/>
      <c r="M103" s="115"/>
      <c r="N103" s="115"/>
      <c r="O103" s="115"/>
      <c r="P103" s="115"/>
      <c r="Q103" s="115"/>
      <c r="R103" s="115"/>
      <c r="S103" s="113" t="s">
        <v>128</v>
      </c>
    </row>
    <row r="104" spans="1:19">
      <c r="A104" s="113">
        <v>102</v>
      </c>
      <c r="B104" s="113" t="s">
        <v>129</v>
      </c>
      <c r="C104" s="120" t="s">
        <v>4411</v>
      </c>
      <c r="D104" s="118" t="s">
        <v>4411</v>
      </c>
      <c r="E104" s="115" t="s">
        <v>1109</v>
      </c>
      <c r="F104" s="115" t="s">
        <v>1109</v>
      </c>
      <c r="G104" s="115" t="s">
        <v>1109</v>
      </c>
      <c r="H104" s="115" t="s">
        <v>130</v>
      </c>
      <c r="I104" s="115" t="s">
        <v>1803</v>
      </c>
      <c r="J104" s="115" t="s">
        <v>1109</v>
      </c>
      <c r="K104" s="115"/>
      <c r="L104" s="115"/>
      <c r="M104" s="115"/>
      <c r="N104" s="115"/>
      <c r="O104" s="115"/>
      <c r="P104" s="115"/>
      <c r="Q104" s="115"/>
      <c r="R104" s="115"/>
      <c r="S104" s="113" t="s">
        <v>129</v>
      </c>
    </row>
    <row r="105" spans="1:19">
      <c r="A105" s="113">
        <v>103</v>
      </c>
      <c r="B105" s="113" t="s">
        <v>130</v>
      </c>
      <c r="C105" s="120" t="s">
        <v>2851</v>
      </c>
      <c r="D105" s="118" t="s">
        <v>4411</v>
      </c>
      <c r="E105" s="115" t="s">
        <v>4411</v>
      </c>
      <c r="F105" s="115" t="s">
        <v>1803</v>
      </c>
      <c r="G105" s="115" t="s">
        <v>1109</v>
      </c>
      <c r="H105" s="115" t="s">
        <v>1109</v>
      </c>
      <c r="I105" s="115" t="s">
        <v>1109</v>
      </c>
      <c r="J105" s="115" t="s">
        <v>1109</v>
      </c>
      <c r="K105" s="115"/>
      <c r="L105" s="115"/>
      <c r="M105" s="115"/>
      <c r="N105" s="115"/>
      <c r="O105" s="115"/>
      <c r="P105" s="115"/>
      <c r="Q105" s="115"/>
      <c r="R105" s="115"/>
      <c r="S105" s="113" t="s">
        <v>130</v>
      </c>
    </row>
    <row r="106" spans="1:19">
      <c r="A106" s="113">
        <v>104</v>
      </c>
      <c r="B106" s="113" t="s">
        <v>131</v>
      </c>
      <c r="C106" s="120" t="s">
        <v>4412</v>
      </c>
      <c r="D106" s="118" t="s">
        <v>4412</v>
      </c>
      <c r="E106" s="115" t="s">
        <v>1109</v>
      </c>
      <c r="F106" s="115" t="s">
        <v>1109</v>
      </c>
      <c r="G106" s="115" t="s">
        <v>1109</v>
      </c>
      <c r="H106" s="115" t="s">
        <v>132</v>
      </c>
      <c r="I106" s="115" t="s">
        <v>2128</v>
      </c>
      <c r="J106" s="115">
        <v>3</v>
      </c>
      <c r="K106" s="115"/>
      <c r="L106" s="115"/>
      <c r="M106" s="115"/>
      <c r="N106" s="115"/>
      <c r="O106" s="115"/>
      <c r="P106" s="115"/>
      <c r="Q106" s="115"/>
      <c r="R106" s="115"/>
      <c r="S106" s="113" t="s">
        <v>131</v>
      </c>
    </row>
    <row r="107" spans="1:19">
      <c r="A107" s="113">
        <v>105</v>
      </c>
      <c r="B107" s="113" t="s">
        <v>132</v>
      </c>
      <c r="C107" s="120" t="s">
        <v>2853</v>
      </c>
      <c r="D107" s="118" t="s">
        <v>4412</v>
      </c>
      <c r="E107" s="115" t="s">
        <v>4412</v>
      </c>
      <c r="F107" s="115" t="s">
        <v>2128</v>
      </c>
      <c r="G107" s="115">
        <v>3</v>
      </c>
      <c r="H107" s="115" t="s">
        <v>1109</v>
      </c>
      <c r="I107" s="115" t="s">
        <v>1109</v>
      </c>
      <c r="J107" s="115" t="s">
        <v>1109</v>
      </c>
      <c r="K107" s="115"/>
      <c r="L107" s="115"/>
      <c r="M107" s="115"/>
      <c r="N107" s="115"/>
      <c r="O107" s="115"/>
      <c r="P107" s="115"/>
      <c r="Q107" s="115"/>
      <c r="R107" s="115"/>
      <c r="S107" s="113" t="s">
        <v>132</v>
      </c>
    </row>
    <row r="108" spans="1:19">
      <c r="A108" s="113">
        <v>106</v>
      </c>
      <c r="B108" s="113" t="s">
        <v>133</v>
      </c>
      <c r="C108" s="120" t="s">
        <v>4413</v>
      </c>
      <c r="D108" s="118" t="s">
        <v>4462</v>
      </c>
      <c r="E108" s="115" t="s">
        <v>4462</v>
      </c>
      <c r="F108" s="115" t="s">
        <v>2128</v>
      </c>
      <c r="G108" s="115">
        <v>3</v>
      </c>
      <c r="H108" s="115" t="s">
        <v>1109</v>
      </c>
      <c r="I108" s="115" t="s">
        <v>1109</v>
      </c>
      <c r="J108" s="115" t="s">
        <v>1109</v>
      </c>
      <c r="K108" s="115"/>
      <c r="L108" s="115"/>
      <c r="M108" s="115"/>
      <c r="N108" s="115"/>
      <c r="O108" s="115"/>
      <c r="P108" s="115"/>
      <c r="Q108" s="115"/>
      <c r="R108" s="115" t="s">
        <v>2024</v>
      </c>
      <c r="S108" s="113" t="s">
        <v>133</v>
      </c>
    </row>
    <row r="109" spans="1:19">
      <c r="A109" s="113">
        <v>107</v>
      </c>
      <c r="B109" s="113" t="s">
        <v>134</v>
      </c>
      <c r="C109" s="120" t="s">
        <v>4414</v>
      </c>
      <c r="D109" s="118" t="s">
        <v>4462</v>
      </c>
      <c r="E109" s="115" t="s">
        <v>4462</v>
      </c>
      <c r="F109" s="115" t="s">
        <v>2128</v>
      </c>
      <c r="G109" s="115">
        <v>3</v>
      </c>
      <c r="H109" s="115" t="s">
        <v>1109</v>
      </c>
      <c r="I109" s="115" t="s">
        <v>1109</v>
      </c>
      <c r="J109" s="115" t="s">
        <v>1109</v>
      </c>
      <c r="K109" s="115"/>
      <c r="L109" s="115"/>
      <c r="M109" s="115"/>
      <c r="N109" s="115"/>
      <c r="O109" s="115"/>
      <c r="P109" s="115"/>
      <c r="Q109" s="115"/>
      <c r="R109" s="115" t="s">
        <v>2025</v>
      </c>
      <c r="S109" s="113" t="s">
        <v>134</v>
      </c>
    </row>
    <row r="110" spans="1:19">
      <c r="A110" s="113">
        <v>108</v>
      </c>
      <c r="B110" s="113" t="s">
        <v>135</v>
      </c>
      <c r="C110" s="120" t="s">
        <v>4415</v>
      </c>
      <c r="D110" s="118" t="s">
        <v>4415</v>
      </c>
      <c r="E110" s="115" t="s">
        <v>1109</v>
      </c>
      <c r="F110" s="115" t="s">
        <v>1109</v>
      </c>
      <c r="G110" s="115" t="s">
        <v>1109</v>
      </c>
      <c r="H110" s="115" t="s">
        <v>1109</v>
      </c>
      <c r="I110" s="115" t="s">
        <v>1109</v>
      </c>
      <c r="J110" s="115" t="s">
        <v>1109</v>
      </c>
      <c r="K110" s="115"/>
      <c r="L110" s="115"/>
      <c r="M110" s="115"/>
      <c r="N110" s="115"/>
      <c r="O110" s="115"/>
      <c r="P110" s="115"/>
      <c r="Q110" s="115"/>
      <c r="R110" s="115"/>
      <c r="S110" s="113" t="s">
        <v>135</v>
      </c>
    </row>
    <row r="111" spans="1:19">
      <c r="A111" s="113">
        <v>109</v>
      </c>
      <c r="B111" s="113" t="s">
        <v>136</v>
      </c>
      <c r="C111" s="120" t="s">
        <v>4416</v>
      </c>
      <c r="D111" s="118" t="s">
        <v>4416</v>
      </c>
      <c r="E111" s="115" t="s">
        <v>1109</v>
      </c>
      <c r="F111" s="115" t="s">
        <v>1109</v>
      </c>
      <c r="G111" s="115" t="s">
        <v>1109</v>
      </c>
      <c r="H111" s="115" t="s">
        <v>137</v>
      </c>
      <c r="I111" s="115" t="s">
        <v>2128</v>
      </c>
      <c r="J111" s="115">
        <v>4</v>
      </c>
      <c r="K111" s="115"/>
      <c r="L111" s="115"/>
      <c r="M111" s="115"/>
      <c r="N111" s="115"/>
      <c r="O111" s="115"/>
      <c r="P111" s="115"/>
      <c r="Q111" s="115"/>
      <c r="R111" s="115"/>
      <c r="S111" s="113" t="s">
        <v>136</v>
      </c>
    </row>
    <row r="112" spans="1:19">
      <c r="A112" s="113">
        <v>110</v>
      </c>
      <c r="B112" s="113" t="s">
        <v>137</v>
      </c>
      <c r="C112" s="120" t="s">
        <v>4417</v>
      </c>
      <c r="D112" s="118" t="s">
        <v>4416</v>
      </c>
      <c r="E112" s="115" t="s">
        <v>4416</v>
      </c>
      <c r="F112" s="115" t="s">
        <v>2128</v>
      </c>
      <c r="G112" s="115">
        <v>4</v>
      </c>
      <c r="H112" s="115" t="s">
        <v>1109</v>
      </c>
      <c r="I112" s="115" t="s">
        <v>1109</v>
      </c>
      <c r="J112" s="115" t="s">
        <v>1109</v>
      </c>
      <c r="K112" s="115"/>
      <c r="L112" s="115"/>
      <c r="M112" s="115"/>
      <c r="N112" s="115"/>
      <c r="O112" s="115"/>
      <c r="P112" s="115"/>
      <c r="Q112" s="115"/>
      <c r="R112" s="115"/>
      <c r="S112" s="113" t="s">
        <v>137</v>
      </c>
    </row>
    <row r="113" spans="1:19">
      <c r="A113" s="113">
        <v>111</v>
      </c>
      <c r="B113" s="113" t="s">
        <v>138</v>
      </c>
      <c r="C113" s="120" t="s">
        <v>4418</v>
      </c>
      <c r="D113" s="118" t="s">
        <v>4418</v>
      </c>
      <c r="E113" s="115" t="s">
        <v>1109</v>
      </c>
      <c r="F113" s="115" t="s">
        <v>1109</v>
      </c>
      <c r="G113" s="115" t="s">
        <v>1109</v>
      </c>
      <c r="H113" s="115" t="s">
        <v>139</v>
      </c>
      <c r="I113" s="115" t="s">
        <v>2128</v>
      </c>
      <c r="J113" s="115">
        <v>5</v>
      </c>
      <c r="K113" s="115"/>
      <c r="L113" s="115"/>
      <c r="M113" s="115"/>
      <c r="N113" s="115"/>
      <c r="O113" s="115"/>
      <c r="P113" s="115"/>
      <c r="Q113" s="115"/>
      <c r="R113" s="115"/>
      <c r="S113" s="113" t="s">
        <v>138</v>
      </c>
    </row>
    <row r="114" spans="1:19">
      <c r="A114" s="113">
        <v>112</v>
      </c>
      <c r="B114" s="113" t="s">
        <v>139</v>
      </c>
      <c r="C114" s="120" t="s">
        <v>4419</v>
      </c>
      <c r="D114" s="118" t="s">
        <v>4418</v>
      </c>
      <c r="E114" s="115" t="s">
        <v>4418</v>
      </c>
      <c r="F114" s="115" t="s">
        <v>2128</v>
      </c>
      <c r="G114" s="115">
        <v>5</v>
      </c>
      <c r="H114" s="115" t="s">
        <v>1109</v>
      </c>
      <c r="I114" s="115" t="s">
        <v>1109</v>
      </c>
      <c r="J114" s="115" t="s">
        <v>1109</v>
      </c>
      <c r="K114" s="115"/>
      <c r="L114" s="115"/>
      <c r="M114" s="115"/>
      <c r="N114" s="115"/>
      <c r="O114" s="115"/>
      <c r="P114" s="115"/>
      <c r="Q114" s="115"/>
      <c r="R114" s="115"/>
      <c r="S114" s="113" t="s">
        <v>139</v>
      </c>
    </row>
    <row r="115" spans="1:19">
      <c r="A115" s="113">
        <v>113</v>
      </c>
      <c r="B115" s="113" t="s">
        <v>140</v>
      </c>
      <c r="C115" s="120" t="s">
        <v>4420</v>
      </c>
      <c r="D115" s="118" t="s">
        <v>4467</v>
      </c>
      <c r="E115" s="115" t="s">
        <v>1109</v>
      </c>
      <c r="F115" s="115" t="s">
        <v>1109</v>
      </c>
      <c r="G115" s="115" t="s">
        <v>1109</v>
      </c>
      <c r="H115" s="115" t="s">
        <v>1109</v>
      </c>
      <c r="I115" s="115" t="s">
        <v>1109</v>
      </c>
      <c r="J115" s="115" t="s">
        <v>1109</v>
      </c>
      <c r="K115" s="115"/>
      <c r="L115" s="115"/>
      <c r="M115" s="115"/>
      <c r="N115" s="115"/>
      <c r="O115" s="115"/>
      <c r="P115" s="115"/>
      <c r="Q115" s="115"/>
      <c r="R115" s="115"/>
      <c r="S115" s="113" t="s">
        <v>140</v>
      </c>
    </row>
    <row r="116" spans="1:19">
      <c r="A116" s="113">
        <v>114</v>
      </c>
      <c r="B116" s="113" t="s">
        <v>141</v>
      </c>
      <c r="C116" s="120" t="s">
        <v>4421</v>
      </c>
      <c r="D116" s="118" t="s">
        <v>4421</v>
      </c>
      <c r="E116" s="115" t="s">
        <v>1109</v>
      </c>
      <c r="F116" s="115" t="s">
        <v>1109</v>
      </c>
      <c r="G116" s="115" t="s">
        <v>1109</v>
      </c>
      <c r="H116" s="115" t="s">
        <v>1109</v>
      </c>
      <c r="I116" s="115" t="s">
        <v>1109</v>
      </c>
      <c r="J116" s="115" t="s">
        <v>1109</v>
      </c>
      <c r="K116" s="115"/>
      <c r="L116" s="115"/>
      <c r="M116" s="115"/>
      <c r="N116" s="115"/>
      <c r="O116" s="115"/>
      <c r="P116" s="115"/>
      <c r="Q116" s="115"/>
      <c r="R116" s="115"/>
      <c r="S116" s="113" t="s">
        <v>141</v>
      </c>
    </row>
    <row r="117" spans="1:19">
      <c r="A117" s="113">
        <v>115</v>
      </c>
      <c r="B117" s="113" t="s">
        <v>142</v>
      </c>
      <c r="C117" s="120" t="s">
        <v>4422</v>
      </c>
      <c r="D117" s="118" t="s">
        <v>4422</v>
      </c>
      <c r="E117" s="115" t="s">
        <v>1109</v>
      </c>
      <c r="F117" s="115" t="s">
        <v>1109</v>
      </c>
      <c r="G117" s="115" t="s">
        <v>1109</v>
      </c>
      <c r="H117" s="115" t="s">
        <v>1109</v>
      </c>
      <c r="I117" s="115" t="s">
        <v>1109</v>
      </c>
      <c r="J117" s="115" t="s">
        <v>1109</v>
      </c>
      <c r="K117" s="115"/>
      <c r="L117" s="115"/>
      <c r="M117" s="115"/>
      <c r="N117" s="115"/>
      <c r="O117" s="115"/>
      <c r="P117" s="115"/>
      <c r="Q117" s="115"/>
      <c r="R117" s="115"/>
      <c r="S117" s="113" t="s">
        <v>142</v>
      </c>
    </row>
    <row r="118" spans="1:19">
      <c r="A118" s="113">
        <v>116</v>
      </c>
      <c r="B118" s="113" t="s">
        <v>143</v>
      </c>
      <c r="C118" s="120" t="s">
        <v>4423</v>
      </c>
      <c r="D118" s="118" t="s">
        <v>4423</v>
      </c>
      <c r="E118" s="115" t="s">
        <v>1109</v>
      </c>
      <c r="F118" s="115" t="s">
        <v>1109</v>
      </c>
      <c r="G118" s="115" t="s">
        <v>1109</v>
      </c>
      <c r="H118" s="115" t="s">
        <v>144</v>
      </c>
      <c r="I118" s="115" t="s">
        <v>2128</v>
      </c>
      <c r="J118" s="115">
        <v>4</v>
      </c>
      <c r="K118" s="115"/>
      <c r="L118" s="115"/>
      <c r="M118" s="115"/>
      <c r="N118" s="115"/>
      <c r="O118" s="115"/>
      <c r="P118" s="115"/>
      <c r="Q118" s="115"/>
      <c r="R118" s="115"/>
      <c r="S118" s="113" t="s">
        <v>143</v>
      </c>
    </row>
    <row r="119" spans="1:19">
      <c r="A119" s="113">
        <v>117</v>
      </c>
      <c r="B119" s="113" t="s">
        <v>144</v>
      </c>
      <c r="C119" s="120" t="s">
        <v>4424</v>
      </c>
      <c r="D119" s="118" t="s">
        <v>4423</v>
      </c>
      <c r="E119" s="115" t="s">
        <v>4423</v>
      </c>
      <c r="F119" s="115" t="s">
        <v>2128</v>
      </c>
      <c r="G119" s="115">
        <v>4</v>
      </c>
      <c r="H119" s="115" t="s">
        <v>1109</v>
      </c>
      <c r="I119" s="115" t="s">
        <v>1109</v>
      </c>
      <c r="J119" s="115" t="s">
        <v>1109</v>
      </c>
      <c r="K119" s="115"/>
      <c r="L119" s="115"/>
      <c r="M119" s="115"/>
      <c r="N119" s="115"/>
      <c r="O119" s="115"/>
      <c r="P119" s="115"/>
      <c r="Q119" s="115"/>
      <c r="R119" s="115"/>
      <c r="S119" s="113" t="s">
        <v>144</v>
      </c>
    </row>
    <row r="120" spans="1:19">
      <c r="A120" s="113">
        <v>118</v>
      </c>
      <c r="B120" s="113" t="s">
        <v>145</v>
      </c>
      <c r="C120" s="120" t="s">
        <v>4425</v>
      </c>
      <c r="D120" s="118" t="s">
        <v>4425</v>
      </c>
      <c r="E120" s="115" t="s">
        <v>1109</v>
      </c>
      <c r="F120" s="115" t="s">
        <v>1109</v>
      </c>
      <c r="G120" s="115" t="s">
        <v>1109</v>
      </c>
      <c r="H120" s="115" t="s">
        <v>146</v>
      </c>
      <c r="I120" s="115" t="s">
        <v>2128</v>
      </c>
      <c r="J120" s="115">
        <v>4</v>
      </c>
      <c r="K120" s="115"/>
      <c r="L120" s="115"/>
      <c r="M120" s="115"/>
      <c r="N120" s="115"/>
      <c r="O120" s="115"/>
      <c r="P120" s="115"/>
      <c r="Q120" s="115"/>
      <c r="R120" s="115"/>
      <c r="S120" s="113" t="s">
        <v>145</v>
      </c>
    </row>
    <row r="121" spans="1:19">
      <c r="A121" s="113">
        <v>119</v>
      </c>
      <c r="B121" s="113" t="s">
        <v>146</v>
      </c>
      <c r="C121" s="120" t="s">
        <v>4426</v>
      </c>
      <c r="D121" s="118" t="s">
        <v>4425</v>
      </c>
      <c r="E121" s="115" t="s">
        <v>4425</v>
      </c>
      <c r="F121" s="115" t="s">
        <v>2128</v>
      </c>
      <c r="G121" s="115">
        <v>4</v>
      </c>
      <c r="H121" s="115" t="s">
        <v>1109</v>
      </c>
      <c r="I121" s="115" t="s">
        <v>1109</v>
      </c>
      <c r="J121" s="115" t="s">
        <v>1109</v>
      </c>
      <c r="K121" s="115"/>
      <c r="L121" s="115"/>
      <c r="M121" s="115"/>
      <c r="N121" s="115"/>
      <c r="O121" s="115"/>
      <c r="P121" s="115"/>
      <c r="Q121" s="115"/>
      <c r="R121" s="115"/>
      <c r="S121" s="113" t="s">
        <v>146</v>
      </c>
    </row>
    <row r="122" spans="1:19">
      <c r="A122" s="113">
        <v>120</v>
      </c>
      <c r="B122" s="113" t="s">
        <v>147</v>
      </c>
      <c r="C122" s="120" t="s">
        <v>4427</v>
      </c>
      <c r="D122" s="118" t="s">
        <v>4427</v>
      </c>
      <c r="E122" s="115" t="s">
        <v>1109</v>
      </c>
      <c r="F122" s="115" t="s">
        <v>1109</v>
      </c>
      <c r="G122" s="115" t="s">
        <v>1109</v>
      </c>
      <c r="H122" s="115" t="s">
        <v>148</v>
      </c>
      <c r="I122" s="115" t="s">
        <v>1803</v>
      </c>
      <c r="J122" s="115" t="s">
        <v>1109</v>
      </c>
      <c r="K122" s="115"/>
      <c r="L122" s="115"/>
      <c r="M122" s="115"/>
      <c r="N122" s="115"/>
      <c r="O122" s="115"/>
      <c r="P122" s="115"/>
      <c r="Q122" s="115"/>
      <c r="R122" s="115"/>
      <c r="S122" s="113" t="s">
        <v>147</v>
      </c>
    </row>
    <row r="123" spans="1:19">
      <c r="A123" s="113">
        <v>121</v>
      </c>
      <c r="B123" s="113" t="s">
        <v>148</v>
      </c>
      <c r="C123" s="120" t="s">
        <v>4428</v>
      </c>
      <c r="D123" s="118" t="s">
        <v>4427</v>
      </c>
      <c r="E123" s="115" t="s">
        <v>4427</v>
      </c>
      <c r="F123" s="115" t="s">
        <v>1803</v>
      </c>
      <c r="G123" s="115" t="s">
        <v>1109</v>
      </c>
      <c r="H123" s="115" t="s">
        <v>1109</v>
      </c>
      <c r="I123" s="115" t="s">
        <v>1109</v>
      </c>
      <c r="J123" s="115" t="s">
        <v>1109</v>
      </c>
      <c r="K123" s="115"/>
      <c r="L123" s="115"/>
      <c r="M123" s="115"/>
      <c r="N123" s="115"/>
      <c r="O123" s="115"/>
      <c r="P123" s="115"/>
      <c r="Q123" s="115"/>
      <c r="R123" s="115"/>
      <c r="S123" s="113" t="s">
        <v>148</v>
      </c>
    </row>
    <row r="124" spans="1:19">
      <c r="A124" s="113">
        <v>122</v>
      </c>
      <c r="B124" s="113" t="s">
        <v>149</v>
      </c>
      <c r="C124" s="120" t="s">
        <v>4429</v>
      </c>
      <c r="D124" s="118" t="s">
        <v>4466</v>
      </c>
      <c r="E124" s="115" t="s">
        <v>4466</v>
      </c>
      <c r="F124" s="115" t="s">
        <v>2128</v>
      </c>
      <c r="G124" s="115">
        <v>3</v>
      </c>
      <c r="H124" s="115" t="s">
        <v>1109</v>
      </c>
      <c r="I124" s="115" t="s">
        <v>1109</v>
      </c>
      <c r="J124" s="115" t="s">
        <v>1109</v>
      </c>
      <c r="K124" s="115"/>
      <c r="L124" s="115"/>
      <c r="M124" s="115" t="s">
        <v>1999</v>
      </c>
      <c r="N124" s="115"/>
      <c r="O124" s="115"/>
      <c r="P124" s="115"/>
      <c r="Q124" s="115"/>
      <c r="R124" s="115"/>
      <c r="S124" s="113" t="s">
        <v>149</v>
      </c>
    </row>
    <row r="125" spans="1:19">
      <c r="A125" s="113">
        <v>123</v>
      </c>
      <c r="B125" s="113" t="s">
        <v>150</v>
      </c>
      <c r="C125" s="120" t="s">
        <v>4430</v>
      </c>
      <c r="D125" s="118" t="s">
        <v>4430</v>
      </c>
      <c r="E125" s="115" t="s">
        <v>1109</v>
      </c>
      <c r="F125" s="115" t="s">
        <v>1109</v>
      </c>
      <c r="G125" s="115" t="s">
        <v>1109</v>
      </c>
      <c r="H125" s="115" t="s">
        <v>1109</v>
      </c>
      <c r="I125" s="115" t="s">
        <v>1109</v>
      </c>
      <c r="J125" s="115" t="s">
        <v>1109</v>
      </c>
      <c r="K125" s="115"/>
      <c r="L125" s="115"/>
      <c r="M125" s="115"/>
      <c r="N125" s="115"/>
      <c r="O125" s="115"/>
      <c r="P125" s="115"/>
      <c r="Q125" s="115"/>
      <c r="R125" s="115"/>
      <c r="S125" s="113" t="s">
        <v>150</v>
      </c>
    </row>
    <row r="126" spans="1:19">
      <c r="A126" s="113">
        <v>124</v>
      </c>
      <c r="B126" s="113" t="s">
        <v>151</v>
      </c>
      <c r="C126" s="120" t="s">
        <v>4431</v>
      </c>
      <c r="D126" s="118" t="s">
        <v>4463</v>
      </c>
      <c r="E126" s="115" t="s">
        <v>4463</v>
      </c>
      <c r="F126" s="115" t="s">
        <v>2128</v>
      </c>
      <c r="G126" s="115">
        <v>4</v>
      </c>
      <c r="H126" s="115" t="s">
        <v>1109</v>
      </c>
      <c r="I126" s="115" t="s">
        <v>1109</v>
      </c>
      <c r="J126" s="115" t="s">
        <v>1109</v>
      </c>
      <c r="K126" s="115"/>
      <c r="L126" s="115"/>
      <c r="M126" s="115"/>
      <c r="N126" s="115"/>
      <c r="O126" s="115"/>
      <c r="P126" s="115"/>
      <c r="Q126" s="115"/>
      <c r="R126" s="115"/>
      <c r="S126" s="113" t="s">
        <v>151</v>
      </c>
    </row>
    <row r="127" spans="1:19">
      <c r="A127" s="113">
        <v>125</v>
      </c>
      <c r="B127" s="113" t="s">
        <v>152</v>
      </c>
      <c r="C127" s="120" t="s">
        <v>4432</v>
      </c>
      <c r="D127" s="118" t="s">
        <v>4464</v>
      </c>
      <c r="E127" s="115" t="s">
        <v>4464</v>
      </c>
      <c r="F127" s="115" t="s">
        <v>2128</v>
      </c>
      <c r="G127" s="115">
        <v>4</v>
      </c>
      <c r="H127" s="115" t="s">
        <v>1109</v>
      </c>
      <c r="I127" s="115" t="s">
        <v>1109</v>
      </c>
      <c r="J127" s="115" t="s">
        <v>1109</v>
      </c>
      <c r="K127" s="115"/>
      <c r="L127" s="115"/>
      <c r="M127" s="115"/>
      <c r="N127" s="115"/>
      <c r="O127" s="115"/>
      <c r="P127" s="115"/>
      <c r="Q127" s="115"/>
      <c r="R127" s="115"/>
      <c r="S127" s="113" t="s">
        <v>152</v>
      </c>
    </row>
    <row r="128" spans="1:19">
      <c r="A128" s="113">
        <v>126</v>
      </c>
      <c r="B128" s="113" t="s">
        <v>153</v>
      </c>
      <c r="C128" s="120" t="s">
        <v>4433</v>
      </c>
      <c r="D128" s="118" t="s">
        <v>4465</v>
      </c>
      <c r="E128" s="115" t="s">
        <v>4465</v>
      </c>
      <c r="F128" s="115" t="s">
        <v>2128</v>
      </c>
      <c r="G128" s="115">
        <v>4</v>
      </c>
      <c r="H128" s="115" t="s">
        <v>1109</v>
      </c>
      <c r="I128" s="115" t="s">
        <v>1109</v>
      </c>
      <c r="J128" s="115" t="s">
        <v>1109</v>
      </c>
      <c r="K128" s="115"/>
      <c r="L128" s="115"/>
      <c r="M128" s="115"/>
      <c r="N128" s="115"/>
      <c r="O128" s="115"/>
      <c r="P128" s="115"/>
      <c r="Q128" s="115"/>
      <c r="R128" s="115"/>
      <c r="S128" s="113" t="s">
        <v>153</v>
      </c>
    </row>
    <row r="129" spans="1:19">
      <c r="A129" s="113">
        <v>127</v>
      </c>
      <c r="B129" s="113" t="s">
        <v>154</v>
      </c>
      <c r="C129" s="120" t="s">
        <v>4434</v>
      </c>
      <c r="D129" s="118" t="s">
        <v>4434</v>
      </c>
      <c r="E129" s="115" t="s">
        <v>1109</v>
      </c>
      <c r="F129" s="115" t="s">
        <v>1109</v>
      </c>
      <c r="G129" s="115" t="s">
        <v>1109</v>
      </c>
      <c r="H129" s="115" t="s">
        <v>1109</v>
      </c>
      <c r="I129" s="115" t="s">
        <v>1109</v>
      </c>
      <c r="J129" s="115" t="s">
        <v>1109</v>
      </c>
      <c r="K129" s="115"/>
      <c r="L129" s="115"/>
      <c r="M129" s="115"/>
      <c r="N129" s="115"/>
      <c r="O129" s="115"/>
      <c r="P129" s="115"/>
      <c r="Q129" s="115"/>
      <c r="R129" s="115"/>
      <c r="S129" s="113" t="s">
        <v>154</v>
      </c>
    </row>
    <row r="130" spans="1:19">
      <c r="A130" s="113">
        <v>128</v>
      </c>
      <c r="B130" s="113" t="s">
        <v>155</v>
      </c>
      <c r="C130" s="120" t="s">
        <v>4435</v>
      </c>
      <c r="D130" s="118" t="s">
        <v>4435</v>
      </c>
      <c r="E130" s="115" t="s">
        <v>1109</v>
      </c>
      <c r="F130" s="115" t="s">
        <v>1109</v>
      </c>
      <c r="G130" s="115" t="s">
        <v>1109</v>
      </c>
      <c r="H130" s="115" t="s">
        <v>1109</v>
      </c>
      <c r="I130" s="115" t="s">
        <v>1109</v>
      </c>
      <c r="J130" s="115" t="s">
        <v>1109</v>
      </c>
      <c r="K130" s="115"/>
      <c r="L130" s="115"/>
      <c r="M130" s="115"/>
      <c r="N130" s="115"/>
      <c r="O130" s="115"/>
      <c r="P130" s="115"/>
      <c r="Q130" s="115"/>
      <c r="R130" s="115"/>
      <c r="S130" s="113" t="s">
        <v>155</v>
      </c>
    </row>
    <row r="131" spans="1:19">
      <c r="A131" s="113">
        <v>129</v>
      </c>
      <c r="B131" s="113" t="s">
        <v>156</v>
      </c>
      <c r="C131" s="120" t="s">
        <v>4436</v>
      </c>
      <c r="D131" s="118" t="s">
        <v>4436</v>
      </c>
      <c r="E131" s="115" t="s">
        <v>1109</v>
      </c>
      <c r="F131" s="115" t="s">
        <v>1109</v>
      </c>
      <c r="G131" s="115" t="s">
        <v>1109</v>
      </c>
      <c r="H131" s="115" t="s">
        <v>157</v>
      </c>
      <c r="I131" s="115" t="s">
        <v>1873</v>
      </c>
      <c r="J131" s="115">
        <v>3</v>
      </c>
      <c r="K131" s="115"/>
      <c r="L131" s="115"/>
      <c r="M131" s="115"/>
      <c r="N131" s="115"/>
      <c r="O131" s="115"/>
      <c r="P131" s="115"/>
      <c r="Q131" s="115"/>
      <c r="R131" s="115"/>
      <c r="S131" s="113" t="s">
        <v>156</v>
      </c>
    </row>
    <row r="132" spans="1:19">
      <c r="A132" s="113">
        <v>130</v>
      </c>
      <c r="B132" s="113" t="s">
        <v>157</v>
      </c>
      <c r="C132" s="120" t="s">
        <v>4437</v>
      </c>
      <c r="D132" s="118" t="s">
        <v>4436</v>
      </c>
      <c r="E132" s="115" t="s">
        <v>4436</v>
      </c>
      <c r="F132" s="115" t="s">
        <v>1873</v>
      </c>
      <c r="G132" s="115">
        <v>3</v>
      </c>
      <c r="H132" s="115" t="s">
        <v>1109</v>
      </c>
      <c r="I132" s="115" t="s">
        <v>1109</v>
      </c>
      <c r="J132" s="115" t="s">
        <v>1109</v>
      </c>
      <c r="K132" s="115"/>
      <c r="L132" s="115"/>
      <c r="M132" s="115"/>
      <c r="N132" s="115"/>
      <c r="O132" s="115"/>
      <c r="P132" s="115"/>
      <c r="Q132" s="115"/>
      <c r="R132" s="115"/>
      <c r="S132" s="113" t="s">
        <v>157</v>
      </c>
    </row>
    <row r="133" spans="1:19">
      <c r="A133" s="113">
        <v>131</v>
      </c>
      <c r="B133" s="113" t="s">
        <v>159</v>
      </c>
      <c r="C133" s="120" t="s">
        <v>4438</v>
      </c>
      <c r="D133" s="118" t="s">
        <v>4438</v>
      </c>
      <c r="E133" s="115" t="s">
        <v>1109</v>
      </c>
      <c r="F133" s="115" t="s">
        <v>1109</v>
      </c>
      <c r="G133" s="115" t="s">
        <v>1109</v>
      </c>
      <c r="H133" s="115" t="s">
        <v>1109</v>
      </c>
      <c r="I133" s="115" t="s">
        <v>1109</v>
      </c>
      <c r="J133" s="115" t="s">
        <v>1109</v>
      </c>
      <c r="K133" s="115"/>
      <c r="L133" s="115"/>
      <c r="M133" s="115"/>
      <c r="N133" s="115"/>
      <c r="O133" s="115"/>
      <c r="P133" s="115"/>
      <c r="Q133" s="115"/>
      <c r="R133" s="115"/>
      <c r="S133" s="113" t="s">
        <v>159</v>
      </c>
    </row>
    <row r="134" spans="1:19">
      <c r="A134" s="113">
        <v>132</v>
      </c>
      <c r="B134" s="113" t="s">
        <v>160</v>
      </c>
      <c r="C134" s="120" t="s">
        <v>4439</v>
      </c>
      <c r="D134" s="118" t="s">
        <v>4439</v>
      </c>
      <c r="E134" s="115" t="s">
        <v>1109</v>
      </c>
      <c r="F134" s="115" t="s">
        <v>1109</v>
      </c>
      <c r="G134" s="115" t="s">
        <v>1109</v>
      </c>
      <c r="H134" s="115" t="s">
        <v>1109</v>
      </c>
      <c r="I134" s="115" t="s">
        <v>1109</v>
      </c>
      <c r="J134" s="115" t="s">
        <v>1109</v>
      </c>
      <c r="K134" s="115"/>
      <c r="L134" s="115"/>
      <c r="M134" s="115"/>
      <c r="N134" s="115"/>
      <c r="O134" s="115"/>
      <c r="P134" s="115"/>
      <c r="Q134" s="115"/>
      <c r="R134" s="115"/>
      <c r="S134" s="113" t="s">
        <v>160</v>
      </c>
    </row>
    <row r="135" spans="1:19">
      <c r="A135" s="113">
        <v>133</v>
      </c>
      <c r="B135" s="113" t="s">
        <v>2865</v>
      </c>
      <c r="C135" s="120" t="s">
        <v>4470</v>
      </c>
      <c r="D135" s="118" t="s">
        <v>4440</v>
      </c>
      <c r="E135" s="115" t="s">
        <v>1109</v>
      </c>
      <c r="F135" s="115" t="s">
        <v>1109</v>
      </c>
      <c r="G135" s="115"/>
      <c r="H135" s="115" t="s">
        <v>1109</v>
      </c>
      <c r="I135" s="115" t="s">
        <v>1109</v>
      </c>
      <c r="J135" s="115" t="s">
        <v>1109</v>
      </c>
      <c r="K135" s="115"/>
      <c r="L135" s="115"/>
      <c r="M135" s="115"/>
      <c r="N135" s="115"/>
      <c r="O135" s="115"/>
      <c r="P135" s="115"/>
      <c r="Q135" s="115"/>
      <c r="R135" s="115"/>
      <c r="S135" s="113" t="s">
        <v>2865</v>
      </c>
    </row>
    <row r="136" spans="1:19">
      <c r="A136" s="113">
        <v>133</v>
      </c>
      <c r="B136" s="113" t="s">
        <v>161</v>
      </c>
      <c r="C136" s="120" t="s">
        <v>4440</v>
      </c>
      <c r="D136" s="118" t="s">
        <v>4440</v>
      </c>
      <c r="E136" s="115" t="s">
        <v>1109</v>
      </c>
      <c r="F136" s="115" t="s">
        <v>1109</v>
      </c>
      <c r="G136" s="115" t="s">
        <v>1109</v>
      </c>
      <c r="H136" s="115" t="s">
        <v>4660</v>
      </c>
      <c r="I136" s="115" t="s">
        <v>1803</v>
      </c>
      <c r="J136" s="115" t="s">
        <v>1109</v>
      </c>
      <c r="K136" s="115"/>
      <c r="L136" s="115"/>
      <c r="M136" s="115"/>
      <c r="N136" s="115"/>
      <c r="O136" s="115"/>
      <c r="P136" s="115"/>
      <c r="Q136" s="115"/>
      <c r="R136" s="115"/>
      <c r="S136" s="113" t="s">
        <v>161</v>
      </c>
    </row>
    <row r="137" spans="1:19">
      <c r="A137" s="113">
        <v>134</v>
      </c>
      <c r="B137" s="113" t="s">
        <v>162</v>
      </c>
      <c r="C137" s="120" t="s">
        <v>4441</v>
      </c>
      <c r="D137" s="118" t="s">
        <v>4440</v>
      </c>
      <c r="E137" s="115" t="s">
        <v>4440</v>
      </c>
      <c r="F137" s="115" t="s">
        <v>1803</v>
      </c>
      <c r="G137" s="115" t="s">
        <v>1109</v>
      </c>
      <c r="H137" s="115" t="s">
        <v>1109</v>
      </c>
      <c r="I137" s="115" t="s">
        <v>1109</v>
      </c>
      <c r="J137" s="115" t="s">
        <v>1109</v>
      </c>
      <c r="K137" s="115"/>
      <c r="L137" s="115"/>
      <c r="M137" s="115"/>
      <c r="N137" s="115" t="s">
        <v>2003</v>
      </c>
      <c r="O137" s="115"/>
      <c r="P137" s="115"/>
      <c r="Q137" s="115"/>
      <c r="R137" s="115"/>
      <c r="S137" s="113" t="s">
        <v>162</v>
      </c>
    </row>
    <row r="138" spans="1:19">
      <c r="A138" s="113">
        <v>135</v>
      </c>
      <c r="B138" s="113" t="s">
        <v>163</v>
      </c>
      <c r="C138" s="120" t="s">
        <v>4442</v>
      </c>
      <c r="D138" s="118" t="s">
        <v>4440</v>
      </c>
      <c r="E138" s="115" t="s">
        <v>4440</v>
      </c>
      <c r="F138" s="115" t="s">
        <v>1803</v>
      </c>
      <c r="G138" s="115" t="s">
        <v>1109</v>
      </c>
      <c r="H138" s="115" t="s">
        <v>1109</v>
      </c>
      <c r="I138" s="115" t="s">
        <v>1109</v>
      </c>
      <c r="J138" s="115" t="s">
        <v>1109</v>
      </c>
      <c r="K138" s="115"/>
      <c r="L138" s="115"/>
      <c r="M138" s="115"/>
      <c r="N138" s="115" t="s">
        <v>2009</v>
      </c>
      <c r="O138" s="115"/>
      <c r="P138" s="115"/>
      <c r="Q138" s="115"/>
      <c r="R138" s="115"/>
      <c r="S138" s="113" t="s">
        <v>163</v>
      </c>
    </row>
    <row r="139" spans="1:19">
      <c r="A139" s="113">
        <v>136</v>
      </c>
      <c r="B139" s="113" t="s">
        <v>164</v>
      </c>
      <c r="C139" s="120" t="s">
        <v>4443</v>
      </c>
      <c r="D139" s="118" t="s">
        <v>4440</v>
      </c>
      <c r="E139" s="115" t="s">
        <v>4440</v>
      </c>
      <c r="F139" s="115" t="s">
        <v>1803</v>
      </c>
      <c r="G139" s="115" t="s">
        <v>1109</v>
      </c>
      <c r="H139" s="115" t="s">
        <v>1109</v>
      </c>
      <c r="I139" s="115" t="s">
        <v>1109</v>
      </c>
      <c r="J139" s="115" t="s">
        <v>1109</v>
      </c>
      <c r="K139" s="115"/>
      <c r="L139" s="115"/>
      <c r="M139" s="115"/>
      <c r="N139" s="115" t="s">
        <v>2014</v>
      </c>
      <c r="O139" s="115"/>
      <c r="P139" s="115"/>
      <c r="Q139" s="115"/>
      <c r="R139" s="115"/>
      <c r="S139" s="113" t="s">
        <v>164</v>
      </c>
    </row>
    <row r="140" spans="1:19">
      <c r="A140" s="113">
        <v>137</v>
      </c>
      <c r="B140" s="113" t="s">
        <v>165</v>
      </c>
      <c r="C140" s="120" t="s">
        <v>4444</v>
      </c>
      <c r="D140" s="118" t="s">
        <v>4444</v>
      </c>
      <c r="E140" s="115" t="s">
        <v>1109</v>
      </c>
      <c r="F140" s="115" t="s">
        <v>1109</v>
      </c>
      <c r="G140" s="115" t="s">
        <v>1109</v>
      </c>
      <c r="H140" s="115" t="s">
        <v>1109</v>
      </c>
      <c r="I140" s="115" t="s">
        <v>1109</v>
      </c>
      <c r="J140" s="115" t="s">
        <v>1109</v>
      </c>
      <c r="K140" s="115"/>
      <c r="L140" s="115"/>
      <c r="M140" s="115"/>
      <c r="N140" s="115"/>
      <c r="O140" s="115"/>
      <c r="P140" s="115"/>
      <c r="Q140" s="115"/>
      <c r="R140" s="115"/>
      <c r="S140" s="113" t="s">
        <v>165</v>
      </c>
    </row>
    <row r="141" spans="1:19">
      <c r="A141" s="113">
        <v>138</v>
      </c>
      <c r="B141" s="113" t="s">
        <v>166</v>
      </c>
      <c r="C141" s="120" t="s">
        <v>4445</v>
      </c>
      <c r="D141" s="118" t="s">
        <v>4445</v>
      </c>
      <c r="E141" s="115" t="s">
        <v>1109</v>
      </c>
      <c r="F141" s="115" t="s">
        <v>1109</v>
      </c>
      <c r="G141" s="115" t="s">
        <v>1109</v>
      </c>
      <c r="H141" s="115" t="s">
        <v>167</v>
      </c>
      <c r="I141" s="115" t="s">
        <v>2128</v>
      </c>
      <c r="J141" s="115">
        <v>5</v>
      </c>
      <c r="K141" s="115"/>
      <c r="L141" s="115"/>
      <c r="M141" s="115"/>
      <c r="N141" s="115"/>
      <c r="O141" s="115"/>
      <c r="P141" s="115"/>
      <c r="Q141" s="115"/>
      <c r="R141" s="115"/>
      <c r="S141" s="113" t="s">
        <v>166</v>
      </c>
    </row>
    <row r="142" spans="1:19">
      <c r="A142" s="113">
        <v>139</v>
      </c>
      <c r="B142" s="113" t="s">
        <v>167</v>
      </c>
      <c r="C142" s="120" t="s">
        <v>4446</v>
      </c>
      <c r="D142" s="118" t="s">
        <v>4445</v>
      </c>
      <c r="E142" s="115" t="s">
        <v>4445</v>
      </c>
      <c r="F142" s="115" t="s">
        <v>2128</v>
      </c>
      <c r="G142" s="115">
        <v>5</v>
      </c>
      <c r="H142" s="115" t="s">
        <v>1109</v>
      </c>
      <c r="I142" s="115" t="s">
        <v>1109</v>
      </c>
      <c r="J142" s="115" t="s">
        <v>1109</v>
      </c>
      <c r="K142" s="115"/>
      <c r="L142" s="115"/>
      <c r="M142" s="115"/>
      <c r="N142" s="115"/>
      <c r="O142" s="115"/>
      <c r="P142" s="115"/>
      <c r="Q142" s="115"/>
      <c r="R142" s="115"/>
      <c r="S142" s="113" t="s">
        <v>167</v>
      </c>
    </row>
    <row r="143" spans="1:19">
      <c r="A143" s="113">
        <v>140</v>
      </c>
      <c r="B143" s="113" t="s">
        <v>168</v>
      </c>
      <c r="C143" s="120" t="s">
        <v>4447</v>
      </c>
      <c r="D143" s="118" t="s">
        <v>4447</v>
      </c>
      <c r="E143" s="115" t="s">
        <v>1109</v>
      </c>
      <c r="F143" s="115" t="s">
        <v>1109</v>
      </c>
      <c r="G143" s="115" t="s">
        <v>1109</v>
      </c>
      <c r="H143" s="115" t="s">
        <v>169</v>
      </c>
      <c r="I143" s="115" t="s">
        <v>2128</v>
      </c>
      <c r="J143" s="115">
        <v>5</v>
      </c>
      <c r="K143" s="115"/>
      <c r="L143" s="115"/>
      <c r="M143" s="115"/>
      <c r="N143" s="115"/>
      <c r="O143" s="115"/>
      <c r="P143" s="115"/>
      <c r="Q143" s="115"/>
      <c r="R143" s="115"/>
      <c r="S143" s="113" t="s">
        <v>168</v>
      </c>
    </row>
    <row r="144" spans="1:19">
      <c r="A144" s="113">
        <v>141</v>
      </c>
      <c r="B144" s="113" t="s">
        <v>169</v>
      </c>
      <c r="C144" s="120" t="s">
        <v>4448</v>
      </c>
      <c r="D144" s="118" t="s">
        <v>4447</v>
      </c>
      <c r="E144" s="115" t="s">
        <v>4447</v>
      </c>
      <c r="F144" s="115" t="s">
        <v>2128</v>
      </c>
      <c r="G144" s="115">
        <v>5</v>
      </c>
      <c r="H144" s="115" t="s">
        <v>1109</v>
      </c>
      <c r="I144" s="115" t="s">
        <v>1109</v>
      </c>
      <c r="J144" s="115" t="s">
        <v>1109</v>
      </c>
      <c r="K144" s="115"/>
      <c r="L144" s="115"/>
      <c r="M144" s="115"/>
      <c r="N144" s="115"/>
      <c r="O144" s="115"/>
      <c r="P144" s="115"/>
      <c r="Q144" s="115"/>
      <c r="R144" s="115"/>
      <c r="S144" s="113" t="s">
        <v>169</v>
      </c>
    </row>
    <row r="145" spans="1:19">
      <c r="A145" s="113">
        <v>142</v>
      </c>
      <c r="B145" s="113" t="s">
        <v>170</v>
      </c>
      <c r="C145" s="120" t="s">
        <v>4449</v>
      </c>
      <c r="D145" s="118" t="s">
        <v>4449</v>
      </c>
      <c r="E145" s="115" t="s">
        <v>1109</v>
      </c>
      <c r="F145" s="115" t="s">
        <v>1109</v>
      </c>
      <c r="G145" s="115" t="s">
        <v>1109</v>
      </c>
      <c r="H145" s="115" t="s">
        <v>1109</v>
      </c>
      <c r="I145" s="115" t="s">
        <v>1109</v>
      </c>
      <c r="J145" s="115" t="s">
        <v>1109</v>
      </c>
      <c r="K145" s="115"/>
      <c r="L145" s="115"/>
      <c r="M145" s="115"/>
      <c r="N145" s="115"/>
      <c r="O145" s="115"/>
      <c r="P145" s="115"/>
      <c r="Q145" s="115"/>
      <c r="R145" s="115"/>
      <c r="S145" s="113" t="s">
        <v>170</v>
      </c>
    </row>
    <row r="146" spans="1:19">
      <c r="A146" s="113">
        <v>143</v>
      </c>
      <c r="B146" s="113" t="s">
        <v>171</v>
      </c>
      <c r="C146" s="120" t="s">
        <v>4450</v>
      </c>
      <c r="D146" s="118" t="s">
        <v>4468</v>
      </c>
      <c r="E146" s="115" t="s">
        <v>4468</v>
      </c>
      <c r="F146" s="115" t="s">
        <v>2128</v>
      </c>
      <c r="G146" s="115">
        <v>4</v>
      </c>
      <c r="H146" s="115" t="s">
        <v>1109</v>
      </c>
      <c r="I146" s="115" t="s">
        <v>1109</v>
      </c>
      <c r="J146" s="115" t="s">
        <v>1109</v>
      </c>
      <c r="K146" s="115">
        <v>45</v>
      </c>
      <c r="L146" s="115"/>
      <c r="M146" s="115"/>
      <c r="N146" s="115"/>
      <c r="O146" s="115"/>
      <c r="P146" s="115"/>
      <c r="Q146" s="115"/>
      <c r="R146" s="115"/>
      <c r="S146" s="113" t="s">
        <v>171</v>
      </c>
    </row>
    <row r="147" spans="1:19">
      <c r="A147" s="113">
        <v>144</v>
      </c>
      <c r="B147" s="113" t="s">
        <v>172</v>
      </c>
      <c r="C147" s="120" t="s">
        <v>4451</v>
      </c>
      <c r="D147" s="118" t="s">
        <v>4451</v>
      </c>
      <c r="E147" s="115" t="s">
        <v>1109</v>
      </c>
      <c r="F147" s="115" t="s">
        <v>1109</v>
      </c>
      <c r="G147" s="115" t="s">
        <v>1109</v>
      </c>
      <c r="H147" s="115" t="s">
        <v>1109</v>
      </c>
      <c r="I147" s="115" t="s">
        <v>1109</v>
      </c>
      <c r="J147" s="115" t="s">
        <v>1109</v>
      </c>
      <c r="K147" s="115"/>
      <c r="L147" s="115"/>
      <c r="M147" s="115"/>
      <c r="N147" s="115"/>
      <c r="O147" s="115"/>
      <c r="P147" s="115"/>
      <c r="Q147" s="115"/>
      <c r="R147" s="115"/>
      <c r="S147" s="113" t="s">
        <v>172</v>
      </c>
    </row>
    <row r="148" spans="1:19">
      <c r="A148" s="113">
        <v>145</v>
      </c>
      <c r="B148" s="113" t="s">
        <v>173</v>
      </c>
      <c r="C148" s="120" t="s">
        <v>4452</v>
      </c>
      <c r="D148" s="118" t="s">
        <v>4452</v>
      </c>
      <c r="E148" s="115" t="s">
        <v>1109</v>
      </c>
      <c r="F148" s="115" t="s">
        <v>1109</v>
      </c>
      <c r="G148" s="115" t="s">
        <v>1109</v>
      </c>
      <c r="H148" s="115" t="s">
        <v>1109</v>
      </c>
      <c r="I148" s="115" t="s">
        <v>1109</v>
      </c>
      <c r="J148" s="115" t="s">
        <v>1109</v>
      </c>
      <c r="K148" s="115"/>
      <c r="L148" s="115"/>
      <c r="M148" s="115"/>
      <c r="N148" s="115"/>
      <c r="O148" s="115"/>
      <c r="P148" s="115"/>
      <c r="Q148" s="115"/>
      <c r="R148" s="115"/>
      <c r="S148" s="113" t="s">
        <v>173</v>
      </c>
    </row>
    <row r="149" spans="1:19">
      <c r="A149" s="113">
        <v>146</v>
      </c>
      <c r="B149" s="113" t="s">
        <v>174</v>
      </c>
      <c r="C149" s="120" t="s">
        <v>4453</v>
      </c>
      <c r="D149" s="118" t="s">
        <v>4453</v>
      </c>
      <c r="E149" s="115" t="s">
        <v>1109</v>
      </c>
      <c r="F149" s="115" t="s">
        <v>1109</v>
      </c>
      <c r="G149" s="115" t="s">
        <v>1109</v>
      </c>
      <c r="H149" s="115" t="s">
        <v>1109</v>
      </c>
      <c r="I149" s="115" t="s">
        <v>1109</v>
      </c>
      <c r="J149" s="115" t="s">
        <v>1109</v>
      </c>
      <c r="K149" s="115"/>
      <c r="L149" s="115"/>
      <c r="M149" s="115"/>
      <c r="N149" s="115"/>
      <c r="O149" s="115"/>
      <c r="P149" s="115"/>
      <c r="Q149" s="115"/>
      <c r="R149" s="115"/>
      <c r="S149" s="113" t="s">
        <v>174</v>
      </c>
    </row>
    <row r="150" spans="1:19">
      <c r="A150" s="113">
        <v>147</v>
      </c>
      <c r="B150" s="113" t="s">
        <v>175</v>
      </c>
      <c r="C150" s="120" t="s">
        <v>4454</v>
      </c>
      <c r="D150" s="118" t="s">
        <v>4454</v>
      </c>
      <c r="E150" s="115" t="s">
        <v>1109</v>
      </c>
      <c r="F150" s="115" t="s">
        <v>1109</v>
      </c>
      <c r="G150" s="115" t="s">
        <v>1109</v>
      </c>
      <c r="H150" s="115" t="s">
        <v>176</v>
      </c>
      <c r="I150" s="115" t="s">
        <v>2128</v>
      </c>
      <c r="J150" s="115">
        <v>4</v>
      </c>
      <c r="K150" s="115"/>
      <c r="L150" s="115"/>
      <c r="M150" s="115"/>
      <c r="N150" s="115"/>
      <c r="O150" s="115"/>
      <c r="P150" s="115"/>
      <c r="Q150" s="115"/>
      <c r="R150" s="115"/>
      <c r="S150" s="113" t="s">
        <v>175</v>
      </c>
    </row>
    <row r="151" spans="1:19">
      <c r="A151" s="113">
        <v>148</v>
      </c>
      <c r="B151" s="113" t="s">
        <v>176</v>
      </c>
      <c r="C151" s="120" t="s">
        <v>4455</v>
      </c>
      <c r="D151" s="118" t="s">
        <v>4454</v>
      </c>
      <c r="E151" s="115" t="s">
        <v>4454</v>
      </c>
      <c r="F151" s="115" t="s">
        <v>2128</v>
      </c>
      <c r="G151" s="115">
        <v>4</v>
      </c>
      <c r="H151" s="115" t="s">
        <v>177</v>
      </c>
      <c r="I151" s="115" t="s">
        <v>2128</v>
      </c>
      <c r="J151" s="115">
        <v>6</v>
      </c>
      <c r="K151" s="115"/>
      <c r="L151" s="115"/>
      <c r="M151" s="115"/>
      <c r="N151" s="115"/>
      <c r="O151" s="115"/>
      <c r="P151" s="115"/>
      <c r="Q151" s="115"/>
      <c r="R151" s="115"/>
      <c r="S151" s="113" t="s">
        <v>176</v>
      </c>
    </row>
    <row r="152" spans="1:19">
      <c r="A152" s="113">
        <v>149</v>
      </c>
      <c r="B152" s="113" t="s">
        <v>177</v>
      </c>
      <c r="C152" s="120" t="s">
        <v>4456</v>
      </c>
      <c r="D152" s="118" t="s">
        <v>4454</v>
      </c>
      <c r="E152" s="115" t="s">
        <v>4455</v>
      </c>
      <c r="F152" s="115" t="s">
        <v>2128</v>
      </c>
      <c r="G152" s="115">
        <v>6</v>
      </c>
      <c r="H152" s="115" t="s">
        <v>1109</v>
      </c>
      <c r="I152" s="115" t="s">
        <v>1109</v>
      </c>
      <c r="J152" s="115" t="s">
        <v>1109</v>
      </c>
      <c r="K152" s="115"/>
      <c r="L152" s="115"/>
      <c r="M152" s="115"/>
      <c r="N152" s="115"/>
      <c r="O152" s="115"/>
      <c r="P152" s="115"/>
      <c r="Q152" s="115"/>
      <c r="R152" s="115"/>
      <c r="S152" s="113" t="s">
        <v>177</v>
      </c>
    </row>
    <row r="153" spans="1:19">
      <c r="A153" s="113">
        <v>150</v>
      </c>
      <c r="B153" s="113" t="s">
        <v>178</v>
      </c>
      <c r="C153" s="120" t="s">
        <v>4457</v>
      </c>
      <c r="D153" s="118" t="s">
        <v>4457</v>
      </c>
      <c r="E153" s="115" t="s">
        <v>1109</v>
      </c>
      <c r="F153" s="115" t="s">
        <v>1109</v>
      </c>
      <c r="G153" s="115" t="s">
        <v>1109</v>
      </c>
      <c r="H153" s="115" t="s">
        <v>1109</v>
      </c>
      <c r="I153" s="115" t="s">
        <v>1109</v>
      </c>
      <c r="J153" s="115" t="s">
        <v>1109</v>
      </c>
      <c r="K153" s="115"/>
      <c r="L153" s="115"/>
      <c r="M153" s="115"/>
      <c r="N153" s="115"/>
      <c r="O153" s="115"/>
      <c r="P153" s="115"/>
      <c r="Q153" s="115"/>
      <c r="R153" s="115"/>
      <c r="S153" s="113" t="s">
        <v>178</v>
      </c>
    </row>
    <row r="154" spans="1:19">
      <c r="A154" s="113">
        <v>151</v>
      </c>
      <c r="B154" s="113" t="s">
        <v>179</v>
      </c>
      <c r="C154" s="120" t="s">
        <v>4458</v>
      </c>
      <c r="D154" s="118" t="s">
        <v>4458</v>
      </c>
      <c r="E154" s="115" t="s">
        <v>1109</v>
      </c>
      <c r="F154" s="115" t="s">
        <v>1109</v>
      </c>
      <c r="G154" s="115" t="s">
        <v>1109</v>
      </c>
      <c r="H154" s="115" t="s">
        <v>1109</v>
      </c>
      <c r="I154" s="115" t="s">
        <v>1109</v>
      </c>
      <c r="J154" s="115" t="s">
        <v>1109</v>
      </c>
      <c r="K154" s="115"/>
      <c r="L154" s="115"/>
      <c r="M154" s="115"/>
      <c r="N154" s="115"/>
      <c r="O154" s="115"/>
      <c r="P154" s="115"/>
      <c r="Q154" s="115"/>
      <c r="R154" s="115"/>
      <c r="S154" s="113" t="s">
        <v>179</v>
      </c>
    </row>
  </sheetData>
  <autoFilter ref="A1:AA154" xr:uid="{A7B2F1A1-1C48-D14E-A37B-A5BEF0D6DA51}"/>
  <conditionalFormatting sqref="G2">
    <cfRule type="colorScale" priority="40">
      <colorScale>
        <cfvo type="min"/>
        <cfvo type="percentile" val="50"/>
        <cfvo type="max"/>
        <color rgb="FF63BE7B"/>
        <color rgb="FFFFEB84"/>
        <color rgb="FFF8696B"/>
      </colorScale>
    </cfRule>
  </conditionalFormatting>
  <conditionalFormatting sqref="G3:G154">
    <cfRule type="colorScale" priority="678">
      <colorScale>
        <cfvo type="min"/>
        <cfvo type="percentile" val="50"/>
        <cfvo type="max"/>
        <color rgb="FF63BE7B"/>
        <color rgb="FFFFEB84"/>
        <color rgb="FFF8696B"/>
      </colorScale>
    </cfRule>
  </conditionalFormatting>
  <conditionalFormatting sqref="J2:J154">
    <cfRule type="colorScale" priority="20">
      <colorScale>
        <cfvo type="min"/>
        <cfvo type="percentile" val="50"/>
        <cfvo type="max"/>
        <color rgb="FF63BE7B"/>
        <color rgb="FFFFEB84"/>
        <color rgb="FFF8696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4365750F-6C2A-4E46-8B18-E4B22CDCB200}">
          <x14:formula1>
            <xm:f>'Evolution Special'!$F$3:$F$12</xm:f>
          </x14:formula1>
          <xm:sqref>N2:N154</xm:sqref>
        </x14:dataValidation>
        <x14:dataValidation type="list" allowBlank="1" showInputMessage="1" showErrorMessage="1" xr:uid="{DA93BCCB-D997-894F-BC47-B42C549EF914}">
          <x14:formula1>
            <xm:f>'Evolution Special'!$J$3:$J$6</xm:f>
          </x14:formula1>
          <xm:sqref>K2:K154</xm:sqref>
        </x14:dataValidation>
        <x14:dataValidation type="list" allowBlank="1" showInputMessage="1" showErrorMessage="1" xr:uid="{DEAC3783-B380-8B4F-8D45-8CBEF469E45A}">
          <x14:formula1>
            <xm:f>'Evolution Special'!$C$3:$C$4</xm:f>
          </x14:formula1>
          <xm:sqref>L2:L154</xm:sqref>
        </x14:dataValidation>
        <x14:dataValidation type="list" allowBlank="1" showInputMessage="1" showErrorMessage="1" xr:uid="{81070FC9-5FDA-7144-B985-A93011881AC4}">
          <x14:formula1>
            <xm:f>'Evolution Special'!$E$3:$E$6</xm:f>
          </x14:formula1>
          <xm:sqref>M2:M154</xm:sqref>
        </x14:dataValidation>
        <x14:dataValidation type="list" allowBlank="1" showInputMessage="1" showErrorMessage="1" xr:uid="{52658792-5177-B344-9CA7-680F76E26DDC}">
          <x14:formula1>
            <xm:f>'Evolution Special'!$D$3:$D$4</xm:f>
          </x14:formula1>
          <xm:sqref>O2:O154</xm:sqref>
        </x14:dataValidation>
        <x14:dataValidation type="list" allowBlank="1" showInputMessage="1" showErrorMessage="1" xr:uid="{889B7ACD-84CB-C64D-9738-2BA8373CC286}">
          <x14:formula1>
            <xm:f>'Evolution Special'!$H$3:$H$4</xm:f>
          </x14:formula1>
          <xm:sqref>P2:P154</xm:sqref>
        </x14:dataValidation>
        <x14:dataValidation type="list" allowBlank="1" showInputMessage="1" showErrorMessage="1" xr:uid="{11CA04AC-3FAD-B340-B296-78336D961F6D}">
          <x14:formula1>
            <xm:f>'Evolution Special'!$I$3:$I$5</xm:f>
          </x14:formula1>
          <xm:sqref>R2:R154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2C4B-1C96-4142-B0B1-9DA86C8B3A6B}">
  <sheetPr>
    <tabColor theme="9"/>
  </sheetPr>
  <dimension ref="A1:D174"/>
  <sheetViews>
    <sheetView zoomScale="80" zoomScaleNormal="80" workbookViewId="0">
      <selection activeCell="D31" sqref="D31"/>
    </sheetView>
  </sheetViews>
  <sheetFormatPr baseColWidth="10" defaultColWidth="8.83203125" defaultRowHeight="15"/>
  <cols>
    <col min="1" max="1" width="8.83203125" style="5"/>
    <col min="2" max="2" width="20.6640625" style="5" customWidth="1"/>
    <col min="3" max="3" width="7.83203125" style="5" customWidth="1"/>
    <col min="4" max="4" width="116.5" style="6" customWidth="1"/>
  </cols>
  <sheetData>
    <row r="1" spans="1:4" ht="16">
      <c r="A1" s="17" t="s">
        <v>4485</v>
      </c>
      <c r="B1" s="17" t="s">
        <v>937</v>
      </c>
      <c r="C1" s="17" t="s">
        <v>942</v>
      </c>
      <c r="D1" s="18" t="s">
        <v>771</v>
      </c>
    </row>
    <row r="2" spans="1:4" ht="16">
      <c r="A2" s="5" t="s">
        <v>4811</v>
      </c>
      <c r="B2" s="146" t="s">
        <v>1178</v>
      </c>
      <c r="C2" s="5" t="s">
        <v>943</v>
      </c>
      <c r="D2" s="6" t="s">
        <v>4628</v>
      </c>
    </row>
    <row r="3" spans="1:4" ht="16">
      <c r="A3" s="5" t="s">
        <v>4909</v>
      </c>
      <c r="B3" s="146" t="s">
        <v>4904</v>
      </c>
      <c r="C3" s="5" t="s">
        <v>943</v>
      </c>
      <c r="D3" s="6" t="s">
        <v>4902</v>
      </c>
    </row>
    <row r="4" spans="1:4" ht="18.5" customHeight="1">
      <c r="A4" s="5" t="s">
        <v>4775</v>
      </c>
      <c r="B4" s="146" t="s">
        <v>1161</v>
      </c>
      <c r="C4" s="5" t="s">
        <v>943</v>
      </c>
      <c r="D4" s="6" t="s">
        <v>4593</v>
      </c>
    </row>
    <row r="5" spans="1:4" ht="16">
      <c r="A5" s="5" t="s">
        <v>4845</v>
      </c>
      <c r="B5" s="146" t="s">
        <v>963</v>
      </c>
      <c r="C5" s="5" t="s">
        <v>946</v>
      </c>
      <c r="D5" s="6" t="s">
        <v>4708</v>
      </c>
    </row>
    <row r="6" spans="1:4" ht="16">
      <c r="A6" s="5" t="s">
        <v>4726</v>
      </c>
      <c r="B6" s="146" t="s">
        <v>991</v>
      </c>
      <c r="C6" s="5" t="s">
        <v>946</v>
      </c>
      <c r="D6" s="6" t="s">
        <v>4603</v>
      </c>
    </row>
    <row r="7" spans="1:4" ht="16">
      <c r="A7" s="5" t="s">
        <v>4838</v>
      </c>
      <c r="B7" s="146" t="s">
        <v>1142</v>
      </c>
      <c r="C7" s="5" t="s">
        <v>943</v>
      </c>
      <c r="D7" s="6" t="s">
        <v>4704</v>
      </c>
    </row>
    <row r="8" spans="1:4" ht="16">
      <c r="A8" s="5" t="s">
        <v>4746</v>
      </c>
      <c r="B8" s="146" t="s">
        <v>1195</v>
      </c>
      <c r="C8" s="5" t="s">
        <v>943</v>
      </c>
      <c r="D8" s="6" t="s">
        <v>4568</v>
      </c>
    </row>
    <row r="9" spans="1:4" ht="16">
      <c r="A9" s="5" t="s">
        <v>4783</v>
      </c>
      <c r="B9" s="146" t="s">
        <v>1561</v>
      </c>
      <c r="C9" s="5" t="s">
        <v>943</v>
      </c>
      <c r="D9" s="6" t="s">
        <v>4691</v>
      </c>
    </row>
    <row r="10" spans="1:4" ht="16">
      <c r="A10" s="5" t="s">
        <v>4869</v>
      </c>
      <c r="B10" s="146" t="s">
        <v>1143</v>
      </c>
      <c r="C10" s="5" t="s">
        <v>943</v>
      </c>
      <c r="D10" s="6" t="s">
        <v>4873</v>
      </c>
    </row>
    <row r="11" spans="1:4" ht="32">
      <c r="A11" s="5" t="s">
        <v>4867</v>
      </c>
      <c r="B11" s="146" t="s">
        <v>4860</v>
      </c>
      <c r="C11" s="5" t="s">
        <v>943</v>
      </c>
      <c r="D11" s="6" t="s">
        <v>4872</v>
      </c>
    </row>
    <row r="12" spans="1:4" ht="16">
      <c r="A12" s="5" t="s">
        <v>4716</v>
      </c>
      <c r="B12" s="146" t="s">
        <v>4550</v>
      </c>
      <c r="C12" s="5" t="s">
        <v>946</v>
      </c>
      <c r="D12" s="6" t="s">
        <v>4666</v>
      </c>
    </row>
    <row r="13" spans="1:4" ht="32">
      <c r="A13" s="5" t="s">
        <v>4756</v>
      </c>
      <c r="B13" s="146" t="s">
        <v>4576</v>
      </c>
      <c r="C13" s="5" t="s">
        <v>946</v>
      </c>
      <c r="D13" s="6" t="s">
        <v>5091</v>
      </c>
    </row>
    <row r="14" spans="1:4" ht="16">
      <c r="A14" s="5" t="s">
        <v>4720</v>
      </c>
      <c r="B14" s="146" t="s">
        <v>4552</v>
      </c>
      <c r="C14" s="5" t="s">
        <v>946</v>
      </c>
      <c r="D14" s="6" t="s">
        <v>4602</v>
      </c>
    </row>
    <row r="15" spans="1:4" ht="16">
      <c r="A15" s="5" t="s">
        <v>4733</v>
      </c>
      <c r="B15" s="146" t="s">
        <v>1191</v>
      </c>
      <c r="C15" s="5" t="s">
        <v>946</v>
      </c>
      <c r="D15" s="6" t="s">
        <v>4556</v>
      </c>
    </row>
    <row r="16" spans="1:4" ht="16">
      <c r="A16" s="5" t="s">
        <v>4900</v>
      </c>
      <c r="B16" s="146" t="s">
        <v>4899</v>
      </c>
      <c r="C16" s="5" t="s">
        <v>946</v>
      </c>
      <c r="D16" s="6" t="s">
        <v>4905</v>
      </c>
    </row>
    <row r="17" spans="1:4" ht="16">
      <c r="A17" s="5" t="s">
        <v>4776</v>
      </c>
      <c r="B17" s="146" t="s">
        <v>1162</v>
      </c>
      <c r="C17" s="5" t="s">
        <v>943</v>
      </c>
      <c r="D17" s="6" t="s">
        <v>5092</v>
      </c>
    </row>
    <row r="18" spans="1:4" ht="32">
      <c r="A18" s="5" t="s">
        <v>4779</v>
      </c>
      <c r="B18" s="146" t="s">
        <v>1152</v>
      </c>
      <c r="C18" s="5" t="s">
        <v>943</v>
      </c>
      <c r="D18" s="6" t="s">
        <v>4596</v>
      </c>
    </row>
    <row r="19" spans="1:4" ht="16">
      <c r="A19" s="5" t="s">
        <v>4839</v>
      </c>
      <c r="B19" s="146" t="s">
        <v>949</v>
      </c>
      <c r="C19" s="5" t="s">
        <v>946</v>
      </c>
      <c r="D19" s="6" t="s">
        <v>4705</v>
      </c>
    </row>
    <row r="20" spans="1:4" ht="16">
      <c r="A20" s="5" t="s">
        <v>4936</v>
      </c>
      <c r="B20" s="146" t="s">
        <v>4944</v>
      </c>
      <c r="C20" s="5" t="s">
        <v>946</v>
      </c>
      <c r="D20" s="6" t="s">
        <v>4945</v>
      </c>
    </row>
    <row r="21" spans="1:4" ht="16">
      <c r="A21" s="5" t="s">
        <v>4837</v>
      </c>
      <c r="B21" s="146" t="s">
        <v>2349</v>
      </c>
      <c r="C21" s="5" t="s">
        <v>943</v>
      </c>
      <c r="D21" s="6" t="s">
        <v>4876</v>
      </c>
    </row>
    <row r="22" spans="1:4" ht="16">
      <c r="A22" s="5" t="s">
        <v>4822</v>
      </c>
      <c r="B22" s="146" t="s">
        <v>4638</v>
      </c>
      <c r="C22" s="5" t="s">
        <v>943</v>
      </c>
      <c r="D22" s="6" t="s">
        <v>4700</v>
      </c>
    </row>
    <row r="23" spans="1:4" ht="16">
      <c r="A23" s="5" t="s">
        <v>4777</v>
      </c>
      <c r="B23" s="146" t="s">
        <v>4594</v>
      </c>
      <c r="C23" s="5" t="s">
        <v>943</v>
      </c>
      <c r="D23" s="6" t="s">
        <v>4595</v>
      </c>
    </row>
    <row r="24" spans="1:4" ht="32">
      <c r="A24" s="5" t="s">
        <v>4802</v>
      </c>
      <c r="B24" s="146" t="s">
        <v>989</v>
      </c>
      <c r="C24" s="5" t="s">
        <v>943</v>
      </c>
      <c r="D24" s="6" t="s">
        <v>4621</v>
      </c>
    </row>
    <row r="25" spans="1:4" ht="16">
      <c r="A25" s="5" t="s">
        <v>4778</v>
      </c>
      <c r="B25" s="146" t="s">
        <v>1746</v>
      </c>
      <c r="C25" s="5" t="s">
        <v>946</v>
      </c>
      <c r="D25" s="6" t="s">
        <v>4688</v>
      </c>
    </row>
    <row r="26" spans="1:4" ht="16">
      <c r="A26" s="5" t="s">
        <v>4935</v>
      </c>
      <c r="B26" s="146" t="s">
        <v>4942</v>
      </c>
      <c r="C26" s="5" t="s">
        <v>943</v>
      </c>
      <c r="D26" s="6" t="s">
        <v>5039</v>
      </c>
    </row>
    <row r="27" spans="1:4" ht="16">
      <c r="A27" s="5" t="s">
        <v>4801</v>
      </c>
      <c r="B27" s="146" t="s">
        <v>4619</v>
      </c>
      <c r="C27" s="5" t="s">
        <v>946</v>
      </c>
      <c r="D27" s="6" t="s">
        <v>4620</v>
      </c>
    </row>
    <row r="28" spans="1:4" ht="32">
      <c r="A28" s="5" t="s">
        <v>4890</v>
      </c>
      <c r="B28" s="146" t="s">
        <v>4888</v>
      </c>
      <c r="C28" s="5" t="s">
        <v>943</v>
      </c>
      <c r="D28" s="6" t="s">
        <v>5089</v>
      </c>
    </row>
    <row r="29" spans="1:4" ht="32">
      <c r="A29" s="5" t="s">
        <v>4714</v>
      </c>
      <c r="B29" s="146" t="s">
        <v>4487</v>
      </c>
      <c r="C29" s="5" t="s">
        <v>946</v>
      </c>
      <c r="D29" s="6" t="s">
        <v>4663</v>
      </c>
    </row>
    <row r="30" spans="1:4" ht="16">
      <c r="A30" s="5" t="s">
        <v>4772</v>
      </c>
      <c r="B30" s="146" t="s">
        <v>1735</v>
      </c>
      <c r="C30" s="5" t="s">
        <v>946</v>
      </c>
      <c r="D30" s="6" t="s">
        <v>5093</v>
      </c>
    </row>
    <row r="31" spans="1:4" ht="32">
      <c r="A31" s="5" t="s">
        <v>4831</v>
      </c>
      <c r="B31" s="146" t="s">
        <v>2072</v>
      </c>
      <c r="C31" s="5" t="s">
        <v>946</v>
      </c>
      <c r="D31" s="6" t="s">
        <v>4701</v>
      </c>
    </row>
    <row r="32" spans="1:4" ht="16">
      <c r="A32" s="5" t="s">
        <v>4731</v>
      </c>
      <c r="B32" s="146" t="s">
        <v>1179</v>
      </c>
      <c r="C32" s="5" t="s">
        <v>943</v>
      </c>
      <c r="D32" s="6" t="s">
        <v>4604</v>
      </c>
    </row>
    <row r="33" spans="1:4" ht="16">
      <c r="A33" s="5" t="s">
        <v>4850</v>
      </c>
      <c r="B33" s="146" t="s">
        <v>1078</v>
      </c>
      <c r="C33" s="5" t="s">
        <v>943</v>
      </c>
      <c r="D33" s="6" t="s">
        <v>4709</v>
      </c>
    </row>
    <row r="34" spans="1:4" ht="16">
      <c r="A34" s="5" t="s">
        <v>4843</v>
      </c>
      <c r="B34" s="146" t="s">
        <v>2348</v>
      </c>
      <c r="C34" s="5" t="s">
        <v>943</v>
      </c>
      <c r="D34" s="6" t="s">
        <v>4650</v>
      </c>
    </row>
    <row r="35" spans="1:4" ht="16">
      <c r="A35" s="5" t="s">
        <v>4854</v>
      </c>
      <c r="B35" s="146" t="s">
        <v>1082</v>
      </c>
      <c r="C35" s="5" t="s">
        <v>943</v>
      </c>
      <c r="D35" s="6" t="s">
        <v>4853</v>
      </c>
    </row>
    <row r="36" spans="1:4" ht="16">
      <c r="A36" s="5" t="s">
        <v>4749</v>
      </c>
      <c r="B36" s="146" t="s">
        <v>1547</v>
      </c>
      <c r="C36" s="5" t="s">
        <v>946</v>
      </c>
      <c r="D36" s="6" t="s">
        <v>4681</v>
      </c>
    </row>
    <row r="37" spans="1:4" ht="16">
      <c r="A37" s="5" t="s">
        <v>4754</v>
      </c>
      <c r="B37" s="146" t="s">
        <v>1184</v>
      </c>
      <c r="C37" s="5" t="s">
        <v>943</v>
      </c>
      <c r="D37" s="6" t="s">
        <v>4683</v>
      </c>
    </row>
    <row r="38" spans="1:4" ht="16">
      <c r="A38" s="5" t="s">
        <v>4765</v>
      </c>
      <c r="B38" s="146" t="s">
        <v>1066</v>
      </c>
      <c r="C38" s="5" t="s">
        <v>946</v>
      </c>
      <c r="D38" s="6" t="s">
        <v>4686</v>
      </c>
    </row>
    <row r="39" spans="1:4" ht="16">
      <c r="A39" s="5" t="s">
        <v>4766</v>
      </c>
      <c r="B39" s="146" t="s">
        <v>4585</v>
      </c>
      <c r="C39" s="5" t="s">
        <v>943</v>
      </c>
      <c r="D39" s="6" t="s">
        <v>4586</v>
      </c>
    </row>
    <row r="40" spans="1:4" ht="16">
      <c r="A40" s="5" t="s">
        <v>4737</v>
      </c>
      <c r="B40" s="146" t="s">
        <v>1132</v>
      </c>
      <c r="C40" s="5" t="s">
        <v>946</v>
      </c>
      <c r="D40" s="6" t="s">
        <v>4676</v>
      </c>
    </row>
    <row r="41" spans="1:4" ht="16">
      <c r="A41" s="5" t="s">
        <v>4745</v>
      </c>
      <c r="B41" s="146" t="s">
        <v>1651</v>
      </c>
      <c r="C41" s="5" t="s">
        <v>946</v>
      </c>
      <c r="D41" s="6" t="s">
        <v>4679</v>
      </c>
    </row>
    <row r="42" spans="1:4" ht="16">
      <c r="A42" s="5" t="s">
        <v>4791</v>
      </c>
      <c r="B42" s="146" t="s">
        <v>4608</v>
      </c>
      <c r="C42" s="5" t="s">
        <v>946</v>
      </c>
      <c r="D42" s="6" t="s">
        <v>4609</v>
      </c>
    </row>
    <row r="43" spans="1:4" ht="16">
      <c r="A43" s="5" t="s">
        <v>4828</v>
      </c>
      <c r="B43" s="146" t="s">
        <v>972</v>
      </c>
      <c r="C43" s="5" t="s">
        <v>946</v>
      </c>
      <c r="D43" s="6" t="s">
        <v>4641</v>
      </c>
    </row>
    <row r="44" spans="1:4" ht="16">
      <c r="A44" s="5" t="s">
        <v>4807</v>
      </c>
      <c r="B44" s="146" t="s">
        <v>1591</v>
      </c>
      <c r="C44" s="5" t="s">
        <v>946</v>
      </c>
      <c r="D44" s="6" t="s">
        <v>4624</v>
      </c>
    </row>
    <row r="45" spans="1:4" ht="32">
      <c r="A45" s="5" t="s">
        <v>4842</v>
      </c>
      <c r="B45" s="146" t="s">
        <v>2714</v>
      </c>
      <c r="C45" s="5" t="s">
        <v>943</v>
      </c>
      <c r="D45" s="6" t="s">
        <v>5090</v>
      </c>
    </row>
    <row r="46" spans="1:4" ht="16">
      <c r="A46" s="5" t="s">
        <v>4723</v>
      </c>
      <c r="B46" s="146" t="s">
        <v>4554</v>
      </c>
      <c r="C46" s="5" t="s">
        <v>946</v>
      </c>
      <c r="D46" s="6" t="s">
        <v>4672</v>
      </c>
    </row>
    <row r="47" spans="1:4" ht="16">
      <c r="A47" s="5" t="s">
        <v>4833</v>
      </c>
      <c r="B47" s="146" t="s">
        <v>4645</v>
      </c>
      <c r="C47" s="5" t="s">
        <v>946</v>
      </c>
      <c r="D47" s="6" t="s">
        <v>4646</v>
      </c>
    </row>
    <row r="48" spans="1:4" ht="16">
      <c r="A48" s="5" t="s">
        <v>4799</v>
      </c>
      <c r="B48" s="146" t="s">
        <v>1121</v>
      </c>
      <c r="C48" s="5" t="s">
        <v>946</v>
      </c>
      <c r="D48" s="6" t="s">
        <v>4616</v>
      </c>
    </row>
    <row r="49" spans="1:4" ht="16">
      <c r="A49" s="5" t="s">
        <v>4748</v>
      </c>
      <c r="B49" s="146" t="s">
        <v>1567</v>
      </c>
      <c r="C49" s="5" t="s">
        <v>946</v>
      </c>
      <c r="D49" s="6" t="s">
        <v>4600</v>
      </c>
    </row>
    <row r="50" spans="1:4" ht="32">
      <c r="A50" s="5" t="s">
        <v>4804</v>
      </c>
      <c r="B50" s="146" t="s">
        <v>1193</v>
      </c>
      <c r="C50" s="5" t="s">
        <v>943</v>
      </c>
      <c r="D50" s="6" t="s">
        <v>4696</v>
      </c>
    </row>
    <row r="51" spans="1:4" ht="16">
      <c r="A51" s="5" t="s">
        <v>4715</v>
      </c>
      <c r="B51" s="146" t="s">
        <v>1732</v>
      </c>
      <c r="C51" s="5" t="s">
        <v>946</v>
      </c>
      <c r="D51" s="6" t="s">
        <v>4665</v>
      </c>
    </row>
    <row r="52" spans="1:4" ht="16">
      <c r="A52" s="5" t="s">
        <v>4789</v>
      </c>
      <c r="B52" s="146" t="s">
        <v>1732</v>
      </c>
      <c r="C52" s="5" t="s">
        <v>946</v>
      </c>
      <c r="D52" s="6" t="s">
        <v>4693</v>
      </c>
    </row>
    <row r="53" spans="1:4" ht="16">
      <c r="A53" s="5" t="s">
        <v>4741</v>
      </c>
      <c r="B53" s="146" t="s">
        <v>971</v>
      </c>
      <c r="C53" s="5" t="s">
        <v>946</v>
      </c>
      <c r="D53" s="6" t="s">
        <v>4564</v>
      </c>
    </row>
    <row r="54" spans="1:4" ht="16">
      <c r="A54" s="5" t="s">
        <v>4735</v>
      </c>
      <c r="B54" s="146" t="s">
        <v>4558</v>
      </c>
      <c r="C54" s="5" t="s">
        <v>943</v>
      </c>
      <c r="D54" s="6" t="s">
        <v>4559</v>
      </c>
    </row>
    <row r="55" spans="1:4" ht="16">
      <c r="A55" s="5" t="s">
        <v>4834</v>
      </c>
      <c r="B55" s="146" t="s">
        <v>1141</v>
      </c>
      <c r="C55" s="5" t="s">
        <v>943</v>
      </c>
      <c r="D55" s="6" t="s">
        <v>4702</v>
      </c>
    </row>
    <row r="56" spans="1:4" ht="16">
      <c r="A56" s="5" t="s">
        <v>4753</v>
      </c>
      <c r="B56" s="146" t="s">
        <v>4569</v>
      </c>
      <c r="C56" s="5" t="s">
        <v>946</v>
      </c>
      <c r="D56" s="6" t="s">
        <v>4570</v>
      </c>
    </row>
    <row r="57" spans="1:4" ht="16">
      <c r="A57" s="5" t="s">
        <v>4919</v>
      </c>
      <c r="B57" s="146" t="s">
        <v>4915</v>
      </c>
      <c r="C57" s="5" t="s">
        <v>946</v>
      </c>
      <c r="D57" s="6" t="s">
        <v>4914</v>
      </c>
    </row>
    <row r="58" spans="1:4" ht="16">
      <c r="A58" s="5" t="s">
        <v>4762</v>
      </c>
      <c r="B58" s="146" t="s">
        <v>4584</v>
      </c>
      <c r="C58" s="5" t="s">
        <v>946</v>
      </c>
      <c r="D58" s="6" t="s">
        <v>4582</v>
      </c>
    </row>
    <row r="59" spans="1:4" ht="16">
      <c r="A59" s="5" t="s">
        <v>4798</v>
      </c>
      <c r="B59" s="146" t="s">
        <v>995</v>
      </c>
      <c r="C59" s="5" t="s">
        <v>946</v>
      </c>
      <c r="D59" s="6" t="s">
        <v>4852</v>
      </c>
    </row>
    <row r="60" spans="1:4" ht="32">
      <c r="A60" s="5" t="s">
        <v>4818</v>
      </c>
      <c r="B60" s="146" t="s">
        <v>1530</v>
      </c>
      <c r="C60" s="5" t="s">
        <v>943</v>
      </c>
      <c r="D60" s="6" t="s">
        <v>4634</v>
      </c>
    </row>
    <row r="61" spans="1:4" ht="16">
      <c r="A61" s="5" t="s">
        <v>4729</v>
      </c>
      <c r="B61" s="146" t="s">
        <v>952</v>
      </c>
      <c r="C61" s="5" t="s">
        <v>946</v>
      </c>
      <c r="D61" s="6" t="s">
        <v>4673</v>
      </c>
    </row>
    <row r="62" spans="1:4" ht="16">
      <c r="A62" s="5" t="s">
        <v>4819</v>
      </c>
      <c r="B62" s="146" t="s">
        <v>4635</v>
      </c>
      <c r="C62" s="5" t="s">
        <v>946</v>
      </c>
      <c r="D62" s="6" t="s">
        <v>4699</v>
      </c>
    </row>
    <row r="63" spans="1:4" ht="16">
      <c r="A63" s="5" t="s">
        <v>4823</v>
      </c>
      <c r="B63" s="146" t="s">
        <v>1064</v>
      </c>
      <c r="C63" s="5" t="s">
        <v>946</v>
      </c>
      <c r="D63" s="6" t="s">
        <v>4711</v>
      </c>
    </row>
    <row r="64" spans="1:4" ht="16">
      <c r="A64" s="5" t="s">
        <v>4918</v>
      </c>
      <c r="B64" s="146" t="s">
        <v>962</v>
      </c>
      <c r="C64" s="5" t="s">
        <v>946</v>
      </c>
      <c r="D64" s="6" t="s">
        <v>4911</v>
      </c>
    </row>
    <row r="65" spans="1:4" ht="16">
      <c r="A65" s="5" t="s">
        <v>4718</v>
      </c>
      <c r="B65" s="146" t="s">
        <v>974</v>
      </c>
      <c r="C65" s="5" t="s">
        <v>946</v>
      </c>
      <c r="D65" s="6" t="s">
        <v>4668</v>
      </c>
    </row>
    <row r="66" spans="1:4" ht="32">
      <c r="A66" s="5" t="s">
        <v>4769</v>
      </c>
      <c r="B66" s="146" t="s">
        <v>1073</v>
      </c>
      <c r="C66" s="5" t="s">
        <v>943</v>
      </c>
      <c r="D66" s="6" t="s">
        <v>4589</v>
      </c>
    </row>
    <row r="67" spans="1:4" ht="16">
      <c r="A67" s="5" t="s">
        <v>4806</v>
      </c>
      <c r="B67" s="146" t="s">
        <v>1214</v>
      </c>
      <c r="C67" s="5" t="s">
        <v>946</v>
      </c>
      <c r="D67" s="6" t="s">
        <v>4623</v>
      </c>
    </row>
    <row r="68" spans="1:4" ht="16">
      <c r="A68" s="5" t="s">
        <v>4885</v>
      </c>
      <c r="B68" s="146" t="s">
        <v>4880</v>
      </c>
      <c r="C68" s="5" t="s">
        <v>943</v>
      </c>
      <c r="D68" s="6" t="s">
        <v>4881</v>
      </c>
    </row>
    <row r="69" spans="1:4" ht="16">
      <c r="A69" s="5" t="s">
        <v>4898</v>
      </c>
      <c r="B69" s="146" t="s">
        <v>4896</v>
      </c>
      <c r="C69" s="5" t="s">
        <v>946</v>
      </c>
      <c r="D69" s="6" t="s">
        <v>4897</v>
      </c>
    </row>
    <row r="70" spans="1:4" ht="16">
      <c r="A70" s="5" t="s">
        <v>4758</v>
      </c>
      <c r="B70" s="146" t="s">
        <v>1071</v>
      </c>
      <c r="C70" s="5" t="s">
        <v>943</v>
      </c>
      <c r="D70" s="6" t="s">
        <v>4579</v>
      </c>
    </row>
    <row r="71" spans="1:4" ht="32">
      <c r="A71" s="5" t="s">
        <v>4891</v>
      </c>
      <c r="B71" s="146" t="s">
        <v>2715</v>
      </c>
      <c r="C71" s="5" t="s">
        <v>943</v>
      </c>
      <c r="D71" s="6" t="s">
        <v>4903</v>
      </c>
    </row>
    <row r="72" spans="1:4" ht="16">
      <c r="A72" s="5" t="s">
        <v>4805</v>
      </c>
      <c r="B72" s="146" t="s">
        <v>1138</v>
      </c>
      <c r="C72" s="5" t="s">
        <v>946</v>
      </c>
      <c r="D72" s="6" t="s">
        <v>4697</v>
      </c>
    </row>
    <row r="73" spans="1:4" ht="16">
      <c r="A73" s="5" t="s">
        <v>4800</v>
      </c>
      <c r="B73" s="146" t="s">
        <v>4617</v>
      </c>
      <c r="C73" s="5" t="s">
        <v>943</v>
      </c>
      <c r="D73" s="6" t="s">
        <v>4618</v>
      </c>
    </row>
    <row r="74" spans="1:4" ht="32">
      <c r="A74" s="5" t="s">
        <v>4926</v>
      </c>
      <c r="B74" s="146" t="s">
        <v>4928</v>
      </c>
      <c r="C74" s="5" t="s">
        <v>946</v>
      </c>
      <c r="D74" s="6" t="s">
        <v>4931</v>
      </c>
    </row>
    <row r="75" spans="1:4" ht="16">
      <c r="A75" s="5" t="s">
        <v>4740</v>
      </c>
      <c r="B75" s="146" t="s">
        <v>4563</v>
      </c>
      <c r="C75" s="5" t="s">
        <v>943</v>
      </c>
      <c r="D75" s="6" t="s">
        <v>4562</v>
      </c>
    </row>
    <row r="76" spans="1:4" ht="16">
      <c r="A76" s="5" t="s">
        <v>4730</v>
      </c>
      <c r="B76" s="146" t="s">
        <v>978</v>
      </c>
      <c r="C76" s="5" t="s">
        <v>943</v>
      </c>
      <c r="D76" s="6" t="s">
        <v>4674</v>
      </c>
    </row>
    <row r="77" spans="1:4" ht="32">
      <c r="A77" s="5" t="s">
        <v>4814</v>
      </c>
      <c r="B77" s="146" t="s">
        <v>1062</v>
      </c>
      <c r="C77" s="5" t="s">
        <v>946</v>
      </c>
      <c r="D77" s="6" t="s">
        <v>4631</v>
      </c>
    </row>
    <row r="78" spans="1:4" ht="32">
      <c r="A78" s="5" t="s">
        <v>4923</v>
      </c>
      <c r="B78" s="146" t="s">
        <v>4922</v>
      </c>
      <c r="C78" s="5" t="s">
        <v>946</v>
      </c>
      <c r="D78" s="6" t="s">
        <v>4921</v>
      </c>
    </row>
    <row r="79" spans="1:4" ht="32">
      <c r="A79" s="5" t="s">
        <v>4856</v>
      </c>
      <c r="B79" s="146" t="s">
        <v>4855</v>
      </c>
      <c r="C79" s="5" t="s">
        <v>943</v>
      </c>
      <c r="D79" s="6" t="s">
        <v>4857</v>
      </c>
    </row>
    <row r="80" spans="1:4" ht="16">
      <c r="A80" s="5" t="s">
        <v>4866</v>
      </c>
      <c r="B80" s="146" t="s">
        <v>4859</v>
      </c>
      <c r="C80" s="5" t="s">
        <v>943</v>
      </c>
      <c r="D80" s="6" t="s">
        <v>4861</v>
      </c>
    </row>
    <row r="81" spans="1:4" ht="16">
      <c r="A81" s="5" t="s">
        <v>4787</v>
      </c>
      <c r="B81" s="146" t="s">
        <v>1724</v>
      </c>
      <c r="C81" s="5" t="s">
        <v>946</v>
      </c>
      <c r="D81" s="6" t="s">
        <v>4606</v>
      </c>
    </row>
    <row r="82" spans="1:4" ht="32">
      <c r="A82" s="5" t="s">
        <v>4774</v>
      </c>
      <c r="B82" s="146" t="s">
        <v>4592</v>
      </c>
      <c r="C82" s="5" t="s">
        <v>946</v>
      </c>
      <c r="D82" s="6" t="s">
        <v>4687</v>
      </c>
    </row>
    <row r="83" spans="1:4" ht="18.5" customHeight="1">
      <c r="A83" s="5" t="s">
        <v>4713</v>
      </c>
      <c r="B83" s="146" t="s">
        <v>999</v>
      </c>
      <c r="C83" s="5" t="s">
        <v>946</v>
      </c>
      <c r="D83" s="6" t="s">
        <v>4664</v>
      </c>
    </row>
    <row r="84" spans="1:4" ht="16">
      <c r="A84" s="5" t="s">
        <v>4847</v>
      </c>
      <c r="B84" s="146" t="s">
        <v>1176</v>
      </c>
      <c r="C84" s="5" t="s">
        <v>943</v>
      </c>
      <c r="D84" s="6" t="s">
        <v>4652</v>
      </c>
    </row>
    <row r="85" spans="1:4" ht="32">
      <c r="A85" s="5" t="s">
        <v>4751</v>
      </c>
      <c r="B85" s="146" t="s">
        <v>1548</v>
      </c>
      <c r="C85" s="5" t="s">
        <v>943</v>
      </c>
      <c r="D85" s="6" t="s">
        <v>4573</v>
      </c>
    </row>
    <row r="86" spans="1:4" ht="16">
      <c r="A86" s="5" t="s">
        <v>4743</v>
      </c>
      <c r="B86" s="146" t="s">
        <v>1056</v>
      </c>
      <c r="C86" s="5" t="s">
        <v>946</v>
      </c>
      <c r="D86" s="6" t="s">
        <v>4567</v>
      </c>
    </row>
    <row r="87" spans="1:4" ht="16">
      <c r="A87" s="5" t="s">
        <v>4763</v>
      </c>
      <c r="B87" s="146" t="s">
        <v>4581</v>
      </c>
      <c r="C87" s="5" t="s">
        <v>946</v>
      </c>
      <c r="D87" s="6" t="s">
        <v>4685</v>
      </c>
    </row>
    <row r="88" spans="1:4" ht="16">
      <c r="A88" s="5" t="s">
        <v>4887</v>
      </c>
      <c r="B88" s="146" t="s">
        <v>4886</v>
      </c>
      <c r="C88" s="5" t="s">
        <v>943</v>
      </c>
      <c r="D88" s="6" t="s">
        <v>5072</v>
      </c>
    </row>
    <row r="89" spans="1:4" ht="16">
      <c r="A89" s="5" t="s">
        <v>4826</v>
      </c>
      <c r="B89" s="146" t="s">
        <v>1149</v>
      </c>
      <c r="C89" s="5" t="s">
        <v>946</v>
      </c>
      <c r="D89" s="6" t="s">
        <v>4640</v>
      </c>
    </row>
    <row r="90" spans="1:4" ht="16">
      <c r="A90" s="5" t="s">
        <v>4785</v>
      </c>
      <c r="B90" s="146" t="s">
        <v>1206</v>
      </c>
      <c r="C90" s="5" t="s">
        <v>946</v>
      </c>
      <c r="D90" s="6" t="s">
        <v>4605</v>
      </c>
    </row>
    <row r="91" spans="1:4" ht="16">
      <c r="A91" s="5" t="s">
        <v>4742</v>
      </c>
      <c r="B91" s="146" t="s">
        <v>1335</v>
      </c>
      <c r="C91" s="5" t="s">
        <v>946</v>
      </c>
      <c r="D91" s="6" t="s">
        <v>4566</v>
      </c>
    </row>
    <row r="92" spans="1:4" ht="16">
      <c r="A92" s="5" t="s">
        <v>4827</v>
      </c>
      <c r="B92" s="146" t="s">
        <v>1335</v>
      </c>
      <c r="C92" s="5" t="s">
        <v>943</v>
      </c>
      <c r="D92" s="6" t="s">
        <v>4642</v>
      </c>
    </row>
    <row r="93" spans="1:4" ht="32">
      <c r="A93" s="5" t="s">
        <v>4781</v>
      </c>
      <c r="B93" s="146" t="s">
        <v>992</v>
      </c>
      <c r="C93" s="5" t="s">
        <v>943</v>
      </c>
      <c r="D93" s="6" t="s">
        <v>4689</v>
      </c>
    </row>
    <row r="94" spans="1:4" ht="16">
      <c r="A94" s="5" t="s">
        <v>4767</v>
      </c>
      <c r="B94" s="146" t="s">
        <v>956</v>
      </c>
      <c r="C94" s="5" t="s">
        <v>946</v>
      </c>
      <c r="D94" s="6" t="s">
        <v>4587</v>
      </c>
    </row>
    <row r="95" spans="1:4" ht="16">
      <c r="A95" s="5" t="s">
        <v>4739</v>
      </c>
      <c r="B95" s="146" t="s">
        <v>4565</v>
      </c>
      <c r="C95" s="5" t="s">
        <v>946</v>
      </c>
      <c r="D95" s="6" t="s">
        <v>4678</v>
      </c>
    </row>
    <row r="96" spans="1:4" ht="16">
      <c r="A96" s="5" t="s">
        <v>4732</v>
      </c>
      <c r="B96" s="146" t="s">
        <v>948</v>
      </c>
      <c r="C96" s="5" t="s">
        <v>946</v>
      </c>
      <c r="D96" s="6" t="s">
        <v>4943</v>
      </c>
    </row>
    <row r="97" spans="1:4" ht="16">
      <c r="A97" s="5" t="s">
        <v>4832</v>
      </c>
      <c r="B97" s="146" t="s">
        <v>986</v>
      </c>
      <c r="C97" s="5" t="s">
        <v>946</v>
      </c>
      <c r="D97" s="6" t="s">
        <v>4644</v>
      </c>
    </row>
    <row r="98" spans="1:4" ht="32">
      <c r="A98" s="5" t="s">
        <v>4816</v>
      </c>
      <c r="B98" s="146" t="s">
        <v>1095</v>
      </c>
      <c r="C98" s="5" t="s">
        <v>946</v>
      </c>
      <c r="D98" s="6" t="s">
        <v>4889</v>
      </c>
    </row>
    <row r="99" spans="1:4" ht="16">
      <c r="A99" s="5" t="s">
        <v>4761</v>
      </c>
      <c r="B99" s="146" t="s">
        <v>997</v>
      </c>
      <c r="C99" s="5" t="s">
        <v>946</v>
      </c>
      <c r="D99" s="6" t="s">
        <v>4684</v>
      </c>
    </row>
    <row r="100" spans="1:4" ht="16">
      <c r="A100" s="5" t="s">
        <v>4810</v>
      </c>
      <c r="B100" s="146" t="s">
        <v>1190</v>
      </c>
      <c r="C100" s="5" t="s">
        <v>943</v>
      </c>
      <c r="D100" s="6" t="s">
        <v>4627</v>
      </c>
    </row>
    <row r="101" spans="1:4" ht="16">
      <c r="A101" s="5" t="s">
        <v>4788</v>
      </c>
      <c r="B101" s="146" t="s">
        <v>1174</v>
      </c>
      <c r="C101" s="5" t="s">
        <v>943</v>
      </c>
      <c r="D101" s="6" t="s">
        <v>4692</v>
      </c>
    </row>
    <row r="102" spans="1:4" ht="16">
      <c r="A102" s="5" t="s">
        <v>4759</v>
      </c>
      <c r="B102" s="146" t="s">
        <v>1058</v>
      </c>
      <c r="C102" s="5" t="s">
        <v>943</v>
      </c>
      <c r="D102" s="6" t="s">
        <v>1059</v>
      </c>
    </row>
    <row r="103" spans="1:4" ht="32">
      <c r="A103" s="5" t="s">
        <v>4793</v>
      </c>
      <c r="B103" s="146" t="s">
        <v>1756</v>
      </c>
      <c r="C103" s="5" t="s">
        <v>946</v>
      </c>
      <c r="D103" s="6" t="s">
        <v>4695</v>
      </c>
    </row>
    <row r="104" spans="1:4" ht="16">
      <c r="A104" s="5" t="s">
        <v>4884</v>
      </c>
      <c r="B104" s="146" t="s">
        <v>4882</v>
      </c>
      <c r="C104" s="5" t="s">
        <v>946</v>
      </c>
      <c r="D104" s="6" t="s">
        <v>4906</v>
      </c>
    </row>
    <row r="105" spans="1:4" ht="32">
      <c r="A105" s="5" t="s">
        <v>4738</v>
      </c>
      <c r="B105" s="146" t="s">
        <v>1090</v>
      </c>
      <c r="C105" s="5" t="s">
        <v>946</v>
      </c>
      <c r="D105" s="6" t="s">
        <v>4677</v>
      </c>
    </row>
    <row r="106" spans="1:4" ht="16">
      <c r="A106" s="5" t="s">
        <v>4786</v>
      </c>
      <c r="B106" s="146" t="s">
        <v>1725</v>
      </c>
      <c r="C106" s="5" t="s">
        <v>946</v>
      </c>
      <c r="D106" s="6" t="s">
        <v>4601</v>
      </c>
    </row>
    <row r="107" spans="1:4" ht="16">
      <c r="A107" s="5" t="s">
        <v>4760</v>
      </c>
      <c r="B107" s="146" t="s">
        <v>1057</v>
      </c>
      <c r="C107" s="5" t="s">
        <v>943</v>
      </c>
      <c r="D107" s="6" t="s">
        <v>4580</v>
      </c>
    </row>
    <row r="108" spans="1:4" ht="16">
      <c r="A108" s="5" t="s">
        <v>4764</v>
      </c>
      <c r="B108" s="146" t="s">
        <v>2713</v>
      </c>
      <c r="C108" s="5" t="s">
        <v>943</v>
      </c>
      <c r="D108" s="6" t="s">
        <v>4583</v>
      </c>
    </row>
    <row r="109" spans="1:4" ht="16">
      <c r="A109" s="5" t="s">
        <v>4821</v>
      </c>
      <c r="B109" s="146" t="s">
        <v>1164</v>
      </c>
      <c r="C109" s="5" t="s">
        <v>943</v>
      </c>
      <c r="D109" s="6" t="s">
        <v>4637</v>
      </c>
    </row>
    <row r="110" spans="1:4" ht="16">
      <c r="A110" s="5" t="s">
        <v>4871</v>
      </c>
      <c r="B110" s="146" t="s">
        <v>4865</v>
      </c>
      <c r="C110" s="5" t="s">
        <v>943</v>
      </c>
      <c r="D110" s="6" t="s">
        <v>4874</v>
      </c>
    </row>
    <row r="111" spans="1:4" ht="16">
      <c r="A111" s="5" t="s">
        <v>4722</v>
      </c>
      <c r="B111" s="146" t="s">
        <v>1156</v>
      </c>
      <c r="C111" s="5" t="s">
        <v>946</v>
      </c>
      <c r="D111" s="6" t="s">
        <v>4671</v>
      </c>
    </row>
    <row r="112" spans="1:4" ht="16">
      <c r="A112" s="5" t="s">
        <v>4895</v>
      </c>
      <c r="B112" s="146" t="s">
        <v>4893</v>
      </c>
      <c r="C112" s="5" t="s">
        <v>943</v>
      </c>
      <c r="D112" s="6" t="s">
        <v>4894</v>
      </c>
    </row>
    <row r="113" spans="1:4" ht="16">
      <c r="A113" s="5" t="s">
        <v>4815</v>
      </c>
      <c r="B113" s="146" t="s">
        <v>4632</v>
      </c>
      <c r="C113" s="5" t="s">
        <v>946</v>
      </c>
      <c r="D113" s="6" t="s">
        <v>4698</v>
      </c>
    </row>
    <row r="114" spans="1:4" ht="32">
      <c r="A114" s="5" t="s">
        <v>4820</v>
      </c>
      <c r="B114" s="146" t="s">
        <v>4636</v>
      </c>
      <c r="C114" s="5" t="s">
        <v>943</v>
      </c>
      <c r="D114" s="6" t="s">
        <v>4892</v>
      </c>
    </row>
    <row r="115" spans="1:4" ht="32">
      <c r="A115" s="5" t="s">
        <v>4910</v>
      </c>
      <c r="B115" s="146" t="s">
        <v>4907</v>
      </c>
      <c r="C115" s="5" t="s">
        <v>943</v>
      </c>
      <c r="D115" s="6" t="s">
        <v>4908</v>
      </c>
    </row>
    <row r="116" spans="1:4" ht="16">
      <c r="A116" s="5" t="s">
        <v>4724</v>
      </c>
      <c r="B116" s="146" t="s">
        <v>1155</v>
      </c>
      <c r="C116" s="5" t="s">
        <v>946</v>
      </c>
      <c r="D116" s="6" t="s">
        <v>4555</v>
      </c>
    </row>
    <row r="117" spans="1:4" ht="16">
      <c r="A117" s="5" t="s">
        <v>4830</v>
      </c>
      <c r="B117" s="146" t="s">
        <v>1165</v>
      </c>
      <c r="C117" s="5" t="s">
        <v>943</v>
      </c>
      <c r="D117" s="6" t="s">
        <v>4643</v>
      </c>
    </row>
    <row r="118" spans="1:4" ht="16">
      <c r="A118" s="5" t="s">
        <v>4792</v>
      </c>
      <c r="B118" s="146" t="s">
        <v>1196</v>
      </c>
      <c r="C118" s="5" t="s">
        <v>943</v>
      </c>
      <c r="D118" s="6" t="s">
        <v>4610</v>
      </c>
    </row>
    <row r="119" spans="1:4" ht="32">
      <c r="A119" s="5" t="s">
        <v>4824</v>
      </c>
      <c r="B119" s="146" t="s">
        <v>1792</v>
      </c>
      <c r="C119" s="5" t="s">
        <v>946</v>
      </c>
      <c r="D119" s="6" t="s">
        <v>4946</v>
      </c>
    </row>
    <row r="120" spans="1:4" ht="32">
      <c r="A120" s="5" t="s">
        <v>4755</v>
      </c>
      <c r="B120" s="146" t="s">
        <v>4574</v>
      </c>
      <c r="C120" s="5" t="s">
        <v>943</v>
      </c>
      <c r="D120" s="6" t="s">
        <v>4575</v>
      </c>
    </row>
    <row r="121" spans="1:4" ht="16">
      <c r="A121" s="5" t="s">
        <v>4773</v>
      </c>
      <c r="B121" s="146" t="s">
        <v>1146</v>
      </c>
      <c r="C121" s="5" t="s">
        <v>943</v>
      </c>
      <c r="D121" s="6" t="s">
        <v>4591</v>
      </c>
    </row>
    <row r="122" spans="1:4" ht="16">
      <c r="A122" s="5" t="s">
        <v>4883</v>
      </c>
      <c r="B122" s="146" t="s">
        <v>4878</v>
      </c>
      <c r="C122" s="5" t="s">
        <v>946</v>
      </c>
      <c r="D122" s="6" t="s">
        <v>4879</v>
      </c>
    </row>
    <row r="123" spans="1:4" ht="16">
      <c r="A123" s="5" t="s">
        <v>4794</v>
      </c>
      <c r="B123" s="146" t="s">
        <v>1159</v>
      </c>
      <c r="C123" s="5" t="s">
        <v>943</v>
      </c>
      <c r="D123" s="6" t="s">
        <v>4611</v>
      </c>
    </row>
    <row r="124" spans="1:4" ht="16">
      <c r="A124" s="5" t="s">
        <v>4849</v>
      </c>
      <c r="B124" s="146" t="s">
        <v>1077</v>
      </c>
      <c r="C124" s="5" t="s">
        <v>943</v>
      </c>
      <c r="D124" s="6" t="s">
        <v>987</v>
      </c>
    </row>
    <row r="125" spans="1:4" ht="32">
      <c r="A125" s="5" t="s">
        <v>4752</v>
      </c>
      <c r="B125" s="146" t="s">
        <v>1560</v>
      </c>
      <c r="C125" s="5" t="s">
        <v>946</v>
      </c>
      <c r="D125" s="6" t="s">
        <v>4682</v>
      </c>
    </row>
    <row r="126" spans="1:4" ht="16">
      <c r="A126" s="5" t="s">
        <v>4770</v>
      </c>
      <c r="B126" s="146" t="s">
        <v>1074</v>
      </c>
      <c r="C126" s="5" t="s">
        <v>943</v>
      </c>
      <c r="D126" s="6" t="s">
        <v>4588</v>
      </c>
    </row>
    <row r="127" spans="1:4" ht="16">
      <c r="A127" s="5" t="s">
        <v>4721</v>
      </c>
      <c r="B127" s="146" t="s">
        <v>4553</v>
      </c>
      <c r="C127" s="5" t="s">
        <v>943</v>
      </c>
      <c r="D127" s="6" t="s">
        <v>4670</v>
      </c>
    </row>
    <row r="128" spans="1:4" ht="16">
      <c r="A128" s="5" t="s">
        <v>4877</v>
      </c>
      <c r="B128" s="146" t="s">
        <v>1092</v>
      </c>
      <c r="C128" s="5" t="s">
        <v>943</v>
      </c>
      <c r="D128" s="6" t="s">
        <v>4875</v>
      </c>
    </row>
    <row r="129" spans="1:4" ht="16">
      <c r="A129" s="5" t="s">
        <v>4817</v>
      </c>
      <c r="B129" s="146" t="s">
        <v>1154</v>
      </c>
      <c r="C129" s="5" t="s">
        <v>946</v>
      </c>
      <c r="D129" s="6" t="s">
        <v>4633</v>
      </c>
    </row>
    <row r="130" spans="1:4" ht="16">
      <c r="A130" s="5" t="s">
        <v>4712</v>
      </c>
      <c r="B130" s="146" t="s">
        <v>976</v>
      </c>
      <c r="C130" s="5" t="s">
        <v>946</v>
      </c>
      <c r="D130" s="6" t="s">
        <v>4662</v>
      </c>
    </row>
    <row r="131" spans="1:4" ht="16">
      <c r="A131" s="5" t="s">
        <v>4795</v>
      </c>
      <c r="B131" s="146" t="s">
        <v>1566</v>
      </c>
      <c r="C131" s="5" t="s">
        <v>946</v>
      </c>
      <c r="D131" s="6" t="s">
        <v>4612</v>
      </c>
    </row>
    <row r="132" spans="1:4" ht="32">
      <c r="A132" s="5" t="s">
        <v>4768</v>
      </c>
      <c r="B132" s="146" t="s">
        <v>1208</v>
      </c>
      <c r="C132" s="5" t="s">
        <v>946</v>
      </c>
      <c r="D132" s="6" t="s">
        <v>4913</v>
      </c>
    </row>
    <row r="133" spans="1:4" ht="16">
      <c r="A133" s="5" t="s">
        <v>4808</v>
      </c>
      <c r="B133" s="146" t="s">
        <v>1063</v>
      </c>
      <c r="C133" s="5" t="s">
        <v>946</v>
      </c>
      <c r="D133" s="6" t="s">
        <v>4626</v>
      </c>
    </row>
    <row r="134" spans="1:4" ht="16">
      <c r="A134" s="5" t="s">
        <v>4813</v>
      </c>
      <c r="B134" s="146" t="s">
        <v>1783</v>
      </c>
      <c r="C134" s="5" t="s">
        <v>946</v>
      </c>
      <c r="D134" s="6" t="s">
        <v>4630</v>
      </c>
    </row>
    <row r="135" spans="1:4" ht="32">
      <c r="A135" s="5" t="s">
        <v>4736</v>
      </c>
      <c r="B135" s="146" t="s">
        <v>1089</v>
      </c>
      <c r="C135" s="5" t="s">
        <v>943</v>
      </c>
      <c r="D135" s="6" t="s">
        <v>4561</v>
      </c>
    </row>
    <row r="136" spans="1:4" ht="16">
      <c r="A136" s="5" t="s">
        <v>4825</v>
      </c>
      <c r="B136" s="146" t="s">
        <v>1167</v>
      </c>
      <c r="C136" s="5" t="s">
        <v>943</v>
      </c>
      <c r="D136" s="6" t="s">
        <v>4639</v>
      </c>
    </row>
    <row r="137" spans="1:4" ht="16">
      <c r="A137" s="5" t="s">
        <v>4784</v>
      </c>
      <c r="B137" s="146" t="s">
        <v>944</v>
      </c>
      <c r="C137" s="5" t="s">
        <v>946</v>
      </c>
      <c r="D137" s="6" t="s">
        <v>4599</v>
      </c>
    </row>
    <row r="138" spans="1:4" ht="16">
      <c r="A138" s="5" t="s">
        <v>4851</v>
      </c>
      <c r="B138" s="146" t="s">
        <v>1081</v>
      </c>
      <c r="C138" s="5" t="s">
        <v>943</v>
      </c>
      <c r="D138" s="6" t="s">
        <v>968</v>
      </c>
    </row>
    <row r="139" spans="1:4" ht="16">
      <c r="A139" s="5" t="s">
        <v>4868</v>
      </c>
      <c r="B139" s="146" t="s">
        <v>1098</v>
      </c>
      <c r="C139" s="5" t="s">
        <v>943</v>
      </c>
      <c r="D139" s="6" t="s">
        <v>4862</v>
      </c>
    </row>
    <row r="140" spans="1:4" ht="16">
      <c r="A140" s="5" t="s">
        <v>4747</v>
      </c>
      <c r="B140" s="146" t="s">
        <v>1653</v>
      </c>
      <c r="C140" s="5" t="s">
        <v>946</v>
      </c>
      <c r="D140" s="6" t="s">
        <v>4680</v>
      </c>
    </row>
    <row r="141" spans="1:4" ht="32">
      <c r="A141" s="5" t="s">
        <v>4836</v>
      </c>
      <c r="B141" s="146" t="s">
        <v>1212</v>
      </c>
      <c r="C141" s="5" t="s">
        <v>946</v>
      </c>
      <c r="D141" s="6" t="s">
        <v>4648</v>
      </c>
    </row>
    <row r="142" spans="1:4" ht="16">
      <c r="A142" s="5" t="s">
        <v>4812</v>
      </c>
      <c r="B142" s="146" t="s">
        <v>1185</v>
      </c>
      <c r="C142" s="5" t="s">
        <v>943</v>
      </c>
      <c r="D142" s="6" t="s">
        <v>4629</v>
      </c>
    </row>
    <row r="143" spans="1:4" ht="16">
      <c r="A143" s="5" t="s">
        <v>4840</v>
      </c>
      <c r="B143" s="146" t="s">
        <v>1085</v>
      </c>
      <c r="C143" s="5" t="s">
        <v>943</v>
      </c>
      <c r="D143" s="6" t="s">
        <v>4706</v>
      </c>
    </row>
    <row r="144" spans="1:4" ht="16">
      <c r="A144" s="5" t="s">
        <v>4717</v>
      </c>
      <c r="B144" s="146" t="s">
        <v>977</v>
      </c>
      <c r="C144" s="5" t="s">
        <v>946</v>
      </c>
      <c r="D144" s="6" t="s">
        <v>4667</v>
      </c>
    </row>
    <row r="145" spans="1:4" ht="16">
      <c r="A145" s="5" t="s">
        <v>4780</v>
      </c>
      <c r="B145" s="146" t="s">
        <v>950</v>
      </c>
      <c r="C145" s="5" t="s">
        <v>946</v>
      </c>
      <c r="D145" s="6" t="s">
        <v>4597</v>
      </c>
    </row>
    <row r="146" spans="1:4" ht="32">
      <c r="A146" s="5" t="s">
        <v>4744</v>
      </c>
      <c r="B146" s="146" t="s">
        <v>1170</v>
      </c>
      <c r="C146" s="5" t="s">
        <v>943</v>
      </c>
      <c r="D146" s="6" t="s">
        <v>5012</v>
      </c>
    </row>
    <row r="147" spans="1:4" ht="16">
      <c r="A147" s="5" t="s">
        <v>4848</v>
      </c>
      <c r="B147" s="146" t="s">
        <v>4654</v>
      </c>
      <c r="C147" s="5" t="s">
        <v>946</v>
      </c>
      <c r="D147" s="6" t="s">
        <v>4655</v>
      </c>
    </row>
    <row r="148" spans="1:4" ht="16">
      <c r="A148" s="5" t="s">
        <v>4734</v>
      </c>
      <c r="B148" s="146" t="s">
        <v>4557</v>
      </c>
      <c r="C148" s="5" t="s">
        <v>946</v>
      </c>
      <c r="D148" s="6" t="s">
        <v>4675</v>
      </c>
    </row>
    <row r="149" spans="1:4" ht="16">
      <c r="A149" s="5" t="s">
        <v>4809</v>
      </c>
      <c r="B149" s="146" t="s">
        <v>1669</v>
      </c>
      <c r="C149" s="5" t="s">
        <v>946</v>
      </c>
      <c r="D149" s="6" t="s">
        <v>4625</v>
      </c>
    </row>
    <row r="150" spans="1:4" ht="16">
      <c r="A150" s="5" t="s">
        <v>4858</v>
      </c>
      <c r="B150" s="146" t="s">
        <v>1693</v>
      </c>
      <c r="C150" s="5" t="s">
        <v>946</v>
      </c>
      <c r="D150" s="6" t="s">
        <v>5014</v>
      </c>
    </row>
    <row r="151" spans="1:4" ht="16">
      <c r="A151" s="5" t="s">
        <v>4846</v>
      </c>
      <c r="B151" s="146" t="s">
        <v>4653</v>
      </c>
      <c r="C151" s="5" t="s">
        <v>943</v>
      </c>
      <c r="D151" s="6" t="s">
        <v>4651</v>
      </c>
    </row>
    <row r="152" spans="1:4" ht="16">
      <c r="A152" s="5" t="s">
        <v>4771</v>
      </c>
      <c r="B152" s="146" t="s">
        <v>1072</v>
      </c>
      <c r="C152" s="5" t="s">
        <v>943</v>
      </c>
      <c r="D152" s="6" t="s">
        <v>4590</v>
      </c>
    </row>
    <row r="153" spans="1:4" ht="16">
      <c r="A153" s="5" t="s">
        <v>4835</v>
      </c>
      <c r="B153" s="146" t="s">
        <v>4647</v>
      </c>
      <c r="C153" s="5" t="s">
        <v>946</v>
      </c>
      <c r="D153" s="6" t="s">
        <v>4703</v>
      </c>
    </row>
    <row r="154" spans="1:4" ht="16">
      <c r="A154" s="5" t="s">
        <v>4797</v>
      </c>
      <c r="B154" s="146" t="s">
        <v>1136</v>
      </c>
      <c r="C154" s="5" t="s">
        <v>943</v>
      </c>
      <c r="D154" s="6" t="s">
        <v>4614</v>
      </c>
    </row>
    <row r="155" spans="1:4" ht="16">
      <c r="A155" s="5" t="s">
        <v>4933</v>
      </c>
      <c r="B155" s="146" t="s">
        <v>4938</v>
      </c>
      <c r="C155" s="5" t="s">
        <v>943</v>
      </c>
      <c r="D155" s="6" t="s">
        <v>4939</v>
      </c>
    </row>
    <row r="156" spans="1:4" ht="32">
      <c r="A156" s="5" t="s">
        <v>4925</v>
      </c>
      <c r="B156" s="146" t="s">
        <v>2111</v>
      </c>
      <c r="C156" s="5" t="s">
        <v>946</v>
      </c>
      <c r="D156" s="6" t="s">
        <v>4930</v>
      </c>
    </row>
    <row r="157" spans="1:4" ht="32">
      <c r="A157" s="5" t="s">
        <v>4927</v>
      </c>
      <c r="B157" s="146" t="s">
        <v>4932</v>
      </c>
      <c r="C157" s="5" t="s">
        <v>946</v>
      </c>
      <c r="D157" s="6" t="s">
        <v>4937</v>
      </c>
    </row>
    <row r="158" spans="1:4" ht="16">
      <c r="A158" s="5" t="s">
        <v>4757</v>
      </c>
      <c r="B158" s="146" t="s">
        <v>4577</v>
      </c>
      <c r="C158" s="5" t="s">
        <v>946</v>
      </c>
      <c r="D158" s="6" t="s">
        <v>4578</v>
      </c>
    </row>
    <row r="159" spans="1:4" ht="32">
      <c r="A159" s="5" t="s">
        <v>4870</v>
      </c>
      <c r="B159" s="146" t="s">
        <v>4863</v>
      </c>
      <c r="C159" s="5" t="s">
        <v>943</v>
      </c>
      <c r="D159" s="6" t="s">
        <v>4864</v>
      </c>
    </row>
    <row r="160" spans="1:4" ht="16">
      <c r="A160" s="5" t="s">
        <v>4841</v>
      </c>
      <c r="B160" s="146" t="s">
        <v>1087</v>
      </c>
      <c r="C160" s="5" t="s">
        <v>943</v>
      </c>
      <c r="D160" s="6" t="s">
        <v>4649</v>
      </c>
    </row>
    <row r="161" spans="1:4" ht="16">
      <c r="A161" s="5" t="s">
        <v>4934</v>
      </c>
      <c r="B161" s="146" t="s">
        <v>4940</v>
      </c>
      <c r="C161" s="5" t="s">
        <v>943</v>
      </c>
      <c r="D161" s="6" t="s">
        <v>4941</v>
      </c>
    </row>
    <row r="162" spans="1:4" ht="16">
      <c r="A162" s="5" t="s">
        <v>4719</v>
      </c>
      <c r="B162" s="146" t="s">
        <v>4551</v>
      </c>
      <c r="C162" s="5" t="s">
        <v>946</v>
      </c>
      <c r="D162" s="6" t="s">
        <v>4669</v>
      </c>
    </row>
    <row r="163" spans="1:4" ht="16">
      <c r="A163" s="5" t="s">
        <v>4725</v>
      </c>
      <c r="B163" s="146" t="s">
        <v>2347</v>
      </c>
      <c r="C163" s="5" t="s">
        <v>943</v>
      </c>
      <c r="D163" s="6" t="s">
        <v>4560</v>
      </c>
    </row>
    <row r="164" spans="1:4" ht="16">
      <c r="A164" s="5" t="s">
        <v>4796</v>
      </c>
      <c r="B164" s="146" t="s">
        <v>4613</v>
      </c>
      <c r="C164" s="5" t="s">
        <v>943</v>
      </c>
      <c r="D164" s="6" t="s">
        <v>4615</v>
      </c>
    </row>
    <row r="165" spans="1:4" ht="16">
      <c r="A165" s="5" t="s">
        <v>4750</v>
      </c>
      <c r="B165" s="146" t="s">
        <v>4571</v>
      </c>
      <c r="C165" s="5" t="s">
        <v>943</v>
      </c>
      <c r="D165" s="6" t="s">
        <v>4572</v>
      </c>
    </row>
    <row r="166" spans="1:4" ht="16">
      <c r="A166" s="5" t="s">
        <v>4790</v>
      </c>
      <c r="B166" s="146" t="s">
        <v>4607</v>
      </c>
      <c r="C166" s="5" t="s">
        <v>946</v>
      </c>
      <c r="D166" s="6" t="s">
        <v>4694</v>
      </c>
    </row>
    <row r="167" spans="1:4" ht="32">
      <c r="A167" s="5" t="s">
        <v>4782</v>
      </c>
      <c r="B167" s="146" t="s">
        <v>4598</v>
      </c>
      <c r="C167" s="5" t="s">
        <v>943</v>
      </c>
      <c r="D167" s="6" t="s">
        <v>4690</v>
      </c>
    </row>
    <row r="168" spans="1:4" ht="16">
      <c r="A168" s="5" t="s">
        <v>4844</v>
      </c>
      <c r="B168" s="146" t="s">
        <v>1140</v>
      </c>
      <c r="C168" s="5" t="s">
        <v>946</v>
      </c>
      <c r="D168" s="6" t="s">
        <v>4707</v>
      </c>
    </row>
    <row r="169" spans="1:4" ht="16">
      <c r="A169" s="5" t="s">
        <v>4829</v>
      </c>
      <c r="B169" s="146" t="s">
        <v>945</v>
      </c>
      <c r="C169" s="5" t="s">
        <v>946</v>
      </c>
      <c r="D169" s="6" t="s">
        <v>4912</v>
      </c>
    </row>
    <row r="170" spans="1:4" ht="32">
      <c r="A170" s="5" t="s">
        <v>4924</v>
      </c>
      <c r="B170" s="146" t="s">
        <v>1020</v>
      </c>
      <c r="C170" s="5" t="s">
        <v>946</v>
      </c>
      <c r="D170" s="6" t="s">
        <v>4929</v>
      </c>
    </row>
    <row r="171" spans="1:4" ht="16">
      <c r="A171" s="5" t="s">
        <v>4920</v>
      </c>
      <c r="B171" s="146" t="s">
        <v>4916</v>
      </c>
      <c r="C171" s="5" t="s">
        <v>946</v>
      </c>
      <c r="D171" s="6" t="s">
        <v>4917</v>
      </c>
    </row>
    <row r="172" spans="1:4" ht="16">
      <c r="A172" s="5" t="s">
        <v>4727</v>
      </c>
      <c r="B172" s="146" t="s">
        <v>1139</v>
      </c>
      <c r="C172" s="5" t="s">
        <v>946</v>
      </c>
      <c r="D172" s="6" t="s">
        <v>4622</v>
      </c>
    </row>
    <row r="173" spans="1:4" ht="32">
      <c r="A173" s="5" t="s">
        <v>4728</v>
      </c>
      <c r="B173" s="146" t="s">
        <v>2350</v>
      </c>
      <c r="C173" s="5" t="s">
        <v>943</v>
      </c>
      <c r="D173" s="6" t="s">
        <v>4901</v>
      </c>
    </row>
    <row r="174" spans="1:4" ht="16">
      <c r="A174" s="5" t="s">
        <v>4803</v>
      </c>
      <c r="B174" s="146" t="s">
        <v>1777</v>
      </c>
      <c r="C174" s="5" t="s">
        <v>946</v>
      </c>
      <c r="D174" s="6" t="s">
        <v>5013</v>
      </c>
    </row>
  </sheetData>
  <autoFilter ref="A1:D174" xr:uid="{C3462C4B-1C96-4142-B0B1-9DA86C8B3A6B}">
    <sortState xmlns:xlrd2="http://schemas.microsoft.com/office/spreadsheetml/2017/richdata2" ref="A2:D174">
      <sortCondition ref="B1:B174"/>
    </sortState>
  </autoFilter>
  <phoneticPr fontId="37"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00C6-BEFF-E640-9228-8A5D675483C1}">
  <sheetPr codeName="Hoja6">
    <tabColor theme="9"/>
  </sheetPr>
  <dimension ref="A1:AK658"/>
  <sheetViews>
    <sheetView zoomScale="150" workbookViewId="0">
      <pane xSplit="3" topLeftCell="BB1" activePane="topRight" state="frozen"/>
      <selection pane="topRight" sqref="A1:XFD1"/>
    </sheetView>
  </sheetViews>
  <sheetFormatPr baseColWidth="10" defaultColWidth="8.6640625" defaultRowHeight="15"/>
  <cols>
    <col min="1" max="1" width="14.33203125" style="84" bestFit="1" customWidth="1"/>
    <col min="2" max="2" width="14.6640625" customWidth="1"/>
    <col min="3" max="3" width="50" style="87" customWidth="1"/>
    <col min="4" max="4" width="10.5" style="84" customWidth="1"/>
    <col min="5" max="5" width="10.5" customWidth="1"/>
    <col min="6" max="9" width="7.6640625" style="4" customWidth="1"/>
    <col min="10" max="10" width="7.6640625" style="87" customWidth="1"/>
    <col min="11" max="11" width="10.5" style="84" customWidth="1"/>
    <col min="12" max="12" width="6" customWidth="1"/>
    <col min="13" max="13" width="10.5" customWidth="1"/>
    <col min="14" max="14" width="6" customWidth="1"/>
    <col min="15" max="15" width="10.5" customWidth="1"/>
    <col min="16" max="16" width="6" style="87" customWidth="1"/>
    <col min="17" max="17" width="9.33203125" style="84" customWidth="1"/>
    <col min="18" max="18" width="6" customWidth="1"/>
    <col min="20" max="20" width="6" style="85" customWidth="1"/>
    <col min="22" max="22" width="5.6640625" style="85" bestFit="1" customWidth="1"/>
    <col min="24" max="24" width="6" style="86" customWidth="1"/>
    <col min="26" max="26" width="11.33203125" bestFit="1" customWidth="1"/>
    <col min="27" max="29" width="11.33203125" customWidth="1"/>
    <col min="31" max="31" width="6" customWidth="1"/>
    <col min="33" max="33" width="6" customWidth="1"/>
    <col min="35" max="35" width="6" customWidth="1"/>
    <col min="37" max="37" width="6" style="87" customWidth="1"/>
  </cols>
  <sheetData>
    <row r="1" spans="1:37">
      <c r="A1" s="90" t="s">
        <v>864</v>
      </c>
      <c r="B1" s="91" t="s">
        <v>942</v>
      </c>
      <c r="C1" s="92" t="s">
        <v>771</v>
      </c>
      <c r="D1" s="88" t="s">
        <v>1805</v>
      </c>
      <c r="E1" s="89" t="s">
        <v>2039</v>
      </c>
      <c r="F1" s="102" t="s">
        <v>1933</v>
      </c>
      <c r="G1" s="102" t="s">
        <v>2124</v>
      </c>
      <c r="H1" s="102" t="s">
        <v>1908</v>
      </c>
      <c r="I1" s="102" t="s">
        <v>1896</v>
      </c>
      <c r="J1" s="102" t="s">
        <v>2040</v>
      </c>
      <c r="K1" s="80" t="s">
        <v>1808</v>
      </c>
      <c r="L1" s="81" t="s">
        <v>1917</v>
      </c>
      <c r="M1" s="81" t="s">
        <v>1888</v>
      </c>
      <c r="N1" s="81" t="s">
        <v>1918</v>
      </c>
      <c r="O1" s="81" t="s">
        <v>1889</v>
      </c>
      <c r="P1" s="96" t="s">
        <v>1919</v>
      </c>
      <c r="Q1" s="97" t="s">
        <v>1907</v>
      </c>
      <c r="R1" s="82" t="s">
        <v>1920</v>
      </c>
      <c r="S1" s="83" t="s">
        <v>1912</v>
      </c>
      <c r="T1" s="100" t="s">
        <v>1921</v>
      </c>
      <c r="U1" s="83" t="s">
        <v>1541</v>
      </c>
      <c r="V1" s="100" t="s">
        <v>1922</v>
      </c>
      <c r="W1" s="83" t="s">
        <v>1913</v>
      </c>
      <c r="X1" s="101" t="s">
        <v>1923</v>
      </c>
      <c r="Y1" s="94" t="s">
        <v>1954</v>
      </c>
      <c r="Z1" s="94" t="s">
        <v>1955</v>
      </c>
      <c r="AA1" s="94" t="s">
        <v>1960</v>
      </c>
      <c r="AB1" s="94" t="s">
        <v>1956</v>
      </c>
      <c r="AC1" s="94" t="s">
        <v>1958</v>
      </c>
      <c r="AD1" s="94" t="s">
        <v>1912</v>
      </c>
      <c r="AE1" s="94" t="s">
        <v>1924</v>
      </c>
      <c r="AF1" s="94" t="s">
        <v>1541</v>
      </c>
      <c r="AG1" s="94" t="s">
        <v>1925</v>
      </c>
      <c r="AH1" s="94" t="s">
        <v>1913</v>
      </c>
      <c r="AI1" s="94" t="s">
        <v>1926</v>
      </c>
      <c r="AJ1" s="94" t="s">
        <v>1916</v>
      </c>
      <c r="AK1" s="95" t="s">
        <v>1931</v>
      </c>
    </row>
    <row r="2" spans="1:37">
      <c r="A2" s="84" t="s">
        <v>2094</v>
      </c>
      <c r="D2" s="84" t="s">
        <v>1806</v>
      </c>
      <c r="F2" s="103"/>
      <c r="G2" s="103"/>
      <c r="H2" s="103"/>
      <c r="I2" s="103"/>
      <c r="J2" s="86"/>
      <c r="L2" s="85"/>
      <c r="N2" s="85"/>
      <c r="P2" s="86"/>
      <c r="R2" s="85"/>
      <c r="Y2" s="85"/>
      <c r="Z2" s="85"/>
      <c r="AA2" s="85"/>
      <c r="AB2" s="85"/>
      <c r="AE2" s="85"/>
      <c r="AG2" s="85"/>
      <c r="AI2" s="85"/>
      <c r="AK2" s="86"/>
    </row>
    <row r="3" spans="1:37">
      <c r="A3" s="84" t="s">
        <v>2090</v>
      </c>
      <c r="D3" s="84" t="s">
        <v>1807</v>
      </c>
      <c r="F3" s="103"/>
      <c r="G3" s="103"/>
      <c r="H3" s="103"/>
      <c r="I3" s="103"/>
      <c r="R3" s="85"/>
      <c r="Z3" s="85"/>
      <c r="AA3" s="85"/>
      <c r="AB3" s="85"/>
      <c r="AE3" s="85"/>
      <c r="AG3" s="85"/>
      <c r="AI3" s="85"/>
      <c r="AK3" s="86"/>
    </row>
    <row r="4" spans="1:37">
      <c r="A4" s="84" t="s">
        <v>1265</v>
      </c>
      <c r="B4" t="s">
        <v>1380</v>
      </c>
      <c r="C4" s="87" t="s">
        <v>1401</v>
      </c>
      <c r="D4" s="84" t="s">
        <v>1806</v>
      </c>
      <c r="F4" s="85">
        <v>0.1</v>
      </c>
      <c r="G4" s="85">
        <v>0.9</v>
      </c>
      <c r="H4" s="85"/>
      <c r="I4" s="85"/>
      <c r="J4" s="86"/>
      <c r="L4" s="85"/>
      <c r="N4" s="85"/>
      <c r="P4" s="86"/>
      <c r="R4" s="85"/>
      <c r="Y4" s="85"/>
      <c r="Z4" s="85"/>
      <c r="AA4" s="85">
        <v>0.1</v>
      </c>
      <c r="AB4" s="85"/>
      <c r="AE4" s="85"/>
      <c r="AG4" s="85"/>
      <c r="AI4" s="85"/>
      <c r="AK4" s="86"/>
    </row>
    <row r="5" spans="1:37">
      <c r="A5" s="84" t="s">
        <v>1223</v>
      </c>
      <c r="B5" t="s">
        <v>1379</v>
      </c>
      <c r="C5" s="87" t="s">
        <v>1415</v>
      </c>
      <c r="D5" s="84" t="s">
        <v>1806</v>
      </c>
      <c r="F5" s="85"/>
      <c r="G5" s="85"/>
      <c r="H5" s="85"/>
      <c r="I5" s="85"/>
      <c r="J5" s="86"/>
      <c r="L5" s="85"/>
      <c r="N5" s="85"/>
      <c r="P5" s="86"/>
      <c r="R5" s="85"/>
      <c r="Y5" s="85"/>
      <c r="Z5" s="85"/>
      <c r="AA5" s="85"/>
      <c r="AB5" s="85"/>
      <c r="AE5" s="85"/>
      <c r="AG5" s="85"/>
      <c r="AI5" s="85"/>
      <c r="AK5" s="86"/>
    </row>
    <row r="6" spans="1:37">
      <c r="A6" s="84" t="s">
        <v>2061</v>
      </c>
      <c r="D6" s="84" t="s">
        <v>1806</v>
      </c>
      <c r="F6" s="103"/>
      <c r="G6" s="103"/>
      <c r="H6" s="103"/>
      <c r="I6" s="103"/>
      <c r="R6" s="85"/>
      <c r="Z6" s="85"/>
      <c r="AA6" s="85"/>
      <c r="AB6" s="85"/>
      <c r="AE6" s="85"/>
      <c r="AG6" s="85"/>
      <c r="AI6" s="85"/>
      <c r="AK6" s="86"/>
    </row>
    <row r="7" spans="1:37">
      <c r="A7" s="84" t="s">
        <v>1610</v>
      </c>
      <c r="D7" s="84" t="s">
        <v>1806</v>
      </c>
      <c r="F7" s="103"/>
      <c r="G7" s="103"/>
      <c r="H7" s="103"/>
      <c r="I7" s="103"/>
      <c r="R7" s="85"/>
      <c r="Z7" s="85"/>
      <c r="AA7" s="85"/>
      <c r="AB7" s="85"/>
      <c r="AE7" s="85"/>
      <c r="AG7" s="85"/>
      <c r="AI7" s="85"/>
      <c r="AK7" s="86"/>
    </row>
    <row r="8" spans="1:37">
      <c r="A8" s="84" t="s">
        <v>1315</v>
      </c>
      <c r="B8" t="s">
        <v>772</v>
      </c>
      <c r="C8" s="93" t="s">
        <v>1109</v>
      </c>
      <c r="D8" s="84" t="s">
        <v>1806</v>
      </c>
      <c r="F8" s="85">
        <v>0.1</v>
      </c>
      <c r="G8" s="85">
        <v>0.9</v>
      </c>
      <c r="H8" s="85"/>
      <c r="I8" s="85"/>
      <c r="J8" s="86"/>
      <c r="L8" s="85"/>
      <c r="N8" s="85"/>
      <c r="P8" s="86"/>
      <c r="Q8" s="84">
        <v>0</v>
      </c>
      <c r="R8" s="85"/>
      <c r="Y8" s="85"/>
      <c r="Z8" s="85"/>
      <c r="AA8" s="85"/>
      <c r="AB8" s="85"/>
      <c r="AE8" s="85"/>
      <c r="AG8" s="85"/>
      <c r="AI8" s="85"/>
      <c r="AK8" s="86"/>
    </row>
    <row r="9" spans="1:37">
      <c r="A9" s="84" t="s">
        <v>1316</v>
      </c>
      <c r="B9" t="s">
        <v>772</v>
      </c>
      <c r="C9" s="87" t="s">
        <v>1427</v>
      </c>
      <c r="D9" s="84" t="s">
        <v>1806</v>
      </c>
      <c r="F9" s="85">
        <v>0.1</v>
      </c>
      <c r="G9" s="85">
        <v>0.9</v>
      </c>
      <c r="H9" s="85"/>
      <c r="I9" s="85"/>
      <c r="J9" s="86"/>
      <c r="L9" s="85"/>
      <c r="N9" s="85"/>
      <c r="P9" s="86"/>
      <c r="Q9" s="84">
        <v>1</v>
      </c>
      <c r="R9" s="85"/>
      <c r="Y9" s="85"/>
      <c r="Z9" s="85"/>
      <c r="AA9" s="85"/>
      <c r="AB9" s="85"/>
      <c r="AE9" s="85"/>
      <c r="AG9" s="85"/>
      <c r="AI9" s="85"/>
      <c r="AK9" s="86"/>
    </row>
    <row r="10" spans="1:37">
      <c r="A10" s="84" t="s">
        <v>2092</v>
      </c>
      <c r="D10" s="84" t="s">
        <v>1806</v>
      </c>
      <c r="F10" s="103"/>
      <c r="G10" s="103"/>
      <c r="H10" s="103"/>
      <c r="I10" s="103"/>
      <c r="R10" s="85"/>
      <c r="Z10" s="85"/>
      <c r="AA10" s="85"/>
      <c r="AB10" s="85"/>
      <c r="AE10" s="85"/>
      <c r="AG10" s="85"/>
      <c r="AI10" s="85"/>
      <c r="AK10" s="86"/>
    </row>
    <row r="11" spans="1:37">
      <c r="A11" s="84" t="s">
        <v>2082</v>
      </c>
      <c r="D11" s="84" t="s">
        <v>1806</v>
      </c>
      <c r="F11" s="103"/>
      <c r="G11" s="103"/>
      <c r="H11" s="103"/>
      <c r="I11" s="103"/>
      <c r="R11" s="85"/>
      <c r="Z11" s="85"/>
      <c r="AA11" s="85"/>
      <c r="AB11" s="85"/>
      <c r="AE11" s="85"/>
      <c r="AG11" s="85"/>
      <c r="AI11" s="85"/>
      <c r="AK11" s="86"/>
    </row>
    <row r="12" spans="1:37">
      <c r="A12" s="84" t="s">
        <v>2095</v>
      </c>
      <c r="D12" s="84" t="s">
        <v>1807</v>
      </c>
      <c r="F12" s="103"/>
      <c r="G12" s="103"/>
      <c r="H12" s="103"/>
      <c r="I12" s="103"/>
      <c r="R12" s="85"/>
      <c r="Z12" s="85"/>
      <c r="AA12" s="85"/>
      <c r="AB12" s="85"/>
      <c r="AE12" s="85"/>
      <c r="AG12" s="85"/>
      <c r="AI12" s="85"/>
      <c r="AK12" s="86"/>
    </row>
    <row r="13" spans="1:37">
      <c r="A13" s="84" t="s">
        <v>1365</v>
      </c>
      <c r="B13" t="s">
        <v>36</v>
      </c>
      <c r="C13" s="93" t="s">
        <v>1957</v>
      </c>
      <c r="D13" s="84" t="s">
        <v>1806</v>
      </c>
      <c r="F13" s="85">
        <v>0.2</v>
      </c>
      <c r="G13" s="85">
        <v>0.9</v>
      </c>
      <c r="H13" s="85"/>
      <c r="I13" s="85"/>
      <c r="J13" s="86"/>
      <c r="L13" s="85"/>
      <c r="M13" t="s">
        <v>1838</v>
      </c>
      <c r="N13" s="85">
        <v>1</v>
      </c>
      <c r="P13" s="86"/>
      <c r="R13" s="85"/>
      <c r="Y13" s="85"/>
      <c r="Z13" s="85"/>
      <c r="AA13" s="85"/>
      <c r="AB13" s="85"/>
      <c r="AE13" s="85"/>
      <c r="AG13" s="85"/>
      <c r="AI13" s="85"/>
      <c r="AK13" s="86"/>
    </row>
    <row r="14" spans="1:37">
      <c r="A14" s="84" t="s">
        <v>1038</v>
      </c>
      <c r="B14" t="s">
        <v>1385</v>
      </c>
      <c r="C14" s="99" t="s">
        <v>1932</v>
      </c>
      <c r="D14" s="84" t="s">
        <v>1806</v>
      </c>
      <c r="F14" s="103">
        <v>0.1</v>
      </c>
      <c r="G14" s="103">
        <v>0.9</v>
      </c>
      <c r="H14" s="103"/>
      <c r="I14" s="103"/>
      <c r="J14" s="86"/>
      <c r="L14" s="85"/>
      <c r="N14" s="85"/>
      <c r="P14" s="86"/>
      <c r="Q14" s="84">
        <v>0</v>
      </c>
      <c r="R14" s="85"/>
      <c r="Y14" s="85"/>
      <c r="Z14" s="85"/>
      <c r="AA14" s="85"/>
      <c r="AB14" s="85"/>
      <c r="AE14" s="85"/>
      <c r="AG14" s="85"/>
      <c r="AI14" s="85"/>
      <c r="AK14" s="86"/>
    </row>
    <row r="15" spans="1:37">
      <c r="A15" s="84" t="s">
        <v>1761</v>
      </c>
      <c r="B15" t="s">
        <v>1388</v>
      </c>
      <c r="C15" s="87" t="s">
        <v>1762</v>
      </c>
      <c r="D15" s="84" t="s">
        <v>1806</v>
      </c>
      <c r="F15" s="85"/>
      <c r="G15" s="85"/>
      <c r="H15" s="85"/>
      <c r="I15" s="85"/>
      <c r="J15" s="86"/>
      <c r="L15" s="85"/>
      <c r="N15" s="85"/>
      <c r="P15" s="86"/>
      <c r="R15" s="85"/>
      <c r="Y15" s="85"/>
      <c r="Z15" s="85"/>
      <c r="AA15" s="85"/>
      <c r="AB15" s="85"/>
      <c r="AE15" s="85"/>
      <c r="AG15" s="85"/>
      <c r="AI15" s="85"/>
      <c r="AK15" s="86"/>
    </row>
    <row r="16" spans="1:37">
      <c r="A16" s="84" t="s">
        <v>1625</v>
      </c>
      <c r="D16" s="84" t="s">
        <v>1806</v>
      </c>
      <c r="F16" s="103"/>
      <c r="G16" s="103"/>
      <c r="H16" s="103"/>
      <c r="I16" s="103"/>
      <c r="R16" s="85"/>
      <c r="Z16" s="85"/>
      <c r="AA16" s="85"/>
      <c r="AB16" s="85"/>
      <c r="AE16" s="85"/>
      <c r="AG16" s="85"/>
      <c r="AI16" s="85"/>
      <c r="AK16" s="86"/>
    </row>
    <row r="17" spans="1:37">
      <c r="A17" s="84" t="s">
        <v>1590</v>
      </c>
      <c r="D17" s="84" t="s">
        <v>1806</v>
      </c>
      <c r="F17" s="103"/>
      <c r="G17" s="103"/>
      <c r="H17" s="103"/>
      <c r="I17" s="103"/>
      <c r="R17" s="85"/>
      <c r="Z17" s="85"/>
      <c r="AA17" s="85"/>
      <c r="AB17" s="85"/>
      <c r="AE17" s="85"/>
      <c r="AG17" s="85"/>
      <c r="AI17" s="85"/>
      <c r="AK17" s="86"/>
    </row>
    <row r="18" spans="1:37">
      <c r="A18" s="84" t="s">
        <v>1715</v>
      </c>
      <c r="B18" t="s">
        <v>1381</v>
      </c>
      <c r="C18" s="87" t="s">
        <v>1915</v>
      </c>
      <c r="D18" s="84" t="s">
        <v>1807</v>
      </c>
      <c r="F18" s="85">
        <v>0.1</v>
      </c>
      <c r="G18" s="85">
        <v>1</v>
      </c>
      <c r="H18" s="85"/>
      <c r="I18" s="85"/>
      <c r="J18" s="86"/>
      <c r="L18" s="85"/>
      <c r="N18" s="85"/>
      <c r="P18" s="86"/>
      <c r="Q18" s="84">
        <v>0</v>
      </c>
      <c r="R18" s="85"/>
      <c r="Y18" s="85"/>
      <c r="Z18" s="85"/>
      <c r="AA18" s="85"/>
      <c r="AB18" s="85"/>
      <c r="AE18" s="85"/>
      <c r="AF18">
        <v>6</v>
      </c>
      <c r="AG18" s="85">
        <v>1</v>
      </c>
      <c r="AI18" s="85"/>
      <c r="AK18" s="86"/>
    </row>
    <row r="19" spans="1:37">
      <c r="A19" s="84" t="s">
        <v>2065</v>
      </c>
      <c r="D19" s="84" t="s">
        <v>1806</v>
      </c>
      <c r="F19" s="103"/>
      <c r="G19" s="103"/>
      <c r="H19" s="103"/>
      <c r="I19" s="103"/>
      <c r="R19" s="85"/>
      <c r="Z19" s="85"/>
      <c r="AA19" s="85"/>
      <c r="AB19" s="85"/>
      <c r="AE19" s="85"/>
      <c r="AG19" s="85"/>
      <c r="AI19" s="85"/>
      <c r="AK19" s="86"/>
    </row>
    <row r="20" spans="1:37">
      <c r="A20" s="84" t="s">
        <v>2118</v>
      </c>
      <c r="D20" s="84" t="s">
        <v>1806</v>
      </c>
      <c r="F20" s="103"/>
      <c r="G20" s="103"/>
      <c r="H20" s="103"/>
      <c r="I20" s="103"/>
      <c r="R20" s="85"/>
      <c r="Z20" s="85"/>
      <c r="AA20" s="85"/>
      <c r="AB20" s="85"/>
      <c r="AE20" s="85"/>
      <c r="AG20" s="85"/>
      <c r="AI20" s="85"/>
      <c r="AK20" s="86"/>
    </row>
    <row r="21" spans="1:37">
      <c r="A21" s="84" t="s">
        <v>1350</v>
      </c>
      <c r="B21" t="s">
        <v>36</v>
      </c>
      <c r="C21" s="87" t="s">
        <v>1395</v>
      </c>
      <c r="D21" s="84" t="s">
        <v>1807</v>
      </c>
      <c r="F21" s="85" t="s">
        <v>1807</v>
      </c>
      <c r="G21" s="85">
        <v>1</v>
      </c>
      <c r="H21" s="85"/>
      <c r="I21" s="85"/>
      <c r="J21" s="86"/>
      <c r="L21" s="85"/>
      <c r="N21" s="85"/>
      <c r="P21" s="86"/>
      <c r="R21" s="85"/>
      <c r="Y21" s="85"/>
      <c r="Z21" s="85">
        <v>0.5</v>
      </c>
      <c r="AA21" s="85"/>
      <c r="AB21" s="85"/>
      <c r="AE21" s="85"/>
      <c r="AG21" s="85"/>
      <c r="AI21" s="85"/>
      <c r="AK21" s="86"/>
    </row>
    <row r="22" spans="1:37">
      <c r="A22" s="84" t="s">
        <v>1105</v>
      </c>
      <c r="B22" t="s">
        <v>36</v>
      </c>
      <c r="C22" s="98" t="s">
        <v>1952</v>
      </c>
      <c r="D22" s="84" t="s">
        <v>1807</v>
      </c>
      <c r="F22" s="85" t="s">
        <v>1807</v>
      </c>
      <c r="G22" s="85">
        <v>1</v>
      </c>
      <c r="H22" s="85"/>
      <c r="I22" s="85"/>
      <c r="J22" s="86"/>
      <c r="L22" s="85"/>
      <c r="N22" s="85"/>
      <c r="P22" s="86"/>
      <c r="R22" s="85"/>
      <c r="Y22" s="85"/>
      <c r="Z22" s="85"/>
      <c r="AA22" s="85"/>
      <c r="AB22" s="85"/>
      <c r="AE22" s="85"/>
      <c r="AG22" s="85"/>
      <c r="AI22" s="85"/>
      <c r="AK22" s="86"/>
    </row>
    <row r="23" spans="1:37">
      <c r="A23" s="84" t="s">
        <v>1005</v>
      </c>
      <c r="B23" t="s">
        <v>36</v>
      </c>
      <c r="C23" s="93" t="s">
        <v>1109</v>
      </c>
      <c r="D23" s="84" t="s">
        <v>1806</v>
      </c>
      <c r="F23" s="85">
        <v>0.1</v>
      </c>
      <c r="G23" s="85">
        <v>0.9</v>
      </c>
      <c r="H23" s="85"/>
      <c r="I23" s="85"/>
      <c r="J23" s="86"/>
      <c r="L23" s="85"/>
      <c r="N23" s="85"/>
      <c r="P23" s="86"/>
      <c r="R23" s="85"/>
      <c r="Y23" s="85"/>
      <c r="Z23" s="85"/>
      <c r="AA23" s="85"/>
      <c r="AB23" s="85"/>
      <c r="AE23" s="85"/>
      <c r="AG23" s="85"/>
      <c r="AI23" s="85"/>
      <c r="AK23" s="86"/>
    </row>
    <row r="24" spans="1:37">
      <c r="A24" s="84" t="s">
        <v>1687</v>
      </c>
      <c r="B24" t="s">
        <v>1232</v>
      </c>
      <c r="C24" s="87" t="s">
        <v>1688</v>
      </c>
      <c r="D24" s="84" t="s">
        <v>1806</v>
      </c>
      <c r="F24" s="85"/>
      <c r="G24" s="85"/>
      <c r="H24" s="85"/>
      <c r="I24" s="85"/>
      <c r="J24" s="86"/>
      <c r="L24" s="85"/>
      <c r="N24" s="85"/>
      <c r="P24" s="86"/>
      <c r="R24" s="85"/>
      <c r="Y24" s="85"/>
      <c r="Z24" s="85"/>
      <c r="AA24" s="85"/>
      <c r="AB24" s="85"/>
      <c r="AE24" s="85"/>
      <c r="AG24" s="85"/>
      <c r="AI24" s="85"/>
      <c r="AK24" s="86"/>
    </row>
    <row r="25" spans="1:37">
      <c r="A25" s="84" t="s">
        <v>1207</v>
      </c>
      <c r="B25" t="s">
        <v>1380</v>
      </c>
      <c r="C25" s="98" t="s">
        <v>1508</v>
      </c>
      <c r="D25" s="84" t="s">
        <v>1807</v>
      </c>
      <c r="F25" s="85" t="s">
        <v>1807</v>
      </c>
      <c r="G25" s="85">
        <v>1</v>
      </c>
      <c r="H25" s="85"/>
      <c r="I25" s="85"/>
      <c r="J25" s="86"/>
      <c r="L25" s="85"/>
      <c r="N25" s="85"/>
      <c r="P25" s="86"/>
      <c r="R25" s="85"/>
      <c r="Y25" s="85"/>
      <c r="Z25" s="85"/>
      <c r="AA25" s="85"/>
      <c r="AB25" s="85"/>
      <c r="AC25" t="s">
        <v>1542</v>
      </c>
      <c r="AE25" s="85"/>
      <c r="AG25" s="85"/>
      <c r="AI25" s="85"/>
      <c r="AK25" s="86"/>
    </row>
    <row r="26" spans="1:37">
      <c r="A26" s="84" t="s">
        <v>2110</v>
      </c>
      <c r="D26" s="84" t="s">
        <v>1806</v>
      </c>
      <c r="F26" s="103"/>
      <c r="G26" s="103"/>
      <c r="H26" s="103"/>
      <c r="I26" s="103"/>
      <c r="R26" s="85"/>
      <c r="Z26" s="85"/>
      <c r="AA26" s="85"/>
      <c r="AB26" s="85"/>
      <c r="AE26" s="85"/>
      <c r="AG26" s="85"/>
      <c r="AI26" s="85"/>
      <c r="AK26" s="86"/>
    </row>
    <row r="27" spans="1:37">
      <c r="A27" s="84" t="s">
        <v>1006</v>
      </c>
      <c r="B27" t="s">
        <v>1387</v>
      </c>
      <c r="C27" s="87" t="s">
        <v>1411</v>
      </c>
      <c r="D27" s="84" t="s">
        <v>1806</v>
      </c>
      <c r="F27" s="85">
        <v>0.1</v>
      </c>
      <c r="G27" s="85">
        <v>0.9</v>
      </c>
      <c r="H27" s="85"/>
      <c r="I27" s="85"/>
      <c r="J27" s="86"/>
      <c r="K27" s="84" t="s">
        <v>1810</v>
      </c>
      <c r="L27" s="85">
        <v>0.1</v>
      </c>
      <c r="N27" s="85"/>
      <c r="P27" s="86"/>
      <c r="R27" s="85"/>
      <c r="Y27" s="85"/>
      <c r="Z27" s="85"/>
      <c r="AA27" s="85"/>
      <c r="AB27" s="85"/>
      <c r="AE27" s="85"/>
      <c r="AG27" s="85"/>
      <c r="AI27" s="85"/>
      <c r="AK27" s="86"/>
    </row>
    <row r="28" spans="1:37">
      <c r="A28" s="84" t="s">
        <v>1684</v>
      </c>
      <c r="D28" s="84" t="s">
        <v>1806</v>
      </c>
      <c r="F28" s="103"/>
      <c r="G28" s="103"/>
      <c r="H28" s="103"/>
      <c r="I28" s="103"/>
      <c r="R28" s="85"/>
      <c r="Z28" s="85"/>
      <c r="AA28" s="85"/>
      <c r="AB28" s="85"/>
      <c r="AE28" s="85"/>
      <c r="AG28" s="85"/>
      <c r="AI28" s="85"/>
      <c r="AK28" s="86"/>
    </row>
    <row r="29" spans="1:37">
      <c r="A29" s="84" t="s">
        <v>1228</v>
      </c>
      <c r="B29" t="s">
        <v>36</v>
      </c>
      <c r="C29" s="87" t="s">
        <v>1427</v>
      </c>
      <c r="D29" s="84" t="s">
        <v>1806</v>
      </c>
      <c r="F29" s="85">
        <v>0.1</v>
      </c>
      <c r="G29" s="85">
        <v>0.9</v>
      </c>
      <c r="H29" s="85"/>
      <c r="I29" s="85"/>
      <c r="J29" s="86"/>
      <c r="L29" s="85"/>
      <c r="N29" s="85"/>
      <c r="P29" s="86"/>
      <c r="Q29" s="84">
        <v>1</v>
      </c>
      <c r="R29" s="85"/>
      <c r="Y29" s="85"/>
      <c r="Z29" s="85"/>
      <c r="AA29" s="85"/>
      <c r="AB29" s="85"/>
      <c r="AE29" s="85"/>
      <c r="AG29" s="85"/>
      <c r="AI29" s="85"/>
      <c r="AK29" s="86"/>
    </row>
    <row r="30" spans="1:37">
      <c r="A30" s="84" t="s">
        <v>1747</v>
      </c>
      <c r="D30" s="84" t="s">
        <v>1806</v>
      </c>
      <c r="F30" s="103"/>
      <c r="G30" s="103"/>
      <c r="H30" s="103"/>
      <c r="I30" s="103"/>
      <c r="R30" s="85"/>
      <c r="Z30" s="85"/>
      <c r="AA30" s="85"/>
      <c r="AB30" s="85"/>
      <c r="AE30" s="85"/>
      <c r="AG30" s="85"/>
      <c r="AI30" s="85"/>
      <c r="AK30" s="86"/>
    </row>
    <row r="31" spans="1:37">
      <c r="A31" s="84" t="s">
        <v>1309</v>
      </c>
      <c r="B31" t="s">
        <v>1388</v>
      </c>
      <c r="C31" s="93" t="s">
        <v>1427</v>
      </c>
      <c r="D31" s="84" t="s">
        <v>1806</v>
      </c>
      <c r="F31" s="85"/>
      <c r="G31" s="85"/>
      <c r="H31" s="85"/>
      <c r="I31" s="85"/>
      <c r="J31" s="86"/>
      <c r="L31" s="85"/>
      <c r="N31" s="85"/>
      <c r="P31" s="86"/>
      <c r="R31" s="85"/>
      <c r="Y31" s="85"/>
      <c r="Z31" s="85"/>
      <c r="AA31" s="85"/>
      <c r="AB31" s="85"/>
      <c r="AE31" s="85"/>
      <c r="AG31" s="85"/>
      <c r="AI31" s="85"/>
      <c r="AK31" s="86"/>
    </row>
    <row r="32" spans="1:37">
      <c r="A32" s="84" t="s">
        <v>1048</v>
      </c>
      <c r="B32" t="s">
        <v>1388</v>
      </c>
      <c r="C32" s="93" t="s">
        <v>1109</v>
      </c>
      <c r="D32" s="84" t="s">
        <v>1806</v>
      </c>
      <c r="F32" s="85"/>
      <c r="G32" s="85"/>
      <c r="H32" s="85"/>
      <c r="I32" s="85"/>
      <c r="J32" s="86"/>
      <c r="L32" s="85"/>
      <c r="N32" s="85"/>
      <c r="P32" s="86"/>
      <c r="R32" s="85"/>
      <c r="Y32" s="85"/>
      <c r="Z32" s="85"/>
      <c r="AA32" s="85"/>
      <c r="AB32" s="85"/>
      <c r="AE32" s="85"/>
      <c r="AG32" s="85"/>
      <c r="AI32" s="85"/>
      <c r="AK32" s="86"/>
    </row>
    <row r="33" spans="1:37">
      <c r="A33" s="84" t="s">
        <v>1219</v>
      </c>
      <c r="B33" t="s">
        <v>36</v>
      </c>
      <c r="C33" s="87" t="s">
        <v>1404</v>
      </c>
      <c r="D33" s="84" t="s">
        <v>1806</v>
      </c>
      <c r="E33">
        <v>0.5</v>
      </c>
      <c r="F33" s="85">
        <v>0.1</v>
      </c>
      <c r="G33" s="85">
        <v>0.7</v>
      </c>
      <c r="H33" s="85"/>
      <c r="I33" s="85"/>
      <c r="J33" s="86"/>
      <c r="L33" s="85"/>
      <c r="N33" s="85"/>
      <c r="P33" s="86"/>
      <c r="R33" s="85"/>
      <c r="Y33" s="85"/>
      <c r="Z33" s="85"/>
      <c r="AA33" s="85"/>
      <c r="AB33" s="85"/>
      <c r="AE33" s="85"/>
      <c r="AG33" s="85"/>
      <c r="AI33" s="85"/>
      <c r="AK33" s="86"/>
    </row>
    <row r="34" spans="1:37">
      <c r="A34" s="84" t="s">
        <v>2109</v>
      </c>
      <c r="D34" s="84" t="s">
        <v>1807</v>
      </c>
      <c r="F34" s="103"/>
      <c r="G34" s="103"/>
      <c r="H34" s="103"/>
      <c r="I34" s="103"/>
      <c r="R34" s="85"/>
      <c r="Z34" s="85"/>
      <c r="AA34" s="85"/>
      <c r="AB34" s="85"/>
      <c r="AE34" s="85"/>
      <c r="AG34" s="85"/>
      <c r="AI34" s="85"/>
      <c r="AK34" s="86"/>
    </row>
    <row r="35" spans="1:37">
      <c r="A35" s="84" t="s">
        <v>2104</v>
      </c>
      <c r="D35" s="84" t="s">
        <v>1807</v>
      </c>
      <c r="F35" s="103"/>
      <c r="G35" s="103"/>
      <c r="H35" s="103"/>
      <c r="I35" s="103"/>
      <c r="R35" s="85"/>
      <c r="Z35" s="85"/>
      <c r="AA35" s="85"/>
      <c r="AB35" s="85"/>
      <c r="AE35" s="85"/>
      <c r="AG35" s="85"/>
      <c r="AI35" s="85"/>
      <c r="AK35" s="86"/>
    </row>
    <row r="36" spans="1:37">
      <c r="A36" s="84" t="s">
        <v>1152</v>
      </c>
      <c r="B36" t="s">
        <v>36</v>
      </c>
      <c r="C36" s="98" t="s">
        <v>1778</v>
      </c>
      <c r="D36" s="84" t="s">
        <v>1806</v>
      </c>
      <c r="E36">
        <v>2</v>
      </c>
      <c r="F36" s="85">
        <v>0.1</v>
      </c>
      <c r="G36" s="85">
        <v>1</v>
      </c>
      <c r="H36" s="85"/>
      <c r="I36" s="85"/>
      <c r="J36" s="86"/>
      <c r="L36" s="85"/>
      <c r="N36" s="85"/>
      <c r="P36" s="86"/>
      <c r="R36" s="85"/>
      <c r="Y36" s="85"/>
      <c r="Z36" s="85"/>
      <c r="AA36" s="85"/>
      <c r="AB36" s="85">
        <v>1</v>
      </c>
      <c r="AE36" s="85"/>
      <c r="AG36" s="85"/>
      <c r="AI36" s="85"/>
      <c r="AK36" s="86"/>
    </row>
    <row r="37" spans="1:37">
      <c r="A37" s="84" t="s">
        <v>1281</v>
      </c>
      <c r="B37" t="s">
        <v>1390</v>
      </c>
      <c r="C37" s="93" t="s">
        <v>1432</v>
      </c>
      <c r="D37" s="84" t="s">
        <v>1806</v>
      </c>
      <c r="F37" s="85"/>
      <c r="G37" s="85"/>
      <c r="H37" s="85"/>
      <c r="I37" s="85"/>
      <c r="J37" s="86"/>
      <c r="L37" s="85"/>
      <c r="N37" s="85"/>
      <c r="P37" s="86"/>
      <c r="R37" s="85"/>
      <c r="Y37" s="85"/>
      <c r="Z37" s="85"/>
      <c r="AA37" s="85"/>
      <c r="AB37" s="85"/>
      <c r="AE37" s="85"/>
      <c r="AG37" s="85"/>
      <c r="AI37" s="85"/>
      <c r="AK37" s="86"/>
    </row>
    <row r="38" spans="1:37">
      <c r="A38" s="84" t="s">
        <v>2108</v>
      </c>
      <c r="D38" s="84" t="s">
        <v>1807</v>
      </c>
      <c r="F38" s="103"/>
      <c r="G38" s="103"/>
      <c r="H38" s="103"/>
      <c r="I38" s="103"/>
      <c r="R38" s="85"/>
      <c r="Z38" s="85"/>
      <c r="AA38" s="85"/>
      <c r="AB38" s="85"/>
      <c r="AE38" s="85"/>
      <c r="AG38" s="85"/>
      <c r="AI38" s="85"/>
      <c r="AK38" s="86"/>
    </row>
    <row r="39" spans="1:37">
      <c r="A39" s="84" t="s">
        <v>1765</v>
      </c>
      <c r="D39" s="84" t="s">
        <v>1807</v>
      </c>
      <c r="F39" s="103"/>
      <c r="G39" s="103"/>
      <c r="H39" s="103"/>
      <c r="I39" s="103"/>
      <c r="R39" s="85"/>
      <c r="Z39" s="85"/>
      <c r="AA39" s="85"/>
      <c r="AB39" s="85"/>
      <c r="AE39" s="85"/>
      <c r="AG39" s="85"/>
      <c r="AI39" s="85"/>
      <c r="AK39" s="86"/>
    </row>
    <row r="40" spans="1:37">
      <c r="A40" s="84" t="s">
        <v>1649</v>
      </c>
      <c r="D40" s="84" t="s">
        <v>1806</v>
      </c>
      <c r="F40" s="103"/>
      <c r="G40" s="103"/>
      <c r="H40" s="103"/>
      <c r="I40" s="103"/>
      <c r="R40" s="85"/>
      <c r="Z40" s="85"/>
      <c r="AA40" s="85"/>
      <c r="AB40" s="85"/>
      <c r="AE40" s="85"/>
      <c r="AG40" s="85"/>
      <c r="AI40" s="85"/>
      <c r="AK40" s="86"/>
    </row>
    <row r="41" spans="1:37">
      <c r="A41" s="84" t="s">
        <v>1634</v>
      </c>
      <c r="D41" s="84" t="s">
        <v>1807</v>
      </c>
      <c r="F41" s="103"/>
      <c r="G41" s="103"/>
      <c r="H41" s="103"/>
      <c r="I41" s="103"/>
      <c r="R41" s="85"/>
      <c r="Z41" s="85"/>
      <c r="AA41" s="85"/>
      <c r="AB41" s="85"/>
      <c r="AE41" s="85"/>
      <c r="AG41" s="85"/>
      <c r="AI41" s="85"/>
      <c r="AK41" s="86"/>
    </row>
    <row r="42" spans="1:37">
      <c r="A42" s="84" t="s">
        <v>1617</v>
      </c>
      <c r="D42" s="84" t="s">
        <v>1806</v>
      </c>
      <c r="F42" s="103"/>
      <c r="G42" s="103"/>
      <c r="H42" s="103"/>
      <c r="I42" s="103"/>
      <c r="R42" s="85"/>
      <c r="Z42" s="85"/>
      <c r="AA42" s="85"/>
      <c r="AB42" s="85"/>
      <c r="AE42" s="85"/>
      <c r="AG42" s="85"/>
      <c r="AI42" s="85"/>
      <c r="AK42" s="86"/>
    </row>
    <row r="43" spans="1:37">
      <c r="A43" s="84" t="s">
        <v>1234</v>
      </c>
      <c r="B43" t="s">
        <v>1232</v>
      </c>
      <c r="C43" s="93" t="s">
        <v>1109</v>
      </c>
      <c r="D43" s="84" t="s">
        <v>1806</v>
      </c>
      <c r="F43" s="85"/>
      <c r="G43" s="85"/>
      <c r="H43" s="85"/>
      <c r="I43" s="85"/>
      <c r="J43" s="86"/>
      <c r="L43" s="85"/>
      <c r="N43" s="85"/>
      <c r="P43" s="86"/>
      <c r="R43" s="85"/>
      <c r="Y43" s="85"/>
      <c r="Z43" s="85"/>
      <c r="AA43" s="85"/>
      <c r="AB43" s="85"/>
      <c r="AE43" s="85"/>
      <c r="AG43" s="85"/>
      <c r="AI43" s="85"/>
      <c r="AK43" s="86"/>
    </row>
    <row r="44" spans="1:37">
      <c r="A44" s="84" t="s">
        <v>2097</v>
      </c>
      <c r="D44" s="84" t="s">
        <v>1806</v>
      </c>
      <c r="F44" s="103"/>
      <c r="G44" s="103"/>
      <c r="H44" s="103"/>
      <c r="I44" s="103"/>
      <c r="R44" s="85"/>
      <c r="Z44" s="85"/>
      <c r="AA44" s="85"/>
      <c r="AB44" s="85"/>
      <c r="AE44" s="85"/>
      <c r="AG44" s="85"/>
      <c r="AI44" s="85"/>
      <c r="AK44" s="86"/>
    </row>
    <row r="45" spans="1:37">
      <c r="A45" s="84" t="s">
        <v>1620</v>
      </c>
      <c r="D45" s="84" t="s">
        <v>1806</v>
      </c>
      <c r="F45" s="103"/>
      <c r="G45" s="103"/>
      <c r="H45" s="103"/>
      <c r="I45" s="103"/>
      <c r="R45" s="85"/>
      <c r="Z45" s="85"/>
      <c r="AA45" s="85"/>
      <c r="AB45" s="85"/>
      <c r="AE45" s="85"/>
      <c r="AG45" s="85"/>
      <c r="AI45" s="85"/>
      <c r="AK45" s="86"/>
    </row>
    <row r="46" spans="1:37">
      <c r="A46" s="84" t="s">
        <v>1122</v>
      </c>
      <c r="B46" t="s">
        <v>1054</v>
      </c>
      <c r="C46" s="93" t="s">
        <v>1939</v>
      </c>
      <c r="D46" s="84" t="s">
        <v>1806</v>
      </c>
      <c r="F46" s="85">
        <v>0.1</v>
      </c>
      <c r="G46" s="85">
        <v>0.9</v>
      </c>
      <c r="H46" s="85"/>
      <c r="I46" s="85"/>
      <c r="J46" s="86"/>
      <c r="L46" s="85"/>
      <c r="N46" s="85"/>
      <c r="P46" s="86"/>
      <c r="R46" s="85"/>
      <c r="W46">
        <v>-1</v>
      </c>
      <c r="X46" s="86">
        <v>0.1</v>
      </c>
      <c r="Y46" s="85"/>
      <c r="Z46" s="85"/>
      <c r="AA46" s="85"/>
      <c r="AB46" s="85"/>
      <c r="AE46" s="85"/>
      <c r="AG46" s="85"/>
      <c r="AI46" s="85"/>
      <c r="AK46" s="86"/>
    </row>
    <row r="47" spans="1:37">
      <c r="A47" s="84" t="s">
        <v>1797</v>
      </c>
      <c r="D47" s="84" t="s">
        <v>1806</v>
      </c>
      <c r="F47" s="103"/>
      <c r="G47" s="103"/>
      <c r="H47" s="103"/>
      <c r="I47" s="103"/>
      <c r="R47" s="85"/>
      <c r="Z47" s="85"/>
      <c r="AA47" s="85"/>
      <c r="AB47" s="85"/>
      <c r="AE47" s="85"/>
      <c r="AG47" s="85"/>
      <c r="AI47" s="85"/>
      <c r="AK47" s="86"/>
    </row>
    <row r="48" spans="1:37">
      <c r="A48" s="84" t="s">
        <v>1297</v>
      </c>
      <c r="B48" t="s">
        <v>1379</v>
      </c>
      <c r="C48" s="87" t="s">
        <v>1582</v>
      </c>
      <c r="D48" s="84" t="s">
        <v>1806</v>
      </c>
      <c r="F48" s="85"/>
      <c r="G48" s="85"/>
      <c r="H48" s="85"/>
      <c r="I48" s="85"/>
      <c r="J48" s="86"/>
      <c r="L48" s="85"/>
      <c r="N48" s="85"/>
      <c r="P48" s="86"/>
      <c r="R48" s="85"/>
      <c r="Y48" s="85"/>
      <c r="Z48" s="85"/>
      <c r="AA48" s="85"/>
      <c r="AB48" s="85"/>
      <c r="AE48" s="85"/>
      <c r="AG48" s="85"/>
      <c r="AI48" s="85"/>
      <c r="AK48" s="86"/>
    </row>
    <row r="49" spans="1:37">
      <c r="A49" s="84" t="s">
        <v>1271</v>
      </c>
      <c r="B49" t="s">
        <v>1232</v>
      </c>
      <c r="C49" s="93" t="s">
        <v>1109</v>
      </c>
      <c r="D49" s="84" t="s">
        <v>1806</v>
      </c>
      <c r="F49" s="85"/>
      <c r="G49" s="85"/>
      <c r="H49" s="85"/>
      <c r="I49" s="85"/>
      <c r="J49" s="86"/>
      <c r="L49" s="85"/>
      <c r="N49" s="85"/>
      <c r="P49" s="86"/>
      <c r="R49" s="85"/>
      <c r="Y49" s="85"/>
      <c r="Z49" s="85"/>
      <c r="AA49" s="85"/>
      <c r="AB49" s="85"/>
      <c r="AE49" s="85"/>
      <c r="AG49" s="85"/>
      <c r="AI49" s="85"/>
      <c r="AK49" s="86"/>
    </row>
    <row r="50" spans="1:37">
      <c r="A50" s="84" t="s">
        <v>1633</v>
      </c>
      <c r="D50" s="84" t="s">
        <v>1806</v>
      </c>
      <c r="F50" s="103"/>
      <c r="G50" s="103"/>
      <c r="H50" s="103"/>
      <c r="I50" s="103"/>
      <c r="R50" s="85"/>
      <c r="Z50" s="85"/>
      <c r="AA50" s="85"/>
      <c r="AB50" s="85"/>
      <c r="AE50" s="85"/>
      <c r="AG50" s="85"/>
      <c r="AI50" s="85"/>
      <c r="AK50" s="86"/>
    </row>
    <row r="51" spans="1:37">
      <c r="A51" s="84" t="s">
        <v>1351</v>
      </c>
      <c r="B51" t="s">
        <v>1381</v>
      </c>
      <c r="C51" s="93" t="s">
        <v>1109</v>
      </c>
      <c r="D51" s="84" t="s">
        <v>1806</v>
      </c>
      <c r="F51" s="85">
        <v>0.1</v>
      </c>
      <c r="G51" s="85">
        <v>0.9</v>
      </c>
      <c r="H51" s="85"/>
      <c r="I51" s="85"/>
      <c r="J51" s="86"/>
      <c r="L51" s="85"/>
      <c r="N51" s="85"/>
      <c r="P51" s="86"/>
      <c r="Q51" s="84">
        <v>0</v>
      </c>
      <c r="R51" s="85"/>
      <c r="Y51" s="85"/>
      <c r="Z51" s="85"/>
      <c r="AA51" s="85"/>
      <c r="AB51" s="85"/>
      <c r="AE51" s="85"/>
      <c r="AG51" s="85"/>
      <c r="AI51" s="85"/>
      <c r="AK51" s="86"/>
    </row>
    <row r="52" spans="1:37">
      <c r="A52" s="84" t="s">
        <v>1270</v>
      </c>
      <c r="B52" t="s">
        <v>1379</v>
      </c>
      <c r="C52" s="87" t="s">
        <v>1419</v>
      </c>
      <c r="D52" s="84" t="s">
        <v>1806</v>
      </c>
      <c r="F52" s="85"/>
      <c r="G52" s="85"/>
      <c r="H52" s="85"/>
      <c r="I52" s="85"/>
      <c r="J52" s="86"/>
      <c r="L52" s="85"/>
      <c r="N52" s="85"/>
      <c r="P52" s="86"/>
      <c r="R52" s="85"/>
      <c r="Y52" s="85"/>
      <c r="Z52" s="85"/>
      <c r="AA52" s="85"/>
      <c r="AB52" s="85"/>
      <c r="AE52" s="85"/>
      <c r="AG52" s="85"/>
      <c r="AI52" s="85"/>
      <c r="AK52" s="86"/>
    </row>
    <row r="53" spans="1:37">
      <c r="A53" s="84" t="s">
        <v>1577</v>
      </c>
      <c r="D53" s="84" t="s">
        <v>1807</v>
      </c>
      <c r="F53" s="103"/>
      <c r="G53" s="103"/>
      <c r="H53" s="103"/>
      <c r="I53" s="103"/>
      <c r="R53" s="85"/>
      <c r="Z53" s="85"/>
      <c r="AA53" s="85"/>
      <c r="AB53" s="85"/>
      <c r="AE53" s="85"/>
      <c r="AG53" s="85"/>
      <c r="AI53" s="85"/>
      <c r="AK53" s="86"/>
    </row>
    <row r="54" spans="1:37">
      <c r="A54" s="84" t="s">
        <v>1676</v>
      </c>
      <c r="D54" s="84" t="s">
        <v>1806</v>
      </c>
      <c r="F54" s="103"/>
      <c r="G54" s="103"/>
      <c r="H54" s="103"/>
      <c r="I54" s="103"/>
      <c r="R54" s="85"/>
      <c r="Z54" s="85"/>
      <c r="AA54" s="85"/>
      <c r="AB54" s="85"/>
      <c r="AE54" s="85"/>
      <c r="AG54" s="85"/>
      <c r="AI54" s="85"/>
      <c r="AK54" s="86"/>
    </row>
    <row r="55" spans="1:37">
      <c r="A55" s="84" t="s">
        <v>1581</v>
      </c>
      <c r="D55" s="84" t="s">
        <v>1806</v>
      </c>
      <c r="F55" s="103"/>
      <c r="G55" s="103"/>
      <c r="H55" s="103"/>
      <c r="I55" s="103"/>
      <c r="R55" s="85"/>
      <c r="Z55" s="85"/>
      <c r="AA55" s="85"/>
      <c r="AB55" s="85"/>
      <c r="AE55" s="85"/>
      <c r="AG55" s="85"/>
      <c r="AI55" s="85"/>
      <c r="AK55" s="86"/>
    </row>
    <row r="56" spans="1:37">
      <c r="A56" s="84" t="s">
        <v>1007</v>
      </c>
      <c r="B56" t="s">
        <v>772</v>
      </c>
      <c r="C56" s="93" t="s">
        <v>1928</v>
      </c>
      <c r="D56" s="84" t="s">
        <v>1806</v>
      </c>
      <c r="F56" s="85">
        <v>0.1</v>
      </c>
      <c r="G56" s="85">
        <v>0.9</v>
      </c>
      <c r="H56" s="85"/>
      <c r="I56" s="85"/>
      <c r="J56" s="86"/>
      <c r="L56" s="85"/>
      <c r="N56" s="85"/>
      <c r="P56" s="86"/>
      <c r="Q56" s="84">
        <v>0</v>
      </c>
      <c r="R56" s="85"/>
      <c r="U56">
        <v>-1</v>
      </c>
      <c r="V56" s="85">
        <v>0.2</v>
      </c>
      <c r="Y56" s="85"/>
      <c r="Z56" s="85"/>
      <c r="AA56" s="85"/>
      <c r="AB56" s="85"/>
      <c r="AE56" s="85"/>
      <c r="AG56" s="85"/>
      <c r="AI56" s="85"/>
      <c r="AK56" s="86"/>
    </row>
    <row r="57" spans="1:37">
      <c r="A57" s="84" t="s">
        <v>1675</v>
      </c>
      <c r="D57" s="84" t="s">
        <v>1806</v>
      </c>
      <c r="F57" s="103"/>
      <c r="G57" s="103"/>
      <c r="H57" s="103"/>
      <c r="I57" s="103"/>
      <c r="R57" s="85"/>
      <c r="Z57" s="85"/>
      <c r="AA57" s="85"/>
      <c r="AB57" s="85"/>
      <c r="AE57" s="85"/>
      <c r="AG57" s="85"/>
      <c r="AI57" s="85"/>
      <c r="AK57" s="86"/>
    </row>
    <row r="58" spans="1:37">
      <c r="A58" s="84" t="s">
        <v>1277</v>
      </c>
      <c r="B58" t="s">
        <v>1083</v>
      </c>
      <c r="C58" s="93" t="s">
        <v>1431</v>
      </c>
      <c r="D58" s="84" t="s">
        <v>1806</v>
      </c>
      <c r="F58" s="85">
        <v>0.1</v>
      </c>
      <c r="G58" s="85">
        <v>0.9</v>
      </c>
      <c r="H58" s="85"/>
      <c r="I58" s="85"/>
      <c r="J58" s="86"/>
      <c r="L58" s="85"/>
      <c r="M58" t="s">
        <v>1849</v>
      </c>
      <c r="N58" s="85">
        <v>0.1</v>
      </c>
      <c r="P58" s="86"/>
      <c r="R58" s="85"/>
      <c r="Y58" s="85"/>
      <c r="Z58" s="85"/>
      <c r="AA58" s="85"/>
      <c r="AB58" s="85"/>
      <c r="AE58" s="85"/>
      <c r="AG58" s="85"/>
      <c r="AI58" s="85"/>
      <c r="AK58" s="86"/>
    </row>
    <row r="59" spans="1:37">
      <c r="A59" s="84" t="s">
        <v>2117</v>
      </c>
      <c r="D59" s="84" t="s">
        <v>1806</v>
      </c>
      <c r="F59" s="103"/>
      <c r="G59" s="103"/>
      <c r="H59" s="103"/>
      <c r="I59" s="103"/>
      <c r="R59" s="85"/>
      <c r="Z59" s="85"/>
      <c r="AA59" s="85"/>
      <c r="AB59" s="85"/>
      <c r="AE59" s="85"/>
      <c r="AG59" s="85"/>
      <c r="AI59" s="85"/>
      <c r="AK59" s="86"/>
    </row>
    <row r="60" spans="1:37">
      <c r="A60" s="84" t="s">
        <v>1662</v>
      </c>
      <c r="D60" s="84" t="s">
        <v>1806</v>
      </c>
      <c r="F60" s="103"/>
      <c r="G60" s="103"/>
      <c r="H60" s="103"/>
      <c r="I60" s="103"/>
      <c r="R60" s="85"/>
      <c r="Z60" s="85"/>
      <c r="AA60" s="85"/>
      <c r="AB60" s="85"/>
      <c r="AE60" s="85"/>
      <c r="AG60" s="85"/>
      <c r="AI60" s="85"/>
      <c r="AK60" s="86"/>
    </row>
    <row r="61" spans="1:37">
      <c r="A61" s="84" t="s">
        <v>1257</v>
      </c>
      <c r="B61" t="s">
        <v>36</v>
      </c>
      <c r="C61" s="87" t="s">
        <v>1485</v>
      </c>
      <c r="D61" s="84" t="s">
        <v>1807</v>
      </c>
      <c r="F61" s="85" t="s">
        <v>1807</v>
      </c>
      <c r="G61" s="85">
        <v>0.6</v>
      </c>
      <c r="H61" s="85"/>
      <c r="I61" s="85"/>
      <c r="J61" s="86"/>
      <c r="K61" s="84" t="s">
        <v>1813</v>
      </c>
      <c r="L61" s="85">
        <v>0.6</v>
      </c>
      <c r="N61" s="85"/>
      <c r="P61" s="86"/>
      <c r="R61" s="85"/>
      <c r="Y61" s="85"/>
      <c r="Z61" s="85"/>
      <c r="AA61" s="85"/>
      <c r="AB61" s="85"/>
      <c r="AE61" s="85"/>
      <c r="AG61" s="85"/>
      <c r="AI61" s="85"/>
      <c r="AK61" s="86"/>
    </row>
    <row r="62" spans="1:37">
      <c r="A62" s="84" t="s">
        <v>1361</v>
      </c>
      <c r="B62" t="s">
        <v>1384</v>
      </c>
      <c r="C62" s="87" t="s">
        <v>1427</v>
      </c>
      <c r="D62" s="84" t="s">
        <v>1806</v>
      </c>
      <c r="F62" s="85">
        <v>0.1</v>
      </c>
      <c r="G62" s="85">
        <v>0.9</v>
      </c>
      <c r="H62" s="85"/>
      <c r="I62" s="85"/>
      <c r="J62" s="86"/>
      <c r="L62" s="85"/>
      <c r="N62" s="85"/>
      <c r="P62" s="86"/>
      <c r="Q62" s="84">
        <v>1</v>
      </c>
      <c r="R62" s="85"/>
      <c r="Y62" s="85"/>
      <c r="Z62" s="85"/>
      <c r="AA62" s="85"/>
      <c r="AB62" s="85"/>
      <c r="AE62" s="85"/>
      <c r="AG62" s="85"/>
      <c r="AI62" s="85"/>
      <c r="AK62" s="86"/>
    </row>
    <row r="63" spans="1:37">
      <c r="A63" s="84" t="s">
        <v>1362</v>
      </c>
      <c r="B63" t="s">
        <v>1384</v>
      </c>
      <c r="C63" s="87" t="s">
        <v>1404</v>
      </c>
      <c r="D63" s="84" t="s">
        <v>1806</v>
      </c>
      <c r="E63">
        <v>0.75</v>
      </c>
      <c r="F63" s="85" t="s">
        <v>1807</v>
      </c>
      <c r="G63" s="85">
        <v>0.7</v>
      </c>
      <c r="H63" s="85"/>
      <c r="I63" s="85"/>
      <c r="J63" s="86"/>
      <c r="L63" s="85"/>
      <c r="N63" s="85"/>
      <c r="P63" s="86"/>
      <c r="Q63" s="84">
        <v>0</v>
      </c>
      <c r="R63" s="85"/>
      <c r="Y63" s="85"/>
      <c r="Z63" s="85"/>
      <c r="AA63" s="85"/>
      <c r="AB63" s="85"/>
      <c r="AE63" s="85"/>
      <c r="AG63" s="85"/>
      <c r="AI63" s="85"/>
      <c r="AK63" s="86"/>
    </row>
    <row r="64" spans="1:37">
      <c r="A64" s="84" t="s">
        <v>1258</v>
      </c>
      <c r="B64" t="s">
        <v>1389</v>
      </c>
      <c r="C64" s="93" t="s">
        <v>1944</v>
      </c>
      <c r="D64" s="84" t="s">
        <v>1806</v>
      </c>
      <c r="F64" s="85">
        <v>0.3</v>
      </c>
      <c r="G64" s="85">
        <v>0.8</v>
      </c>
      <c r="H64" s="85"/>
      <c r="I64" s="85"/>
      <c r="J64" s="86"/>
      <c r="L64" s="85"/>
      <c r="N64" s="85"/>
      <c r="P64" s="86"/>
      <c r="Q64" s="84">
        <v>0</v>
      </c>
      <c r="R64" s="85"/>
      <c r="Y64" s="85"/>
      <c r="Z64" s="85"/>
      <c r="AA64" s="85"/>
      <c r="AB64" s="85"/>
      <c r="AE64" s="85"/>
      <c r="AG64" s="85"/>
      <c r="AI64" s="85"/>
      <c r="AK64" s="86"/>
    </row>
    <row r="65" spans="1:37">
      <c r="A65" s="84" t="s">
        <v>1791</v>
      </c>
      <c r="D65" s="84" t="s">
        <v>1806</v>
      </c>
      <c r="F65" s="103"/>
      <c r="G65" s="103"/>
      <c r="H65" s="103"/>
      <c r="I65" s="103"/>
      <c r="R65" s="85"/>
      <c r="Z65" s="85"/>
      <c r="AA65" s="85"/>
      <c r="AB65" s="85"/>
      <c r="AE65" s="85"/>
      <c r="AG65" s="85"/>
      <c r="AI65" s="85"/>
      <c r="AK65" s="86"/>
    </row>
    <row r="66" spans="1:37">
      <c r="A66" s="84" t="s">
        <v>1243</v>
      </c>
      <c r="B66" t="s">
        <v>1379</v>
      </c>
      <c r="C66" s="87" t="s">
        <v>1602</v>
      </c>
      <c r="D66" s="84" t="s">
        <v>1806</v>
      </c>
      <c r="F66" s="85"/>
      <c r="G66" s="85"/>
      <c r="H66" s="85"/>
      <c r="I66" s="85"/>
      <c r="J66" s="86"/>
      <c r="L66" s="85"/>
      <c r="N66" s="85"/>
      <c r="P66" s="86"/>
      <c r="R66" s="85"/>
      <c r="Y66" s="85"/>
      <c r="Z66" s="85"/>
      <c r="AA66" s="85"/>
      <c r="AB66" s="85"/>
      <c r="AE66" s="85"/>
      <c r="AG66" s="85"/>
      <c r="AI66" s="85"/>
      <c r="AK66" s="86"/>
    </row>
    <row r="67" spans="1:37">
      <c r="A67" s="84" t="s">
        <v>1288</v>
      </c>
      <c r="B67" t="s">
        <v>772</v>
      </c>
      <c r="C67" s="93" t="s">
        <v>1432</v>
      </c>
      <c r="D67" s="84" t="s">
        <v>1806</v>
      </c>
      <c r="F67" s="85">
        <v>0.1</v>
      </c>
      <c r="G67" s="85">
        <v>0.9</v>
      </c>
      <c r="H67" s="85"/>
      <c r="I67" s="85"/>
      <c r="J67" s="86"/>
      <c r="L67" s="85"/>
      <c r="M67" t="s">
        <v>1849</v>
      </c>
      <c r="N67" s="85">
        <v>0.2</v>
      </c>
      <c r="P67" s="86"/>
      <c r="Q67" s="84">
        <v>0</v>
      </c>
      <c r="R67" s="85"/>
      <c r="Y67" s="85"/>
      <c r="Z67" s="85"/>
      <c r="AA67" s="85"/>
      <c r="AB67" s="85"/>
      <c r="AE67" s="85"/>
      <c r="AG67" s="85"/>
      <c r="AI67" s="85"/>
      <c r="AK67" s="86"/>
    </row>
    <row r="68" spans="1:37">
      <c r="A68" s="84" t="s">
        <v>1368</v>
      </c>
      <c r="B68" t="s">
        <v>1382</v>
      </c>
      <c r="C68" s="87" t="s">
        <v>1418</v>
      </c>
      <c r="D68" s="84" t="s">
        <v>1806</v>
      </c>
      <c r="F68" s="85">
        <v>0.1</v>
      </c>
      <c r="G68" s="85">
        <v>0.9</v>
      </c>
      <c r="H68" s="85"/>
      <c r="I68" s="85"/>
      <c r="J68" s="86"/>
      <c r="K68" s="84" t="s">
        <v>1811</v>
      </c>
      <c r="L68" s="85">
        <v>0.2</v>
      </c>
      <c r="N68" s="85"/>
      <c r="P68" s="86"/>
      <c r="Q68" s="84">
        <v>0</v>
      </c>
      <c r="R68" s="85"/>
      <c r="Y68" s="85"/>
      <c r="Z68" s="85"/>
      <c r="AA68" s="85"/>
      <c r="AB68" s="85"/>
      <c r="AE68" s="85"/>
      <c r="AG68" s="85"/>
      <c r="AI68" s="85"/>
      <c r="AK68" s="86"/>
    </row>
    <row r="69" spans="1:37">
      <c r="A69" s="84" t="s">
        <v>1353</v>
      </c>
      <c r="B69" t="s">
        <v>1382</v>
      </c>
      <c r="C69" s="87" t="s">
        <v>1398</v>
      </c>
      <c r="D69" s="84" t="s">
        <v>1806</v>
      </c>
      <c r="F69" s="85">
        <v>0.1</v>
      </c>
      <c r="G69" s="85">
        <v>0.9</v>
      </c>
      <c r="H69" s="85"/>
      <c r="I69" s="85"/>
      <c r="J69" s="86"/>
      <c r="K69" s="84" t="s">
        <v>1811</v>
      </c>
      <c r="L69" s="85">
        <v>0.3</v>
      </c>
      <c r="N69" s="85"/>
      <c r="P69" s="86"/>
      <c r="Q69" s="84">
        <v>0</v>
      </c>
      <c r="R69" s="85"/>
      <c r="Y69" s="85"/>
      <c r="Z69" s="85"/>
      <c r="AA69" s="85"/>
      <c r="AB69" s="85"/>
      <c r="AE69" s="85"/>
      <c r="AG69" s="85"/>
      <c r="AI69" s="85"/>
      <c r="AK69" s="86"/>
    </row>
    <row r="70" spans="1:37">
      <c r="A70" s="84" t="s">
        <v>1263</v>
      </c>
      <c r="B70" t="s">
        <v>1385</v>
      </c>
      <c r="C70" s="87" t="s">
        <v>1394</v>
      </c>
      <c r="D70" s="84" t="s">
        <v>1806</v>
      </c>
      <c r="F70" s="103">
        <v>0.1</v>
      </c>
      <c r="G70" s="103">
        <v>0.9</v>
      </c>
      <c r="H70" s="103"/>
      <c r="I70" s="103"/>
      <c r="J70" s="86"/>
      <c r="L70" s="85"/>
      <c r="N70" s="85"/>
      <c r="P70" s="86"/>
      <c r="Q70" s="84">
        <v>0</v>
      </c>
      <c r="R70" s="85"/>
      <c r="Y70" s="85"/>
      <c r="Z70" s="85">
        <v>0.5</v>
      </c>
      <c r="AA70" s="85"/>
      <c r="AB70" s="85"/>
      <c r="AE70" s="85"/>
      <c r="AG70" s="85"/>
      <c r="AI70" s="85"/>
      <c r="AK70" s="86"/>
    </row>
    <row r="71" spans="1:37">
      <c r="A71" s="84" t="s">
        <v>1046</v>
      </c>
      <c r="B71" t="s">
        <v>1386</v>
      </c>
      <c r="C71" s="93" t="s">
        <v>1431</v>
      </c>
      <c r="D71" s="84" t="s">
        <v>1806</v>
      </c>
      <c r="F71" s="85">
        <v>0.1</v>
      </c>
      <c r="G71" s="85">
        <v>0.9</v>
      </c>
      <c r="H71" s="85"/>
      <c r="I71" s="85"/>
      <c r="J71" s="86"/>
      <c r="L71" s="85"/>
      <c r="M71" t="s">
        <v>1849</v>
      </c>
      <c r="N71" s="85">
        <v>0.1</v>
      </c>
      <c r="P71" s="86"/>
      <c r="R71" s="85"/>
      <c r="Y71" s="85"/>
      <c r="Z71" s="85"/>
      <c r="AA71" s="85"/>
      <c r="AB71" s="85"/>
      <c r="AE71" s="85"/>
      <c r="AG71" s="85"/>
      <c r="AI71" s="85"/>
      <c r="AK71" s="86"/>
    </row>
    <row r="72" spans="1:37">
      <c r="A72" s="84" t="s">
        <v>2050</v>
      </c>
      <c r="D72" s="84" t="s">
        <v>1806</v>
      </c>
      <c r="F72" s="103"/>
      <c r="G72" s="103"/>
      <c r="H72" s="103"/>
      <c r="I72" s="103"/>
      <c r="R72" s="85"/>
      <c r="Z72" s="85"/>
      <c r="AA72" s="85"/>
      <c r="AB72" s="85"/>
      <c r="AE72" s="85"/>
      <c r="AG72" s="85"/>
      <c r="AI72" s="85"/>
      <c r="AK72" s="86"/>
    </row>
    <row r="73" spans="1:37">
      <c r="A73" s="84" t="s">
        <v>1364</v>
      </c>
      <c r="B73" t="s">
        <v>1381</v>
      </c>
      <c r="C73" s="93" t="s">
        <v>1431</v>
      </c>
      <c r="D73" s="84" t="s">
        <v>1806</v>
      </c>
      <c r="F73" s="85">
        <v>0.1</v>
      </c>
      <c r="G73" s="85">
        <v>0.9</v>
      </c>
      <c r="H73" s="85"/>
      <c r="I73" s="85"/>
      <c r="J73" s="86"/>
      <c r="L73" s="85"/>
      <c r="M73" t="s">
        <v>1849</v>
      </c>
      <c r="N73" s="85">
        <v>0.1</v>
      </c>
      <c r="P73" s="86"/>
      <c r="Q73" s="84">
        <v>0</v>
      </c>
      <c r="R73" s="85"/>
      <c r="Y73" s="85"/>
      <c r="Z73" s="85"/>
      <c r="AA73" s="85"/>
      <c r="AB73" s="85"/>
      <c r="AE73" s="85"/>
      <c r="AG73" s="85"/>
      <c r="AI73" s="85"/>
      <c r="AK73" s="86"/>
    </row>
    <row r="74" spans="1:37">
      <c r="A74" s="84" t="s">
        <v>1016</v>
      </c>
      <c r="B74" t="s">
        <v>1387</v>
      </c>
      <c r="C74" s="87" t="s">
        <v>1411</v>
      </c>
      <c r="D74" s="84" t="s">
        <v>1806</v>
      </c>
      <c r="F74" s="85">
        <v>0.2</v>
      </c>
      <c r="G74" s="85">
        <v>0.9</v>
      </c>
      <c r="H74" s="85"/>
      <c r="I74" s="85"/>
      <c r="J74" s="86"/>
      <c r="K74" s="84" t="s">
        <v>1810</v>
      </c>
      <c r="L74" s="85">
        <v>0.1</v>
      </c>
      <c r="N74" s="85"/>
      <c r="P74" s="86"/>
      <c r="R74" s="85"/>
      <c r="Y74" s="85"/>
      <c r="Z74" s="85"/>
      <c r="AA74" s="85"/>
      <c r="AB74" s="85"/>
      <c r="AE74" s="85"/>
      <c r="AG74" s="85"/>
      <c r="AI74" s="85"/>
      <c r="AK74" s="86"/>
    </row>
    <row r="75" spans="1:37">
      <c r="A75" s="84" t="s">
        <v>1284</v>
      </c>
      <c r="B75" t="s">
        <v>1382</v>
      </c>
      <c r="C75" s="87" t="s">
        <v>1414</v>
      </c>
      <c r="D75" s="84" t="s">
        <v>1806</v>
      </c>
      <c r="F75" s="85">
        <v>0.2</v>
      </c>
      <c r="G75" s="85">
        <v>0.9</v>
      </c>
      <c r="H75" s="85"/>
      <c r="I75" s="85"/>
      <c r="J75" s="86"/>
      <c r="K75" s="84" t="s">
        <v>1811</v>
      </c>
      <c r="L75" s="85">
        <v>0.1</v>
      </c>
      <c r="N75" s="85"/>
      <c r="P75" s="86"/>
      <c r="Q75" s="84">
        <v>0</v>
      </c>
      <c r="R75" s="85"/>
      <c r="Y75" s="85"/>
      <c r="Z75" s="85"/>
      <c r="AA75" s="85"/>
      <c r="AB75" s="85"/>
      <c r="AE75" s="85"/>
      <c r="AG75" s="85"/>
      <c r="AI75" s="85"/>
      <c r="AK75" s="86"/>
    </row>
    <row r="76" spans="1:37">
      <c r="A76" s="84" t="s">
        <v>1225</v>
      </c>
      <c r="B76" t="s">
        <v>1379</v>
      </c>
      <c r="C76" s="87" t="s">
        <v>1415</v>
      </c>
      <c r="D76" s="84" t="s">
        <v>1806</v>
      </c>
      <c r="F76" s="85"/>
      <c r="G76" s="85"/>
      <c r="H76" s="85"/>
      <c r="I76" s="85"/>
      <c r="J76" s="86"/>
      <c r="L76" s="85"/>
      <c r="N76" s="85"/>
      <c r="P76" s="86"/>
      <c r="R76" s="85"/>
      <c r="Y76" s="85"/>
      <c r="Z76" s="85"/>
      <c r="AA76" s="85"/>
      <c r="AB76" s="85"/>
      <c r="AE76" s="85"/>
      <c r="AG76" s="85"/>
      <c r="AI76" s="85"/>
      <c r="AK76" s="86"/>
    </row>
    <row r="77" spans="1:37">
      <c r="A77" s="84" t="s">
        <v>1125</v>
      </c>
      <c r="B77" t="s">
        <v>1083</v>
      </c>
      <c r="C77" s="98" t="s">
        <v>1690</v>
      </c>
      <c r="D77" s="84" t="s">
        <v>1806</v>
      </c>
      <c r="F77" s="85">
        <v>0.1</v>
      </c>
      <c r="G77" s="85">
        <v>0.9</v>
      </c>
      <c r="H77" s="85"/>
      <c r="I77" s="85"/>
      <c r="J77" s="86"/>
      <c r="L77" s="85"/>
      <c r="N77" s="85"/>
      <c r="P77" s="86"/>
      <c r="R77" s="85"/>
      <c r="Y77" s="85"/>
      <c r="Z77" s="85"/>
      <c r="AA77" s="85">
        <v>0.7</v>
      </c>
      <c r="AB77" s="85"/>
      <c r="AE77" s="85"/>
      <c r="AG77" s="85"/>
      <c r="AI77" s="85"/>
      <c r="AK77" s="86"/>
    </row>
    <row r="78" spans="1:37">
      <c r="A78" s="84" t="s">
        <v>1659</v>
      </c>
      <c r="B78" t="s">
        <v>1386</v>
      </c>
      <c r="C78" s="87" t="s">
        <v>1660</v>
      </c>
      <c r="D78" s="84" t="s">
        <v>1806</v>
      </c>
      <c r="E78">
        <v>2</v>
      </c>
      <c r="F78" s="85">
        <v>0.1</v>
      </c>
      <c r="G78" s="85">
        <v>0.8</v>
      </c>
      <c r="H78" s="85"/>
      <c r="I78" s="85"/>
      <c r="J78" s="86"/>
      <c r="L78" s="85"/>
      <c r="N78" s="85"/>
      <c r="O78" t="s">
        <v>1898</v>
      </c>
      <c r="P78" s="86">
        <v>1</v>
      </c>
      <c r="R78" s="85"/>
      <c r="Y78" s="85"/>
      <c r="Z78" s="85"/>
      <c r="AA78" s="85"/>
      <c r="AB78" s="85"/>
      <c r="AE78" s="85"/>
      <c r="AG78" s="85"/>
      <c r="AI78" s="85"/>
      <c r="AK78" s="86"/>
    </row>
    <row r="79" spans="1:37">
      <c r="A79" s="84" t="s">
        <v>1366</v>
      </c>
      <c r="B79" t="s">
        <v>772</v>
      </c>
      <c r="C79" s="93" t="s">
        <v>1929</v>
      </c>
      <c r="D79" s="84" t="s">
        <v>1806</v>
      </c>
      <c r="F79" s="85">
        <v>0.2</v>
      </c>
      <c r="G79" s="85">
        <v>0.9</v>
      </c>
      <c r="H79" s="85"/>
      <c r="I79" s="85"/>
      <c r="J79" s="86"/>
      <c r="L79" s="85"/>
      <c r="N79" s="85"/>
      <c r="P79" s="86"/>
      <c r="Q79" s="84">
        <v>0</v>
      </c>
      <c r="R79" s="85"/>
      <c r="Y79" s="85"/>
      <c r="Z79" s="85"/>
      <c r="AA79" s="85"/>
      <c r="AB79" s="85"/>
      <c r="AE79" s="85"/>
      <c r="AG79" s="85"/>
      <c r="AI79" s="85"/>
      <c r="AK79" s="86"/>
    </row>
    <row r="80" spans="1:37">
      <c r="A80" s="84" t="s">
        <v>1036</v>
      </c>
      <c r="B80" t="s">
        <v>1083</v>
      </c>
      <c r="C80" s="87" t="s">
        <v>1412</v>
      </c>
      <c r="D80" s="84" t="s">
        <v>1806</v>
      </c>
      <c r="F80" s="85">
        <v>0.1</v>
      </c>
      <c r="G80" s="85">
        <v>0.9</v>
      </c>
      <c r="H80" s="85"/>
      <c r="I80" s="85"/>
      <c r="J80" s="86"/>
      <c r="L80" s="85"/>
      <c r="M80" t="s">
        <v>1836</v>
      </c>
      <c r="N80" s="85">
        <v>0.1</v>
      </c>
      <c r="P80" s="86"/>
      <c r="R80" s="85"/>
      <c r="Y80" s="85"/>
      <c r="Z80" s="85"/>
      <c r="AA80" s="85"/>
      <c r="AB80" s="85"/>
      <c r="AE80" s="85"/>
      <c r="AG80" s="85"/>
      <c r="AI80" s="85"/>
      <c r="AK80" s="86"/>
    </row>
    <row r="81" spans="1:37">
      <c r="A81" s="84" t="s">
        <v>1222</v>
      </c>
      <c r="B81" t="s">
        <v>36</v>
      </c>
      <c r="C81" s="93" t="s">
        <v>1585</v>
      </c>
      <c r="D81" s="84" t="s">
        <v>1806</v>
      </c>
      <c r="F81" s="85">
        <v>0.1</v>
      </c>
      <c r="G81" s="85">
        <v>0.9</v>
      </c>
      <c r="H81" s="85"/>
      <c r="I81" s="85"/>
      <c r="J81" s="86"/>
      <c r="L81" s="85"/>
      <c r="M81" t="s">
        <v>1838</v>
      </c>
      <c r="N81" s="85">
        <v>1</v>
      </c>
      <c r="P81" s="86"/>
      <c r="R81" s="85"/>
      <c r="Y81" s="85"/>
      <c r="Z81" s="85"/>
      <c r="AA81" s="85"/>
      <c r="AB81" s="85"/>
      <c r="AE81" s="85"/>
      <c r="AG81" s="85"/>
      <c r="AI81" s="85"/>
      <c r="AK81" s="86"/>
    </row>
    <row r="82" spans="1:37">
      <c r="A82" s="84" t="s">
        <v>1678</v>
      </c>
      <c r="B82" t="s">
        <v>1055</v>
      </c>
      <c r="C82" s="98" t="s">
        <v>1730</v>
      </c>
      <c r="D82" s="84" t="s">
        <v>1806</v>
      </c>
      <c r="F82" s="85" t="s">
        <v>1807</v>
      </c>
      <c r="G82" s="85">
        <v>1</v>
      </c>
      <c r="H82" s="85"/>
      <c r="I82" s="85"/>
      <c r="J82" s="86"/>
      <c r="L82" s="85"/>
      <c r="N82" s="85"/>
      <c r="P82" s="86"/>
      <c r="R82" s="85"/>
      <c r="Y82" s="85"/>
      <c r="Z82" s="85"/>
      <c r="AA82" s="85"/>
      <c r="AB82" s="85"/>
      <c r="AE82" s="85"/>
      <c r="AG82" s="85"/>
      <c r="AI82" s="85"/>
      <c r="AK82" s="86"/>
    </row>
    <row r="83" spans="1:37">
      <c r="A83" s="84" t="s">
        <v>972</v>
      </c>
      <c r="B83" t="s">
        <v>36</v>
      </c>
      <c r="C83" s="98" t="s">
        <v>1430</v>
      </c>
      <c r="D83" s="84" t="s">
        <v>1807</v>
      </c>
      <c r="F83" s="85" t="s">
        <v>1807</v>
      </c>
      <c r="G83" s="85">
        <v>1</v>
      </c>
      <c r="H83" s="85"/>
      <c r="I83" s="85"/>
      <c r="J83" s="86"/>
      <c r="L83" s="85"/>
      <c r="N83" s="85"/>
      <c r="P83" s="86"/>
      <c r="R83" s="85"/>
      <c r="Y83" s="85"/>
      <c r="Z83" s="85"/>
      <c r="AA83" s="85"/>
      <c r="AB83" s="85"/>
      <c r="AE83" s="85"/>
      <c r="AG83" s="85"/>
      <c r="AI83" s="85"/>
      <c r="AK83" s="86"/>
    </row>
    <row r="84" spans="1:37">
      <c r="A84" s="84" t="s">
        <v>1242</v>
      </c>
      <c r="B84" t="s">
        <v>36</v>
      </c>
      <c r="C84" s="93" t="s">
        <v>1109</v>
      </c>
      <c r="D84" s="84" t="s">
        <v>1806</v>
      </c>
      <c r="F84" s="85">
        <v>0.1</v>
      </c>
      <c r="G84" s="85">
        <v>0.9</v>
      </c>
      <c r="H84" s="85"/>
      <c r="I84" s="85"/>
      <c r="J84" s="86"/>
      <c r="L84" s="85"/>
      <c r="N84" s="85"/>
      <c r="P84" s="86"/>
      <c r="R84" s="85"/>
      <c r="Y84" s="85"/>
      <c r="Z84" s="85"/>
      <c r="AA84" s="85"/>
      <c r="AB84" s="85"/>
      <c r="AE84" s="85"/>
      <c r="AG84" s="85"/>
      <c r="AI84" s="85"/>
      <c r="AK84" s="86"/>
    </row>
    <row r="85" spans="1:37">
      <c r="A85" s="84" t="s">
        <v>1238</v>
      </c>
      <c r="B85" t="s">
        <v>1385</v>
      </c>
      <c r="C85" s="98" t="s">
        <v>1429</v>
      </c>
      <c r="D85" s="84" t="s">
        <v>1806</v>
      </c>
      <c r="F85" s="103">
        <v>0.1</v>
      </c>
      <c r="G85" s="103">
        <v>0.9</v>
      </c>
      <c r="H85" s="103"/>
      <c r="I85" s="103"/>
      <c r="J85" s="86"/>
      <c r="L85" s="85"/>
      <c r="N85" s="85"/>
      <c r="P85" s="86"/>
      <c r="Q85" s="84">
        <v>0</v>
      </c>
      <c r="R85" s="85"/>
      <c r="Y85" s="85"/>
      <c r="Z85" s="85"/>
      <c r="AA85" s="85"/>
      <c r="AB85" s="85"/>
      <c r="AE85" s="85"/>
      <c r="AG85" s="85"/>
      <c r="AI85" s="85"/>
      <c r="AK85" s="86"/>
    </row>
    <row r="86" spans="1:37">
      <c r="A86" s="84" t="s">
        <v>1794</v>
      </c>
      <c r="D86" s="84" t="s">
        <v>1806</v>
      </c>
      <c r="F86" s="103"/>
      <c r="G86" s="103"/>
      <c r="H86" s="103"/>
      <c r="I86" s="103"/>
      <c r="R86" s="85"/>
      <c r="Z86" s="85"/>
      <c r="AA86" s="85"/>
      <c r="AB86" s="85"/>
      <c r="AE86" s="85"/>
      <c r="AG86" s="85"/>
      <c r="AI86" s="85"/>
      <c r="AK86" s="86"/>
    </row>
    <row r="87" spans="1:37">
      <c r="A87" s="84" t="s">
        <v>1790</v>
      </c>
      <c r="D87" s="84" t="s">
        <v>1806</v>
      </c>
      <c r="F87" s="103"/>
      <c r="G87" s="103"/>
      <c r="H87" s="103"/>
      <c r="I87" s="103"/>
      <c r="R87" s="85"/>
      <c r="Z87" s="85"/>
      <c r="AA87" s="85"/>
      <c r="AB87" s="85"/>
      <c r="AE87" s="85"/>
      <c r="AG87" s="85"/>
      <c r="AI87" s="85"/>
      <c r="AK87" s="86"/>
    </row>
    <row r="88" spans="1:37">
      <c r="A88" s="84" t="s">
        <v>2075</v>
      </c>
      <c r="B88" t="s">
        <v>1385</v>
      </c>
      <c r="C88" s="99" t="s">
        <v>2077</v>
      </c>
      <c r="D88" s="84" t="s">
        <v>1806</v>
      </c>
      <c r="F88" s="85">
        <v>0.1</v>
      </c>
      <c r="G88" s="85">
        <v>0.9</v>
      </c>
      <c r="H88" s="85"/>
      <c r="I88" s="85"/>
      <c r="J88" s="86"/>
      <c r="L88" s="85"/>
      <c r="N88" s="85"/>
      <c r="P88" s="86"/>
      <c r="R88" s="85"/>
      <c r="Y88" s="85"/>
      <c r="Z88" s="85"/>
      <c r="AA88" s="85"/>
      <c r="AB88" s="85"/>
      <c r="AD88">
        <v>1</v>
      </c>
      <c r="AE88" s="85">
        <v>1</v>
      </c>
      <c r="AF88">
        <v>1</v>
      </c>
      <c r="AG88" s="85">
        <v>1</v>
      </c>
      <c r="AI88" s="85"/>
      <c r="AJ88" t="s">
        <v>1901</v>
      </c>
      <c r="AK88" s="86">
        <v>1</v>
      </c>
    </row>
    <row r="89" spans="1:37">
      <c r="A89" s="84" t="s">
        <v>1658</v>
      </c>
      <c r="B89" t="s">
        <v>1386</v>
      </c>
      <c r="C89" s="93" t="s">
        <v>1937</v>
      </c>
      <c r="D89" s="84" t="s">
        <v>1807</v>
      </c>
      <c r="F89" s="85"/>
      <c r="G89" s="85"/>
      <c r="H89" s="85"/>
      <c r="I89" s="85"/>
      <c r="J89" s="86"/>
      <c r="L89" s="85"/>
      <c r="N89" s="85"/>
      <c r="P89" s="86"/>
      <c r="R89" s="85"/>
      <c r="Y89" s="85"/>
      <c r="Z89" s="85"/>
      <c r="AA89" s="85"/>
      <c r="AB89" s="85"/>
      <c r="AD89">
        <v>1</v>
      </c>
      <c r="AE89" s="85">
        <v>1</v>
      </c>
      <c r="AF89">
        <v>1</v>
      </c>
      <c r="AG89" s="85">
        <v>1</v>
      </c>
      <c r="AI89" s="85"/>
      <c r="AK89" s="86"/>
    </row>
    <row r="90" spans="1:37">
      <c r="A90" s="84" t="s">
        <v>1605</v>
      </c>
      <c r="B90" t="s">
        <v>36</v>
      </c>
      <c r="C90" s="87" t="s">
        <v>1717</v>
      </c>
      <c r="D90" s="84" t="s">
        <v>1807</v>
      </c>
      <c r="F90" s="85" t="s">
        <v>1807</v>
      </c>
      <c r="G90" s="85">
        <v>1</v>
      </c>
      <c r="H90" s="85"/>
      <c r="I90" s="85"/>
      <c r="J90" s="86"/>
      <c r="L90" s="85"/>
      <c r="N90" s="85"/>
      <c r="P90" s="86"/>
      <c r="R90" s="85"/>
      <c r="Y90" s="85"/>
      <c r="Z90" s="85"/>
      <c r="AA90" s="85"/>
      <c r="AB90" s="85"/>
      <c r="AD90">
        <v>3</v>
      </c>
      <c r="AE90" s="85"/>
      <c r="AG90" s="85"/>
      <c r="AI90" s="85"/>
      <c r="AK90" s="86"/>
    </row>
    <row r="91" spans="1:37">
      <c r="A91" s="84" t="s">
        <v>1719</v>
      </c>
      <c r="B91" t="s">
        <v>1380</v>
      </c>
      <c r="C91" s="99" t="s">
        <v>2076</v>
      </c>
      <c r="D91" s="84" t="s">
        <v>1806</v>
      </c>
      <c r="F91" s="85">
        <v>0.1</v>
      </c>
      <c r="G91" s="85">
        <v>0.9</v>
      </c>
      <c r="H91" s="85"/>
      <c r="I91" s="85"/>
      <c r="J91" s="86"/>
      <c r="L91" s="85"/>
      <c r="N91" s="85"/>
      <c r="P91" s="86"/>
      <c r="R91" s="85"/>
      <c r="Y91" s="85"/>
      <c r="Z91" s="85"/>
      <c r="AA91" s="85"/>
      <c r="AB91" s="85"/>
      <c r="AD91">
        <v>1</v>
      </c>
      <c r="AE91" s="85">
        <v>1</v>
      </c>
      <c r="AF91">
        <v>1</v>
      </c>
      <c r="AG91" s="85">
        <v>1</v>
      </c>
      <c r="AI91" s="85"/>
      <c r="AJ91" t="s">
        <v>1901</v>
      </c>
      <c r="AK91" s="86">
        <v>1</v>
      </c>
    </row>
    <row r="92" spans="1:37">
      <c r="A92" s="84" t="s">
        <v>1613</v>
      </c>
      <c r="B92" t="s">
        <v>1381</v>
      </c>
      <c r="C92" s="87" t="s">
        <v>1615</v>
      </c>
      <c r="D92" s="84" t="s">
        <v>1807</v>
      </c>
      <c r="F92" s="85">
        <v>0.1</v>
      </c>
      <c r="G92" s="85">
        <v>1</v>
      </c>
      <c r="H92" s="85"/>
      <c r="I92" s="85"/>
      <c r="J92" s="86"/>
      <c r="L92" s="85"/>
      <c r="N92" s="85"/>
      <c r="P92" s="86"/>
      <c r="Q92" s="84">
        <v>0</v>
      </c>
      <c r="R92" s="85"/>
      <c r="Y92" s="85"/>
      <c r="Z92" s="85"/>
      <c r="AA92" s="85"/>
      <c r="AB92" s="85"/>
      <c r="AE92" s="85"/>
      <c r="AG92" s="85"/>
      <c r="AH92">
        <v>3</v>
      </c>
      <c r="AI92" s="85">
        <v>1</v>
      </c>
      <c r="AK92" s="86"/>
    </row>
    <row r="93" spans="1:37">
      <c r="A93" s="84" t="s">
        <v>1282</v>
      </c>
      <c r="B93" t="s">
        <v>1055</v>
      </c>
      <c r="C93" s="99" t="s">
        <v>1946</v>
      </c>
      <c r="D93" s="84" t="s">
        <v>1806</v>
      </c>
      <c r="F93" s="85">
        <v>0.1</v>
      </c>
      <c r="G93" s="85">
        <v>0.9</v>
      </c>
      <c r="H93" s="85"/>
      <c r="I93" s="85"/>
      <c r="J93" s="86"/>
      <c r="L93" s="85"/>
      <c r="N93" s="85"/>
      <c r="P93" s="86"/>
      <c r="R93" s="85"/>
      <c r="Y93" s="85"/>
      <c r="Z93" s="85"/>
      <c r="AA93" s="85"/>
      <c r="AB93" s="85"/>
      <c r="AE93" s="85"/>
      <c r="AG93" s="85"/>
      <c r="AI93" s="85"/>
      <c r="AK93" s="86"/>
    </row>
    <row r="94" spans="1:37">
      <c r="A94" s="84" t="s">
        <v>2055</v>
      </c>
      <c r="D94" s="84" t="s">
        <v>1806</v>
      </c>
      <c r="F94" s="103"/>
      <c r="G94" s="103"/>
      <c r="H94" s="103"/>
      <c r="I94" s="103"/>
      <c r="R94" s="85"/>
      <c r="Z94" s="85"/>
      <c r="AA94" s="85"/>
      <c r="AB94" s="85"/>
      <c r="AE94" s="85"/>
      <c r="AG94" s="85"/>
      <c r="AI94" s="85"/>
      <c r="AK94" s="86"/>
    </row>
    <row r="95" spans="1:37">
      <c r="A95" s="84" t="s">
        <v>1295</v>
      </c>
      <c r="B95" t="s">
        <v>1383</v>
      </c>
      <c r="C95" s="87" t="s">
        <v>1586</v>
      </c>
      <c r="D95" s="84" t="s">
        <v>1806</v>
      </c>
      <c r="F95" s="85"/>
      <c r="G95" s="85"/>
      <c r="H95" s="85"/>
      <c r="I95" s="85"/>
      <c r="J95" s="86"/>
      <c r="L95" s="85"/>
      <c r="N95" s="85"/>
      <c r="P95" s="86"/>
      <c r="R95" s="85"/>
      <c r="Y95" s="85"/>
      <c r="Z95" s="85"/>
      <c r="AA95" s="85"/>
      <c r="AB95" s="85"/>
      <c r="AE95" s="85"/>
      <c r="AG95" s="85"/>
      <c r="AI95" s="85"/>
      <c r="AK95" s="86"/>
    </row>
    <row r="96" spans="1:37">
      <c r="A96" s="84" t="s">
        <v>2093</v>
      </c>
      <c r="D96" s="84" t="s">
        <v>1807</v>
      </c>
      <c r="F96" s="103"/>
      <c r="G96" s="103"/>
      <c r="H96" s="103"/>
      <c r="I96" s="103"/>
      <c r="R96" s="85"/>
      <c r="Z96" s="85"/>
      <c r="AA96" s="85"/>
      <c r="AB96" s="85"/>
      <c r="AE96" s="85"/>
      <c r="AG96" s="85"/>
      <c r="AI96" s="85"/>
      <c r="AK96" s="86"/>
    </row>
    <row r="97" spans="1:37">
      <c r="A97" s="84" t="s">
        <v>1079</v>
      </c>
      <c r="B97" t="s">
        <v>36</v>
      </c>
      <c r="C97" s="98" t="s">
        <v>1951</v>
      </c>
      <c r="D97" s="84" t="s">
        <v>1807</v>
      </c>
      <c r="F97" s="85" t="s">
        <v>1807</v>
      </c>
      <c r="G97" s="85">
        <v>1</v>
      </c>
      <c r="H97" s="85"/>
      <c r="I97" s="85"/>
      <c r="J97" s="86"/>
      <c r="L97" s="85"/>
      <c r="N97" s="85"/>
      <c r="P97" s="86"/>
      <c r="R97" s="85"/>
      <c r="Y97" s="85"/>
      <c r="Z97" s="85">
        <v>1</v>
      </c>
      <c r="AA97" s="85"/>
      <c r="AB97" s="85"/>
      <c r="AE97" s="85"/>
      <c r="AG97" s="85"/>
      <c r="AI97" s="85"/>
      <c r="AJ97" t="s">
        <v>1813</v>
      </c>
      <c r="AK97" s="86">
        <v>1</v>
      </c>
    </row>
    <row r="98" spans="1:37">
      <c r="A98" s="84" t="s">
        <v>1643</v>
      </c>
      <c r="D98" s="84" t="s">
        <v>1807</v>
      </c>
      <c r="F98" s="103"/>
      <c r="G98" s="103"/>
      <c r="H98" s="103"/>
      <c r="I98" s="103"/>
      <c r="R98" s="85"/>
      <c r="Z98" s="85"/>
      <c r="AA98" s="85"/>
      <c r="AB98" s="85"/>
      <c r="AE98" s="85"/>
      <c r="AG98" s="85"/>
      <c r="AI98" s="85"/>
      <c r="AK98" s="86"/>
    </row>
    <row r="99" spans="1:37">
      <c r="A99" s="84" t="s">
        <v>1248</v>
      </c>
      <c r="B99" t="s">
        <v>1083</v>
      </c>
      <c r="C99" s="98" t="s">
        <v>1402</v>
      </c>
      <c r="D99" s="84" t="s">
        <v>1807</v>
      </c>
      <c r="F99" s="85" t="s">
        <v>1807</v>
      </c>
      <c r="G99" s="85">
        <v>0.5</v>
      </c>
      <c r="H99" s="85"/>
      <c r="I99" s="85"/>
      <c r="J99" s="86"/>
      <c r="L99" s="85"/>
      <c r="N99" s="85"/>
      <c r="P99" s="86"/>
      <c r="R99" s="85"/>
      <c r="Y99" s="85"/>
      <c r="Z99" s="85"/>
      <c r="AA99" s="85"/>
      <c r="AB99" s="85"/>
      <c r="AE99" s="85"/>
      <c r="AG99" s="85"/>
      <c r="AI99" s="85"/>
      <c r="AK99" s="86"/>
    </row>
    <row r="100" spans="1:37">
      <c r="A100" s="84" t="s">
        <v>1224</v>
      </c>
      <c r="B100" t="s">
        <v>36</v>
      </c>
      <c r="C100" s="87" t="s">
        <v>1425</v>
      </c>
      <c r="D100" s="84" t="s">
        <v>1807</v>
      </c>
      <c r="F100" s="85" t="s">
        <v>1807</v>
      </c>
      <c r="G100" s="85">
        <v>1</v>
      </c>
      <c r="H100" s="85"/>
      <c r="I100" s="85"/>
      <c r="J100" s="86"/>
      <c r="K100" s="84" t="s">
        <v>1811</v>
      </c>
      <c r="L100" s="85">
        <v>0.7</v>
      </c>
      <c r="N100" s="85"/>
      <c r="P100" s="86"/>
      <c r="R100" s="85"/>
      <c r="Y100" s="85"/>
      <c r="Z100" s="85"/>
      <c r="AA100" s="85"/>
      <c r="AB100" s="85"/>
      <c r="AE100" s="85"/>
      <c r="AG100" s="85"/>
      <c r="AI100" s="85"/>
      <c r="AK100" s="86"/>
    </row>
    <row r="101" spans="1:37">
      <c r="A101" s="84" t="s">
        <v>2099</v>
      </c>
      <c r="D101" s="84" t="s">
        <v>1807</v>
      </c>
      <c r="F101" s="103"/>
      <c r="G101" s="103"/>
      <c r="H101" s="103"/>
      <c r="I101" s="103"/>
      <c r="R101" s="85"/>
      <c r="Z101" s="85"/>
      <c r="AA101" s="85"/>
      <c r="AB101" s="85"/>
      <c r="AE101" s="85"/>
      <c r="AG101" s="85"/>
      <c r="AI101" s="85"/>
      <c r="AK101" s="86"/>
    </row>
    <row r="102" spans="1:37">
      <c r="A102" s="84" t="s">
        <v>1247</v>
      </c>
      <c r="B102" t="s">
        <v>36</v>
      </c>
      <c r="C102" s="93" t="s">
        <v>1109</v>
      </c>
      <c r="D102" s="84" t="s">
        <v>1806</v>
      </c>
      <c r="F102" s="85">
        <v>0.1</v>
      </c>
      <c r="G102" s="85">
        <v>0.9</v>
      </c>
      <c r="H102" s="85"/>
      <c r="I102" s="85"/>
      <c r="J102" s="86"/>
      <c r="L102" s="85"/>
      <c r="N102" s="85"/>
      <c r="P102" s="86"/>
      <c r="R102" s="85"/>
      <c r="Y102" s="85"/>
      <c r="Z102" s="85"/>
      <c r="AA102" s="85"/>
      <c r="AB102" s="85"/>
      <c r="AE102" s="85"/>
      <c r="AG102" s="85"/>
      <c r="AI102" s="85"/>
      <c r="AK102" s="86"/>
    </row>
    <row r="103" spans="1:37">
      <c r="A103" s="84" t="s">
        <v>1273</v>
      </c>
      <c r="B103" t="s">
        <v>36</v>
      </c>
      <c r="C103" s="87" t="s">
        <v>1408</v>
      </c>
      <c r="D103" s="84" t="s">
        <v>1806</v>
      </c>
      <c r="F103" s="85">
        <v>0.1</v>
      </c>
      <c r="G103" s="85">
        <v>0.9</v>
      </c>
      <c r="H103" s="85"/>
      <c r="I103" s="85"/>
      <c r="J103" s="86"/>
      <c r="L103" s="85"/>
      <c r="N103" s="85"/>
      <c r="P103" s="86"/>
      <c r="R103" s="85"/>
      <c r="Y103" s="85"/>
      <c r="Z103" s="85"/>
      <c r="AA103" s="85"/>
      <c r="AB103" s="85"/>
      <c r="AE103" s="85"/>
      <c r="AG103" s="85"/>
      <c r="AI103" s="85"/>
      <c r="AK103" s="86"/>
    </row>
    <row r="104" spans="1:37">
      <c r="A104" s="84" t="s">
        <v>1033</v>
      </c>
      <c r="B104" t="s">
        <v>1385</v>
      </c>
      <c r="C104" s="87" t="s">
        <v>1433</v>
      </c>
      <c r="D104" s="84" t="s">
        <v>1807</v>
      </c>
      <c r="F104" s="103" t="s">
        <v>1807</v>
      </c>
      <c r="G104" s="103">
        <v>1</v>
      </c>
      <c r="H104" s="103"/>
      <c r="I104" s="103"/>
      <c r="J104" s="86"/>
      <c r="L104" s="85"/>
      <c r="N104" s="85"/>
      <c r="P104" s="86"/>
      <c r="Q104" s="84">
        <v>0</v>
      </c>
      <c r="R104" s="85"/>
      <c r="U104">
        <v>-2</v>
      </c>
      <c r="V104" s="85">
        <v>1</v>
      </c>
      <c r="Y104" s="85"/>
      <c r="Z104" s="85"/>
      <c r="AA104" s="85"/>
      <c r="AB104" s="85"/>
      <c r="AE104" s="85"/>
      <c r="AG104" s="85"/>
      <c r="AI104" s="85"/>
      <c r="AK104" s="86"/>
    </row>
    <row r="105" spans="1:37">
      <c r="A105" s="84" t="s">
        <v>1639</v>
      </c>
      <c r="D105" s="84" t="s">
        <v>1806</v>
      </c>
      <c r="F105" s="103"/>
      <c r="G105" s="103"/>
      <c r="H105" s="103"/>
      <c r="I105" s="103"/>
      <c r="R105" s="85"/>
      <c r="Z105" s="85"/>
      <c r="AA105" s="85"/>
      <c r="AB105" s="85"/>
      <c r="AE105" s="85"/>
      <c r="AG105" s="85"/>
      <c r="AI105" s="85"/>
      <c r="AK105" s="86"/>
    </row>
    <row r="106" spans="1:37">
      <c r="A106" s="84" t="s">
        <v>1626</v>
      </c>
      <c r="D106" s="84" t="s">
        <v>1807</v>
      </c>
      <c r="F106" s="103"/>
      <c r="G106" s="103"/>
      <c r="H106" s="103"/>
      <c r="I106" s="103"/>
      <c r="R106" s="85"/>
      <c r="Z106" s="85"/>
      <c r="AA106" s="85"/>
      <c r="AB106" s="85"/>
      <c r="AE106" s="85"/>
      <c r="AG106" s="85"/>
      <c r="AI106" s="85"/>
      <c r="AK106" s="86"/>
    </row>
    <row r="107" spans="1:37">
      <c r="A107" s="84" t="s">
        <v>2106</v>
      </c>
      <c r="D107" s="84" t="s">
        <v>1806</v>
      </c>
      <c r="F107" s="103"/>
      <c r="G107" s="103"/>
      <c r="H107" s="103"/>
      <c r="I107" s="103"/>
      <c r="R107" s="85"/>
      <c r="Z107" s="85"/>
      <c r="AA107" s="85"/>
      <c r="AB107" s="85"/>
      <c r="AE107" s="85"/>
      <c r="AG107" s="85"/>
      <c r="AI107" s="85"/>
      <c r="AK107" s="86"/>
    </row>
    <row r="108" spans="1:37">
      <c r="A108" s="84" t="s">
        <v>1239</v>
      </c>
      <c r="B108" t="s">
        <v>1055</v>
      </c>
      <c r="C108" s="98" t="s">
        <v>1947</v>
      </c>
      <c r="D108" s="84" t="s">
        <v>1806</v>
      </c>
      <c r="E108">
        <v>0.75</v>
      </c>
      <c r="F108" s="85">
        <v>0.1</v>
      </c>
      <c r="G108" s="85">
        <v>0.8</v>
      </c>
      <c r="H108" s="85"/>
      <c r="I108" s="85"/>
      <c r="J108" s="86"/>
      <c r="L108" s="85"/>
      <c r="N108" s="85"/>
      <c r="P108" s="86"/>
      <c r="R108" s="85"/>
      <c r="Y108" s="85"/>
      <c r="Z108" s="85"/>
      <c r="AA108" s="85"/>
      <c r="AB108" s="85"/>
      <c r="AE108" s="85"/>
      <c r="AG108" s="85"/>
      <c r="AI108" s="85"/>
      <c r="AK108" s="86"/>
    </row>
    <row r="109" spans="1:37">
      <c r="A109" s="84" t="s">
        <v>1705</v>
      </c>
      <c r="D109" s="84" t="s">
        <v>1806</v>
      </c>
      <c r="F109" s="103"/>
      <c r="G109" s="103"/>
      <c r="H109" s="103"/>
      <c r="I109" s="103"/>
      <c r="R109" s="85"/>
      <c r="Z109" s="85"/>
      <c r="AA109" s="85"/>
      <c r="AB109" s="85"/>
      <c r="AE109" s="85"/>
      <c r="AG109" s="85"/>
      <c r="AI109" s="85"/>
      <c r="AK109" s="86"/>
    </row>
    <row r="110" spans="1:37">
      <c r="A110" s="84" t="s">
        <v>2091</v>
      </c>
      <c r="D110" s="84" t="s">
        <v>1806</v>
      </c>
      <c r="F110" s="103"/>
      <c r="G110" s="103"/>
      <c r="H110" s="103"/>
      <c r="I110" s="103"/>
      <c r="R110" s="85"/>
      <c r="Z110" s="85"/>
      <c r="AA110" s="85"/>
      <c r="AB110" s="85"/>
      <c r="AE110" s="85"/>
      <c r="AG110" s="85"/>
      <c r="AI110" s="85"/>
      <c r="AK110" s="86"/>
    </row>
    <row r="111" spans="1:37">
      <c r="A111" s="84" t="s">
        <v>1314</v>
      </c>
      <c r="B111" t="s">
        <v>1386</v>
      </c>
      <c r="C111" s="87" t="s">
        <v>1398</v>
      </c>
      <c r="D111" s="84" t="s">
        <v>1806</v>
      </c>
      <c r="F111" s="85">
        <v>0.1</v>
      </c>
      <c r="G111" s="85">
        <v>0.9</v>
      </c>
      <c r="H111" s="85"/>
      <c r="I111" s="85"/>
      <c r="J111" s="86"/>
      <c r="K111" s="84" t="s">
        <v>1811</v>
      </c>
      <c r="L111" s="85">
        <v>0.4</v>
      </c>
      <c r="N111" s="85"/>
      <c r="P111" s="86"/>
      <c r="R111" s="85"/>
      <c r="Y111" s="85"/>
      <c r="Z111" s="85"/>
      <c r="AA111" s="85"/>
      <c r="AB111" s="85"/>
      <c r="AE111" s="85"/>
      <c r="AG111" s="85"/>
      <c r="AI111" s="85"/>
      <c r="AK111" s="86"/>
    </row>
    <row r="112" spans="1:37">
      <c r="A112" s="84" t="s">
        <v>1596</v>
      </c>
      <c r="D112" s="84" t="s">
        <v>1807</v>
      </c>
      <c r="F112" s="103"/>
      <c r="G112" s="103"/>
      <c r="H112" s="103"/>
      <c r="I112" s="103"/>
      <c r="R112" s="85"/>
      <c r="Z112" s="85"/>
      <c r="AA112" s="85"/>
      <c r="AB112" s="85"/>
      <c r="AE112" s="85"/>
      <c r="AG112" s="85"/>
      <c r="AI112" s="85"/>
      <c r="AK112" s="86"/>
    </row>
    <row r="113" spans="1:37">
      <c r="A113" s="84" t="s">
        <v>1701</v>
      </c>
      <c r="B113" t="s">
        <v>1382</v>
      </c>
      <c r="C113" s="87" t="s">
        <v>1704</v>
      </c>
      <c r="D113" s="84" t="s">
        <v>1806</v>
      </c>
      <c r="F113" s="85">
        <v>0.3</v>
      </c>
      <c r="G113" s="85">
        <v>0.6</v>
      </c>
      <c r="H113" s="85"/>
      <c r="I113" s="85"/>
      <c r="J113" s="86"/>
      <c r="K113" s="84" t="s">
        <v>1811</v>
      </c>
      <c r="L113" s="85">
        <v>1</v>
      </c>
      <c r="N113" s="85"/>
      <c r="P113" s="86"/>
      <c r="Q113" s="84">
        <v>0</v>
      </c>
      <c r="R113" s="85"/>
      <c r="Y113" s="85"/>
      <c r="Z113" s="85"/>
      <c r="AA113" s="85"/>
      <c r="AB113" s="85"/>
      <c r="AE113" s="85"/>
      <c r="AG113" s="85"/>
      <c r="AI113" s="85"/>
      <c r="AK113" s="86"/>
    </row>
    <row r="114" spans="1:37">
      <c r="A114" s="84" t="s">
        <v>1619</v>
      </c>
      <c r="D114" s="84" t="s">
        <v>1806</v>
      </c>
      <c r="F114" s="103"/>
      <c r="G114" s="103"/>
      <c r="H114" s="103"/>
      <c r="I114" s="103"/>
      <c r="R114" s="85"/>
      <c r="Z114" s="85"/>
      <c r="AA114" s="85"/>
      <c r="AB114" s="85"/>
      <c r="AE114" s="85"/>
      <c r="AG114" s="85"/>
      <c r="AI114" s="85"/>
      <c r="AK114" s="86"/>
    </row>
    <row r="115" spans="1:37">
      <c r="A115" s="84" t="s">
        <v>2115</v>
      </c>
      <c r="D115" s="84" t="s">
        <v>1807</v>
      </c>
      <c r="F115" s="103"/>
      <c r="G115" s="103"/>
      <c r="H115" s="103"/>
      <c r="I115" s="103"/>
      <c r="R115" s="85"/>
      <c r="Z115" s="85"/>
      <c r="AA115" s="85"/>
      <c r="AB115" s="85"/>
      <c r="AE115" s="85"/>
      <c r="AG115" s="85"/>
      <c r="AI115" s="85"/>
      <c r="AK115" s="86"/>
    </row>
    <row r="116" spans="1:37">
      <c r="A116" s="84" t="s">
        <v>1588</v>
      </c>
      <c r="D116" s="84" t="s">
        <v>1806</v>
      </c>
      <c r="F116" s="103"/>
      <c r="G116" s="103"/>
      <c r="H116" s="103"/>
      <c r="I116" s="103"/>
      <c r="R116" s="85"/>
      <c r="Z116" s="85"/>
      <c r="AA116" s="85"/>
      <c r="AB116" s="85"/>
      <c r="AE116" s="85"/>
      <c r="AG116" s="85"/>
      <c r="AI116" s="85"/>
      <c r="AK116" s="86"/>
    </row>
    <row r="117" spans="1:37">
      <c r="A117" s="84" t="s">
        <v>1150</v>
      </c>
      <c r="B117" t="s">
        <v>1386</v>
      </c>
      <c r="C117" s="93" t="s">
        <v>1109</v>
      </c>
      <c r="D117" s="84" t="s">
        <v>1806</v>
      </c>
      <c r="E117">
        <v>1.5</v>
      </c>
      <c r="F117" s="85">
        <v>0.1</v>
      </c>
      <c r="G117" s="85">
        <v>0.9</v>
      </c>
      <c r="H117" s="85"/>
      <c r="I117" s="85"/>
      <c r="J117" s="86"/>
      <c r="L117" s="85"/>
      <c r="N117" s="85"/>
      <c r="P117" s="86"/>
      <c r="Q117" s="84">
        <v>0</v>
      </c>
      <c r="R117" s="85"/>
      <c r="Y117" s="85"/>
      <c r="Z117" s="85"/>
      <c r="AA117" s="85"/>
      <c r="AB117" s="85"/>
      <c r="AE117" s="85"/>
      <c r="AG117" s="85"/>
      <c r="AI117" s="85"/>
      <c r="AJ117" t="s">
        <v>1836</v>
      </c>
      <c r="AK117" s="86">
        <v>0.7</v>
      </c>
    </row>
    <row r="118" spans="1:37">
      <c r="A118" s="84" t="s">
        <v>1631</v>
      </c>
      <c r="D118" s="84" t="s">
        <v>1807</v>
      </c>
      <c r="F118" s="103"/>
      <c r="G118" s="103"/>
      <c r="H118" s="103"/>
      <c r="I118" s="103"/>
      <c r="R118" s="85"/>
      <c r="Z118" s="85"/>
      <c r="AA118" s="85"/>
      <c r="AB118" s="85"/>
      <c r="AE118" s="85"/>
      <c r="AG118" s="85"/>
      <c r="AI118" s="85"/>
      <c r="AK118" s="86"/>
    </row>
    <row r="119" spans="1:37">
      <c r="A119" s="84" t="s">
        <v>1713</v>
      </c>
      <c r="B119" t="s">
        <v>1387</v>
      </c>
      <c r="C119" s="98" t="s">
        <v>1714</v>
      </c>
      <c r="D119" s="84" t="s">
        <v>1806</v>
      </c>
      <c r="E119">
        <v>2</v>
      </c>
      <c r="F119" s="85">
        <v>0.1</v>
      </c>
      <c r="G119" s="85">
        <v>0.9</v>
      </c>
      <c r="H119" s="85"/>
      <c r="I119" s="85"/>
      <c r="J119" s="86"/>
      <c r="L119" s="85"/>
      <c r="N119" s="85"/>
      <c r="P119" s="86"/>
      <c r="R119" s="85"/>
      <c r="Y119" s="85"/>
      <c r="Z119" s="85"/>
      <c r="AA119" s="85"/>
      <c r="AB119" s="85"/>
      <c r="AE119" s="85"/>
      <c r="AG119" s="85"/>
      <c r="AI119" s="85"/>
      <c r="AK119" s="86"/>
    </row>
    <row r="120" spans="1:37">
      <c r="A120" s="84" t="s">
        <v>1691</v>
      </c>
      <c r="B120" t="s">
        <v>1379</v>
      </c>
      <c r="C120" s="87" t="s">
        <v>1692</v>
      </c>
      <c r="D120" s="84" t="s">
        <v>1806</v>
      </c>
      <c r="F120" s="85"/>
      <c r="G120" s="85"/>
      <c r="H120" s="85"/>
      <c r="I120" s="85"/>
      <c r="J120" s="86"/>
      <c r="L120" s="85"/>
      <c r="N120" s="85"/>
      <c r="P120" s="86"/>
      <c r="R120" s="85"/>
      <c r="Y120" s="85"/>
      <c r="Z120" s="85"/>
      <c r="AA120" s="85"/>
      <c r="AB120" s="85"/>
      <c r="AE120" s="85"/>
      <c r="AG120" s="85"/>
      <c r="AI120" s="85"/>
      <c r="AK120" s="86"/>
    </row>
    <row r="121" spans="1:37">
      <c r="A121" s="84" t="s">
        <v>1748</v>
      </c>
      <c r="D121" s="84" t="s">
        <v>1806</v>
      </c>
      <c r="F121" s="103"/>
      <c r="G121" s="103"/>
      <c r="H121" s="103"/>
      <c r="I121" s="103"/>
      <c r="R121" s="85"/>
      <c r="Z121" s="85"/>
      <c r="AA121" s="85"/>
      <c r="AB121" s="85"/>
      <c r="AE121" s="85"/>
      <c r="AG121" s="85"/>
      <c r="AI121" s="85"/>
      <c r="AK121" s="86"/>
    </row>
    <row r="122" spans="1:37">
      <c r="A122" s="84" t="s">
        <v>1102</v>
      </c>
      <c r="B122" t="s">
        <v>1055</v>
      </c>
      <c r="C122" s="93" t="s">
        <v>1608</v>
      </c>
      <c r="D122" s="84" t="s">
        <v>1806</v>
      </c>
      <c r="F122" s="85">
        <v>0.1</v>
      </c>
      <c r="G122" s="85">
        <v>1</v>
      </c>
      <c r="H122" s="85"/>
      <c r="I122" s="85"/>
      <c r="J122" s="86"/>
      <c r="L122" s="85"/>
      <c r="N122" s="85"/>
      <c r="P122" s="86"/>
      <c r="R122" s="85"/>
      <c r="Y122" s="85"/>
      <c r="Z122" s="85"/>
      <c r="AA122" s="85"/>
      <c r="AB122" s="85"/>
      <c r="AE122" s="85"/>
      <c r="AG122" s="85"/>
      <c r="AI122" s="85"/>
      <c r="AK122" s="86"/>
    </row>
    <row r="123" spans="1:37">
      <c r="A123" s="84" t="s">
        <v>1051</v>
      </c>
      <c r="B123" t="s">
        <v>36</v>
      </c>
      <c r="C123" s="98" t="s">
        <v>1407</v>
      </c>
      <c r="D123" s="84" t="s">
        <v>1806</v>
      </c>
      <c r="F123" s="85" t="s">
        <v>1807</v>
      </c>
      <c r="G123" s="85">
        <v>1</v>
      </c>
      <c r="H123" s="85"/>
      <c r="I123" s="85"/>
      <c r="J123" s="86"/>
      <c r="L123" s="85"/>
      <c r="N123" s="85"/>
      <c r="P123" s="86"/>
      <c r="R123" s="85"/>
      <c r="Y123" s="85"/>
      <c r="Z123" s="85"/>
      <c r="AA123" s="85"/>
      <c r="AB123" s="85"/>
      <c r="AE123" s="85"/>
      <c r="AG123" s="85"/>
      <c r="AI123" s="85"/>
      <c r="AK123" s="86"/>
    </row>
    <row r="124" spans="1:37">
      <c r="A124" s="84" t="s">
        <v>1287</v>
      </c>
      <c r="B124" t="s">
        <v>1055</v>
      </c>
      <c r="C124" s="99" t="s">
        <v>1906</v>
      </c>
      <c r="D124" s="84" t="s">
        <v>1806</v>
      </c>
      <c r="F124" s="85">
        <v>0.1</v>
      </c>
      <c r="G124" s="85">
        <v>0.9</v>
      </c>
      <c r="H124" s="85"/>
      <c r="I124" s="85"/>
      <c r="J124" s="86"/>
      <c r="L124" s="85"/>
      <c r="N124" s="85"/>
      <c r="P124" s="86"/>
      <c r="R124" s="85"/>
      <c r="Y124" s="85"/>
      <c r="Z124" s="85"/>
      <c r="AA124" s="85"/>
      <c r="AB124" s="85"/>
      <c r="AE124" s="85"/>
      <c r="AG124" s="85"/>
      <c r="AI124" s="85"/>
      <c r="AK124" s="86"/>
    </row>
    <row r="125" spans="1:37">
      <c r="A125" s="84" t="s">
        <v>2107</v>
      </c>
      <c r="D125" s="84" t="s">
        <v>1807</v>
      </c>
      <c r="F125" s="103"/>
      <c r="G125" s="103"/>
      <c r="H125" s="103"/>
      <c r="I125" s="103"/>
      <c r="R125" s="85"/>
      <c r="Z125" s="85"/>
      <c r="AA125" s="85"/>
      <c r="AB125" s="85"/>
      <c r="AE125" s="85"/>
      <c r="AG125" s="85"/>
      <c r="AI125" s="85"/>
      <c r="AK125" s="86"/>
    </row>
    <row r="126" spans="1:37">
      <c r="A126" s="84" t="s">
        <v>2051</v>
      </c>
      <c r="D126" s="84" t="s">
        <v>1806</v>
      </c>
      <c r="F126" s="103"/>
      <c r="G126" s="103"/>
      <c r="H126" s="103"/>
      <c r="I126" s="103"/>
      <c r="R126" s="85"/>
      <c r="Z126" s="85"/>
      <c r="AA126" s="85"/>
      <c r="AB126" s="85"/>
      <c r="AE126" s="85"/>
      <c r="AG126" s="85"/>
      <c r="AI126" s="85"/>
      <c r="AK126" s="86"/>
    </row>
    <row r="127" spans="1:37">
      <c r="A127" s="84" t="s">
        <v>1583</v>
      </c>
      <c r="B127" t="s">
        <v>36</v>
      </c>
      <c r="C127" s="93" t="s">
        <v>1585</v>
      </c>
      <c r="D127" s="84" t="s">
        <v>1806</v>
      </c>
      <c r="F127" s="85">
        <v>0.1</v>
      </c>
      <c r="G127" s="85">
        <v>0.9</v>
      </c>
      <c r="H127" s="85"/>
      <c r="I127" s="85"/>
      <c r="J127" s="86"/>
      <c r="L127" s="85"/>
      <c r="M127" t="s">
        <v>1838</v>
      </c>
      <c r="N127" s="85">
        <v>1</v>
      </c>
      <c r="P127" s="86"/>
      <c r="R127" s="85"/>
      <c r="Y127" s="85"/>
      <c r="Z127" s="85"/>
      <c r="AA127" s="85"/>
      <c r="AB127" s="85"/>
      <c r="AE127" s="85"/>
      <c r="AG127" s="85"/>
      <c r="AI127" s="85"/>
      <c r="AK127" s="86"/>
    </row>
    <row r="128" spans="1:37">
      <c r="A128" s="84" t="s">
        <v>957</v>
      </c>
      <c r="B128" t="s">
        <v>1232</v>
      </c>
      <c r="C128" s="93" t="s">
        <v>1109</v>
      </c>
      <c r="D128" s="84" t="s">
        <v>1806</v>
      </c>
      <c r="F128" s="85"/>
      <c r="G128" s="85"/>
      <c r="H128" s="85"/>
      <c r="I128" s="85"/>
      <c r="J128" s="86"/>
      <c r="L128" s="85"/>
      <c r="N128" s="85"/>
      <c r="P128" s="86"/>
      <c r="R128" s="85"/>
      <c r="Y128" s="85"/>
      <c r="Z128" s="85"/>
      <c r="AA128" s="85"/>
      <c r="AB128" s="85"/>
      <c r="AE128" s="85"/>
      <c r="AG128" s="85"/>
      <c r="AI128" s="85"/>
      <c r="AK128" s="86"/>
    </row>
    <row r="129" spans="1:37">
      <c r="A129" s="84" t="s">
        <v>1138</v>
      </c>
      <c r="B129" t="s">
        <v>36</v>
      </c>
      <c r="C129" s="98" t="s">
        <v>1779</v>
      </c>
      <c r="D129" s="84" t="s">
        <v>1806</v>
      </c>
      <c r="E129">
        <v>3</v>
      </c>
      <c r="F129" s="85">
        <v>0.1</v>
      </c>
      <c r="G129" s="85">
        <v>1</v>
      </c>
      <c r="H129" s="85"/>
      <c r="I129" s="85"/>
      <c r="J129" s="86"/>
      <c r="L129" s="85"/>
      <c r="N129" s="85"/>
      <c r="P129" s="86"/>
      <c r="R129" s="85"/>
      <c r="Y129" s="85"/>
      <c r="Z129" s="85"/>
      <c r="AA129" s="85"/>
      <c r="AB129" s="85">
        <v>1</v>
      </c>
      <c r="AE129" s="85"/>
      <c r="AG129" s="85"/>
      <c r="AI129" s="85"/>
      <c r="AK129" s="86"/>
    </row>
    <row r="130" spans="1:37">
      <c r="A130" s="84" t="s">
        <v>1272</v>
      </c>
      <c r="B130" t="s">
        <v>1232</v>
      </c>
      <c r="C130" s="87" t="s">
        <v>1607</v>
      </c>
      <c r="D130" s="84" t="s">
        <v>1806</v>
      </c>
      <c r="F130" s="85"/>
      <c r="G130" s="85"/>
      <c r="H130" s="85"/>
      <c r="I130" s="85"/>
      <c r="J130" s="86"/>
      <c r="L130" s="85"/>
      <c r="N130" s="85"/>
      <c r="P130" s="86"/>
      <c r="R130" s="85"/>
      <c r="Y130" s="85"/>
      <c r="Z130" s="85"/>
      <c r="AA130" s="85"/>
      <c r="AB130" s="85"/>
      <c r="AE130" s="85"/>
      <c r="AG130" s="85"/>
      <c r="AI130" s="85"/>
      <c r="AK130" s="86"/>
    </row>
    <row r="131" spans="1:37">
      <c r="A131" s="84" t="s">
        <v>1798</v>
      </c>
      <c r="B131" t="s">
        <v>1380</v>
      </c>
      <c r="C131" s="87" t="s">
        <v>1427</v>
      </c>
      <c r="D131" s="84" t="s">
        <v>1806</v>
      </c>
      <c r="F131" s="85">
        <v>0.1</v>
      </c>
      <c r="G131" s="85">
        <v>0.9</v>
      </c>
      <c r="H131" s="85"/>
      <c r="I131" s="85"/>
      <c r="J131" s="86"/>
      <c r="L131" s="85"/>
      <c r="N131" s="85"/>
      <c r="P131" s="86"/>
      <c r="Q131" s="84">
        <v>1</v>
      </c>
      <c r="R131" s="85"/>
      <c r="Y131" s="85"/>
      <c r="Z131" s="85"/>
      <c r="AA131" s="85"/>
      <c r="AB131" s="85"/>
      <c r="AE131" s="85"/>
      <c r="AG131" s="85"/>
      <c r="AI131" s="85"/>
      <c r="AK131" s="86"/>
    </row>
    <row r="132" spans="1:37">
      <c r="A132" s="84" t="s">
        <v>1670</v>
      </c>
      <c r="B132" t="s">
        <v>36</v>
      </c>
      <c r="C132" s="98" t="s">
        <v>1671</v>
      </c>
      <c r="D132" s="84" t="s">
        <v>1807</v>
      </c>
      <c r="F132" s="85" t="s">
        <v>1807</v>
      </c>
      <c r="G132" s="85">
        <v>1</v>
      </c>
      <c r="H132" s="85"/>
      <c r="I132" s="85"/>
      <c r="J132" s="86"/>
      <c r="L132" s="85"/>
      <c r="N132" s="85"/>
      <c r="P132" s="86"/>
      <c r="R132" s="85"/>
      <c r="Y132" s="85"/>
      <c r="Z132" s="85"/>
      <c r="AA132" s="85"/>
      <c r="AB132" s="85"/>
      <c r="AE132" s="85"/>
      <c r="AG132" s="85"/>
      <c r="AI132" s="85"/>
      <c r="AK132" s="86"/>
    </row>
    <row r="133" spans="1:37">
      <c r="A133" s="84" t="s">
        <v>1352</v>
      </c>
      <c r="B133" t="s">
        <v>1381</v>
      </c>
      <c r="C133" s="93" t="s">
        <v>1109</v>
      </c>
      <c r="D133" s="84" t="s">
        <v>1806</v>
      </c>
      <c r="F133" s="85">
        <v>0.1</v>
      </c>
      <c r="G133" s="85">
        <v>0.9</v>
      </c>
      <c r="H133" s="85"/>
      <c r="I133" s="85"/>
      <c r="J133" s="86"/>
      <c r="L133" s="85"/>
      <c r="N133" s="85"/>
      <c r="P133" s="86"/>
      <c r="Q133" s="84">
        <v>0</v>
      </c>
      <c r="R133" s="85"/>
      <c r="Y133" s="85"/>
      <c r="Z133" s="85"/>
      <c r="AA133" s="85"/>
      <c r="AB133" s="85"/>
      <c r="AE133" s="85"/>
      <c r="AG133" s="85"/>
      <c r="AI133" s="85"/>
      <c r="AK133" s="86"/>
    </row>
    <row r="134" spans="1:37">
      <c r="A134" s="84" t="s">
        <v>1034</v>
      </c>
      <c r="B134" t="s">
        <v>36</v>
      </c>
      <c r="C134" s="98" t="s">
        <v>1409</v>
      </c>
      <c r="D134" s="84" t="s">
        <v>1807</v>
      </c>
      <c r="F134" s="85" t="s">
        <v>1807</v>
      </c>
      <c r="G134" s="85">
        <v>1</v>
      </c>
      <c r="H134" s="85"/>
      <c r="I134" s="85"/>
      <c r="J134" s="86"/>
      <c r="L134" s="85"/>
      <c r="N134" s="85"/>
      <c r="P134" s="86"/>
      <c r="R134" s="85"/>
      <c r="Y134" s="85"/>
      <c r="Z134" s="85"/>
      <c r="AA134" s="85"/>
      <c r="AB134" s="85"/>
      <c r="AE134" s="85"/>
      <c r="AG134" s="85"/>
      <c r="AI134" s="85"/>
      <c r="AK134" s="86"/>
    </row>
    <row r="135" spans="1:37">
      <c r="A135" s="84" t="s">
        <v>1358</v>
      </c>
      <c r="B135" t="s">
        <v>1384</v>
      </c>
      <c r="C135" s="87" t="s">
        <v>1607</v>
      </c>
      <c r="D135" s="84" t="s">
        <v>1806</v>
      </c>
      <c r="E135">
        <v>30</v>
      </c>
      <c r="F135" s="85" t="s">
        <v>1807</v>
      </c>
      <c r="G135" s="85">
        <v>0.3</v>
      </c>
      <c r="H135" s="85"/>
      <c r="I135" s="85"/>
      <c r="J135" s="86"/>
      <c r="L135" s="85"/>
      <c r="N135" s="85"/>
      <c r="P135" s="86"/>
      <c r="Q135" s="84">
        <v>0</v>
      </c>
      <c r="R135" s="85"/>
      <c r="Y135" s="85"/>
      <c r="Z135" s="85"/>
      <c r="AA135" s="85"/>
      <c r="AB135" s="85"/>
      <c r="AE135" s="85"/>
      <c r="AG135" s="85"/>
      <c r="AI135" s="85"/>
      <c r="AK135" s="86"/>
    </row>
    <row r="136" spans="1:37">
      <c r="A136" s="84" t="s">
        <v>1647</v>
      </c>
      <c r="D136" s="84" t="s">
        <v>1807</v>
      </c>
      <c r="F136" s="103"/>
      <c r="G136" s="103"/>
      <c r="H136" s="103"/>
      <c r="I136" s="103"/>
      <c r="R136" s="85"/>
      <c r="Z136" s="85"/>
      <c r="AA136" s="85"/>
      <c r="AB136" s="85"/>
      <c r="AE136" s="85"/>
      <c r="AG136" s="85"/>
      <c r="AI136" s="85"/>
      <c r="AK136" s="86"/>
    </row>
    <row r="137" spans="1:37">
      <c r="A137" s="84" t="s">
        <v>2083</v>
      </c>
      <c r="D137" s="84" t="s">
        <v>1806</v>
      </c>
      <c r="F137" s="103"/>
      <c r="G137" s="103"/>
      <c r="H137" s="103"/>
      <c r="I137" s="103"/>
      <c r="R137" s="85"/>
      <c r="Z137" s="85"/>
      <c r="AA137" s="85"/>
      <c r="AB137" s="85"/>
      <c r="AE137" s="85"/>
      <c r="AG137" s="85"/>
      <c r="AI137" s="85"/>
      <c r="AK137" s="86"/>
    </row>
    <row r="138" spans="1:37">
      <c r="A138" s="84" t="s">
        <v>1240</v>
      </c>
      <c r="B138" t="s">
        <v>1055</v>
      </c>
      <c r="C138" s="93" t="s">
        <v>1948</v>
      </c>
      <c r="D138" s="84" t="s">
        <v>1806</v>
      </c>
      <c r="E138">
        <v>1.5</v>
      </c>
      <c r="F138" s="85">
        <v>0.1</v>
      </c>
      <c r="G138" s="85">
        <v>0.8</v>
      </c>
      <c r="H138" s="85"/>
      <c r="I138" s="85"/>
      <c r="J138" s="86"/>
      <c r="L138" s="85"/>
      <c r="N138" s="85"/>
      <c r="P138" s="86"/>
      <c r="R138" s="85"/>
      <c r="Y138" s="85"/>
      <c r="Z138" s="85"/>
      <c r="AA138" s="85"/>
      <c r="AB138" s="85"/>
      <c r="AD138">
        <v>-1</v>
      </c>
      <c r="AE138" s="85">
        <v>0.5</v>
      </c>
      <c r="AF138">
        <v>-1</v>
      </c>
      <c r="AG138" s="85">
        <v>0.5</v>
      </c>
      <c r="AH138">
        <v>-1</v>
      </c>
      <c r="AI138" s="85">
        <v>0.5</v>
      </c>
      <c r="AK138" s="86"/>
    </row>
    <row r="139" spans="1:37">
      <c r="A139" s="84" t="s">
        <v>1722</v>
      </c>
      <c r="D139" s="84" t="s">
        <v>1806</v>
      </c>
      <c r="F139" s="103"/>
      <c r="G139" s="103"/>
      <c r="H139" s="103"/>
      <c r="I139" s="103"/>
      <c r="R139" s="85"/>
      <c r="Z139" s="85"/>
      <c r="AA139" s="85"/>
      <c r="AB139" s="85"/>
      <c r="AE139" s="85"/>
      <c r="AG139" s="85"/>
      <c r="AI139" s="85"/>
      <c r="AK139" s="86"/>
    </row>
    <row r="140" spans="1:37">
      <c r="A140" s="84" t="s">
        <v>1249</v>
      </c>
      <c r="B140" t="s">
        <v>1389</v>
      </c>
      <c r="C140" s="93" t="s">
        <v>1943</v>
      </c>
      <c r="D140" s="84" t="s">
        <v>1806</v>
      </c>
      <c r="F140" s="85">
        <v>0.1</v>
      </c>
      <c r="G140" s="85">
        <v>0.9</v>
      </c>
      <c r="H140" s="85"/>
      <c r="I140" s="85"/>
      <c r="J140" s="86"/>
      <c r="L140" s="85"/>
      <c r="N140" s="85"/>
      <c r="P140" s="86"/>
      <c r="Q140" s="84">
        <v>0</v>
      </c>
      <c r="R140" s="85"/>
      <c r="W140">
        <v>-2</v>
      </c>
      <c r="X140" s="86">
        <v>0.2</v>
      </c>
      <c r="Y140" s="85"/>
      <c r="Z140" s="85"/>
      <c r="AA140" s="85"/>
      <c r="AB140" s="85"/>
      <c r="AE140" s="85"/>
      <c r="AG140" s="85"/>
      <c r="AI140" s="85"/>
      <c r="AK140" s="86"/>
    </row>
    <row r="141" spans="1:37">
      <c r="A141" s="84" t="s">
        <v>2053</v>
      </c>
      <c r="D141" s="84" t="s">
        <v>1806</v>
      </c>
      <c r="F141" s="103"/>
      <c r="G141" s="103"/>
      <c r="H141" s="103"/>
      <c r="I141" s="103"/>
      <c r="R141" s="85"/>
      <c r="Z141" s="85"/>
      <c r="AA141" s="85"/>
      <c r="AB141" s="85"/>
      <c r="AE141" s="85"/>
      <c r="AG141" s="85"/>
      <c r="AI141" s="85"/>
      <c r="AK141" s="86"/>
    </row>
    <row r="142" spans="1:37">
      <c r="A142" s="84" t="s">
        <v>1637</v>
      </c>
      <c r="D142" s="84" t="s">
        <v>1806</v>
      </c>
      <c r="F142" s="103"/>
      <c r="G142" s="103"/>
      <c r="H142" s="103"/>
      <c r="I142" s="103"/>
      <c r="R142" s="85"/>
      <c r="Z142" s="85"/>
      <c r="AA142" s="85"/>
      <c r="AB142" s="85"/>
      <c r="AE142" s="85"/>
      <c r="AG142" s="85"/>
      <c r="AI142" s="85"/>
      <c r="AK142" s="86"/>
    </row>
    <row r="143" spans="1:37">
      <c r="A143" s="84" t="s">
        <v>1014</v>
      </c>
      <c r="B143" t="s">
        <v>1381</v>
      </c>
      <c r="C143" s="93" t="s">
        <v>1109</v>
      </c>
      <c r="D143" s="84" t="s">
        <v>1806</v>
      </c>
      <c r="F143" s="85">
        <v>0.1</v>
      </c>
      <c r="G143" s="85">
        <v>0.9</v>
      </c>
      <c r="H143" s="85"/>
      <c r="I143" s="85"/>
      <c r="J143" s="86"/>
      <c r="L143" s="85"/>
      <c r="N143" s="85"/>
      <c r="P143" s="86"/>
      <c r="Q143" s="84">
        <v>0</v>
      </c>
      <c r="R143" s="85"/>
      <c r="Y143" s="85"/>
      <c r="Z143" s="85"/>
      <c r="AA143" s="85"/>
      <c r="AB143" s="85"/>
      <c r="AD143">
        <v>1</v>
      </c>
      <c r="AE143" s="85">
        <v>0.2</v>
      </c>
      <c r="AG143" s="85"/>
      <c r="AI143" s="85"/>
      <c r="AK143" s="86"/>
    </row>
    <row r="144" spans="1:37">
      <c r="A144" s="84" t="s">
        <v>2125</v>
      </c>
      <c r="D144" s="84" t="s">
        <v>1806</v>
      </c>
      <c r="F144" s="103"/>
      <c r="G144" s="103"/>
      <c r="H144" s="103"/>
      <c r="I144" s="103"/>
      <c r="R144" s="85"/>
      <c r="Z144" s="85"/>
      <c r="AA144" s="85"/>
      <c r="AB144" s="85"/>
      <c r="AE144" s="85"/>
      <c r="AG144" s="85"/>
      <c r="AI144" s="85"/>
      <c r="AK144" s="86"/>
    </row>
    <row r="145" spans="1:37">
      <c r="A145" s="84" t="s">
        <v>1786</v>
      </c>
      <c r="B145" t="s">
        <v>1379</v>
      </c>
      <c r="C145" s="87" t="s">
        <v>1788</v>
      </c>
      <c r="D145" s="84" t="s">
        <v>1806</v>
      </c>
      <c r="F145" s="85"/>
      <c r="G145" s="85"/>
      <c r="H145" s="85"/>
      <c r="I145" s="85"/>
      <c r="J145" s="86"/>
      <c r="L145" s="85"/>
      <c r="N145" s="85"/>
      <c r="P145" s="86"/>
      <c r="R145" s="85"/>
      <c r="Y145" s="85"/>
      <c r="Z145" s="85"/>
      <c r="AA145" s="85"/>
      <c r="AB145" s="85"/>
      <c r="AE145" s="85"/>
      <c r="AG145" s="85"/>
      <c r="AI145" s="85"/>
      <c r="AK145" s="86"/>
    </row>
    <row r="146" spans="1:37">
      <c r="A146" s="84" t="s">
        <v>1773</v>
      </c>
      <c r="B146" t="s">
        <v>1379</v>
      </c>
      <c r="C146" s="87" t="s">
        <v>1789</v>
      </c>
      <c r="D146" s="84" t="s">
        <v>1806</v>
      </c>
      <c r="F146" s="85"/>
      <c r="G146" s="85"/>
      <c r="H146" s="85"/>
      <c r="I146" s="85"/>
      <c r="J146" s="86"/>
      <c r="L146" s="85"/>
      <c r="N146" s="85"/>
      <c r="P146" s="86"/>
      <c r="R146" s="85"/>
      <c r="Y146" s="85"/>
      <c r="Z146" s="85"/>
      <c r="AA146" s="85"/>
      <c r="AB146" s="85"/>
      <c r="AE146" s="85"/>
      <c r="AG146" s="85"/>
      <c r="AI146" s="85"/>
      <c r="AK146" s="86"/>
    </row>
    <row r="147" spans="1:37">
      <c r="A147" s="84" t="s">
        <v>1681</v>
      </c>
      <c r="B147" t="s">
        <v>36</v>
      </c>
      <c r="C147" s="87" t="s">
        <v>1660</v>
      </c>
      <c r="D147" s="84" t="s">
        <v>1806</v>
      </c>
      <c r="E147">
        <v>2</v>
      </c>
      <c r="F147" s="85">
        <v>0.1</v>
      </c>
      <c r="G147" s="85">
        <v>0.8</v>
      </c>
      <c r="H147" s="85"/>
      <c r="I147" s="85"/>
      <c r="J147" s="86"/>
      <c r="L147" s="85"/>
      <c r="N147" s="85"/>
      <c r="O147" t="s">
        <v>1898</v>
      </c>
      <c r="P147" s="86">
        <v>1</v>
      </c>
      <c r="R147" s="85"/>
      <c r="Y147" s="85"/>
      <c r="Z147" s="85"/>
      <c r="AA147" s="85"/>
      <c r="AB147" s="85"/>
      <c r="AE147" s="85"/>
      <c r="AG147" s="85"/>
      <c r="AI147" s="85"/>
      <c r="AK147" s="86"/>
    </row>
    <row r="148" spans="1:37">
      <c r="A148" s="84" t="s">
        <v>1009</v>
      </c>
      <c r="B148" t="s">
        <v>1380</v>
      </c>
      <c r="C148" s="87" t="s">
        <v>1400</v>
      </c>
      <c r="D148" s="84" t="s">
        <v>1806</v>
      </c>
      <c r="F148" s="85">
        <v>0.1</v>
      </c>
      <c r="G148" s="85">
        <v>0.9</v>
      </c>
      <c r="H148" s="85"/>
      <c r="I148" s="85"/>
      <c r="J148" s="86"/>
      <c r="L148" s="85"/>
      <c r="N148" s="85"/>
      <c r="P148" s="86"/>
      <c r="R148" s="85"/>
      <c r="Y148" s="85"/>
      <c r="Z148" s="85"/>
      <c r="AA148" s="85">
        <v>0.3</v>
      </c>
      <c r="AB148" s="85"/>
      <c r="AE148" s="85"/>
      <c r="AG148" s="85"/>
      <c r="AI148" s="85"/>
      <c r="AK148" s="86"/>
    </row>
    <row r="149" spans="1:37">
      <c r="A149" s="84" t="s">
        <v>1369</v>
      </c>
      <c r="B149" t="s">
        <v>1381</v>
      </c>
      <c r="C149" s="93" t="s">
        <v>1927</v>
      </c>
      <c r="D149" s="84" t="s">
        <v>1806</v>
      </c>
      <c r="E149">
        <v>1.5</v>
      </c>
      <c r="F149" s="85">
        <v>0.1</v>
      </c>
      <c r="G149" s="85">
        <v>0.9</v>
      </c>
      <c r="H149" s="85"/>
      <c r="I149" s="85"/>
      <c r="J149" s="86"/>
      <c r="L149" s="85"/>
      <c r="N149" s="85"/>
      <c r="P149" s="86"/>
      <c r="Q149" s="84">
        <v>-3</v>
      </c>
      <c r="R149" s="85"/>
      <c r="Y149" s="85"/>
      <c r="Z149" s="85"/>
      <c r="AA149" s="85"/>
      <c r="AB149" s="85"/>
      <c r="AE149" s="85"/>
      <c r="AG149" s="85"/>
      <c r="AI149" s="85"/>
      <c r="AK149" s="86"/>
    </row>
    <row r="150" spans="1:37">
      <c r="A150" s="84" t="s">
        <v>1255</v>
      </c>
      <c r="B150" t="s">
        <v>1387</v>
      </c>
      <c r="C150" s="93" t="s">
        <v>1940</v>
      </c>
      <c r="D150" s="84" t="s">
        <v>1806</v>
      </c>
      <c r="F150" s="85">
        <v>0.1</v>
      </c>
      <c r="G150" s="85">
        <v>0.9</v>
      </c>
      <c r="H150" s="85"/>
      <c r="I150" s="85"/>
      <c r="J150" s="86"/>
      <c r="L150" s="85"/>
      <c r="M150" t="s">
        <v>1838</v>
      </c>
      <c r="N150" s="85">
        <v>1</v>
      </c>
      <c r="P150" s="86"/>
      <c r="R150" s="85"/>
      <c r="Y150" s="85"/>
      <c r="Z150" s="85"/>
      <c r="AA150" s="85"/>
      <c r="AB150" s="85"/>
      <c r="AE150" s="85"/>
      <c r="AG150" s="85"/>
      <c r="AI150" s="85"/>
      <c r="AK150" s="86"/>
    </row>
    <row r="151" spans="1:37">
      <c r="A151" s="84" t="s">
        <v>1745</v>
      </c>
      <c r="B151" t="s">
        <v>36</v>
      </c>
      <c r="C151" s="98" t="s">
        <v>1750</v>
      </c>
      <c r="D151" s="84" t="s">
        <v>1806</v>
      </c>
      <c r="F151" s="85">
        <v>0.1</v>
      </c>
      <c r="G151" s="85">
        <v>0.9</v>
      </c>
      <c r="H151" s="85"/>
      <c r="I151" s="85"/>
      <c r="J151" s="86"/>
      <c r="L151" s="85"/>
      <c r="N151" s="85"/>
      <c r="P151" s="86"/>
      <c r="R151" s="85"/>
      <c r="Y151" s="85"/>
      <c r="Z151" s="85"/>
      <c r="AA151" s="85"/>
      <c r="AB151" s="85"/>
      <c r="AE151" s="85"/>
      <c r="AG151" s="85"/>
      <c r="AI151" s="85"/>
      <c r="AK151" s="86"/>
    </row>
    <row r="152" spans="1:37">
      <c r="A152" s="84" t="s">
        <v>1047</v>
      </c>
      <c r="B152" t="s">
        <v>1388</v>
      </c>
      <c r="C152" s="93" t="s">
        <v>1608</v>
      </c>
      <c r="D152" s="84" t="s">
        <v>1806</v>
      </c>
      <c r="F152" s="85"/>
      <c r="G152" s="85"/>
      <c r="H152" s="85"/>
      <c r="I152" s="85"/>
      <c r="J152" s="86"/>
      <c r="L152" s="85"/>
      <c r="N152" s="85"/>
      <c r="P152" s="86"/>
      <c r="R152" s="85"/>
      <c r="Y152" s="85"/>
      <c r="Z152" s="85"/>
      <c r="AA152" s="85"/>
      <c r="AB152" s="85"/>
      <c r="AE152" s="85"/>
      <c r="AG152" s="85"/>
      <c r="AI152" s="85"/>
      <c r="AK152" s="86"/>
    </row>
    <row r="153" spans="1:37">
      <c r="A153" s="84" t="s">
        <v>1584</v>
      </c>
      <c r="B153" t="s">
        <v>1383</v>
      </c>
      <c r="C153" s="93" t="s">
        <v>1427</v>
      </c>
      <c r="D153" s="84" t="s">
        <v>1806</v>
      </c>
      <c r="F153" s="85"/>
      <c r="G153" s="85"/>
      <c r="H153" s="85"/>
      <c r="I153" s="85"/>
      <c r="J153" s="86"/>
      <c r="L153" s="85"/>
      <c r="N153" s="85"/>
      <c r="P153" s="86"/>
      <c r="R153" s="85"/>
      <c r="Y153" s="85"/>
      <c r="Z153" s="85"/>
      <c r="AA153" s="85"/>
      <c r="AB153" s="85"/>
      <c r="AE153" s="85"/>
      <c r="AG153" s="85"/>
      <c r="AI153" s="85"/>
      <c r="AK153" s="86"/>
    </row>
    <row r="154" spans="1:37">
      <c r="A154" s="84" t="s">
        <v>1710</v>
      </c>
      <c r="D154" s="84" t="s">
        <v>1806</v>
      </c>
      <c r="F154" s="103"/>
      <c r="G154" s="103"/>
      <c r="H154" s="103"/>
      <c r="I154" s="103"/>
      <c r="R154" s="85"/>
      <c r="Z154" s="85"/>
      <c r="AA154" s="85"/>
      <c r="AB154" s="85"/>
      <c r="AE154" s="85"/>
      <c r="AG154" s="85"/>
      <c r="AI154" s="85"/>
      <c r="AK154" s="86"/>
    </row>
    <row r="155" spans="1:37">
      <c r="A155" s="84" t="s">
        <v>1377</v>
      </c>
      <c r="B155" t="s">
        <v>36</v>
      </c>
      <c r="C155" s="93" t="s">
        <v>1432</v>
      </c>
      <c r="D155" s="84" t="s">
        <v>1806</v>
      </c>
      <c r="F155" s="85">
        <v>0.1</v>
      </c>
      <c r="G155" s="85">
        <v>0.9</v>
      </c>
      <c r="H155" s="85"/>
      <c r="I155" s="85"/>
      <c r="J155" s="86"/>
      <c r="L155" s="85"/>
      <c r="M155" t="s">
        <v>1849</v>
      </c>
      <c r="N155" s="85">
        <v>0.2</v>
      </c>
      <c r="P155" s="86"/>
      <c r="R155" s="85"/>
      <c r="Y155" s="85"/>
      <c r="Z155" s="85"/>
      <c r="AA155" s="85"/>
      <c r="AB155" s="85"/>
      <c r="AE155" s="85"/>
      <c r="AG155" s="85"/>
      <c r="AI155" s="85"/>
      <c r="AK155" s="86"/>
    </row>
    <row r="156" spans="1:37">
      <c r="A156" s="84" t="s">
        <v>1331</v>
      </c>
      <c r="B156" t="s">
        <v>36</v>
      </c>
      <c r="C156" s="87" t="s">
        <v>1398</v>
      </c>
      <c r="D156" s="84" t="s">
        <v>1806</v>
      </c>
      <c r="F156" s="85">
        <v>0.1</v>
      </c>
      <c r="G156" s="85">
        <v>0.9</v>
      </c>
      <c r="H156" s="85"/>
      <c r="I156" s="85"/>
      <c r="J156" s="86"/>
      <c r="K156" s="84" t="s">
        <v>1811</v>
      </c>
      <c r="L156" s="85">
        <v>0.3</v>
      </c>
      <c r="N156" s="85"/>
      <c r="P156" s="86"/>
      <c r="R156" s="85"/>
      <c r="Y156" s="85"/>
      <c r="Z156" s="85"/>
      <c r="AA156" s="85"/>
      <c r="AB156" s="85"/>
      <c r="AE156" s="85"/>
      <c r="AG156" s="85"/>
      <c r="AI156" s="85"/>
      <c r="AK156" s="86"/>
    </row>
    <row r="157" spans="1:37">
      <c r="A157" s="84" t="s">
        <v>2078</v>
      </c>
      <c r="B157" t="s">
        <v>1055</v>
      </c>
      <c r="C157" s="93" t="s">
        <v>1109</v>
      </c>
      <c r="D157" s="84" t="s">
        <v>1806</v>
      </c>
      <c r="F157" s="85">
        <v>0.1</v>
      </c>
      <c r="G157" s="85">
        <v>0.9</v>
      </c>
      <c r="H157" s="85"/>
      <c r="I157" s="85"/>
      <c r="J157" s="86"/>
      <c r="L157" s="85"/>
      <c r="N157" s="85"/>
      <c r="P157" s="86"/>
      <c r="R157" s="85"/>
      <c r="Y157" s="85"/>
      <c r="Z157" s="85"/>
      <c r="AA157" s="85"/>
      <c r="AB157" s="85"/>
      <c r="AE157" s="85"/>
      <c r="AG157" s="85"/>
      <c r="AI157" s="85"/>
      <c r="AK157" s="86"/>
    </row>
    <row r="158" spans="1:37">
      <c r="A158" s="84" t="s">
        <v>1630</v>
      </c>
      <c r="D158" s="84" t="s">
        <v>1806</v>
      </c>
      <c r="F158" s="103"/>
      <c r="G158" s="103"/>
      <c r="H158" s="103"/>
      <c r="I158" s="103"/>
      <c r="R158" s="85"/>
      <c r="Z158" s="85"/>
      <c r="AA158" s="85"/>
      <c r="AB158" s="85"/>
      <c r="AE158" s="85"/>
      <c r="AG158" s="85"/>
      <c r="AI158" s="85"/>
      <c r="AK158" s="86"/>
    </row>
    <row r="159" spans="1:37">
      <c r="A159" s="84" t="s">
        <v>2085</v>
      </c>
      <c r="D159" s="84" t="s">
        <v>1806</v>
      </c>
      <c r="F159" s="103"/>
      <c r="G159" s="103"/>
      <c r="H159" s="103"/>
      <c r="I159" s="103"/>
      <c r="R159" s="85"/>
      <c r="Z159" s="85"/>
      <c r="AA159" s="85"/>
      <c r="AB159" s="85"/>
      <c r="AE159" s="85"/>
      <c r="AG159" s="85"/>
      <c r="AI159" s="85"/>
      <c r="AK159" s="86"/>
    </row>
    <row r="160" spans="1:37">
      <c r="A160" s="84" t="s">
        <v>1275</v>
      </c>
      <c r="B160" t="s">
        <v>36</v>
      </c>
      <c r="C160" s="98" t="s">
        <v>1404</v>
      </c>
      <c r="D160" s="84" t="s">
        <v>1806</v>
      </c>
      <c r="E160">
        <v>0.5</v>
      </c>
      <c r="F160" s="85">
        <v>0.1</v>
      </c>
      <c r="G160" s="85">
        <v>0.7</v>
      </c>
      <c r="H160" s="85"/>
      <c r="I160" s="85"/>
      <c r="J160" s="86"/>
      <c r="L160" s="85"/>
      <c r="N160" s="85"/>
      <c r="P160" s="86"/>
      <c r="R160" s="85"/>
      <c r="Y160" s="85"/>
      <c r="Z160" s="85"/>
      <c r="AA160" s="85"/>
      <c r="AB160" s="85"/>
      <c r="AE160" s="85"/>
      <c r="AG160" s="85"/>
      <c r="AI160" s="85"/>
      <c r="AK160" s="86"/>
    </row>
    <row r="161" spans="1:37">
      <c r="A161" s="84" t="s">
        <v>1638</v>
      </c>
      <c r="D161" s="84" t="s">
        <v>1807</v>
      </c>
      <c r="F161" s="103"/>
      <c r="G161" s="103"/>
      <c r="H161" s="103"/>
      <c r="I161" s="103"/>
      <c r="R161" s="85"/>
      <c r="Z161" s="85"/>
      <c r="AA161" s="85"/>
      <c r="AB161" s="85"/>
      <c r="AE161" s="85"/>
      <c r="AG161" s="85"/>
      <c r="AI161" s="85"/>
      <c r="AK161" s="86"/>
    </row>
    <row r="162" spans="1:37">
      <c r="A162" s="84" t="s">
        <v>969</v>
      </c>
      <c r="B162" t="s">
        <v>36</v>
      </c>
      <c r="C162" s="98" t="s">
        <v>1426</v>
      </c>
      <c r="D162" s="84" t="s">
        <v>1806</v>
      </c>
      <c r="E162">
        <v>30</v>
      </c>
      <c r="F162" s="85" t="s">
        <v>1807</v>
      </c>
      <c r="G162" s="85">
        <v>0.3</v>
      </c>
      <c r="H162" s="85"/>
      <c r="I162" s="85"/>
      <c r="J162" s="86"/>
      <c r="L162" s="85"/>
      <c r="N162" s="85"/>
      <c r="P162" s="86"/>
      <c r="R162" s="85"/>
      <c r="Y162" s="85"/>
      <c r="Z162" s="85"/>
      <c r="AA162" s="85"/>
      <c r="AB162" s="85"/>
      <c r="AE162" s="85"/>
      <c r="AG162" s="85"/>
      <c r="AI162" s="85"/>
      <c r="AK162" s="86"/>
    </row>
    <row r="163" spans="1:37">
      <c r="A163" s="84" t="s">
        <v>1793</v>
      </c>
      <c r="D163" s="84" t="s">
        <v>1806</v>
      </c>
      <c r="F163" s="103"/>
      <c r="G163" s="103"/>
      <c r="H163" s="103"/>
      <c r="I163" s="103"/>
      <c r="R163" s="85"/>
      <c r="Z163" s="85"/>
      <c r="AA163" s="85"/>
      <c r="AB163" s="85"/>
      <c r="AE163" s="85"/>
      <c r="AG163" s="85"/>
      <c r="AI163" s="85"/>
      <c r="AK163" s="86"/>
    </row>
    <row r="164" spans="1:37">
      <c r="A164" s="84" t="s">
        <v>1018</v>
      </c>
      <c r="B164" t="s">
        <v>772</v>
      </c>
      <c r="C164" s="93" t="s">
        <v>1109</v>
      </c>
      <c r="D164" s="84" t="s">
        <v>1806</v>
      </c>
      <c r="F164" s="85">
        <v>0.1</v>
      </c>
      <c r="G164" s="85">
        <v>0.9</v>
      </c>
      <c r="H164" s="85"/>
      <c r="I164" s="85"/>
      <c r="J164" s="86"/>
      <c r="L164" s="85"/>
      <c r="N164" s="85"/>
      <c r="P164" s="86"/>
      <c r="Q164" s="84">
        <v>0</v>
      </c>
      <c r="R164" s="85"/>
      <c r="Y164" s="85"/>
      <c r="Z164" s="85"/>
      <c r="AA164" s="85"/>
      <c r="AB164" s="85"/>
      <c r="AE164" s="85"/>
      <c r="AG164" s="85"/>
      <c r="AI164" s="85"/>
      <c r="AK164" s="86"/>
    </row>
    <row r="165" spans="1:37">
      <c r="A165" s="84" t="s">
        <v>1318</v>
      </c>
      <c r="B165" t="s">
        <v>772</v>
      </c>
      <c r="C165" s="87" t="s">
        <v>1412</v>
      </c>
      <c r="D165" s="84" t="s">
        <v>1806</v>
      </c>
      <c r="F165" s="85">
        <v>0.1</v>
      </c>
      <c r="G165" s="85">
        <v>0.9</v>
      </c>
      <c r="H165" s="85"/>
      <c r="I165" s="85"/>
      <c r="J165" s="86"/>
      <c r="L165" s="85"/>
      <c r="M165" t="s">
        <v>1836</v>
      </c>
      <c r="N165" s="85">
        <v>0.1</v>
      </c>
      <c r="P165" s="86"/>
      <c r="Q165" s="84">
        <v>0</v>
      </c>
      <c r="R165" s="85"/>
      <c r="Y165" s="85"/>
      <c r="Z165" s="85"/>
      <c r="AA165" s="85"/>
      <c r="AB165" s="85"/>
      <c r="AE165" s="85"/>
      <c r="AG165" s="85"/>
      <c r="AI165" s="85"/>
      <c r="AK165" s="86"/>
    </row>
    <row r="166" spans="1:37">
      <c r="A166" s="84" t="s">
        <v>2126</v>
      </c>
      <c r="B166" t="s">
        <v>1380</v>
      </c>
      <c r="C166" s="99" t="s">
        <v>1959</v>
      </c>
      <c r="D166" s="84" t="s">
        <v>1806</v>
      </c>
      <c r="F166" s="85">
        <v>0.1</v>
      </c>
      <c r="G166" s="85">
        <v>0.9</v>
      </c>
      <c r="H166" s="85"/>
      <c r="I166" s="85"/>
      <c r="J166" s="86"/>
      <c r="L166" s="85"/>
      <c r="N166" s="85"/>
      <c r="P166" s="86"/>
      <c r="R166" s="85"/>
      <c r="Y166" s="85"/>
      <c r="Z166" s="85"/>
      <c r="AA166" s="85"/>
      <c r="AB166" s="85"/>
      <c r="AE166" s="85"/>
      <c r="AG166" s="85"/>
      <c r="AI166" s="85"/>
      <c r="AK166" s="86"/>
    </row>
    <row r="167" spans="1:37">
      <c r="A167" s="84" t="s">
        <v>2063</v>
      </c>
      <c r="D167" s="84" t="s">
        <v>1807</v>
      </c>
      <c r="F167" s="103"/>
      <c r="G167" s="103"/>
      <c r="H167" s="103"/>
      <c r="I167" s="103"/>
      <c r="R167" s="85"/>
      <c r="Z167" s="85"/>
      <c r="AA167" s="85"/>
      <c r="AB167" s="85"/>
      <c r="AE167" s="85"/>
      <c r="AG167" s="85"/>
      <c r="AI167" s="85"/>
      <c r="AK167" s="86"/>
    </row>
    <row r="168" spans="1:37">
      <c r="A168" s="84" t="s">
        <v>1053</v>
      </c>
      <c r="B168" t="s">
        <v>36</v>
      </c>
      <c r="C168" s="87" t="s">
        <v>1410</v>
      </c>
      <c r="D168" s="84" t="s">
        <v>1806</v>
      </c>
      <c r="F168" s="85">
        <v>0.3</v>
      </c>
      <c r="G168" s="85">
        <v>0.9</v>
      </c>
      <c r="H168" s="85"/>
      <c r="I168" s="85"/>
      <c r="J168" s="86"/>
      <c r="L168" s="85"/>
      <c r="N168" s="85"/>
      <c r="P168" s="86"/>
      <c r="R168" s="85"/>
      <c r="Y168" s="85"/>
      <c r="Z168" s="85"/>
      <c r="AA168" s="85"/>
      <c r="AB168" s="85"/>
      <c r="AE168" s="85"/>
      <c r="AG168" s="85"/>
      <c r="AI168" s="85"/>
      <c r="AK168" s="86"/>
    </row>
    <row r="169" spans="1:37">
      <c r="A169" s="84" t="s">
        <v>2105</v>
      </c>
      <c r="D169" s="84" t="s">
        <v>1807</v>
      </c>
      <c r="F169" s="103"/>
      <c r="G169" s="103"/>
      <c r="H169" s="103"/>
      <c r="I169" s="103"/>
      <c r="R169" s="85"/>
      <c r="Z169" s="85"/>
      <c r="AA169" s="85"/>
      <c r="AB169" s="85"/>
      <c r="AE169" s="85"/>
      <c r="AG169" s="85"/>
      <c r="AI169" s="85"/>
      <c r="AK169" s="86"/>
    </row>
    <row r="170" spans="1:37">
      <c r="A170" s="84" t="s">
        <v>1015</v>
      </c>
      <c r="B170" t="s">
        <v>1380</v>
      </c>
      <c r="C170" s="87" t="s">
        <v>1410</v>
      </c>
      <c r="D170" s="84" t="s">
        <v>1806</v>
      </c>
      <c r="F170" s="85">
        <v>0.3</v>
      </c>
      <c r="G170" s="85">
        <v>0.9</v>
      </c>
      <c r="H170" s="85"/>
      <c r="I170" s="85"/>
      <c r="J170" s="86"/>
      <c r="L170" s="85"/>
      <c r="N170" s="85"/>
      <c r="P170" s="86"/>
      <c r="R170" s="85"/>
      <c r="Y170" s="85"/>
      <c r="Z170" s="85"/>
      <c r="AA170" s="85"/>
      <c r="AB170" s="85"/>
      <c r="AE170" s="85"/>
      <c r="AG170" s="85"/>
      <c r="AI170" s="85"/>
      <c r="AK170" s="86"/>
    </row>
    <row r="171" spans="1:37">
      <c r="A171" s="84" t="s">
        <v>1356</v>
      </c>
      <c r="B171" t="s">
        <v>1380</v>
      </c>
      <c r="C171" s="87" t="s">
        <v>1410</v>
      </c>
      <c r="D171" s="84" t="s">
        <v>1806</v>
      </c>
      <c r="F171" s="85">
        <v>0.3</v>
      </c>
      <c r="G171" s="85">
        <v>0.9</v>
      </c>
      <c r="H171" s="85"/>
      <c r="I171" s="85"/>
      <c r="J171" s="86"/>
      <c r="L171" s="85"/>
      <c r="N171" s="85"/>
      <c r="P171" s="86"/>
      <c r="R171" s="85"/>
      <c r="Y171" s="85"/>
      <c r="Z171" s="85"/>
      <c r="AA171" s="85"/>
      <c r="AB171" s="85"/>
      <c r="AE171" s="85"/>
      <c r="AG171" s="85"/>
      <c r="AI171" s="85"/>
      <c r="AK171" s="86"/>
    </row>
    <row r="172" spans="1:37">
      <c r="A172" s="84" t="s">
        <v>1770</v>
      </c>
      <c r="D172" s="84" t="s">
        <v>1806</v>
      </c>
      <c r="F172" s="103"/>
      <c r="G172" s="103"/>
      <c r="H172" s="103"/>
      <c r="I172" s="103"/>
      <c r="R172" s="85"/>
      <c r="Z172" s="85"/>
      <c r="AA172" s="85"/>
      <c r="AB172" s="85"/>
      <c r="AE172" s="85"/>
      <c r="AG172" s="85"/>
      <c r="AI172" s="85"/>
      <c r="AK172" s="86"/>
    </row>
    <row r="173" spans="1:37">
      <c r="A173" s="84" t="s">
        <v>1376</v>
      </c>
      <c r="B173" t="s">
        <v>1232</v>
      </c>
      <c r="C173" s="87" t="s">
        <v>1403</v>
      </c>
      <c r="D173" s="84" t="s">
        <v>1806</v>
      </c>
      <c r="F173" s="85"/>
      <c r="G173" s="85"/>
      <c r="H173" s="85"/>
      <c r="I173" s="85"/>
      <c r="J173" s="86"/>
      <c r="L173" s="85"/>
      <c r="N173" s="85"/>
      <c r="P173" s="86"/>
      <c r="R173" s="85"/>
      <c r="Y173" s="85"/>
      <c r="Z173" s="85"/>
      <c r="AA173" s="85"/>
      <c r="AB173" s="85"/>
      <c r="AE173" s="85"/>
      <c r="AG173" s="85"/>
      <c r="AI173" s="85"/>
      <c r="AK173" s="86"/>
    </row>
    <row r="174" spans="1:37">
      <c r="A174" s="84" t="s">
        <v>1375</v>
      </c>
      <c r="B174" t="s">
        <v>1232</v>
      </c>
      <c r="C174" s="87" t="s">
        <v>1403</v>
      </c>
      <c r="D174" s="84" t="s">
        <v>1806</v>
      </c>
      <c r="F174" s="85"/>
      <c r="G174" s="85"/>
      <c r="H174" s="85"/>
      <c r="I174" s="85"/>
      <c r="J174" s="86"/>
      <c r="L174" s="85"/>
      <c r="N174" s="85"/>
      <c r="P174" s="86"/>
      <c r="R174" s="85"/>
      <c r="Y174" s="85"/>
      <c r="Z174" s="85"/>
      <c r="AA174" s="85"/>
      <c r="AB174" s="85"/>
      <c r="AE174" s="85"/>
      <c r="AG174" s="85"/>
      <c r="AI174" s="85"/>
      <c r="AK174" s="86"/>
    </row>
    <row r="175" spans="1:37">
      <c r="A175" s="84" t="s">
        <v>1686</v>
      </c>
      <c r="D175" s="84" t="s">
        <v>1806</v>
      </c>
      <c r="F175" s="103"/>
      <c r="G175" s="103"/>
      <c r="H175" s="103"/>
      <c r="I175" s="103"/>
      <c r="R175" s="85"/>
      <c r="Z175" s="85"/>
      <c r="AA175" s="85"/>
      <c r="AB175" s="85"/>
      <c r="AE175" s="85"/>
      <c r="AG175" s="85"/>
      <c r="AI175" s="85"/>
      <c r="AK175" s="86"/>
    </row>
    <row r="176" spans="1:37">
      <c r="A176" s="84" t="s">
        <v>1760</v>
      </c>
      <c r="B176" t="s">
        <v>36</v>
      </c>
      <c r="C176" s="87" t="s">
        <v>1660</v>
      </c>
      <c r="D176" s="84" t="s">
        <v>1806</v>
      </c>
      <c r="E176">
        <v>2</v>
      </c>
      <c r="F176" s="85">
        <v>0.1</v>
      </c>
      <c r="G176" s="85">
        <v>0.8</v>
      </c>
      <c r="H176" s="85"/>
      <c r="I176" s="85"/>
      <c r="J176" s="86"/>
      <c r="L176" s="85"/>
      <c r="N176" s="85"/>
      <c r="O176" t="s">
        <v>1898</v>
      </c>
      <c r="P176" s="86">
        <v>1</v>
      </c>
      <c r="R176" s="85"/>
      <c r="Y176" s="85"/>
      <c r="Z176" s="85"/>
      <c r="AA176" s="85"/>
      <c r="AB176" s="85"/>
      <c r="AE176" s="85"/>
      <c r="AG176" s="85"/>
      <c r="AI176" s="85"/>
      <c r="AK176" s="86"/>
    </row>
    <row r="177" spans="1:37">
      <c r="A177" s="84" t="s">
        <v>1124</v>
      </c>
      <c r="B177" t="s">
        <v>1083</v>
      </c>
      <c r="C177" s="87" t="s">
        <v>1485</v>
      </c>
      <c r="D177" s="84" t="s">
        <v>1807</v>
      </c>
      <c r="F177" s="85" t="s">
        <v>1807</v>
      </c>
      <c r="G177" s="85">
        <v>0.7</v>
      </c>
      <c r="H177" s="85"/>
      <c r="I177" s="85"/>
      <c r="J177" s="86"/>
      <c r="K177" s="84" t="s">
        <v>1813</v>
      </c>
      <c r="L177" s="85">
        <v>1</v>
      </c>
      <c r="N177" s="85"/>
      <c r="P177" s="86"/>
      <c r="R177" s="85"/>
      <c r="Y177" s="85"/>
      <c r="Z177" s="85"/>
      <c r="AA177" s="85"/>
      <c r="AB177" s="85"/>
      <c r="AE177" s="85"/>
      <c r="AG177" s="85"/>
      <c r="AI177" s="85"/>
      <c r="AK177" s="86"/>
    </row>
    <row r="178" spans="1:37">
      <c r="A178" s="84" t="s">
        <v>1627</v>
      </c>
      <c r="D178" s="84" t="s">
        <v>1806</v>
      </c>
      <c r="F178" s="103"/>
      <c r="G178" s="103"/>
      <c r="H178" s="103"/>
      <c r="I178" s="103"/>
      <c r="R178" s="85"/>
      <c r="Z178" s="85"/>
      <c r="AA178" s="85"/>
      <c r="AB178" s="85"/>
      <c r="AE178" s="85"/>
      <c r="AG178" s="85"/>
      <c r="AI178" s="85"/>
      <c r="AK178" s="86"/>
    </row>
    <row r="179" spans="1:37">
      <c r="A179" s="84" t="s">
        <v>1230</v>
      </c>
      <c r="B179" t="s">
        <v>1382</v>
      </c>
      <c r="C179" s="87" t="s">
        <v>1414</v>
      </c>
      <c r="D179" s="84" t="s">
        <v>1806</v>
      </c>
      <c r="F179" s="85">
        <v>0.1</v>
      </c>
      <c r="G179" s="85">
        <v>0.9</v>
      </c>
      <c r="H179" s="85"/>
      <c r="I179" s="85"/>
      <c r="J179" s="86"/>
      <c r="K179" s="84" t="s">
        <v>1811</v>
      </c>
      <c r="L179" s="85">
        <v>0.1</v>
      </c>
      <c r="N179" s="85"/>
      <c r="P179" s="86"/>
      <c r="Q179" s="84">
        <v>0</v>
      </c>
      <c r="R179" s="85"/>
      <c r="Y179" s="85"/>
      <c r="Z179" s="85"/>
      <c r="AA179" s="85"/>
      <c r="AB179" s="85"/>
      <c r="AE179" s="85"/>
      <c r="AG179" s="85"/>
      <c r="AI179" s="85"/>
      <c r="AK179" s="86"/>
    </row>
    <row r="180" spans="1:37">
      <c r="A180" s="84" t="s">
        <v>1655</v>
      </c>
      <c r="D180" s="84" t="s">
        <v>1806</v>
      </c>
      <c r="F180" s="103"/>
      <c r="G180" s="103"/>
      <c r="H180" s="103"/>
      <c r="I180" s="103"/>
      <c r="R180" s="85"/>
      <c r="Z180" s="85"/>
      <c r="AA180" s="85"/>
      <c r="AB180" s="85"/>
      <c r="AE180" s="85"/>
      <c r="AG180" s="85"/>
      <c r="AI180" s="85"/>
      <c r="AK180" s="86"/>
    </row>
    <row r="181" spans="1:37">
      <c r="A181" s="84" t="s">
        <v>2102</v>
      </c>
      <c r="D181" s="84" t="s">
        <v>1806</v>
      </c>
      <c r="F181" s="103"/>
      <c r="G181" s="103"/>
      <c r="H181" s="103"/>
      <c r="I181" s="103"/>
      <c r="R181" s="85"/>
      <c r="Z181" s="85"/>
      <c r="AA181" s="85"/>
      <c r="AB181" s="85"/>
      <c r="AE181" s="85"/>
      <c r="AG181" s="85"/>
      <c r="AI181" s="85"/>
      <c r="AK181" s="86"/>
    </row>
    <row r="182" spans="1:37">
      <c r="A182" s="84" t="s">
        <v>1645</v>
      </c>
      <c r="D182" s="84" t="s">
        <v>1806</v>
      </c>
      <c r="F182" s="103"/>
      <c r="G182" s="103"/>
      <c r="H182" s="103"/>
      <c r="I182" s="103"/>
      <c r="R182" s="85"/>
      <c r="Z182" s="85"/>
      <c r="AA182" s="85"/>
      <c r="AB182" s="85"/>
      <c r="AE182" s="85"/>
      <c r="AG182" s="85"/>
      <c r="AI182" s="85"/>
      <c r="AK182" s="86"/>
    </row>
    <row r="183" spans="1:37">
      <c r="A183" s="84" t="s">
        <v>1774</v>
      </c>
      <c r="D183" s="84" t="s">
        <v>1806</v>
      </c>
      <c r="F183" s="103"/>
      <c r="G183" s="103"/>
      <c r="H183" s="103"/>
      <c r="I183" s="103"/>
      <c r="R183" s="85"/>
      <c r="Z183" s="85"/>
      <c r="AA183" s="85"/>
      <c r="AB183" s="85"/>
      <c r="AE183" s="85"/>
      <c r="AG183" s="85"/>
      <c r="AI183" s="85"/>
      <c r="AK183" s="86"/>
    </row>
    <row r="184" spans="1:37">
      <c r="A184" s="84" t="s">
        <v>1058</v>
      </c>
      <c r="B184" t="s">
        <v>1383</v>
      </c>
      <c r="C184" s="93" t="s">
        <v>1587</v>
      </c>
      <c r="D184" s="84" t="s">
        <v>1806</v>
      </c>
      <c r="F184" s="85"/>
      <c r="G184" s="85"/>
      <c r="H184" s="85"/>
      <c r="I184" s="85"/>
      <c r="J184" s="86"/>
      <c r="L184" s="85"/>
      <c r="N184" s="85"/>
      <c r="P184" s="86"/>
      <c r="R184" s="85"/>
      <c r="Y184" s="85"/>
      <c r="Z184" s="85"/>
      <c r="AA184" s="85"/>
      <c r="AB184" s="85"/>
      <c r="AE184" s="85"/>
      <c r="AG184" s="85"/>
      <c r="AI184" s="85"/>
      <c r="AK184" s="86"/>
    </row>
    <row r="185" spans="1:37">
      <c r="A185" s="84" t="s">
        <v>1360</v>
      </c>
      <c r="B185" t="s">
        <v>1379</v>
      </c>
      <c r="C185" s="87" t="s">
        <v>1422</v>
      </c>
      <c r="D185" s="84" t="s">
        <v>1806</v>
      </c>
      <c r="F185" s="85"/>
      <c r="G185" s="85"/>
      <c r="H185" s="85"/>
      <c r="I185" s="85"/>
      <c r="J185" s="86"/>
      <c r="L185" s="85"/>
      <c r="N185" s="85"/>
      <c r="P185" s="86"/>
      <c r="R185" s="85"/>
      <c r="Y185" s="85"/>
      <c r="Z185" s="85"/>
      <c r="AA185" s="85"/>
      <c r="AB185" s="85"/>
      <c r="AE185" s="85"/>
      <c r="AG185" s="85"/>
      <c r="AI185" s="85"/>
      <c r="AK185" s="86"/>
    </row>
    <row r="186" spans="1:37">
      <c r="A186" s="84" t="s">
        <v>1011</v>
      </c>
      <c r="B186" t="s">
        <v>1387</v>
      </c>
      <c r="C186" s="93" t="s">
        <v>1416</v>
      </c>
      <c r="D186" s="84" t="s">
        <v>1806</v>
      </c>
      <c r="F186" s="85">
        <v>0.1</v>
      </c>
      <c r="G186" s="85">
        <v>0.9</v>
      </c>
      <c r="H186" s="85"/>
      <c r="I186" s="85"/>
      <c r="J186" s="86"/>
      <c r="K186" s="84" t="s">
        <v>1810</v>
      </c>
      <c r="L186" s="85">
        <v>0.2</v>
      </c>
      <c r="N186" s="85"/>
      <c r="P186" s="86"/>
      <c r="R186" s="85"/>
      <c r="Y186" s="85"/>
      <c r="Z186" s="85"/>
      <c r="AA186" s="85"/>
      <c r="AB186" s="85"/>
      <c r="AE186" s="85"/>
      <c r="AG186" s="85"/>
      <c r="AI186" s="85"/>
      <c r="AK186" s="86"/>
    </row>
    <row r="187" spans="1:37">
      <c r="A187" s="84" t="s">
        <v>1663</v>
      </c>
      <c r="D187" s="84" t="s">
        <v>1806</v>
      </c>
      <c r="F187" s="103"/>
      <c r="G187" s="103"/>
      <c r="H187" s="103"/>
      <c r="I187" s="103"/>
      <c r="R187" s="85"/>
      <c r="Z187" s="85"/>
      <c r="AA187" s="85"/>
      <c r="AB187" s="85"/>
      <c r="AE187" s="85"/>
      <c r="AG187" s="85"/>
      <c r="AI187" s="85"/>
      <c r="AK187" s="86"/>
    </row>
    <row r="188" spans="1:37">
      <c r="A188" s="84" t="s">
        <v>1307</v>
      </c>
      <c r="B188" t="s">
        <v>1390</v>
      </c>
      <c r="C188" s="93" t="s">
        <v>1109</v>
      </c>
      <c r="D188" s="84" t="s">
        <v>1806</v>
      </c>
      <c r="F188" s="85"/>
      <c r="G188" s="85"/>
      <c r="H188" s="85"/>
      <c r="I188" s="85"/>
      <c r="J188" s="86"/>
      <c r="L188" s="85"/>
      <c r="N188" s="85"/>
      <c r="P188" s="86"/>
      <c r="R188" s="85"/>
      <c r="Y188" s="85"/>
      <c r="Z188" s="85"/>
      <c r="AA188" s="85"/>
      <c r="AB188" s="85"/>
      <c r="AE188" s="85"/>
      <c r="AG188" s="85"/>
      <c r="AI188" s="85"/>
      <c r="AK188" s="86"/>
    </row>
    <row r="189" spans="1:37">
      <c r="A189" s="84" t="s">
        <v>1665</v>
      </c>
      <c r="D189" s="84" t="s">
        <v>1806</v>
      </c>
      <c r="F189" s="103"/>
      <c r="G189" s="103"/>
      <c r="H189" s="103"/>
      <c r="I189" s="103"/>
      <c r="R189" s="85"/>
      <c r="Z189" s="85"/>
      <c r="AA189" s="85"/>
      <c r="AB189" s="85"/>
      <c r="AE189" s="85"/>
      <c r="AG189" s="85"/>
      <c r="AI189" s="85"/>
      <c r="AK189" s="86"/>
    </row>
    <row r="190" spans="1:37">
      <c r="A190" s="84" t="s">
        <v>1296</v>
      </c>
      <c r="B190" t="s">
        <v>1380</v>
      </c>
      <c r="C190" s="93" t="s">
        <v>1109</v>
      </c>
      <c r="D190" s="84" t="s">
        <v>1806</v>
      </c>
      <c r="E190">
        <v>1.5</v>
      </c>
      <c r="F190" s="85">
        <v>0.1</v>
      </c>
      <c r="G190" s="85">
        <v>0.8</v>
      </c>
      <c r="H190" s="85"/>
      <c r="I190" s="85"/>
      <c r="J190" s="86"/>
      <c r="L190" s="85"/>
      <c r="N190" s="85"/>
      <c r="P190" s="86"/>
      <c r="R190" s="85"/>
      <c r="Y190" s="85"/>
      <c r="Z190" s="85"/>
      <c r="AA190" s="85"/>
      <c r="AB190" s="85">
        <v>0.1</v>
      </c>
      <c r="AE190" s="85"/>
      <c r="AG190" s="85"/>
      <c r="AI190" s="85"/>
      <c r="AK190" s="86"/>
    </row>
    <row r="191" spans="1:37">
      <c r="A191" s="84" t="s">
        <v>1628</v>
      </c>
      <c r="D191" s="84" t="s">
        <v>1807</v>
      </c>
      <c r="F191" s="103"/>
      <c r="G191" s="103"/>
      <c r="H191" s="103"/>
      <c r="I191" s="103"/>
      <c r="R191" s="85"/>
      <c r="Z191" s="85"/>
      <c r="AA191" s="85"/>
      <c r="AB191" s="85"/>
      <c r="AE191" s="85"/>
      <c r="AG191" s="85"/>
      <c r="AI191" s="85"/>
      <c r="AK191" s="86"/>
    </row>
    <row r="192" spans="1:37">
      <c r="A192" s="84" t="s">
        <v>1013</v>
      </c>
      <c r="B192" t="s">
        <v>1380</v>
      </c>
      <c r="C192" s="93" t="s">
        <v>1109</v>
      </c>
      <c r="D192" s="84" t="s">
        <v>1806</v>
      </c>
      <c r="F192" s="85">
        <v>0.1</v>
      </c>
      <c r="G192" s="85">
        <v>0.9</v>
      </c>
      <c r="H192" s="85"/>
      <c r="I192" s="85"/>
      <c r="J192" s="86"/>
      <c r="L192" s="85"/>
      <c r="N192" s="85"/>
      <c r="P192" s="86"/>
      <c r="R192" s="85"/>
      <c r="Y192" s="85"/>
      <c r="Z192" s="85"/>
      <c r="AA192" s="85"/>
      <c r="AB192" s="85"/>
      <c r="AE192" s="85"/>
      <c r="AG192" s="85"/>
      <c r="AI192" s="85"/>
      <c r="AK192" s="86"/>
    </row>
    <row r="193" spans="1:37">
      <c r="A193" s="84" t="s">
        <v>1127</v>
      </c>
      <c r="B193" t="s">
        <v>1054</v>
      </c>
      <c r="C193" s="87" t="s">
        <v>1398</v>
      </c>
      <c r="D193" s="84" t="s">
        <v>1806</v>
      </c>
      <c r="F193" s="85">
        <v>0.1</v>
      </c>
      <c r="G193" s="85">
        <v>0.9</v>
      </c>
      <c r="H193" s="85"/>
      <c r="I193" s="85"/>
      <c r="J193" s="86"/>
      <c r="K193" s="84" t="s">
        <v>1811</v>
      </c>
      <c r="L193" s="85">
        <v>0.3</v>
      </c>
      <c r="N193" s="85"/>
      <c r="P193" s="86"/>
      <c r="R193" s="85"/>
      <c r="Y193" s="85"/>
      <c r="Z193" s="85"/>
      <c r="AA193" s="85"/>
      <c r="AB193" s="85"/>
      <c r="AE193" s="85"/>
      <c r="AG193" s="85"/>
      <c r="AI193" s="85"/>
      <c r="AK193" s="86"/>
    </row>
    <row r="194" spans="1:37">
      <c r="A194" s="84" t="s">
        <v>1694</v>
      </c>
      <c r="B194" t="s">
        <v>1384</v>
      </c>
      <c r="C194" s="98" t="s">
        <v>1695</v>
      </c>
      <c r="D194" s="84" t="s">
        <v>1806</v>
      </c>
      <c r="F194" s="85">
        <v>0.1</v>
      </c>
      <c r="G194" s="85">
        <v>0.9</v>
      </c>
      <c r="H194" s="85"/>
      <c r="I194" s="85"/>
      <c r="J194" s="86"/>
      <c r="L194" s="85"/>
      <c r="N194" s="85"/>
      <c r="P194" s="86"/>
      <c r="Q194" s="84">
        <v>0</v>
      </c>
      <c r="R194" s="85"/>
      <c r="Y194" s="85"/>
      <c r="Z194" s="85"/>
      <c r="AA194" s="85"/>
      <c r="AB194" s="85"/>
      <c r="AE194" s="85"/>
      <c r="AG194" s="85"/>
      <c r="AI194" s="85"/>
      <c r="AK194" s="86"/>
    </row>
    <row r="195" spans="1:37">
      <c r="A195" s="84" t="s">
        <v>1646</v>
      </c>
      <c r="D195" s="84" t="s">
        <v>1806</v>
      </c>
      <c r="F195" s="103"/>
      <c r="G195" s="103"/>
      <c r="H195" s="103"/>
      <c r="I195" s="103"/>
      <c r="R195" s="85"/>
      <c r="Z195" s="85"/>
      <c r="AA195" s="85"/>
      <c r="AB195" s="85"/>
      <c r="AE195" s="85"/>
      <c r="AG195" s="85"/>
      <c r="AI195" s="85"/>
      <c r="AK195" s="86"/>
    </row>
    <row r="196" spans="1:37">
      <c r="A196" s="84" t="s">
        <v>1285</v>
      </c>
      <c r="B196" t="s">
        <v>1387</v>
      </c>
      <c r="C196" s="93" t="s">
        <v>1420</v>
      </c>
      <c r="D196" s="84" t="s">
        <v>1806</v>
      </c>
      <c r="F196" s="85">
        <v>0.1</v>
      </c>
      <c r="G196" s="85">
        <v>0.9</v>
      </c>
      <c r="H196" s="85"/>
      <c r="I196" s="85"/>
      <c r="J196" s="86"/>
      <c r="K196" s="84" t="s">
        <v>1810</v>
      </c>
      <c r="L196" s="85">
        <v>0.3</v>
      </c>
      <c r="N196" s="85"/>
      <c r="P196" s="86"/>
      <c r="R196" s="85"/>
      <c r="Y196" s="85"/>
      <c r="Z196" s="85"/>
      <c r="AA196" s="85"/>
      <c r="AB196" s="85"/>
      <c r="AE196" s="85"/>
      <c r="AG196" s="85"/>
      <c r="AI196" s="85"/>
      <c r="AK196" s="86"/>
    </row>
    <row r="197" spans="1:37">
      <c r="A197" s="84" t="s">
        <v>1371</v>
      </c>
      <c r="B197" t="s">
        <v>1380</v>
      </c>
      <c r="C197" s="93" t="s">
        <v>1109</v>
      </c>
      <c r="D197" s="84" t="s">
        <v>1806</v>
      </c>
      <c r="E197">
        <v>1.5</v>
      </c>
      <c r="F197" s="85">
        <v>0.1</v>
      </c>
      <c r="G197" s="85">
        <v>0.8</v>
      </c>
      <c r="H197" s="85"/>
      <c r="I197" s="85"/>
      <c r="J197" s="86"/>
      <c r="L197" s="85"/>
      <c r="N197" s="85"/>
      <c r="P197" s="86"/>
      <c r="R197" s="85"/>
      <c r="Y197" s="85"/>
      <c r="Z197" s="85"/>
      <c r="AA197" s="85"/>
      <c r="AB197" s="85"/>
      <c r="AD197">
        <v>-2</v>
      </c>
      <c r="AE197" s="85">
        <v>1</v>
      </c>
      <c r="AG197" s="85"/>
      <c r="AI197" s="85"/>
      <c r="AK197" s="86"/>
    </row>
    <row r="198" spans="1:37">
      <c r="A198" s="84" t="s">
        <v>1679</v>
      </c>
      <c r="B198" t="s">
        <v>1055</v>
      </c>
      <c r="C198" s="87" t="s">
        <v>1680</v>
      </c>
      <c r="D198" s="84" t="s">
        <v>1806</v>
      </c>
      <c r="F198" s="85">
        <v>1</v>
      </c>
      <c r="G198" s="85">
        <v>0.8</v>
      </c>
      <c r="H198" s="85"/>
      <c r="I198" s="85"/>
      <c r="J198" s="86"/>
      <c r="L198" s="85"/>
      <c r="N198" s="85"/>
      <c r="P198" s="86"/>
      <c r="R198" s="85"/>
      <c r="Y198" s="85"/>
      <c r="Z198" s="85"/>
      <c r="AA198" s="85"/>
      <c r="AB198" s="85"/>
      <c r="AD198">
        <v>-1</v>
      </c>
      <c r="AE198" s="85">
        <v>1</v>
      </c>
      <c r="AF198">
        <v>-1</v>
      </c>
      <c r="AG198" s="85">
        <v>1</v>
      </c>
      <c r="AI198" s="85"/>
      <c r="AK198" s="86"/>
    </row>
    <row r="199" spans="1:37">
      <c r="A199" s="84" t="s">
        <v>1304</v>
      </c>
      <c r="B199" t="s">
        <v>1232</v>
      </c>
      <c r="C199" s="87" t="s">
        <v>1742</v>
      </c>
      <c r="D199" s="84" t="s">
        <v>1806</v>
      </c>
      <c r="F199" s="85"/>
      <c r="G199" s="85"/>
      <c r="H199" s="85"/>
      <c r="I199" s="85"/>
      <c r="J199" s="86"/>
      <c r="L199" s="85"/>
      <c r="N199" s="85"/>
      <c r="P199" s="86"/>
      <c r="R199" s="85"/>
      <c r="Y199" s="85"/>
      <c r="Z199" s="85"/>
      <c r="AA199" s="85"/>
      <c r="AB199" s="85"/>
      <c r="AE199" s="85"/>
      <c r="AG199" s="85"/>
      <c r="AI199" s="85"/>
      <c r="AK199" s="86"/>
    </row>
    <row r="200" spans="1:37" ht="32">
      <c r="A200" s="84" t="s">
        <v>1668</v>
      </c>
      <c r="B200" t="s">
        <v>1054</v>
      </c>
      <c r="C200" s="104" t="s">
        <v>1744</v>
      </c>
      <c r="D200" s="84" t="s">
        <v>1807</v>
      </c>
      <c r="F200" s="85" t="s">
        <v>1807</v>
      </c>
      <c r="G200" s="85">
        <v>1</v>
      </c>
      <c r="H200" s="85"/>
      <c r="I200" s="85"/>
      <c r="J200" s="86"/>
      <c r="L200" s="85"/>
      <c r="M200" t="s">
        <v>1840</v>
      </c>
      <c r="N200" s="85">
        <v>1</v>
      </c>
      <c r="P200" s="86"/>
      <c r="Q200" s="84">
        <v>0</v>
      </c>
      <c r="R200" s="85"/>
      <c r="Y200" s="85"/>
      <c r="Z200" s="85"/>
      <c r="AA200" s="85"/>
      <c r="AB200" s="85"/>
      <c r="AE200" s="85"/>
      <c r="AG200" s="85"/>
      <c r="AI200" s="85"/>
      <c r="AK200" s="86"/>
    </row>
    <row r="201" spans="1:37">
      <c r="A201" s="84" t="s">
        <v>2052</v>
      </c>
      <c r="D201" s="84" t="s">
        <v>1807</v>
      </c>
      <c r="F201" s="103"/>
      <c r="G201" s="103"/>
      <c r="H201" s="103"/>
      <c r="I201" s="103"/>
      <c r="R201" s="85"/>
      <c r="Z201" s="85"/>
      <c r="AA201" s="85"/>
      <c r="AB201" s="85"/>
      <c r="AE201" s="85"/>
      <c r="AG201" s="85"/>
      <c r="AI201" s="85"/>
      <c r="AK201" s="86"/>
    </row>
    <row r="202" spans="1:37">
      <c r="A202" s="84" t="s">
        <v>2114</v>
      </c>
      <c r="D202" s="84" t="s">
        <v>1807</v>
      </c>
      <c r="F202" s="103"/>
      <c r="G202" s="103"/>
      <c r="H202" s="103"/>
      <c r="I202" s="103"/>
      <c r="R202" s="85"/>
      <c r="Z202" s="85"/>
      <c r="AA202" s="85"/>
      <c r="AB202" s="85"/>
      <c r="AE202" s="85"/>
      <c r="AG202" s="85"/>
      <c r="AI202" s="85"/>
      <c r="AK202" s="86"/>
    </row>
    <row r="203" spans="1:37">
      <c r="A203" s="84" t="s">
        <v>2103</v>
      </c>
      <c r="D203" s="84" t="s">
        <v>1807</v>
      </c>
      <c r="F203" s="103"/>
      <c r="G203" s="103"/>
      <c r="H203" s="103"/>
      <c r="I203" s="103"/>
      <c r="R203" s="85"/>
      <c r="Z203" s="85"/>
      <c r="AA203" s="85"/>
      <c r="AB203" s="85"/>
      <c r="AE203" s="85"/>
      <c r="AG203" s="85"/>
      <c r="AI203" s="85"/>
      <c r="AK203" s="86"/>
    </row>
    <row r="204" spans="1:37">
      <c r="A204" s="84" t="s">
        <v>1367</v>
      </c>
      <c r="B204" t="s">
        <v>772</v>
      </c>
      <c r="C204" s="93" t="s">
        <v>1431</v>
      </c>
      <c r="D204" s="84" t="s">
        <v>1806</v>
      </c>
      <c r="F204" s="85">
        <v>0.2</v>
      </c>
      <c r="G204" s="85">
        <v>0.9</v>
      </c>
      <c r="H204" s="85"/>
      <c r="I204" s="85"/>
      <c r="J204" s="86"/>
      <c r="L204" s="85"/>
      <c r="M204" t="s">
        <v>1849</v>
      </c>
      <c r="N204" s="85">
        <v>0.1</v>
      </c>
      <c r="P204" s="86"/>
      <c r="Q204" s="84">
        <v>0</v>
      </c>
      <c r="R204" s="85"/>
      <c r="Y204" s="85"/>
      <c r="Z204" s="85"/>
      <c r="AA204" s="85"/>
      <c r="AB204" s="85"/>
      <c r="AE204" s="85"/>
      <c r="AG204" s="85"/>
      <c r="AI204" s="85"/>
      <c r="AK204" s="86"/>
    </row>
    <row r="205" spans="1:37">
      <c r="A205" s="84" t="s">
        <v>1771</v>
      </c>
      <c r="B205" t="s">
        <v>1083</v>
      </c>
      <c r="C205" s="98" t="s">
        <v>1772</v>
      </c>
      <c r="D205" s="84" t="s">
        <v>1807</v>
      </c>
      <c r="F205" s="85" t="s">
        <v>1807</v>
      </c>
      <c r="G205" s="85">
        <v>1</v>
      </c>
      <c r="H205" s="85"/>
      <c r="I205" s="85"/>
      <c r="J205" s="86"/>
      <c r="L205" s="85"/>
      <c r="N205" s="85"/>
      <c r="P205" s="86"/>
      <c r="R205" s="85"/>
      <c r="Y205" s="85"/>
      <c r="Z205" s="85"/>
      <c r="AA205" s="85"/>
      <c r="AB205" s="85"/>
      <c r="AE205" s="85"/>
      <c r="AG205" s="85"/>
      <c r="AI205" s="85"/>
      <c r="AK205" s="86"/>
    </row>
    <row r="206" spans="1:37">
      <c r="A206" s="84" t="s">
        <v>2086</v>
      </c>
      <c r="D206" s="84" t="s">
        <v>1806</v>
      </c>
      <c r="F206" s="103"/>
      <c r="G206" s="103"/>
      <c r="H206" s="103"/>
      <c r="I206" s="103"/>
      <c r="R206" s="85"/>
      <c r="Z206" s="85"/>
      <c r="AA206" s="85"/>
      <c r="AB206" s="85"/>
      <c r="AE206" s="85"/>
      <c r="AG206" s="85"/>
      <c r="AI206" s="85"/>
      <c r="AK206" s="86"/>
    </row>
    <row r="207" spans="1:37">
      <c r="A207" s="84" t="s">
        <v>2089</v>
      </c>
      <c r="D207" s="84" t="s">
        <v>1806</v>
      </c>
      <c r="F207" s="103"/>
      <c r="G207" s="103"/>
      <c r="H207" s="103"/>
      <c r="I207" s="103"/>
      <c r="R207" s="85"/>
      <c r="Z207" s="85"/>
      <c r="AA207" s="85"/>
      <c r="AB207" s="85"/>
      <c r="AE207" s="85"/>
      <c r="AG207" s="85"/>
      <c r="AI207" s="85"/>
      <c r="AK207" s="86"/>
    </row>
    <row r="208" spans="1:37">
      <c r="A208" s="84" t="s">
        <v>1244</v>
      </c>
      <c r="B208" t="s">
        <v>1385</v>
      </c>
      <c r="C208" s="93" t="s">
        <v>1935</v>
      </c>
      <c r="D208" s="84" t="s">
        <v>1806</v>
      </c>
      <c r="F208" s="103">
        <v>0.3</v>
      </c>
      <c r="G208" s="103">
        <v>0.9</v>
      </c>
      <c r="H208" s="103"/>
      <c r="I208" s="103"/>
      <c r="J208" s="86"/>
      <c r="L208" s="85"/>
      <c r="N208" s="85"/>
      <c r="P208" s="86"/>
      <c r="Q208" s="84">
        <v>0</v>
      </c>
      <c r="R208" s="85"/>
      <c r="Y208" s="85"/>
      <c r="Z208" s="85"/>
      <c r="AA208" s="85"/>
      <c r="AB208" s="85"/>
      <c r="AE208" s="85"/>
      <c r="AG208" s="85"/>
      <c r="AI208" s="85"/>
      <c r="AK208" s="86"/>
    </row>
    <row r="209" spans="1:37">
      <c r="A209" s="84" t="s">
        <v>1266</v>
      </c>
      <c r="B209" t="s">
        <v>1380</v>
      </c>
      <c r="C209" s="87" t="s">
        <v>1394</v>
      </c>
      <c r="D209" s="84" t="s">
        <v>1806</v>
      </c>
      <c r="F209" s="85">
        <v>0.1</v>
      </c>
      <c r="G209" s="85">
        <v>0.7</v>
      </c>
      <c r="H209" s="85"/>
      <c r="I209" s="85"/>
      <c r="J209" s="86"/>
      <c r="L209" s="85"/>
      <c r="N209" s="85"/>
      <c r="P209" s="86"/>
      <c r="R209" s="85"/>
      <c r="Y209" s="85"/>
      <c r="Z209" s="85"/>
      <c r="AA209" s="85">
        <v>0.2</v>
      </c>
      <c r="AB209" s="85"/>
      <c r="AE209" s="85"/>
      <c r="AG209" s="85"/>
      <c r="AI209" s="85"/>
      <c r="AK209" s="86"/>
    </row>
    <row r="210" spans="1:37">
      <c r="A210" s="84" t="s">
        <v>1721</v>
      </c>
      <c r="D210" s="84" t="s">
        <v>1806</v>
      </c>
      <c r="F210" s="103"/>
      <c r="G210" s="103"/>
      <c r="H210" s="103"/>
      <c r="I210" s="103"/>
      <c r="R210" s="85"/>
      <c r="Z210" s="85"/>
      <c r="AA210" s="85"/>
      <c r="AB210" s="85"/>
      <c r="AE210" s="85"/>
      <c r="AG210" s="85"/>
      <c r="AI210" s="85"/>
      <c r="AK210" s="86"/>
    </row>
    <row r="211" spans="1:37">
      <c r="A211" s="84" t="s">
        <v>1723</v>
      </c>
      <c r="D211" s="84" t="s">
        <v>1806</v>
      </c>
      <c r="F211" s="103"/>
      <c r="G211" s="103"/>
      <c r="H211" s="103"/>
      <c r="I211" s="103"/>
      <c r="R211" s="85"/>
      <c r="Z211" s="85"/>
      <c r="AA211" s="85"/>
      <c r="AB211" s="85"/>
      <c r="AE211" s="85"/>
      <c r="AG211" s="85"/>
      <c r="AI211" s="85"/>
      <c r="AK211" s="86"/>
    </row>
    <row r="212" spans="1:37">
      <c r="A212" s="84" t="s">
        <v>2081</v>
      </c>
      <c r="D212" s="84" t="s">
        <v>1806</v>
      </c>
      <c r="F212" s="103"/>
      <c r="G212" s="103"/>
      <c r="H212" s="103"/>
      <c r="I212" s="103"/>
      <c r="R212" s="85"/>
      <c r="Z212" s="85"/>
      <c r="AA212" s="85"/>
      <c r="AB212" s="85"/>
      <c r="AE212" s="85"/>
      <c r="AG212" s="85"/>
      <c r="AI212" s="85"/>
      <c r="AK212" s="86"/>
    </row>
    <row r="213" spans="1:37">
      <c r="A213" s="84" t="s">
        <v>2070</v>
      </c>
      <c r="D213" s="84" t="s">
        <v>1807</v>
      </c>
      <c r="F213" s="103"/>
      <c r="G213" s="103"/>
      <c r="H213" s="103"/>
      <c r="I213" s="103"/>
      <c r="R213" s="85"/>
      <c r="Z213" s="85"/>
      <c r="AA213" s="85"/>
      <c r="AB213" s="85"/>
      <c r="AE213" s="85"/>
      <c r="AG213" s="85"/>
      <c r="AI213" s="85"/>
      <c r="AK213" s="86"/>
    </row>
    <row r="214" spans="1:37">
      <c r="A214" s="84" t="s">
        <v>1780</v>
      </c>
      <c r="B214" t="s">
        <v>1054</v>
      </c>
      <c r="C214" s="98" t="s">
        <v>1781</v>
      </c>
      <c r="D214" s="84" t="s">
        <v>1806</v>
      </c>
      <c r="E214">
        <v>30</v>
      </c>
      <c r="F214" s="85" t="s">
        <v>1807</v>
      </c>
      <c r="G214" s="85">
        <v>1</v>
      </c>
      <c r="H214" s="85"/>
      <c r="I214" s="85"/>
      <c r="J214" s="86"/>
      <c r="L214" s="85"/>
      <c r="N214" s="85"/>
      <c r="P214" s="86"/>
      <c r="R214" s="85"/>
      <c r="Y214" s="85"/>
      <c r="Z214" s="85"/>
      <c r="AA214" s="85"/>
      <c r="AB214" s="85"/>
      <c r="AE214" s="85"/>
      <c r="AG214" s="85"/>
      <c r="AI214" s="85"/>
      <c r="AK214" s="86"/>
    </row>
    <row r="215" spans="1:37">
      <c r="A215" s="84" t="s">
        <v>1017</v>
      </c>
      <c r="B215" t="s">
        <v>1383</v>
      </c>
      <c r="C215" s="93" t="s">
        <v>1431</v>
      </c>
      <c r="D215" s="84" t="s">
        <v>1806</v>
      </c>
      <c r="F215" s="85"/>
      <c r="G215" s="85"/>
      <c r="H215" s="85"/>
      <c r="I215" s="85"/>
      <c r="J215" s="86"/>
      <c r="L215" s="85"/>
      <c r="N215" s="85"/>
      <c r="P215" s="86"/>
      <c r="R215" s="85"/>
      <c r="Y215" s="85"/>
      <c r="Z215" s="85"/>
      <c r="AA215" s="85"/>
      <c r="AB215" s="85"/>
      <c r="AE215" s="85"/>
      <c r="AG215" s="85"/>
      <c r="AI215" s="85"/>
      <c r="AK215" s="86"/>
    </row>
    <row r="216" spans="1:37">
      <c r="A216" s="84" t="s">
        <v>1728</v>
      </c>
      <c r="B216" t="s">
        <v>1388</v>
      </c>
      <c r="C216" s="87" t="s">
        <v>1729</v>
      </c>
      <c r="D216" s="84" t="s">
        <v>1806</v>
      </c>
      <c r="F216" s="85"/>
      <c r="G216" s="85"/>
      <c r="H216" s="85"/>
      <c r="I216" s="85"/>
      <c r="J216" s="86"/>
      <c r="L216" s="85"/>
      <c r="N216" s="85"/>
      <c r="P216" s="86"/>
      <c r="R216" s="85"/>
      <c r="Y216" s="85"/>
      <c r="Z216" s="85"/>
      <c r="AA216" s="85"/>
      <c r="AB216" s="85"/>
      <c r="AE216" s="85"/>
      <c r="AG216" s="85"/>
      <c r="AI216" s="85"/>
      <c r="AK216" s="86"/>
    </row>
    <row r="217" spans="1:37">
      <c r="A217" s="84" t="s">
        <v>1349</v>
      </c>
      <c r="B217" t="s">
        <v>1055</v>
      </c>
      <c r="C217" s="98" t="s">
        <v>1742</v>
      </c>
      <c r="D217" s="84" t="s">
        <v>1806</v>
      </c>
      <c r="F217" s="85" t="s">
        <v>1807</v>
      </c>
      <c r="G217" s="85">
        <v>1</v>
      </c>
      <c r="H217" s="85"/>
      <c r="I217" s="85"/>
      <c r="J217" s="86"/>
      <c r="L217" s="85"/>
      <c r="N217" s="85"/>
      <c r="P217" s="86"/>
      <c r="R217" s="85"/>
      <c r="Y217" s="85"/>
      <c r="Z217" s="85"/>
      <c r="AA217" s="85"/>
      <c r="AB217" s="85"/>
      <c r="AE217" s="85"/>
      <c r="AG217" s="85"/>
      <c r="AI217" s="85"/>
      <c r="AK217" s="86"/>
    </row>
    <row r="218" spans="1:37">
      <c r="A218" s="84" t="s">
        <v>2100</v>
      </c>
      <c r="D218" s="84" t="s">
        <v>1807</v>
      </c>
      <c r="F218" s="103"/>
      <c r="G218" s="103"/>
      <c r="H218" s="103"/>
      <c r="I218" s="103"/>
      <c r="R218" s="85"/>
      <c r="Z218" s="85"/>
      <c r="AA218" s="85"/>
      <c r="AB218" s="85"/>
      <c r="AE218" s="85"/>
      <c r="AG218" s="85"/>
      <c r="AI218" s="85"/>
      <c r="AK218" s="86"/>
    </row>
    <row r="219" spans="1:37">
      <c r="A219" s="84" t="s">
        <v>1667</v>
      </c>
      <c r="D219" s="84" t="s">
        <v>1806</v>
      </c>
      <c r="F219" s="103"/>
      <c r="G219" s="103"/>
      <c r="H219" s="103"/>
      <c r="I219" s="103"/>
      <c r="R219" s="85"/>
      <c r="Z219" s="85"/>
      <c r="AA219" s="85"/>
      <c r="AB219" s="85"/>
      <c r="AE219" s="85"/>
      <c r="AG219" s="85"/>
      <c r="AI219" s="85"/>
      <c r="AK219" s="86"/>
    </row>
    <row r="220" spans="1:37">
      <c r="A220" s="84" t="s">
        <v>2071</v>
      </c>
      <c r="D220" s="84" t="s">
        <v>1806</v>
      </c>
      <c r="F220" s="103"/>
      <c r="G220" s="103"/>
      <c r="H220" s="103"/>
      <c r="I220" s="103"/>
      <c r="R220" s="85"/>
      <c r="Z220" s="85"/>
      <c r="AA220" s="85"/>
      <c r="AB220" s="85"/>
      <c r="AE220" s="85"/>
      <c r="AG220" s="85"/>
      <c r="AI220" s="85"/>
      <c r="AK220" s="86"/>
    </row>
    <row r="221" spans="1:37">
      <c r="A221" s="84" t="s">
        <v>1650</v>
      </c>
      <c r="D221" s="84" t="s">
        <v>1806</v>
      </c>
      <c r="F221" s="103"/>
      <c r="G221" s="103"/>
      <c r="H221" s="103"/>
      <c r="I221" s="103"/>
      <c r="R221" s="85"/>
      <c r="Z221" s="85"/>
      <c r="AA221" s="85"/>
      <c r="AB221" s="85"/>
      <c r="AE221" s="85"/>
      <c r="AG221" s="85"/>
      <c r="AI221" s="85"/>
      <c r="AK221" s="86"/>
    </row>
    <row r="222" spans="1:37">
      <c r="A222" s="84" t="s">
        <v>1050</v>
      </c>
      <c r="B222" t="s">
        <v>1387</v>
      </c>
      <c r="C222" s="93" t="s">
        <v>1941</v>
      </c>
      <c r="D222" s="84" t="s">
        <v>1806</v>
      </c>
      <c r="F222" s="85">
        <v>0.3</v>
      </c>
      <c r="G222" s="85">
        <v>0.8</v>
      </c>
      <c r="H222" s="85"/>
      <c r="I222" s="85"/>
      <c r="J222" s="86"/>
      <c r="K222" s="84" t="s">
        <v>1810</v>
      </c>
      <c r="L222" s="85">
        <v>0.2</v>
      </c>
      <c r="N222" s="85"/>
      <c r="P222" s="86"/>
      <c r="R222" s="85"/>
      <c r="Y222" s="85"/>
      <c r="Z222" s="85"/>
      <c r="AA222" s="85"/>
      <c r="AB222" s="85"/>
      <c r="AE222" s="85"/>
      <c r="AG222" s="85"/>
      <c r="AI222" s="85"/>
      <c r="AK222" s="86"/>
    </row>
    <row r="223" spans="1:37">
      <c r="A223" s="84" t="s">
        <v>1796</v>
      </c>
      <c r="D223" s="84" t="s">
        <v>1806</v>
      </c>
      <c r="F223" s="103"/>
      <c r="G223" s="103"/>
      <c r="H223" s="103"/>
      <c r="I223" s="103"/>
      <c r="R223" s="85"/>
      <c r="Z223" s="85"/>
      <c r="AA223" s="85"/>
      <c r="AB223" s="85"/>
      <c r="AE223" s="85"/>
      <c r="AG223" s="85"/>
      <c r="AI223" s="85"/>
      <c r="AK223" s="86"/>
    </row>
    <row r="224" spans="1:37">
      <c r="A224" s="84" t="s">
        <v>1301</v>
      </c>
      <c r="B224" t="s">
        <v>1379</v>
      </c>
      <c r="C224" s="87" t="s">
        <v>1419</v>
      </c>
      <c r="D224" s="84" t="s">
        <v>1806</v>
      </c>
      <c r="F224" s="85"/>
      <c r="G224" s="85"/>
      <c r="H224" s="85"/>
      <c r="I224" s="85"/>
      <c r="J224" s="86"/>
      <c r="L224" s="85"/>
      <c r="N224" s="85"/>
      <c r="P224" s="86"/>
      <c r="R224" s="85"/>
      <c r="Y224" s="85"/>
      <c r="Z224" s="85"/>
      <c r="AA224" s="85"/>
      <c r="AB224" s="85"/>
      <c r="AE224" s="85"/>
      <c r="AG224" s="85"/>
      <c r="AI224" s="85"/>
      <c r="AK224" s="86"/>
    </row>
    <row r="225" spans="1:37">
      <c r="A225" s="84" t="s">
        <v>1578</v>
      </c>
      <c r="D225" s="84" t="s">
        <v>1807</v>
      </c>
      <c r="F225" s="103"/>
      <c r="G225" s="103"/>
      <c r="H225" s="103"/>
      <c r="I225" s="103"/>
      <c r="R225" s="85"/>
      <c r="Z225" s="85"/>
      <c r="AA225" s="85"/>
      <c r="AB225" s="85"/>
      <c r="AE225" s="85"/>
      <c r="AG225" s="85"/>
      <c r="AI225" s="85"/>
      <c r="AK225" s="86"/>
    </row>
    <row r="226" spans="1:37">
      <c r="A226" s="84" t="s">
        <v>1640</v>
      </c>
      <c r="D226" s="84" t="s">
        <v>1806</v>
      </c>
      <c r="F226" s="103"/>
      <c r="G226" s="103"/>
      <c r="H226" s="103"/>
      <c r="I226" s="103"/>
      <c r="R226" s="85"/>
      <c r="Z226" s="85"/>
      <c r="AA226" s="85"/>
      <c r="AB226" s="85"/>
      <c r="AE226" s="85"/>
      <c r="AG226" s="85"/>
      <c r="AI226" s="85"/>
      <c r="AK226" s="86"/>
    </row>
    <row r="227" spans="1:37">
      <c r="A227" s="84" t="s">
        <v>1196</v>
      </c>
      <c r="D227" s="84" t="s">
        <v>1807</v>
      </c>
      <c r="F227" s="103"/>
      <c r="G227" s="103"/>
      <c r="H227" s="103"/>
      <c r="I227" s="103"/>
      <c r="R227" s="85"/>
      <c r="Z227" s="85"/>
      <c r="AA227" s="85"/>
      <c r="AB227" s="85"/>
      <c r="AE227" s="85"/>
      <c r="AG227" s="85"/>
      <c r="AI227" s="85"/>
      <c r="AK227" s="86"/>
    </row>
    <row r="228" spans="1:37">
      <c r="A228" s="84" t="s">
        <v>2084</v>
      </c>
      <c r="D228" s="84" t="s">
        <v>1806</v>
      </c>
      <c r="F228" s="103"/>
      <c r="G228" s="103"/>
      <c r="H228" s="103"/>
      <c r="I228" s="103"/>
      <c r="R228" s="85"/>
      <c r="Z228" s="85"/>
      <c r="AA228" s="85"/>
      <c r="AB228" s="85"/>
      <c r="AE228" s="85"/>
      <c r="AG228" s="85"/>
      <c r="AI228" s="85"/>
      <c r="AK228" s="86"/>
    </row>
    <row r="229" spans="1:37">
      <c r="A229" s="84" t="s">
        <v>2059</v>
      </c>
      <c r="D229" s="84" t="s">
        <v>1807</v>
      </c>
      <c r="F229" s="103"/>
      <c r="G229" s="103"/>
      <c r="H229" s="103"/>
      <c r="I229" s="103"/>
      <c r="R229" s="85"/>
      <c r="Z229" s="85"/>
      <c r="AA229" s="85"/>
      <c r="AB229" s="85"/>
      <c r="AE229" s="85"/>
      <c r="AG229" s="85"/>
      <c r="AI229" s="85"/>
      <c r="AK229" s="86"/>
    </row>
    <row r="230" spans="1:37">
      <c r="A230" s="84" t="s">
        <v>1216</v>
      </c>
      <c r="B230" t="s">
        <v>36</v>
      </c>
      <c r="C230" s="98" t="s">
        <v>1718</v>
      </c>
      <c r="D230" s="84" t="s">
        <v>1807</v>
      </c>
      <c r="F230" s="85" t="s">
        <v>1807</v>
      </c>
      <c r="G230" s="85">
        <v>1</v>
      </c>
      <c r="H230" s="85"/>
      <c r="I230" s="85"/>
      <c r="J230" s="86"/>
      <c r="L230" s="85"/>
      <c r="N230" s="85"/>
      <c r="P230" s="86"/>
      <c r="R230" s="85"/>
      <c r="Y230" s="85"/>
      <c r="Z230" s="85"/>
      <c r="AA230" s="85"/>
      <c r="AB230" s="85"/>
      <c r="AE230" s="85"/>
      <c r="AG230" s="85"/>
      <c r="AI230" s="85"/>
      <c r="AK230" s="86"/>
    </row>
    <row r="231" spans="1:37">
      <c r="A231" s="84" t="s">
        <v>1035</v>
      </c>
      <c r="B231" t="s">
        <v>1380</v>
      </c>
      <c r="C231" s="87" t="s">
        <v>1425</v>
      </c>
      <c r="D231" s="84" t="s">
        <v>1807</v>
      </c>
      <c r="F231" s="85" t="s">
        <v>1807</v>
      </c>
      <c r="G231" s="85">
        <v>0.7</v>
      </c>
      <c r="H231" s="85"/>
      <c r="I231" s="85"/>
      <c r="J231" s="86"/>
      <c r="K231" s="84" t="s">
        <v>1811</v>
      </c>
      <c r="L231" s="85">
        <v>0.7</v>
      </c>
      <c r="N231" s="85"/>
      <c r="P231" s="86"/>
      <c r="R231" s="85"/>
      <c r="Y231" s="85"/>
      <c r="Z231" s="85"/>
      <c r="AA231" s="85"/>
      <c r="AB231" s="85"/>
      <c r="AE231" s="85"/>
      <c r="AG231" s="85"/>
      <c r="AI231" s="85"/>
      <c r="AK231" s="86"/>
    </row>
    <row r="232" spans="1:37">
      <c r="A232" s="84" t="s">
        <v>1256</v>
      </c>
      <c r="B232" t="s">
        <v>1083</v>
      </c>
      <c r="C232" s="93" t="s">
        <v>1109</v>
      </c>
      <c r="D232" s="84" t="s">
        <v>1806</v>
      </c>
      <c r="F232" s="85">
        <v>0.1</v>
      </c>
      <c r="G232" s="85">
        <v>0.9</v>
      </c>
      <c r="H232" s="85"/>
      <c r="I232" s="85"/>
      <c r="J232" s="86"/>
      <c r="L232" s="85"/>
      <c r="N232" s="85"/>
      <c r="P232" s="86"/>
      <c r="R232" s="85"/>
      <c r="Y232" s="85"/>
      <c r="Z232" s="85"/>
      <c r="AA232" s="85"/>
      <c r="AB232" s="85"/>
      <c r="AE232" s="85"/>
      <c r="AG232" s="85"/>
      <c r="AI232" s="85"/>
      <c r="AK232" s="86"/>
    </row>
    <row r="233" spans="1:37">
      <c r="A233" s="84" t="s">
        <v>1299</v>
      </c>
      <c r="B233" t="s">
        <v>1055</v>
      </c>
      <c r="C233" s="98" t="s">
        <v>1702</v>
      </c>
      <c r="D233" s="84" t="s">
        <v>1806</v>
      </c>
      <c r="E233">
        <v>2</v>
      </c>
      <c r="F233" s="85">
        <v>0.2</v>
      </c>
      <c r="G233" s="85">
        <v>0.7</v>
      </c>
      <c r="H233" s="85"/>
      <c r="I233" s="85"/>
      <c r="J233" s="86"/>
      <c r="L233" s="85"/>
      <c r="N233" s="85"/>
      <c r="P233" s="86"/>
      <c r="R233" s="85"/>
      <c r="Y233" s="85"/>
      <c r="Z233" s="85"/>
      <c r="AA233" s="85"/>
      <c r="AB233" s="85"/>
      <c r="AE233" s="85"/>
      <c r="AG233" s="85"/>
      <c r="AI233" s="85"/>
      <c r="AK233" s="86"/>
    </row>
    <row r="234" spans="1:37">
      <c r="A234" s="84" t="s">
        <v>1278</v>
      </c>
      <c r="B234" t="s">
        <v>1055</v>
      </c>
      <c r="C234" s="93" t="s">
        <v>1949</v>
      </c>
      <c r="D234" s="84" t="s">
        <v>1806</v>
      </c>
      <c r="F234" s="85">
        <v>0.1</v>
      </c>
      <c r="G234" s="85">
        <v>0.9</v>
      </c>
      <c r="H234" s="85"/>
      <c r="I234" s="85"/>
      <c r="J234" s="86"/>
      <c r="L234" s="85"/>
      <c r="N234" s="85"/>
      <c r="P234" s="86"/>
      <c r="R234" s="85"/>
      <c r="U234">
        <v>-1</v>
      </c>
      <c r="V234" s="85">
        <v>0.3</v>
      </c>
      <c r="Y234" s="85"/>
      <c r="Z234" s="85"/>
      <c r="AA234" s="85"/>
      <c r="AB234" s="85"/>
      <c r="AE234" s="85"/>
      <c r="AG234" s="85"/>
      <c r="AI234" s="85"/>
      <c r="AK234" s="86"/>
    </row>
    <row r="235" spans="1:37">
      <c r="A235" s="84" t="s">
        <v>1298</v>
      </c>
      <c r="B235" t="s">
        <v>1387</v>
      </c>
      <c r="C235" s="87" t="s">
        <v>1942</v>
      </c>
      <c r="D235" s="84" t="s">
        <v>1806</v>
      </c>
      <c r="F235" s="85">
        <v>0.1</v>
      </c>
      <c r="G235" s="85">
        <v>0.9</v>
      </c>
      <c r="H235" s="85"/>
      <c r="I235" s="85"/>
      <c r="J235" s="86"/>
      <c r="K235" s="84" t="s">
        <v>1810</v>
      </c>
      <c r="L235" s="85">
        <v>0.1</v>
      </c>
      <c r="M235" t="s">
        <v>1849</v>
      </c>
      <c r="N235" s="85">
        <v>0.1</v>
      </c>
      <c r="P235" s="86"/>
      <c r="R235" s="85"/>
      <c r="Y235" s="85"/>
      <c r="Z235" s="85"/>
      <c r="AA235" s="85"/>
      <c r="AB235" s="85"/>
      <c r="AE235" s="85"/>
      <c r="AG235" s="85"/>
      <c r="AI235" s="85"/>
      <c r="AK235" s="86"/>
    </row>
    <row r="236" spans="1:37">
      <c r="A236" s="84" t="s">
        <v>1753</v>
      </c>
      <c r="B236" t="s">
        <v>1055</v>
      </c>
      <c r="C236" s="98" t="s">
        <v>1754</v>
      </c>
      <c r="D236" s="84" t="s">
        <v>1806</v>
      </c>
      <c r="E236">
        <v>1.5</v>
      </c>
      <c r="F236" s="85">
        <v>0.1</v>
      </c>
      <c r="G236" s="85">
        <v>0.7</v>
      </c>
      <c r="H236" s="85"/>
      <c r="I236" s="85"/>
      <c r="J236" s="86"/>
      <c r="L236" s="85"/>
      <c r="N236" s="85"/>
      <c r="P236" s="86"/>
      <c r="R236" s="85"/>
      <c r="Y236" s="85"/>
      <c r="Z236" s="85"/>
      <c r="AA236" s="85"/>
      <c r="AB236" s="85"/>
      <c r="AE236" s="85"/>
      <c r="AG236" s="85"/>
      <c r="AI236" s="85"/>
      <c r="AK236" s="86"/>
    </row>
    <row r="237" spans="1:37">
      <c r="A237" s="84" t="s">
        <v>1782</v>
      </c>
      <c r="D237" s="84" t="s">
        <v>1806</v>
      </c>
      <c r="F237" s="103"/>
      <c r="G237" s="103"/>
      <c r="H237" s="103"/>
      <c r="I237" s="103"/>
      <c r="R237" s="85"/>
      <c r="Z237" s="85"/>
      <c r="AA237" s="85"/>
      <c r="AB237" s="85"/>
      <c r="AE237" s="85"/>
      <c r="AG237" s="85"/>
      <c r="AI237" s="85"/>
      <c r="AK237" s="86"/>
    </row>
    <row r="238" spans="1:37">
      <c r="A238" s="84" t="s">
        <v>1740</v>
      </c>
      <c r="B238" t="s">
        <v>1083</v>
      </c>
      <c r="C238" s="99" t="s">
        <v>1743</v>
      </c>
      <c r="D238" s="84" t="s">
        <v>1807</v>
      </c>
      <c r="F238" s="85" t="s">
        <v>1807</v>
      </c>
      <c r="G238" s="85">
        <v>1</v>
      </c>
      <c r="H238" s="85"/>
      <c r="I238" s="85"/>
      <c r="J238" s="86"/>
      <c r="L238" s="85"/>
      <c r="N238" s="85"/>
      <c r="P238" s="86"/>
      <c r="R238" s="85"/>
      <c r="Y238" s="85"/>
      <c r="Z238" s="85"/>
      <c r="AA238" s="85"/>
      <c r="AB238" s="85"/>
      <c r="AD238">
        <v>1</v>
      </c>
      <c r="AE238" s="85">
        <v>1</v>
      </c>
      <c r="AG238" s="85"/>
      <c r="AH238">
        <v>1</v>
      </c>
      <c r="AI238" s="85">
        <v>1</v>
      </c>
      <c r="AK238" s="86"/>
    </row>
    <row r="239" spans="1:37">
      <c r="A239" s="84" t="s">
        <v>1363</v>
      </c>
      <c r="B239" t="s">
        <v>1390</v>
      </c>
      <c r="C239" s="87" t="s">
        <v>1404</v>
      </c>
      <c r="D239" s="84" t="s">
        <v>1806</v>
      </c>
      <c r="F239" s="85"/>
      <c r="G239" s="85"/>
      <c r="H239" s="85"/>
      <c r="I239" s="85"/>
      <c r="J239" s="86"/>
      <c r="L239" s="85"/>
      <c r="N239" s="85"/>
      <c r="P239" s="86"/>
      <c r="R239" s="85"/>
      <c r="Y239" s="85"/>
      <c r="Z239" s="85"/>
      <c r="AA239" s="85"/>
      <c r="AB239" s="85"/>
      <c r="AE239" s="85"/>
      <c r="AG239" s="85"/>
      <c r="AI239" s="85"/>
      <c r="AK239" s="86"/>
    </row>
    <row r="240" spans="1:37">
      <c r="A240" s="84" t="s">
        <v>1346</v>
      </c>
      <c r="B240" t="s">
        <v>36</v>
      </c>
      <c r="C240" s="98" t="s">
        <v>1426</v>
      </c>
      <c r="D240" s="84" t="s">
        <v>1806</v>
      </c>
      <c r="E240">
        <v>30</v>
      </c>
      <c r="F240" s="85" t="s">
        <v>1807</v>
      </c>
      <c r="G240" s="85">
        <v>0.3</v>
      </c>
      <c r="H240" s="85"/>
      <c r="I240" s="85"/>
      <c r="J240" s="86"/>
      <c r="L240" s="85"/>
      <c r="N240" s="85"/>
      <c r="P240" s="86"/>
      <c r="R240" s="85"/>
      <c r="Y240" s="85"/>
      <c r="Z240" s="85"/>
      <c r="AA240" s="85"/>
      <c r="AB240" s="85"/>
      <c r="AE240" s="85"/>
      <c r="AG240" s="85"/>
      <c r="AI240" s="85"/>
      <c r="AK240" s="86"/>
    </row>
    <row r="241" spans="1:37">
      <c r="A241" s="84" t="s">
        <v>1220</v>
      </c>
      <c r="B241" t="s">
        <v>1383</v>
      </c>
      <c r="C241" s="93" t="s">
        <v>1752</v>
      </c>
      <c r="D241" s="84" t="s">
        <v>1806</v>
      </c>
      <c r="F241" s="85"/>
      <c r="G241" s="85"/>
      <c r="H241" s="85"/>
      <c r="I241" s="85"/>
      <c r="J241" s="86"/>
      <c r="L241" s="85"/>
      <c r="N241" s="85"/>
      <c r="P241" s="86"/>
      <c r="R241" s="85"/>
      <c r="Y241" s="85"/>
      <c r="Z241" s="85"/>
      <c r="AA241" s="85"/>
      <c r="AB241" s="85"/>
      <c r="AE241" s="85"/>
      <c r="AG241" s="85"/>
      <c r="AI241" s="85"/>
      <c r="AK241" s="86"/>
    </row>
    <row r="242" spans="1:37">
      <c r="A242" s="84" t="s">
        <v>1589</v>
      </c>
      <c r="D242" s="84" t="s">
        <v>1806</v>
      </c>
      <c r="F242" s="103"/>
      <c r="G242" s="103"/>
      <c r="H242" s="103"/>
      <c r="I242" s="103"/>
      <c r="R242" s="85"/>
      <c r="Z242" s="85"/>
      <c r="AA242" s="85"/>
      <c r="AB242" s="85"/>
      <c r="AE242" s="85"/>
      <c r="AG242" s="85"/>
      <c r="AI242" s="85"/>
      <c r="AK242" s="86"/>
    </row>
    <row r="243" spans="1:37">
      <c r="A243" s="84" t="s">
        <v>1618</v>
      </c>
      <c r="B243" t="s">
        <v>1385</v>
      </c>
      <c r="C243" s="98" t="s">
        <v>1764</v>
      </c>
      <c r="D243" s="84" t="s">
        <v>1806</v>
      </c>
      <c r="F243" s="103">
        <v>0.1</v>
      </c>
      <c r="G243" s="103">
        <v>0.9</v>
      </c>
      <c r="H243" s="103"/>
      <c r="I243" s="103"/>
      <c r="J243" s="86"/>
      <c r="L243" s="85"/>
      <c r="N243" s="85"/>
      <c r="P243" s="86"/>
      <c r="Q243" s="84">
        <v>0</v>
      </c>
      <c r="R243" s="85"/>
      <c r="Y243" s="85"/>
      <c r="Z243" s="85"/>
      <c r="AA243" s="85"/>
      <c r="AB243" s="85"/>
      <c r="AE243" s="85"/>
      <c r="AG243" s="85"/>
      <c r="AI243" s="85"/>
      <c r="AK243" s="86"/>
    </row>
    <row r="244" spans="1:37">
      <c r="A244" s="84" t="s">
        <v>1221</v>
      </c>
      <c r="B244" t="s">
        <v>1388</v>
      </c>
      <c r="C244" s="87" t="s">
        <v>1410</v>
      </c>
      <c r="D244" s="84" t="s">
        <v>1806</v>
      </c>
      <c r="F244" s="85"/>
      <c r="G244" s="85"/>
      <c r="H244" s="85"/>
      <c r="I244" s="85"/>
      <c r="J244" s="86"/>
      <c r="L244" s="85"/>
      <c r="N244" s="85"/>
      <c r="P244" s="86"/>
      <c r="R244" s="85"/>
      <c r="Y244" s="85"/>
      <c r="Z244" s="85"/>
      <c r="AA244" s="85"/>
      <c r="AB244" s="85"/>
      <c r="AE244" s="85"/>
      <c r="AG244" s="85"/>
      <c r="AI244" s="85"/>
      <c r="AK244" s="86"/>
    </row>
    <row r="245" spans="1:37">
      <c r="A245" s="84" t="s">
        <v>1218</v>
      </c>
      <c r="B245" t="s">
        <v>1388</v>
      </c>
      <c r="C245" s="93" t="s">
        <v>1109</v>
      </c>
      <c r="D245" s="84" t="s">
        <v>1806</v>
      </c>
      <c r="F245" s="85"/>
      <c r="G245" s="85"/>
      <c r="H245" s="85"/>
      <c r="I245" s="85"/>
      <c r="J245" s="86"/>
      <c r="L245" s="85"/>
      <c r="N245" s="85"/>
      <c r="P245" s="86"/>
      <c r="R245" s="85"/>
      <c r="Y245" s="85"/>
      <c r="Z245" s="85"/>
      <c r="AA245" s="85"/>
      <c r="AB245" s="85"/>
      <c r="AE245" s="85"/>
      <c r="AG245" s="85"/>
      <c r="AI245" s="85"/>
      <c r="AK245" s="86"/>
    </row>
    <row r="246" spans="1:37">
      <c r="A246" s="84" t="s">
        <v>1229</v>
      </c>
      <c r="B246" t="s">
        <v>1379</v>
      </c>
      <c r="C246" s="87" t="s">
        <v>1422</v>
      </c>
      <c r="D246" s="84" t="s">
        <v>1806</v>
      </c>
      <c r="F246" s="85"/>
      <c r="G246" s="85"/>
      <c r="H246" s="85"/>
      <c r="I246" s="85"/>
      <c r="J246" s="86"/>
      <c r="L246" s="85"/>
      <c r="N246" s="85"/>
      <c r="P246" s="86"/>
      <c r="R246" s="85"/>
      <c r="Y246" s="85"/>
      <c r="Z246" s="85"/>
      <c r="AA246" s="85"/>
      <c r="AB246" s="85"/>
      <c r="AE246" s="85"/>
      <c r="AG246" s="85"/>
      <c r="AI246" s="85"/>
      <c r="AK246" s="86"/>
    </row>
    <row r="247" spans="1:37">
      <c r="A247" s="84" t="s">
        <v>1321</v>
      </c>
      <c r="B247" t="s">
        <v>1385</v>
      </c>
      <c r="C247" s="98" t="s">
        <v>1404</v>
      </c>
      <c r="D247" s="84" t="s">
        <v>1806</v>
      </c>
      <c r="E247">
        <v>0.5</v>
      </c>
      <c r="F247" s="103" t="s">
        <v>1807</v>
      </c>
      <c r="G247" s="103">
        <v>0.8</v>
      </c>
      <c r="H247" s="103"/>
      <c r="I247" s="103"/>
      <c r="J247" s="86"/>
      <c r="L247" s="85"/>
      <c r="N247" s="85"/>
      <c r="P247" s="86"/>
      <c r="Q247" s="84">
        <v>0</v>
      </c>
      <c r="R247" s="85"/>
      <c r="Y247" s="85"/>
      <c r="Z247" s="85"/>
      <c r="AA247" s="85"/>
      <c r="AB247" s="85"/>
      <c r="AE247" s="85"/>
      <c r="AG247" s="85"/>
      <c r="AI247" s="85"/>
      <c r="AK247" s="86"/>
    </row>
    <row r="248" spans="1:37">
      <c r="A248" s="84" t="s">
        <v>2073</v>
      </c>
      <c r="D248" s="84" t="s">
        <v>1806</v>
      </c>
      <c r="F248" s="103"/>
      <c r="G248" s="103"/>
      <c r="H248" s="103"/>
      <c r="I248" s="103"/>
      <c r="R248" s="85"/>
      <c r="Z248" s="85"/>
      <c r="AA248" s="85"/>
      <c r="AB248" s="85"/>
      <c r="AE248" s="85"/>
      <c r="AG248" s="85"/>
      <c r="AI248" s="85"/>
      <c r="AK248" s="86"/>
    </row>
    <row r="249" spans="1:37">
      <c r="A249" s="84" t="s">
        <v>1784</v>
      </c>
      <c r="D249" s="84" t="s">
        <v>1806</v>
      </c>
      <c r="F249" s="103"/>
      <c r="G249" s="103"/>
      <c r="H249" s="103"/>
      <c r="I249" s="103"/>
      <c r="R249" s="85"/>
      <c r="Z249" s="85"/>
      <c r="AA249" s="85"/>
      <c r="AB249" s="85"/>
      <c r="AE249" s="85"/>
      <c r="AG249" s="85"/>
      <c r="AI249" s="85"/>
      <c r="AK249" s="86"/>
    </row>
    <row r="250" spans="1:37">
      <c r="A250" s="84" t="s">
        <v>1012</v>
      </c>
      <c r="B250" t="s">
        <v>772</v>
      </c>
      <c r="C250" s="93" t="s">
        <v>1109</v>
      </c>
      <c r="D250" s="84" t="s">
        <v>1806</v>
      </c>
      <c r="F250" s="85">
        <v>0.1</v>
      </c>
      <c r="G250" s="85">
        <v>0.9</v>
      </c>
      <c r="H250" s="85"/>
      <c r="I250" s="85"/>
      <c r="J250" s="86"/>
      <c r="L250" s="85"/>
      <c r="N250" s="85"/>
      <c r="P250" s="86"/>
      <c r="Q250" s="84">
        <v>0</v>
      </c>
      <c r="R250" s="85"/>
      <c r="Y250" s="85"/>
      <c r="Z250" s="85"/>
      <c r="AA250" s="85"/>
      <c r="AB250" s="85"/>
      <c r="AE250" s="85"/>
      <c r="AG250" s="85"/>
      <c r="AI250" s="85"/>
      <c r="AK250" s="86"/>
    </row>
    <row r="251" spans="1:37">
      <c r="A251" s="84" t="s">
        <v>1635</v>
      </c>
      <c r="D251" s="84" t="s">
        <v>1806</v>
      </c>
      <c r="F251" s="103"/>
      <c r="G251" s="103"/>
      <c r="H251" s="103"/>
      <c r="I251" s="103"/>
      <c r="R251" s="85"/>
      <c r="Z251" s="85"/>
      <c r="AA251" s="85"/>
      <c r="AB251" s="85"/>
      <c r="AE251" s="85"/>
      <c r="AG251" s="85"/>
      <c r="AI251" s="85"/>
      <c r="AK251" s="86"/>
    </row>
    <row r="252" spans="1:37">
      <c r="A252" s="84" t="s">
        <v>1004</v>
      </c>
      <c r="B252" t="s">
        <v>36</v>
      </c>
      <c r="C252" s="93" t="s">
        <v>1109</v>
      </c>
      <c r="D252" s="84" t="s">
        <v>1806</v>
      </c>
      <c r="F252" s="85">
        <v>0.1</v>
      </c>
      <c r="G252" s="85">
        <v>0.9</v>
      </c>
      <c r="H252" s="85"/>
      <c r="I252" s="85"/>
      <c r="J252" s="86"/>
      <c r="L252" s="85"/>
      <c r="N252" s="85"/>
      <c r="P252" s="86"/>
      <c r="R252" s="85"/>
      <c r="Y252" s="85"/>
      <c r="Z252" s="85"/>
      <c r="AA252" s="85"/>
      <c r="AB252" s="85"/>
      <c r="AE252" s="85"/>
      <c r="AG252" s="85"/>
      <c r="AI252" s="85"/>
      <c r="AK252" s="86"/>
    </row>
    <row r="253" spans="1:37">
      <c r="A253" s="84" t="s">
        <v>2113</v>
      </c>
      <c r="D253" s="84" t="s">
        <v>1806</v>
      </c>
      <c r="F253" s="103"/>
      <c r="G253" s="103"/>
      <c r="H253" s="103"/>
      <c r="I253" s="103"/>
      <c r="R253" s="85"/>
      <c r="Z253" s="85"/>
      <c r="AA253" s="85"/>
      <c r="AB253" s="85"/>
      <c r="AE253" s="85"/>
      <c r="AG253" s="85"/>
      <c r="AI253" s="85"/>
      <c r="AK253" s="86"/>
    </row>
    <row r="254" spans="1:37">
      <c r="A254" s="84" t="s">
        <v>1076</v>
      </c>
      <c r="B254" t="s">
        <v>1390</v>
      </c>
      <c r="C254" s="93" t="s">
        <v>1599</v>
      </c>
      <c r="D254" s="84" t="s">
        <v>1806</v>
      </c>
      <c r="F254" s="85"/>
      <c r="G254" s="85"/>
      <c r="H254" s="85"/>
      <c r="I254" s="85"/>
      <c r="J254" s="86"/>
      <c r="L254" s="85"/>
      <c r="N254" s="85"/>
      <c r="P254" s="86"/>
      <c r="R254" s="85"/>
      <c r="Y254" s="85"/>
      <c r="Z254" s="85"/>
      <c r="AA254" s="85"/>
      <c r="AB254" s="85"/>
      <c r="AE254" s="85"/>
      <c r="AG254" s="85"/>
      <c r="AI254" s="85"/>
      <c r="AK254" s="86"/>
    </row>
    <row r="255" spans="1:37">
      <c r="A255" s="84" t="s">
        <v>1739</v>
      </c>
      <c r="B255" t="s">
        <v>1083</v>
      </c>
      <c r="C255" s="98" t="s">
        <v>1741</v>
      </c>
      <c r="D255" s="84" t="s">
        <v>1806</v>
      </c>
      <c r="F255" s="85">
        <v>0.1</v>
      </c>
      <c r="G255" s="85">
        <v>0.9</v>
      </c>
      <c r="H255" s="85"/>
      <c r="I255" s="85"/>
      <c r="J255" s="86"/>
      <c r="L255" s="85"/>
      <c r="N255" s="85"/>
      <c r="P255" s="86"/>
      <c r="R255" s="85"/>
      <c r="Y255" s="85"/>
      <c r="Z255" s="85"/>
      <c r="AA255" s="85"/>
      <c r="AB255" s="85"/>
      <c r="AE255" s="85"/>
      <c r="AG255" s="85"/>
      <c r="AI255" s="85"/>
      <c r="AK255" s="86"/>
    </row>
    <row r="256" spans="1:37">
      <c r="A256" s="84" t="s">
        <v>1799</v>
      </c>
      <c r="D256" s="84" t="s">
        <v>1806</v>
      </c>
      <c r="F256" s="103"/>
      <c r="G256" s="103"/>
      <c r="H256" s="103"/>
      <c r="I256" s="103"/>
      <c r="R256" s="85"/>
      <c r="Z256" s="85"/>
      <c r="AA256" s="85"/>
      <c r="AB256" s="85"/>
      <c r="AE256" s="85"/>
      <c r="AG256" s="85"/>
      <c r="AI256" s="85"/>
      <c r="AK256" s="86"/>
    </row>
    <row r="257" spans="1:37">
      <c r="A257" s="84" t="s">
        <v>1378</v>
      </c>
      <c r="B257" t="s">
        <v>1379</v>
      </c>
      <c r="C257" s="87" t="s">
        <v>1415</v>
      </c>
      <c r="D257" s="84" t="s">
        <v>1806</v>
      </c>
      <c r="F257" s="85"/>
      <c r="G257" s="85"/>
      <c r="H257" s="85"/>
      <c r="I257" s="85"/>
      <c r="J257" s="86"/>
      <c r="L257" s="85"/>
      <c r="N257" s="85"/>
      <c r="P257" s="86"/>
      <c r="R257" s="85"/>
      <c r="Y257" s="85"/>
      <c r="Z257" s="85"/>
      <c r="AA257" s="85"/>
      <c r="AB257" s="85"/>
      <c r="AE257" s="85"/>
      <c r="AG257" s="85"/>
      <c r="AI257" s="85"/>
      <c r="AK257" s="86"/>
    </row>
    <row r="258" spans="1:37">
      <c r="A258" s="84" t="s">
        <v>1656</v>
      </c>
      <c r="B258" t="s">
        <v>1385</v>
      </c>
      <c r="C258" s="87" t="s">
        <v>1934</v>
      </c>
      <c r="D258" s="84" t="s">
        <v>1807</v>
      </c>
      <c r="F258" s="103" t="s">
        <v>1807</v>
      </c>
      <c r="G258" s="103">
        <v>1</v>
      </c>
      <c r="H258" s="103"/>
      <c r="I258" s="103"/>
      <c r="J258" s="86"/>
      <c r="L258" s="85"/>
      <c r="M258" t="s">
        <v>1836</v>
      </c>
      <c r="N258" s="85">
        <v>1</v>
      </c>
      <c r="P258" s="86"/>
      <c r="Q258" s="84">
        <v>2</v>
      </c>
      <c r="R258" s="85"/>
      <c r="S258">
        <v>2</v>
      </c>
      <c r="T258" s="85">
        <v>1</v>
      </c>
      <c r="W258">
        <v>-2</v>
      </c>
      <c r="X258" s="86">
        <v>1</v>
      </c>
      <c r="Y258" s="85"/>
      <c r="Z258" s="85"/>
      <c r="AA258" s="85"/>
      <c r="AB258" s="85"/>
      <c r="AE258" s="85"/>
      <c r="AG258" s="85"/>
      <c r="AI258" s="85"/>
      <c r="AK258" s="86"/>
    </row>
    <row r="259" spans="1:37">
      <c r="A259" s="84" t="s">
        <v>1003</v>
      </c>
      <c r="B259" t="s">
        <v>1379</v>
      </c>
      <c r="C259" s="87" t="s">
        <v>1423</v>
      </c>
      <c r="D259" s="84" t="s">
        <v>1807</v>
      </c>
      <c r="F259" s="85"/>
      <c r="G259" s="85"/>
      <c r="H259" s="85"/>
      <c r="I259" s="85"/>
      <c r="J259" s="86"/>
      <c r="L259" s="85"/>
      <c r="N259" s="85"/>
      <c r="P259" s="86"/>
      <c r="R259" s="85"/>
      <c r="Y259" s="85"/>
      <c r="Z259" s="85"/>
      <c r="AA259" s="85"/>
      <c r="AB259" s="85"/>
      <c r="AE259" s="85"/>
      <c r="AG259" s="85"/>
      <c r="AI259" s="85"/>
      <c r="AK259" s="86"/>
    </row>
    <row r="260" spans="1:37">
      <c r="A260" s="84" t="s">
        <v>2098</v>
      </c>
      <c r="D260" s="84" t="s">
        <v>1806</v>
      </c>
      <c r="F260" s="103"/>
      <c r="G260" s="103"/>
      <c r="H260" s="103"/>
      <c r="I260" s="103"/>
      <c r="R260" s="85"/>
      <c r="Z260" s="85"/>
      <c r="AA260" s="85"/>
      <c r="AB260" s="85"/>
      <c r="AE260" s="85"/>
      <c r="AG260" s="85"/>
      <c r="AI260" s="85"/>
      <c r="AK260" s="86"/>
    </row>
    <row r="261" spans="1:37">
      <c r="A261" s="84" t="s">
        <v>1107</v>
      </c>
      <c r="B261" t="s">
        <v>1083</v>
      </c>
      <c r="C261" s="93" t="s">
        <v>1962</v>
      </c>
      <c r="D261" s="84" t="s">
        <v>1806</v>
      </c>
      <c r="F261" s="85">
        <v>0.1</v>
      </c>
      <c r="G261" s="85">
        <v>0.9</v>
      </c>
      <c r="H261" s="85"/>
      <c r="I261" s="85"/>
      <c r="J261" s="86"/>
      <c r="L261" s="85"/>
      <c r="N261" s="85"/>
      <c r="P261" s="86"/>
      <c r="R261" s="85"/>
      <c r="S261">
        <v>-1</v>
      </c>
      <c r="T261" s="85">
        <v>0.1</v>
      </c>
      <c r="Y261" s="85"/>
      <c r="Z261" s="85"/>
      <c r="AA261" s="85"/>
      <c r="AB261" s="85"/>
      <c r="AE261" s="85"/>
      <c r="AG261" s="85"/>
      <c r="AI261" s="85"/>
      <c r="AK261" s="86"/>
    </row>
    <row r="262" spans="1:37">
      <c r="A262" s="84" t="s">
        <v>2116</v>
      </c>
      <c r="D262" s="84" t="s">
        <v>1806</v>
      </c>
      <c r="F262" s="103"/>
      <c r="G262" s="103"/>
      <c r="H262" s="103"/>
      <c r="I262" s="103"/>
      <c r="R262" s="85"/>
      <c r="Z262" s="85"/>
      <c r="AA262" s="85"/>
      <c r="AB262" s="85"/>
      <c r="AE262" s="85"/>
      <c r="AG262" s="85"/>
      <c r="AI262" s="85"/>
      <c r="AK262" s="86"/>
    </row>
    <row r="263" spans="1:37">
      <c r="A263" s="84" t="s">
        <v>1766</v>
      </c>
      <c r="D263" s="84" t="s">
        <v>1806</v>
      </c>
      <c r="F263" s="103"/>
      <c r="G263" s="103"/>
      <c r="H263" s="103"/>
      <c r="I263" s="103"/>
      <c r="R263" s="85"/>
      <c r="Z263" s="85"/>
      <c r="AA263" s="85"/>
      <c r="AB263" s="85"/>
      <c r="AE263" s="85"/>
      <c r="AG263" s="85"/>
      <c r="AI263" s="85"/>
      <c r="AK263" s="86"/>
    </row>
    <row r="264" spans="1:37">
      <c r="A264" s="84" t="s">
        <v>1333</v>
      </c>
      <c r="B264" t="s">
        <v>1083</v>
      </c>
      <c r="C264" s="98" t="s">
        <v>1742</v>
      </c>
      <c r="D264" s="84" t="s">
        <v>1806</v>
      </c>
      <c r="F264" s="85" t="s">
        <v>1807</v>
      </c>
      <c r="G264" s="85">
        <v>0.9</v>
      </c>
      <c r="H264" s="85"/>
      <c r="I264" s="85"/>
      <c r="J264" s="86"/>
      <c r="L264" s="85"/>
      <c r="N264" s="85"/>
      <c r="P264" s="86"/>
      <c r="R264" s="85"/>
      <c r="Y264" s="85"/>
      <c r="Z264" s="85"/>
      <c r="AA264" s="85"/>
      <c r="AB264" s="85"/>
      <c r="AE264" s="85"/>
      <c r="AG264" s="85"/>
      <c r="AI264" s="85"/>
      <c r="AK264" s="86"/>
    </row>
    <row r="265" spans="1:37">
      <c r="A265" s="84" t="s">
        <v>1106</v>
      </c>
      <c r="B265" t="s">
        <v>1083</v>
      </c>
      <c r="C265" s="93" t="s">
        <v>1836</v>
      </c>
      <c r="D265" s="84" t="s">
        <v>1806</v>
      </c>
      <c r="F265" s="85">
        <v>0.1</v>
      </c>
      <c r="G265" s="85">
        <v>0.9</v>
      </c>
      <c r="H265" s="85"/>
      <c r="I265" s="85"/>
      <c r="J265" s="86"/>
      <c r="L265" s="85"/>
      <c r="M265" t="s">
        <v>1836</v>
      </c>
      <c r="N265" s="85">
        <v>0.1</v>
      </c>
      <c r="P265" s="86"/>
      <c r="R265" s="85"/>
      <c r="Y265" s="85"/>
      <c r="Z265" s="85"/>
      <c r="AA265" s="85"/>
      <c r="AB265" s="85"/>
      <c r="AE265" s="85"/>
      <c r="AG265" s="85"/>
      <c r="AI265" s="85"/>
      <c r="AK265" s="86"/>
    </row>
    <row r="266" spans="1:37">
      <c r="A266" s="84" t="s">
        <v>1083</v>
      </c>
      <c r="B266" t="s">
        <v>1083</v>
      </c>
      <c r="C266" s="93" t="s">
        <v>1961</v>
      </c>
      <c r="D266" s="84" t="s">
        <v>1806</v>
      </c>
      <c r="F266" s="85">
        <v>0.1</v>
      </c>
      <c r="G266" s="85">
        <v>0.9</v>
      </c>
      <c r="H266" s="85"/>
      <c r="I266" s="85"/>
      <c r="J266" s="86"/>
      <c r="L266" s="85"/>
      <c r="N266" s="85"/>
      <c r="P266" s="86"/>
      <c r="R266" s="85"/>
      <c r="W266">
        <v>-1</v>
      </c>
      <c r="X266" s="86">
        <v>0.1</v>
      </c>
      <c r="Y266" s="85"/>
      <c r="Z266" s="85"/>
      <c r="AA266" s="85"/>
      <c r="AB266" s="85"/>
      <c r="AE266" s="85"/>
      <c r="AG266" s="85"/>
      <c r="AI266" s="85"/>
      <c r="AK266" s="86"/>
    </row>
    <row r="267" spans="1:37">
      <c r="A267" s="84" t="s">
        <v>2101</v>
      </c>
      <c r="D267" s="84" t="s">
        <v>1807</v>
      </c>
      <c r="F267" s="103"/>
      <c r="G267" s="103"/>
      <c r="H267" s="103"/>
      <c r="I267" s="103"/>
      <c r="R267" s="85"/>
      <c r="Z267" s="85"/>
      <c r="AA267" s="85"/>
      <c r="AB267" s="85"/>
      <c r="AE267" s="85"/>
      <c r="AG267" s="85"/>
      <c r="AI267" s="85"/>
      <c r="AK267" s="86"/>
    </row>
    <row r="268" spans="1:37">
      <c r="A268" s="84" t="s">
        <v>1621</v>
      </c>
      <c r="B268" t="s">
        <v>1379</v>
      </c>
      <c r="C268" s="87" t="s">
        <v>1622</v>
      </c>
      <c r="D268" s="84" t="s">
        <v>1807</v>
      </c>
      <c r="F268" s="85"/>
      <c r="G268" s="85"/>
      <c r="H268" s="85"/>
      <c r="I268" s="85"/>
      <c r="J268" s="86"/>
      <c r="L268" s="85"/>
      <c r="N268" s="85"/>
      <c r="P268" s="86"/>
      <c r="R268" s="85"/>
      <c r="Y268" s="85"/>
      <c r="Z268" s="85"/>
      <c r="AA268" s="85"/>
      <c r="AB268" s="85"/>
      <c r="AE268" s="85"/>
      <c r="AG268" s="85"/>
      <c r="AI268" s="85"/>
      <c r="AK268" s="86"/>
    </row>
    <row r="269" spans="1:37">
      <c r="A269" s="84" t="s">
        <v>1716</v>
      </c>
      <c r="B269" t="s">
        <v>1390</v>
      </c>
      <c r="C269" s="87" t="s">
        <v>1720</v>
      </c>
      <c r="D269" s="84" t="s">
        <v>1807</v>
      </c>
      <c r="F269" s="85"/>
      <c r="G269" s="85"/>
      <c r="H269" s="85"/>
      <c r="I269" s="85"/>
      <c r="J269" s="86"/>
      <c r="L269" s="85"/>
      <c r="N269" s="85"/>
      <c r="P269" s="86"/>
      <c r="R269" s="85"/>
      <c r="Y269" s="85"/>
      <c r="Z269" s="85"/>
      <c r="AA269" s="85"/>
      <c r="AB269" s="85"/>
      <c r="AE269" s="85"/>
      <c r="AG269" s="85"/>
      <c r="AI269" s="85"/>
      <c r="AK269" s="86"/>
    </row>
    <row r="270" spans="1:37">
      <c r="A270" s="84" t="s">
        <v>2096</v>
      </c>
      <c r="D270" s="84" t="s">
        <v>1806</v>
      </c>
      <c r="F270" s="103"/>
      <c r="G270" s="103"/>
      <c r="H270" s="103"/>
      <c r="I270" s="103"/>
      <c r="R270" s="85"/>
      <c r="Z270" s="85"/>
      <c r="AA270" s="85"/>
      <c r="AB270" s="85"/>
      <c r="AE270" s="85"/>
      <c r="AG270" s="85"/>
      <c r="AI270" s="85"/>
      <c r="AK270" s="86"/>
    </row>
    <row r="271" spans="1:37">
      <c r="A271" s="84" t="s">
        <v>1347</v>
      </c>
      <c r="B271" t="s">
        <v>1386</v>
      </c>
      <c r="C271" s="93" t="s">
        <v>1109</v>
      </c>
      <c r="D271" s="84" t="s">
        <v>1806</v>
      </c>
      <c r="F271" s="85">
        <v>0.1</v>
      </c>
      <c r="G271" s="85">
        <v>0.9</v>
      </c>
      <c r="H271" s="85"/>
      <c r="I271" s="85"/>
      <c r="J271" s="86"/>
      <c r="L271" s="85"/>
      <c r="N271" s="85"/>
      <c r="P271" s="86"/>
      <c r="R271" s="85"/>
      <c r="W271">
        <v>-1</v>
      </c>
      <c r="X271" s="86">
        <v>0.1</v>
      </c>
      <c r="Y271" s="85"/>
      <c r="Z271" s="85"/>
      <c r="AA271" s="85"/>
      <c r="AB271" s="85"/>
      <c r="AE271" s="85"/>
      <c r="AG271" s="85"/>
      <c r="AI271" s="85"/>
      <c r="AK271" s="86"/>
    </row>
    <row r="272" spans="1:37">
      <c r="A272" s="84" t="s">
        <v>1632</v>
      </c>
      <c r="D272" s="84" t="s">
        <v>1806</v>
      </c>
      <c r="F272" s="103"/>
      <c r="G272" s="103"/>
      <c r="H272" s="103"/>
      <c r="I272" s="103"/>
      <c r="R272" s="85"/>
      <c r="Z272" s="85"/>
      <c r="AA272" s="85"/>
      <c r="AB272" s="85"/>
      <c r="AE272" s="85"/>
      <c r="AG272" s="85"/>
      <c r="AI272" s="85"/>
      <c r="AK272" s="86"/>
    </row>
    <row r="273" spans="1:37">
      <c r="A273" s="84" t="s">
        <v>2067</v>
      </c>
      <c r="D273" s="84" t="s">
        <v>1806</v>
      </c>
      <c r="F273" s="103"/>
      <c r="G273" s="103"/>
      <c r="H273" s="103"/>
      <c r="I273" s="103"/>
      <c r="R273" s="85"/>
      <c r="Z273" s="85"/>
      <c r="AA273" s="85"/>
      <c r="AB273" s="85"/>
      <c r="AE273" s="85"/>
      <c r="AG273" s="85"/>
      <c r="AI273" s="85"/>
      <c r="AK273" s="86"/>
    </row>
    <row r="274" spans="1:37">
      <c r="A274" s="84" t="s">
        <v>1292</v>
      </c>
      <c r="B274" t="s">
        <v>1381</v>
      </c>
      <c r="C274" s="87" t="s">
        <v>1427</v>
      </c>
      <c r="D274" s="84" t="s">
        <v>1806</v>
      </c>
      <c r="F274" s="85">
        <v>0.1</v>
      </c>
      <c r="G274" s="85">
        <v>0.9</v>
      </c>
      <c r="H274" s="85"/>
      <c r="I274" s="85"/>
      <c r="J274" s="86"/>
      <c r="L274" s="85"/>
      <c r="N274" s="85"/>
      <c r="P274" s="86"/>
      <c r="Q274" s="84">
        <v>1</v>
      </c>
      <c r="R274" s="85"/>
      <c r="Y274" s="85"/>
      <c r="Z274" s="85"/>
      <c r="AA274" s="85"/>
      <c r="AB274" s="85"/>
      <c r="AE274" s="85"/>
      <c r="AG274" s="85"/>
      <c r="AI274" s="85"/>
      <c r="AK274" s="86"/>
    </row>
    <row r="275" spans="1:37">
      <c r="A275" s="84" t="s">
        <v>1300</v>
      </c>
      <c r="B275" t="s">
        <v>1055</v>
      </c>
      <c r="C275" s="87" t="s">
        <v>1394</v>
      </c>
      <c r="D275" s="84" t="s">
        <v>1806</v>
      </c>
      <c r="F275" s="85">
        <v>0.1</v>
      </c>
      <c r="G275" s="85">
        <v>0.9</v>
      </c>
      <c r="H275" s="85"/>
      <c r="I275" s="85"/>
      <c r="J275" s="86"/>
      <c r="L275" s="85"/>
      <c r="N275" s="85"/>
      <c r="P275" s="86"/>
      <c r="R275" s="85"/>
      <c r="Y275" s="85"/>
      <c r="Z275" s="85">
        <v>0.3</v>
      </c>
      <c r="AA275" s="85"/>
      <c r="AB275" s="85"/>
      <c r="AE275" s="85"/>
      <c r="AG275" s="85"/>
      <c r="AI275" s="85"/>
      <c r="AK275" s="86"/>
    </row>
    <row r="276" spans="1:37">
      <c r="A276" s="84" t="s">
        <v>1374</v>
      </c>
      <c r="B276" t="s">
        <v>1387</v>
      </c>
      <c r="C276" s="87" t="s">
        <v>1411</v>
      </c>
      <c r="D276" s="84" t="s">
        <v>1806</v>
      </c>
      <c r="F276" s="85">
        <v>0.1</v>
      </c>
      <c r="G276" s="85">
        <v>0.9</v>
      </c>
      <c r="H276" s="85"/>
      <c r="I276" s="85"/>
      <c r="J276" s="86"/>
      <c r="K276" s="84" t="s">
        <v>1810</v>
      </c>
      <c r="L276" s="85">
        <v>0.1</v>
      </c>
      <c r="N276" s="85"/>
      <c r="P276" s="86"/>
      <c r="R276" s="85"/>
      <c r="Y276" s="85"/>
      <c r="Z276" s="85"/>
      <c r="AA276" s="85"/>
      <c r="AB276" s="85"/>
      <c r="AE276" s="85"/>
      <c r="AG276" s="85"/>
      <c r="AI276" s="85"/>
      <c r="AK276" s="86"/>
    </row>
    <row r="277" spans="1:37">
      <c r="A277" s="84" t="s">
        <v>1019</v>
      </c>
      <c r="B277" t="s">
        <v>1384</v>
      </c>
      <c r="C277" s="87" t="s">
        <v>1413</v>
      </c>
      <c r="D277" s="84" t="s">
        <v>1806</v>
      </c>
      <c r="F277" s="85">
        <v>0.1</v>
      </c>
      <c r="G277" s="85">
        <v>0.9</v>
      </c>
      <c r="H277" s="85"/>
      <c r="I277" s="85"/>
      <c r="J277" s="86"/>
      <c r="K277" s="84" t="s">
        <v>1809</v>
      </c>
      <c r="L277" s="85">
        <v>0.1</v>
      </c>
      <c r="N277" s="85"/>
      <c r="P277" s="86"/>
      <c r="Q277" s="84">
        <v>0</v>
      </c>
      <c r="R277" s="85"/>
      <c r="Y277" s="85"/>
      <c r="Z277" s="85"/>
      <c r="AA277" s="85"/>
      <c r="AB277" s="85"/>
      <c r="AE277" s="85"/>
      <c r="AG277" s="85"/>
      <c r="AI277" s="85"/>
      <c r="AK277" s="86"/>
    </row>
    <row r="278" spans="1:37">
      <c r="A278" s="84" t="s">
        <v>1759</v>
      </c>
      <c r="D278" s="84" t="s">
        <v>1806</v>
      </c>
      <c r="F278" s="103"/>
      <c r="G278" s="103"/>
      <c r="H278" s="103"/>
      <c r="I278" s="103"/>
      <c r="R278" s="85"/>
      <c r="Z278" s="85"/>
      <c r="AA278" s="85"/>
      <c r="AB278" s="85"/>
      <c r="AE278" s="85"/>
      <c r="AG278" s="85"/>
      <c r="AI278" s="85"/>
      <c r="AK278" s="86"/>
    </row>
    <row r="279" spans="1:37">
      <c r="A279" s="84" t="s">
        <v>1348</v>
      </c>
      <c r="B279" t="s">
        <v>36</v>
      </c>
      <c r="C279" s="87" t="s">
        <v>1399</v>
      </c>
      <c r="D279" s="84" t="s">
        <v>1806</v>
      </c>
      <c r="F279" s="85">
        <v>0.1</v>
      </c>
      <c r="G279" s="85">
        <v>0.9</v>
      </c>
      <c r="H279" s="85"/>
      <c r="I279" s="85"/>
      <c r="J279" s="86"/>
      <c r="L279" s="85"/>
      <c r="M279" t="s">
        <v>1836</v>
      </c>
      <c r="N279" s="85">
        <v>0.5</v>
      </c>
      <c r="P279" s="86"/>
      <c r="R279" s="85"/>
      <c r="Y279" s="85"/>
      <c r="Z279" s="85"/>
      <c r="AA279" s="85"/>
      <c r="AB279" s="85"/>
      <c r="AE279" s="85"/>
      <c r="AG279" s="85"/>
      <c r="AI279" s="85"/>
      <c r="AK279" s="86"/>
    </row>
    <row r="280" spans="1:37">
      <c r="A280" s="84" t="s">
        <v>1642</v>
      </c>
      <c r="D280" s="84" t="s">
        <v>1806</v>
      </c>
      <c r="F280" s="103"/>
      <c r="G280" s="103"/>
      <c r="H280" s="103"/>
      <c r="I280" s="103"/>
      <c r="R280" s="85"/>
      <c r="Z280" s="85"/>
      <c r="AA280" s="85"/>
      <c r="AB280" s="85"/>
      <c r="AE280" s="85"/>
      <c r="AG280" s="85"/>
      <c r="AI280" s="85"/>
      <c r="AK280" s="86"/>
    </row>
    <row r="281" spans="1:37">
      <c r="A281" s="84" t="s">
        <v>1123</v>
      </c>
      <c r="B281" t="s">
        <v>1054</v>
      </c>
      <c r="C281" s="93" t="s">
        <v>1938</v>
      </c>
      <c r="D281" s="84" t="s">
        <v>1806</v>
      </c>
      <c r="F281" s="85">
        <v>0.1</v>
      </c>
      <c r="G281" s="85">
        <v>0.9</v>
      </c>
      <c r="H281" s="85"/>
      <c r="I281" s="85"/>
      <c r="J281" s="86"/>
      <c r="L281" s="85"/>
      <c r="N281" s="85"/>
      <c r="P281" s="86"/>
      <c r="Q281" s="84">
        <v>1</v>
      </c>
      <c r="R281" s="85"/>
      <c r="Y281" s="85"/>
      <c r="Z281" s="85"/>
      <c r="AA281" s="85"/>
      <c r="AB281" s="85"/>
      <c r="AE281" s="85"/>
      <c r="AG281" s="85"/>
      <c r="AI281" s="85"/>
      <c r="AK281" s="86"/>
    </row>
    <row r="282" spans="1:37">
      <c r="A282" s="84" t="s">
        <v>1010</v>
      </c>
      <c r="B282" t="s">
        <v>1382</v>
      </c>
      <c r="C282" s="87" t="s">
        <v>1414</v>
      </c>
      <c r="D282" s="84" t="s">
        <v>1806</v>
      </c>
      <c r="F282" s="85">
        <v>0.1</v>
      </c>
      <c r="G282" s="85">
        <v>0.9</v>
      </c>
      <c r="H282" s="85"/>
      <c r="I282" s="85"/>
      <c r="J282" s="86"/>
      <c r="K282" s="84" t="s">
        <v>1811</v>
      </c>
      <c r="L282" s="85">
        <v>0.1</v>
      </c>
      <c r="N282" s="85"/>
      <c r="P282" s="86"/>
      <c r="Q282" s="84">
        <v>0</v>
      </c>
      <c r="R282" s="85"/>
      <c r="Y282" s="85"/>
      <c r="Z282" s="85"/>
      <c r="AA282" s="85"/>
      <c r="AB282" s="85"/>
      <c r="AE282" s="85"/>
      <c r="AG282" s="85"/>
      <c r="AI282" s="85"/>
      <c r="AK282" s="86"/>
    </row>
    <row r="283" spans="1:37">
      <c r="A283" s="84" t="s">
        <v>1289</v>
      </c>
      <c r="B283" t="s">
        <v>1055</v>
      </c>
      <c r="C283" s="87" t="s">
        <v>1399</v>
      </c>
      <c r="D283" s="84" t="s">
        <v>1806</v>
      </c>
      <c r="F283" s="85">
        <v>0.1</v>
      </c>
      <c r="G283" s="85">
        <v>0.7</v>
      </c>
      <c r="H283" s="85"/>
      <c r="I283" s="85"/>
      <c r="J283" s="86"/>
      <c r="L283" s="85"/>
      <c r="M283" t="s">
        <v>1836</v>
      </c>
      <c r="N283" s="85">
        <v>0.5</v>
      </c>
      <c r="P283" s="86"/>
      <c r="R283" s="85"/>
      <c r="Y283" s="85"/>
      <c r="Z283" s="85"/>
      <c r="AA283" s="85"/>
      <c r="AB283" s="85"/>
      <c r="AE283" s="85"/>
      <c r="AG283" s="85"/>
      <c r="AI283" s="85"/>
      <c r="AK283" s="86"/>
    </row>
    <row r="284" spans="1:37">
      <c r="A284" s="84" t="s">
        <v>1037</v>
      </c>
      <c r="B284" t="s">
        <v>1379</v>
      </c>
      <c r="C284" s="87" t="s">
        <v>1415</v>
      </c>
      <c r="D284" s="84" t="s">
        <v>1806</v>
      </c>
      <c r="F284" s="85"/>
      <c r="G284" s="85"/>
      <c r="H284" s="85"/>
      <c r="I284" s="85"/>
      <c r="J284" s="86"/>
      <c r="L284" s="85"/>
      <c r="N284" s="85"/>
      <c r="P284" s="86"/>
      <c r="R284" s="85"/>
      <c r="Y284" s="85"/>
      <c r="Z284" s="85"/>
      <c r="AA284" s="85"/>
      <c r="AB284" s="85"/>
      <c r="AE284" s="85"/>
      <c r="AG284" s="85"/>
      <c r="AI284" s="85"/>
      <c r="AK284" s="86"/>
    </row>
    <row r="285" spans="1:37">
      <c r="A285" s="84" t="s">
        <v>2080</v>
      </c>
      <c r="D285" s="84" t="s">
        <v>1806</v>
      </c>
      <c r="F285" s="103"/>
      <c r="G285" s="103"/>
      <c r="H285" s="103"/>
      <c r="I285" s="103"/>
      <c r="R285" s="85"/>
      <c r="Z285" s="85"/>
      <c r="AA285" s="85"/>
      <c r="AB285" s="85"/>
      <c r="AE285" s="85"/>
      <c r="AG285" s="85"/>
      <c r="AI285" s="85"/>
      <c r="AK285" s="86"/>
    </row>
    <row r="286" spans="1:37">
      <c r="A286" s="84" t="s">
        <v>1334</v>
      </c>
      <c r="B286" t="s">
        <v>36</v>
      </c>
      <c r="C286" s="93" t="s">
        <v>1109</v>
      </c>
      <c r="D286" s="84" t="s">
        <v>1806</v>
      </c>
      <c r="F286" s="85">
        <v>0.1</v>
      </c>
      <c r="G286" s="85">
        <v>1</v>
      </c>
      <c r="H286" s="85"/>
      <c r="I286" s="85"/>
      <c r="J286" s="86"/>
      <c r="L286" s="85"/>
      <c r="N286" s="85"/>
      <c r="P286" s="86"/>
      <c r="R286" s="85"/>
      <c r="Y286" s="85"/>
      <c r="Z286" s="85"/>
      <c r="AA286" s="85"/>
      <c r="AB286" s="85"/>
      <c r="AE286" s="85"/>
      <c r="AG286" s="85"/>
      <c r="AI286" s="85"/>
      <c r="AK286" s="86"/>
    </row>
    <row r="287" spans="1:37">
      <c r="A287" s="84" t="s">
        <v>1233</v>
      </c>
      <c r="B287" t="s">
        <v>1382</v>
      </c>
      <c r="C287" s="87" t="s">
        <v>1418</v>
      </c>
      <c r="D287" s="84" t="s">
        <v>1806</v>
      </c>
      <c r="F287" s="85">
        <v>0.1</v>
      </c>
      <c r="G287" s="85">
        <v>0.9</v>
      </c>
      <c r="H287" s="85"/>
      <c r="I287" s="85"/>
      <c r="J287" s="86"/>
      <c r="K287" s="84" t="s">
        <v>1811</v>
      </c>
      <c r="L287" s="85">
        <v>0.2</v>
      </c>
      <c r="N287" s="85"/>
      <c r="P287" s="86"/>
      <c r="Q287" s="84">
        <v>0</v>
      </c>
      <c r="R287" s="85"/>
      <c r="Y287" s="85"/>
      <c r="Z287" s="85"/>
      <c r="AA287" s="85"/>
      <c r="AB287" s="85"/>
      <c r="AE287" s="85"/>
      <c r="AG287" s="85"/>
      <c r="AI287" s="85"/>
      <c r="AK287" s="86"/>
    </row>
    <row r="288" spans="1:37">
      <c r="A288" s="84" t="s">
        <v>1357</v>
      </c>
      <c r="B288" t="s">
        <v>1384</v>
      </c>
      <c r="C288" s="87" t="s">
        <v>1413</v>
      </c>
      <c r="D288" s="84" t="s">
        <v>1806</v>
      </c>
      <c r="F288" s="85">
        <v>0.1</v>
      </c>
      <c r="G288" s="85">
        <v>0.9</v>
      </c>
      <c r="H288" s="85"/>
      <c r="I288" s="85"/>
      <c r="J288" s="86"/>
      <c r="K288" s="84" t="s">
        <v>1809</v>
      </c>
      <c r="L288" s="85">
        <v>0.1</v>
      </c>
      <c r="N288" s="85"/>
      <c r="P288" s="86"/>
      <c r="Q288" s="84">
        <v>0</v>
      </c>
      <c r="R288" s="85"/>
      <c r="Y288" s="85"/>
      <c r="Z288" s="85"/>
      <c r="AA288" s="85"/>
      <c r="AB288" s="85"/>
      <c r="AE288" s="85"/>
      <c r="AG288" s="85"/>
      <c r="AI288" s="85"/>
      <c r="AK288" s="86"/>
    </row>
    <row r="289" spans="1:37">
      <c r="A289" s="84" t="s">
        <v>1286</v>
      </c>
      <c r="B289" t="s">
        <v>772</v>
      </c>
      <c r="C289" s="93" t="s">
        <v>1930</v>
      </c>
      <c r="D289" s="84" t="s">
        <v>1806</v>
      </c>
      <c r="F289" s="85">
        <v>0.1</v>
      </c>
      <c r="G289" s="85">
        <v>0.9</v>
      </c>
      <c r="H289" s="85"/>
      <c r="I289" s="85"/>
      <c r="J289" s="86"/>
      <c r="L289" s="85"/>
      <c r="N289" s="85"/>
      <c r="P289" s="86"/>
      <c r="Q289" s="84">
        <v>0</v>
      </c>
      <c r="R289" s="85"/>
      <c r="U289">
        <v>-1</v>
      </c>
      <c r="V289" s="85">
        <v>0.4</v>
      </c>
      <c r="Y289" s="85"/>
      <c r="Z289" s="85"/>
      <c r="AA289" s="85"/>
      <c r="AB289" s="85"/>
      <c r="AE289" s="85"/>
      <c r="AG289" s="85"/>
      <c r="AI289" s="85"/>
      <c r="AK289" s="86"/>
    </row>
    <row r="290" spans="1:37">
      <c r="A290" s="84" t="s">
        <v>2054</v>
      </c>
      <c r="D290" s="84" t="s">
        <v>1806</v>
      </c>
      <c r="F290" s="103"/>
      <c r="G290" s="103"/>
      <c r="H290" s="103"/>
      <c r="I290" s="103"/>
      <c r="R290" s="85"/>
      <c r="Z290" s="85"/>
      <c r="AA290" s="85"/>
      <c r="AB290" s="85"/>
      <c r="AE290" s="85"/>
      <c r="AG290" s="85"/>
      <c r="AI290" s="85"/>
      <c r="AK290" s="86"/>
    </row>
    <row r="291" spans="1:37">
      <c r="A291" s="84" t="s">
        <v>1126</v>
      </c>
      <c r="B291" t="s">
        <v>1054</v>
      </c>
      <c r="C291" s="87" t="s">
        <v>1424</v>
      </c>
      <c r="D291" s="84" t="s">
        <v>1807</v>
      </c>
      <c r="F291" s="85" t="s">
        <v>1807</v>
      </c>
      <c r="G291" s="85">
        <v>0.9</v>
      </c>
      <c r="H291" s="85"/>
      <c r="I291" s="85"/>
      <c r="J291" s="86"/>
      <c r="L291" s="85"/>
      <c r="M291" t="s">
        <v>1836</v>
      </c>
      <c r="N291" s="85">
        <v>0.8</v>
      </c>
      <c r="P291" s="86"/>
      <c r="R291" s="85"/>
      <c r="Y291" s="85"/>
      <c r="Z291" s="85"/>
      <c r="AA291" s="85"/>
      <c r="AB291" s="85"/>
      <c r="AE291" s="85"/>
      <c r="AG291" s="85"/>
      <c r="AI291" s="85"/>
      <c r="AK291" s="86"/>
    </row>
    <row r="292" spans="1:37">
      <c r="A292" s="84" t="s">
        <v>1246</v>
      </c>
      <c r="B292" t="s">
        <v>1384</v>
      </c>
      <c r="C292" s="87" t="s">
        <v>1417</v>
      </c>
      <c r="D292" s="84" t="s">
        <v>1806</v>
      </c>
      <c r="F292" s="85">
        <v>0.1</v>
      </c>
      <c r="G292" s="85">
        <v>0.9</v>
      </c>
      <c r="H292" s="85"/>
      <c r="I292" s="85"/>
      <c r="J292" s="86"/>
      <c r="K292" s="84" t="s">
        <v>1809</v>
      </c>
      <c r="L292" s="85">
        <v>0.2</v>
      </c>
      <c r="N292" s="85"/>
      <c r="P292" s="86"/>
      <c r="Q292" s="84">
        <v>0</v>
      </c>
      <c r="R292" s="85"/>
      <c r="Y292" s="85"/>
      <c r="Z292" s="85"/>
      <c r="AA292" s="85"/>
      <c r="AB292" s="85"/>
      <c r="AE292" s="85"/>
      <c r="AG292" s="85"/>
      <c r="AI292" s="85"/>
      <c r="AK292" s="86"/>
    </row>
    <row r="293" spans="1:37">
      <c r="A293" s="84" t="s">
        <v>1795</v>
      </c>
      <c r="D293" s="84" t="s">
        <v>1806</v>
      </c>
      <c r="F293" s="103"/>
      <c r="G293" s="103"/>
      <c r="H293" s="103"/>
      <c r="I293" s="103"/>
      <c r="R293" s="85"/>
      <c r="Z293" s="85"/>
      <c r="AA293" s="85"/>
      <c r="AB293" s="85"/>
      <c r="AE293" s="85"/>
      <c r="AG293" s="85"/>
      <c r="AI293" s="85"/>
      <c r="AK293" s="86"/>
    </row>
    <row r="294" spans="1:37">
      <c r="A294" s="84" t="s">
        <v>1108</v>
      </c>
      <c r="B294" t="s">
        <v>36</v>
      </c>
      <c r="C294" s="87" t="s">
        <v>1395</v>
      </c>
      <c r="D294" s="84" t="s">
        <v>1807</v>
      </c>
      <c r="F294" s="85" t="s">
        <v>1807</v>
      </c>
      <c r="G294" s="85">
        <v>1</v>
      </c>
      <c r="H294" s="85"/>
      <c r="I294" s="85"/>
      <c r="J294" s="86"/>
      <c r="L294" s="85"/>
      <c r="N294" s="85"/>
      <c r="P294" s="86"/>
      <c r="R294" s="85"/>
      <c r="Y294" s="85"/>
      <c r="Z294" s="85">
        <v>0.5</v>
      </c>
      <c r="AA294" s="85"/>
      <c r="AB294" s="85"/>
      <c r="AE294" s="85"/>
      <c r="AG294" s="85"/>
      <c r="AI294" s="85"/>
      <c r="AK294" s="86"/>
    </row>
    <row r="295" spans="1:37">
      <c r="A295" s="84" t="s">
        <v>1370</v>
      </c>
      <c r="B295" t="s">
        <v>1380</v>
      </c>
      <c r="C295" s="87" t="s">
        <v>1404</v>
      </c>
      <c r="D295" s="84" t="s">
        <v>1806</v>
      </c>
      <c r="E295">
        <v>0.5</v>
      </c>
      <c r="F295" s="85">
        <v>0.1</v>
      </c>
      <c r="G295" s="85">
        <v>0.7</v>
      </c>
      <c r="H295" s="85"/>
      <c r="I295" s="85"/>
      <c r="J295" s="86"/>
      <c r="L295" s="85"/>
      <c r="N295" s="85"/>
      <c r="P295" s="86"/>
      <c r="R295" s="85"/>
      <c r="Y295" s="85"/>
      <c r="Z295" s="85"/>
      <c r="AA295" s="85"/>
      <c r="AB295" s="85"/>
      <c r="AE295" s="85"/>
      <c r="AG295" s="85"/>
      <c r="AI295" s="85"/>
      <c r="AK295" s="86"/>
    </row>
    <row r="296" spans="1:37">
      <c r="A296" s="84" t="s">
        <v>2060</v>
      </c>
      <c r="D296" s="84" t="s">
        <v>1807</v>
      </c>
      <c r="F296" s="103"/>
      <c r="G296" s="103"/>
      <c r="H296" s="103"/>
      <c r="I296" s="103"/>
      <c r="R296" s="85"/>
      <c r="Z296" s="85"/>
      <c r="AA296" s="85"/>
      <c r="AB296" s="85"/>
      <c r="AE296" s="85"/>
      <c r="AG296" s="85"/>
      <c r="AI296" s="85"/>
      <c r="AK296" s="86"/>
    </row>
    <row r="297" spans="1:37">
      <c r="A297" s="84" t="s">
        <v>2056</v>
      </c>
      <c r="D297" s="84" t="s">
        <v>1807</v>
      </c>
      <c r="F297" s="103"/>
      <c r="G297" s="103"/>
      <c r="H297" s="103"/>
      <c r="I297" s="103"/>
      <c r="R297" s="85"/>
      <c r="Z297" s="85"/>
      <c r="AA297" s="85"/>
      <c r="AB297" s="85"/>
      <c r="AE297" s="85"/>
      <c r="AG297" s="85"/>
      <c r="AI297" s="85"/>
      <c r="AK297" s="86"/>
    </row>
    <row r="298" spans="1:37">
      <c r="A298" s="84" t="s">
        <v>1612</v>
      </c>
      <c r="B298" t="s">
        <v>36</v>
      </c>
      <c r="C298" s="87" t="s">
        <v>1616</v>
      </c>
      <c r="D298" s="84" t="s">
        <v>1807</v>
      </c>
      <c r="F298" s="85" t="s">
        <v>1807</v>
      </c>
      <c r="G298" s="85">
        <v>1</v>
      </c>
      <c r="H298" s="85"/>
      <c r="I298" s="85"/>
      <c r="J298" s="86"/>
      <c r="L298" s="85"/>
      <c r="N298" s="85"/>
      <c r="P298" s="86"/>
      <c r="R298" s="85"/>
      <c r="W298">
        <v>2</v>
      </c>
      <c r="Y298" s="85"/>
      <c r="Z298" s="85"/>
      <c r="AA298" s="85"/>
      <c r="AB298" s="85"/>
      <c r="AE298" s="85"/>
      <c r="AG298" s="85"/>
      <c r="AI298" s="85"/>
      <c r="AK298" s="86"/>
    </row>
    <row r="299" spans="1:37">
      <c r="A299" s="84" t="s">
        <v>1359</v>
      </c>
      <c r="B299" t="s">
        <v>1379</v>
      </c>
      <c r="C299" s="87" t="s">
        <v>1415</v>
      </c>
      <c r="D299" s="84" t="s">
        <v>1806</v>
      </c>
      <c r="F299" s="85"/>
      <c r="G299" s="85"/>
      <c r="H299" s="85"/>
      <c r="I299" s="85"/>
      <c r="J299" s="86"/>
      <c r="L299" s="85"/>
      <c r="N299" s="85"/>
      <c r="P299" s="86"/>
      <c r="R299" s="85"/>
      <c r="Y299" s="85"/>
      <c r="Z299" s="85"/>
      <c r="AA299" s="85"/>
      <c r="AB299" s="85"/>
      <c r="AE299" s="85"/>
      <c r="AG299" s="85"/>
      <c r="AI299" s="85"/>
      <c r="AK299" s="86"/>
    </row>
    <row r="300" spans="1:37">
      <c r="A300" s="84" t="s">
        <v>1731</v>
      </c>
      <c r="B300" t="s">
        <v>1388</v>
      </c>
      <c r="C300" s="87" t="s">
        <v>1395</v>
      </c>
      <c r="D300" s="84" t="s">
        <v>1807</v>
      </c>
      <c r="F300" s="85"/>
      <c r="G300" s="85"/>
      <c r="H300" s="85"/>
      <c r="I300" s="85"/>
      <c r="J300" s="86"/>
      <c r="L300" s="85"/>
      <c r="N300" s="85"/>
      <c r="P300" s="86"/>
      <c r="R300" s="85"/>
      <c r="Y300" s="85"/>
      <c r="Z300" s="85"/>
      <c r="AA300" s="85"/>
      <c r="AB300" s="85"/>
      <c r="AE300" s="85"/>
      <c r="AG300" s="85"/>
      <c r="AI300" s="85"/>
      <c r="AK300" s="86"/>
    </row>
    <row r="301" spans="1:37">
      <c r="A301" s="84" t="s">
        <v>2079</v>
      </c>
      <c r="D301" s="84" t="s">
        <v>1807</v>
      </c>
      <c r="F301" s="103"/>
      <c r="G301" s="103"/>
      <c r="H301" s="103"/>
      <c r="I301" s="103"/>
      <c r="R301" s="85"/>
      <c r="Z301" s="85"/>
      <c r="AA301" s="85"/>
      <c r="AB301" s="85"/>
      <c r="AE301" s="85"/>
      <c r="AG301" s="85"/>
      <c r="AI301" s="85"/>
      <c r="AK301" s="86"/>
    </row>
    <row r="302" spans="1:37">
      <c r="A302" s="84" t="s">
        <v>1737</v>
      </c>
      <c r="D302" s="84" t="s">
        <v>1806</v>
      </c>
      <c r="F302" s="103"/>
      <c r="G302" s="103"/>
      <c r="H302" s="103"/>
      <c r="I302" s="103"/>
      <c r="R302" s="85"/>
      <c r="Z302" s="85"/>
      <c r="AA302" s="85"/>
      <c r="AB302" s="85"/>
      <c r="AE302" s="85"/>
      <c r="AG302" s="85"/>
      <c r="AI302" s="85"/>
      <c r="AK302" s="86"/>
    </row>
    <row r="303" spans="1:37">
      <c r="A303" s="84" t="s">
        <v>1317</v>
      </c>
      <c r="B303" t="s">
        <v>1390</v>
      </c>
      <c r="C303" s="87" t="s">
        <v>1410</v>
      </c>
      <c r="D303" s="84" t="s">
        <v>1806</v>
      </c>
      <c r="F303" s="85"/>
      <c r="G303" s="85"/>
      <c r="H303" s="85"/>
      <c r="I303" s="85"/>
      <c r="J303" s="86"/>
      <c r="L303" s="85"/>
      <c r="N303" s="85"/>
      <c r="P303" s="86"/>
      <c r="R303" s="85"/>
      <c r="Y303" s="85"/>
      <c r="Z303" s="85"/>
      <c r="AA303" s="85"/>
      <c r="AB303" s="85"/>
      <c r="AE303" s="85"/>
      <c r="AG303" s="85"/>
      <c r="AI303" s="85"/>
      <c r="AK303" s="86"/>
    </row>
    <row r="304" spans="1:37">
      <c r="A304" s="84" t="s">
        <v>1636</v>
      </c>
      <c r="D304" s="84" t="s">
        <v>1806</v>
      </c>
      <c r="F304" s="103"/>
      <c r="G304" s="103"/>
      <c r="H304" s="103"/>
      <c r="I304" s="103"/>
      <c r="R304" s="85"/>
      <c r="Z304" s="85"/>
      <c r="AA304" s="85"/>
      <c r="AB304" s="85"/>
      <c r="AE304" s="85"/>
      <c r="AG304" s="85"/>
      <c r="AI304" s="85"/>
      <c r="AK304" s="86"/>
    </row>
    <row r="305" spans="1:37">
      <c r="A305" s="84" t="s">
        <v>1614</v>
      </c>
      <c r="B305" t="s">
        <v>36</v>
      </c>
      <c r="C305" s="87" t="s">
        <v>1950</v>
      </c>
      <c r="D305" s="84" t="s">
        <v>1807</v>
      </c>
      <c r="F305" s="85" t="s">
        <v>1807</v>
      </c>
      <c r="G305" s="85">
        <v>1</v>
      </c>
      <c r="H305" s="85"/>
      <c r="I305" s="85"/>
      <c r="J305" s="86"/>
      <c r="L305" s="85"/>
      <c r="N305" s="85"/>
      <c r="P305" s="86"/>
      <c r="R305" s="85"/>
      <c r="Y305" s="85"/>
      <c r="Z305" s="85"/>
      <c r="AA305" s="85"/>
      <c r="AB305" s="85"/>
      <c r="AD305">
        <v>3</v>
      </c>
      <c r="AE305" s="85">
        <v>1</v>
      </c>
      <c r="AF305">
        <v>3</v>
      </c>
      <c r="AG305" s="85">
        <v>1</v>
      </c>
      <c r="AH305">
        <v>-4</v>
      </c>
      <c r="AI305" s="85">
        <v>1</v>
      </c>
      <c r="AK305" s="86"/>
    </row>
    <row r="306" spans="1:37">
      <c r="A306" s="84" t="s">
        <v>1080</v>
      </c>
      <c r="B306" t="s">
        <v>36</v>
      </c>
      <c r="C306" s="98" t="s">
        <v>1689</v>
      </c>
      <c r="D306" s="84" t="s">
        <v>1806</v>
      </c>
      <c r="F306" s="85"/>
      <c r="G306" s="85"/>
      <c r="H306" s="85"/>
      <c r="I306" s="85"/>
      <c r="J306" s="86"/>
      <c r="L306" s="85"/>
      <c r="N306" s="85"/>
      <c r="P306" s="86"/>
      <c r="R306" s="85"/>
      <c r="Y306" s="85"/>
      <c r="Z306" s="85"/>
      <c r="AA306" s="85"/>
      <c r="AB306" s="85"/>
      <c r="AE306" s="85"/>
      <c r="AG306" s="85"/>
      <c r="AI306" s="85"/>
      <c r="AK306" s="86"/>
    </row>
    <row r="307" spans="1:37">
      <c r="A307" s="84" t="s">
        <v>1283</v>
      </c>
      <c r="B307" t="s">
        <v>1387</v>
      </c>
      <c r="C307" s="87" t="s">
        <v>1411</v>
      </c>
      <c r="D307" s="84" t="s">
        <v>1806</v>
      </c>
      <c r="F307" s="85">
        <v>0.1</v>
      </c>
      <c r="G307" s="85">
        <v>0.9</v>
      </c>
      <c r="H307" s="85"/>
      <c r="I307" s="85"/>
      <c r="J307" s="86"/>
      <c r="K307" s="84" t="s">
        <v>1810</v>
      </c>
      <c r="L307" s="85">
        <v>0.1</v>
      </c>
      <c r="N307" s="85"/>
      <c r="P307" s="86"/>
      <c r="R307" s="85"/>
      <c r="Y307" s="85"/>
      <c r="Z307" s="85"/>
      <c r="AA307" s="85"/>
      <c r="AB307" s="85"/>
      <c r="AE307" s="85"/>
      <c r="AG307" s="85"/>
      <c r="AI307" s="85"/>
      <c r="AK307" s="86"/>
    </row>
    <row r="308" spans="1:37">
      <c r="A308" s="84" t="s">
        <v>964</v>
      </c>
      <c r="D308" s="84" t="s">
        <v>1807</v>
      </c>
      <c r="F308" s="103"/>
      <c r="G308" s="103"/>
      <c r="H308" s="103"/>
      <c r="I308" s="103"/>
      <c r="R308" s="85"/>
      <c r="Z308" s="85"/>
      <c r="AA308" s="85"/>
      <c r="AB308" s="85"/>
      <c r="AE308" s="85"/>
      <c r="AG308" s="85"/>
      <c r="AI308" s="85"/>
      <c r="AK308" s="86"/>
    </row>
    <row r="309" spans="1:37">
      <c r="A309" s="84" t="s">
        <v>1393</v>
      </c>
      <c r="B309" t="s">
        <v>36</v>
      </c>
      <c r="C309" s="98" t="s">
        <v>1396</v>
      </c>
      <c r="D309" s="84" t="s">
        <v>1807</v>
      </c>
      <c r="F309" s="85" t="s">
        <v>1807</v>
      </c>
      <c r="G309" s="85">
        <v>1</v>
      </c>
      <c r="H309" s="85"/>
      <c r="I309" s="85"/>
      <c r="J309" s="86"/>
      <c r="L309" s="85"/>
      <c r="N309" s="85"/>
      <c r="P309" s="86"/>
      <c r="R309" s="85"/>
      <c r="Y309" s="85"/>
      <c r="Z309" s="85"/>
      <c r="AA309" s="85"/>
      <c r="AB309" s="85"/>
      <c r="AE309" s="85"/>
      <c r="AG309" s="85"/>
      <c r="AI309" s="85"/>
      <c r="AK309" s="86"/>
    </row>
    <row r="310" spans="1:37">
      <c r="A310" s="84" t="s">
        <v>2048</v>
      </c>
      <c r="D310" s="84" t="s">
        <v>1807</v>
      </c>
      <c r="F310" s="103"/>
      <c r="G310" s="103"/>
      <c r="H310" s="103"/>
      <c r="I310" s="103"/>
      <c r="R310" s="85"/>
      <c r="Z310" s="85"/>
      <c r="AA310" s="85"/>
      <c r="AB310" s="85"/>
      <c r="AE310" s="85"/>
      <c r="AG310" s="85"/>
      <c r="AI310" s="85"/>
      <c r="AK310" s="86"/>
    </row>
    <row r="311" spans="1:37">
      <c r="A311" s="84" t="s">
        <v>1685</v>
      </c>
      <c r="B311" t="s">
        <v>1083</v>
      </c>
      <c r="C311" s="98" t="s">
        <v>1696</v>
      </c>
      <c r="D311" s="84" t="s">
        <v>1806</v>
      </c>
      <c r="F311" s="85">
        <v>0.1</v>
      </c>
      <c r="G311" s="85">
        <v>0.9</v>
      </c>
      <c r="H311" s="85"/>
      <c r="I311" s="85"/>
      <c r="J311" s="86"/>
      <c r="L311" s="85"/>
      <c r="N311" s="85"/>
      <c r="P311" s="86"/>
      <c r="R311" s="85"/>
      <c r="Y311" s="85"/>
      <c r="Z311" s="85"/>
      <c r="AA311" s="85"/>
      <c r="AB311" s="85"/>
      <c r="AE311" s="85"/>
      <c r="AG311" s="85"/>
      <c r="AI311" s="85"/>
      <c r="AK311" s="86"/>
    </row>
    <row r="312" spans="1:37">
      <c r="A312" s="84" t="s">
        <v>2088</v>
      </c>
      <c r="D312" s="84" t="s">
        <v>1807</v>
      </c>
      <c r="F312" s="103"/>
      <c r="G312" s="103"/>
      <c r="H312" s="103"/>
      <c r="I312" s="103"/>
      <c r="R312" s="85"/>
      <c r="Z312" s="85"/>
      <c r="AA312" s="85"/>
      <c r="AB312" s="85"/>
      <c r="AE312" s="85"/>
      <c r="AG312" s="85"/>
      <c r="AI312" s="85"/>
      <c r="AK312" s="86"/>
    </row>
    <row r="313" spans="1:37">
      <c r="A313" s="84" t="s">
        <v>1711</v>
      </c>
      <c r="D313" s="84" t="s">
        <v>1806</v>
      </c>
      <c r="F313" s="103"/>
      <c r="G313" s="103"/>
      <c r="H313" s="103"/>
      <c r="I313" s="103"/>
      <c r="R313" s="85"/>
      <c r="Z313" s="85"/>
      <c r="AA313" s="85"/>
      <c r="AB313" s="85"/>
      <c r="AE313" s="85"/>
      <c r="AG313" s="85"/>
      <c r="AI313" s="85"/>
      <c r="AK313" s="86"/>
    </row>
    <row r="314" spans="1:37">
      <c r="A314" s="84" t="s">
        <v>1712</v>
      </c>
      <c r="D314" s="84" t="s">
        <v>1807</v>
      </c>
      <c r="F314" s="103"/>
      <c r="G314" s="103"/>
      <c r="H314" s="103"/>
      <c r="I314" s="103"/>
      <c r="R314" s="85"/>
      <c r="Z314" s="85"/>
      <c r="AA314" s="85"/>
      <c r="AB314" s="85"/>
      <c r="AE314" s="85"/>
      <c r="AG314" s="85"/>
      <c r="AI314" s="85"/>
      <c r="AK314" s="86"/>
    </row>
    <row r="315" spans="1:37">
      <c r="A315" s="84" t="s">
        <v>1758</v>
      </c>
      <c r="D315" s="84" t="s">
        <v>1806</v>
      </c>
      <c r="F315" s="103"/>
      <c r="G315" s="103"/>
      <c r="H315" s="103"/>
      <c r="I315" s="103"/>
      <c r="R315" s="85"/>
      <c r="Z315" s="85"/>
      <c r="AA315" s="85"/>
      <c r="AB315" s="85"/>
      <c r="AE315" s="85"/>
      <c r="AG315" s="85"/>
      <c r="AI315" s="85"/>
      <c r="AK315" s="86"/>
    </row>
    <row r="316" spans="1:37">
      <c r="A316" s="84" t="s">
        <v>1008</v>
      </c>
      <c r="B316" t="s">
        <v>1380</v>
      </c>
      <c r="C316" s="87" t="s">
        <v>1485</v>
      </c>
      <c r="D316" s="84" t="s">
        <v>1807</v>
      </c>
      <c r="F316" s="85" t="s">
        <v>1807</v>
      </c>
      <c r="G316" s="85">
        <v>0.7</v>
      </c>
      <c r="H316" s="85"/>
      <c r="I316" s="85"/>
      <c r="J316" s="86"/>
      <c r="K316" s="84" t="s">
        <v>1813</v>
      </c>
      <c r="L316" s="85">
        <v>0.7</v>
      </c>
      <c r="N316" s="85"/>
      <c r="P316" s="86"/>
      <c r="R316" s="85"/>
      <c r="Y316" s="85"/>
      <c r="Z316" s="85"/>
      <c r="AA316" s="85"/>
      <c r="AB316" s="85"/>
      <c r="AE316" s="85"/>
      <c r="AG316" s="85"/>
      <c r="AI316" s="85"/>
      <c r="AK316" s="86"/>
    </row>
    <row r="317" spans="1:37">
      <c r="A317" s="84" t="s">
        <v>985</v>
      </c>
      <c r="D317" s="84" t="s">
        <v>1806</v>
      </c>
      <c r="F317" s="103"/>
      <c r="G317" s="103"/>
      <c r="H317" s="103"/>
      <c r="I317" s="103"/>
      <c r="Z317" s="85"/>
      <c r="AA317" s="85"/>
      <c r="AB317" s="85"/>
      <c r="AE317" s="85"/>
      <c r="AG317" s="85"/>
      <c r="AI317" s="85"/>
      <c r="AK317" s="86"/>
    </row>
    <row r="318" spans="1:37">
      <c r="A318" s="84" t="s">
        <v>1052</v>
      </c>
      <c r="B318" t="s">
        <v>36</v>
      </c>
      <c r="C318" s="98" t="s">
        <v>1405</v>
      </c>
      <c r="D318" s="84" t="s">
        <v>1806</v>
      </c>
      <c r="F318" s="85"/>
      <c r="G318" s="85"/>
      <c r="H318" s="85"/>
      <c r="I318" s="85"/>
      <c r="J318" s="86"/>
      <c r="L318" s="85"/>
      <c r="N318" s="85"/>
      <c r="P318" s="86"/>
      <c r="R318" s="85"/>
      <c r="Y318" s="85"/>
      <c r="Z318" s="85"/>
      <c r="AA318" s="85"/>
      <c r="AB318" s="85"/>
      <c r="AE318" s="85"/>
      <c r="AG318" s="85"/>
      <c r="AI318" s="85"/>
      <c r="AK318" s="86"/>
    </row>
    <row r="319" spans="1:37">
      <c r="A319" s="84" t="s">
        <v>1262</v>
      </c>
      <c r="B319" t="s">
        <v>36</v>
      </c>
      <c r="C319" s="87" t="s">
        <v>1424</v>
      </c>
      <c r="D319" s="84" t="s">
        <v>1807</v>
      </c>
      <c r="F319" s="85" t="s">
        <v>1807</v>
      </c>
      <c r="G319" s="85">
        <v>0.6</v>
      </c>
      <c r="H319" s="85"/>
      <c r="I319" s="85"/>
      <c r="J319" s="86"/>
      <c r="L319" s="85"/>
      <c r="M319" t="s">
        <v>1836</v>
      </c>
      <c r="N319" s="85">
        <v>0.6</v>
      </c>
      <c r="P319" s="86"/>
      <c r="R319" s="85"/>
      <c r="Y319" s="85"/>
      <c r="Z319" s="85"/>
      <c r="AA319" s="85"/>
      <c r="AB319" s="85"/>
      <c r="AE319" s="85"/>
      <c r="AG319" s="85"/>
      <c r="AI319" s="85"/>
      <c r="AK319" s="86"/>
    </row>
    <row r="320" spans="1:37">
      <c r="A320" s="84" t="s">
        <v>1276</v>
      </c>
      <c r="B320" t="s">
        <v>772</v>
      </c>
      <c r="C320" s="93" t="s">
        <v>1109</v>
      </c>
      <c r="D320" s="84" t="s">
        <v>1806</v>
      </c>
      <c r="F320" s="85">
        <v>0.1</v>
      </c>
      <c r="G320" s="85">
        <v>1</v>
      </c>
      <c r="H320" s="85"/>
      <c r="I320" s="85"/>
      <c r="J320" s="86"/>
      <c r="L320" s="85"/>
      <c r="N320" s="85"/>
      <c r="P320" s="86"/>
      <c r="Q320" s="84">
        <v>0</v>
      </c>
      <c r="R320" s="85"/>
      <c r="Y320" s="85"/>
      <c r="Z320" s="85"/>
      <c r="AA320" s="85"/>
      <c r="AB320" s="85"/>
      <c r="AE320" s="85"/>
      <c r="AG320" s="85"/>
      <c r="AI320" s="85"/>
      <c r="AK320" s="86"/>
    </row>
    <row r="321" spans="1:37">
      <c r="A321" s="84" t="s">
        <v>1611</v>
      </c>
      <c r="D321" s="84" t="s">
        <v>1806</v>
      </c>
      <c r="F321" s="103"/>
      <c r="G321" s="103"/>
      <c r="H321" s="103"/>
      <c r="I321" s="103"/>
      <c r="Z321" s="85"/>
      <c r="AA321" s="85"/>
      <c r="AB321" s="85"/>
      <c r="AE321" s="85"/>
      <c r="AG321" s="85"/>
      <c r="AI321" s="85"/>
      <c r="AK321" s="86"/>
    </row>
    <row r="322" spans="1:37">
      <c r="A322" s="84" t="s">
        <v>1293</v>
      </c>
      <c r="B322" t="s">
        <v>1055</v>
      </c>
      <c r="C322" s="87" t="s">
        <v>1410</v>
      </c>
      <c r="D322" s="84" t="s">
        <v>1806</v>
      </c>
      <c r="F322" s="85">
        <v>0.3</v>
      </c>
      <c r="G322" s="85">
        <v>0.8</v>
      </c>
      <c r="H322" s="85"/>
      <c r="I322" s="85"/>
      <c r="J322" s="86"/>
      <c r="L322" s="85"/>
      <c r="N322" s="85"/>
      <c r="P322" s="86"/>
      <c r="R322" s="85"/>
      <c r="Y322" s="85"/>
      <c r="Z322" s="85"/>
      <c r="AA322" s="85"/>
      <c r="AB322" s="85"/>
      <c r="AE322" s="85"/>
      <c r="AG322" s="85"/>
      <c r="AI322" s="85"/>
      <c r="AK322" s="86"/>
    </row>
    <row r="323" spans="1:37">
      <c r="A323" s="84" t="s">
        <v>1767</v>
      </c>
      <c r="D323" s="84" t="s">
        <v>1806</v>
      </c>
      <c r="F323" s="103"/>
      <c r="G323" s="103"/>
      <c r="H323" s="103"/>
      <c r="I323" s="103"/>
      <c r="Z323" s="85"/>
      <c r="AA323" s="85"/>
      <c r="AB323" s="85"/>
      <c r="AE323" s="85"/>
      <c r="AG323" s="85"/>
      <c r="AI323" s="85"/>
      <c r="AK323" s="86"/>
    </row>
    <row r="324" spans="1:37">
      <c r="A324" s="84" t="s">
        <v>1623</v>
      </c>
      <c r="B324" t="s">
        <v>1232</v>
      </c>
      <c r="C324" s="93" t="s">
        <v>1109</v>
      </c>
      <c r="D324" s="84" t="s">
        <v>1806</v>
      </c>
      <c r="F324" s="85"/>
      <c r="G324" s="85"/>
      <c r="H324" s="85"/>
      <c r="I324" s="85"/>
      <c r="J324" s="86"/>
      <c r="L324" s="85"/>
      <c r="N324" s="85"/>
      <c r="P324" s="86"/>
      <c r="R324" s="85"/>
      <c r="Y324" s="85"/>
      <c r="Z324" s="85"/>
      <c r="AA324" s="85"/>
      <c r="AB324" s="85"/>
      <c r="AE324" s="85"/>
      <c r="AG324" s="85"/>
      <c r="AI324" s="85"/>
      <c r="AK324" s="86"/>
    </row>
    <row r="325" spans="1:37">
      <c r="A325" s="84" t="s">
        <v>1606</v>
      </c>
      <c r="B325" t="s">
        <v>36</v>
      </c>
      <c r="C325" s="98" t="s">
        <v>1703</v>
      </c>
      <c r="D325" s="84" t="s">
        <v>1807</v>
      </c>
      <c r="F325" s="85" t="s">
        <v>1807</v>
      </c>
      <c r="G325" s="85">
        <v>1</v>
      </c>
      <c r="H325" s="85"/>
      <c r="I325" s="85"/>
      <c r="J325" s="86"/>
      <c r="L325" s="85"/>
      <c r="N325" s="85"/>
      <c r="P325" s="86"/>
      <c r="R325" s="85"/>
      <c r="Y325" s="85"/>
      <c r="Z325" s="85"/>
      <c r="AA325" s="85"/>
      <c r="AB325" s="85"/>
      <c r="AE325" s="85"/>
      <c r="AG325" s="85"/>
      <c r="AI325" s="85"/>
      <c r="AK325" s="86"/>
    </row>
    <row r="326" spans="1:37">
      <c r="A326" s="84" t="s">
        <v>1574</v>
      </c>
      <c r="D326" s="84" t="s">
        <v>1806</v>
      </c>
      <c r="F326" s="103"/>
      <c r="G326" s="103"/>
      <c r="H326" s="103"/>
      <c r="I326" s="103"/>
      <c r="Z326" s="85"/>
      <c r="AA326" s="85"/>
      <c r="AB326" s="85"/>
      <c r="AE326" s="85"/>
      <c r="AG326" s="85"/>
      <c r="AI326" s="85"/>
      <c r="AK326" s="86"/>
    </row>
    <row r="327" spans="1:37">
      <c r="A327" s="84" t="s">
        <v>1235</v>
      </c>
      <c r="B327" t="s">
        <v>1232</v>
      </c>
      <c r="C327" s="93" t="s">
        <v>1109</v>
      </c>
      <c r="D327" s="84" t="s">
        <v>1806</v>
      </c>
      <c r="F327" s="85"/>
      <c r="G327" s="85"/>
      <c r="H327" s="85"/>
      <c r="I327" s="85"/>
      <c r="J327" s="86"/>
      <c r="L327" s="85"/>
      <c r="N327" s="85"/>
      <c r="P327" s="86"/>
      <c r="R327" s="85"/>
      <c r="Y327" s="85"/>
      <c r="Z327" s="85"/>
      <c r="AA327" s="85"/>
      <c r="AB327" s="85"/>
      <c r="AE327" s="85"/>
      <c r="AG327" s="85"/>
      <c r="AI327" s="85"/>
      <c r="AK327" s="86"/>
    </row>
    <row r="328" spans="1:37">
      <c r="A328" s="84" t="s">
        <v>2087</v>
      </c>
      <c r="D328" s="84" t="s">
        <v>1806</v>
      </c>
      <c r="F328" s="103"/>
      <c r="G328" s="103"/>
      <c r="H328" s="103"/>
      <c r="I328" s="103"/>
      <c r="Z328" s="85"/>
      <c r="AA328" s="85"/>
      <c r="AB328" s="85"/>
      <c r="AE328" s="85"/>
      <c r="AG328" s="85"/>
      <c r="AI328" s="85"/>
      <c r="AK328" s="86"/>
    </row>
    <row r="329" spans="1:37">
      <c r="A329" s="84" t="s">
        <v>1241</v>
      </c>
      <c r="B329" t="s">
        <v>1232</v>
      </c>
      <c r="C329" s="93" t="s">
        <v>1109</v>
      </c>
      <c r="D329" s="84" t="s">
        <v>1806</v>
      </c>
      <c r="F329" s="85"/>
      <c r="G329" s="85"/>
      <c r="H329" s="85"/>
      <c r="I329" s="85"/>
      <c r="J329" s="86"/>
      <c r="L329" s="85"/>
      <c r="N329" s="85"/>
      <c r="P329" s="86"/>
      <c r="R329" s="85"/>
      <c r="Y329" s="85"/>
      <c r="Z329" s="85"/>
      <c r="AA329" s="85"/>
      <c r="AB329" s="85"/>
      <c r="AE329" s="85"/>
      <c r="AG329" s="85"/>
      <c r="AI329" s="85"/>
      <c r="AK329" s="86"/>
    </row>
    <row r="330" spans="1:37">
      <c r="A330" s="84" t="s">
        <v>1332</v>
      </c>
      <c r="B330" t="s">
        <v>1385</v>
      </c>
      <c r="C330" s="87" t="s">
        <v>1410</v>
      </c>
      <c r="D330" s="84" t="s">
        <v>1806</v>
      </c>
      <c r="F330" s="103">
        <v>0.3</v>
      </c>
      <c r="G330" s="103">
        <v>0.9</v>
      </c>
      <c r="H330" s="103"/>
      <c r="I330" s="103"/>
      <c r="J330" s="86"/>
      <c r="L330" s="85"/>
      <c r="N330" s="85"/>
      <c r="P330" s="86"/>
      <c r="Q330" s="84">
        <v>0</v>
      </c>
      <c r="R330" s="85"/>
      <c r="Y330" s="85"/>
      <c r="Z330" s="85"/>
      <c r="AA330" s="85"/>
      <c r="AB330" s="85"/>
      <c r="AE330" s="85"/>
      <c r="AG330" s="85"/>
      <c r="AI330" s="85"/>
      <c r="AK330" s="86"/>
    </row>
    <row r="331" spans="1:37">
      <c r="A331" s="84" t="s">
        <v>2062</v>
      </c>
      <c r="D331" s="84" t="s">
        <v>1806</v>
      </c>
      <c r="F331" s="103"/>
      <c r="G331" s="103"/>
      <c r="H331" s="103"/>
      <c r="I331" s="103"/>
      <c r="Z331" s="85"/>
      <c r="AA331" s="85"/>
      <c r="AB331" s="85"/>
      <c r="AE331" s="85"/>
      <c r="AG331" s="85"/>
      <c r="AI331" s="85"/>
      <c r="AK331" s="86"/>
    </row>
    <row r="332" spans="1:37">
      <c r="A332" s="84" t="s">
        <v>2064</v>
      </c>
      <c r="D332" s="84" t="s">
        <v>1806</v>
      </c>
      <c r="F332" s="103"/>
      <c r="G332" s="103"/>
      <c r="H332" s="103"/>
      <c r="I332" s="103"/>
      <c r="Z332" s="85"/>
      <c r="AA332" s="85"/>
      <c r="AB332" s="85"/>
      <c r="AE332" s="85"/>
      <c r="AG332" s="85"/>
      <c r="AI332" s="85"/>
      <c r="AK332" s="86"/>
    </row>
    <row r="333" spans="1:37">
      <c r="A333" s="84" t="s">
        <v>2049</v>
      </c>
      <c r="D333" s="84" t="s">
        <v>1806</v>
      </c>
      <c r="F333" s="103"/>
      <c r="G333" s="103"/>
      <c r="H333" s="103"/>
      <c r="I333" s="103"/>
      <c r="Z333" s="85"/>
      <c r="AA333" s="85"/>
      <c r="AB333" s="85"/>
      <c r="AE333" s="85"/>
      <c r="AG333" s="85"/>
      <c r="AI333" s="85"/>
      <c r="AK333" s="86"/>
    </row>
    <row r="334" spans="1:37">
      <c r="A334" s="84" t="s">
        <v>1045</v>
      </c>
      <c r="B334" t="s">
        <v>1388</v>
      </c>
      <c r="C334" s="93" t="s">
        <v>1109</v>
      </c>
      <c r="D334" s="84" t="s">
        <v>1806</v>
      </c>
      <c r="F334" s="85"/>
      <c r="G334" s="85"/>
      <c r="H334" s="85"/>
      <c r="I334" s="85"/>
      <c r="J334" s="86"/>
      <c r="L334" s="85"/>
      <c r="N334" s="85"/>
      <c r="P334" s="86"/>
      <c r="R334" s="85"/>
      <c r="Y334" s="85"/>
      <c r="Z334" s="85"/>
      <c r="AA334" s="85"/>
      <c r="AB334" s="85"/>
      <c r="AE334" s="85"/>
      <c r="AG334" s="85"/>
      <c r="AI334" s="85"/>
      <c r="AK334" s="86"/>
    </row>
    <row r="335" spans="1:37">
      <c r="A335" s="84" t="s">
        <v>1575</v>
      </c>
      <c r="B335" t="s">
        <v>1379</v>
      </c>
      <c r="C335" s="87" t="s">
        <v>1576</v>
      </c>
      <c r="D335" s="84" t="s">
        <v>1807</v>
      </c>
      <c r="F335" s="85"/>
      <c r="G335" s="85"/>
      <c r="H335" s="85"/>
      <c r="I335" s="85"/>
      <c r="J335" s="86"/>
      <c r="L335" s="85"/>
      <c r="N335" s="85"/>
      <c r="P335" s="86"/>
      <c r="R335" s="85"/>
      <c r="Y335" s="85"/>
      <c r="Z335" s="85"/>
      <c r="AA335" s="85"/>
      <c r="AB335" s="85"/>
      <c r="AE335" s="85"/>
      <c r="AG335" s="85"/>
      <c r="AI335" s="85"/>
      <c r="AK335" s="86"/>
    </row>
    <row r="336" spans="1:37">
      <c r="A336" s="84" t="s">
        <v>1672</v>
      </c>
      <c r="B336" t="s">
        <v>1390</v>
      </c>
      <c r="C336" s="87" t="s">
        <v>1674</v>
      </c>
      <c r="D336" s="84" t="s">
        <v>1807</v>
      </c>
      <c r="F336" s="85"/>
      <c r="G336" s="85"/>
      <c r="H336" s="85"/>
      <c r="I336" s="85"/>
      <c r="J336" s="86"/>
      <c r="L336" s="85"/>
      <c r="N336" s="85"/>
      <c r="P336" s="86"/>
      <c r="R336" s="85"/>
      <c r="Y336" s="85"/>
      <c r="Z336" s="85"/>
      <c r="AA336" s="85"/>
      <c r="AB336" s="85"/>
      <c r="AE336" s="85"/>
      <c r="AG336" s="85"/>
      <c r="AI336" s="85"/>
      <c r="AK336" s="86"/>
    </row>
    <row r="337" spans="1:37">
      <c r="A337" s="84" t="s">
        <v>1320</v>
      </c>
      <c r="B337" t="s">
        <v>36</v>
      </c>
      <c r="C337" s="98" t="s">
        <v>1397</v>
      </c>
      <c r="D337" s="84" t="s">
        <v>1806</v>
      </c>
      <c r="F337" s="85">
        <v>0.1</v>
      </c>
      <c r="G337" s="85">
        <v>0.9</v>
      </c>
      <c r="H337" s="85"/>
      <c r="I337" s="85"/>
      <c r="J337" s="86"/>
      <c r="L337" s="85"/>
      <c r="N337" s="85"/>
      <c r="P337" s="86"/>
      <c r="R337" s="85"/>
      <c r="Y337" s="85"/>
      <c r="Z337" s="85"/>
      <c r="AA337" s="85"/>
      <c r="AB337" s="85"/>
      <c r="AE337" s="85"/>
      <c r="AG337" s="85"/>
      <c r="AI337" s="85"/>
      <c r="AK337" s="86"/>
    </row>
    <row r="338" spans="1:37">
      <c r="A338" s="84" t="s">
        <v>2068</v>
      </c>
      <c r="D338" s="84" t="s">
        <v>1806</v>
      </c>
      <c r="F338" s="103"/>
      <c r="G338" s="103"/>
      <c r="H338" s="103"/>
      <c r="I338" s="103"/>
      <c r="Z338" s="85"/>
      <c r="AA338" s="85"/>
      <c r="AB338" s="85"/>
      <c r="AE338" s="85"/>
      <c r="AG338" s="85"/>
      <c r="AI338" s="85"/>
      <c r="AK338" s="86"/>
    </row>
    <row r="339" spans="1:37">
      <c r="A339" s="84" t="s">
        <v>2066</v>
      </c>
      <c r="D339" s="84" t="s">
        <v>1806</v>
      </c>
      <c r="F339" s="103"/>
      <c r="G339" s="103"/>
      <c r="H339" s="103"/>
      <c r="I339" s="103"/>
      <c r="Z339" s="85"/>
      <c r="AA339" s="85"/>
      <c r="AB339" s="85"/>
      <c r="AE339" s="85"/>
      <c r="AG339" s="85"/>
      <c r="AI339" s="85"/>
      <c r="AK339" s="86"/>
    </row>
    <row r="340" spans="1:37">
      <c r="A340" s="84" t="s">
        <v>1330</v>
      </c>
      <c r="B340" t="s">
        <v>1383</v>
      </c>
      <c r="C340" s="93" t="s">
        <v>1432</v>
      </c>
      <c r="D340" s="84" t="s">
        <v>1806</v>
      </c>
      <c r="F340" s="85"/>
      <c r="G340" s="85"/>
      <c r="H340" s="85"/>
      <c r="I340" s="85"/>
      <c r="J340" s="86"/>
      <c r="L340" s="85"/>
      <c r="N340" s="85"/>
      <c r="P340" s="86"/>
      <c r="R340" s="85"/>
      <c r="Y340" s="85"/>
      <c r="Z340" s="85"/>
      <c r="AA340" s="85"/>
      <c r="AB340" s="85"/>
      <c r="AE340" s="85"/>
      <c r="AG340" s="85"/>
      <c r="AI340" s="85"/>
      <c r="AK340" s="86"/>
    </row>
    <row r="341" spans="1:37">
      <c r="A341" s="84" t="s">
        <v>1308</v>
      </c>
      <c r="B341" t="s">
        <v>1382</v>
      </c>
      <c r="C341" s="87" t="s">
        <v>1398</v>
      </c>
      <c r="D341" s="84" t="s">
        <v>1806</v>
      </c>
      <c r="F341" s="85">
        <v>0.1</v>
      </c>
      <c r="G341" s="85">
        <v>0.9</v>
      </c>
      <c r="H341" s="85"/>
      <c r="I341" s="85"/>
      <c r="J341" s="86"/>
      <c r="K341" s="84" t="s">
        <v>1811</v>
      </c>
      <c r="L341" s="85">
        <v>0.3</v>
      </c>
      <c r="N341" s="85"/>
      <c r="P341" s="86"/>
      <c r="Q341" s="84">
        <v>0</v>
      </c>
      <c r="R341" s="85"/>
      <c r="Y341" s="85"/>
      <c r="Z341" s="85"/>
      <c r="AA341" s="85"/>
      <c r="AB341" s="85"/>
      <c r="AE341" s="85"/>
      <c r="AG341" s="85"/>
      <c r="AI341" s="85"/>
      <c r="AK341" s="86"/>
    </row>
    <row r="342" spans="1:37">
      <c r="A342" s="84" t="s">
        <v>1245</v>
      </c>
      <c r="B342" t="s">
        <v>1390</v>
      </c>
      <c r="C342" s="93" t="s">
        <v>1406</v>
      </c>
      <c r="D342" s="84" t="s">
        <v>1806</v>
      </c>
      <c r="F342" s="85"/>
      <c r="G342" s="85"/>
      <c r="H342" s="85"/>
      <c r="I342" s="85"/>
      <c r="J342" s="86"/>
      <c r="L342" s="85"/>
      <c r="N342" s="85"/>
      <c r="P342" s="86"/>
      <c r="R342" s="85"/>
      <c r="Y342" s="85"/>
      <c r="Z342" s="85"/>
      <c r="AA342" s="85"/>
      <c r="AB342" s="85"/>
      <c r="AE342" s="85"/>
      <c r="AG342" s="85"/>
      <c r="AI342" s="85"/>
      <c r="AK342" s="86"/>
    </row>
    <row r="343" spans="1:37">
      <c r="A343" s="84" t="s">
        <v>2058</v>
      </c>
      <c r="D343" s="84" t="s">
        <v>1806</v>
      </c>
      <c r="F343" s="103"/>
      <c r="G343" s="103"/>
      <c r="H343" s="103"/>
      <c r="I343" s="103"/>
      <c r="Z343" s="85"/>
      <c r="AA343" s="85"/>
      <c r="AB343" s="85"/>
      <c r="AE343" s="85"/>
      <c r="AG343" s="85"/>
      <c r="AI343" s="85"/>
      <c r="AK343" s="86"/>
    </row>
    <row r="344" spans="1:37">
      <c r="A344" s="84" t="s">
        <v>1151</v>
      </c>
      <c r="B344" t="s">
        <v>36</v>
      </c>
      <c r="C344" s="87" t="s">
        <v>1428</v>
      </c>
      <c r="D344" s="84" t="s">
        <v>1806</v>
      </c>
      <c r="F344" s="85">
        <v>0.1</v>
      </c>
      <c r="G344" s="85">
        <v>1</v>
      </c>
      <c r="H344" s="85"/>
      <c r="I344" s="85"/>
      <c r="J344" s="86"/>
      <c r="L344" s="85"/>
      <c r="N344" s="85"/>
      <c r="P344" s="86"/>
      <c r="Q344" s="84">
        <v>3</v>
      </c>
      <c r="R344" s="85"/>
      <c r="Y344" s="85"/>
      <c r="Z344" s="85"/>
      <c r="AA344" s="85"/>
      <c r="AB344" s="85"/>
      <c r="AE344" s="85"/>
      <c r="AG344" s="85"/>
      <c r="AI344" s="85"/>
      <c r="AK344" s="86"/>
    </row>
    <row r="345" spans="1:37">
      <c r="A345" s="84" t="s">
        <v>1140</v>
      </c>
      <c r="D345" s="84" t="s">
        <v>1807</v>
      </c>
      <c r="F345" s="103"/>
      <c r="G345" s="103"/>
      <c r="H345" s="103"/>
      <c r="I345" s="103"/>
      <c r="Z345" s="85"/>
      <c r="AA345" s="85"/>
      <c r="AB345" s="85"/>
      <c r="AE345" s="85"/>
      <c r="AG345" s="85"/>
      <c r="AI345" s="85"/>
      <c r="AK345" s="86"/>
    </row>
    <row r="346" spans="1:37">
      <c r="A346" s="84" t="s">
        <v>1049</v>
      </c>
      <c r="B346" t="s">
        <v>1388</v>
      </c>
      <c r="C346" s="87" t="s">
        <v>1421</v>
      </c>
      <c r="D346" s="84" t="s">
        <v>1806</v>
      </c>
      <c r="F346" s="85"/>
      <c r="G346" s="85"/>
      <c r="H346" s="85"/>
      <c r="I346" s="85"/>
      <c r="J346" s="86"/>
      <c r="L346" s="85"/>
      <c r="N346" s="85"/>
      <c r="P346" s="86"/>
      <c r="R346" s="85"/>
      <c r="Y346" s="85"/>
      <c r="Z346" s="85"/>
      <c r="AA346" s="85"/>
      <c r="AB346" s="85"/>
      <c r="AE346" s="85"/>
      <c r="AG346" s="85"/>
      <c r="AI346" s="85"/>
      <c r="AK346" s="86"/>
    </row>
    <row r="347" spans="1:37">
      <c r="A347" s="84" t="s">
        <v>1664</v>
      </c>
      <c r="D347" s="84" t="s">
        <v>1806</v>
      </c>
      <c r="F347" s="103"/>
      <c r="G347" s="103"/>
      <c r="H347" s="103"/>
      <c r="I347" s="103"/>
      <c r="Z347" s="85"/>
      <c r="AA347" s="85"/>
      <c r="AB347" s="85"/>
      <c r="AE347" s="85"/>
      <c r="AG347" s="85"/>
      <c r="AI347" s="85"/>
      <c r="AK347" s="86"/>
    </row>
    <row r="348" spans="1:37">
      <c r="A348" s="84" t="s">
        <v>1657</v>
      </c>
      <c r="D348" s="84" t="s">
        <v>1806</v>
      </c>
      <c r="F348" s="103"/>
      <c r="G348" s="103"/>
      <c r="H348" s="103"/>
      <c r="I348" s="103"/>
      <c r="Z348" s="85"/>
      <c r="AA348" s="85"/>
      <c r="AB348" s="85"/>
      <c r="AE348" s="85"/>
      <c r="AG348" s="85"/>
      <c r="AI348" s="85"/>
      <c r="AK348" s="86"/>
    </row>
    <row r="349" spans="1:37">
      <c r="A349" s="84" t="s">
        <v>1020</v>
      </c>
      <c r="B349" t="s">
        <v>1384</v>
      </c>
      <c r="C349" s="87" t="s">
        <v>1945</v>
      </c>
      <c r="D349" s="84" t="s">
        <v>1806</v>
      </c>
      <c r="F349" s="85">
        <v>0.1</v>
      </c>
      <c r="G349" s="85">
        <v>0.9</v>
      </c>
      <c r="H349" s="85"/>
      <c r="I349" s="85"/>
      <c r="J349" s="86"/>
      <c r="K349" s="84" t="s">
        <v>1809</v>
      </c>
      <c r="L349" s="85">
        <v>0.3</v>
      </c>
      <c r="N349" s="85"/>
      <c r="P349" s="86"/>
      <c r="Q349" s="84">
        <v>0</v>
      </c>
      <c r="R349" s="85"/>
      <c r="Y349" s="85"/>
      <c r="Z349" s="85"/>
      <c r="AA349" s="85"/>
      <c r="AB349" s="85"/>
      <c r="AE349" s="85"/>
      <c r="AG349" s="85"/>
      <c r="AI349" s="85"/>
      <c r="AK349" s="86"/>
    </row>
    <row r="350" spans="1:37">
      <c r="A350" s="84" t="s">
        <v>1609</v>
      </c>
      <c r="D350" s="84" t="s">
        <v>1806</v>
      </c>
      <c r="F350" s="103"/>
      <c r="G350" s="103"/>
      <c r="H350" s="103"/>
      <c r="I350" s="103"/>
      <c r="Z350" s="85"/>
      <c r="AA350" s="85"/>
      <c r="AB350" s="85"/>
      <c r="AE350" s="85"/>
      <c r="AG350" s="85"/>
      <c r="AI350" s="85"/>
      <c r="AK350" s="86"/>
    </row>
    <row r="351" spans="1:37">
      <c r="A351" s="84" t="s">
        <v>2069</v>
      </c>
      <c r="D351" s="84" t="s">
        <v>1806</v>
      </c>
      <c r="F351" s="103"/>
      <c r="G351" s="103"/>
      <c r="H351" s="103"/>
      <c r="I351" s="103"/>
      <c r="Z351" s="85"/>
      <c r="AA351" s="85"/>
      <c r="AB351" s="85"/>
      <c r="AE351" s="85"/>
      <c r="AG351" s="85"/>
      <c r="AI351" s="85"/>
      <c r="AK351" s="86"/>
    </row>
    <row r="352" spans="1:37">
      <c r="A352" s="84" t="s">
        <v>1319</v>
      </c>
      <c r="B352" t="s">
        <v>1384</v>
      </c>
      <c r="C352" s="93" t="s">
        <v>1406</v>
      </c>
      <c r="D352" s="84" t="s">
        <v>1806</v>
      </c>
      <c r="F352" s="85">
        <v>0.1</v>
      </c>
      <c r="G352" s="85">
        <v>0.9</v>
      </c>
      <c r="H352" s="85"/>
      <c r="I352" s="85"/>
      <c r="J352" s="86"/>
      <c r="L352" s="85"/>
      <c r="N352" s="85"/>
      <c r="P352" s="86"/>
      <c r="Q352" s="84">
        <v>0</v>
      </c>
      <c r="R352" s="85"/>
      <c r="U352">
        <v>-1</v>
      </c>
      <c r="V352" s="85">
        <v>1</v>
      </c>
      <c r="Y352" s="85"/>
      <c r="Z352" s="85"/>
      <c r="AA352" s="85"/>
      <c r="AB352" s="85"/>
      <c r="AE352" s="85"/>
      <c r="AG352" s="85"/>
      <c r="AI352" s="85"/>
      <c r="AK352" s="86"/>
    </row>
    <row r="353" spans="1:37">
      <c r="A353" s="84" t="s">
        <v>2057</v>
      </c>
      <c r="D353" s="84" t="s">
        <v>1806</v>
      </c>
      <c r="F353" s="103"/>
      <c r="G353" s="103"/>
      <c r="H353" s="103"/>
      <c r="I353" s="103"/>
      <c r="Z353" s="85"/>
      <c r="AA353" s="85"/>
      <c r="AB353" s="85"/>
      <c r="AE353" s="85"/>
      <c r="AG353" s="85"/>
      <c r="AI353" s="85"/>
      <c r="AK353" s="86"/>
    </row>
    <row r="354" spans="1:37">
      <c r="A354" s="84" t="s">
        <v>1629</v>
      </c>
      <c r="D354" s="84" t="s">
        <v>1806</v>
      </c>
      <c r="F354" s="103"/>
      <c r="G354" s="103"/>
      <c r="H354" s="103"/>
      <c r="I354" s="103"/>
      <c r="Z354" s="85"/>
      <c r="AA354" s="85"/>
      <c r="AB354" s="85"/>
      <c r="AE354" s="85"/>
      <c r="AG354" s="85"/>
      <c r="AI354" s="85"/>
      <c r="AK354" s="86"/>
    </row>
    <row r="355" spans="1:37">
      <c r="A355" s="84" t="s">
        <v>1641</v>
      </c>
      <c r="D355" s="84" t="s">
        <v>1806</v>
      </c>
      <c r="F355" s="103"/>
      <c r="G355" s="103"/>
      <c r="H355" s="103"/>
      <c r="I355" s="103"/>
      <c r="Z355" s="85"/>
      <c r="AA355" s="85"/>
      <c r="AB355" s="85"/>
      <c r="AE355" s="85"/>
      <c r="AG355" s="85"/>
      <c r="AI355" s="85"/>
      <c r="AK355" s="86"/>
    </row>
    <row r="356" spans="1:37">
      <c r="A356" s="84" t="s">
        <v>1648</v>
      </c>
      <c r="B356" t="s">
        <v>36</v>
      </c>
      <c r="C356" s="87" t="s">
        <v>1953</v>
      </c>
      <c r="D356" s="84" t="s">
        <v>1806</v>
      </c>
      <c r="F356" s="85">
        <v>0.1</v>
      </c>
      <c r="G356" s="85">
        <v>0.8</v>
      </c>
      <c r="H356" s="85"/>
      <c r="I356" s="85"/>
      <c r="J356" s="86"/>
      <c r="K356" s="84" t="s">
        <v>1813</v>
      </c>
      <c r="L356" s="85">
        <v>0.3</v>
      </c>
      <c r="N356" s="85"/>
      <c r="P356" s="86"/>
      <c r="R356" s="85"/>
      <c r="Y356" s="85"/>
      <c r="Z356" s="85"/>
      <c r="AA356" s="85"/>
      <c r="AB356" s="85"/>
      <c r="AE356" s="85"/>
      <c r="AG356" s="85"/>
      <c r="AI356" s="85"/>
      <c r="AK356" s="86"/>
    </row>
    <row r="357" spans="1:37">
      <c r="A357" s="84" t="s">
        <v>1579</v>
      </c>
      <c r="D357" s="84" t="s">
        <v>1806</v>
      </c>
      <c r="F357" s="103"/>
      <c r="G357" s="103"/>
      <c r="H357" s="103"/>
      <c r="I357" s="103"/>
      <c r="Z357" s="85"/>
      <c r="AA357" s="85"/>
      <c r="AB357" s="85"/>
      <c r="AE357" s="85"/>
      <c r="AG357" s="85"/>
      <c r="AI357" s="85"/>
      <c r="AK357" s="86"/>
    </row>
    <row r="358" spans="1:37">
      <c r="A358" s="84" t="s">
        <v>1269</v>
      </c>
      <c r="B358" t="s">
        <v>1385</v>
      </c>
      <c r="C358" s="93" t="s">
        <v>1936</v>
      </c>
      <c r="D358" s="84" t="s">
        <v>1806</v>
      </c>
      <c r="F358" s="103">
        <v>0.1</v>
      </c>
      <c r="G358" s="103">
        <v>1</v>
      </c>
      <c r="H358" s="103"/>
      <c r="I358" s="103"/>
      <c r="J358" s="86"/>
      <c r="L358" s="85"/>
      <c r="N358" s="85"/>
      <c r="P358" s="86"/>
      <c r="Q358" s="84">
        <v>0</v>
      </c>
      <c r="R358" s="85"/>
      <c r="Y358" s="85"/>
      <c r="Z358" s="85"/>
      <c r="AA358" s="85"/>
      <c r="AB358" s="85"/>
      <c r="AE358" s="85"/>
      <c r="AG358" s="85"/>
      <c r="AI358" s="85"/>
      <c r="AK358" s="86"/>
    </row>
    <row r="359" spans="1:37">
      <c r="F359" s="103"/>
      <c r="G359" s="103"/>
      <c r="H359" s="103"/>
      <c r="I359" s="103"/>
      <c r="Z359" s="85"/>
      <c r="AA359" s="85"/>
      <c r="AB359" s="85"/>
      <c r="AE359" s="85"/>
      <c r="AG359" s="85"/>
      <c r="AI359" s="85"/>
      <c r="AK359" s="86"/>
    </row>
    <row r="360" spans="1:37">
      <c r="F360" s="103"/>
      <c r="G360" s="103"/>
      <c r="H360" s="103"/>
      <c r="I360" s="103"/>
      <c r="Z360" s="85"/>
      <c r="AA360" s="85"/>
      <c r="AB360" s="85"/>
      <c r="AE360" s="85"/>
      <c r="AG360" s="85"/>
      <c r="AI360" s="85"/>
      <c r="AK360" s="86"/>
    </row>
    <row r="361" spans="1:37">
      <c r="F361" s="103"/>
      <c r="G361" s="103"/>
      <c r="H361" s="103"/>
      <c r="I361" s="103"/>
      <c r="Z361" s="85"/>
      <c r="AA361" s="85"/>
      <c r="AB361" s="85"/>
      <c r="AE361" s="85"/>
      <c r="AG361" s="85"/>
      <c r="AI361" s="85"/>
      <c r="AK361" s="86"/>
    </row>
    <row r="362" spans="1:37">
      <c r="F362" s="103"/>
      <c r="G362" s="103"/>
      <c r="H362" s="103"/>
      <c r="I362" s="103"/>
      <c r="Z362" s="85"/>
      <c r="AA362" s="85"/>
      <c r="AB362" s="85"/>
      <c r="AE362" s="85"/>
      <c r="AG362" s="85"/>
      <c r="AI362" s="85"/>
      <c r="AK362" s="86"/>
    </row>
    <row r="363" spans="1:37">
      <c r="F363" s="103"/>
      <c r="G363" s="103"/>
      <c r="H363" s="103"/>
      <c r="I363" s="103"/>
      <c r="Z363" s="85"/>
      <c r="AA363" s="85"/>
      <c r="AB363" s="85"/>
      <c r="AE363" s="85"/>
      <c r="AG363" s="85"/>
      <c r="AI363" s="85"/>
      <c r="AK363" s="86"/>
    </row>
    <row r="364" spans="1:37">
      <c r="F364" s="103"/>
      <c r="G364" s="103"/>
      <c r="H364" s="103"/>
      <c r="I364" s="103"/>
      <c r="Z364" s="85"/>
      <c r="AA364" s="85"/>
      <c r="AB364" s="85"/>
      <c r="AE364" s="85"/>
      <c r="AG364" s="85"/>
      <c r="AI364" s="85"/>
      <c r="AK364" s="86"/>
    </row>
    <row r="365" spans="1:37">
      <c r="F365" s="103"/>
      <c r="G365" s="103"/>
      <c r="H365" s="103"/>
      <c r="I365" s="103"/>
      <c r="Z365" s="85"/>
      <c r="AA365" s="85"/>
      <c r="AB365" s="85"/>
      <c r="AE365" s="85"/>
      <c r="AG365" s="85"/>
      <c r="AI365" s="85"/>
      <c r="AK365" s="86"/>
    </row>
    <row r="366" spans="1:37">
      <c r="F366" s="103"/>
      <c r="G366" s="103"/>
      <c r="H366" s="103"/>
      <c r="I366" s="103"/>
      <c r="Z366" s="85"/>
      <c r="AA366" s="85"/>
      <c r="AB366" s="85"/>
      <c r="AE366" s="85"/>
      <c r="AG366" s="85"/>
      <c r="AI366" s="85"/>
      <c r="AK366" s="86"/>
    </row>
    <row r="367" spans="1:37">
      <c r="F367" s="103"/>
      <c r="G367" s="103"/>
      <c r="H367" s="103"/>
      <c r="I367" s="103"/>
      <c r="Z367" s="85"/>
      <c r="AA367" s="85"/>
      <c r="AB367" s="85"/>
      <c r="AE367" s="85"/>
      <c r="AG367" s="85"/>
      <c r="AI367" s="85"/>
      <c r="AK367" s="86"/>
    </row>
    <row r="368" spans="1:37">
      <c r="F368" s="103"/>
      <c r="G368" s="103"/>
      <c r="H368" s="103"/>
      <c r="I368" s="103"/>
      <c r="Z368" s="85"/>
      <c r="AA368" s="85"/>
      <c r="AB368" s="85"/>
      <c r="AE368" s="85"/>
      <c r="AG368" s="85"/>
      <c r="AI368" s="85"/>
      <c r="AK368" s="86"/>
    </row>
    <row r="369" spans="6:37">
      <c r="F369" s="103"/>
      <c r="G369" s="103"/>
      <c r="H369" s="103"/>
      <c r="I369" s="103"/>
      <c r="Z369" s="85"/>
      <c r="AA369" s="85"/>
      <c r="AB369" s="85"/>
      <c r="AE369" s="85"/>
      <c r="AG369" s="85"/>
      <c r="AI369" s="85"/>
      <c r="AK369" s="86"/>
    </row>
    <row r="370" spans="6:37">
      <c r="F370" s="103"/>
      <c r="G370" s="103"/>
      <c r="H370" s="103"/>
      <c r="I370" s="103"/>
      <c r="Z370" s="85"/>
      <c r="AA370" s="85"/>
      <c r="AB370" s="85"/>
      <c r="AE370" s="85"/>
      <c r="AG370" s="85"/>
      <c r="AI370" s="85"/>
      <c r="AK370" s="86"/>
    </row>
    <row r="371" spans="6:37">
      <c r="F371" s="103"/>
      <c r="G371" s="103"/>
      <c r="H371" s="103"/>
      <c r="I371" s="103"/>
      <c r="Z371" s="85"/>
      <c r="AA371" s="85"/>
      <c r="AB371" s="85"/>
      <c r="AE371" s="85"/>
      <c r="AG371" s="85"/>
      <c r="AI371" s="85"/>
      <c r="AK371" s="86"/>
    </row>
    <row r="372" spans="6:37">
      <c r="F372" s="103"/>
      <c r="G372" s="103"/>
      <c r="H372" s="103"/>
      <c r="I372" s="103"/>
      <c r="Z372" s="85"/>
      <c r="AA372" s="85"/>
      <c r="AB372" s="85"/>
      <c r="AE372" s="85"/>
      <c r="AG372" s="85"/>
      <c r="AI372" s="85"/>
      <c r="AK372" s="86"/>
    </row>
    <row r="373" spans="6:37">
      <c r="F373" s="103"/>
      <c r="G373" s="103"/>
      <c r="H373" s="103"/>
      <c r="I373" s="103"/>
      <c r="Z373" s="85"/>
      <c r="AA373" s="85"/>
      <c r="AB373" s="85"/>
      <c r="AE373" s="85"/>
      <c r="AG373" s="85"/>
      <c r="AI373" s="85"/>
      <c r="AK373" s="86"/>
    </row>
    <row r="374" spans="6:37">
      <c r="F374" s="103"/>
      <c r="G374" s="103"/>
      <c r="H374" s="103"/>
      <c r="I374" s="103"/>
      <c r="Z374" s="85"/>
      <c r="AA374" s="85"/>
      <c r="AB374" s="85"/>
      <c r="AE374" s="85"/>
      <c r="AG374" s="85"/>
      <c r="AI374" s="85"/>
      <c r="AK374" s="86"/>
    </row>
    <row r="375" spans="6:37">
      <c r="F375" s="103"/>
      <c r="G375" s="103"/>
      <c r="H375" s="103"/>
      <c r="I375" s="103"/>
      <c r="Z375" s="85"/>
      <c r="AA375" s="85"/>
      <c r="AB375" s="85"/>
      <c r="AE375" s="85"/>
      <c r="AG375" s="85"/>
      <c r="AI375" s="85"/>
      <c r="AK375" s="86"/>
    </row>
    <row r="376" spans="6:37">
      <c r="F376" s="103"/>
      <c r="G376" s="103"/>
      <c r="H376" s="103"/>
      <c r="I376" s="103"/>
      <c r="Z376" s="85"/>
      <c r="AA376" s="85"/>
      <c r="AB376" s="85"/>
      <c r="AE376" s="85"/>
      <c r="AG376" s="85"/>
      <c r="AI376" s="85"/>
      <c r="AK376" s="86"/>
    </row>
    <row r="377" spans="6:37">
      <c r="F377" s="103"/>
      <c r="G377" s="103"/>
      <c r="H377" s="103"/>
      <c r="I377" s="103"/>
      <c r="Z377" s="85"/>
      <c r="AA377" s="85"/>
      <c r="AB377" s="85"/>
      <c r="AE377" s="85"/>
      <c r="AG377" s="85"/>
      <c r="AI377" s="85"/>
      <c r="AK377" s="86"/>
    </row>
    <row r="378" spans="6:37">
      <c r="F378" s="103"/>
      <c r="G378" s="103"/>
      <c r="H378" s="103"/>
      <c r="I378" s="103"/>
      <c r="Z378" s="85"/>
      <c r="AA378" s="85"/>
      <c r="AB378" s="85"/>
      <c r="AE378" s="85"/>
      <c r="AG378" s="85"/>
      <c r="AI378" s="85"/>
      <c r="AK378" s="86"/>
    </row>
    <row r="379" spans="6:37">
      <c r="F379" s="103"/>
      <c r="G379" s="103"/>
      <c r="H379" s="103"/>
      <c r="I379" s="103"/>
      <c r="Z379" s="85"/>
      <c r="AA379" s="85"/>
      <c r="AB379" s="85"/>
      <c r="AE379" s="85"/>
      <c r="AG379" s="85"/>
      <c r="AI379" s="85"/>
      <c r="AK379" s="86"/>
    </row>
    <row r="380" spans="6:37">
      <c r="F380" s="103"/>
      <c r="G380" s="103"/>
      <c r="H380" s="103"/>
      <c r="I380" s="103"/>
      <c r="Z380" s="85"/>
      <c r="AA380" s="85"/>
      <c r="AB380" s="85"/>
      <c r="AE380" s="85"/>
      <c r="AG380" s="85"/>
      <c r="AI380" s="85"/>
      <c r="AK380" s="86"/>
    </row>
    <row r="381" spans="6:37">
      <c r="F381" s="103"/>
      <c r="G381" s="103"/>
      <c r="H381" s="103"/>
      <c r="I381" s="103"/>
      <c r="Z381" s="85"/>
      <c r="AA381" s="85"/>
      <c r="AB381" s="85"/>
      <c r="AE381" s="85"/>
      <c r="AG381" s="85"/>
      <c r="AI381" s="85"/>
      <c r="AK381" s="86"/>
    </row>
    <row r="382" spans="6:37">
      <c r="F382" s="103"/>
      <c r="G382" s="103"/>
      <c r="H382" s="103"/>
      <c r="I382" s="103"/>
      <c r="Z382" s="85"/>
      <c r="AA382" s="85"/>
      <c r="AB382" s="85"/>
      <c r="AE382" s="85"/>
      <c r="AG382" s="85"/>
      <c r="AI382" s="85"/>
      <c r="AK382" s="86"/>
    </row>
    <row r="383" spans="6:37">
      <c r="F383" s="103"/>
      <c r="G383" s="103"/>
      <c r="H383" s="103"/>
      <c r="I383" s="103"/>
      <c r="Z383" s="85"/>
      <c r="AA383" s="85"/>
      <c r="AB383" s="85"/>
      <c r="AE383" s="85"/>
      <c r="AG383" s="85"/>
      <c r="AI383" s="85"/>
      <c r="AK383" s="86"/>
    </row>
    <row r="384" spans="6:37">
      <c r="F384" s="103"/>
      <c r="G384" s="103"/>
      <c r="H384" s="103"/>
      <c r="I384" s="103"/>
      <c r="Z384" s="85"/>
      <c r="AA384" s="85"/>
      <c r="AB384" s="85"/>
      <c r="AE384" s="85"/>
      <c r="AG384" s="85"/>
      <c r="AI384" s="85"/>
      <c r="AK384" s="86"/>
    </row>
    <row r="385" spans="6:37">
      <c r="F385" s="103"/>
      <c r="G385" s="103"/>
      <c r="H385" s="103"/>
      <c r="I385" s="103"/>
      <c r="Z385" s="85"/>
      <c r="AA385" s="85"/>
      <c r="AB385" s="85"/>
      <c r="AE385" s="85"/>
      <c r="AG385" s="85"/>
      <c r="AI385" s="85"/>
      <c r="AK385" s="86"/>
    </row>
    <row r="386" spans="6:37">
      <c r="F386" s="103"/>
      <c r="G386" s="103"/>
      <c r="H386" s="103"/>
      <c r="I386" s="103"/>
      <c r="Z386" s="85"/>
      <c r="AA386" s="85"/>
      <c r="AB386" s="85"/>
      <c r="AE386" s="85"/>
      <c r="AG386" s="85"/>
      <c r="AI386" s="85"/>
      <c r="AK386" s="86"/>
    </row>
    <row r="387" spans="6:37">
      <c r="F387" s="103"/>
      <c r="G387" s="103"/>
      <c r="H387" s="103"/>
      <c r="I387" s="103"/>
      <c r="Z387" s="85"/>
      <c r="AA387" s="85"/>
      <c r="AB387" s="85"/>
      <c r="AE387" s="85"/>
      <c r="AG387" s="85"/>
      <c r="AI387" s="85"/>
      <c r="AK387" s="86"/>
    </row>
    <row r="388" spans="6:37">
      <c r="F388" s="103"/>
      <c r="G388" s="103"/>
      <c r="H388" s="103"/>
      <c r="I388" s="103"/>
      <c r="Z388" s="85"/>
      <c r="AA388" s="85"/>
      <c r="AB388" s="85"/>
      <c r="AE388" s="85"/>
      <c r="AG388" s="85"/>
      <c r="AI388" s="85"/>
      <c r="AK388" s="86"/>
    </row>
    <row r="389" spans="6:37">
      <c r="F389" s="103"/>
      <c r="G389" s="103"/>
      <c r="H389" s="103"/>
      <c r="I389" s="103"/>
      <c r="Z389" s="85"/>
      <c r="AA389" s="85"/>
      <c r="AB389" s="85"/>
      <c r="AE389" s="85"/>
      <c r="AG389" s="85"/>
      <c r="AI389" s="85"/>
      <c r="AK389" s="86"/>
    </row>
    <row r="390" spans="6:37">
      <c r="F390" s="103"/>
      <c r="G390" s="103"/>
      <c r="H390" s="103"/>
      <c r="I390" s="103"/>
      <c r="Z390" s="85"/>
      <c r="AA390" s="85"/>
      <c r="AB390" s="85"/>
      <c r="AE390" s="85"/>
      <c r="AG390" s="85"/>
      <c r="AI390" s="85"/>
      <c r="AK390" s="86"/>
    </row>
    <row r="391" spans="6:37">
      <c r="F391" s="103"/>
      <c r="G391" s="103"/>
      <c r="H391" s="103"/>
      <c r="I391" s="103"/>
      <c r="Z391" s="85"/>
      <c r="AA391" s="85"/>
      <c r="AB391" s="85"/>
      <c r="AE391" s="85"/>
      <c r="AG391" s="85"/>
      <c r="AI391" s="85"/>
      <c r="AK391" s="86"/>
    </row>
    <row r="392" spans="6:37">
      <c r="F392" s="103"/>
      <c r="G392" s="103"/>
      <c r="H392" s="103"/>
      <c r="I392" s="103"/>
      <c r="Z392" s="85"/>
      <c r="AA392" s="85"/>
      <c r="AB392" s="85"/>
      <c r="AE392" s="85"/>
      <c r="AG392" s="85"/>
      <c r="AI392" s="85"/>
      <c r="AK392" s="86"/>
    </row>
    <row r="393" spans="6:37">
      <c r="F393" s="103"/>
      <c r="G393" s="103"/>
      <c r="H393" s="103"/>
      <c r="I393" s="103"/>
      <c r="Z393" s="85"/>
      <c r="AA393" s="85"/>
      <c r="AB393" s="85"/>
      <c r="AE393" s="85"/>
      <c r="AG393" s="85"/>
      <c r="AI393" s="85"/>
      <c r="AK393" s="86"/>
    </row>
    <row r="394" spans="6:37">
      <c r="F394" s="103"/>
      <c r="G394" s="103"/>
      <c r="H394" s="103"/>
      <c r="I394" s="103"/>
      <c r="Z394" s="85"/>
      <c r="AA394" s="85"/>
      <c r="AB394" s="85"/>
      <c r="AE394" s="85"/>
      <c r="AG394" s="85"/>
      <c r="AI394" s="85"/>
      <c r="AK394" s="86"/>
    </row>
    <row r="395" spans="6:37">
      <c r="F395" s="103"/>
      <c r="G395" s="103"/>
      <c r="H395" s="103"/>
      <c r="I395" s="103"/>
      <c r="Z395" s="85"/>
      <c r="AA395" s="85"/>
      <c r="AB395" s="85"/>
      <c r="AE395" s="85"/>
      <c r="AG395" s="85"/>
      <c r="AI395" s="85"/>
      <c r="AK395" s="86"/>
    </row>
    <row r="396" spans="6:37">
      <c r="F396" s="103"/>
      <c r="G396" s="103"/>
      <c r="H396" s="103"/>
      <c r="I396" s="103"/>
      <c r="Z396" s="85"/>
      <c r="AA396" s="85"/>
      <c r="AB396" s="85"/>
      <c r="AE396" s="85"/>
      <c r="AG396" s="85"/>
      <c r="AI396" s="85"/>
      <c r="AK396" s="86"/>
    </row>
    <row r="397" spans="6:37">
      <c r="F397" s="103"/>
      <c r="G397" s="103"/>
      <c r="H397" s="103"/>
      <c r="I397" s="103"/>
      <c r="Z397" s="85"/>
      <c r="AA397" s="85"/>
      <c r="AB397" s="85"/>
      <c r="AE397" s="85"/>
      <c r="AG397" s="85"/>
      <c r="AI397" s="85"/>
      <c r="AK397" s="86"/>
    </row>
    <row r="398" spans="6:37">
      <c r="F398" s="103"/>
      <c r="G398" s="103"/>
      <c r="H398" s="103"/>
      <c r="I398" s="103"/>
      <c r="Z398" s="85"/>
      <c r="AA398" s="85"/>
      <c r="AB398" s="85"/>
      <c r="AE398" s="85"/>
      <c r="AG398" s="85"/>
      <c r="AI398" s="85"/>
      <c r="AK398" s="86"/>
    </row>
    <row r="399" spans="6:37">
      <c r="F399" s="103"/>
      <c r="G399" s="103"/>
      <c r="H399" s="103"/>
      <c r="I399" s="103"/>
      <c r="Z399" s="85"/>
      <c r="AA399" s="85"/>
      <c r="AB399" s="85"/>
      <c r="AE399" s="85"/>
      <c r="AG399" s="85"/>
      <c r="AI399" s="85"/>
      <c r="AK399" s="86"/>
    </row>
    <row r="400" spans="6:37">
      <c r="F400" s="103"/>
      <c r="G400" s="103"/>
      <c r="H400" s="103"/>
      <c r="I400" s="103"/>
      <c r="Z400" s="85"/>
      <c r="AA400" s="85"/>
      <c r="AB400" s="85"/>
      <c r="AE400" s="85"/>
      <c r="AG400" s="85"/>
      <c r="AI400" s="85"/>
      <c r="AK400" s="86"/>
    </row>
    <row r="401" spans="6:37">
      <c r="F401" s="103"/>
      <c r="G401" s="103"/>
      <c r="H401" s="103"/>
      <c r="I401" s="103"/>
      <c r="Z401" s="85"/>
      <c r="AA401" s="85"/>
      <c r="AB401" s="85"/>
      <c r="AE401" s="85"/>
      <c r="AG401" s="85"/>
      <c r="AI401" s="85"/>
      <c r="AK401" s="86"/>
    </row>
    <row r="402" spans="6:37">
      <c r="F402" s="103"/>
      <c r="G402" s="103"/>
      <c r="H402" s="103"/>
      <c r="I402" s="103"/>
      <c r="Z402" s="85"/>
      <c r="AA402" s="85"/>
      <c r="AB402" s="85"/>
      <c r="AE402" s="85"/>
      <c r="AG402" s="85"/>
      <c r="AI402" s="85"/>
      <c r="AK402" s="86"/>
    </row>
    <row r="403" spans="6:37">
      <c r="F403" s="103"/>
      <c r="G403" s="103"/>
      <c r="H403" s="103"/>
      <c r="I403" s="103"/>
      <c r="Z403" s="85"/>
      <c r="AA403" s="85"/>
      <c r="AB403" s="85"/>
      <c r="AE403" s="85"/>
      <c r="AG403" s="85"/>
      <c r="AI403" s="85"/>
      <c r="AK403" s="86"/>
    </row>
    <row r="404" spans="6:37">
      <c r="F404" s="103"/>
      <c r="G404" s="103"/>
      <c r="H404" s="103"/>
      <c r="I404" s="103"/>
      <c r="Z404" s="85"/>
      <c r="AA404" s="85"/>
      <c r="AB404" s="85"/>
      <c r="AE404" s="85"/>
      <c r="AG404" s="85"/>
      <c r="AI404" s="85"/>
      <c r="AK404" s="86"/>
    </row>
    <row r="405" spans="6:37">
      <c r="F405" s="103"/>
      <c r="G405" s="103"/>
      <c r="H405" s="103"/>
      <c r="I405" s="103"/>
      <c r="Z405" s="85"/>
      <c r="AA405" s="85"/>
      <c r="AB405" s="85"/>
      <c r="AE405" s="85"/>
      <c r="AG405" s="85"/>
      <c r="AI405" s="85"/>
      <c r="AK405" s="86"/>
    </row>
    <row r="406" spans="6:37">
      <c r="F406" s="103"/>
      <c r="G406" s="103"/>
      <c r="H406" s="103"/>
      <c r="I406" s="103"/>
      <c r="Z406" s="85"/>
      <c r="AA406" s="85"/>
      <c r="AB406" s="85"/>
      <c r="AE406" s="85"/>
      <c r="AG406" s="85"/>
      <c r="AI406" s="85"/>
      <c r="AK406" s="86"/>
    </row>
    <row r="407" spans="6:37">
      <c r="F407" s="103"/>
      <c r="G407" s="103"/>
      <c r="H407" s="103"/>
      <c r="I407" s="103"/>
      <c r="Z407" s="85"/>
      <c r="AA407" s="85"/>
      <c r="AB407" s="85"/>
      <c r="AE407" s="85"/>
      <c r="AG407" s="85"/>
      <c r="AI407" s="85"/>
      <c r="AK407" s="86"/>
    </row>
    <row r="408" spans="6:37">
      <c r="F408" s="103"/>
      <c r="G408" s="103"/>
      <c r="H408" s="103"/>
      <c r="I408" s="103"/>
      <c r="Z408" s="85"/>
      <c r="AA408" s="85"/>
      <c r="AB408" s="85"/>
      <c r="AE408" s="85"/>
      <c r="AG408" s="85"/>
      <c r="AI408" s="85"/>
      <c r="AK408" s="86"/>
    </row>
    <row r="409" spans="6:37">
      <c r="F409" s="103"/>
      <c r="G409" s="103"/>
      <c r="H409" s="103"/>
      <c r="I409" s="103"/>
      <c r="Z409" s="85"/>
      <c r="AA409" s="85"/>
      <c r="AB409" s="85"/>
      <c r="AE409" s="85"/>
      <c r="AG409" s="85"/>
      <c r="AI409" s="85"/>
      <c r="AK409" s="86"/>
    </row>
    <row r="410" spans="6:37">
      <c r="F410" s="103"/>
      <c r="G410" s="103"/>
      <c r="H410" s="103"/>
      <c r="I410" s="103"/>
      <c r="Z410" s="85"/>
      <c r="AA410" s="85"/>
      <c r="AB410" s="85"/>
      <c r="AE410" s="85"/>
      <c r="AG410" s="85"/>
      <c r="AI410" s="85"/>
      <c r="AK410" s="86"/>
    </row>
    <row r="411" spans="6:37">
      <c r="F411" s="103"/>
      <c r="G411" s="103"/>
      <c r="H411" s="103"/>
      <c r="I411" s="103"/>
      <c r="Z411" s="85"/>
      <c r="AA411" s="85"/>
      <c r="AB411" s="85"/>
      <c r="AE411" s="85"/>
      <c r="AG411" s="85"/>
      <c r="AI411" s="85"/>
      <c r="AK411" s="86"/>
    </row>
    <row r="412" spans="6:37">
      <c r="F412" s="103"/>
      <c r="G412" s="103"/>
      <c r="H412" s="103"/>
      <c r="I412" s="103"/>
      <c r="Z412" s="85"/>
      <c r="AA412" s="85"/>
      <c r="AB412" s="85"/>
      <c r="AE412" s="85"/>
      <c r="AG412" s="85"/>
      <c r="AI412" s="85"/>
      <c r="AK412" s="86"/>
    </row>
    <row r="413" spans="6:37">
      <c r="F413" s="103"/>
      <c r="G413" s="103"/>
      <c r="H413" s="103"/>
      <c r="I413" s="103"/>
      <c r="Z413" s="85"/>
      <c r="AA413" s="85"/>
      <c r="AB413" s="85"/>
      <c r="AE413" s="85"/>
      <c r="AG413" s="85"/>
      <c r="AI413" s="85"/>
      <c r="AK413" s="86"/>
    </row>
    <row r="414" spans="6:37">
      <c r="F414" s="103"/>
      <c r="G414" s="103"/>
      <c r="H414" s="103"/>
      <c r="I414" s="103"/>
      <c r="Z414" s="85"/>
      <c r="AA414" s="85"/>
      <c r="AB414" s="85"/>
      <c r="AE414" s="85"/>
      <c r="AG414" s="85"/>
      <c r="AI414" s="85"/>
      <c r="AK414" s="86"/>
    </row>
    <row r="415" spans="6:37">
      <c r="F415" s="103"/>
      <c r="G415" s="103"/>
      <c r="H415" s="103"/>
      <c r="I415" s="103"/>
      <c r="Z415" s="85"/>
      <c r="AA415" s="85"/>
      <c r="AB415" s="85"/>
      <c r="AE415" s="85"/>
      <c r="AG415" s="85"/>
      <c r="AI415" s="85"/>
      <c r="AK415" s="86"/>
    </row>
    <row r="416" spans="6:37">
      <c r="F416" s="103"/>
      <c r="G416" s="103"/>
      <c r="H416" s="103"/>
      <c r="I416" s="103"/>
      <c r="Z416" s="85"/>
      <c r="AA416" s="85"/>
      <c r="AB416" s="85"/>
      <c r="AE416" s="85"/>
      <c r="AG416" s="85"/>
      <c r="AI416" s="85"/>
      <c r="AK416" s="86"/>
    </row>
    <row r="417" spans="6:37">
      <c r="F417" s="103"/>
      <c r="G417" s="103"/>
      <c r="H417" s="103"/>
      <c r="I417" s="103"/>
      <c r="Z417" s="85"/>
      <c r="AA417" s="85"/>
      <c r="AB417" s="85"/>
      <c r="AE417" s="85"/>
      <c r="AG417" s="85"/>
      <c r="AI417" s="85"/>
      <c r="AK417" s="86"/>
    </row>
    <row r="418" spans="6:37">
      <c r="F418" s="103"/>
      <c r="G418" s="103"/>
      <c r="H418" s="103"/>
      <c r="I418" s="103"/>
      <c r="Z418" s="85"/>
      <c r="AA418" s="85"/>
      <c r="AB418" s="85"/>
      <c r="AE418" s="85"/>
      <c r="AG418" s="85"/>
      <c r="AI418" s="85"/>
      <c r="AK418" s="86"/>
    </row>
    <row r="419" spans="6:37">
      <c r="F419" s="103"/>
      <c r="G419" s="103"/>
      <c r="H419" s="103"/>
      <c r="I419" s="103"/>
      <c r="Z419" s="85"/>
      <c r="AA419" s="85"/>
      <c r="AB419" s="85"/>
      <c r="AE419" s="85"/>
      <c r="AG419" s="85"/>
      <c r="AI419" s="85"/>
      <c r="AK419" s="86"/>
    </row>
    <row r="420" spans="6:37">
      <c r="F420" s="103"/>
      <c r="G420" s="103"/>
      <c r="H420" s="103"/>
      <c r="I420" s="103"/>
      <c r="Z420" s="85"/>
      <c r="AA420" s="85"/>
      <c r="AB420" s="85"/>
      <c r="AE420" s="85"/>
      <c r="AG420" s="85"/>
      <c r="AI420" s="85"/>
      <c r="AK420" s="86"/>
    </row>
    <row r="421" spans="6:37">
      <c r="F421" s="103"/>
      <c r="G421" s="103"/>
      <c r="H421" s="103"/>
      <c r="I421" s="103"/>
      <c r="Z421" s="85"/>
      <c r="AA421" s="85"/>
      <c r="AB421" s="85"/>
      <c r="AE421" s="85"/>
      <c r="AG421" s="85"/>
      <c r="AI421" s="85"/>
      <c r="AK421" s="86"/>
    </row>
    <row r="422" spans="6:37">
      <c r="F422" s="103"/>
      <c r="G422" s="103"/>
      <c r="H422" s="103"/>
      <c r="I422" s="103"/>
      <c r="Z422" s="85"/>
      <c r="AA422" s="85"/>
      <c r="AB422" s="85"/>
      <c r="AE422" s="85"/>
      <c r="AG422" s="85"/>
      <c r="AI422" s="85"/>
      <c r="AK422" s="86"/>
    </row>
    <row r="423" spans="6:37">
      <c r="F423" s="103"/>
      <c r="G423" s="103"/>
      <c r="H423" s="103"/>
      <c r="I423" s="103"/>
      <c r="Z423" s="85"/>
      <c r="AA423" s="85"/>
      <c r="AB423" s="85"/>
      <c r="AE423" s="85"/>
      <c r="AG423" s="85"/>
      <c r="AI423" s="85"/>
      <c r="AK423" s="86"/>
    </row>
    <row r="424" spans="6:37">
      <c r="F424" s="103"/>
      <c r="G424" s="103"/>
      <c r="H424" s="103"/>
      <c r="I424" s="103"/>
      <c r="Z424" s="85"/>
      <c r="AA424" s="85"/>
      <c r="AB424" s="85"/>
      <c r="AE424" s="85"/>
      <c r="AG424" s="85"/>
      <c r="AI424" s="85"/>
      <c r="AK424" s="86"/>
    </row>
    <row r="425" spans="6:37">
      <c r="F425" s="103"/>
      <c r="G425" s="103"/>
      <c r="H425" s="103"/>
      <c r="I425" s="103"/>
      <c r="Z425" s="85"/>
      <c r="AA425" s="85"/>
      <c r="AB425" s="85"/>
      <c r="AE425" s="85"/>
      <c r="AG425" s="85"/>
      <c r="AI425" s="85"/>
      <c r="AK425" s="86"/>
    </row>
    <row r="426" spans="6:37">
      <c r="F426" s="103"/>
      <c r="G426" s="103"/>
      <c r="H426" s="103"/>
      <c r="I426" s="103"/>
      <c r="Z426" s="85"/>
      <c r="AA426" s="85"/>
      <c r="AB426" s="85"/>
      <c r="AE426" s="85"/>
      <c r="AG426" s="85"/>
      <c r="AI426" s="85"/>
      <c r="AK426" s="86"/>
    </row>
    <row r="427" spans="6:37">
      <c r="F427" s="103"/>
      <c r="G427" s="103"/>
      <c r="H427" s="103"/>
      <c r="I427" s="103"/>
      <c r="Z427" s="85"/>
      <c r="AA427" s="85"/>
      <c r="AB427" s="85"/>
      <c r="AE427" s="85"/>
      <c r="AG427" s="85"/>
      <c r="AI427" s="85"/>
      <c r="AK427" s="86"/>
    </row>
    <row r="428" spans="6:37">
      <c r="F428" s="103"/>
      <c r="G428" s="103"/>
      <c r="H428" s="103"/>
      <c r="I428" s="103"/>
      <c r="Z428" s="85"/>
      <c r="AA428" s="85"/>
      <c r="AB428" s="85"/>
      <c r="AE428" s="85"/>
      <c r="AG428" s="85"/>
      <c r="AI428" s="85"/>
      <c r="AK428" s="86"/>
    </row>
    <row r="429" spans="6:37">
      <c r="F429" s="103"/>
      <c r="G429" s="103"/>
      <c r="H429" s="103"/>
      <c r="I429" s="103"/>
      <c r="Z429" s="85"/>
      <c r="AA429" s="85"/>
      <c r="AB429" s="85"/>
      <c r="AE429" s="85"/>
      <c r="AG429" s="85"/>
      <c r="AI429" s="85"/>
      <c r="AK429" s="86"/>
    </row>
    <row r="430" spans="6:37">
      <c r="F430" s="103"/>
      <c r="G430" s="103"/>
      <c r="H430" s="103"/>
      <c r="I430" s="103"/>
      <c r="Z430" s="85"/>
      <c r="AA430" s="85"/>
      <c r="AB430" s="85"/>
      <c r="AE430" s="85"/>
      <c r="AG430" s="85"/>
      <c r="AI430" s="85"/>
      <c r="AK430" s="86"/>
    </row>
    <row r="431" spans="6:37">
      <c r="F431" s="103"/>
      <c r="G431" s="103"/>
      <c r="H431" s="103"/>
      <c r="I431" s="103"/>
      <c r="Z431" s="85"/>
      <c r="AA431" s="85"/>
      <c r="AB431" s="85"/>
      <c r="AE431" s="85"/>
      <c r="AG431" s="85"/>
      <c r="AI431" s="85"/>
      <c r="AK431" s="86"/>
    </row>
    <row r="432" spans="6:37">
      <c r="F432" s="103"/>
      <c r="G432" s="103"/>
      <c r="H432" s="103"/>
      <c r="I432" s="103"/>
      <c r="Z432" s="85"/>
      <c r="AA432" s="85"/>
      <c r="AB432" s="85"/>
      <c r="AE432" s="85"/>
      <c r="AG432" s="85"/>
      <c r="AI432" s="85"/>
      <c r="AK432" s="86"/>
    </row>
    <row r="433" spans="6:37">
      <c r="F433" s="103"/>
      <c r="G433" s="103"/>
      <c r="H433" s="103"/>
      <c r="I433" s="103"/>
      <c r="Z433" s="85"/>
      <c r="AA433" s="85"/>
      <c r="AB433" s="85"/>
      <c r="AE433" s="85"/>
      <c r="AG433" s="85"/>
      <c r="AI433" s="85"/>
      <c r="AK433" s="86"/>
    </row>
    <row r="434" spans="6:37">
      <c r="F434" s="103"/>
      <c r="G434" s="103"/>
      <c r="H434" s="103"/>
      <c r="I434" s="103"/>
      <c r="Z434" s="85"/>
      <c r="AA434" s="85"/>
      <c r="AB434" s="85"/>
      <c r="AE434" s="85"/>
      <c r="AG434" s="85"/>
      <c r="AI434" s="85"/>
    </row>
    <row r="435" spans="6:37">
      <c r="F435" s="103"/>
      <c r="G435" s="103"/>
      <c r="H435" s="103"/>
      <c r="I435" s="103"/>
      <c r="Z435" s="85"/>
      <c r="AA435" s="85"/>
      <c r="AB435" s="85"/>
      <c r="AE435" s="85"/>
      <c r="AG435" s="85"/>
      <c r="AI435" s="85"/>
    </row>
    <row r="436" spans="6:37">
      <c r="F436" s="103"/>
      <c r="G436" s="103"/>
      <c r="H436" s="103"/>
      <c r="I436" s="103"/>
      <c r="Z436" s="85"/>
      <c r="AA436" s="85"/>
      <c r="AB436" s="85"/>
      <c r="AE436" s="85"/>
      <c r="AG436" s="85"/>
      <c r="AI436" s="85"/>
    </row>
    <row r="437" spans="6:37">
      <c r="F437" s="103"/>
      <c r="G437" s="103"/>
      <c r="H437" s="103"/>
      <c r="I437" s="103"/>
      <c r="Z437" s="85"/>
      <c r="AA437" s="85"/>
      <c r="AB437" s="85"/>
      <c r="AE437" s="85"/>
      <c r="AG437" s="85"/>
      <c r="AI437" s="85"/>
    </row>
    <row r="438" spans="6:37">
      <c r="F438" s="103"/>
      <c r="G438" s="103"/>
      <c r="H438" s="103"/>
      <c r="I438" s="103"/>
      <c r="Z438" s="85"/>
      <c r="AA438" s="85"/>
      <c r="AB438" s="85"/>
      <c r="AE438" s="85"/>
      <c r="AG438" s="85"/>
      <c r="AI438" s="85"/>
    </row>
    <row r="439" spans="6:37">
      <c r="F439" s="103"/>
      <c r="G439" s="103"/>
      <c r="H439" s="103"/>
      <c r="I439" s="103"/>
      <c r="Z439" s="85"/>
      <c r="AA439" s="85"/>
      <c r="AB439" s="85"/>
      <c r="AE439" s="85"/>
      <c r="AG439" s="85"/>
      <c r="AI439" s="85"/>
    </row>
    <row r="440" spans="6:37">
      <c r="F440" s="103"/>
      <c r="G440" s="103"/>
      <c r="H440" s="103"/>
      <c r="I440" s="103"/>
      <c r="Z440" s="85"/>
      <c r="AA440" s="85"/>
      <c r="AB440" s="85"/>
      <c r="AE440" s="85"/>
      <c r="AG440" s="85"/>
      <c r="AI440" s="85"/>
    </row>
    <row r="441" spans="6:37">
      <c r="F441" s="103"/>
      <c r="G441" s="103"/>
      <c r="H441" s="103"/>
      <c r="I441" s="103"/>
      <c r="Z441" s="85"/>
      <c r="AA441" s="85"/>
      <c r="AB441" s="85"/>
      <c r="AE441" s="85"/>
      <c r="AG441" s="85"/>
      <c r="AI441" s="85"/>
    </row>
    <row r="442" spans="6:37">
      <c r="F442" s="103"/>
      <c r="G442" s="103"/>
      <c r="H442" s="103"/>
      <c r="I442" s="103"/>
      <c r="Z442" s="85"/>
      <c r="AA442" s="85"/>
      <c r="AB442" s="85"/>
      <c r="AE442" s="85"/>
      <c r="AG442" s="85"/>
      <c r="AI442" s="85"/>
    </row>
    <row r="443" spans="6:37">
      <c r="F443" s="103"/>
      <c r="G443" s="103"/>
      <c r="H443" s="103"/>
      <c r="I443" s="103"/>
      <c r="Z443" s="85"/>
      <c r="AA443" s="85"/>
      <c r="AB443" s="85"/>
      <c r="AE443" s="85"/>
      <c r="AG443" s="85"/>
      <c r="AI443" s="85"/>
    </row>
    <row r="444" spans="6:37">
      <c r="F444" s="103"/>
      <c r="G444" s="103"/>
      <c r="H444" s="103"/>
      <c r="I444" s="103"/>
      <c r="Z444" s="85"/>
      <c r="AA444" s="85"/>
      <c r="AB444" s="85"/>
      <c r="AE444" s="85"/>
      <c r="AG444" s="85"/>
      <c r="AI444" s="85"/>
    </row>
    <row r="445" spans="6:37">
      <c r="F445" s="103"/>
      <c r="G445" s="103"/>
      <c r="H445" s="103"/>
      <c r="I445" s="103"/>
      <c r="Z445" s="85"/>
      <c r="AA445" s="85"/>
      <c r="AB445" s="85"/>
      <c r="AE445" s="85"/>
      <c r="AG445" s="85"/>
      <c r="AI445" s="85"/>
    </row>
    <row r="446" spans="6:37">
      <c r="F446" s="103"/>
      <c r="G446" s="103"/>
      <c r="H446" s="103"/>
      <c r="I446" s="103"/>
      <c r="Z446" s="85"/>
      <c r="AA446" s="85"/>
      <c r="AB446" s="85"/>
      <c r="AE446" s="85"/>
      <c r="AG446" s="85"/>
      <c r="AI446" s="85"/>
    </row>
    <row r="447" spans="6:37">
      <c r="F447" s="103"/>
      <c r="G447" s="103"/>
      <c r="H447" s="103"/>
      <c r="I447" s="103"/>
      <c r="Z447" s="85"/>
      <c r="AA447" s="85"/>
      <c r="AB447" s="85"/>
      <c r="AE447" s="85"/>
      <c r="AG447" s="85"/>
      <c r="AI447" s="85"/>
    </row>
    <row r="448" spans="6:37">
      <c r="F448" s="103"/>
      <c r="G448" s="103"/>
      <c r="H448" s="103"/>
      <c r="I448" s="103"/>
      <c r="Z448" s="85"/>
      <c r="AA448" s="85"/>
      <c r="AB448" s="85"/>
      <c r="AE448" s="85"/>
      <c r="AG448" s="85"/>
      <c r="AI448" s="85"/>
    </row>
    <row r="449" spans="6:35">
      <c r="F449" s="103"/>
      <c r="G449" s="103"/>
      <c r="H449" s="103"/>
      <c r="I449" s="103"/>
      <c r="Z449" s="85"/>
      <c r="AA449" s="85"/>
      <c r="AB449" s="85"/>
      <c r="AE449" s="85"/>
      <c r="AG449" s="85"/>
      <c r="AI449" s="85"/>
    </row>
    <row r="450" spans="6:35">
      <c r="F450" s="103"/>
      <c r="G450" s="103"/>
      <c r="H450" s="103"/>
      <c r="I450" s="103"/>
      <c r="Z450" s="85"/>
      <c r="AA450" s="85"/>
      <c r="AB450" s="85"/>
      <c r="AE450" s="85"/>
      <c r="AG450" s="85"/>
      <c r="AI450" s="85"/>
    </row>
    <row r="451" spans="6:35">
      <c r="F451" s="103"/>
      <c r="G451" s="103"/>
      <c r="H451" s="103"/>
      <c r="I451" s="103"/>
      <c r="Z451" s="85"/>
      <c r="AA451" s="85"/>
      <c r="AB451" s="85"/>
      <c r="AE451" s="85"/>
      <c r="AG451" s="85"/>
      <c r="AI451" s="85"/>
    </row>
    <row r="452" spans="6:35">
      <c r="F452" s="103"/>
      <c r="G452" s="103"/>
      <c r="H452" s="103"/>
      <c r="I452" s="103"/>
      <c r="Z452" s="85"/>
      <c r="AA452" s="85"/>
      <c r="AB452" s="85"/>
      <c r="AE452" s="85"/>
      <c r="AG452" s="85"/>
      <c r="AI452" s="85"/>
    </row>
    <row r="453" spans="6:35">
      <c r="F453" s="103"/>
      <c r="G453" s="103"/>
      <c r="H453" s="103"/>
      <c r="I453" s="103"/>
      <c r="Z453" s="85"/>
      <c r="AA453" s="85"/>
      <c r="AB453" s="85"/>
      <c r="AE453" s="85"/>
      <c r="AG453" s="85"/>
      <c r="AI453" s="85"/>
    </row>
    <row r="454" spans="6:35">
      <c r="F454" s="103"/>
      <c r="G454" s="103"/>
      <c r="H454" s="103"/>
      <c r="I454" s="103"/>
      <c r="Z454" s="85"/>
      <c r="AA454" s="85"/>
      <c r="AB454" s="85"/>
      <c r="AE454" s="85"/>
      <c r="AG454" s="85"/>
      <c r="AI454" s="85"/>
    </row>
    <row r="455" spans="6:35">
      <c r="F455" s="103"/>
      <c r="G455" s="103"/>
      <c r="H455" s="103"/>
      <c r="I455" s="103"/>
      <c r="Z455" s="85"/>
      <c r="AA455" s="85"/>
      <c r="AB455" s="85"/>
      <c r="AE455" s="85"/>
      <c r="AG455" s="85"/>
      <c r="AI455" s="85"/>
    </row>
    <row r="456" spans="6:35">
      <c r="F456" s="103"/>
      <c r="G456" s="103"/>
      <c r="H456" s="103"/>
      <c r="I456" s="103"/>
      <c r="Z456" s="85"/>
      <c r="AA456" s="85"/>
      <c r="AB456" s="85"/>
      <c r="AE456" s="85"/>
      <c r="AG456" s="85"/>
      <c r="AI456" s="85"/>
    </row>
    <row r="457" spans="6:35">
      <c r="F457" s="103"/>
      <c r="G457" s="103"/>
      <c r="H457" s="103"/>
      <c r="I457" s="103"/>
      <c r="Z457" s="85"/>
      <c r="AA457" s="85"/>
      <c r="AB457" s="85"/>
      <c r="AE457" s="85"/>
      <c r="AG457" s="85"/>
      <c r="AI457" s="85"/>
    </row>
    <row r="458" spans="6:35">
      <c r="F458" s="103"/>
      <c r="G458" s="103"/>
      <c r="H458" s="103"/>
      <c r="I458" s="103"/>
      <c r="Z458" s="85"/>
      <c r="AA458" s="85"/>
      <c r="AB458" s="85"/>
      <c r="AE458" s="85"/>
      <c r="AG458" s="85"/>
      <c r="AI458" s="85"/>
    </row>
    <row r="459" spans="6:35">
      <c r="F459" s="103"/>
      <c r="G459" s="103"/>
      <c r="H459" s="103"/>
      <c r="I459" s="103"/>
      <c r="Z459" s="85"/>
      <c r="AA459" s="85"/>
      <c r="AB459" s="85"/>
      <c r="AE459" s="85"/>
      <c r="AG459" s="85"/>
      <c r="AI459" s="85"/>
    </row>
    <row r="460" spans="6:35">
      <c r="F460" s="103"/>
      <c r="G460" s="103"/>
      <c r="H460" s="103"/>
      <c r="I460" s="103"/>
      <c r="Z460" s="85"/>
      <c r="AA460" s="85"/>
      <c r="AB460" s="85"/>
      <c r="AE460" s="85"/>
      <c r="AG460" s="85"/>
      <c r="AI460" s="85"/>
    </row>
    <row r="461" spans="6:35">
      <c r="F461" s="103"/>
      <c r="G461" s="103"/>
      <c r="H461" s="103"/>
      <c r="I461" s="103"/>
      <c r="Z461" s="85"/>
      <c r="AA461" s="85"/>
      <c r="AB461" s="85"/>
      <c r="AE461" s="85"/>
      <c r="AG461" s="85"/>
      <c r="AI461" s="85"/>
    </row>
    <row r="462" spans="6:35">
      <c r="F462" s="103"/>
      <c r="G462" s="103"/>
      <c r="H462" s="103"/>
      <c r="I462" s="103"/>
      <c r="Z462" s="85"/>
      <c r="AA462" s="85"/>
      <c r="AB462" s="85"/>
      <c r="AE462" s="85"/>
      <c r="AG462" s="85"/>
      <c r="AI462" s="85"/>
    </row>
    <row r="463" spans="6:35">
      <c r="F463" s="103"/>
      <c r="G463" s="103"/>
      <c r="H463" s="103"/>
      <c r="I463" s="103"/>
      <c r="Z463" s="85"/>
      <c r="AA463" s="85"/>
      <c r="AB463" s="85"/>
      <c r="AE463" s="85"/>
      <c r="AG463" s="85"/>
      <c r="AI463" s="85"/>
    </row>
    <row r="464" spans="6:35">
      <c r="F464" s="103"/>
      <c r="G464" s="103"/>
      <c r="H464" s="103"/>
      <c r="I464" s="103"/>
      <c r="Z464" s="85"/>
      <c r="AA464" s="85"/>
      <c r="AB464" s="85"/>
      <c r="AE464" s="85"/>
      <c r="AG464" s="85"/>
      <c r="AI464" s="85"/>
    </row>
    <row r="465" spans="6:35">
      <c r="F465" s="103"/>
      <c r="G465" s="103"/>
      <c r="H465" s="103"/>
      <c r="I465" s="103"/>
      <c r="Z465" s="85"/>
      <c r="AA465" s="85"/>
      <c r="AB465" s="85"/>
      <c r="AE465" s="85"/>
      <c r="AG465" s="85"/>
      <c r="AI465" s="85"/>
    </row>
    <row r="466" spans="6:35">
      <c r="F466" s="103"/>
      <c r="G466" s="103"/>
      <c r="H466" s="103"/>
      <c r="I466" s="103"/>
      <c r="Z466" s="85"/>
      <c r="AA466" s="85"/>
      <c r="AB466" s="85"/>
      <c r="AE466" s="85"/>
      <c r="AG466" s="85"/>
      <c r="AI466" s="85"/>
    </row>
    <row r="467" spans="6:35">
      <c r="F467" s="103"/>
      <c r="G467" s="103"/>
      <c r="H467" s="103"/>
      <c r="I467" s="103"/>
      <c r="Z467" s="85"/>
      <c r="AA467" s="85"/>
      <c r="AB467" s="85"/>
      <c r="AC467" s="85"/>
      <c r="AE467" s="85"/>
      <c r="AI467" s="85"/>
    </row>
    <row r="468" spans="6:35">
      <c r="F468" s="103"/>
      <c r="G468" s="103"/>
      <c r="H468" s="103"/>
      <c r="I468" s="103"/>
      <c r="Z468" s="85"/>
      <c r="AA468" s="85"/>
      <c r="AB468" s="85"/>
      <c r="AC468" s="85"/>
      <c r="AE468" s="85"/>
      <c r="AI468" s="85"/>
    </row>
    <row r="469" spans="6:35">
      <c r="F469" s="103"/>
      <c r="G469" s="103"/>
      <c r="H469" s="103"/>
      <c r="I469" s="103"/>
      <c r="Z469" s="85"/>
      <c r="AA469" s="85"/>
      <c r="AB469" s="85"/>
      <c r="AC469" s="85"/>
      <c r="AE469" s="85"/>
      <c r="AI469" s="85"/>
    </row>
    <row r="470" spans="6:35">
      <c r="F470" s="103"/>
      <c r="G470" s="103"/>
      <c r="H470" s="103"/>
      <c r="I470" s="103"/>
      <c r="Z470" s="85"/>
      <c r="AA470" s="85"/>
      <c r="AB470" s="85"/>
      <c r="AC470" s="85"/>
      <c r="AE470" s="85"/>
      <c r="AI470" s="85"/>
    </row>
    <row r="471" spans="6:35">
      <c r="F471" s="103"/>
      <c r="G471" s="103"/>
      <c r="H471" s="103"/>
      <c r="I471" s="103"/>
      <c r="Z471" s="85"/>
      <c r="AA471" s="85"/>
      <c r="AB471" s="85"/>
      <c r="AC471" s="85"/>
      <c r="AE471" s="85"/>
      <c r="AI471" s="85"/>
    </row>
    <row r="472" spans="6:35">
      <c r="F472" s="103"/>
      <c r="G472" s="103"/>
      <c r="H472" s="103"/>
      <c r="I472" s="103"/>
      <c r="Z472" s="85"/>
      <c r="AA472" s="85"/>
      <c r="AB472" s="85"/>
      <c r="AC472" s="85"/>
      <c r="AE472" s="85"/>
      <c r="AI472" s="85"/>
    </row>
    <row r="473" spans="6:35">
      <c r="F473" s="103"/>
      <c r="G473" s="103"/>
      <c r="H473" s="103"/>
      <c r="I473" s="103"/>
      <c r="Z473" s="85"/>
      <c r="AA473" s="85"/>
      <c r="AB473" s="85"/>
      <c r="AC473" s="85"/>
      <c r="AE473" s="85"/>
      <c r="AI473" s="85"/>
    </row>
    <row r="474" spans="6:35">
      <c r="F474" s="103"/>
      <c r="G474" s="103"/>
      <c r="H474" s="103"/>
      <c r="I474" s="103"/>
      <c r="Z474" s="85"/>
      <c r="AA474" s="85"/>
      <c r="AB474" s="85"/>
      <c r="AC474" s="85"/>
      <c r="AE474" s="85"/>
      <c r="AI474" s="85"/>
    </row>
    <row r="475" spans="6:35">
      <c r="F475" s="103"/>
      <c r="G475" s="103"/>
      <c r="H475" s="103"/>
      <c r="I475" s="103"/>
      <c r="Z475" s="85"/>
      <c r="AA475" s="85"/>
      <c r="AB475" s="85"/>
      <c r="AC475" s="85"/>
      <c r="AE475" s="85"/>
      <c r="AI475" s="85"/>
    </row>
    <row r="476" spans="6:35">
      <c r="F476" s="103"/>
      <c r="G476" s="103"/>
      <c r="H476" s="103"/>
      <c r="I476" s="103"/>
      <c r="Z476" s="85"/>
      <c r="AA476" s="85"/>
      <c r="AB476" s="85"/>
      <c r="AC476" s="85"/>
      <c r="AE476" s="85"/>
      <c r="AI476" s="85"/>
    </row>
    <row r="477" spans="6:35">
      <c r="F477" s="103"/>
      <c r="G477" s="103"/>
      <c r="H477" s="103"/>
      <c r="I477" s="103"/>
      <c r="Z477" s="85"/>
      <c r="AA477" s="85"/>
      <c r="AB477" s="85"/>
      <c r="AC477" s="85"/>
      <c r="AE477" s="85"/>
      <c r="AI477" s="85"/>
    </row>
    <row r="478" spans="6:35">
      <c r="F478" s="103"/>
      <c r="G478" s="103"/>
      <c r="H478" s="103"/>
      <c r="I478" s="103"/>
      <c r="Z478" s="85"/>
      <c r="AA478" s="85"/>
      <c r="AB478" s="85"/>
      <c r="AC478" s="85"/>
      <c r="AE478" s="85"/>
      <c r="AI478" s="85"/>
    </row>
    <row r="479" spans="6:35">
      <c r="F479" s="103"/>
      <c r="G479" s="103"/>
      <c r="H479" s="103"/>
      <c r="I479" s="103"/>
      <c r="Z479" s="85"/>
      <c r="AA479" s="85"/>
      <c r="AB479" s="85"/>
      <c r="AC479" s="85"/>
      <c r="AE479" s="85"/>
      <c r="AI479" s="85"/>
    </row>
    <row r="480" spans="6:35">
      <c r="F480" s="103"/>
      <c r="G480" s="103"/>
      <c r="H480" s="103"/>
      <c r="I480" s="103"/>
      <c r="Z480" s="85"/>
      <c r="AA480" s="85"/>
      <c r="AB480" s="85"/>
      <c r="AC480" s="85"/>
      <c r="AE480" s="85"/>
      <c r="AI480" s="85"/>
    </row>
    <row r="481" spans="6:35">
      <c r="F481" s="103"/>
      <c r="G481" s="103"/>
      <c r="H481" s="103"/>
      <c r="I481" s="103"/>
      <c r="Z481" s="85"/>
      <c r="AA481" s="85"/>
      <c r="AB481" s="85"/>
      <c r="AC481" s="85"/>
      <c r="AE481" s="85"/>
      <c r="AI481" s="85"/>
    </row>
    <row r="482" spans="6:35">
      <c r="F482" s="103"/>
      <c r="G482" s="103"/>
      <c r="H482" s="103"/>
      <c r="I482" s="103"/>
      <c r="Z482" s="85"/>
      <c r="AA482" s="85"/>
      <c r="AB482" s="85"/>
      <c r="AC482" s="85"/>
      <c r="AE482" s="85"/>
    </row>
    <row r="483" spans="6:35">
      <c r="F483" s="103"/>
      <c r="G483" s="103"/>
      <c r="H483" s="103"/>
      <c r="I483" s="103"/>
      <c r="Z483" s="85"/>
      <c r="AA483" s="85"/>
      <c r="AB483" s="85"/>
      <c r="AC483" s="85"/>
      <c r="AE483" s="85"/>
    </row>
    <row r="484" spans="6:35">
      <c r="F484" s="103"/>
      <c r="G484" s="103"/>
      <c r="H484" s="103"/>
      <c r="I484" s="103"/>
      <c r="Z484" s="85"/>
      <c r="AA484" s="85"/>
      <c r="AB484" s="85"/>
      <c r="AC484" s="85"/>
      <c r="AE484" s="85"/>
    </row>
    <row r="485" spans="6:35">
      <c r="F485" s="103"/>
      <c r="G485" s="103"/>
      <c r="H485" s="103"/>
      <c r="I485" s="103"/>
      <c r="Z485" s="85"/>
      <c r="AA485" s="85"/>
      <c r="AB485" s="85"/>
      <c r="AC485" s="85"/>
      <c r="AE485" s="85"/>
    </row>
    <row r="486" spans="6:35">
      <c r="F486" s="103"/>
      <c r="G486" s="103"/>
      <c r="H486" s="103"/>
      <c r="I486" s="103"/>
      <c r="Z486" s="85"/>
      <c r="AA486" s="85"/>
      <c r="AB486" s="85"/>
      <c r="AC486" s="85"/>
      <c r="AE486" s="85"/>
    </row>
    <row r="487" spans="6:35">
      <c r="F487" s="103"/>
      <c r="G487" s="103"/>
      <c r="H487" s="103"/>
      <c r="I487" s="103"/>
      <c r="Z487" s="85"/>
      <c r="AA487" s="85"/>
      <c r="AB487" s="85"/>
      <c r="AC487" s="85"/>
      <c r="AE487" s="85"/>
    </row>
    <row r="488" spans="6:35">
      <c r="F488" s="103"/>
      <c r="G488" s="103"/>
      <c r="H488" s="103"/>
      <c r="I488" s="103"/>
      <c r="Z488" s="85"/>
      <c r="AA488" s="85"/>
      <c r="AB488" s="85"/>
      <c r="AC488" s="85"/>
      <c r="AE488" s="85"/>
    </row>
    <row r="489" spans="6:35">
      <c r="F489" s="103"/>
      <c r="G489" s="103"/>
      <c r="H489" s="103"/>
      <c r="I489" s="103"/>
      <c r="Z489" s="85"/>
      <c r="AA489" s="85"/>
      <c r="AB489" s="85"/>
      <c r="AC489" s="85"/>
      <c r="AE489" s="85"/>
    </row>
    <row r="490" spans="6:35">
      <c r="F490" s="103"/>
      <c r="G490" s="103"/>
      <c r="H490" s="103"/>
      <c r="I490" s="103"/>
      <c r="Z490" s="85"/>
      <c r="AA490" s="85"/>
      <c r="AB490" s="85"/>
      <c r="AC490" s="85"/>
      <c r="AE490" s="85"/>
    </row>
    <row r="491" spans="6:35">
      <c r="F491" s="103"/>
      <c r="G491" s="103"/>
      <c r="H491" s="103"/>
      <c r="I491" s="103"/>
      <c r="Z491" s="85"/>
      <c r="AA491" s="85"/>
      <c r="AB491" s="85"/>
      <c r="AC491" s="85"/>
      <c r="AE491" s="85"/>
    </row>
    <row r="492" spans="6:35">
      <c r="F492" s="103"/>
      <c r="G492" s="103"/>
      <c r="H492" s="103"/>
      <c r="I492" s="103"/>
      <c r="Z492" s="85"/>
      <c r="AA492" s="85"/>
      <c r="AB492" s="85"/>
      <c r="AC492" s="85"/>
      <c r="AE492" s="85"/>
    </row>
    <row r="493" spans="6:35">
      <c r="F493" s="103"/>
      <c r="G493" s="103"/>
      <c r="H493" s="103"/>
      <c r="I493" s="103"/>
      <c r="Z493" s="85"/>
      <c r="AA493" s="85"/>
      <c r="AB493" s="85"/>
      <c r="AC493" s="85"/>
      <c r="AE493" s="85"/>
    </row>
    <row r="494" spans="6:35">
      <c r="F494" s="103"/>
      <c r="G494" s="103"/>
      <c r="H494" s="103"/>
      <c r="I494" s="103"/>
      <c r="Z494" s="85"/>
      <c r="AA494" s="85"/>
      <c r="AB494" s="85"/>
      <c r="AC494" s="85"/>
      <c r="AE494" s="85"/>
    </row>
    <row r="495" spans="6:35">
      <c r="F495" s="103"/>
      <c r="G495" s="103"/>
      <c r="H495" s="103"/>
      <c r="I495" s="103"/>
      <c r="Z495" s="85"/>
      <c r="AA495" s="85"/>
      <c r="AB495" s="85"/>
      <c r="AC495" s="85"/>
      <c r="AE495" s="85"/>
    </row>
    <row r="496" spans="6:35">
      <c r="F496" s="103"/>
      <c r="G496" s="103"/>
      <c r="H496" s="103"/>
      <c r="I496" s="103"/>
      <c r="Z496" s="85"/>
      <c r="AA496" s="85"/>
      <c r="AB496" s="85"/>
      <c r="AC496" s="85"/>
      <c r="AE496" s="85"/>
    </row>
    <row r="497" spans="6:31">
      <c r="F497" s="103"/>
      <c r="G497" s="103"/>
      <c r="H497" s="103"/>
      <c r="I497" s="103"/>
      <c r="Z497" s="85"/>
      <c r="AA497" s="85"/>
      <c r="AB497" s="85"/>
      <c r="AC497" s="85"/>
      <c r="AE497" s="85"/>
    </row>
    <row r="498" spans="6:31">
      <c r="F498" s="103"/>
      <c r="G498" s="103"/>
      <c r="H498" s="103"/>
      <c r="I498" s="103"/>
      <c r="Z498" s="85"/>
      <c r="AA498" s="85"/>
      <c r="AB498" s="85"/>
      <c r="AC498" s="85"/>
      <c r="AE498" s="85"/>
    </row>
    <row r="499" spans="6:31">
      <c r="F499" s="103"/>
      <c r="G499" s="103"/>
      <c r="H499" s="103"/>
      <c r="I499" s="103"/>
      <c r="Z499" s="85"/>
      <c r="AA499" s="85"/>
      <c r="AB499" s="85"/>
      <c r="AC499" s="85"/>
      <c r="AE499" s="85"/>
    </row>
    <row r="500" spans="6:31">
      <c r="F500" s="103"/>
      <c r="G500" s="103"/>
      <c r="H500" s="103"/>
      <c r="I500" s="103"/>
      <c r="Z500" s="85"/>
      <c r="AA500" s="85"/>
      <c r="AB500" s="85"/>
      <c r="AC500" s="85"/>
      <c r="AE500" s="85"/>
    </row>
    <row r="501" spans="6:31">
      <c r="F501" s="103"/>
      <c r="G501" s="103"/>
      <c r="H501" s="103"/>
      <c r="I501" s="103"/>
      <c r="Z501" s="85"/>
      <c r="AA501" s="85"/>
      <c r="AB501" s="85"/>
      <c r="AC501" s="85"/>
      <c r="AE501" s="85"/>
    </row>
    <row r="502" spans="6:31">
      <c r="F502" s="103"/>
      <c r="G502" s="103"/>
      <c r="H502" s="103"/>
      <c r="I502" s="103"/>
      <c r="Z502" s="85"/>
      <c r="AA502" s="85"/>
      <c r="AB502" s="85"/>
      <c r="AC502" s="85"/>
      <c r="AE502" s="85"/>
    </row>
    <row r="503" spans="6:31">
      <c r="F503" s="103"/>
      <c r="G503" s="103"/>
      <c r="H503" s="103"/>
      <c r="I503" s="103"/>
      <c r="Z503" s="85"/>
      <c r="AA503" s="85"/>
      <c r="AB503" s="85"/>
      <c r="AC503" s="85"/>
      <c r="AE503" s="85"/>
    </row>
    <row r="504" spans="6:31">
      <c r="F504" s="103"/>
      <c r="G504" s="103"/>
      <c r="H504" s="103"/>
      <c r="I504" s="103"/>
      <c r="Z504" s="85"/>
      <c r="AA504" s="85"/>
      <c r="AB504" s="85"/>
      <c r="AC504" s="85"/>
      <c r="AE504" s="85"/>
    </row>
    <row r="505" spans="6:31">
      <c r="F505" s="103"/>
      <c r="G505" s="103"/>
      <c r="H505" s="103"/>
      <c r="I505" s="103"/>
      <c r="Z505" s="85"/>
      <c r="AA505" s="85"/>
      <c r="AB505" s="85"/>
      <c r="AC505" s="85"/>
      <c r="AE505" s="85"/>
    </row>
    <row r="506" spans="6:31">
      <c r="F506" s="103"/>
      <c r="G506" s="103"/>
      <c r="H506" s="103"/>
      <c r="I506" s="103"/>
      <c r="Z506" s="85"/>
      <c r="AA506" s="85"/>
      <c r="AB506" s="85"/>
      <c r="AC506" s="85"/>
    </row>
    <row r="507" spans="6:31">
      <c r="F507" s="103"/>
      <c r="G507" s="103"/>
      <c r="H507" s="103"/>
      <c r="I507" s="103"/>
      <c r="Z507" s="85"/>
      <c r="AA507" s="85"/>
      <c r="AB507" s="85"/>
      <c r="AC507" s="85"/>
    </row>
    <row r="508" spans="6:31">
      <c r="F508" s="103"/>
      <c r="G508" s="103"/>
      <c r="H508" s="103"/>
      <c r="I508" s="103"/>
      <c r="Z508" s="85"/>
      <c r="AA508" s="85"/>
      <c r="AB508" s="85"/>
      <c r="AC508" s="85"/>
    </row>
    <row r="509" spans="6:31">
      <c r="F509" s="103"/>
      <c r="G509" s="103"/>
      <c r="H509" s="103"/>
      <c r="I509" s="103"/>
      <c r="Z509" s="85"/>
      <c r="AA509" s="85"/>
      <c r="AB509" s="85"/>
      <c r="AC509" s="85"/>
    </row>
    <row r="510" spans="6:31">
      <c r="F510" s="103"/>
      <c r="G510" s="103"/>
      <c r="H510" s="103"/>
      <c r="I510" s="103"/>
      <c r="Z510" s="85"/>
      <c r="AA510" s="85"/>
      <c r="AB510" s="85"/>
      <c r="AC510" s="85"/>
    </row>
    <row r="511" spans="6:31">
      <c r="F511" s="103"/>
      <c r="G511" s="103"/>
      <c r="H511" s="103"/>
      <c r="I511" s="103"/>
      <c r="Z511" s="85"/>
      <c r="AA511" s="85"/>
      <c r="AB511" s="85"/>
      <c r="AC511" s="85"/>
    </row>
    <row r="512" spans="6:31">
      <c r="F512" s="103"/>
      <c r="G512" s="103"/>
      <c r="H512" s="103"/>
      <c r="I512" s="103"/>
      <c r="Z512" s="85"/>
      <c r="AA512" s="85"/>
      <c r="AB512" s="85"/>
      <c r="AC512" s="85"/>
    </row>
    <row r="513" spans="6:29">
      <c r="F513" s="103"/>
      <c r="G513" s="103"/>
      <c r="H513" s="103"/>
      <c r="I513" s="103"/>
      <c r="Z513" s="85"/>
      <c r="AA513" s="85"/>
      <c r="AB513" s="85"/>
      <c r="AC513" s="85"/>
    </row>
    <row r="514" spans="6:29">
      <c r="F514" s="103"/>
      <c r="G514" s="103"/>
      <c r="H514" s="103"/>
      <c r="I514" s="103"/>
      <c r="Z514" s="85"/>
      <c r="AA514" s="85"/>
      <c r="AB514" s="85"/>
      <c r="AC514" s="85"/>
    </row>
    <row r="515" spans="6:29">
      <c r="F515" s="103"/>
      <c r="G515" s="103"/>
      <c r="H515" s="103"/>
      <c r="I515" s="103"/>
      <c r="Z515" s="85"/>
      <c r="AA515" s="85"/>
      <c r="AB515" s="85"/>
      <c r="AC515" s="85"/>
    </row>
    <row r="516" spans="6:29">
      <c r="F516" s="103"/>
      <c r="G516" s="103"/>
      <c r="H516" s="103"/>
      <c r="I516" s="103"/>
      <c r="Z516" s="85"/>
      <c r="AA516" s="85"/>
      <c r="AB516" s="85"/>
      <c r="AC516" s="85"/>
    </row>
    <row r="517" spans="6:29">
      <c r="F517" s="103"/>
      <c r="G517" s="103"/>
      <c r="H517" s="103"/>
      <c r="I517" s="103"/>
      <c r="Z517" s="85"/>
      <c r="AA517" s="85"/>
      <c r="AB517" s="85"/>
      <c r="AC517" s="85"/>
    </row>
    <row r="518" spans="6:29">
      <c r="F518" s="103"/>
      <c r="G518" s="103"/>
      <c r="H518" s="103"/>
      <c r="I518" s="103"/>
      <c r="Z518" s="85"/>
      <c r="AA518" s="85"/>
      <c r="AB518" s="85"/>
      <c r="AC518" s="85"/>
    </row>
    <row r="519" spans="6:29">
      <c r="F519" s="103"/>
      <c r="G519" s="103"/>
      <c r="H519" s="103"/>
      <c r="I519" s="103"/>
      <c r="Z519" s="85"/>
      <c r="AA519" s="85"/>
      <c r="AB519" s="85"/>
      <c r="AC519" s="85"/>
    </row>
    <row r="520" spans="6:29">
      <c r="F520" s="103"/>
      <c r="G520" s="103"/>
      <c r="H520" s="103"/>
      <c r="I520" s="103"/>
      <c r="Z520" s="85"/>
      <c r="AA520" s="85"/>
      <c r="AB520" s="85"/>
      <c r="AC520" s="85"/>
    </row>
    <row r="521" spans="6:29">
      <c r="F521" s="103"/>
      <c r="G521" s="103"/>
      <c r="H521" s="103"/>
      <c r="I521" s="103"/>
      <c r="Z521" s="85"/>
      <c r="AA521" s="85"/>
      <c r="AB521" s="85"/>
      <c r="AC521" s="85"/>
    </row>
    <row r="522" spans="6:29">
      <c r="F522" s="103"/>
      <c r="G522" s="103"/>
      <c r="H522" s="103"/>
      <c r="I522" s="103"/>
      <c r="Z522" s="85"/>
      <c r="AA522" s="85"/>
      <c r="AB522" s="85"/>
      <c r="AC522" s="85"/>
    </row>
    <row r="523" spans="6:29">
      <c r="F523" s="103"/>
      <c r="G523" s="103"/>
      <c r="H523" s="103"/>
      <c r="I523" s="103"/>
      <c r="Z523" s="85"/>
      <c r="AA523" s="85"/>
      <c r="AB523" s="85"/>
      <c r="AC523" s="85"/>
    </row>
    <row r="524" spans="6:29">
      <c r="F524" s="103"/>
      <c r="G524" s="103"/>
      <c r="H524" s="103"/>
      <c r="I524" s="103"/>
      <c r="Z524" s="85"/>
      <c r="AA524" s="85"/>
      <c r="AB524" s="85"/>
      <c r="AC524" s="85"/>
    </row>
    <row r="525" spans="6:29">
      <c r="F525" s="103"/>
      <c r="G525" s="103"/>
      <c r="H525" s="103"/>
      <c r="I525" s="103"/>
      <c r="Z525" s="85"/>
      <c r="AA525" s="85"/>
      <c r="AB525" s="85"/>
      <c r="AC525" s="85"/>
    </row>
    <row r="526" spans="6:29">
      <c r="F526" s="103"/>
      <c r="G526" s="103"/>
      <c r="H526" s="103"/>
      <c r="I526" s="103"/>
      <c r="Z526" s="85"/>
      <c r="AA526" s="85"/>
      <c r="AB526" s="85"/>
      <c r="AC526" s="85"/>
    </row>
    <row r="527" spans="6:29">
      <c r="F527" s="103"/>
      <c r="G527" s="103"/>
      <c r="H527" s="103"/>
      <c r="I527" s="103"/>
      <c r="Z527" s="85"/>
      <c r="AA527" s="85"/>
      <c r="AB527" s="85"/>
      <c r="AC527" s="85"/>
    </row>
    <row r="528" spans="6:29">
      <c r="F528" s="103"/>
      <c r="G528" s="103"/>
      <c r="H528" s="103"/>
      <c r="I528" s="103"/>
      <c r="Z528" s="85"/>
      <c r="AA528" s="85"/>
      <c r="AB528" s="85"/>
      <c r="AC528" s="85"/>
    </row>
    <row r="529" spans="6:29">
      <c r="F529" s="103"/>
      <c r="G529" s="103"/>
      <c r="H529" s="103"/>
      <c r="I529" s="103"/>
      <c r="Z529" s="85"/>
      <c r="AA529" s="85"/>
      <c r="AB529" s="85"/>
      <c r="AC529" s="85"/>
    </row>
    <row r="530" spans="6:29">
      <c r="F530" s="103"/>
      <c r="G530" s="103"/>
      <c r="H530" s="103"/>
      <c r="I530" s="103"/>
      <c r="Z530" s="85"/>
      <c r="AA530" s="85"/>
      <c r="AB530" s="85"/>
      <c r="AC530" s="85"/>
    </row>
    <row r="531" spans="6:29">
      <c r="F531" s="103"/>
      <c r="G531" s="103"/>
      <c r="H531" s="103"/>
      <c r="I531" s="103"/>
      <c r="Z531" s="85"/>
      <c r="AA531" s="85"/>
      <c r="AB531" s="85"/>
      <c r="AC531" s="85"/>
    </row>
    <row r="532" spans="6:29">
      <c r="F532" s="103"/>
      <c r="G532" s="103"/>
      <c r="H532" s="103"/>
      <c r="I532" s="103"/>
      <c r="Z532" s="85"/>
      <c r="AA532" s="85"/>
      <c r="AB532" s="85"/>
      <c r="AC532" s="85"/>
    </row>
    <row r="533" spans="6:29">
      <c r="F533" s="103"/>
      <c r="G533" s="103"/>
      <c r="H533" s="103"/>
      <c r="I533" s="103"/>
      <c r="Z533" s="85"/>
      <c r="AA533" s="85"/>
      <c r="AB533" s="85"/>
      <c r="AC533" s="85"/>
    </row>
    <row r="534" spans="6:29">
      <c r="F534" s="103"/>
      <c r="G534" s="103"/>
      <c r="H534" s="103"/>
      <c r="I534" s="103"/>
      <c r="Z534" s="85"/>
      <c r="AA534" s="85"/>
      <c r="AB534" s="85"/>
      <c r="AC534" s="85"/>
    </row>
    <row r="535" spans="6:29">
      <c r="F535" s="103"/>
      <c r="G535" s="103"/>
      <c r="H535" s="103"/>
      <c r="I535" s="103"/>
      <c r="Z535" s="85"/>
      <c r="AA535" s="85"/>
      <c r="AB535" s="85"/>
      <c r="AC535" s="85"/>
    </row>
    <row r="536" spans="6:29">
      <c r="F536" s="103"/>
      <c r="G536" s="103"/>
      <c r="H536" s="103"/>
      <c r="I536" s="103"/>
      <c r="Z536" s="85"/>
      <c r="AA536" s="85"/>
      <c r="AB536" s="85"/>
      <c r="AC536" s="85"/>
    </row>
    <row r="537" spans="6:29">
      <c r="F537" s="103"/>
      <c r="G537" s="103"/>
      <c r="H537" s="103"/>
      <c r="I537" s="103"/>
      <c r="Z537" s="85"/>
      <c r="AA537" s="85"/>
      <c r="AB537" s="85"/>
      <c r="AC537" s="85"/>
    </row>
    <row r="538" spans="6:29">
      <c r="F538" s="103"/>
      <c r="G538" s="103"/>
      <c r="H538" s="103"/>
      <c r="I538" s="103"/>
      <c r="Z538" s="85"/>
      <c r="AA538" s="85"/>
      <c r="AB538" s="85"/>
      <c r="AC538" s="85"/>
    </row>
    <row r="539" spans="6:29">
      <c r="F539" s="103"/>
      <c r="G539" s="103"/>
      <c r="H539" s="103"/>
      <c r="I539" s="103"/>
      <c r="Z539" s="85"/>
      <c r="AA539" s="85"/>
      <c r="AB539" s="85"/>
      <c r="AC539" s="85"/>
    </row>
    <row r="540" spans="6:29">
      <c r="F540" s="103"/>
      <c r="G540" s="103"/>
      <c r="H540" s="103"/>
      <c r="I540" s="103"/>
      <c r="Z540" s="85"/>
      <c r="AA540" s="85"/>
      <c r="AB540" s="85"/>
      <c r="AC540" s="85"/>
    </row>
    <row r="541" spans="6:29">
      <c r="F541" s="103"/>
      <c r="G541" s="103"/>
      <c r="H541" s="103"/>
      <c r="I541" s="103"/>
      <c r="Z541" s="85"/>
      <c r="AA541" s="85"/>
      <c r="AB541" s="85"/>
      <c r="AC541" s="85"/>
    </row>
    <row r="542" spans="6:29">
      <c r="F542" s="103"/>
      <c r="G542" s="103"/>
      <c r="H542" s="103"/>
      <c r="I542" s="103"/>
      <c r="Z542" s="85"/>
      <c r="AA542" s="85"/>
      <c r="AB542" s="85"/>
      <c r="AC542" s="85"/>
    </row>
    <row r="543" spans="6:29">
      <c r="F543" s="103"/>
      <c r="G543" s="103"/>
      <c r="H543" s="103"/>
      <c r="I543" s="103"/>
      <c r="Z543" s="85"/>
      <c r="AA543" s="85"/>
      <c r="AB543" s="85"/>
      <c r="AC543" s="85"/>
    </row>
    <row r="544" spans="6:29">
      <c r="F544" s="103"/>
      <c r="G544" s="103"/>
      <c r="H544" s="103"/>
      <c r="I544" s="103"/>
      <c r="Z544" s="85"/>
      <c r="AA544" s="85"/>
      <c r="AB544" s="85"/>
      <c r="AC544" s="85"/>
    </row>
    <row r="545" spans="6:29">
      <c r="F545" s="103"/>
      <c r="G545" s="103"/>
      <c r="H545" s="103"/>
      <c r="I545" s="103"/>
      <c r="Z545" s="85"/>
      <c r="AA545" s="85"/>
      <c r="AB545" s="85"/>
      <c r="AC545" s="85"/>
    </row>
    <row r="546" spans="6:29">
      <c r="F546" s="103"/>
      <c r="G546" s="103"/>
      <c r="H546" s="103"/>
      <c r="I546" s="103"/>
      <c r="Z546" s="85"/>
      <c r="AA546" s="85"/>
      <c r="AB546" s="85"/>
      <c r="AC546" s="85"/>
    </row>
    <row r="547" spans="6:29">
      <c r="F547" s="103"/>
      <c r="G547" s="103"/>
      <c r="H547" s="103"/>
      <c r="I547" s="103"/>
      <c r="Z547" s="85"/>
      <c r="AA547" s="85"/>
      <c r="AB547" s="85"/>
      <c r="AC547" s="85"/>
    </row>
    <row r="548" spans="6:29">
      <c r="F548" s="103"/>
      <c r="G548" s="103"/>
      <c r="H548" s="103"/>
      <c r="I548" s="103"/>
      <c r="Z548" s="85"/>
      <c r="AA548" s="85"/>
      <c r="AB548" s="85"/>
      <c r="AC548" s="85"/>
    </row>
    <row r="549" spans="6:29">
      <c r="F549" s="103"/>
      <c r="G549" s="103"/>
      <c r="H549" s="103"/>
      <c r="I549" s="103"/>
      <c r="Z549" s="85"/>
      <c r="AA549" s="85"/>
      <c r="AB549" s="85"/>
      <c r="AC549" s="85"/>
    </row>
    <row r="550" spans="6:29">
      <c r="F550" s="103"/>
      <c r="G550" s="103"/>
      <c r="H550" s="103"/>
      <c r="I550" s="103"/>
      <c r="Z550" s="85"/>
      <c r="AA550" s="85"/>
      <c r="AB550" s="85"/>
      <c r="AC550" s="85"/>
    </row>
    <row r="551" spans="6:29">
      <c r="F551" s="103"/>
      <c r="G551" s="103"/>
      <c r="H551" s="103"/>
      <c r="I551" s="103"/>
      <c r="Z551" s="85"/>
      <c r="AA551" s="85"/>
      <c r="AB551" s="85"/>
      <c r="AC551" s="85"/>
    </row>
    <row r="552" spans="6:29">
      <c r="F552" s="103"/>
      <c r="G552" s="103"/>
      <c r="H552" s="103"/>
      <c r="I552" s="103"/>
      <c r="Z552" s="85"/>
      <c r="AA552" s="85"/>
      <c r="AB552" s="85"/>
      <c r="AC552" s="85"/>
    </row>
    <row r="553" spans="6:29">
      <c r="F553" s="103"/>
      <c r="G553" s="103"/>
      <c r="H553" s="103"/>
      <c r="I553" s="103"/>
      <c r="Z553" s="85"/>
      <c r="AA553" s="85"/>
      <c r="AB553" s="85"/>
      <c r="AC553" s="85"/>
    </row>
    <row r="554" spans="6:29">
      <c r="F554" s="103"/>
      <c r="G554" s="103"/>
      <c r="H554" s="103"/>
      <c r="I554" s="103"/>
      <c r="Z554" s="85"/>
      <c r="AA554" s="85"/>
      <c r="AB554" s="85"/>
      <c r="AC554" s="85"/>
    </row>
    <row r="555" spans="6:29">
      <c r="F555" s="103"/>
      <c r="G555" s="103"/>
      <c r="H555" s="103"/>
      <c r="I555" s="103"/>
      <c r="Z555" s="85"/>
      <c r="AA555" s="85"/>
      <c r="AB555" s="85"/>
      <c r="AC555" s="85"/>
    </row>
    <row r="556" spans="6:29">
      <c r="F556" s="103"/>
      <c r="G556" s="103"/>
      <c r="H556" s="103"/>
      <c r="I556" s="103"/>
      <c r="Z556" s="85"/>
      <c r="AA556" s="85"/>
      <c r="AB556" s="85"/>
      <c r="AC556" s="85"/>
    </row>
    <row r="557" spans="6:29">
      <c r="F557" s="103"/>
      <c r="G557" s="103"/>
      <c r="H557" s="103"/>
      <c r="I557" s="103"/>
      <c r="Z557" s="85"/>
      <c r="AA557" s="85"/>
      <c r="AB557" s="85"/>
      <c r="AC557" s="85"/>
    </row>
    <row r="558" spans="6:29">
      <c r="F558" s="103"/>
      <c r="G558" s="103"/>
      <c r="H558" s="103"/>
      <c r="I558" s="103"/>
      <c r="Z558" s="85"/>
      <c r="AA558" s="85"/>
      <c r="AB558" s="85"/>
      <c r="AC558" s="85"/>
    </row>
    <row r="559" spans="6:29">
      <c r="F559" s="103"/>
      <c r="G559" s="103"/>
      <c r="H559" s="103"/>
      <c r="I559" s="103"/>
      <c r="Z559" s="85"/>
      <c r="AA559" s="85"/>
      <c r="AB559" s="85"/>
      <c r="AC559" s="85"/>
    </row>
    <row r="560" spans="6:29">
      <c r="F560" s="103"/>
      <c r="G560" s="103"/>
      <c r="H560" s="103"/>
      <c r="I560" s="103"/>
      <c r="Z560" s="85"/>
      <c r="AA560" s="85"/>
      <c r="AB560" s="85"/>
      <c r="AC560" s="85"/>
    </row>
    <row r="561" spans="6:29">
      <c r="F561" s="103"/>
      <c r="G561" s="103"/>
      <c r="H561" s="103"/>
      <c r="I561" s="103"/>
      <c r="Z561" s="85"/>
      <c r="AA561" s="85"/>
      <c r="AB561" s="85"/>
      <c r="AC561" s="85"/>
    </row>
    <row r="562" spans="6:29">
      <c r="F562" s="103"/>
      <c r="G562" s="103"/>
      <c r="H562" s="103"/>
      <c r="I562" s="103"/>
      <c r="Z562" s="85"/>
      <c r="AA562" s="85"/>
      <c r="AB562" s="85"/>
      <c r="AC562" s="85"/>
    </row>
    <row r="563" spans="6:29">
      <c r="F563" s="103"/>
      <c r="G563" s="103"/>
      <c r="H563" s="103"/>
      <c r="I563" s="103"/>
      <c r="Z563" s="85"/>
      <c r="AA563" s="85"/>
      <c r="AB563" s="85"/>
      <c r="AC563" s="85"/>
    </row>
    <row r="564" spans="6:29">
      <c r="F564" s="103"/>
      <c r="G564" s="103"/>
      <c r="H564" s="103"/>
      <c r="I564" s="103"/>
      <c r="Z564" s="85"/>
      <c r="AA564" s="85"/>
      <c r="AB564" s="85"/>
      <c r="AC564" s="85"/>
    </row>
    <row r="565" spans="6:29">
      <c r="F565" s="103"/>
      <c r="G565" s="103"/>
      <c r="H565" s="103"/>
      <c r="I565" s="103"/>
      <c r="Z565" s="85"/>
      <c r="AA565" s="85"/>
      <c r="AB565" s="85"/>
      <c r="AC565" s="85"/>
    </row>
    <row r="566" spans="6:29">
      <c r="F566" s="103"/>
      <c r="G566" s="103"/>
      <c r="H566" s="103"/>
      <c r="I566" s="103"/>
      <c r="Z566" s="85"/>
      <c r="AA566" s="85"/>
      <c r="AB566" s="85"/>
      <c r="AC566" s="85"/>
    </row>
    <row r="567" spans="6:29">
      <c r="F567" s="103"/>
      <c r="G567" s="103"/>
      <c r="H567" s="103"/>
      <c r="I567" s="103"/>
      <c r="Z567" s="85"/>
      <c r="AA567" s="85"/>
      <c r="AB567" s="85"/>
      <c r="AC567" s="85"/>
    </row>
    <row r="568" spans="6:29">
      <c r="F568" s="103"/>
      <c r="G568" s="103"/>
      <c r="H568" s="103"/>
      <c r="I568" s="103"/>
      <c r="Z568" s="85"/>
      <c r="AA568" s="85"/>
      <c r="AB568" s="85"/>
      <c r="AC568" s="85"/>
    </row>
    <row r="569" spans="6:29">
      <c r="F569" s="103"/>
      <c r="G569" s="103"/>
      <c r="H569" s="103"/>
      <c r="I569" s="103"/>
      <c r="Z569" s="85"/>
      <c r="AA569" s="85"/>
      <c r="AB569" s="85"/>
      <c r="AC569" s="85"/>
    </row>
    <row r="570" spans="6:29">
      <c r="F570" s="103"/>
      <c r="G570" s="103"/>
      <c r="H570" s="103"/>
      <c r="I570" s="103"/>
      <c r="Z570" s="85"/>
      <c r="AA570" s="85"/>
      <c r="AB570" s="85"/>
      <c r="AC570" s="85"/>
    </row>
    <row r="571" spans="6:29">
      <c r="F571" s="103"/>
      <c r="G571" s="103"/>
      <c r="H571" s="103"/>
      <c r="I571" s="103"/>
      <c r="Z571" s="85"/>
      <c r="AA571" s="85"/>
      <c r="AB571" s="85"/>
      <c r="AC571" s="85"/>
    </row>
    <row r="572" spans="6:29">
      <c r="F572" s="103"/>
      <c r="G572" s="103"/>
      <c r="H572" s="103"/>
      <c r="I572" s="103"/>
      <c r="Z572" s="85"/>
      <c r="AA572" s="85"/>
      <c r="AB572" s="85"/>
      <c r="AC572" s="85"/>
    </row>
    <row r="573" spans="6:29">
      <c r="F573" s="103"/>
      <c r="G573" s="103"/>
      <c r="H573" s="103"/>
      <c r="I573" s="103"/>
      <c r="Z573" s="85"/>
      <c r="AA573" s="85"/>
      <c r="AB573" s="85"/>
      <c r="AC573" s="85"/>
    </row>
    <row r="574" spans="6:29">
      <c r="F574" s="103"/>
      <c r="G574" s="103"/>
      <c r="H574" s="103"/>
      <c r="I574" s="103"/>
      <c r="Z574" s="85"/>
      <c r="AA574" s="85"/>
      <c r="AB574" s="85"/>
      <c r="AC574" s="85"/>
    </row>
    <row r="575" spans="6:29">
      <c r="F575" s="103"/>
      <c r="G575" s="103"/>
      <c r="H575" s="103"/>
      <c r="I575" s="103"/>
      <c r="Z575" s="85"/>
      <c r="AA575" s="85"/>
      <c r="AB575" s="85"/>
      <c r="AC575" s="85"/>
    </row>
    <row r="576" spans="6:29">
      <c r="F576" s="103"/>
      <c r="G576" s="103"/>
      <c r="H576" s="103"/>
      <c r="I576" s="103"/>
      <c r="Z576" s="85"/>
      <c r="AA576" s="85"/>
      <c r="AB576" s="85"/>
      <c r="AC576" s="85"/>
    </row>
    <row r="577" spans="6:29">
      <c r="F577" s="103"/>
      <c r="G577" s="103"/>
      <c r="H577" s="103"/>
      <c r="I577" s="103"/>
      <c r="Z577" s="85"/>
      <c r="AA577" s="85"/>
      <c r="AB577" s="85"/>
      <c r="AC577" s="85"/>
    </row>
    <row r="578" spans="6:29">
      <c r="F578" s="103"/>
      <c r="G578" s="103"/>
      <c r="H578" s="103"/>
      <c r="I578" s="103"/>
      <c r="Z578" s="85"/>
      <c r="AA578" s="85"/>
      <c r="AB578" s="85"/>
      <c r="AC578" s="85"/>
    </row>
    <row r="579" spans="6:29">
      <c r="F579" s="103"/>
      <c r="G579" s="103"/>
      <c r="H579" s="103"/>
      <c r="I579" s="103"/>
      <c r="Z579" s="85"/>
      <c r="AA579" s="85"/>
      <c r="AB579" s="85"/>
      <c r="AC579" s="85"/>
    </row>
    <row r="580" spans="6:29">
      <c r="F580" s="103"/>
      <c r="G580" s="103"/>
      <c r="H580" s="103"/>
      <c r="I580" s="103"/>
      <c r="Z580" s="85"/>
      <c r="AA580" s="85"/>
      <c r="AB580" s="85"/>
      <c r="AC580" s="85"/>
    </row>
    <row r="581" spans="6:29">
      <c r="F581" s="103"/>
      <c r="G581" s="103"/>
      <c r="H581" s="103"/>
      <c r="I581" s="103"/>
      <c r="Z581" s="85"/>
      <c r="AA581" s="85"/>
      <c r="AB581" s="85"/>
      <c r="AC581" s="85"/>
    </row>
    <row r="582" spans="6:29">
      <c r="F582" s="103"/>
      <c r="G582" s="103"/>
      <c r="H582" s="103"/>
      <c r="I582" s="103"/>
      <c r="Z582" s="85"/>
      <c r="AA582" s="85"/>
      <c r="AB582" s="85"/>
      <c r="AC582" s="85"/>
    </row>
    <row r="583" spans="6:29">
      <c r="F583" s="103"/>
      <c r="G583" s="103"/>
      <c r="H583" s="103"/>
      <c r="I583" s="103"/>
      <c r="Z583" s="85"/>
      <c r="AA583" s="85"/>
      <c r="AB583" s="85"/>
      <c r="AC583" s="85"/>
    </row>
    <row r="584" spans="6:29">
      <c r="F584" s="103"/>
      <c r="G584" s="103"/>
      <c r="H584" s="103"/>
      <c r="I584" s="103"/>
      <c r="Z584" s="85"/>
      <c r="AA584" s="85"/>
      <c r="AB584" s="85"/>
      <c r="AC584" s="85"/>
    </row>
    <row r="585" spans="6:29">
      <c r="F585" s="103"/>
      <c r="G585" s="103"/>
      <c r="H585" s="103"/>
      <c r="I585" s="103"/>
      <c r="Z585" s="85"/>
      <c r="AA585" s="85"/>
      <c r="AB585" s="85"/>
      <c r="AC585" s="85"/>
    </row>
    <row r="586" spans="6:29">
      <c r="F586" s="103"/>
      <c r="G586" s="103"/>
      <c r="H586" s="103"/>
      <c r="I586" s="103"/>
      <c r="Z586" s="85"/>
      <c r="AA586" s="85"/>
      <c r="AB586" s="85"/>
      <c r="AC586" s="85"/>
    </row>
    <row r="587" spans="6:29">
      <c r="F587" s="103"/>
      <c r="G587" s="103"/>
      <c r="H587" s="103"/>
      <c r="I587" s="103"/>
      <c r="Z587" s="85"/>
      <c r="AA587" s="85"/>
      <c r="AB587" s="85"/>
      <c r="AC587" s="85"/>
    </row>
    <row r="588" spans="6:29">
      <c r="F588" s="103"/>
      <c r="G588" s="103"/>
      <c r="H588" s="103"/>
      <c r="I588" s="103"/>
      <c r="Z588" s="85"/>
      <c r="AA588" s="85"/>
      <c r="AB588" s="85"/>
      <c r="AC588" s="85"/>
    </row>
    <row r="589" spans="6:29">
      <c r="F589" s="103"/>
      <c r="G589" s="103"/>
      <c r="H589" s="103"/>
      <c r="I589" s="103"/>
      <c r="Z589" s="85"/>
      <c r="AA589" s="85"/>
      <c r="AB589" s="85"/>
      <c r="AC589" s="85"/>
    </row>
    <row r="590" spans="6:29">
      <c r="F590" s="103"/>
      <c r="G590" s="103"/>
      <c r="H590" s="103"/>
      <c r="I590" s="103"/>
      <c r="Z590" s="85"/>
      <c r="AA590" s="85"/>
      <c r="AB590" s="85"/>
      <c r="AC590" s="85"/>
    </row>
    <row r="591" spans="6:29">
      <c r="F591" s="103"/>
      <c r="G591" s="103"/>
      <c r="H591" s="103"/>
      <c r="I591" s="103"/>
      <c r="Z591" s="85"/>
      <c r="AA591" s="85"/>
      <c r="AB591" s="85"/>
      <c r="AC591" s="85"/>
    </row>
    <row r="592" spans="6:29">
      <c r="F592" s="103"/>
      <c r="G592" s="103"/>
      <c r="H592" s="103"/>
      <c r="I592" s="103"/>
      <c r="Z592" s="85"/>
      <c r="AA592" s="85"/>
      <c r="AB592" s="85"/>
      <c r="AC592" s="85"/>
    </row>
    <row r="593" spans="6:29">
      <c r="F593" s="103"/>
      <c r="G593" s="103"/>
      <c r="H593" s="103"/>
      <c r="I593" s="103"/>
      <c r="Z593" s="85"/>
      <c r="AA593" s="85"/>
      <c r="AB593" s="85"/>
      <c r="AC593" s="85"/>
    </row>
    <row r="594" spans="6:29">
      <c r="F594" s="103"/>
      <c r="G594" s="103"/>
      <c r="H594" s="103"/>
      <c r="I594" s="103"/>
      <c r="Z594" s="85"/>
      <c r="AA594" s="85"/>
      <c r="AB594" s="85"/>
      <c r="AC594" s="85"/>
    </row>
    <row r="595" spans="6:29">
      <c r="F595" s="103"/>
      <c r="G595" s="103"/>
      <c r="H595" s="103"/>
      <c r="I595" s="103"/>
      <c r="Z595" s="85"/>
      <c r="AA595" s="85"/>
      <c r="AB595" s="85"/>
      <c r="AC595" s="85"/>
    </row>
    <row r="596" spans="6:29">
      <c r="F596" s="103"/>
      <c r="G596" s="103"/>
      <c r="H596" s="103"/>
      <c r="I596" s="103"/>
      <c r="Z596" s="85"/>
      <c r="AA596" s="85"/>
      <c r="AB596" s="85"/>
      <c r="AC596" s="85"/>
    </row>
    <row r="597" spans="6:29">
      <c r="F597" s="103"/>
      <c r="G597" s="103"/>
      <c r="H597" s="103"/>
      <c r="I597" s="103"/>
      <c r="Z597" s="85"/>
      <c r="AA597" s="85"/>
      <c r="AB597" s="85"/>
      <c r="AC597" s="85"/>
    </row>
    <row r="598" spans="6:29">
      <c r="F598" s="103"/>
      <c r="G598" s="103"/>
      <c r="H598" s="103"/>
      <c r="I598" s="103"/>
      <c r="Z598" s="85"/>
      <c r="AA598" s="85"/>
      <c r="AB598" s="85"/>
      <c r="AC598" s="85"/>
    </row>
    <row r="599" spans="6:29">
      <c r="F599" s="103"/>
      <c r="G599" s="103"/>
      <c r="H599" s="103"/>
      <c r="I599" s="103"/>
      <c r="Z599" s="85"/>
      <c r="AA599" s="85"/>
      <c r="AB599" s="85"/>
      <c r="AC599" s="85"/>
    </row>
    <row r="600" spans="6:29">
      <c r="F600" s="103"/>
      <c r="G600" s="103"/>
      <c r="H600" s="103"/>
      <c r="I600" s="103"/>
      <c r="Z600" s="85"/>
      <c r="AA600" s="85"/>
      <c r="AB600" s="85"/>
      <c r="AC600" s="85"/>
    </row>
    <row r="601" spans="6:29">
      <c r="F601" s="103"/>
      <c r="G601" s="103"/>
      <c r="H601" s="103"/>
      <c r="I601" s="103"/>
      <c r="Z601" s="85"/>
      <c r="AA601" s="85"/>
      <c r="AB601" s="85"/>
      <c r="AC601" s="85"/>
    </row>
    <row r="602" spans="6:29">
      <c r="F602" s="103"/>
      <c r="G602" s="103"/>
      <c r="H602" s="103"/>
      <c r="I602" s="103"/>
      <c r="Z602" s="85"/>
      <c r="AA602" s="85"/>
      <c r="AB602" s="85"/>
      <c r="AC602" s="85"/>
    </row>
    <row r="603" spans="6:29">
      <c r="F603" s="103"/>
      <c r="G603" s="103"/>
      <c r="H603" s="103"/>
      <c r="I603" s="103"/>
      <c r="Z603" s="85"/>
      <c r="AA603" s="85"/>
      <c r="AB603" s="85"/>
      <c r="AC603" s="85"/>
    </row>
    <row r="604" spans="6:29">
      <c r="F604" s="103"/>
      <c r="G604" s="103"/>
      <c r="H604" s="103"/>
      <c r="I604" s="103"/>
      <c r="Z604" s="85"/>
      <c r="AA604" s="85"/>
      <c r="AB604" s="85"/>
      <c r="AC604" s="85"/>
    </row>
    <row r="605" spans="6:29">
      <c r="F605" s="103"/>
      <c r="G605" s="103"/>
      <c r="H605" s="103"/>
      <c r="I605" s="103"/>
      <c r="Z605" s="85"/>
      <c r="AA605" s="85"/>
      <c r="AB605" s="85"/>
      <c r="AC605" s="85"/>
    </row>
    <row r="606" spans="6:29">
      <c r="F606" s="103"/>
      <c r="G606" s="103"/>
      <c r="H606" s="103"/>
      <c r="I606" s="103"/>
      <c r="Z606" s="85"/>
      <c r="AA606" s="85"/>
      <c r="AB606" s="85"/>
      <c r="AC606" s="85"/>
    </row>
    <row r="607" spans="6:29">
      <c r="F607" s="103"/>
      <c r="G607" s="103"/>
      <c r="H607" s="103"/>
      <c r="I607" s="103"/>
      <c r="Z607" s="85"/>
      <c r="AA607" s="85"/>
      <c r="AB607" s="85"/>
      <c r="AC607" s="85"/>
    </row>
    <row r="608" spans="6:29">
      <c r="F608" s="103"/>
      <c r="G608" s="103"/>
      <c r="H608" s="103"/>
      <c r="I608" s="103"/>
      <c r="Z608" s="85"/>
      <c r="AA608" s="85"/>
      <c r="AB608" s="85"/>
      <c r="AC608" s="85"/>
    </row>
    <row r="609" spans="6:29">
      <c r="F609" s="103"/>
      <c r="G609" s="103"/>
      <c r="H609" s="103"/>
      <c r="I609" s="103"/>
      <c r="Z609" s="85"/>
      <c r="AA609" s="85"/>
      <c r="AB609" s="85"/>
      <c r="AC609" s="85"/>
    </row>
    <row r="610" spans="6:29">
      <c r="F610" s="103"/>
      <c r="G610" s="103"/>
      <c r="H610" s="103"/>
      <c r="I610" s="103"/>
      <c r="Z610" s="85"/>
      <c r="AA610" s="85"/>
      <c r="AB610" s="85"/>
      <c r="AC610" s="85"/>
    </row>
    <row r="611" spans="6:29">
      <c r="F611" s="103"/>
      <c r="G611" s="103"/>
      <c r="H611" s="103"/>
      <c r="I611" s="103"/>
    </row>
    <row r="612" spans="6:29">
      <c r="F612" s="103"/>
      <c r="G612" s="103"/>
      <c r="H612" s="103"/>
      <c r="I612" s="103"/>
    </row>
    <row r="613" spans="6:29">
      <c r="F613" s="103"/>
      <c r="G613" s="103"/>
      <c r="H613" s="103"/>
      <c r="I613" s="103"/>
    </row>
    <row r="614" spans="6:29">
      <c r="F614" s="103"/>
      <c r="G614" s="103"/>
      <c r="H614" s="103"/>
      <c r="I614" s="103"/>
    </row>
    <row r="615" spans="6:29">
      <c r="F615" s="103"/>
      <c r="G615" s="103"/>
      <c r="H615" s="103"/>
      <c r="I615" s="103"/>
    </row>
    <row r="616" spans="6:29">
      <c r="F616" s="103"/>
      <c r="G616" s="103"/>
      <c r="H616" s="103"/>
      <c r="I616" s="103"/>
    </row>
    <row r="617" spans="6:29">
      <c r="F617" s="103"/>
      <c r="G617" s="103"/>
      <c r="H617" s="103"/>
      <c r="I617" s="103"/>
    </row>
    <row r="618" spans="6:29">
      <c r="F618" s="103"/>
      <c r="G618" s="103"/>
      <c r="H618" s="103"/>
      <c r="I618" s="103"/>
    </row>
    <row r="619" spans="6:29">
      <c r="F619" s="103"/>
      <c r="G619" s="103"/>
      <c r="H619" s="103"/>
      <c r="I619" s="103"/>
    </row>
    <row r="620" spans="6:29">
      <c r="F620" s="103"/>
      <c r="G620" s="103"/>
      <c r="H620" s="103"/>
      <c r="I620" s="103"/>
    </row>
    <row r="621" spans="6:29">
      <c r="F621" s="103"/>
      <c r="G621" s="103"/>
      <c r="H621" s="103"/>
      <c r="I621" s="103"/>
    </row>
    <row r="622" spans="6:29">
      <c r="F622" s="103"/>
      <c r="G622" s="103"/>
      <c r="H622" s="103"/>
      <c r="I622" s="103"/>
    </row>
    <row r="623" spans="6:29">
      <c r="F623" s="103"/>
      <c r="G623" s="103"/>
      <c r="H623" s="103"/>
      <c r="I623" s="103"/>
    </row>
    <row r="624" spans="6:29">
      <c r="F624" s="103"/>
      <c r="G624" s="103"/>
      <c r="H624" s="103"/>
      <c r="I624" s="103"/>
    </row>
    <row r="625" spans="6:9">
      <c r="F625" s="103"/>
      <c r="G625" s="103"/>
      <c r="H625" s="103"/>
      <c r="I625" s="103"/>
    </row>
    <row r="626" spans="6:9">
      <c r="F626" s="103"/>
      <c r="G626" s="103"/>
      <c r="H626" s="103"/>
      <c r="I626" s="103"/>
    </row>
    <row r="627" spans="6:9">
      <c r="F627" s="103"/>
      <c r="G627" s="103"/>
      <c r="H627" s="103"/>
      <c r="I627" s="103"/>
    </row>
    <row r="628" spans="6:9">
      <c r="F628" s="103"/>
      <c r="G628" s="103"/>
      <c r="H628" s="103"/>
      <c r="I628" s="103"/>
    </row>
    <row r="629" spans="6:9">
      <c r="F629" s="103"/>
      <c r="G629" s="103"/>
      <c r="H629" s="103"/>
      <c r="I629" s="103"/>
    </row>
    <row r="630" spans="6:9">
      <c r="F630" s="103"/>
      <c r="G630" s="103"/>
      <c r="H630" s="103"/>
      <c r="I630" s="103"/>
    </row>
    <row r="631" spans="6:9">
      <c r="F631" s="103"/>
      <c r="G631" s="103"/>
      <c r="H631" s="103"/>
      <c r="I631" s="103"/>
    </row>
    <row r="632" spans="6:9">
      <c r="F632" s="103"/>
      <c r="G632" s="103"/>
      <c r="H632" s="103"/>
      <c r="I632" s="103"/>
    </row>
    <row r="633" spans="6:9">
      <c r="F633" s="103"/>
      <c r="G633" s="103"/>
      <c r="H633" s="103"/>
      <c r="I633" s="103"/>
    </row>
    <row r="634" spans="6:9">
      <c r="F634" s="103"/>
      <c r="G634" s="103"/>
      <c r="H634" s="103"/>
      <c r="I634" s="103"/>
    </row>
    <row r="635" spans="6:9">
      <c r="F635" s="103"/>
      <c r="G635" s="103"/>
      <c r="H635" s="103"/>
      <c r="I635" s="103"/>
    </row>
    <row r="636" spans="6:9">
      <c r="F636" s="103"/>
      <c r="G636" s="103"/>
      <c r="H636" s="103"/>
      <c r="I636" s="103"/>
    </row>
    <row r="637" spans="6:9">
      <c r="F637" s="103"/>
      <c r="G637" s="103"/>
      <c r="H637" s="103"/>
      <c r="I637" s="103"/>
    </row>
    <row r="638" spans="6:9">
      <c r="F638" s="103"/>
      <c r="G638" s="103"/>
      <c r="H638" s="103"/>
      <c r="I638" s="103"/>
    </row>
    <row r="639" spans="6:9">
      <c r="F639" s="103"/>
      <c r="G639" s="103"/>
      <c r="H639" s="103"/>
      <c r="I639" s="103"/>
    </row>
    <row r="640" spans="6:9">
      <c r="F640" s="103"/>
      <c r="G640" s="103"/>
      <c r="H640" s="103"/>
      <c r="I640" s="103"/>
    </row>
    <row r="641" spans="6:9">
      <c r="F641" s="103"/>
      <c r="G641" s="103"/>
      <c r="H641" s="103"/>
      <c r="I641" s="103"/>
    </row>
    <row r="642" spans="6:9">
      <c r="F642" s="103"/>
      <c r="G642" s="103"/>
      <c r="H642" s="103"/>
      <c r="I642" s="103"/>
    </row>
    <row r="643" spans="6:9">
      <c r="F643" s="103"/>
      <c r="G643" s="103"/>
      <c r="H643" s="103"/>
      <c r="I643" s="103"/>
    </row>
    <row r="644" spans="6:9">
      <c r="F644" s="103"/>
      <c r="G644" s="103"/>
      <c r="H644" s="103"/>
      <c r="I644" s="103"/>
    </row>
    <row r="645" spans="6:9">
      <c r="F645" s="103"/>
      <c r="G645" s="103"/>
      <c r="H645" s="103"/>
      <c r="I645" s="103"/>
    </row>
    <row r="646" spans="6:9">
      <c r="F646" s="103"/>
      <c r="G646" s="103"/>
      <c r="H646" s="103"/>
      <c r="I646" s="103"/>
    </row>
    <row r="647" spans="6:9">
      <c r="F647" s="103"/>
      <c r="G647" s="103"/>
      <c r="H647" s="103"/>
      <c r="I647" s="103"/>
    </row>
    <row r="648" spans="6:9">
      <c r="F648" s="103"/>
      <c r="G648" s="103"/>
      <c r="H648" s="103"/>
      <c r="I648" s="103"/>
    </row>
    <row r="649" spans="6:9">
      <c r="F649" s="103"/>
      <c r="G649" s="103"/>
      <c r="H649" s="103"/>
      <c r="I649" s="103"/>
    </row>
    <row r="650" spans="6:9">
      <c r="F650" s="103"/>
      <c r="G650" s="103"/>
      <c r="H650" s="103"/>
      <c r="I650" s="103"/>
    </row>
    <row r="651" spans="6:9">
      <c r="F651" s="103"/>
      <c r="G651" s="103"/>
      <c r="H651" s="103"/>
      <c r="I651" s="103"/>
    </row>
    <row r="652" spans="6:9">
      <c r="F652" s="103"/>
      <c r="G652" s="103"/>
      <c r="H652" s="103"/>
      <c r="I652" s="103"/>
    </row>
    <row r="653" spans="6:9">
      <c r="F653" s="103"/>
      <c r="G653" s="103"/>
      <c r="H653" s="103"/>
      <c r="I653" s="103"/>
    </row>
    <row r="654" spans="6:9">
      <c r="F654" s="103"/>
      <c r="G654" s="103"/>
      <c r="H654" s="103"/>
      <c r="I654" s="103"/>
    </row>
    <row r="655" spans="6:9">
      <c r="F655" s="103"/>
      <c r="G655" s="103"/>
      <c r="H655" s="103"/>
      <c r="I655" s="103"/>
    </row>
    <row r="656" spans="6:9">
      <c r="F656" s="103"/>
      <c r="G656" s="103"/>
      <c r="H656" s="103"/>
      <c r="I656" s="103"/>
    </row>
    <row r="657" spans="6:9">
      <c r="F657" s="103"/>
      <c r="G657" s="103"/>
      <c r="H657" s="103"/>
      <c r="I657" s="103"/>
    </row>
    <row r="658" spans="6:9">
      <c r="F658" s="103"/>
      <c r="G658" s="103"/>
      <c r="H658" s="103"/>
      <c r="I658" s="103"/>
    </row>
  </sheetData>
  <autoFilter ref="A1:AL1" xr:uid="{A69800C6-BEFF-E640-9228-8A5D675483C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C3E0F0D7-E041-F64F-9DC7-6C98A31604D2}">
          <x14:formula1>
            <xm:f>Status!$C$2:$C$36</xm:f>
          </x14:formula1>
          <xm:sqref>AC2:AC466 AJ2:AJ538</xm:sqref>
        </x14:dataValidation>
        <x14:dataValidation type="list" allowBlank="1" showInputMessage="1" showErrorMessage="1" xr:uid="{A28ADCE2-CDC6-E744-981C-090D9B40288B}">
          <x14:formula1>
            <xm:f>Status!$C$23:$C$36</xm:f>
          </x14:formula1>
          <xm:sqref>O2:O205</xm:sqref>
        </x14:dataValidation>
        <x14:dataValidation type="list" allowBlank="1" showInputMessage="1" showErrorMessage="1" xr:uid="{8CC5C7CA-3065-2C48-87BD-1C612466691A}">
          <x14:formula1>
            <xm:f>MISC!$F$4:$F$19</xm:f>
          </x14:formula1>
          <xm:sqref>E2:E205 Y2:Y205</xm:sqref>
        </x14:dataValidation>
        <x14:dataValidation type="list" allowBlank="1" showInputMessage="1" showErrorMessage="1" xr:uid="{E7B8C8BB-1509-654D-A122-3CCA6321C20F}">
          <x14:formula1>
            <xm:f>MISC!$E$2:$E$13</xm:f>
          </x14:formula1>
          <xm:sqref>W2:W205 AH2:AH205 AF2:AF205 AD2:AD205 U2:U205 S2:S205</xm:sqref>
        </x14:dataValidation>
        <x14:dataValidation type="list" allowBlank="1" showInputMessage="1" showErrorMessage="1" xr:uid="{14BD80B6-14FB-594F-A844-9271B6DD2EEB}">
          <x14:formula1>
            <xm:f>MISC!$D$2:$D$8</xm:f>
          </x14:formula1>
          <xm:sqref>Q2:Q205</xm:sqref>
        </x14:dataValidation>
        <x14:dataValidation type="list" allowBlank="1" showInputMessage="1" showErrorMessage="1" xr:uid="{052B6C14-CDAD-914B-ACEC-B958ADBA0DE1}">
          <x14:formula1>
            <xm:f>Status!$C$9:$C$22</xm:f>
          </x14:formula1>
          <xm:sqref>M2:M205</xm:sqref>
        </x14:dataValidation>
        <x14:dataValidation type="list" allowBlank="1" showInputMessage="1" showErrorMessage="1" xr:uid="{A994FBB1-5E4D-584A-A5F4-88C2DFAE9885}">
          <x14:formula1>
            <xm:f>MISC!$A$2:$A$3</xm:f>
          </x14:formula1>
          <xm:sqref>D215:D216 D210:D212 D2:D207 D1048576</xm:sqref>
        </x14:dataValidation>
        <x14:dataValidation type="list" allowBlank="1" showInputMessage="1" showErrorMessage="1" xr:uid="{48036403-2FEB-A244-B5A8-6D5B47CD1DDD}">
          <x14:formula1>
            <xm:f>MISC!$B$2:$B$12</xm:f>
          </x14:formula1>
          <xm:sqref>AC467:AC610 F2:J51 P2:P205 L2:L205 N2:N205 J52:J205 R2:R337 Z2:AB610 V2:V850 T2:T466 AE2:AE505 X2:X850 AG2:AG466 AK2:AK433 AI2:AI481 F52:I658</xm:sqref>
        </x14:dataValidation>
        <x14:dataValidation type="list" allowBlank="1" showInputMessage="1" showErrorMessage="1" xr:uid="{0E154FE1-4B82-0043-A990-E61D90E20D6D}">
          <x14:formula1>
            <xm:f>Status!$C$2:$C$6</xm:f>
          </x14:formula1>
          <xm:sqref>AJ539:AJ586 K2:K205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9"/>
  </sheetPr>
  <dimension ref="A1:AK658"/>
  <sheetViews>
    <sheetView zoomScale="150" workbookViewId="0">
      <pane xSplit="3" topLeftCell="D1" activePane="topRight" state="frozen"/>
      <selection pane="topRight"/>
    </sheetView>
  </sheetViews>
  <sheetFormatPr baseColWidth="10" defaultColWidth="8.6640625" defaultRowHeight="15"/>
  <cols>
    <col min="1" max="1" width="14.33203125" style="84" bestFit="1" customWidth="1"/>
    <col min="2" max="2" width="14.6640625" hidden="1" customWidth="1"/>
    <col min="3" max="3" width="50" style="87" hidden="1" customWidth="1"/>
    <col min="4" max="4" width="10.5" style="84" customWidth="1"/>
    <col min="5" max="5" width="10.5" customWidth="1"/>
    <col min="6" max="9" width="7.6640625" style="4" customWidth="1"/>
    <col min="10" max="10" width="7.6640625" style="87" customWidth="1"/>
    <col min="11" max="11" width="10.5" style="84" customWidth="1"/>
    <col min="12" max="12" width="6" customWidth="1"/>
    <col min="13" max="13" width="10.5" customWidth="1"/>
    <col min="14" max="14" width="6" customWidth="1"/>
    <col min="15" max="15" width="10.5" customWidth="1"/>
    <col min="16" max="16" width="6" style="87" customWidth="1"/>
    <col min="17" max="17" width="9.33203125" style="84" customWidth="1"/>
    <col min="18" max="18" width="6" customWidth="1"/>
    <col min="20" max="20" width="6" style="85" customWidth="1"/>
    <col min="22" max="22" width="5.6640625" style="85" bestFit="1" customWidth="1"/>
    <col min="24" max="24" width="6" style="86" customWidth="1"/>
    <col min="26" max="26" width="11.33203125" bestFit="1" customWidth="1"/>
    <col min="27" max="29" width="11.33203125" customWidth="1"/>
    <col min="31" max="31" width="6" customWidth="1"/>
    <col min="33" max="33" width="6" customWidth="1"/>
    <col min="35" max="35" width="6" customWidth="1"/>
    <col min="37" max="37" width="6" style="87" customWidth="1"/>
  </cols>
  <sheetData>
    <row r="1" spans="1:37">
      <c r="A1" s="90" t="s">
        <v>864</v>
      </c>
      <c r="B1" s="91" t="s">
        <v>942</v>
      </c>
      <c r="C1" s="92" t="s">
        <v>771</v>
      </c>
      <c r="D1" s="88" t="s">
        <v>1805</v>
      </c>
      <c r="E1" s="89" t="s">
        <v>2039</v>
      </c>
      <c r="F1" s="102" t="s">
        <v>1933</v>
      </c>
      <c r="G1" s="102" t="s">
        <v>2124</v>
      </c>
      <c r="H1" s="102" t="s">
        <v>1908</v>
      </c>
      <c r="I1" s="102" t="s">
        <v>1896</v>
      </c>
      <c r="J1" s="102" t="s">
        <v>2040</v>
      </c>
      <c r="K1" s="80" t="s">
        <v>1808</v>
      </c>
      <c r="L1" s="81" t="s">
        <v>1917</v>
      </c>
      <c r="M1" s="81" t="s">
        <v>1888</v>
      </c>
      <c r="N1" s="81" t="s">
        <v>1918</v>
      </c>
      <c r="O1" s="81" t="s">
        <v>1889</v>
      </c>
      <c r="P1" s="96" t="s">
        <v>1919</v>
      </c>
      <c r="Q1" s="97" t="s">
        <v>1907</v>
      </c>
      <c r="R1" s="82" t="s">
        <v>1920</v>
      </c>
      <c r="S1" s="83" t="s">
        <v>1912</v>
      </c>
      <c r="T1" s="100" t="s">
        <v>1921</v>
      </c>
      <c r="U1" s="83" t="s">
        <v>1541</v>
      </c>
      <c r="V1" s="100" t="s">
        <v>1922</v>
      </c>
      <c r="W1" s="83" t="s">
        <v>1913</v>
      </c>
      <c r="X1" s="101" t="s">
        <v>1923</v>
      </c>
      <c r="Y1" s="94" t="s">
        <v>1954</v>
      </c>
      <c r="Z1" s="94" t="s">
        <v>1955</v>
      </c>
      <c r="AA1" s="94" t="s">
        <v>1960</v>
      </c>
      <c r="AB1" s="94" t="s">
        <v>1956</v>
      </c>
      <c r="AC1" s="94" t="s">
        <v>1958</v>
      </c>
      <c r="AD1" s="94" t="s">
        <v>1912</v>
      </c>
      <c r="AE1" s="94" t="s">
        <v>1924</v>
      </c>
      <c r="AF1" s="94" t="s">
        <v>1541</v>
      </c>
      <c r="AG1" s="94" t="s">
        <v>1925</v>
      </c>
      <c r="AH1" s="94" t="s">
        <v>1913</v>
      </c>
      <c r="AI1" s="94" t="s">
        <v>1926</v>
      </c>
      <c r="AJ1" s="94" t="s">
        <v>1916</v>
      </c>
      <c r="AK1" s="95" t="s">
        <v>1931</v>
      </c>
    </row>
    <row r="2" spans="1:37">
      <c r="A2" s="84" t="s">
        <v>2094</v>
      </c>
      <c r="D2" s="84" t="s">
        <v>1806</v>
      </c>
      <c r="F2" s="103"/>
      <c r="G2" s="103"/>
      <c r="H2" s="103"/>
      <c r="I2" s="103"/>
      <c r="J2" s="86"/>
      <c r="L2" s="85"/>
      <c r="N2" s="85"/>
      <c r="P2" s="86"/>
      <c r="R2" s="85"/>
      <c r="Y2" s="85"/>
      <c r="Z2" s="85"/>
      <c r="AA2" s="85"/>
      <c r="AB2" s="85"/>
      <c r="AE2" s="85"/>
      <c r="AG2" s="85"/>
      <c r="AI2" s="85"/>
      <c r="AK2" s="86"/>
    </row>
    <row r="3" spans="1:37">
      <c r="A3" s="84" t="s">
        <v>2090</v>
      </c>
      <c r="D3" s="84" t="s">
        <v>1807</v>
      </c>
      <c r="F3" s="103"/>
      <c r="G3" s="103"/>
      <c r="H3" s="103"/>
      <c r="I3" s="103"/>
      <c r="R3" s="85"/>
      <c r="Z3" s="85"/>
      <c r="AA3" s="85"/>
      <c r="AB3" s="85"/>
      <c r="AE3" s="85"/>
      <c r="AG3" s="85"/>
      <c r="AI3" s="85"/>
      <c r="AK3" s="86"/>
    </row>
    <row r="4" spans="1:37">
      <c r="A4" s="84" t="s">
        <v>1265</v>
      </c>
      <c r="B4" t="s">
        <v>1380</v>
      </c>
      <c r="C4" s="87" t="s">
        <v>1401</v>
      </c>
      <c r="D4" s="84" t="s">
        <v>1806</v>
      </c>
      <c r="F4" s="85">
        <v>0.1</v>
      </c>
      <c r="G4" s="85">
        <v>0.9</v>
      </c>
      <c r="H4" s="85"/>
      <c r="I4" s="85"/>
      <c r="J4" s="86"/>
      <c r="L4" s="85"/>
      <c r="N4" s="85"/>
      <c r="P4" s="86"/>
      <c r="R4" s="85"/>
      <c r="Y4" s="85"/>
      <c r="Z4" s="85"/>
      <c r="AA4" s="85">
        <v>0.1</v>
      </c>
      <c r="AB4" s="85"/>
      <c r="AE4" s="85"/>
      <c r="AG4" s="85"/>
      <c r="AI4" s="85"/>
      <c r="AK4" s="86"/>
    </row>
    <row r="5" spans="1:37">
      <c r="A5" s="84" t="s">
        <v>1223</v>
      </c>
      <c r="B5" t="s">
        <v>1379</v>
      </c>
      <c r="C5" s="87" t="s">
        <v>1415</v>
      </c>
      <c r="D5" s="84" t="s">
        <v>1806</v>
      </c>
      <c r="F5" s="85"/>
      <c r="G5" s="85"/>
      <c r="H5" s="85"/>
      <c r="I5" s="85"/>
      <c r="J5" s="86"/>
      <c r="L5" s="85"/>
      <c r="N5" s="85"/>
      <c r="P5" s="86"/>
      <c r="R5" s="85"/>
      <c r="Y5" s="85"/>
      <c r="Z5" s="85"/>
      <c r="AA5" s="85"/>
      <c r="AB5" s="85"/>
      <c r="AE5" s="85"/>
      <c r="AG5" s="85"/>
      <c r="AI5" s="85"/>
      <c r="AK5" s="86"/>
    </row>
    <row r="6" spans="1:37">
      <c r="A6" s="84" t="s">
        <v>2061</v>
      </c>
      <c r="D6" s="84" t="s">
        <v>1806</v>
      </c>
      <c r="F6" s="103"/>
      <c r="G6" s="103"/>
      <c r="H6" s="103"/>
      <c r="I6" s="103"/>
      <c r="R6" s="85"/>
      <c r="Z6" s="85"/>
      <c r="AA6" s="85"/>
      <c r="AB6" s="85"/>
      <c r="AE6" s="85"/>
      <c r="AG6" s="85"/>
      <c r="AI6" s="85"/>
      <c r="AK6" s="86"/>
    </row>
    <row r="7" spans="1:37">
      <c r="A7" s="84" t="s">
        <v>1610</v>
      </c>
      <c r="D7" s="84" t="s">
        <v>1806</v>
      </c>
      <c r="F7" s="103"/>
      <c r="G7" s="103"/>
      <c r="H7" s="103"/>
      <c r="I7" s="103"/>
      <c r="R7" s="85"/>
      <c r="Z7" s="85"/>
      <c r="AA7" s="85"/>
      <c r="AB7" s="85"/>
      <c r="AE7" s="85"/>
      <c r="AG7" s="85"/>
      <c r="AI7" s="85"/>
      <c r="AK7" s="86"/>
    </row>
    <row r="8" spans="1:37">
      <c r="A8" s="84" t="s">
        <v>1315</v>
      </c>
      <c r="B8" t="s">
        <v>772</v>
      </c>
      <c r="C8" s="93" t="s">
        <v>1109</v>
      </c>
      <c r="D8" s="84" t="s">
        <v>1806</v>
      </c>
      <c r="F8" s="85">
        <v>0.1</v>
      </c>
      <c r="G8" s="85">
        <v>0.9</v>
      </c>
      <c r="H8" s="85"/>
      <c r="I8" s="85"/>
      <c r="J8" s="86"/>
      <c r="L8" s="85"/>
      <c r="N8" s="85"/>
      <c r="P8" s="86"/>
      <c r="Q8" s="84">
        <v>0</v>
      </c>
      <c r="R8" s="85"/>
      <c r="Y8" s="85"/>
      <c r="Z8" s="85"/>
      <c r="AA8" s="85"/>
      <c r="AB8" s="85"/>
      <c r="AE8" s="85"/>
      <c r="AG8" s="85"/>
      <c r="AI8" s="85"/>
      <c r="AK8" s="86"/>
    </row>
    <row r="9" spans="1:37">
      <c r="A9" s="84" t="s">
        <v>1316</v>
      </c>
      <c r="B9" t="s">
        <v>772</v>
      </c>
      <c r="C9" s="87" t="s">
        <v>1427</v>
      </c>
      <c r="D9" s="84" t="s">
        <v>1806</v>
      </c>
      <c r="F9" s="85">
        <v>0.1</v>
      </c>
      <c r="G9" s="85">
        <v>0.9</v>
      </c>
      <c r="H9" s="85"/>
      <c r="I9" s="85"/>
      <c r="J9" s="86"/>
      <c r="L9" s="85"/>
      <c r="N9" s="85"/>
      <c r="P9" s="86"/>
      <c r="Q9" s="84">
        <v>1</v>
      </c>
      <c r="R9" s="85"/>
      <c r="Y9" s="85"/>
      <c r="Z9" s="85"/>
      <c r="AA9" s="85"/>
      <c r="AB9" s="85"/>
      <c r="AE9" s="85"/>
      <c r="AG9" s="85"/>
      <c r="AI9" s="85"/>
      <c r="AK9" s="86"/>
    </row>
    <row r="10" spans="1:37">
      <c r="A10" s="84" t="s">
        <v>2092</v>
      </c>
      <c r="D10" s="84" t="s">
        <v>1806</v>
      </c>
      <c r="F10" s="103"/>
      <c r="G10" s="103"/>
      <c r="H10" s="103"/>
      <c r="I10" s="103"/>
      <c r="R10" s="85"/>
      <c r="Z10" s="85"/>
      <c r="AA10" s="85"/>
      <c r="AB10" s="85"/>
      <c r="AE10" s="85"/>
      <c r="AG10" s="85"/>
      <c r="AI10" s="85"/>
      <c r="AK10" s="86"/>
    </row>
    <row r="11" spans="1:37">
      <c r="A11" s="84" t="s">
        <v>2082</v>
      </c>
      <c r="D11" s="84" t="s">
        <v>1806</v>
      </c>
      <c r="F11" s="103"/>
      <c r="G11" s="103"/>
      <c r="H11" s="103"/>
      <c r="I11" s="103"/>
      <c r="R11" s="85"/>
      <c r="Z11" s="85"/>
      <c r="AA11" s="85"/>
      <c r="AB11" s="85"/>
      <c r="AE11" s="85"/>
      <c r="AG11" s="85"/>
      <c r="AI11" s="85"/>
      <c r="AK11" s="86"/>
    </row>
    <row r="12" spans="1:37">
      <c r="A12" s="84" t="s">
        <v>2095</v>
      </c>
      <c r="D12" s="84" t="s">
        <v>1807</v>
      </c>
      <c r="F12" s="103"/>
      <c r="G12" s="103"/>
      <c r="H12" s="103"/>
      <c r="I12" s="103"/>
      <c r="R12" s="85"/>
      <c r="Z12" s="85"/>
      <c r="AA12" s="85"/>
      <c r="AB12" s="85"/>
      <c r="AE12" s="85"/>
      <c r="AG12" s="85"/>
      <c r="AI12" s="85"/>
      <c r="AK12" s="86"/>
    </row>
    <row r="13" spans="1:37">
      <c r="A13" s="84" t="s">
        <v>1365</v>
      </c>
      <c r="B13" t="s">
        <v>36</v>
      </c>
      <c r="C13" s="93" t="s">
        <v>1957</v>
      </c>
      <c r="D13" s="84" t="s">
        <v>1806</v>
      </c>
      <c r="F13" s="85">
        <v>0.2</v>
      </c>
      <c r="G13" s="85">
        <v>0.9</v>
      </c>
      <c r="H13" s="85"/>
      <c r="I13" s="85"/>
      <c r="J13" s="86"/>
      <c r="L13" s="85"/>
      <c r="M13" t="s">
        <v>1838</v>
      </c>
      <c r="N13" s="85">
        <v>1</v>
      </c>
      <c r="P13" s="86"/>
      <c r="R13" s="85"/>
      <c r="Y13" s="85"/>
      <c r="Z13" s="85"/>
      <c r="AA13" s="85"/>
      <c r="AB13" s="85"/>
      <c r="AE13" s="85"/>
      <c r="AG13" s="85"/>
      <c r="AI13" s="85"/>
      <c r="AK13" s="86"/>
    </row>
    <row r="14" spans="1:37">
      <c r="A14" s="84" t="s">
        <v>1038</v>
      </c>
      <c r="B14" t="s">
        <v>1385</v>
      </c>
      <c r="C14" s="99" t="s">
        <v>1932</v>
      </c>
      <c r="D14" s="84" t="s">
        <v>1806</v>
      </c>
      <c r="F14" s="103">
        <v>0.1</v>
      </c>
      <c r="G14" s="103">
        <v>0.9</v>
      </c>
      <c r="H14" s="103"/>
      <c r="I14" s="103"/>
      <c r="J14" s="86"/>
      <c r="L14" s="85"/>
      <c r="N14" s="85"/>
      <c r="P14" s="86"/>
      <c r="Q14" s="84">
        <v>0</v>
      </c>
      <c r="R14" s="85"/>
      <c r="Y14" s="85"/>
      <c r="Z14" s="85"/>
      <c r="AA14" s="85"/>
      <c r="AB14" s="85"/>
      <c r="AE14" s="85"/>
      <c r="AG14" s="85"/>
      <c r="AI14" s="85"/>
      <c r="AK14" s="86"/>
    </row>
    <row r="15" spans="1:37">
      <c r="A15" s="84" t="s">
        <v>1761</v>
      </c>
      <c r="B15" t="s">
        <v>1388</v>
      </c>
      <c r="C15" s="87" t="s">
        <v>1762</v>
      </c>
      <c r="D15" s="84" t="s">
        <v>1806</v>
      </c>
      <c r="F15" s="85"/>
      <c r="G15" s="85"/>
      <c r="H15" s="85"/>
      <c r="I15" s="85"/>
      <c r="J15" s="86"/>
      <c r="L15" s="85"/>
      <c r="N15" s="85"/>
      <c r="P15" s="86"/>
      <c r="R15" s="85"/>
      <c r="Y15" s="85"/>
      <c r="Z15" s="85"/>
      <c r="AA15" s="85"/>
      <c r="AB15" s="85"/>
      <c r="AE15" s="85"/>
      <c r="AG15" s="85"/>
      <c r="AI15" s="85"/>
      <c r="AK15" s="86"/>
    </row>
    <row r="16" spans="1:37">
      <c r="A16" s="84" t="s">
        <v>1625</v>
      </c>
      <c r="D16" s="84" t="s">
        <v>1806</v>
      </c>
      <c r="F16" s="103"/>
      <c r="G16" s="103"/>
      <c r="H16" s="103"/>
      <c r="I16" s="103"/>
      <c r="R16" s="85"/>
      <c r="Z16" s="85"/>
      <c r="AA16" s="85"/>
      <c r="AB16" s="85"/>
      <c r="AE16" s="85"/>
      <c r="AG16" s="85"/>
      <c r="AI16" s="85"/>
      <c r="AK16" s="86"/>
    </row>
    <row r="17" spans="1:37">
      <c r="A17" s="84" t="s">
        <v>1590</v>
      </c>
      <c r="D17" s="84" t="s">
        <v>1806</v>
      </c>
      <c r="F17" s="103"/>
      <c r="G17" s="103"/>
      <c r="H17" s="103"/>
      <c r="I17" s="103"/>
      <c r="R17" s="85"/>
      <c r="Z17" s="85"/>
      <c r="AA17" s="85"/>
      <c r="AB17" s="85"/>
      <c r="AE17" s="85"/>
      <c r="AG17" s="85"/>
      <c r="AI17" s="85"/>
      <c r="AK17" s="86"/>
    </row>
    <row r="18" spans="1:37">
      <c r="A18" s="84" t="s">
        <v>1715</v>
      </c>
      <c r="B18" t="s">
        <v>1381</v>
      </c>
      <c r="C18" s="87" t="s">
        <v>1915</v>
      </c>
      <c r="D18" s="84" t="s">
        <v>1807</v>
      </c>
      <c r="F18" s="85">
        <v>0.1</v>
      </c>
      <c r="G18" s="85">
        <v>1</v>
      </c>
      <c r="H18" s="85"/>
      <c r="I18" s="85"/>
      <c r="J18" s="86"/>
      <c r="L18" s="85"/>
      <c r="N18" s="85"/>
      <c r="P18" s="86"/>
      <c r="Q18" s="84">
        <v>0</v>
      </c>
      <c r="R18" s="85"/>
      <c r="Y18" s="85"/>
      <c r="Z18" s="85"/>
      <c r="AA18" s="85"/>
      <c r="AB18" s="85"/>
      <c r="AE18" s="85"/>
      <c r="AF18">
        <v>6</v>
      </c>
      <c r="AG18" s="85">
        <v>1</v>
      </c>
      <c r="AI18" s="85"/>
      <c r="AK18" s="86"/>
    </row>
    <row r="19" spans="1:37">
      <c r="A19" s="84" t="s">
        <v>2065</v>
      </c>
      <c r="D19" s="84" t="s">
        <v>1806</v>
      </c>
      <c r="F19" s="103"/>
      <c r="G19" s="103"/>
      <c r="H19" s="103"/>
      <c r="I19" s="103"/>
      <c r="R19" s="85"/>
      <c r="Z19" s="85"/>
      <c r="AA19" s="85"/>
      <c r="AB19" s="85"/>
      <c r="AE19" s="85"/>
      <c r="AG19" s="85"/>
      <c r="AI19" s="85"/>
      <c r="AK19" s="86"/>
    </row>
    <row r="20" spans="1:37">
      <c r="A20" s="84" t="s">
        <v>2118</v>
      </c>
      <c r="D20" s="84" t="s">
        <v>1806</v>
      </c>
      <c r="F20" s="103"/>
      <c r="G20" s="103"/>
      <c r="H20" s="103"/>
      <c r="I20" s="103"/>
      <c r="R20" s="85"/>
      <c r="Z20" s="85"/>
      <c r="AA20" s="85"/>
      <c r="AB20" s="85"/>
      <c r="AE20" s="85"/>
      <c r="AG20" s="85"/>
      <c r="AI20" s="85"/>
      <c r="AK20" s="86"/>
    </row>
    <row r="21" spans="1:37">
      <c r="A21" s="84" t="s">
        <v>1350</v>
      </c>
      <c r="B21" t="s">
        <v>36</v>
      </c>
      <c r="C21" s="87" t="s">
        <v>1395</v>
      </c>
      <c r="D21" s="84" t="s">
        <v>1807</v>
      </c>
      <c r="F21" s="85" t="s">
        <v>1807</v>
      </c>
      <c r="G21" s="85">
        <v>1</v>
      </c>
      <c r="H21" s="85"/>
      <c r="I21" s="85"/>
      <c r="J21" s="86"/>
      <c r="L21" s="85"/>
      <c r="N21" s="85"/>
      <c r="P21" s="86"/>
      <c r="R21" s="85"/>
      <c r="Y21" s="85"/>
      <c r="Z21" s="85">
        <v>0.5</v>
      </c>
      <c r="AA21" s="85"/>
      <c r="AB21" s="85"/>
      <c r="AE21" s="85"/>
      <c r="AG21" s="85"/>
      <c r="AI21" s="85"/>
      <c r="AK21" s="86"/>
    </row>
    <row r="22" spans="1:37">
      <c r="A22" s="84" t="s">
        <v>1105</v>
      </c>
      <c r="B22" t="s">
        <v>36</v>
      </c>
      <c r="C22" s="98" t="s">
        <v>1952</v>
      </c>
      <c r="D22" s="84" t="s">
        <v>1807</v>
      </c>
      <c r="F22" s="85" t="s">
        <v>1807</v>
      </c>
      <c r="G22" s="85">
        <v>1</v>
      </c>
      <c r="H22" s="85"/>
      <c r="I22" s="85"/>
      <c r="J22" s="86"/>
      <c r="L22" s="85"/>
      <c r="N22" s="85"/>
      <c r="P22" s="86"/>
      <c r="R22" s="85"/>
      <c r="Y22" s="85"/>
      <c r="Z22" s="85"/>
      <c r="AA22" s="85"/>
      <c r="AB22" s="85"/>
      <c r="AE22" s="85"/>
      <c r="AG22" s="85"/>
      <c r="AI22" s="85"/>
      <c r="AK22" s="86"/>
    </row>
    <row r="23" spans="1:37">
      <c r="A23" s="84" t="s">
        <v>1005</v>
      </c>
      <c r="B23" t="s">
        <v>36</v>
      </c>
      <c r="C23" s="93" t="s">
        <v>1109</v>
      </c>
      <c r="D23" s="84" t="s">
        <v>1806</v>
      </c>
      <c r="F23" s="85">
        <v>0.1</v>
      </c>
      <c r="G23" s="85">
        <v>0.9</v>
      </c>
      <c r="H23" s="85"/>
      <c r="I23" s="85"/>
      <c r="J23" s="86"/>
      <c r="L23" s="85"/>
      <c r="N23" s="85"/>
      <c r="P23" s="86"/>
      <c r="R23" s="85"/>
      <c r="Y23" s="85"/>
      <c r="Z23" s="85"/>
      <c r="AA23" s="85"/>
      <c r="AB23" s="85"/>
      <c r="AE23" s="85"/>
      <c r="AG23" s="85"/>
      <c r="AI23" s="85"/>
      <c r="AK23" s="86"/>
    </row>
    <row r="24" spans="1:37">
      <c r="A24" s="84" t="s">
        <v>1687</v>
      </c>
      <c r="B24" t="s">
        <v>1232</v>
      </c>
      <c r="C24" s="87" t="s">
        <v>1688</v>
      </c>
      <c r="D24" s="84" t="s">
        <v>1806</v>
      </c>
      <c r="F24" s="85"/>
      <c r="G24" s="85"/>
      <c r="H24" s="85"/>
      <c r="I24" s="85"/>
      <c r="J24" s="86"/>
      <c r="L24" s="85"/>
      <c r="N24" s="85"/>
      <c r="P24" s="86"/>
      <c r="R24" s="85"/>
      <c r="Y24" s="85"/>
      <c r="Z24" s="85"/>
      <c r="AA24" s="85"/>
      <c r="AB24" s="85"/>
      <c r="AE24" s="85"/>
      <c r="AG24" s="85"/>
      <c r="AI24" s="85"/>
      <c r="AK24" s="86"/>
    </row>
    <row r="25" spans="1:37">
      <c r="A25" s="84" t="s">
        <v>1207</v>
      </c>
      <c r="B25" t="s">
        <v>1380</v>
      </c>
      <c r="C25" s="98" t="s">
        <v>1508</v>
      </c>
      <c r="D25" s="84" t="s">
        <v>1807</v>
      </c>
      <c r="F25" s="85" t="s">
        <v>1807</v>
      </c>
      <c r="G25" s="85">
        <v>1</v>
      </c>
      <c r="H25" s="85"/>
      <c r="I25" s="85"/>
      <c r="J25" s="86"/>
      <c r="L25" s="85"/>
      <c r="N25" s="85"/>
      <c r="P25" s="86"/>
      <c r="R25" s="85"/>
      <c r="Y25" s="85"/>
      <c r="Z25" s="85"/>
      <c r="AA25" s="85"/>
      <c r="AB25" s="85"/>
      <c r="AC25" t="s">
        <v>1542</v>
      </c>
      <c r="AE25" s="85"/>
      <c r="AG25" s="85"/>
      <c r="AI25" s="85"/>
      <c r="AK25" s="86"/>
    </row>
    <row r="26" spans="1:37">
      <c r="A26" s="84" t="s">
        <v>2110</v>
      </c>
      <c r="D26" s="84" t="s">
        <v>1806</v>
      </c>
      <c r="F26" s="103"/>
      <c r="G26" s="103"/>
      <c r="H26" s="103"/>
      <c r="I26" s="103"/>
      <c r="R26" s="85"/>
      <c r="Z26" s="85"/>
      <c r="AA26" s="85"/>
      <c r="AB26" s="85"/>
      <c r="AE26" s="85"/>
      <c r="AG26" s="85"/>
      <c r="AI26" s="85"/>
      <c r="AK26" s="86"/>
    </row>
    <row r="27" spans="1:37">
      <c r="A27" s="84" t="s">
        <v>1006</v>
      </c>
      <c r="B27" t="s">
        <v>1387</v>
      </c>
      <c r="C27" s="87" t="s">
        <v>1411</v>
      </c>
      <c r="D27" s="84" t="s">
        <v>1806</v>
      </c>
      <c r="F27" s="85">
        <v>0.1</v>
      </c>
      <c r="G27" s="85">
        <v>0.9</v>
      </c>
      <c r="H27" s="85"/>
      <c r="I27" s="85"/>
      <c r="J27" s="86"/>
      <c r="K27" s="84" t="s">
        <v>1810</v>
      </c>
      <c r="L27" s="85">
        <v>0.1</v>
      </c>
      <c r="N27" s="85"/>
      <c r="P27" s="86"/>
      <c r="R27" s="85"/>
      <c r="Y27" s="85"/>
      <c r="Z27" s="85"/>
      <c r="AA27" s="85"/>
      <c r="AB27" s="85"/>
      <c r="AE27" s="85"/>
      <c r="AG27" s="85"/>
      <c r="AI27" s="85"/>
      <c r="AK27" s="86"/>
    </row>
    <row r="28" spans="1:37">
      <c r="A28" s="84" t="s">
        <v>1684</v>
      </c>
      <c r="D28" s="84" t="s">
        <v>1806</v>
      </c>
      <c r="F28" s="103"/>
      <c r="G28" s="103"/>
      <c r="H28" s="103"/>
      <c r="I28" s="103"/>
      <c r="R28" s="85"/>
      <c r="Z28" s="85"/>
      <c r="AA28" s="85"/>
      <c r="AB28" s="85"/>
      <c r="AE28" s="85"/>
      <c r="AG28" s="85"/>
      <c r="AI28" s="85"/>
      <c r="AK28" s="86"/>
    </row>
    <row r="29" spans="1:37">
      <c r="A29" s="84" t="s">
        <v>1228</v>
      </c>
      <c r="B29" t="s">
        <v>36</v>
      </c>
      <c r="C29" s="87" t="s">
        <v>1427</v>
      </c>
      <c r="D29" s="84" t="s">
        <v>1806</v>
      </c>
      <c r="F29" s="85">
        <v>0.1</v>
      </c>
      <c r="G29" s="85">
        <v>0.9</v>
      </c>
      <c r="H29" s="85"/>
      <c r="I29" s="85"/>
      <c r="J29" s="86"/>
      <c r="L29" s="85"/>
      <c r="N29" s="85"/>
      <c r="P29" s="86"/>
      <c r="Q29" s="84">
        <v>1</v>
      </c>
      <c r="R29" s="85"/>
      <c r="Y29" s="85"/>
      <c r="Z29" s="85"/>
      <c r="AA29" s="85"/>
      <c r="AB29" s="85"/>
      <c r="AE29" s="85"/>
      <c r="AG29" s="85"/>
      <c r="AI29" s="85"/>
      <c r="AK29" s="86"/>
    </row>
    <row r="30" spans="1:37">
      <c r="A30" s="84" t="s">
        <v>1747</v>
      </c>
      <c r="D30" s="84" t="s">
        <v>1806</v>
      </c>
      <c r="F30" s="103"/>
      <c r="G30" s="103"/>
      <c r="H30" s="103"/>
      <c r="I30" s="103"/>
      <c r="R30" s="85"/>
      <c r="Z30" s="85"/>
      <c r="AA30" s="85"/>
      <c r="AB30" s="85"/>
      <c r="AE30" s="85"/>
      <c r="AG30" s="85"/>
      <c r="AI30" s="85"/>
      <c r="AK30" s="86"/>
    </row>
    <row r="31" spans="1:37">
      <c r="A31" s="84" t="s">
        <v>1309</v>
      </c>
      <c r="B31" t="s">
        <v>1388</v>
      </c>
      <c r="C31" s="93" t="s">
        <v>1427</v>
      </c>
      <c r="D31" s="84" t="s">
        <v>1806</v>
      </c>
      <c r="F31" s="85"/>
      <c r="G31" s="85"/>
      <c r="H31" s="85"/>
      <c r="I31" s="85"/>
      <c r="J31" s="86"/>
      <c r="L31" s="85"/>
      <c r="N31" s="85"/>
      <c r="P31" s="86"/>
      <c r="R31" s="85"/>
      <c r="Y31" s="85"/>
      <c r="Z31" s="85"/>
      <c r="AA31" s="85"/>
      <c r="AB31" s="85"/>
      <c r="AE31" s="85"/>
      <c r="AG31" s="85"/>
      <c r="AI31" s="85"/>
      <c r="AK31" s="86"/>
    </row>
    <row r="32" spans="1:37">
      <c r="A32" s="84" t="s">
        <v>1048</v>
      </c>
      <c r="B32" t="s">
        <v>1388</v>
      </c>
      <c r="C32" s="93" t="s">
        <v>1109</v>
      </c>
      <c r="D32" s="84" t="s">
        <v>1806</v>
      </c>
      <c r="F32" s="85"/>
      <c r="G32" s="85"/>
      <c r="H32" s="85"/>
      <c r="I32" s="85"/>
      <c r="J32" s="86"/>
      <c r="L32" s="85"/>
      <c r="N32" s="85"/>
      <c r="P32" s="86"/>
      <c r="R32" s="85"/>
      <c r="Y32" s="85"/>
      <c r="Z32" s="85"/>
      <c r="AA32" s="85"/>
      <c r="AB32" s="85"/>
      <c r="AE32" s="85"/>
      <c r="AG32" s="85"/>
      <c r="AI32" s="85"/>
      <c r="AK32" s="86"/>
    </row>
    <row r="33" spans="1:37">
      <c r="A33" s="84" t="s">
        <v>1219</v>
      </c>
      <c r="B33" t="s">
        <v>36</v>
      </c>
      <c r="C33" s="87" t="s">
        <v>1404</v>
      </c>
      <c r="D33" s="84" t="s">
        <v>1806</v>
      </c>
      <c r="E33">
        <v>0.5</v>
      </c>
      <c r="F33" s="85">
        <v>0.1</v>
      </c>
      <c r="G33" s="85">
        <v>0.7</v>
      </c>
      <c r="H33" s="85"/>
      <c r="I33" s="85"/>
      <c r="J33" s="86"/>
      <c r="L33" s="85"/>
      <c r="N33" s="85"/>
      <c r="P33" s="86"/>
      <c r="R33" s="85"/>
      <c r="Y33" s="85"/>
      <c r="Z33" s="85"/>
      <c r="AA33" s="85"/>
      <c r="AB33" s="85"/>
      <c r="AE33" s="85"/>
      <c r="AG33" s="85"/>
      <c r="AI33" s="85"/>
      <c r="AK33" s="86"/>
    </row>
    <row r="34" spans="1:37">
      <c r="A34" s="84" t="s">
        <v>2109</v>
      </c>
      <c r="D34" s="84" t="s">
        <v>1807</v>
      </c>
      <c r="F34" s="103"/>
      <c r="G34" s="103"/>
      <c r="H34" s="103"/>
      <c r="I34" s="103"/>
      <c r="R34" s="85"/>
      <c r="Z34" s="85"/>
      <c r="AA34" s="85"/>
      <c r="AB34" s="85"/>
      <c r="AE34" s="85"/>
      <c r="AG34" s="85"/>
      <c r="AI34" s="85"/>
      <c r="AK34" s="86"/>
    </row>
    <row r="35" spans="1:37">
      <c r="A35" s="84" t="s">
        <v>2104</v>
      </c>
      <c r="D35" s="84" t="s">
        <v>1807</v>
      </c>
      <c r="F35" s="103"/>
      <c r="G35" s="103"/>
      <c r="H35" s="103"/>
      <c r="I35" s="103"/>
      <c r="R35" s="85"/>
      <c r="Z35" s="85"/>
      <c r="AA35" s="85"/>
      <c r="AB35" s="85"/>
      <c r="AE35" s="85"/>
      <c r="AG35" s="85"/>
      <c r="AI35" s="85"/>
      <c r="AK35" s="86"/>
    </row>
    <row r="36" spans="1:37">
      <c r="A36" s="84" t="s">
        <v>1152</v>
      </c>
      <c r="B36" t="s">
        <v>36</v>
      </c>
      <c r="C36" s="98" t="s">
        <v>1778</v>
      </c>
      <c r="D36" s="84" t="s">
        <v>1806</v>
      </c>
      <c r="E36">
        <v>2</v>
      </c>
      <c r="F36" s="85">
        <v>0.1</v>
      </c>
      <c r="G36" s="85">
        <v>1</v>
      </c>
      <c r="H36" s="85"/>
      <c r="I36" s="85"/>
      <c r="J36" s="86"/>
      <c r="L36" s="85"/>
      <c r="N36" s="85"/>
      <c r="P36" s="86"/>
      <c r="R36" s="85"/>
      <c r="Y36" s="85"/>
      <c r="Z36" s="85"/>
      <c r="AA36" s="85"/>
      <c r="AB36" s="85">
        <v>1</v>
      </c>
      <c r="AE36" s="85"/>
      <c r="AG36" s="85"/>
      <c r="AI36" s="85"/>
      <c r="AK36" s="86"/>
    </row>
    <row r="37" spans="1:37">
      <c r="A37" s="84" t="s">
        <v>1281</v>
      </c>
      <c r="B37" t="s">
        <v>1390</v>
      </c>
      <c r="C37" s="93" t="s">
        <v>1432</v>
      </c>
      <c r="D37" s="84" t="s">
        <v>1806</v>
      </c>
      <c r="F37" s="85"/>
      <c r="G37" s="85"/>
      <c r="H37" s="85"/>
      <c r="I37" s="85"/>
      <c r="J37" s="86"/>
      <c r="L37" s="85"/>
      <c r="N37" s="85"/>
      <c r="P37" s="86"/>
      <c r="R37" s="85"/>
      <c r="Y37" s="85"/>
      <c r="Z37" s="85"/>
      <c r="AA37" s="85"/>
      <c r="AB37" s="85"/>
      <c r="AE37" s="85"/>
      <c r="AG37" s="85"/>
      <c r="AI37" s="85"/>
      <c r="AK37" s="86"/>
    </row>
    <row r="38" spans="1:37">
      <c r="A38" s="84" t="s">
        <v>2108</v>
      </c>
      <c r="D38" s="84" t="s">
        <v>1807</v>
      </c>
      <c r="F38" s="103"/>
      <c r="G38" s="103"/>
      <c r="H38" s="103"/>
      <c r="I38" s="103"/>
      <c r="R38" s="85"/>
      <c r="Z38" s="85"/>
      <c r="AA38" s="85"/>
      <c r="AB38" s="85"/>
      <c r="AE38" s="85"/>
      <c r="AG38" s="85"/>
      <c r="AI38" s="85"/>
      <c r="AK38" s="86"/>
    </row>
    <row r="39" spans="1:37">
      <c r="A39" s="84" t="s">
        <v>1765</v>
      </c>
      <c r="D39" s="84" t="s">
        <v>1807</v>
      </c>
      <c r="F39" s="103"/>
      <c r="G39" s="103"/>
      <c r="H39" s="103"/>
      <c r="I39" s="103"/>
      <c r="R39" s="85"/>
      <c r="Z39" s="85"/>
      <c r="AA39" s="85"/>
      <c r="AB39" s="85"/>
      <c r="AE39" s="85"/>
      <c r="AG39" s="85"/>
      <c r="AI39" s="85"/>
      <c r="AK39" s="86"/>
    </row>
    <row r="40" spans="1:37">
      <c r="A40" s="84" t="s">
        <v>1649</v>
      </c>
      <c r="D40" s="84" t="s">
        <v>1806</v>
      </c>
      <c r="F40" s="103"/>
      <c r="G40" s="103"/>
      <c r="H40" s="103"/>
      <c r="I40" s="103"/>
      <c r="R40" s="85"/>
      <c r="Z40" s="85"/>
      <c r="AA40" s="85"/>
      <c r="AB40" s="85"/>
      <c r="AE40" s="85"/>
      <c r="AG40" s="85"/>
      <c r="AI40" s="85"/>
      <c r="AK40" s="86"/>
    </row>
    <row r="41" spans="1:37">
      <c r="A41" s="84" t="s">
        <v>1634</v>
      </c>
      <c r="D41" s="84" t="s">
        <v>1807</v>
      </c>
      <c r="F41" s="103"/>
      <c r="G41" s="103"/>
      <c r="H41" s="103"/>
      <c r="I41" s="103"/>
      <c r="R41" s="85"/>
      <c r="Z41" s="85"/>
      <c r="AA41" s="85"/>
      <c r="AB41" s="85"/>
      <c r="AE41" s="85"/>
      <c r="AG41" s="85"/>
      <c r="AI41" s="85"/>
      <c r="AK41" s="86"/>
    </row>
    <row r="42" spans="1:37">
      <c r="A42" s="84" t="s">
        <v>1617</v>
      </c>
      <c r="D42" s="84" t="s">
        <v>1806</v>
      </c>
      <c r="F42" s="103"/>
      <c r="G42" s="103"/>
      <c r="H42" s="103"/>
      <c r="I42" s="103"/>
      <c r="R42" s="85"/>
      <c r="Z42" s="85"/>
      <c r="AA42" s="85"/>
      <c r="AB42" s="85"/>
      <c r="AE42" s="85"/>
      <c r="AG42" s="85"/>
      <c r="AI42" s="85"/>
      <c r="AK42" s="86"/>
    </row>
    <row r="43" spans="1:37">
      <c r="A43" s="84" t="s">
        <v>1234</v>
      </c>
      <c r="B43" t="s">
        <v>1232</v>
      </c>
      <c r="C43" s="93" t="s">
        <v>1109</v>
      </c>
      <c r="D43" s="84" t="s">
        <v>1806</v>
      </c>
      <c r="F43" s="85"/>
      <c r="G43" s="85"/>
      <c r="H43" s="85"/>
      <c r="I43" s="85"/>
      <c r="J43" s="86"/>
      <c r="L43" s="85"/>
      <c r="N43" s="85"/>
      <c r="P43" s="86"/>
      <c r="R43" s="85"/>
      <c r="Y43" s="85"/>
      <c r="Z43" s="85"/>
      <c r="AA43" s="85"/>
      <c r="AB43" s="85"/>
      <c r="AE43" s="85"/>
      <c r="AG43" s="85"/>
      <c r="AI43" s="85"/>
      <c r="AK43" s="86"/>
    </row>
    <row r="44" spans="1:37">
      <c r="A44" s="84" t="s">
        <v>2097</v>
      </c>
      <c r="D44" s="84" t="s">
        <v>1806</v>
      </c>
      <c r="F44" s="103"/>
      <c r="G44" s="103"/>
      <c r="H44" s="103"/>
      <c r="I44" s="103"/>
      <c r="R44" s="85"/>
      <c r="Z44" s="85"/>
      <c r="AA44" s="85"/>
      <c r="AB44" s="85"/>
      <c r="AE44" s="85"/>
      <c r="AG44" s="85"/>
      <c r="AI44" s="85"/>
      <c r="AK44" s="86"/>
    </row>
    <row r="45" spans="1:37">
      <c r="A45" s="84" t="s">
        <v>1620</v>
      </c>
      <c r="D45" s="84" t="s">
        <v>1806</v>
      </c>
      <c r="F45" s="103"/>
      <c r="G45" s="103"/>
      <c r="H45" s="103"/>
      <c r="I45" s="103"/>
      <c r="R45" s="85"/>
      <c r="Z45" s="85"/>
      <c r="AA45" s="85"/>
      <c r="AB45" s="85"/>
      <c r="AE45" s="85"/>
      <c r="AG45" s="85"/>
      <c r="AI45" s="85"/>
      <c r="AK45" s="86"/>
    </row>
    <row r="46" spans="1:37">
      <c r="A46" s="84" t="s">
        <v>1122</v>
      </c>
      <c r="B46" t="s">
        <v>1054</v>
      </c>
      <c r="C46" s="93" t="s">
        <v>1939</v>
      </c>
      <c r="D46" s="84" t="s">
        <v>1806</v>
      </c>
      <c r="F46" s="85">
        <v>0.1</v>
      </c>
      <c r="G46" s="85">
        <v>0.9</v>
      </c>
      <c r="H46" s="85"/>
      <c r="I46" s="85"/>
      <c r="J46" s="86"/>
      <c r="L46" s="85"/>
      <c r="N46" s="85"/>
      <c r="P46" s="86"/>
      <c r="R46" s="85"/>
      <c r="W46">
        <v>-1</v>
      </c>
      <c r="X46" s="86">
        <v>0.1</v>
      </c>
      <c r="Y46" s="85"/>
      <c r="Z46" s="85"/>
      <c r="AA46" s="85"/>
      <c r="AB46" s="85"/>
      <c r="AE46" s="85"/>
      <c r="AG46" s="85"/>
      <c r="AI46" s="85"/>
      <c r="AK46" s="86"/>
    </row>
    <row r="47" spans="1:37">
      <c r="A47" s="84" t="s">
        <v>1797</v>
      </c>
      <c r="D47" s="84" t="s">
        <v>1806</v>
      </c>
      <c r="F47" s="103"/>
      <c r="G47" s="103"/>
      <c r="H47" s="103"/>
      <c r="I47" s="103"/>
      <c r="R47" s="85"/>
      <c r="Z47" s="85"/>
      <c r="AA47" s="85"/>
      <c r="AB47" s="85"/>
      <c r="AE47" s="85"/>
      <c r="AG47" s="85"/>
      <c r="AI47" s="85"/>
      <c r="AK47" s="86"/>
    </row>
    <row r="48" spans="1:37">
      <c r="A48" s="84" t="s">
        <v>1297</v>
      </c>
      <c r="B48" t="s">
        <v>1379</v>
      </c>
      <c r="C48" s="87" t="s">
        <v>1582</v>
      </c>
      <c r="D48" s="84" t="s">
        <v>1806</v>
      </c>
      <c r="F48" s="85"/>
      <c r="G48" s="85"/>
      <c r="H48" s="85"/>
      <c r="I48" s="85"/>
      <c r="J48" s="86"/>
      <c r="L48" s="85"/>
      <c r="N48" s="85"/>
      <c r="P48" s="86"/>
      <c r="R48" s="85"/>
      <c r="Y48" s="85"/>
      <c r="Z48" s="85"/>
      <c r="AA48" s="85"/>
      <c r="AB48" s="85"/>
      <c r="AE48" s="85"/>
      <c r="AG48" s="85"/>
      <c r="AI48" s="85"/>
      <c r="AK48" s="86"/>
    </row>
    <row r="49" spans="1:37">
      <c r="A49" s="84" t="s">
        <v>1271</v>
      </c>
      <c r="B49" t="s">
        <v>1232</v>
      </c>
      <c r="C49" s="93" t="s">
        <v>1109</v>
      </c>
      <c r="D49" s="84" t="s">
        <v>1806</v>
      </c>
      <c r="F49" s="85"/>
      <c r="G49" s="85"/>
      <c r="H49" s="85"/>
      <c r="I49" s="85"/>
      <c r="J49" s="86"/>
      <c r="L49" s="85"/>
      <c r="N49" s="85"/>
      <c r="P49" s="86"/>
      <c r="R49" s="85"/>
      <c r="Y49" s="85"/>
      <c r="Z49" s="85"/>
      <c r="AA49" s="85"/>
      <c r="AB49" s="85"/>
      <c r="AE49" s="85"/>
      <c r="AG49" s="85"/>
      <c r="AI49" s="85"/>
      <c r="AK49" s="86"/>
    </row>
    <row r="50" spans="1:37">
      <c r="A50" s="84" t="s">
        <v>1633</v>
      </c>
      <c r="D50" s="84" t="s">
        <v>1806</v>
      </c>
      <c r="F50" s="103"/>
      <c r="G50" s="103"/>
      <c r="H50" s="103"/>
      <c r="I50" s="103"/>
      <c r="R50" s="85"/>
      <c r="Z50" s="85"/>
      <c r="AA50" s="85"/>
      <c r="AB50" s="85"/>
      <c r="AE50" s="85"/>
      <c r="AG50" s="85"/>
      <c r="AI50" s="85"/>
      <c r="AK50" s="86"/>
    </row>
    <row r="51" spans="1:37">
      <c r="A51" s="84" t="s">
        <v>1351</v>
      </c>
      <c r="B51" t="s">
        <v>1381</v>
      </c>
      <c r="C51" s="93" t="s">
        <v>1109</v>
      </c>
      <c r="D51" s="84" t="s">
        <v>1806</v>
      </c>
      <c r="F51" s="85">
        <v>0.1</v>
      </c>
      <c r="G51" s="85">
        <v>0.9</v>
      </c>
      <c r="H51" s="85"/>
      <c r="I51" s="85"/>
      <c r="J51" s="86"/>
      <c r="L51" s="85"/>
      <c r="N51" s="85"/>
      <c r="P51" s="86"/>
      <c r="Q51" s="84">
        <v>0</v>
      </c>
      <c r="R51" s="85"/>
      <c r="Y51" s="85"/>
      <c r="Z51" s="85"/>
      <c r="AA51" s="85"/>
      <c r="AB51" s="85"/>
      <c r="AE51" s="85"/>
      <c r="AG51" s="85"/>
      <c r="AI51" s="85"/>
      <c r="AK51" s="86"/>
    </row>
    <row r="52" spans="1:37">
      <c r="A52" s="84" t="s">
        <v>1270</v>
      </c>
      <c r="B52" t="s">
        <v>1379</v>
      </c>
      <c r="C52" s="87" t="s">
        <v>1419</v>
      </c>
      <c r="D52" s="84" t="s">
        <v>1806</v>
      </c>
      <c r="F52" s="85"/>
      <c r="G52" s="85"/>
      <c r="H52" s="85"/>
      <c r="I52" s="85"/>
      <c r="J52" s="86"/>
      <c r="L52" s="85"/>
      <c r="N52" s="85"/>
      <c r="P52" s="86"/>
      <c r="R52" s="85"/>
      <c r="Y52" s="85"/>
      <c r="Z52" s="85"/>
      <c r="AA52" s="85"/>
      <c r="AB52" s="85"/>
      <c r="AE52" s="85"/>
      <c r="AG52" s="85"/>
      <c r="AI52" s="85"/>
      <c r="AK52" s="86"/>
    </row>
    <row r="53" spans="1:37">
      <c r="A53" s="84" t="s">
        <v>1577</v>
      </c>
      <c r="D53" s="84" t="s">
        <v>1807</v>
      </c>
      <c r="F53" s="103"/>
      <c r="G53" s="103"/>
      <c r="H53" s="103"/>
      <c r="I53" s="103"/>
      <c r="R53" s="85"/>
      <c r="Z53" s="85"/>
      <c r="AA53" s="85"/>
      <c r="AB53" s="85"/>
      <c r="AE53" s="85"/>
      <c r="AG53" s="85"/>
      <c r="AI53" s="85"/>
      <c r="AK53" s="86"/>
    </row>
    <row r="54" spans="1:37">
      <c r="A54" s="84" t="s">
        <v>1676</v>
      </c>
      <c r="D54" s="84" t="s">
        <v>1806</v>
      </c>
      <c r="F54" s="103"/>
      <c r="G54" s="103"/>
      <c r="H54" s="103"/>
      <c r="I54" s="103"/>
      <c r="R54" s="85"/>
      <c r="Z54" s="85"/>
      <c r="AA54" s="85"/>
      <c r="AB54" s="85"/>
      <c r="AE54" s="85"/>
      <c r="AG54" s="85"/>
      <c r="AI54" s="85"/>
      <c r="AK54" s="86"/>
    </row>
    <row r="55" spans="1:37">
      <c r="A55" s="84" t="s">
        <v>1581</v>
      </c>
      <c r="D55" s="84" t="s">
        <v>1806</v>
      </c>
      <c r="F55" s="103"/>
      <c r="G55" s="103"/>
      <c r="H55" s="103"/>
      <c r="I55" s="103"/>
      <c r="R55" s="85"/>
      <c r="Z55" s="85"/>
      <c r="AA55" s="85"/>
      <c r="AB55" s="85"/>
      <c r="AE55" s="85"/>
      <c r="AG55" s="85"/>
      <c r="AI55" s="85"/>
      <c r="AK55" s="86"/>
    </row>
    <row r="56" spans="1:37">
      <c r="A56" s="84" t="s">
        <v>1007</v>
      </c>
      <c r="B56" t="s">
        <v>772</v>
      </c>
      <c r="C56" s="93" t="s">
        <v>1928</v>
      </c>
      <c r="D56" s="84" t="s">
        <v>1806</v>
      </c>
      <c r="F56" s="85">
        <v>0.1</v>
      </c>
      <c r="G56" s="85">
        <v>0.9</v>
      </c>
      <c r="H56" s="85"/>
      <c r="I56" s="85"/>
      <c r="J56" s="86"/>
      <c r="L56" s="85"/>
      <c r="N56" s="85"/>
      <c r="P56" s="86"/>
      <c r="Q56" s="84">
        <v>0</v>
      </c>
      <c r="R56" s="85"/>
      <c r="U56">
        <v>-1</v>
      </c>
      <c r="V56" s="85">
        <v>0.2</v>
      </c>
      <c r="Y56" s="85"/>
      <c r="Z56" s="85"/>
      <c r="AA56" s="85"/>
      <c r="AB56" s="85"/>
      <c r="AE56" s="85"/>
      <c r="AG56" s="85"/>
      <c r="AI56" s="85"/>
      <c r="AK56" s="86"/>
    </row>
    <row r="57" spans="1:37">
      <c r="A57" s="84" t="s">
        <v>1675</v>
      </c>
      <c r="D57" s="84" t="s">
        <v>1806</v>
      </c>
      <c r="F57" s="103"/>
      <c r="G57" s="103"/>
      <c r="H57" s="103"/>
      <c r="I57" s="103"/>
      <c r="R57" s="85"/>
      <c r="Z57" s="85"/>
      <c r="AA57" s="85"/>
      <c r="AB57" s="85"/>
      <c r="AE57" s="85"/>
      <c r="AG57" s="85"/>
      <c r="AI57" s="85"/>
      <c r="AK57" s="86"/>
    </row>
    <row r="58" spans="1:37">
      <c r="A58" s="84" t="s">
        <v>1277</v>
      </c>
      <c r="B58" t="s">
        <v>1083</v>
      </c>
      <c r="C58" s="93" t="s">
        <v>1431</v>
      </c>
      <c r="D58" s="84" t="s">
        <v>1806</v>
      </c>
      <c r="F58" s="85">
        <v>0.1</v>
      </c>
      <c r="G58" s="85">
        <v>0.9</v>
      </c>
      <c r="H58" s="85"/>
      <c r="I58" s="85"/>
      <c r="J58" s="86"/>
      <c r="L58" s="85"/>
      <c r="M58" t="s">
        <v>1849</v>
      </c>
      <c r="N58" s="85">
        <v>0.1</v>
      </c>
      <c r="P58" s="86"/>
      <c r="R58" s="85"/>
      <c r="Y58" s="85"/>
      <c r="Z58" s="85"/>
      <c r="AA58" s="85"/>
      <c r="AB58" s="85"/>
      <c r="AE58" s="85"/>
      <c r="AG58" s="85"/>
      <c r="AI58" s="85"/>
      <c r="AK58" s="86"/>
    </row>
    <row r="59" spans="1:37">
      <c r="A59" s="84" t="s">
        <v>2117</v>
      </c>
      <c r="D59" s="84" t="s">
        <v>1806</v>
      </c>
      <c r="F59" s="103"/>
      <c r="G59" s="103"/>
      <c r="H59" s="103"/>
      <c r="I59" s="103"/>
      <c r="R59" s="85"/>
      <c r="Z59" s="85"/>
      <c r="AA59" s="85"/>
      <c r="AB59" s="85"/>
      <c r="AE59" s="85"/>
      <c r="AG59" s="85"/>
      <c r="AI59" s="85"/>
      <c r="AK59" s="86"/>
    </row>
    <row r="60" spans="1:37">
      <c r="A60" s="84" t="s">
        <v>1662</v>
      </c>
      <c r="D60" s="84" t="s">
        <v>1806</v>
      </c>
      <c r="F60" s="103"/>
      <c r="G60" s="103"/>
      <c r="H60" s="103"/>
      <c r="I60" s="103"/>
      <c r="R60" s="85"/>
      <c r="Z60" s="85"/>
      <c r="AA60" s="85"/>
      <c r="AB60" s="85"/>
      <c r="AE60" s="85"/>
      <c r="AG60" s="85"/>
      <c r="AI60" s="85"/>
      <c r="AK60" s="86"/>
    </row>
    <row r="61" spans="1:37">
      <c r="A61" s="84" t="s">
        <v>1257</v>
      </c>
      <c r="B61" t="s">
        <v>36</v>
      </c>
      <c r="C61" s="87" t="s">
        <v>1485</v>
      </c>
      <c r="D61" s="84" t="s">
        <v>1807</v>
      </c>
      <c r="F61" s="85" t="s">
        <v>1807</v>
      </c>
      <c r="G61" s="85">
        <v>0.6</v>
      </c>
      <c r="H61" s="85"/>
      <c r="I61" s="85"/>
      <c r="J61" s="86"/>
      <c r="K61" s="84" t="s">
        <v>1813</v>
      </c>
      <c r="L61" s="85">
        <v>0.6</v>
      </c>
      <c r="N61" s="85"/>
      <c r="P61" s="86"/>
      <c r="R61" s="85"/>
      <c r="Y61" s="85"/>
      <c r="Z61" s="85"/>
      <c r="AA61" s="85"/>
      <c r="AB61" s="85"/>
      <c r="AE61" s="85"/>
      <c r="AG61" s="85"/>
      <c r="AI61" s="85"/>
      <c r="AK61" s="86"/>
    </row>
    <row r="62" spans="1:37">
      <c r="A62" s="84" t="s">
        <v>1361</v>
      </c>
      <c r="B62" t="s">
        <v>1384</v>
      </c>
      <c r="C62" s="87" t="s">
        <v>1427</v>
      </c>
      <c r="D62" s="84" t="s">
        <v>1806</v>
      </c>
      <c r="F62" s="85">
        <v>0.1</v>
      </c>
      <c r="G62" s="85">
        <v>0.9</v>
      </c>
      <c r="H62" s="85"/>
      <c r="I62" s="85"/>
      <c r="J62" s="86"/>
      <c r="L62" s="85"/>
      <c r="N62" s="85"/>
      <c r="P62" s="86"/>
      <c r="Q62" s="84">
        <v>1</v>
      </c>
      <c r="R62" s="85"/>
      <c r="Y62" s="85"/>
      <c r="Z62" s="85"/>
      <c r="AA62" s="85"/>
      <c r="AB62" s="85"/>
      <c r="AE62" s="85"/>
      <c r="AG62" s="85"/>
      <c r="AI62" s="85"/>
      <c r="AK62" s="86"/>
    </row>
    <row r="63" spans="1:37">
      <c r="A63" s="84" t="s">
        <v>1362</v>
      </c>
      <c r="B63" t="s">
        <v>1384</v>
      </c>
      <c r="C63" s="87" t="s">
        <v>1404</v>
      </c>
      <c r="D63" s="84" t="s">
        <v>1806</v>
      </c>
      <c r="E63">
        <v>0.75</v>
      </c>
      <c r="F63" s="85" t="s">
        <v>1807</v>
      </c>
      <c r="G63" s="85">
        <v>0.7</v>
      </c>
      <c r="H63" s="85"/>
      <c r="I63" s="85"/>
      <c r="J63" s="86"/>
      <c r="L63" s="85"/>
      <c r="N63" s="85"/>
      <c r="P63" s="86"/>
      <c r="Q63" s="84">
        <v>0</v>
      </c>
      <c r="R63" s="85"/>
      <c r="Y63" s="85"/>
      <c r="Z63" s="85"/>
      <c r="AA63" s="85"/>
      <c r="AB63" s="85"/>
      <c r="AE63" s="85"/>
      <c r="AG63" s="85"/>
      <c r="AI63" s="85"/>
      <c r="AK63" s="86"/>
    </row>
    <row r="64" spans="1:37">
      <c r="A64" s="84" t="s">
        <v>1258</v>
      </c>
      <c r="B64" t="s">
        <v>1389</v>
      </c>
      <c r="C64" s="93" t="s">
        <v>1944</v>
      </c>
      <c r="D64" s="84" t="s">
        <v>1806</v>
      </c>
      <c r="F64" s="85">
        <v>0.3</v>
      </c>
      <c r="G64" s="85">
        <v>0.8</v>
      </c>
      <c r="H64" s="85"/>
      <c r="I64" s="85"/>
      <c r="J64" s="86"/>
      <c r="L64" s="85"/>
      <c r="N64" s="85"/>
      <c r="P64" s="86"/>
      <c r="Q64" s="84">
        <v>0</v>
      </c>
      <c r="R64" s="85"/>
      <c r="Y64" s="85"/>
      <c r="Z64" s="85"/>
      <c r="AA64" s="85"/>
      <c r="AB64" s="85"/>
      <c r="AE64" s="85"/>
      <c r="AG64" s="85"/>
      <c r="AI64" s="85"/>
      <c r="AK64" s="86"/>
    </row>
    <row r="65" spans="1:37">
      <c r="A65" s="84" t="s">
        <v>1791</v>
      </c>
      <c r="D65" s="84" t="s">
        <v>1806</v>
      </c>
      <c r="F65" s="103"/>
      <c r="G65" s="103"/>
      <c r="H65" s="103"/>
      <c r="I65" s="103"/>
      <c r="R65" s="85"/>
      <c r="Z65" s="85"/>
      <c r="AA65" s="85"/>
      <c r="AB65" s="85"/>
      <c r="AE65" s="85"/>
      <c r="AG65" s="85"/>
      <c r="AI65" s="85"/>
      <c r="AK65" s="86"/>
    </row>
    <row r="66" spans="1:37">
      <c r="A66" s="84" t="s">
        <v>1243</v>
      </c>
      <c r="B66" t="s">
        <v>1379</v>
      </c>
      <c r="C66" s="87" t="s">
        <v>1602</v>
      </c>
      <c r="D66" s="84" t="s">
        <v>1806</v>
      </c>
      <c r="F66" s="85"/>
      <c r="G66" s="85"/>
      <c r="H66" s="85"/>
      <c r="I66" s="85"/>
      <c r="J66" s="86"/>
      <c r="L66" s="85"/>
      <c r="N66" s="85"/>
      <c r="P66" s="86"/>
      <c r="R66" s="85"/>
      <c r="Y66" s="85"/>
      <c r="Z66" s="85"/>
      <c r="AA66" s="85"/>
      <c r="AB66" s="85"/>
      <c r="AE66" s="85"/>
      <c r="AG66" s="85"/>
      <c r="AI66" s="85"/>
      <c r="AK66" s="86"/>
    </row>
    <row r="67" spans="1:37">
      <c r="A67" s="84" t="s">
        <v>1288</v>
      </c>
      <c r="B67" t="s">
        <v>772</v>
      </c>
      <c r="C67" s="93" t="s">
        <v>1432</v>
      </c>
      <c r="D67" s="84" t="s">
        <v>1806</v>
      </c>
      <c r="F67" s="85">
        <v>0.1</v>
      </c>
      <c r="G67" s="85">
        <v>0.9</v>
      </c>
      <c r="H67" s="85"/>
      <c r="I67" s="85"/>
      <c r="J67" s="86"/>
      <c r="L67" s="85"/>
      <c r="M67" t="s">
        <v>1849</v>
      </c>
      <c r="N67" s="85">
        <v>0.2</v>
      </c>
      <c r="P67" s="86"/>
      <c r="Q67" s="84">
        <v>0</v>
      </c>
      <c r="R67" s="85"/>
      <c r="Y67" s="85"/>
      <c r="Z67" s="85"/>
      <c r="AA67" s="85"/>
      <c r="AB67" s="85"/>
      <c r="AE67" s="85"/>
      <c r="AG67" s="85"/>
      <c r="AI67" s="85"/>
      <c r="AK67" s="86"/>
    </row>
    <row r="68" spans="1:37">
      <c r="A68" s="84" t="s">
        <v>1368</v>
      </c>
      <c r="B68" t="s">
        <v>1382</v>
      </c>
      <c r="C68" s="87" t="s">
        <v>1418</v>
      </c>
      <c r="D68" s="84" t="s">
        <v>1806</v>
      </c>
      <c r="F68" s="85">
        <v>0.1</v>
      </c>
      <c r="G68" s="85">
        <v>0.9</v>
      </c>
      <c r="H68" s="85"/>
      <c r="I68" s="85"/>
      <c r="J68" s="86"/>
      <c r="K68" s="84" t="s">
        <v>1811</v>
      </c>
      <c r="L68" s="85">
        <v>0.2</v>
      </c>
      <c r="N68" s="85"/>
      <c r="P68" s="86"/>
      <c r="Q68" s="84">
        <v>0</v>
      </c>
      <c r="R68" s="85"/>
      <c r="Y68" s="85"/>
      <c r="Z68" s="85"/>
      <c r="AA68" s="85"/>
      <c r="AB68" s="85"/>
      <c r="AE68" s="85"/>
      <c r="AG68" s="85"/>
      <c r="AI68" s="85"/>
      <c r="AK68" s="86"/>
    </row>
    <row r="69" spans="1:37">
      <c r="A69" s="84" t="s">
        <v>1353</v>
      </c>
      <c r="B69" t="s">
        <v>1382</v>
      </c>
      <c r="C69" s="87" t="s">
        <v>1398</v>
      </c>
      <c r="D69" s="84" t="s">
        <v>1806</v>
      </c>
      <c r="F69" s="85">
        <v>0.1</v>
      </c>
      <c r="G69" s="85">
        <v>0.9</v>
      </c>
      <c r="H69" s="85"/>
      <c r="I69" s="85"/>
      <c r="J69" s="86"/>
      <c r="K69" s="84" t="s">
        <v>1811</v>
      </c>
      <c r="L69" s="85">
        <v>0.3</v>
      </c>
      <c r="N69" s="85"/>
      <c r="P69" s="86"/>
      <c r="Q69" s="84">
        <v>0</v>
      </c>
      <c r="R69" s="85"/>
      <c r="Y69" s="85"/>
      <c r="Z69" s="85"/>
      <c r="AA69" s="85"/>
      <c r="AB69" s="85"/>
      <c r="AE69" s="85"/>
      <c r="AG69" s="85"/>
      <c r="AI69" s="85"/>
      <c r="AK69" s="86"/>
    </row>
    <row r="70" spans="1:37">
      <c r="A70" s="84" t="s">
        <v>1263</v>
      </c>
      <c r="B70" t="s">
        <v>1385</v>
      </c>
      <c r="C70" s="87" t="s">
        <v>1394</v>
      </c>
      <c r="D70" s="84" t="s">
        <v>1806</v>
      </c>
      <c r="F70" s="103">
        <v>0.1</v>
      </c>
      <c r="G70" s="103">
        <v>0.9</v>
      </c>
      <c r="H70" s="103"/>
      <c r="I70" s="103"/>
      <c r="J70" s="86"/>
      <c r="L70" s="85"/>
      <c r="N70" s="85"/>
      <c r="P70" s="86"/>
      <c r="Q70" s="84">
        <v>0</v>
      </c>
      <c r="R70" s="85"/>
      <c r="Y70" s="85"/>
      <c r="Z70" s="85">
        <v>0.5</v>
      </c>
      <c r="AA70" s="85"/>
      <c r="AB70" s="85"/>
      <c r="AE70" s="85"/>
      <c r="AG70" s="85"/>
      <c r="AI70" s="85"/>
      <c r="AK70" s="86"/>
    </row>
    <row r="71" spans="1:37">
      <c r="A71" s="84" t="s">
        <v>1046</v>
      </c>
      <c r="B71" t="s">
        <v>1386</v>
      </c>
      <c r="C71" s="93" t="s">
        <v>1431</v>
      </c>
      <c r="D71" s="84" t="s">
        <v>1806</v>
      </c>
      <c r="F71" s="85">
        <v>0.1</v>
      </c>
      <c r="G71" s="85">
        <v>0.9</v>
      </c>
      <c r="H71" s="85"/>
      <c r="I71" s="85"/>
      <c r="J71" s="86"/>
      <c r="L71" s="85"/>
      <c r="M71" t="s">
        <v>1849</v>
      </c>
      <c r="N71" s="85">
        <v>0.1</v>
      </c>
      <c r="P71" s="86"/>
      <c r="R71" s="85"/>
      <c r="Y71" s="85"/>
      <c r="Z71" s="85"/>
      <c r="AA71" s="85"/>
      <c r="AB71" s="85"/>
      <c r="AE71" s="85"/>
      <c r="AG71" s="85"/>
      <c r="AI71" s="85"/>
      <c r="AK71" s="86"/>
    </row>
    <row r="72" spans="1:37">
      <c r="A72" s="84" t="s">
        <v>2050</v>
      </c>
      <c r="D72" s="84" t="s">
        <v>1806</v>
      </c>
      <c r="F72" s="103"/>
      <c r="G72" s="103"/>
      <c r="H72" s="103"/>
      <c r="I72" s="103"/>
      <c r="R72" s="85"/>
      <c r="Z72" s="85"/>
      <c r="AA72" s="85"/>
      <c r="AB72" s="85"/>
      <c r="AE72" s="85"/>
      <c r="AG72" s="85"/>
      <c r="AI72" s="85"/>
      <c r="AK72" s="86"/>
    </row>
    <row r="73" spans="1:37">
      <c r="A73" s="84" t="s">
        <v>1364</v>
      </c>
      <c r="B73" t="s">
        <v>1381</v>
      </c>
      <c r="C73" s="93" t="s">
        <v>1431</v>
      </c>
      <c r="D73" s="84" t="s">
        <v>1806</v>
      </c>
      <c r="F73" s="85">
        <v>0.1</v>
      </c>
      <c r="G73" s="85">
        <v>0.9</v>
      </c>
      <c r="H73" s="85"/>
      <c r="I73" s="85"/>
      <c r="J73" s="86"/>
      <c r="L73" s="85"/>
      <c r="M73" t="s">
        <v>1849</v>
      </c>
      <c r="N73" s="85">
        <v>0.1</v>
      </c>
      <c r="P73" s="86"/>
      <c r="Q73" s="84">
        <v>0</v>
      </c>
      <c r="R73" s="85"/>
      <c r="Y73" s="85"/>
      <c r="Z73" s="85"/>
      <c r="AA73" s="85"/>
      <c r="AB73" s="85"/>
      <c r="AE73" s="85"/>
      <c r="AG73" s="85"/>
      <c r="AI73" s="85"/>
      <c r="AK73" s="86"/>
    </row>
    <row r="74" spans="1:37">
      <c r="A74" s="84" t="s">
        <v>1016</v>
      </c>
      <c r="B74" t="s">
        <v>1387</v>
      </c>
      <c r="C74" s="87" t="s">
        <v>1411</v>
      </c>
      <c r="D74" s="84" t="s">
        <v>1806</v>
      </c>
      <c r="F74" s="85">
        <v>0.2</v>
      </c>
      <c r="G74" s="85">
        <v>0.9</v>
      </c>
      <c r="H74" s="85"/>
      <c r="I74" s="85"/>
      <c r="J74" s="86"/>
      <c r="K74" s="84" t="s">
        <v>1810</v>
      </c>
      <c r="L74" s="85">
        <v>0.1</v>
      </c>
      <c r="N74" s="85"/>
      <c r="P74" s="86"/>
      <c r="R74" s="85"/>
      <c r="Y74" s="85"/>
      <c r="Z74" s="85"/>
      <c r="AA74" s="85"/>
      <c r="AB74" s="85"/>
      <c r="AE74" s="85"/>
      <c r="AG74" s="85"/>
      <c r="AI74" s="85"/>
      <c r="AK74" s="86"/>
    </row>
    <row r="75" spans="1:37">
      <c r="A75" s="84" t="s">
        <v>1284</v>
      </c>
      <c r="B75" t="s">
        <v>1382</v>
      </c>
      <c r="C75" s="87" t="s">
        <v>1414</v>
      </c>
      <c r="D75" s="84" t="s">
        <v>1806</v>
      </c>
      <c r="F75" s="85">
        <v>0.2</v>
      </c>
      <c r="G75" s="85">
        <v>0.9</v>
      </c>
      <c r="H75" s="85"/>
      <c r="I75" s="85"/>
      <c r="J75" s="86"/>
      <c r="K75" s="84" t="s">
        <v>1811</v>
      </c>
      <c r="L75" s="85">
        <v>0.1</v>
      </c>
      <c r="N75" s="85"/>
      <c r="P75" s="86"/>
      <c r="Q75" s="84">
        <v>0</v>
      </c>
      <c r="R75" s="85"/>
      <c r="Y75" s="85"/>
      <c r="Z75" s="85"/>
      <c r="AA75" s="85"/>
      <c r="AB75" s="85"/>
      <c r="AE75" s="85"/>
      <c r="AG75" s="85"/>
      <c r="AI75" s="85"/>
      <c r="AK75" s="86"/>
    </row>
    <row r="76" spans="1:37">
      <c r="A76" s="84" t="s">
        <v>1225</v>
      </c>
      <c r="B76" t="s">
        <v>1379</v>
      </c>
      <c r="C76" s="87" t="s">
        <v>1415</v>
      </c>
      <c r="D76" s="84" t="s">
        <v>1806</v>
      </c>
      <c r="F76" s="85"/>
      <c r="G76" s="85"/>
      <c r="H76" s="85"/>
      <c r="I76" s="85"/>
      <c r="J76" s="86"/>
      <c r="L76" s="85"/>
      <c r="N76" s="85"/>
      <c r="P76" s="86"/>
      <c r="R76" s="85"/>
      <c r="Y76" s="85"/>
      <c r="Z76" s="85"/>
      <c r="AA76" s="85"/>
      <c r="AB76" s="85"/>
      <c r="AE76" s="85"/>
      <c r="AG76" s="85"/>
      <c r="AI76" s="85"/>
      <c r="AK76" s="86"/>
    </row>
    <row r="77" spans="1:37">
      <c r="A77" s="84" t="s">
        <v>1125</v>
      </c>
      <c r="B77" t="s">
        <v>1083</v>
      </c>
      <c r="C77" s="98" t="s">
        <v>1690</v>
      </c>
      <c r="D77" s="84" t="s">
        <v>1806</v>
      </c>
      <c r="F77" s="85">
        <v>0.1</v>
      </c>
      <c r="G77" s="85">
        <v>0.9</v>
      </c>
      <c r="H77" s="85"/>
      <c r="I77" s="85"/>
      <c r="J77" s="86"/>
      <c r="L77" s="85"/>
      <c r="N77" s="85"/>
      <c r="P77" s="86"/>
      <c r="R77" s="85"/>
      <c r="Y77" s="85"/>
      <c r="Z77" s="85"/>
      <c r="AA77" s="85">
        <v>0.7</v>
      </c>
      <c r="AB77" s="85"/>
      <c r="AE77" s="85"/>
      <c r="AG77" s="85"/>
      <c r="AI77" s="85"/>
      <c r="AK77" s="86"/>
    </row>
    <row r="78" spans="1:37">
      <c r="A78" s="84" t="s">
        <v>1659</v>
      </c>
      <c r="B78" t="s">
        <v>1386</v>
      </c>
      <c r="C78" s="87" t="s">
        <v>1660</v>
      </c>
      <c r="D78" s="84" t="s">
        <v>1806</v>
      </c>
      <c r="E78">
        <v>2</v>
      </c>
      <c r="F78" s="85">
        <v>0.1</v>
      </c>
      <c r="G78" s="85">
        <v>0.8</v>
      </c>
      <c r="H78" s="85"/>
      <c r="I78" s="85"/>
      <c r="J78" s="86"/>
      <c r="L78" s="85"/>
      <c r="N78" s="85"/>
      <c r="O78" t="s">
        <v>1898</v>
      </c>
      <c r="P78" s="86">
        <v>1</v>
      </c>
      <c r="R78" s="85"/>
      <c r="Y78" s="85"/>
      <c r="Z78" s="85"/>
      <c r="AA78" s="85"/>
      <c r="AB78" s="85"/>
      <c r="AE78" s="85"/>
      <c r="AG78" s="85"/>
      <c r="AI78" s="85"/>
      <c r="AK78" s="86"/>
    </row>
    <row r="79" spans="1:37">
      <c r="A79" s="84" t="s">
        <v>1366</v>
      </c>
      <c r="B79" t="s">
        <v>772</v>
      </c>
      <c r="C79" s="93" t="s">
        <v>1929</v>
      </c>
      <c r="D79" s="84" t="s">
        <v>1806</v>
      </c>
      <c r="F79" s="85">
        <v>0.2</v>
      </c>
      <c r="G79" s="85">
        <v>0.9</v>
      </c>
      <c r="H79" s="85"/>
      <c r="I79" s="85"/>
      <c r="J79" s="86"/>
      <c r="L79" s="85"/>
      <c r="N79" s="85"/>
      <c r="P79" s="86"/>
      <c r="Q79" s="84">
        <v>0</v>
      </c>
      <c r="R79" s="85"/>
      <c r="Y79" s="85"/>
      <c r="Z79" s="85"/>
      <c r="AA79" s="85"/>
      <c r="AB79" s="85"/>
      <c r="AE79" s="85"/>
      <c r="AG79" s="85"/>
      <c r="AI79" s="85"/>
      <c r="AK79" s="86"/>
    </row>
    <row r="80" spans="1:37">
      <c r="A80" s="84" t="s">
        <v>1036</v>
      </c>
      <c r="B80" t="s">
        <v>1083</v>
      </c>
      <c r="C80" s="87" t="s">
        <v>1412</v>
      </c>
      <c r="D80" s="84" t="s">
        <v>1806</v>
      </c>
      <c r="F80" s="85">
        <v>0.1</v>
      </c>
      <c r="G80" s="85">
        <v>0.9</v>
      </c>
      <c r="H80" s="85"/>
      <c r="I80" s="85"/>
      <c r="J80" s="86"/>
      <c r="L80" s="85"/>
      <c r="M80" t="s">
        <v>1836</v>
      </c>
      <c r="N80" s="85">
        <v>0.1</v>
      </c>
      <c r="P80" s="86"/>
      <c r="R80" s="85"/>
      <c r="Y80" s="85"/>
      <c r="Z80" s="85"/>
      <c r="AA80" s="85"/>
      <c r="AB80" s="85"/>
      <c r="AE80" s="85"/>
      <c r="AG80" s="85"/>
      <c r="AI80" s="85"/>
      <c r="AK80" s="86"/>
    </row>
    <row r="81" spans="1:37">
      <c r="A81" s="84" t="s">
        <v>1222</v>
      </c>
      <c r="B81" t="s">
        <v>36</v>
      </c>
      <c r="C81" s="93" t="s">
        <v>1585</v>
      </c>
      <c r="D81" s="84" t="s">
        <v>1806</v>
      </c>
      <c r="F81" s="85">
        <v>0.1</v>
      </c>
      <c r="G81" s="85">
        <v>0.9</v>
      </c>
      <c r="H81" s="85"/>
      <c r="I81" s="85"/>
      <c r="J81" s="86"/>
      <c r="L81" s="85"/>
      <c r="M81" t="s">
        <v>1838</v>
      </c>
      <c r="N81" s="85">
        <v>1</v>
      </c>
      <c r="P81" s="86"/>
      <c r="R81" s="85"/>
      <c r="Y81" s="85"/>
      <c r="Z81" s="85"/>
      <c r="AA81" s="85"/>
      <c r="AB81" s="85"/>
      <c r="AE81" s="85"/>
      <c r="AG81" s="85"/>
      <c r="AI81" s="85"/>
      <c r="AK81" s="86"/>
    </row>
    <row r="82" spans="1:37">
      <c r="A82" s="84" t="s">
        <v>1678</v>
      </c>
      <c r="B82" t="s">
        <v>1055</v>
      </c>
      <c r="C82" s="98" t="s">
        <v>1730</v>
      </c>
      <c r="D82" s="84" t="s">
        <v>1806</v>
      </c>
      <c r="F82" s="85" t="s">
        <v>1807</v>
      </c>
      <c r="G82" s="85">
        <v>1</v>
      </c>
      <c r="H82" s="85"/>
      <c r="I82" s="85"/>
      <c r="J82" s="86"/>
      <c r="L82" s="85"/>
      <c r="N82" s="85"/>
      <c r="P82" s="86"/>
      <c r="R82" s="85"/>
      <c r="Y82" s="85"/>
      <c r="Z82" s="85"/>
      <c r="AA82" s="85"/>
      <c r="AB82" s="85"/>
      <c r="AE82" s="85"/>
      <c r="AG82" s="85"/>
      <c r="AI82" s="85"/>
      <c r="AK82" s="86"/>
    </row>
    <row r="83" spans="1:37">
      <c r="A83" s="84" t="s">
        <v>972</v>
      </c>
      <c r="B83" t="s">
        <v>36</v>
      </c>
      <c r="C83" s="98" t="s">
        <v>1430</v>
      </c>
      <c r="D83" s="84" t="s">
        <v>1807</v>
      </c>
      <c r="F83" s="85" t="s">
        <v>1807</v>
      </c>
      <c r="G83" s="85">
        <v>1</v>
      </c>
      <c r="H83" s="85"/>
      <c r="I83" s="85"/>
      <c r="J83" s="86"/>
      <c r="L83" s="85"/>
      <c r="N83" s="85"/>
      <c r="P83" s="86"/>
      <c r="R83" s="85"/>
      <c r="Y83" s="85"/>
      <c r="Z83" s="85"/>
      <c r="AA83" s="85"/>
      <c r="AB83" s="85"/>
      <c r="AE83" s="85"/>
      <c r="AG83" s="85"/>
      <c r="AI83" s="85"/>
      <c r="AK83" s="86"/>
    </row>
    <row r="84" spans="1:37">
      <c r="A84" s="84" t="s">
        <v>1242</v>
      </c>
      <c r="B84" t="s">
        <v>36</v>
      </c>
      <c r="C84" s="93" t="s">
        <v>1109</v>
      </c>
      <c r="D84" s="84" t="s">
        <v>1806</v>
      </c>
      <c r="F84" s="85">
        <v>0.1</v>
      </c>
      <c r="G84" s="85">
        <v>0.9</v>
      </c>
      <c r="H84" s="85"/>
      <c r="I84" s="85"/>
      <c r="J84" s="86"/>
      <c r="L84" s="85"/>
      <c r="N84" s="85"/>
      <c r="P84" s="86"/>
      <c r="R84" s="85"/>
      <c r="Y84" s="85"/>
      <c r="Z84" s="85"/>
      <c r="AA84" s="85"/>
      <c r="AB84" s="85"/>
      <c r="AE84" s="85"/>
      <c r="AG84" s="85"/>
      <c r="AI84" s="85"/>
      <c r="AK84" s="86"/>
    </row>
    <row r="85" spans="1:37">
      <c r="A85" s="84" t="s">
        <v>1238</v>
      </c>
      <c r="B85" t="s">
        <v>1385</v>
      </c>
      <c r="C85" s="98" t="s">
        <v>1429</v>
      </c>
      <c r="D85" s="84" t="s">
        <v>1806</v>
      </c>
      <c r="F85" s="103">
        <v>0.1</v>
      </c>
      <c r="G85" s="103">
        <v>0.9</v>
      </c>
      <c r="H85" s="103"/>
      <c r="I85" s="103"/>
      <c r="J85" s="86"/>
      <c r="L85" s="85"/>
      <c r="N85" s="85"/>
      <c r="P85" s="86"/>
      <c r="Q85" s="84">
        <v>0</v>
      </c>
      <c r="R85" s="85"/>
      <c r="Y85" s="85"/>
      <c r="Z85" s="85"/>
      <c r="AA85" s="85"/>
      <c r="AB85" s="85"/>
      <c r="AE85" s="85"/>
      <c r="AG85" s="85"/>
      <c r="AI85" s="85"/>
      <c r="AK85" s="86"/>
    </row>
    <row r="86" spans="1:37">
      <c r="A86" s="84" t="s">
        <v>1794</v>
      </c>
      <c r="D86" s="84" t="s">
        <v>1806</v>
      </c>
      <c r="F86" s="103"/>
      <c r="G86" s="103"/>
      <c r="H86" s="103"/>
      <c r="I86" s="103"/>
      <c r="R86" s="85"/>
      <c r="Z86" s="85"/>
      <c r="AA86" s="85"/>
      <c r="AB86" s="85"/>
      <c r="AE86" s="85"/>
      <c r="AG86" s="85"/>
      <c r="AI86" s="85"/>
      <c r="AK86" s="86"/>
    </row>
    <row r="87" spans="1:37">
      <c r="A87" s="84" t="s">
        <v>1790</v>
      </c>
      <c r="D87" s="84" t="s">
        <v>1806</v>
      </c>
      <c r="F87" s="103"/>
      <c r="G87" s="103"/>
      <c r="H87" s="103"/>
      <c r="I87" s="103"/>
      <c r="R87" s="85"/>
      <c r="Z87" s="85"/>
      <c r="AA87" s="85"/>
      <c r="AB87" s="85"/>
      <c r="AE87" s="85"/>
      <c r="AG87" s="85"/>
      <c r="AI87" s="85"/>
      <c r="AK87" s="86"/>
    </row>
    <row r="88" spans="1:37">
      <c r="A88" s="84" t="s">
        <v>2075</v>
      </c>
      <c r="B88" t="s">
        <v>1385</v>
      </c>
      <c r="C88" s="99" t="s">
        <v>2077</v>
      </c>
      <c r="D88" s="84" t="s">
        <v>1806</v>
      </c>
      <c r="F88" s="85">
        <v>0.1</v>
      </c>
      <c r="G88" s="85">
        <v>0.9</v>
      </c>
      <c r="H88" s="85"/>
      <c r="I88" s="85"/>
      <c r="J88" s="86"/>
      <c r="L88" s="85"/>
      <c r="N88" s="85"/>
      <c r="P88" s="86"/>
      <c r="R88" s="85"/>
      <c r="Y88" s="85"/>
      <c r="Z88" s="85"/>
      <c r="AA88" s="85"/>
      <c r="AB88" s="85"/>
      <c r="AD88">
        <v>1</v>
      </c>
      <c r="AE88" s="85">
        <v>1</v>
      </c>
      <c r="AF88">
        <v>1</v>
      </c>
      <c r="AG88" s="85">
        <v>1</v>
      </c>
      <c r="AI88" s="85"/>
      <c r="AJ88" t="s">
        <v>1901</v>
      </c>
      <c r="AK88" s="86">
        <v>1</v>
      </c>
    </row>
    <row r="89" spans="1:37">
      <c r="A89" s="84" t="s">
        <v>1658</v>
      </c>
      <c r="B89" t="s">
        <v>1386</v>
      </c>
      <c r="C89" s="93" t="s">
        <v>1937</v>
      </c>
      <c r="D89" s="84" t="s">
        <v>1807</v>
      </c>
      <c r="F89" s="85"/>
      <c r="G89" s="85"/>
      <c r="H89" s="85"/>
      <c r="I89" s="85"/>
      <c r="J89" s="86"/>
      <c r="L89" s="85"/>
      <c r="N89" s="85"/>
      <c r="P89" s="86"/>
      <c r="R89" s="85"/>
      <c r="Y89" s="85"/>
      <c r="Z89" s="85"/>
      <c r="AA89" s="85"/>
      <c r="AB89" s="85"/>
      <c r="AD89">
        <v>1</v>
      </c>
      <c r="AE89" s="85">
        <v>1</v>
      </c>
      <c r="AF89">
        <v>1</v>
      </c>
      <c r="AG89" s="85">
        <v>1</v>
      </c>
      <c r="AI89" s="85"/>
      <c r="AK89" s="86"/>
    </row>
    <row r="90" spans="1:37">
      <c r="A90" s="84" t="s">
        <v>1605</v>
      </c>
      <c r="B90" t="s">
        <v>36</v>
      </c>
      <c r="C90" s="87" t="s">
        <v>1717</v>
      </c>
      <c r="D90" s="84" t="s">
        <v>1807</v>
      </c>
      <c r="F90" s="85" t="s">
        <v>1807</v>
      </c>
      <c r="G90" s="85">
        <v>1</v>
      </c>
      <c r="H90" s="85"/>
      <c r="I90" s="85"/>
      <c r="J90" s="86"/>
      <c r="L90" s="85"/>
      <c r="N90" s="85"/>
      <c r="P90" s="86"/>
      <c r="R90" s="85"/>
      <c r="Y90" s="85"/>
      <c r="Z90" s="85"/>
      <c r="AA90" s="85"/>
      <c r="AB90" s="85"/>
      <c r="AD90">
        <v>3</v>
      </c>
      <c r="AE90" s="85"/>
      <c r="AG90" s="85"/>
      <c r="AI90" s="85"/>
      <c r="AK90" s="86"/>
    </row>
    <row r="91" spans="1:37">
      <c r="A91" s="84" t="s">
        <v>1719</v>
      </c>
      <c r="B91" t="s">
        <v>1380</v>
      </c>
      <c r="C91" s="99" t="s">
        <v>2076</v>
      </c>
      <c r="D91" s="84" t="s">
        <v>1806</v>
      </c>
      <c r="F91" s="85">
        <v>0.1</v>
      </c>
      <c r="G91" s="85">
        <v>0.9</v>
      </c>
      <c r="H91" s="85"/>
      <c r="I91" s="85"/>
      <c r="J91" s="86"/>
      <c r="L91" s="85"/>
      <c r="N91" s="85"/>
      <c r="P91" s="86"/>
      <c r="R91" s="85"/>
      <c r="Y91" s="85"/>
      <c r="Z91" s="85"/>
      <c r="AA91" s="85"/>
      <c r="AB91" s="85"/>
      <c r="AD91">
        <v>1</v>
      </c>
      <c r="AE91" s="85">
        <v>1</v>
      </c>
      <c r="AF91">
        <v>1</v>
      </c>
      <c r="AG91" s="85">
        <v>1</v>
      </c>
      <c r="AI91" s="85"/>
      <c r="AJ91" t="s">
        <v>1901</v>
      </c>
      <c r="AK91" s="86">
        <v>1</v>
      </c>
    </row>
    <row r="92" spans="1:37">
      <c r="A92" s="84" t="s">
        <v>1613</v>
      </c>
      <c r="B92" t="s">
        <v>1381</v>
      </c>
      <c r="C92" s="87" t="s">
        <v>1615</v>
      </c>
      <c r="D92" s="84" t="s">
        <v>1807</v>
      </c>
      <c r="F92" s="85">
        <v>0.1</v>
      </c>
      <c r="G92" s="85">
        <v>1</v>
      </c>
      <c r="H92" s="85"/>
      <c r="I92" s="85"/>
      <c r="J92" s="86"/>
      <c r="L92" s="85"/>
      <c r="N92" s="85"/>
      <c r="P92" s="86"/>
      <c r="Q92" s="84">
        <v>0</v>
      </c>
      <c r="R92" s="85"/>
      <c r="Y92" s="85"/>
      <c r="Z92" s="85"/>
      <c r="AA92" s="85"/>
      <c r="AB92" s="85"/>
      <c r="AE92" s="85"/>
      <c r="AG92" s="85"/>
      <c r="AH92">
        <v>3</v>
      </c>
      <c r="AI92" s="85">
        <v>1</v>
      </c>
      <c r="AK92" s="86"/>
    </row>
    <row r="93" spans="1:37">
      <c r="A93" s="84" t="s">
        <v>1282</v>
      </c>
      <c r="B93" t="s">
        <v>1055</v>
      </c>
      <c r="C93" s="99" t="s">
        <v>1946</v>
      </c>
      <c r="D93" s="84" t="s">
        <v>1806</v>
      </c>
      <c r="F93" s="85">
        <v>0.1</v>
      </c>
      <c r="G93" s="85">
        <v>0.9</v>
      </c>
      <c r="H93" s="85"/>
      <c r="I93" s="85"/>
      <c r="J93" s="86"/>
      <c r="L93" s="85"/>
      <c r="N93" s="85"/>
      <c r="P93" s="86"/>
      <c r="R93" s="85"/>
      <c r="Y93" s="85"/>
      <c r="Z93" s="85"/>
      <c r="AA93" s="85"/>
      <c r="AB93" s="85"/>
      <c r="AE93" s="85"/>
      <c r="AG93" s="85"/>
      <c r="AI93" s="85"/>
      <c r="AK93" s="86"/>
    </row>
    <row r="94" spans="1:37">
      <c r="A94" s="84" t="s">
        <v>2055</v>
      </c>
      <c r="D94" s="84" t="s">
        <v>1806</v>
      </c>
      <c r="F94" s="103"/>
      <c r="G94" s="103"/>
      <c r="H94" s="103"/>
      <c r="I94" s="103"/>
      <c r="R94" s="85"/>
      <c r="Z94" s="85"/>
      <c r="AA94" s="85"/>
      <c r="AB94" s="85"/>
      <c r="AE94" s="85"/>
      <c r="AG94" s="85"/>
      <c r="AI94" s="85"/>
      <c r="AK94" s="86"/>
    </row>
    <row r="95" spans="1:37">
      <c r="A95" s="84" t="s">
        <v>1295</v>
      </c>
      <c r="B95" t="s">
        <v>1383</v>
      </c>
      <c r="C95" s="87" t="s">
        <v>1586</v>
      </c>
      <c r="D95" s="84" t="s">
        <v>1806</v>
      </c>
      <c r="F95" s="85"/>
      <c r="G95" s="85"/>
      <c r="H95" s="85"/>
      <c r="I95" s="85"/>
      <c r="J95" s="86"/>
      <c r="L95" s="85"/>
      <c r="N95" s="85"/>
      <c r="P95" s="86"/>
      <c r="R95" s="85"/>
      <c r="Y95" s="85"/>
      <c r="Z95" s="85"/>
      <c r="AA95" s="85"/>
      <c r="AB95" s="85"/>
      <c r="AE95" s="85"/>
      <c r="AG95" s="85"/>
      <c r="AI95" s="85"/>
      <c r="AK95" s="86"/>
    </row>
    <row r="96" spans="1:37">
      <c r="A96" s="84" t="s">
        <v>2093</v>
      </c>
      <c r="D96" s="84" t="s">
        <v>1807</v>
      </c>
      <c r="F96" s="103"/>
      <c r="G96" s="103"/>
      <c r="H96" s="103"/>
      <c r="I96" s="103"/>
      <c r="R96" s="85"/>
      <c r="Z96" s="85"/>
      <c r="AA96" s="85"/>
      <c r="AB96" s="85"/>
      <c r="AE96" s="85"/>
      <c r="AG96" s="85"/>
      <c r="AI96" s="85"/>
      <c r="AK96" s="86"/>
    </row>
    <row r="97" spans="1:37">
      <c r="A97" s="84" t="s">
        <v>1079</v>
      </c>
      <c r="B97" t="s">
        <v>36</v>
      </c>
      <c r="C97" s="98" t="s">
        <v>1951</v>
      </c>
      <c r="D97" s="84" t="s">
        <v>1807</v>
      </c>
      <c r="F97" s="85" t="s">
        <v>1807</v>
      </c>
      <c r="G97" s="85">
        <v>1</v>
      </c>
      <c r="H97" s="85"/>
      <c r="I97" s="85"/>
      <c r="J97" s="86"/>
      <c r="L97" s="85"/>
      <c r="N97" s="85"/>
      <c r="P97" s="86"/>
      <c r="R97" s="85"/>
      <c r="Y97" s="85"/>
      <c r="Z97" s="85">
        <v>1</v>
      </c>
      <c r="AA97" s="85"/>
      <c r="AB97" s="85"/>
      <c r="AE97" s="85"/>
      <c r="AG97" s="85"/>
      <c r="AI97" s="85"/>
      <c r="AJ97" t="s">
        <v>1813</v>
      </c>
      <c r="AK97" s="86">
        <v>1</v>
      </c>
    </row>
    <row r="98" spans="1:37">
      <c r="A98" s="84" t="s">
        <v>1643</v>
      </c>
      <c r="D98" s="84" t="s">
        <v>1807</v>
      </c>
      <c r="F98" s="103"/>
      <c r="G98" s="103"/>
      <c r="H98" s="103"/>
      <c r="I98" s="103"/>
      <c r="R98" s="85"/>
      <c r="Z98" s="85"/>
      <c r="AA98" s="85"/>
      <c r="AB98" s="85"/>
      <c r="AE98" s="85"/>
      <c r="AG98" s="85"/>
      <c r="AI98" s="85"/>
      <c r="AK98" s="86"/>
    </row>
    <row r="99" spans="1:37">
      <c r="A99" s="84" t="s">
        <v>1248</v>
      </c>
      <c r="B99" t="s">
        <v>1083</v>
      </c>
      <c r="C99" s="98" t="s">
        <v>1402</v>
      </c>
      <c r="D99" s="84" t="s">
        <v>1807</v>
      </c>
      <c r="F99" s="85" t="s">
        <v>1807</v>
      </c>
      <c r="G99" s="85">
        <v>0.5</v>
      </c>
      <c r="H99" s="85"/>
      <c r="I99" s="85"/>
      <c r="J99" s="86"/>
      <c r="L99" s="85"/>
      <c r="N99" s="85"/>
      <c r="P99" s="86"/>
      <c r="R99" s="85"/>
      <c r="Y99" s="85"/>
      <c r="Z99" s="85"/>
      <c r="AA99" s="85"/>
      <c r="AB99" s="85"/>
      <c r="AE99" s="85"/>
      <c r="AG99" s="85"/>
      <c r="AI99" s="85"/>
      <c r="AK99" s="86"/>
    </row>
    <row r="100" spans="1:37">
      <c r="A100" s="84" t="s">
        <v>1224</v>
      </c>
      <c r="B100" t="s">
        <v>36</v>
      </c>
      <c r="C100" s="87" t="s">
        <v>1425</v>
      </c>
      <c r="D100" s="84" t="s">
        <v>1807</v>
      </c>
      <c r="F100" s="85" t="s">
        <v>1807</v>
      </c>
      <c r="G100" s="85">
        <v>1</v>
      </c>
      <c r="H100" s="85"/>
      <c r="I100" s="85"/>
      <c r="J100" s="86"/>
      <c r="K100" s="84" t="s">
        <v>1811</v>
      </c>
      <c r="L100" s="85">
        <v>0.7</v>
      </c>
      <c r="N100" s="85"/>
      <c r="P100" s="86"/>
      <c r="R100" s="85"/>
      <c r="Y100" s="85"/>
      <c r="Z100" s="85"/>
      <c r="AA100" s="85"/>
      <c r="AB100" s="85"/>
      <c r="AE100" s="85"/>
      <c r="AG100" s="85"/>
      <c r="AI100" s="85"/>
      <c r="AK100" s="86"/>
    </row>
    <row r="101" spans="1:37">
      <c r="A101" s="84" t="s">
        <v>2099</v>
      </c>
      <c r="D101" s="84" t="s">
        <v>1807</v>
      </c>
      <c r="F101" s="103"/>
      <c r="G101" s="103"/>
      <c r="H101" s="103"/>
      <c r="I101" s="103"/>
      <c r="R101" s="85"/>
      <c r="Z101" s="85"/>
      <c r="AA101" s="85"/>
      <c r="AB101" s="85"/>
      <c r="AE101" s="85"/>
      <c r="AG101" s="85"/>
      <c r="AI101" s="85"/>
      <c r="AK101" s="86"/>
    </row>
    <row r="102" spans="1:37">
      <c r="A102" s="84" t="s">
        <v>1247</v>
      </c>
      <c r="B102" t="s">
        <v>36</v>
      </c>
      <c r="C102" s="93" t="s">
        <v>1109</v>
      </c>
      <c r="D102" s="84" t="s">
        <v>1806</v>
      </c>
      <c r="F102" s="85">
        <v>0.1</v>
      </c>
      <c r="G102" s="85">
        <v>0.9</v>
      </c>
      <c r="H102" s="85"/>
      <c r="I102" s="85"/>
      <c r="J102" s="86"/>
      <c r="L102" s="85"/>
      <c r="N102" s="85"/>
      <c r="P102" s="86"/>
      <c r="R102" s="85"/>
      <c r="Y102" s="85"/>
      <c r="Z102" s="85"/>
      <c r="AA102" s="85"/>
      <c r="AB102" s="85"/>
      <c r="AE102" s="85"/>
      <c r="AG102" s="85"/>
      <c r="AI102" s="85"/>
      <c r="AK102" s="86"/>
    </row>
    <row r="103" spans="1:37">
      <c r="A103" s="84" t="s">
        <v>1273</v>
      </c>
      <c r="B103" t="s">
        <v>36</v>
      </c>
      <c r="C103" s="87" t="s">
        <v>1408</v>
      </c>
      <c r="D103" s="84" t="s">
        <v>1806</v>
      </c>
      <c r="F103" s="85">
        <v>0.1</v>
      </c>
      <c r="G103" s="85">
        <v>0.9</v>
      </c>
      <c r="H103" s="85"/>
      <c r="I103" s="85"/>
      <c r="J103" s="86"/>
      <c r="L103" s="85"/>
      <c r="N103" s="85"/>
      <c r="P103" s="86"/>
      <c r="R103" s="85"/>
      <c r="Y103" s="85"/>
      <c r="Z103" s="85"/>
      <c r="AA103" s="85"/>
      <c r="AB103" s="85"/>
      <c r="AE103" s="85"/>
      <c r="AG103" s="85"/>
      <c r="AI103" s="85"/>
      <c r="AK103" s="86"/>
    </row>
    <row r="104" spans="1:37">
      <c r="A104" s="84" t="s">
        <v>1033</v>
      </c>
      <c r="B104" t="s">
        <v>1385</v>
      </c>
      <c r="C104" s="87" t="s">
        <v>1433</v>
      </c>
      <c r="D104" s="84" t="s">
        <v>1807</v>
      </c>
      <c r="F104" s="103" t="s">
        <v>1807</v>
      </c>
      <c r="G104" s="103">
        <v>1</v>
      </c>
      <c r="H104" s="103"/>
      <c r="I104" s="103"/>
      <c r="J104" s="86"/>
      <c r="L104" s="85"/>
      <c r="N104" s="85"/>
      <c r="P104" s="86"/>
      <c r="Q104" s="84">
        <v>0</v>
      </c>
      <c r="R104" s="85"/>
      <c r="U104">
        <v>-2</v>
      </c>
      <c r="V104" s="85">
        <v>1</v>
      </c>
      <c r="Y104" s="85"/>
      <c r="Z104" s="85"/>
      <c r="AA104" s="85"/>
      <c r="AB104" s="85"/>
      <c r="AE104" s="85"/>
      <c r="AG104" s="85"/>
      <c r="AI104" s="85"/>
      <c r="AK104" s="86"/>
    </row>
    <row r="105" spans="1:37">
      <c r="A105" s="84" t="s">
        <v>1639</v>
      </c>
      <c r="D105" s="84" t="s">
        <v>1806</v>
      </c>
      <c r="F105" s="103"/>
      <c r="G105" s="103"/>
      <c r="H105" s="103"/>
      <c r="I105" s="103"/>
      <c r="R105" s="85"/>
      <c r="Z105" s="85"/>
      <c r="AA105" s="85"/>
      <c r="AB105" s="85"/>
      <c r="AE105" s="85"/>
      <c r="AG105" s="85"/>
      <c r="AI105" s="85"/>
      <c r="AK105" s="86"/>
    </row>
    <row r="106" spans="1:37">
      <c r="A106" s="84" t="s">
        <v>1626</v>
      </c>
      <c r="D106" s="84" t="s">
        <v>1807</v>
      </c>
      <c r="F106" s="103"/>
      <c r="G106" s="103"/>
      <c r="H106" s="103"/>
      <c r="I106" s="103"/>
      <c r="R106" s="85"/>
      <c r="Z106" s="85"/>
      <c r="AA106" s="85"/>
      <c r="AB106" s="85"/>
      <c r="AE106" s="85"/>
      <c r="AG106" s="85"/>
      <c r="AI106" s="85"/>
      <c r="AK106" s="86"/>
    </row>
    <row r="107" spans="1:37">
      <c r="A107" s="84" t="s">
        <v>2106</v>
      </c>
      <c r="D107" s="84" t="s">
        <v>1806</v>
      </c>
      <c r="F107" s="103"/>
      <c r="G107" s="103"/>
      <c r="H107" s="103"/>
      <c r="I107" s="103"/>
      <c r="R107" s="85"/>
      <c r="Z107" s="85"/>
      <c r="AA107" s="85"/>
      <c r="AB107" s="85"/>
      <c r="AE107" s="85"/>
      <c r="AG107" s="85"/>
      <c r="AI107" s="85"/>
      <c r="AK107" s="86"/>
    </row>
    <row r="108" spans="1:37">
      <c r="A108" s="84" t="s">
        <v>1239</v>
      </c>
      <c r="B108" t="s">
        <v>1055</v>
      </c>
      <c r="C108" s="98" t="s">
        <v>1947</v>
      </c>
      <c r="D108" s="84" t="s">
        <v>1806</v>
      </c>
      <c r="E108">
        <v>0.75</v>
      </c>
      <c r="F108" s="85">
        <v>0.1</v>
      </c>
      <c r="G108" s="85">
        <v>0.8</v>
      </c>
      <c r="H108" s="85"/>
      <c r="I108" s="85"/>
      <c r="J108" s="86"/>
      <c r="L108" s="85"/>
      <c r="N108" s="85"/>
      <c r="P108" s="86"/>
      <c r="R108" s="85"/>
      <c r="Y108" s="85"/>
      <c r="Z108" s="85"/>
      <c r="AA108" s="85"/>
      <c r="AB108" s="85"/>
      <c r="AE108" s="85"/>
      <c r="AG108" s="85"/>
      <c r="AI108" s="85"/>
      <c r="AK108" s="86"/>
    </row>
    <row r="109" spans="1:37">
      <c r="A109" s="84" t="s">
        <v>1705</v>
      </c>
      <c r="D109" s="84" t="s">
        <v>1806</v>
      </c>
      <c r="F109" s="103"/>
      <c r="G109" s="103"/>
      <c r="H109" s="103"/>
      <c r="I109" s="103"/>
      <c r="R109" s="85"/>
      <c r="Z109" s="85"/>
      <c r="AA109" s="85"/>
      <c r="AB109" s="85"/>
      <c r="AE109" s="85"/>
      <c r="AG109" s="85"/>
      <c r="AI109" s="85"/>
      <c r="AK109" s="86"/>
    </row>
    <row r="110" spans="1:37">
      <c r="A110" s="84" t="s">
        <v>2091</v>
      </c>
      <c r="D110" s="84" t="s">
        <v>1806</v>
      </c>
      <c r="F110" s="103"/>
      <c r="G110" s="103"/>
      <c r="H110" s="103"/>
      <c r="I110" s="103"/>
      <c r="R110" s="85"/>
      <c r="Z110" s="85"/>
      <c r="AA110" s="85"/>
      <c r="AB110" s="85"/>
      <c r="AE110" s="85"/>
      <c r="AG110" s="85"/>
      <c r="AI110" s="85"/>
      <c r="AK110" s="86"/>
    </row>
    <row r="111" spans="1:37">
      <c r="A111" s="84" t="s">
        <v>1314</v>
      </c>
      <c r="B111" t="s">
        <v>1386</v>
      </c>
      <c r="C111" s="87" t="s">
        <v>1398</v>
      </c>
      <c r="D111" s="84" t="s">
        <v>1806</v>
      </c>
      <c r="F111" s="85">
        <v>0.1</v>
      </c>
      <c r="G111" s="85">
        <v>0.9</v>
      </c>
      <c r="H111" s="85"/>
      <c r="I111" s="85"/>
      <c r="J111" s="86"/>
      <c r="K111" s="84" t="s">
        <v>1811</v>
      </c>
      <c r="L111" s="85">
        <v>0.4</v>
      </c>
      <c r="N111" s="85"/>
      <c r="P111" s="86"/>
      <c r="R111" s="85"/>
      <c r="Y111" s="85"/>
      <c r="Z111" s="85"/>
      <c r="AA111" s="85"/>
      <c r="AB111" s="85"/>
      <c r="AE111" s="85"/>
      <c r="AG111" s="85"/>
      <c r="AI111" s="85"/>
      <c r="AK111" s="86"/>
    </row>
    <row r="112" spans="1:37">
      <c r="A112" s="84" t="s">
        <v>1596</v>
      </c>
      <c r="D112" s="84" t="s">
        <v>1807</v>
      </c>
      <c r="F112" s="103"/>
      <c r="G112" s="103"/>
      <c r="H112" s="103"/>
      <c r="I112" s="103"/>
      <c r="R112" s="85"/>
      <c r="Z112" s="85"/>
      <c r="AA112" s="85"/>
      <c r="AB112" s="85"/>
      <c r="AE112" s="85"/>
      <c r="AG112" s="85"/>
      <c r="AI112" s="85"/>
      <c r="AK112" s="86"/>
    </row>
    <row r="113" spans="1:37">
      <c r="A113" s="84" t="s">
        <v>1701</v>
      </c>
      <c r="B113" t="s">
        <v>1382</v>
      </c>
      <c r="C113" s="87" t="s">
        <v>1704</v>
      </c>
      <c r="D113" s="84" t="s">
        <v>1806</v>
      </c>
      <c r="F113" s="85">
        <v>0.3</v>
      </c>
      <c r="G113" s="85">
        <v>0.6</v>
      </c>
      <c r="H113" s="85"/>
      <c r="I113" s="85"/>
      <c r="J113" s="86"/>
      <c r="K113" s="84" t="s">
        <v>1811</v>
      </c>
      <c r="L113" s="85">
        <v>1</v>
      </c>
      <c r="N113" s="85"/>
      <c r="P113" s="86"/>
      <c r="Q113" s="84">
        <v>0</v>
      </c>
      <c r="R113" s="85"/>
      <c r="Y113" s="85"/>
      <c r="Z113" s="85"/>
      <c r="AA113" s="85"/>
      <c r="AB113" s="85"/>
      <c r="AE113" s="85"/>
      <c r="AG113" s="85"/>
      <c r="AI113" s="85"/>
      <c r="AK113" s="86"/>
    </row>
    <row r="114" spans="1:37">
      <c r="A114" s="84" t="s">
        <v>1619</v>
      </c>
      <c r="D114" s="84" t="s">
        <v>1806</v>
      </c>
      <c r="F114" s="103"/>
      <c r="G114" s="103"/>
      <c r="H114" s="103"/>
      <c r="I114" s="103"/>
      <c r="R114" s="85"/>
      <c r="Z114" s="85"/>
      <c r="AA114" s="85"/>
      <c r="AB114" s="85"/>
      <c r="AE114" s="85"/>
      <c r="AG114" s="85"/>
      <c r="AI114" s="85"/>
      <c r="AK114" s="86"/>
    </row>
    <row r="115" spans="1:37">
      <c r="A115" s="84" t="s">
        <v>2115</v>
      </c>
      <c r="D115" s="84" t="s">
        <v>1807</v>
      </c>
      <c r="F115" s="103"/>
      <c r="G115" s="103"/>
      <c r="H115" s="103"/>
      <c r="I115" s="103"/>
      <c r="R115" s="85"/>
      <c r="Z115" s="85"/>
      <c r="AA115" s="85"/>
      <c r="AB115" s="85"/>
      <c r="AE115" s="85"/>
      <c r="AG115" s="85"/>
      <c r="AI115" s="85"/>
      <c r="AK115" s="86"/>
    </row>
    <row r="116" spans="1:37">
      <c r="A116" s="84" t="s">
        <v>1588</v>
      </c>
      <c r="D116" s="84" t="s">
        <v>1806</v>
      </c>
      <c r="F116" s="103"/>
      <c r="G116" s="103"/>
      <c r="H116" s="103"/>
      <c r="I116" s="103"/>
      <c r="R116" s="85"/>
      <c r="Z116" s="85"/>
      <c r="AA116" s="85"/>
      <c r="AB116" s="85"/>
      <c r="AE116" s="85"/>
      <c r="AG116" s="85"/>
      <c r="AI116" s="85"/>
      <c r="AK116" s="86"/>
    </row>
    <row r="117" spans="1:37">
      <c r="A117" s="84" t="s">
        <v>1150</v>
      </c>
      <c r="B117" t="s">
        <v>1386</v>
      </c>
      <c r="C117" s="93" t="s">
        <v>1109</v>
      </c>
      <c r="D117" s="84" t="s">
        <v>1806</v>
      </c>
      <c r="E117">
        <v>1.5</v>
      </c>
      <c r="F117" s="85">
        <v>0.1</v>
      </c>
      <c r="G117" s="85">
        <v>0.9</v>
      </c>
      <c r="H117" s="85"/>
      <c r="I117" s="85"/>
      <c r="J117" s="86"/>
      <c r="L117" s="85"/>
      <c r="N117" s="85"/>
      <c r="P117" s="86"/>
      <c r="Q117" s="84">
        <v>0</v>
      </c>
      <c r="R117" s="85"/>
      <c r="Y117" s="85"/>
      <c r="Z117" s="85"/>
      <c r="AA117" s="85"/>
      <c r="AB117" s="85"/>
      <c r="AE117" s="85"/>
      <c r="AG117" s="85"/>
      <c r="AI117" s="85"/>
      <c r="AJ117" t="s">
        <v>1836</v>
      </c>
      <c r="AK117" s="86">
        <v>0.7</v>
      </c>
    </row>
    <row r="118" spans="1:37">
      <c r="A118" s="84" t="s">
        <v>1631</v>
      </c>
      <c r="D118" s="84" t="s">
        <v>1807</v>
      </c>
      <c r="F118" s="103"/>
      <c r="G118" s="103"/>
      <c r="H118" s="103"/>
      <c r="I118" s="103"/>
      <c r="R118" s="85"/>
      <c r="Z118" s="85"/>
      <c r="AA118" s="85"/>
      <c r="AB118" s="85"/>
      <c r="AE118" s="85"/>
      <c r="AG118" s="85"/>
      <c r="AI118" s="85"/>
      <c r="AK118" s="86"/>
    </row>
    <row r="119" spans="1:37">
      <c r="A119" s="84" t="s">
        <v>1713</v>
      </c>
      <c r="B119" t="s">
        <v>1387</v>
      </c>
      <c r="C119" s="98" t="s">
        <v>1714</v>
      </c>
      <c r="D119" s="84" t="s">
        <v>1806</v>
      </c>
      <c r="E119">
        <v>2</v>
      </c>
      <c r="F119" s="85">
        <v>0.1</v>
      </c>
      <c r="G119" s="85">
        <v>0.9</v>
      </c>
      <c r="H119" s="85"/>
      <c r="I119" s="85"/>
      <c r="J119" s="86"/>
      <c r="L119" s="85"/>
      <c r="N119" s="85"/>
      <c r="P119" s="86"/>
      <c r="R119" s="85"/>
      <c r="Y119" s="85"/>
      <c r="Z119" s="85"/>
      <c r="AA119" s="85"/>
      <c r="AB119" s="85"/>
      <c r="AE119" s="85"/>
      <c r="AG119" s="85"/>
      <c r="AI119" s="85"/>
      <c r="AK119" s="86"/>
    </row>
    <row r="120" spans="1:37">
      <c r="A120" s="84" t="s">
        <v>1691</v>
      </c>
      <c r="B120" t="s">
        <v>1379</v>
      </c>
      <c r="C120" s="87" t="s">
        <v>1692</v>
      </c>
      <c r="D120" s="84" t="s">
        <v>1806</v>
      </c>
      <c r="F120" s="85"/>
      <c r="G120" s="85"/>
      <c r="H120" s="85"/>
      <c r="I120" s="85"/>
      <c r="J120" s="86"/>
      <c r="L120" s="85"/>
      <c r="N120" s="85"/>
      <c r="P120" s="86"/>
      <c r="R120" s="85"/>
      <c r="Y120" s="85"/>
      <c r="Z120" s="85"/>
      <c r="AA120" s="85"/>
      <c r="AB120" s="85"/>
      <c r="AE120" s="85"/>
      <c r="AG120" s="85"/>
      <c r="AI120" s="85"/>
      <c r="AK120" s="86"/>
    </row>
    <row r="121" spans="1:37">
      <c r="A121" s="84" t="s">
        <v>1748</v>
      </c>
      <c r="D121" s="84" t="s">
        <v>1806</v>
      </c>
      <c r="F121" s="103"/>
      <c r="G121" s="103"/>
      <c r="H121" s="103"/>
      <c r="I121" s="103"/>
      <c r="R121" s="85"/>
      <c r="Z121" s="85"/>
      <c r="AA121" s="85"/>
      <c r="AB121" s="85"/>
      <c r="AE121" s="85"/>
      <c r="AG121" s="85"/>
      <c r="AI121" s="85"/>
      <c r="AK121" s="86"/>
    </row>
    <row r="122" spans="1:37">
      <c r="A122" s="84" t="s">
        <v>1102</v>
      </c>
      <c r="B122" t="s">
        <v>1055</v>
      </c>
      <c r="C122" s="93" t="s">
        <v>1608</v>
      </c>
      <c r="D122" s="84" t="s">
        <v>1806</v>
      </c>
      <c r="F122" s="85">
        <v>0.1</v>
      </c>
      <c r="G122" s="85">
        <v>1</v>
      </c>
      <c r="H122" s="85"/>
      <c r="I122" s="85"/>
      <c r="J122" s="86"/>
      <c r="L122" s="85"/>
      <c r="N122" s="85"/>
      <c r="P122" s="86"/>
      <c r="R122" s="85"/>
      <c r="Y122" s="85"/>
      <c r="Z122" s="85"/>
      <c r="AA122" s="85"/>
      <c r="AB122" s="85"/>
      <c r="AE122" s="85"/>
      <c r="AG122" s="85"/>
      <c r="AI122" s="85"/>
      <c r="AK122" s="86"/>
    </row>
    <row r="123" spans="1:37">
      <c r="A123" s="84" t="s">
        <v>1051</v>
      </c>
      <c r="B123" t="s">
        <v>36</v>
      </c>
      <c r="C123" s="98" t="s">
        <v>1407</v>
      </c>
      <c r="D123" s="84" t="s">
        <v>1806</v>
      </c>
      <c r="F123" s="85" t="s">
        <v>1807</v>
      </c>
      <c r="G123" s="85">
        <v>1</v>
      </c>
      <c r="H123" s="85"/>
      <c r="I123" s="85"/>
      <c r="J123" s="86"/>
      <c r="L123" s="85"/>
      <c r="N123" s="85"/>
      <c r="P123" s="86"/>
      <c r="R123" s="85"/>
      <c r="Y123" s="85"/>
      <c r="Z123" s="85"/>
      <c r="AA123" s="85"/>
      <c r="AB123" s="85"/>
      <c r="AE123" s="85"/>
      <c r="AG123" s="85"/>
      <c r="AI123" s="85"/>
      <c r="AK123" s="86"/>
    </row>
    <row r="124" spans="1:37">
      <c r="A124" s="84" t="s">
        <v>1287</v>
      </c>
      <c r="B124" t="s">
        <v>1055</v>
      </c>
      <c r="C124" s="99" t="s">
        <v>1906</v>
      </c>
      <c r="D124" s="84" t="s">
        <v>1806</v>
      </c>
      <c r="F124" s="85">
        <v>0.1</v>
      </c>
      <c r="G124" s="85">
        <v>0.9</v>
      </c>
      <c r="H124" s="85"/>
      <c r="I124" s="85"/>
      <c r="J124" s="86"/>
      <c r="L124" s="85"/>
      <c r="N124" s="85"/>
      <c r="P124" s="86"/>
      <c r="R124" s="85"/>
      <c r="Y124" s="85"/>
      <c r="Z124" s="85"/>
      <c r="AA124" s="85"/>
      <c r="AB124" s="85"/>
      <c r="AE124" s="85"/>
      <c r="AG124" s="85"/>
      <c r="AI124" s="85"/>
      <c r="AK124" s="86"/>
    </row>
    <row r="125" spans="1:37">
      <c r="A125" s="84" t="s">
        <v>2107</v>
      </c>
      <c r="D125" s="84" t="s">
        <v>1807</v>
      </c>
      <c r="F125" s="103"/>
      <c r="G125" s="103"/>
      <c r="H125" s="103"/>
      <c r="I125" s="103"/>
      <c r="R125" s="85"/>
      <c r="Z125" s="85"/>
      <c r="AA125" s="85"/>
      <c r="AB125" s="85"/>
      <c r="AE125" s="85"/>
      <c r="AG125" s="85"/>
      <c r="AI125" s="85"/>
      <c r="AK125" s="86"/>
    </row>
    <row r="126" spans="1:37">
      <c r="A126" s="84" t="s">
        <v>2051</v>
      </c>
      <c r="D126" s="84" t="s">
        <v>1806</v>
      </c>
      <c r="F126" s="103"/>
      <c r="G126" s="103"/>
      <c r="H126" s="103"/>
      <c r="I126" s="103"/>
      <c r="R126" s="85"/>
      <c r="Z126" s="85"/>
      <c r="AA126" s="85"/>
      <c r="AB126" s="85"/>
      <c r="AE126" s="85"/>
      <c r="AG126" s="85"/>
      <c r="AI126" s="85"/>
      <c r="AK126" s="86"/>
    </row>
    <row r="127" spans="1:37">
      <c r="A127" s="84" t="s">
        <v>1583</v>
      </c>
      <c r="B127" t="s">
        <v>36</v>
      </c>
      <c r="C127" s="93" t="s">
        <v>1585</v>
      </c>
      <c r="D127" s="84" t="s">
        <v>1806</v>
      </c>
      <c r="F127" s="85">
        <v>0.1</v>
      </c>
      <c r="G127" s="85">
        <v>0.9</v>
      </c>
      <c r="H127" s="85"/>
      <c r="I127" s="85"/>
      <c r="J127" s="86"/>
      <c r="L127" s="85"/>
      <c r="M127" t="s">
        <v>1838</v>
      </c>
      <c r="N127" s="85">
        <v>1</v>
      </c>
      <c r="P127" s="86"/>
      <c r="R127" s="85"/>
      <c r="Y127" s="85"/>
      <c r="Z127" s="85"/>
      <c r="AA127" s="85"/>
      <c r="AB127" s="85"/>
      <c r="AE127" s="85"/>
      <c r="AG127" s="85"/>
      <c r="AI127" s="85"/>
      <c r="AK127" s="86"/>
    </row>
    <row r="128" spans="1:37">
      <c r="A128" s="84" t="s">
        <v>957</v>
      </c>
      <c r="B128" t="s">
        <v>1232</v>
      </c>
      <c r="C128" s="93" t="s">
        <v>1109</v>
      </c>
      <c r="D128" s="84" t="s">
        <v>1806</v>
      </c>
      <c r="F128" s="85"/>
      <c r="G128" s="85"/>
      <c r="H128" s="85"/>
      <c r="I128" s="85"/>
      <c r="J128" s="86"/>
      <c r="L128" s="85"/>
      <c r="N128" s="85"/>
      <c r="P128" s="86"/>
      <c r="R128" s="85"/>
      <c r="Y128" s="85"/>
      <c r="Z128" s="85"/>
      <c r="AA128" s="85"/>
      <c r="AB128" s="85"/>
      <c r="AE128" s="85"/>
      <c r="AG128" s="85"/>
      <c r="AI128" s="85"/>
      <c r="AK128" s="86"/>
    </row>
    <row r="129" spans="1:37">
      <c r="A129" s="84" t="s">
        <v>1138</v>
      </c>
      <c r="B129" t="s">
        <v>36</v>
      </c>
      <c r="C129" s="98" t="s">
        <v>1779</v>
      </c>
      <c r="D129" s="84" t="s">
        <v>1806</v>
      </c>
      <c r="E129">
        <v>3</v>
      </c>
      <c r="F129" s="85">
        <v>0.1</v>
      </c>
      <c r="G129" s="85">
        <v>1</v>
      </c>
      <c r="H129" s="85"/>
      <c r="I129" s="85"/>
      <c r="J129" s="86"/>
      <c r="L129" s="85"/>
      <c r="N129" s="85"/>
      <c r="P129" s="86"/>
      <c r="R129" s="85"/>
      <c r="Y129" s="85"/>
      <c r="Z129" s="85"/>
      <c r="AA129" s="85"/>
      <c r="AB129" s="85">
        <v>1</v>
      </c>
      <c r="AE129" s="85"/>
      <c r="AG129" s="85"/>
      <c r="AI129" s="85"/>
      <c r="AK129" s="86"/>
    </row>
    <row r="130" spans="1:37">
      <c r="A130" s="84" t="s">
        <v>1272</v>
      </c>
      <c r="B130" t="s">
        <v>1232</v>
      </c>
      <c r="C130" s="87" t="s">
        <v>1607</v>
      </c>
      <c r="D130" s="84" t="s">
        <v>1806</v>
      </c>
      <c r="F130" s="85"/>
      <c r="G130" s="85"/>
      <c r="H130" s="85"/>
      <c r="I130" s="85"/>
      <c r="J130" s="86"/>
      <c r="L130" s="85"/>
      <c r="N130" s="85"/>
      <c r="P130" s="86"/>
      <c r="R130" s="85"/>
      <c r="Y130" s="85"/>
      <c r="Z130" s="85"/>
      <c r="AA130" s="85"/>
      <c r="AB130" s="85"/>
      <c r="AE130" s="85"/>
      <c r="AG130" s="85"/>
      <c r="AI130" s="85"/>
      <c r="AK130" s="86"/>
    </row>
    <row r="131" spans="1:37">
      <c r="A131" s="84" t="s">
        <v>1798</v>
      </c>
      <c r="B131" t="s">
        <v>1380</v>
      </c>
      <c r="C131" s="87" t="s">
        <v>1427</v>
      </c>
      <c r="D131" s="84" t="s">
        <v>1806</v>
      </c>
      <c r="F131" s="85">
        <v>0.1</v>
      </c>
      <c r="G131" s="85">
        <v>0.9</v>
      </c>
      <c r="H131" s="85"/>
      <c r="I131" s="85"/>
      <c r="J131" s="86"/>
      <c r="L131" s="85"/>
      <c r="N131" s="85"/>
      <c r="P131" s="86"/>
      <c r="Q131" s="84">
        <v>1</v>
      </c>
      <c r="R131" s="85"/>
      <c r="Y131" s="85"/>
      <c r="Z131" s="85"/>
      <c r="AA131" s="85"/>
      <c r="AB131" s="85"/>
      <c r="AE131" s="85"/>
      <c r="AG131" s="85"/>
      <c r="AI131" s="85"/>
      <c r="AK131" s="86"/>
    </row>
    <row r="132" spans="1:37">
      <c r="A132" s="84" t="s">
        <v>1670</v>
      </c>
      <c r="B132" t="s">
        <v>36</v>
      </c>
      <c r="C132" s="98" t="s">
        <v>1671</v>
      </c>
      <c r="D132" s="84" t="s">
        <v>1807</v>
      </c>
      <c r="F132" s="85" t="s">
        <v>1807</v>
      </c>
      <c r="G132" s="85">
        <v>1</v>
      </c>
      <c r="H132" s="85"/>
      <c r="I132" s="85"/>
      <c r="J132" s="86"/>
      <c r="L132" s="85"/>
      <c r="N132" s="85"/>
      <c r="P132" s="86"/>
      <c r="R132" s="85"/>
      <c r="Y132" s="85"/>
      <c r="Z132" s="85"/>
      <c r="AA132" s="85"/>
      <c r="AB132" s="85"/>
      <c r="AE132" s="85"/>
      <c r="AG132" s="85"/>
      <c r="AI132" s="85"/>
      <c r="AK132" s="86"/>
    </row>
    <row r="133" spans="1:37">
      <c r="A133" s="84" t="s">
        <v>1352</v>
      </c>
      <c r="B133" t="s">
        <v>1381</v>
      </c>
      <c r="C133" s="93" t="s">
        <v>1109</v>
      </c>
      <c r="D133" s="84" t="s">
        <v>1806</v>
      </c>
      <c r="F133" s="85">
        <v>0.1</v>
      </c>
      <c r="G133" s="85">
        <v>0.9</v>
      </c>
      <c r="H133" s="85"/>
      <c r="I133" s="85"/>
      <c r="J133" s="86"/>
      <c r="L133" s="85"/>
      <c r="N133" s="85"/>
      <c r="P133" s="86"/>
      <c r="Q133" s="84">
        <v>0</v>
      </c>
      <c r="R133" s="85"/>
      <c r="Y133" s="85"/>
      <c r="Z133" s="85"/>
      <c r="AA133" s="85"/>
      <c r="AB133" s="85"/>
      <c r="AE133" s="85"/>
      <c r="AG133" s="85"/>
      <c r="AI133" s="85"/>
      <c r="AK133" s="86"/>
    </row>
    <row r="134" spans="1:37">
      <c r="A134" s="84" t="s">
        <v>1034</v>
      </c>
      <c r="B134" t="s">
        <v>36</v>
      </c>
      <c r="C134" s="98" t="s">
        <v>1409</v>
      </c>
      <c r="D134" s="84" t="s">
        <v>1807</v>
      </c>
      <c r="F134" s="85" t="s">
        <v>1807</v>
      </c>
      <c r="G134" s="85">
        <v>1</v>
      </c>
      <c r="H134" s="85"/>
      <c r="I134" s="85"/>
      <c r="J134" s="86"/>
      <c r="L134" s="85"/>
      <c r="N134" s="85"/>
      <c r="P134" s="86"/>
      <c r="R134" s="85"/>
      <c r="Y134" s="85"/>
      <c r="Z134" s="85"/>
      <c r="AA134" s="85"/>
      <c r="AB134" s="85"/>
      <c r="AE134" s="85"/>
      <c r="AG134" s="85"/>
      <c r="AI134" s="85"/>
      <c r="AK134" s="86"/>
    </row>
    <row r="135" spans="1:37">
      <c r="A135" s="84" t="s">
        <v>1358</v>
      </c>
      <c r="B135" t="s">
        <v>1384</v>
      </c>
      <c r="C135" s="87" t="s">
        <v>1607</v>
      </c>
      <c r="D135" s="84" t="s">
        <v>1806</v>
      </c>
      <c r="E135">
        <v>30</v>
      </c>
      <c r="F135" s="85" t="s">
        <v>1807</v>
      </c>
      <c r="G135" s="85">
        <v>0.3</v>
      </c>
      <c r="H135" s="85"/>
      <c r="I135" s="85"/>
      <c r="J135" s="86"/>
      <c r="L135" s="85"/>
      <c r="N135" s="85"/>
      <c r="P135" s="86"/>
      <c r="Q135" s="84">
        <v>0</v>
      </c>
      <c r="R135" s="85"/>
      <c r="Y135" s="85"/>
      <c r="Z135" s="85"/>
      <c r="AA135" s="85"/>
      <c r="AB135" s="85"/>
      <c r="AE135" s="85"/>
      <c r="AG135" s="85"/>
      <c r="AI135" s="85"/>
      <c r="AK135" s="86"/>
    </row>
    <row r="136" spans="1:37">
      <c r="A136" s="84" t="s">
        <v>1647</v>
      </c>
      <c r="D136" s="84" t="s">
        <v>1807</v>
      </c>
      <c r="F136" s="103"/>
      <c r="G136" s="103"/>
      <c r="H136" s="103"/>
      <c r="I136" s="103"/>
      <c r="R136" s="85"/>
      <c r="Z136" s="85"/>
      <c r="AA136" s="85"/>
      <c r="AB136" s="85"/>
      <c r="AE136" s="85"/>
      <c r="AG136" s="85"/>
      <c r="AI136" s="85"/>
      <c r="AK136" s="86"/>
    </row>
    <row r="137" spans="1:37">
      <c r="A137" s="84" t="s">
        <v>2083</v>
      </c>
      <c r="D137" s="84" t="s">
        <v>1806</v>
      </c>
      <c r="F137" s="103"/>
      <c r="G137" s="103"/>
      <c r="H137" s="103"/>
      <c r="I137" s="103"/>
      <c r="R137" s="85"/>
      <c r="Z137" s="85"/>
      <c r="AA137" s="85"/>
      <c r="AB137" s="85"/>
      <c r="AE137" s="85"/>
      <c r="AG137" s="85"/>
      <c r="AI137" s="85"/>
      <c r="AK137" s="86"/>
    </row>
    <row r="138" spans="1:37">
      <c r="A138" s="84" t="s">
        <v>1240</v>
      </c>
      <c r="B138" t="s">
        <v>1055</v>
      </c>
      <c r="C138" s="93" t="s">
        <v>1948</v>
      </c>
      <c r="D138" s="84" t="s">
        <v>1806</v>
      </c>
      <c r="E138">
        <v>1.5</v>
      </c>
      <c r="F138" s="85">
        <v>0.1</v>
      </c>
      <c r="G138" s="85">
        <v>0.8</v>
      </c>
      <c r="H138" s="85"/>
      <c r="I138" s="85"/>
      <c r="J138" s="86"/>
      <c r="L138" s="85"/>
      <c r="N138" s="85"/>
      <c r="P138" s="86"/>
      <c r="R138" s="85"/>
      <c r="Y138" s="85"/>
      <c r="Z138" s="85"/>
      <c r="AA138" s="85"/>
      <c r="AB138" s="85"/>
      <c r="AD138">
        <v>-1</v>
      </c>
      <c r="AE138" s="85">
        <v>0.5</v>
      </c>
      <c r="AF138">
        <v>-1</v>
      </c>
      <c r="AG138" s="85">
        <v>0.5</v>
      </c>
      <c r="AH138">
        <v>-1</v>
      </c>
      <c r="AI138" s="85">
        <v>0.5</v>
      </c>
      <c r="AK138" s="86"/>
    </row>
    <row r="139" spans="1:37">
      <c r="A139" s="84" t="s">
        <v>1722</v>
      </c>
      <c r="D139" s="84" t="s">
        <v>1806</v>
      </c>
      <c r="F139" s="103"/>
      <c r="G139" s="103"/>
      <c r="H139" s="103"/>
      <c r="I139" s="103"/>
      <c r="R139" s="85"/>
      <c r="Z139" s="85"/>
      <c r="AA139" s="85"/>
      <c r="AB139" s="85"/>
      <c r="AE139" s="85"/>
      <c r="AG139" s="85"/>
      <c r="AI139" s="85"/>
      <c r="AK139" s="86"/>
    </row>
    <row r="140" spans="1:37">
      <c r="A140" s="84" t="s">
        <v>1249</v>
      </c>
      <c r="B140" t="s">
        <v>1389</v>
      </c>
      <c r="C140" s="93" t="s">
        <v>1943</v>
      </c>
      <c r="D140" s="84" t="s">
        <v>1806</v>
      </c>
      <c r="F140" s="85">
        <v>0.1</v>
      </c>
      <c r="G140" s="85">
        <v>0.9</v>
      </c>
      <c r="H140" s="85"/>
      <c r="I140" s="85"/>
      <c r="J140" s="86"/>
      <c r="L140" s="85"/>
      <c r="N140" s="85"/>
      <c r="P140" s="86"/>
      <c r="Q140" s="84">
        <v>0</v>
      </c>
      <c r="R140" s="85"/>
      <c r="W140">
        <v>-2</v>
      </c>
      <c r="X140" s="86">
        <v>0.2</v>
      </c>
      <c r="Y140" s="85"/>
      <c r="Z140" s="85"/>
      <c r="AA140" s="85"/>
      <c r="AB140" s="85"/>
      <c r="AE140" s="85"/>
      <c r="AG140" s="85"/>
      <c r="AI140" s="85"/>
      <c r="AK140" s="86"/>
    </row>
    <row r="141" spans="1:37">
      <c r="A141" s="84" t="s">
        <v>2053</v>
      </c>
      <c r="D141" s="84" t="s">
        <v>1806</v>
      </c>
      <c r="F141" s="103"/>
      <c r="G141" s="103"/>
      <c r="H141" s="103"/>
      <c r="I141" s="103"/>
      <c r="R141" s="85"/>
      <c r="Z141" s="85"/>
      <c r="AA141" s="85"/>
      <c r="AB141" s="85"/>
      <c r="AE141" s="85"/>
      <c r="AG141" s="85"/>
      <c r="AI141" s="85"/>
      <c r="AK141" s="86"/>
    </row>
    <row r="142" spans="1:37">
      <c r="A142" s="84" t="s">
        <v>1637</v>
      </c>
      <c r="D142" s="84" t="s">
        <v>1806</v>
      </c>
      <c r="F142" s="103"/>
      <c r="G142" s="103"/>
      <c r="H142" s="103"/>
      <c r="I142" s="103"/>
      <c r="R142" s="85"/>
      <c r="Z142" s="85"/>
      <c r="AA142" s="85"/>
      <c r="AB142" s="85"/>
      <c r="AE142" s="85"/>
      <c r="AG142" s="85"/>
      <c r="AI142" s="85"/>
      <c r="AK142" s="86"/>
    </row>
    <row r="143" spans="1:37">
      <c r="A143" s="84" t="s">
        <v>1014</v>
      </c>
      <c r="B143" t="s">
        <v>1381</v>
      </c>
      <c r="C143" s="93" t="s">
        <v>1109</v>
      </c>
      <c r="D143" s="84" t="s">
        <v>1806</v>
      </c>
      <c r="F143" s="85">
        <v>0.1</v>
      </c>
      <c r="G143" s="85">
        <v>0.9</v>
      </c>
      <c r="H143" s="85"/>
      <c r="I143" s="85"/>
      <c r="J143" s="86"/>
      <c r="L143" s="85"/>
      <c r="N143" s="85"/>
      <c r="P143" s="86"/>
      <c r="Q143" s="84">
        <v>0</v>
      </c>
      <c r="R143" s="85"/>
      <c r="Y143" s="85"/>
      <c r="Z143" s="85"/>
      <c r="AA143" s="85"/>
      <c r="AB143" s="85"/>
      <c r="AD143">
        <v>1</v>
      </c>
      <c r="AE143" s="85">
        <v>0.2</v>
      </c>
      <c r="AG143" s="85"/>
      <c r="AI143" s="85"/>
      <c r="AK143" s="86"/>
    </row>
    <row r="144" spans="1:37">
      <c r="A144" s="84" t="s">
        <v>2125</v>
      </c>
      <c r="D144" s="84" t="s">
        <v>1806</v>
      </c>
      <c r="F144" s="103"/>
      <c r="G144" s="103"/>
      <c r="H144" s="103"/>
      <c r="I144" s="103"/>
      <c r="R144" s="85"/>
      <c r="Z144" s="85"/>
      <c r="AA144" s="85"/>
      <c r="AB144" s="85"/>
      <c r="AE144" s="85"/>
      <c r="AG144" s="85"/>
      <c r="AI144" s="85"/>
      <c r="AK144" s="86"/>
    </row>
    <row r="145" spans="1:37">
      <c r="A145" s="84" t="s">
        <v>1786</v>
      </c>
      <c r="B145" t="s">
        <v>1379</v>
      </c>
      <c r="C145" s="87" t="s">
        <v>1788</v>
      </c>
      <c r="D145" s="84" t="s">
        <v>1806</v>
      </c>
      <c r="F145" s="85"/>
      <c r="G145" s="85"/>
      <c r="H145" s="85"/>
      <c r="I145" s="85"/>
      <c r="J145" s="86"/>
      <c r="L145" s="85"/>
      <c r="N145" s="85"/>
      <c r="P145" s="86"/>
      <c r="R145" s="85"/>
      <c r="Y145" s="85"/>
      <c r="Z145" s="85"/>
      <c r="AA145" s="85"/>
      <c r="AB145" s="85"/>
      <c r="AE145" s="85"/>
      <c r="AG145" s="85"/>
      <c r="AI145" s="85"/>
      <c r="AK145" s="86"/>
    </row>
    <row r="146" spans="1:37">
      <c r="A146" s="84" t="s">
        <v>1773</v>
      </c>
      <c r="B146" t="s">
        <v>1379</v>
      </c>
      <c r="C146" s="87" t="s">
        <v>1789</v>
      </c>
      <c r="D146" s="84" t="s">
        <v>1806</v>
      </c>
      <c r="F146" s="85"/>
      <c r="G146" s="85"/>
      <c r="H146" s="85"/>
      <c r="I146" s="85"/>
      <c r="J146" s="86"/>
      <c r="L146" s="85"/>
      <c r="N146" s="85"/>
      <c r="P146" s="86"/>
      <c r="R146" s="85"/>
      <c r="Y146" s="85"/>
      <c r="Z146" s="85"/>
      <c r="AA146" s="85"/>
      <c r="AB146" s="85"/>
      <c r="AE146" s="85"/>
      <c r="AG146" s="85"/>
      <c r="AI146" s="85"/>
      <c r="AK146" s="86"/>
    </row>
    <row r="147" spans="1:37">
      <c r="A147" s="84" t="s">
        <v>1681</v>
      </c>
      <c r="B147" t="s">
        <v>36</v>
      </c>
      <c r="C147" s="87" t="s">
        <v>1660</v>
      </c>
      <c r="D147" s="84" t="s">
        <v>1806</v>
      </c>
      <c r="E147">
        <v>2</v>
      </c>
      <c r="F147" s="85">
        <v>0.1</v>
      </c>
      <c r="G147" s="85">
        <v>0.8</v>
      </c>
      <c r="H147" s="85"/>
      <c r="I147" s="85"/>
      <c r="J147" s="86"/>
      <c r="L147" s="85"/>
      <c r="N147" s="85"/>
      <c r="O147" t="s">
        <v>1898</v>
      </c>
      <c r="P147" s="86">
        <v>1</v>
      </c>
      <c r="R147" s="85"/>
      <c r="Y147" s="85"/>
      <c r="Z147" s="85"/>
      <c r="AA147" s="85"/>
      <c r="AB147" s="85"/>
      <c r="AE147" s="85"/>
      <c r="AG147" s="85"/>
      <c r="AI147" s="85"/>
      <c r="AK147" s="86"/>
    </row>
    <row r="148" spans="1:37">
      <c r="A148" s="84" t="s">
        <v>1009</v>
      </c>
      <c r="B148" t="s">
        <v>1380</v>
      </c>
      <c r="C148" s="87" t="s">
        <v>1400</v>
      </c>
      <c r="D148" s="84" t="s">
        <v>1806</v>
      </c>
      <c r="F148" s="85">
        <v>0.1</v>
      </c>
      <c r="G148" s="85">
        <v>0.9</v>
      </c>
      <c r="H148" s="85"/>
      <c r="I148" s="85"/>
      <c r="J148" s="86"/>
      <c r="L148" s="85"/>
      <c r="N148" s="85"/>
      <c r="P148" s="86"/>
      <c r="R148" s="85"/>
      <c r="Y148" s="85"/>
      <c r="Z148" s="85"/>
      <c r="AA148" s="85">
        <v>0.3</v>
      </c>
      <c r="AB148" s="85"/>
      <c r="AE148" s="85"/>
      <c r="AG148" s="85"/>
      <c r="AI148" s="85"/>
      <c r="AK148" s="86"/>
    </row>
    <row r="149" spans="1:37">
      <c r="A149" s="84" t="s">
        <v>1369</v>
      </c>
      <c r="B149" t="s">
        <v>1381</v>
      </c>
      <c r="C149" s="93" t="s">
        <v>1927</v>
      </c>
      <c r="D149" s="84" t="s">
        <v>1806</v>
      </c>
      <c r="E149">
        <v>1.5</v>
      </c>
      <c r="F149" s="85">
        <v>0.1</v>
      </c>
      <c r="G149" s="85">
        <v>0.9</v>
      </c>
      <c r="H149" s="85"/>
      <c r="I149" s="85"/>
      <c r="J149" s="86"/>
      <c r="L149" s="85"/>
      <c r="N149" s="85"/>
      <c r="P149" s="86"/>
      <c r="Q149" s="84">
        <v>-3</v>
      </c>
      <c r="R149" s="85"/>
      <c r="Y149" s="85"/>
      <c r="Z149" s="85"/>
      <c r="AA149" s="85"/>
      <c r="AB149" s="85"/>
      <c r="AE149" s="85"/>
      <c r="AG149" s="85"/>
      <c r="AI149" s="85"/>
      <c r="AK149" s="86"/>
    </row>
    <row r="150" spans="1:37">
      <c r="A150" s="84" t="s">
        <v>1255</v>
      </c>
      <c r="B150" t="s">
        <v>1387</v>
      </c>
      <c r="C150" s="93" t="s">
        <v>1940</v>
      </c>
      <c r="D150" s="84" t="s">
        <v>1806</v>
      </c>
      <c r="F150" s="85">
        <v>0.1</v>
      </c>
      <c r="G150" s="85">
        <v>0.9</v>
      </c>
      <c r="H150" s="85"/>
      <c r="I150" s="85"/>
      <c r="J150" s="86"/>
      <c r="L150" s="85"/>
      <c r="M150" t="s">
        <v>1838</v>
      </c>
      <c r="N150" s="85">
        <v>1</v>
      </c>
      <c r="P150" s="86"/>
      <c r="R150" s="85"/>
      <c r="Y150" s="85"/>
      <c r="Z150" s="85"/>
      <c r="AA150" s="85"/>
      <c r="AB150" s="85"/>
      <c r="AE150" s="85"/>
      <c r="AG150" s="85"/>
      <c r="AI150" s="85"/>
      <c r="AK150" s="86"/>
    </row>
    <row r="151" spans="1:37">
      <c r="A151" s="84" t="s">
        <v>1745</v>
      </c>
      <c r="B151" t="s">
        <v>36</v>
      </c>
      <c r="C151" s="98" t="s">
        <v>1750</v>
      </c>
      <c r="D151" s="84" t="s">
        <v>1806</v>
      </c>
      <c r="F151" s="85">
        <v>0.1</v>
      </c>
      <c r="G151" s="85">
        <v>0.9</v>
      </c>
      <c r="H151" s="85"/>
      <c r="I151" s="85"/>
      <c r="J151" s="86"/>
      <c r="L151" s="85"/>
      <c r="N151" s="85"/>
      <c r="P151" s="86"/>
      <c r="R151" s="85"/>
      <c r="Y151" s="85"/>
      <c r="Z151" s="85"/>
      <c r="AA151" s="85"/>
      <c r="AB151" s="85"/>
      <c r="AE151" s="85"/>
      <c r="AG151" s="85"/>
      <c r="AI151" s="85"/>
      <c r="AK151" s="86"/>
    </row>
    <row r="152" spans="1:37">
      <c r="A152" s="84" t="s">
        <v>1047</v>
      </c>
      <c r="B152" t="s">
        <v>1388</v>
      </c>
      <c r="C152" s="93" t="s">
        <v>1608</v>
      </c>
      <c r="D152" s="84" t="s">
        <v>1806</v>
      </c>
      <c r="F152" s="85"/>
      <c r="G152" s="85"/>
      <c r="H152" s="85"/>
      <c r="I152" s="85"/>
      <c r="J152" s="86"/>
      <c r="L152" s="85"/>
      <c r="N152" s="85"/>
      <c r="P152" s="86"/>
      <c r="R152" s="85"/>
      <c r="Y152" s="85"/>
      <c r="Z152" s="85"/>
      <c r="AA152" s="85"/>
      <c r="AB152" s="85"/>
      <c r="AE152" s="85"/>
      <c r="AG152" s="85"/>
      <c r="AI152" s="85"/>
      <c r="AK152" s="86"/>
    </row>
    <row r="153" spans="1:37">
      <c r="A153" s="84" t="s">
        <v>1584</v>
      </c>
      <c r="B153" t="s">
        <v>1383</v>
      </c>
      <c r="C153" s="93" t="s">
        <v>1427</v>
      </c>
      <c r="D153" s="84" t="s">
        <v>1806</v>
      </c>
      <c r="F153" s="85"/>
      <c r="G153" s="85"/>
      <c r="H153" s="85"/>
      <c r="I153" s="85"/>
      <c r="J153" s="86"/>
      <c r="L153" s="85"/>
      <c r="N153" s="85"/>
      <c r="P153" s="86"/>
      <c r="R153" s="85"/>
      <c r="Y153" s="85"/>
      <c r="Z153" s="85"/>
      <c r="AA153" s="85"/>
      <c r="AB153" s="85"/>
      <c r="AE153" s="85"/>
      <c r="AG153" s="85"/>
      <c r="AI153" s="85"/>
      <c r="AK153" s="86"/>
    </row>
    <row r="154" spans="1:37">
      <c r="A154" s="84" t="s">
        <v>1710</v>
      </c>
      <c r="D154" s="84" t="s">
        <v>1806</v>
      </c>
      <c r="F154" s="103"/>
      <c r="G154" s="103"/>
      <c r="H154" s="103"/>
      <c r="I154" s="103"/>
      <c r="R154" s="85"/>
      <c r="Z154" s="85"/>
      <c r="AA154" s="85"/>
      <c r="AB154" s="85"/>
      <c r="AE154" s="85"/>
      <c r="AG154" s="85"/>
      <c r="AI154" s="85"/>
      <c r="AK154" s="86"/>
    </row>
    <row r="155" spans="1:37">
      <c r="A155" s="84" t="s">
        <v>1377</v>
      </c>
      <c r="B155" t="s">
        <v>36</v>
      </c>
      <c r="C155" s="93" t="s">
        <v>1432</v>
      </c>
      <c r="D155" s="84" t="s">
        <v>1806</v>
      </c>
      <c r="F155" s="85">
        <v>0.1</v>
      </c>
      <c r="G155" s="85">
        <v>0.9</v>
      </c>
      <c r="H155" s="85"/>
      <c r="I155" s="85"/>
      <c r="J155" s="86"/>
      <c r="L155" s="85"/>
      <c r="M155" t="s">
        <v>1849</v>
      </c>
      <c r="N155" s="85">
        <v>0.2</v>
      </c>
      <c r="P155" s="86"/>
      <c r="R155" s="85"/>
      <c r="Y155" s="85"/>
      <c r="Z155" s="85"/>
      <c r="AA155" s="85"/>
      <c r="AB155" s="85"/>
      <c r="AE155" s="85"/>
      <c r="AG155" s="85"/>
      <c r="AI155" s="85"/>
      <c r="AK155" s="86"/>
    </row>
    <row r="156" spans="1:37">
      <c r="A156" s="84" t="s">
        <v>1331</v>
      </c>
      <c r="B156" t="s">
        <v>36</v>
      </c>
      <c r="C156" s="87" t="s">
        <v>1398</v>
      </c>
      <c r="D156" s="84" t="s">
        <v>1806</v>
      </c>
      <c r="F156" s="85">
        <v>0.1</v>
      </c>
      <c r="G156" s="85">
        <v>0.9</v>
      </c>
      <c r="H156" s="85"/>
      <c r="I156" s="85"/>
      <c r="J156" s="86"/>
      <c r="K156" s="84" t="s">
        <v>1811</v>
      </c>
      <c r="L156" s="85">
        <v>0.3</v>
      </c>
      <c r="N156" s="85"/>
      <c r="P156" s="86"/>
      <c r="R156" s="85"/>
      <c r="Y156" s="85"/>
      <c r="Z156" s="85"/>
      <c r="AA156" s="85"/>
      <c r="AB156" s="85"/>
      <c r="AE156" s="85"/>
      <c r="AG156" s="85"/>
      <c r="AI156" s="85"/>
      <c r="AK156" s="86"/>
    </row>
    <row r="157" spans="1:37">
      <c r="A157" s="84" t="s">
        <v>2078</v>
      </c>
      <c r="B157" t="s">
        <v>1055</v>
      </c>
      <c r="C157" s="93" t="s">
        <v>1109</v>
      </c>
      <c r="D157" s="84" t="s">
        <v>1806</v>
      </c>
      <c r="F157" s="85">
        <v>0.1</v>
      </c>
      <c r="G157" s="85">
        <v>0.9</v>
      </c>
      <c r="H157" s="85"/>
      <c r="I157" s="85"/>
      <c r="J157" s="86"/>
      <c r="L157" s="85"/>
      <c r="N157" s="85"/>
      <c r="P157" s="86"/>
      <c r="R157" s="85"/>
      <c r="Y157" s="85"/>
      <c r="Z157" s="85"/>
      <c r="AA157" s="85"/>
      <c r="AB157" s="85"/>
      <c r="AE157" s="85"/>
      <c r="AG157" s="85"/>
      <c r="AI157" s="85"/>
      <c r="AK157" s="86"/>
    </row>
    <row r="158" spans="1:37">
      <c r="A158" s="84" t="s">
        <v>1630</v>
      </c>
      <c r="D158" s="84" t="s">
        <v>1806</v>
      </c>
      <c r="F158" s="103"/>
      <c r="G158" s="103"/>
      <c r="H158" s="103"/>
      <c r="I158" s="103"/>
      <c r="R158" s="85"/>
      <c r="Z158" s="85"/>
      <c r="AA158" s="85"/>
      <c r="AB158" s="85"/>
      <c r="AE158" s="85"/>
      <c r="AG158" s="85"/>
      <c r="AI158" s="85"/>
      <c r="AK158" s="86"/>
    </row>
    <row r="159" spans="1:37">
      <c r="A159" s="84" t="s">
        <v>2085</v>
      </c>
      <c r="D159" s="84" t="s">
        <v>1806</v>
      </c>
      <c r="F159" s="103"/>
      <c r="G159" s="103"/>
      <c r="H159" s="103"/>
      <c r="I159" s="103"/>
      <c r="R159" s="85"/>
      <c r="Z159" s="85"/>
      <c r="AA159" s="85"/>
      <c r="AB159" s="85"/>
      <c r="AE159" s="85"/>
      <c r="AG159" s="85"/>
      <c r="AI159" s="85"/>
      <c r="AK159" s="86"/>
    </row>
    <row r="160" spans="1:37">
      <c r="A160" s="84" t="s">
        <v>1275</v>
      </c>
      <c r="B160" t="s">
        <v>36</v>
      </c>
      <c r="C160" s="98" t="s">
        <v>1404</v>
      </c>
      <c r="D160" s="84" t="s">
        <v>1806</v>
      </c>
      <c r="E160">
        <v>0.5</v>
      </c>
      <c r="F160" s="85">
        <v>0.1</v>
      </c>
      <c r="G160" s="85">
        <v>0.7</v>
      </c>
      <c r="H160" s="85"/>
      <c r="I160" s="85"/>
      <c r="J160" s="86"/>
      <c r="L160" s="85"/>
      <c r="N160" s="85"/>
      <c r="P160" s="86"/>
      <c r="R160" s="85"/>
      <c r="Y160" s="85"/>
      <c r="Z160" s="85"/>
      <c r="AA160" s="85"/>
      <c r="AB160" s="85"/>
      <c r="AE160" s="85"/>
      <c r="AG160" s="85"/>
      <c r="AI160" s="85"/>
      <c r="AK160" s="86"/>
    </row>
    <row r="161" spans="1:37">
      <c r="A161" s="84" t="s">
        <v>1638</v>
      </c>
      <c r="D161" s="84" t="s">
        <v>1807</v>
      </c>
      <c r="F161" s="103"/>
      <c r="G161" s="103"/>
      <c r="H161" s="103"/>
      <c r="I161" s="103"/>
      <c r="R161" s="85"/>
      <c r="Z161" s="85"/>
      <c r="AA161" s="85"/>
      <c r="AB161" s="85"/>
      <c r="AE161" s="85"/>
      <c r="AG161" s="85"/>
      <c r="AI161" s="85"/>
      <c r="AK161" s="86"/>
    </row>
    <row r="162" spans="1:37">
      <c r="A162" s="84" t="s">
        <v>969</v>
      </c>
      <c r="B162" t="s">
        <v>36</v>
      </c>
      <c r="C162" s="98" t="s">
        <v>1426</v>
      </c>
      <c r="D162" s="84" t="s">
        <v>1806</v>
      </c>
      <c r="E162">
        <v>30</v>
      </c>
      <c r="F162" s="85" t="s">
        <v>1807</v>
      </c>
      <c r="G162" s="85">
        <v>0.3</v>
      </c>
      <c r="H162" s="85"/>
      <c r="I162" s="85"/>
      <c r="J162" s="86"/>
      <c r="L162" s="85"/>
      <c r="N162" s="85"/>
      <c r="P162" s="86"/>
      <c r="R162" s="85"/>
      <c r="Y162" s="85"/>
      <c r="Z162" s="85"/>
      <c r="AA162" s="85"/>
      <c r="AB162" s="85"/>
      <c r="AE162" s="85"/>
      <c r="AG162" s="85"/>
      <c r="AI162" s="85"/>
      <c r="AK162" s="86"/>
    </row>
    <row r="163" spans="1:37">
      <c r="A163" s="84" t="s">
        <v>1793</v>
      </c>
      <c r="D163" s="84" t="s">
        <v>1806</v>
      </c>
      <c r="F163" s="103"/>
      <c r="G163" s="103"/>
      <c r="H163" s="103"/>
      <c r="I163" s="103"/>
      <c r="R163" s="85"/>
      <c r="Z163" s="85"/>
      <c r="AA163" s="85"/>
      <c r="AB163" s="85"/>
      <c r="AE163" s="85"/>
      <c r="AG163" s="85"/>
      <c r="AI163" s="85"/>
      <c r="AK163" s="86"/>
    </row>
    <row r="164" spans="1:37">
      <c r="A164" s="84" t="s">
        <v>1018</v>
      </c>
      <c r="B164" t="s">
        <v>772</v>
      </c>
      <c r="C164" s="93" t="s">
        <v>1109</v>
      </c>
      <c r="D164" s="84" t="s">
        <v>1806</v>
      </c>
      <c r="F164" s="85">
        <v>0.1</v>
      </c>
      <c r="G164" s="85">
        <v>0.9</v>
      </c>
      <c r="H164" s="85"/>
      <c r="I164" s="85"/>
      <c r="J164" s="86"/>
      <c r="L164" s="85"/>
      <c r="N164" s="85"/>
      <c r="P164" s="86"/>
      <c r="Q164" s="84">
        <v>0</v>
      </c>
      <c r="R164" s="85"/>
      <c r="Y164" s="85"/>
      <c r="Z164" s="85"/>
      <c r="AA164" s="85"/>
      <c r="AB164" s="85"/>
      <c r="AE164" s="85"/>
      <c r="AG164" s="85"/>
      <c r="AI164" s="85"/>
      <c r="AK164" s="86"/>
    </row>
    <row r="165" spans="1:37">
      <c r="A165" s="84" t="s">
        <v>1318</v>
      </c>
      <c r="B165" t="s">
        <v>772</v>
      </c>
      <c r="C165" s="87" t="s">
        <v>1412</v>
      </c>
      <c r="D165" s="84" t="s">
        <v>1806</v>
      </c>
      <c r="F165" s="85">
        <v>0.1</v>
      </c>
      <c r="G165" s="85">
        <v>0.9</v>
      </c>
      <c r="H165" s="85"/>
      <c r="I165" s="85"/>
      <c r="J165" s="86"/>
      <c r="L165" s="85"/>
      <c r="M165" t="s">
        <v>1836</v>
      </c>
      <c r="N165" s="85">
        <v>0.1</v>
      </c>
      <c r="P165" s="86"/>
      <c r="Q165" s="84">
        <v>0</v>
      </c>
      <c r="R165" s="85"/>
      <c r="Y165" s="85"/>
      <c r="Z165" s="85"/>
      <c r="AA165" s="85"/>
      <c r="AB165" s="85"/>
      <c r="AE165" s="85"/>
      <c r="AG165" s="85"/>
      <c r="AI165" s="85"/>
      <c r="AK165" s="86"/>
    </row>
    <row r="166" spans="1:37">
      <c r="A166" s="84" t="s">
        <v>2126</v>
      </c>
      <c r="B166" t="s">
        <v>1380</v>
      </c>
      <c r="C166" s="99" t="s">
        <v>1959</v>
      </c>
      <c r="D166" s="84" t="s">
        <v>1806</v>
      </c>
      <c r="F166" s="85">
        <v>0.1</v>
      </c>
      <c r="G166" s="85">
        <v>0.9</v>
      </c>
      <c r="H166" s="85"/>
      <c r="I166" s="85"/>
      <c r="J166" s="86"/>
      <c r="L166" s="85"/>
      <c r="N166" s="85"/>
      <c r="P166" s="86"/>
      <c r="R166" s="85"/>
      <c r="Y166" s="85"/>
      <c r="Z166" s="85"/>
      <c r="AA166" s="85"/>
      <c r="AB166" s="85"/>
      <c r="AE166" s="85"/>
      <c r="AG166" s="85"/>
      <c r="AI166" s="85"/>
      <c r="AK166" s="86"/>
    </row>
    <row r="167" spans="1:37">
      <c r="A167" s="84" t="s">
        <v>2063</v>
      </c>
      <c r="D167" s="84" t="s">
        <v>1807</v>
      </c>
      <c r="F167" s="103"/>
      <c r="G167" s="103"/>
      <c r="H167" s="103"/>
      <c r="I167" s="103"/>
      <c r="R167" s="85"/>
      <c r="Z167" s="85"/>
      <c r="AA167" s="85"/>
      <c r="AB167" s="85"/>
      <c r="AE167" s="85"/>
      <c r="AG167" s="85"/>
      <c r="AI167" s="85"/>
      <c r="AK167" s="86"/>
    </row>
    <row r="168" spans="1:37">
      <c r="A168" s="84" t="s">
        <v>1053</v>
      </c>
      <c r="B168" t="s">
        <v>36</v>
      </c>
      <c r="C168" s="87" t="s">
        <v>1410</v>
      </c>
      <c r="D168" s="84" t="s">
        <v>1806</v>
      </c>
      <c r="F168" s="85">
        <v>0.3</v>
      </c>
      <c r="G168" s="85">
        <v>0.9</v>
      </c>
      <c r="H168" s="85"/>
      <c r="I168" s="85"/>
      <c r="J168" s="86"/>
      <c r="L168" s="85"/>
      <c r="N168" s="85"/>
      <c r="P168" s="86"/>
      <c r="R168" s="85"/>
      <c r="Y168" s="85"/>
      <c r="Z168" s="85"/>
      <c r="AA168" s="85"/>
      <c r="AB168" s="85"/>
      <c r="AE168" s="85"/>
      <c r="AG168" s="85"/>
      <c r="AI168" s="85"/>
      <c r="AK168" s="86"/>
    </row>
    <row r="169" spans="1:37">
      <c r="A169" s="84" t="s">
        <v>2105</v>
      </c>
      <c r="D169" s="84" t="s">
        <v>1807</v>
      </c>
      <c r="F169" s="103"/>
      <c r="G169" s="103"/>
      <c r="H169" s="103"/>
      <c r="I169" s="103"/>
      <c r="R169" s="85"/>
      <c r="Z169" s="85"/>
      <c r="AA169" s="85"/>
      <c r="AB169" s="85"/>
      <c r="AE169" s="85"/>
      <c r="AG169" s="85"/>
      <c r="AI169" s="85"/>
      <c r="AK169" s="86"/>
    </row>
    <row r="170" spans="1:37">
      <c r="A170" s="84" t="s">
        <v>1015</v>
      </c>
      <c r="B170" t="s">
        <v>1380</v>
      </c>
      <c r="C170" s="87" t="s">
        <v>1410</v>
      </c>
      <c r="D170" s="84" t="s">
        <v>1806</v>
      </c>
      <c r="F170" s="85">
        <v>0.3</v>
      </c>
      <c r="G170" s="85">
        <v>0.9</v>
      </c>
      <c r="H170" s="85"/>
      <c r="I170" s="85"/>
      <c r="J170" s="86"/>
      <c r="L170" s="85"/>
      <c r="N170" s="85"/>
      <c r="P170" s="86"/>
      <c r="R170" s="85"/>
      <c r="Y170" s="85"/>
      <c r="Z170" s="85"/>
      <c r="AA170" s="85"/>
      <c r="AB170" s="85"/>
      <c r="AE170" s="85"/>
      <c r="AG170" s="85"/>
      <c r="AI170" s="85"/>
      <c r="AK170" s="86"/>
    </row>
    <row r="171" spans="1:37">
      <c r="A171" s="84" t="s">
        <v>1356</v>
      </c>
      <c r="B171" t="s">
        <v>1380</v>
      </c>
      <c r="C171" s="87" t="s">
        <v>1410</v>
      </c>
      <c r="D171" s="84" t="s">
        <v>1806</v>
      </c>
      <c r="F171" s="85">
        <v>0.3</v>
      </c>
      <c r="G171" s="85">
        <v>0.9</v>
      </c>
      <c r="H171" s="85"/>
      <c r="I171" s="85"/>
      <c r="J171" s="86"/>
      <c r="L171" s="85"/>
      <c r="N171" s="85"/>
      <c r="P171" s="86"/>
      <c r="R171" s="85"/>
      <c r="Y171" s="85"/>
      <c r="Z171" s="85"/>
      <c r="AA171" s="85"/>
      <c r="AB171" s="85"/>
      <c r="AE171" s="85"/>
      <c r="AG171" s="85"/>
      <c r="AI171" s="85"/>
      <c r="AK171" s="86"/>
    </row>
    <row r="172" spans="1:37">
      <c r="A172" s="84" t="s">
        <v>1770</v>
      </c>
      <c r="D172" s="84" t="s">
        <v>1806</v>
      </c>
      <c r="F172" s="103"/>
      <c r="G172" s="103"/>
      <c r="H172" s="103"/>
      <c r="I172" s="103"/>
      <c r="R172" s="85"/>
      <c r="Z172" s="85"/>
      <c r="AA172" s="85"/>
      <c r="AB172" s="85"/>
      <c r="AE172" s="85"/>
      <c r="AG172" s="85"/>
      <c r="AI172" s="85"/>
      <c r="AK172" s="86"/>
    </row>
    <row r="173" spans="1:37">
      <c r="A173" s="84" t="s">
        <v>1376</v>
      </c>
      <c r="B173" t="s">
        <v>1232</v>
      </c>
      <c r="C173" s="87" t="s">
        <v>1403</v>
      </c>
      <c r="D173" s="84" t="s">
        <v>1806</v>
      </c>
      <c r="F173" s="85"/>
      <c r="G173" s="85"/>
      <c r="H173" s="85"/>
      <c r="I173" s="85"/>
      <c r="J173" s="86"/>
      <c r="L173" s="85"/>
      <c r="N173" s="85"/>
      <c r="P173" s="86"/>
      <c r="R173" s="85"/>
      <c r="Y173" s="85"/>
      <c r="Z173" s="85"/>
      <c r="AA173" s="85"/>
      <c r="AB173" s="85"/>
      <c r="AE173" s="85"/>
      <c r="AG173" s="85"/>
      <c r="AI173" s="85"/>
      <c r="AK173" s="86"/>
    </row>
    <row r="174" spans="1:37">
      <c r="A174" s="84" t="s">
        <v>1375</v>
      </c>
      <c r="B174" t="s">
        <v>1232</v>
      </c>
      <c r="C174" s="87" t="s">
        <v>1403</v>
      </c>
      <c r="D174" s="84" t="s">
        <v>1806</v>
      </c>
      <c r="F174" s="85"/>
      <c r="G174" s="85"/>
      <c r="H174" s="85"/>
      <c r="I174" s="85"/>
      <c r="J174" s="86"/>
      <c r="L174" s="85"/>
      <c r="N174" s="85"/>
      <c r="P174" s="86"/>
      <c r="R174" s="85"/>
      <c r="Y174" s="85"/>
      <c r="Z174" s="85"/>
      <c r="AA174" s="85"/>
      <c r="AB174" s="85"/>
      <c r="AE174" s="85"/>
      <c r="AG174" s="85"/>
      <c r="AI174" s="85"/>
      <c r="AK174" s="86"/>
    </row>
    <row r="175" spans="1:37">
      <c r="A175" s="84" t="s">
        <v>1686</v>
      </c>
      <c r="D175" s="84" t="s">
        <v>1806</v>
      </c>
      <c r="F175" s="103"/>
      <c r="G175" s="103"/>
      <c r="H175" s="103"/>
      <c r="I175" s="103"/>
      <c r="R175" s="85"/>
      <c r="Z175" s="85"/>
      <c r="AA175" s="85"/>
      <c r="AB175" s="85"/>
      <c r="AE175" s="85"/>
      <c r="AG175" s="85"/>
      <c r="AI175" s="85"/>
      <c r="AK175" s="86"/>
    </row>
    <row r="176" spans="1:37">
      <c r="A176" s="84" t="s">
        <v>1760</v>
      </c>
      <c r="B176" t="s">
        <v>36</v>
      </c>
      <c r="C176" s="87" t="s">
        <v>1660</v>
      </c>
      <c r="D176" s="84" t="s">
        <v>1806</v>
      </c>
      <c r="E176">
        <v>2</v>
      </c>
      <c r="F176" s="85">
        <v>0.1</v>
      </c>
      <c r="G176" s="85">
        <v>0.8</v>
      </c>
      <c r="H176" s="85"/>
      <c r="I176" s="85"/>
      <c r="J176" s="86"/>
      <c r="L176" s="85"/>
      <c r="N176" s="85"/>
      <c r="O176" t="s">
        <v>1898</v>
      </c>
      <c r="P176" s="86">
        <v>1</v>
      </c>
      <c r="R176" s="85"/>
      <c r="Y176" s="85"/>
      <c r="Z176" s="85"/>
      <c r="AA176" s="85"/>
      <c r="AB176" s="85"/>
      <c r="AE176" s="85"/>
      <c r="AG176" s="85"/>
      <c r="AI176" s="85"/>
      <c r="AK176" s="86"/>
    </row>
    <row r="177" spans="1:37">
      <c r="A177" s="84" t="s">
        <v>1124</v>
      </c>
      <c r="B177" t="s">
        <v>1083</v>
      </c>
      <c r="C177" s="87" t="s">
        <v>1485</v>
      </c>
      <c r="D177" s="84" t="s">
        <v>1807</v>
      </c>
      <c r="F177" s="85" t="s">
        <v>1807</v>
      </c>
      <c r="G177" s="85">
        <v>0.7</v>
      </c>
      <c r="H177" s="85"/>
      <c r="I177" s="85"/>
      <c r="J177" s="86"/>
      <c r="K177" s="84" t="s">
        <v>1813</v>
      </c>
      <c r="L177" s="85">
        <v>1</v>
      </c>
      <c r="N177" s="85"/>
      <c r="P177" s="86"/>
      <c r="R177" s="85"/>
      <c r="Y177" s="85"/>
      <c r="Z177" s="85"/>
      <c r="AA177" s="85"/>
      <c r="AB177" s="85"/>
      <c r="AE177" s="85"/>
      <c r="AG177" s="85"/>
      <c r="AI177" s="85"/>
      <c r="AK177" s="86"/>
    </row>
    <row r="178" spans="1:37">
      <c r="A178" s="84" t="s">
        <v>1627</v>
      </c>
      <c r="D178" s="84" t="s">
        <v>1806</v>
      </c>
      <c r="F178" s="103"/>
      <c r="G178" s="103"/>
      <c r="H178" s="103"/>
      <c r="I178" s="103"/>
      <c r="R178" s="85"/>
      <c r="Z178" s="85"/>
      <c r="AA178" s="85"/>
      <c r="AB178" s="85"/>
      <c r="AE178" s="85"/>
      <c r="AG178" s="85"/>
      <c r="AI178" s="85"/>
      <c r="AK178" s="86"/>
    </row>
    <row r="179" spans="1:37">
      <c r="A179" s="84" t="s">
        <v>1230</v>
      </c>
      <c r="B179" t="s">
        <v>1382</v>
      </c>
      <c r="C179" s="87" t="s">
        <v>1414</v>
      </c>
      <c r="D179" s="84" t="s">
        <v>1806</v>
      </c>
      <c r="F179" s="85">
        <v>0.1</v>
      </c>
      <c r="G179" s="85">
        <v>0.9</v>
      </c>
      <c r="H179" s="85"/>
      <c r="I179" s="85"/>
      <c r="J179" s="86"/>
      <c r="K179" s="84" t="s">
        <v>1811</v>
      </c>
      <c r="L179" s="85">
        <v>0.1</v>
      </c>
      <c r="N179" s="85"/>
      <c r="P179" s="86"/>
      <c r="Q179" s="84">
        <v>0</v>
      </c>
      <c r="R179" s="85"/>
      <c r="Y179" s="85"/>
      <c r="Z179" s="85"/>
      <c r="AA179" s="85"/>
      <c r="AB179" s="85"/>
      <c r="AE179" s="85"/>
      <c r="AG179" s="85"/>
      <c r="AI179" s="85"/>
      <c r="AK179" s="86"/>
    </row>
    <row r="180" spans="1:37">
      <c r="A180" s="84" t="s">
        <v>1655</v>
      </c>
      <c r="D180" s="84" t="s">
        <v>1806</v>
      </c>
      <c r="F180" s="103"/>
      <c r="G180" s="103"/>
      <c r="H180" s="103"/>
      <c r="I180" s="103"/>
      <c r="R180" s="85"/>
      <c r="Z180" s="85"/>
      <c r="AA180" s="85"/>
      <c r="AB180" s="85"/>
      <c r="AE180" s="85"/>
      <c r="AG180" s="85"/>
      <c r="AI180" s="85"/>
      <c r="AK180" s="86"/>
    </row>
    <row r="181" spans="1:37">
      <c r="A181" s="84" t="s">
        <v>2102</v>
      </c>
      <c r="D181" s="84" t="s">
        <v>1806</v>
      </c>
      <c r="F181" s="103"/>
      <c r="G181" s="103"/>
      <c r="H181" s="103"/>
      <c r="I181" s="103"/>
      <c r="R181" s="85"/>
      <c r="Z181" s="85"/>
      <c r="AA181" s="85"/>
      <c r="AB181" s="85"/>
      <c r="AE181" s="85"/>
      <c r="AG181" s="85"/>
      <c r="AI181" s="85"/>
      <c r="AK181" s="86"/>
    </row>
    <row r="182" spans="1:37">
      <c r="A182" s="84" t="s">
        <v>1645</v>
      </c>
      <c r="D182" s="84" t="s">
        <v>1806</v>
      </c>
      <c r="F182" s="103"/>
      <c r="G182" s="103"/>
      <c r="H182" s="103"/>
      <c r="I182" s="103"/>
      <c r="R182" s="85"/>
      <c r="Z182" s="85"/>
      <c r="AA182" s="85"/>
      <c r="AB182" s="85"/>
      <c r="AE182" s="85"/>
      <c r="AG182" s="85"/>
      <c r="AI182" s="85"/>
      <c r="AK182" s="86"/>
    </row>
    <row r="183" spans="1:37">
      <c r="A183" s="84" t="s">
        <v>1774</v>
      </c>
      <c r="D183" s="84" t="s">
        <v>1806</v>
      </c>
      <c r="F183" s="103"/>
      <c r="G183" s="103"/>
      <c r="H183" s="103"/>
      <c r="I183" s="103"/>
      <c r="R183" s="85"/>
      <c r="Z183" s="85"/>
      <c r="AA183" s="85"/>
      <c r="AB183" s="85"/>
      <c r="AE183" s="85"/>
      <c r="AG183" s="85"/>
      <c r="AI183" s="85"/>
      <c r="AK183" s="86"/>
    </row>
    <row r="184" spans="1:37">
      <c r="A184" s="84" t="s">
        <v>1058</v>
      </c>
      <c r="B184" t="s">
        <v>1383</v>
      </c>
      <c r="C184" s="93" t="s">
        <v>1587</v>
      </c>
      <c r="D184" s="84" t="s">
        <v>1806</v>
      </c>
      <c r="F184" s="85"/>
      <c r="G184" s="85"/>
      <c r="H184" s="85"/>
      <c r="I184" s="85"/>
      <c r="J184" s="86"/>
      <c r="L184" s="85"/>
      <c r="N184" s="85"/>
      <c r="P184" s="86"/>
      <c r="R184" s="85"/>
      <c r="Y184" s="85"/>
      <c r="Z184" s="85"/>
      <c r="AA184" s="85"/>
      <c r="AB184" s="85"/>
      <c r="AE184" s="85"/>
      <c r="AG184" s="85"/>
      <c r="AI184" s="85"/>
      <c r="AK184" s="86"/>
    </row>
    <row r="185" spans="1:37">
      <c r="A185" s="84" t="s">
        <v>1360</v>
      </c>
      <c r="B185" t="s">
        <v>1379</v>
      </c>
      <c r="C185" s="87" t="s">
        <v>1422</v>
      </c>
      <c r="D185" s="84" t="s">
        <v>1806</v>
      </c>
      <c r="F185" s="85"/>
      <c r="G185" s="85"/>
      <c r="H185" s="85"/>
      <c r="I185" s="85"/>
      <c r="J185" s="86"/>
      <c r="L185" s="85"/>
      <c r="N185" s="85"/>
      <c r="P185" s="86"/>
      <c r="R185" s="85"/>
      <c r="Y185" s="85"/>
      <c r="Z185" s="85"/>
      <c r="AA185" s="85"/>
      <c r="AB185" s="85"/>
      <c r="AE185" s="85"/>
      <c r="AG185" s="85"/>
      <c r="AI185" s="85"/>
      <c r="AK185" s="86"/>
    </row>
    <row r="186" spans="1:37">
      <c r="A186" s="84" t="s">
        <v>1011</v>
      </c>
      <c r="B186" t="s">
        <v>1387</v>
      </c>
      <c r="C186" s="93" t="s">
        <v>1416</v>
      </c>
      <c r="D186" s="84" t="s">
        <v>1806</v>
      </c>
      <c r="F186" s="85">
        <v>0.1</v>
      </c>
      <c r="G186" s="85">
        <v>0.9</v>
      </c>
      <c r="H186" s="85"/>
      <c r="I186" s="85"/>
      <c r="J186" s="86"/>
      <c r="K186" s="84" t="s">
        <v>1810</v>
      </c>
      <c r="L186" s="85">
        <v>0.2</v>
      </c>
      <c r="N186" s="85"/>
      <c r="P186" s="86"/>
      <c r="R186" s="85"/>
      <c r="Y186" s="85"/>
      <c r="Z186" s="85"/>
      <c r="AA186" s="85"/>
      <c r="AB186" s="85"/>
      <c r="AE186" s="85"/>
      <c r="AG186" s="85"/>
      <c r="AI186" s="85"/>
      <c r="AK186" s="86"/>
    </row>
    <row r="187" spans="1:37">
      <c r="A187" s="84" t="s">
        <v>1663</v>
      </c>
      <c r="D187" s="84" t="s">
        <v>1806</v>
      </c>
      <c r="F187" s="103"/>
      <c r="G187" s="103"/>
      <c r="H187" s="103"/>
      <c r="I187" s="103"/>
      <c r="R187" s="85"/>
      <c r="Z187" s="85"/>
      <c r="AA187" s="85"/>
      <c r="AB187" s="85"/>
      <c r="AE187" s="85"/>
      <c r="AG187" s="85"/>
      <c r="AI187" s="85"/>
      <c r="AK187" s="86"/>
    </row>
    <row r="188" spans="1:37">
      <c r="A188" s="84" t="s">
        <v>1307</v>
      </c>
      <c r="B188" t="s">
        <v>1390</v>
      </c>
      <c r="C188" s="93" t="s">
        <v>1109</v>
      </c>
      <c r="D188" s="84" t="s">
        <v>1806</v>
      </c>
      <c r="F188" s="85"/>
      <c r="G188" s="85"/>
      <c r="H188" s="85"/>
      <c r="I188" s="85"/>
      <c r="J188" s="86"/>
      <c r="L188" s="85"/>
      <c r="N188" s="85"/>
      <c r="P188" s="86"/>
      <c r="R188" s="85"/>
      <c r="Y188" s="85"/>
      <c r="Z188" s="85"/>
      <c r="AA188" s="85"/>
      <c r="AB188" s="85"/>
      <c r="AE188" s="85"/>
      <c r="AG188" s="85"/>
      <c r="AI188" s="85"/>
      <c r="AK188" s="86"/>
    </row>
    <row r="189" spans="1:37">
      <c r="A189" s="84" t="s">
        <v>1665</v>
      </c>
      <c r="D189" s="84" t="s">
        <v>1806</v>
      </c>
      <c r="F189" s="103"/>
      <c r="G189" s="103"/>
      <c r="H189" s="103"/>
      <c r="I189" s="103"/>
      <c r="R189" s="85"/>
      <c r="Z189" s="85"/>
      <c r="AA189" s="85"/>
      <c r="AB189" s="85"/>
      <c r="AE189" s="85"/>
      <c r="AG189" s="85"/>
      <c r="AI189" s="85"/>
      <c r="AK189" s="86"/>
    </row>
    <row r="190" spans="1:37">
      <c r="A190" s="84" t="s">
        <v>1296</v>
      </c>
      <c r="B190" t="s">
        <v>1380</v>
      </c>
      <c r="C190" s="93" t="s">
        <v>1109</v>
      </c>
      <c r="D190" s="84" t="s">
        <v>1806</v>
      </c>
      <c r="E190">
        <v>1.5</v>
      </c>
      <c r="F190" s="85">
        <v>0.1</v>
      </c>
      <c r="G190" s="85">
        <v>0.8</v>
      </c>
      <c r="H190" s="85"/>
      <c r="I190" s="85"/>
      <c r="J190" s="86"/>
      <c r="L190" s="85"/>
      <c r="N190" s="85"/>
      <c r="P190" s="86"/>
      <c r="R190" s="85"/>
      <c r="Y190" s="85"/>
      <c r="Z190" s="85"/>
      <c r="AA190" s="85"/>
      <c r="AB190" s="85">
        <v>0.1</v>
      </c>
      <c r="AE190" s="85"/>
      <c r="AG190" s="85"/>
      <c r="AI190" s="85"/>
      <c r="AK190" s="86"/>
    </row>
    <row r="191" spans="1:37">
      <c r="A191" s="84" t="s">
        <v>1628</v>
      </c>
      <c r="D191" s="84" t="s">
        <v>1807</v>
      </c>
      <c r="F191" s="103"/>
      <c r="G191" s="103"/>
      <c r="H191" s="103"/>
      <c r="I191" s="103"/>
      <c r="R191" s="85"/>
      <c r="Z191" s="85"/>
      <c r="AA191" s="85"/>
      <c r="AB191" s="85"/>
      <c r="AE191" s="85"/>
      <c r="AG191" s="85"/>
      <c r="AI191" s="85"/>
      <c r="AK191" s="86"/>
    </row>
    <row r="192" spans="1:37">
      <c r="A192" s="84" t="s">
        <v>1013</v>
      </c>
      <c r="B192" t="s">
        <v>1380</v>
      </c>
      <c r="C192" s="93" t="s">
        <v>1109</v>
      </c>
      <c r="D192" s="84" t="s">
        <v>1806</v>
      </c>
      <c r="F192" s="85">
        <v>0.1</v>
      </c>
      <c r="G192" s="85">
        <v>0.9</v>
      </c>
      <c r="H192" s="85"/>
      <c r="I192" s="85"/>
      <c r="J192" s="86"/>
      <c r="L192" s="85"/>
      <c r="N192" s="85"/>
      <c r="P192" s="86"/>
      <c r="R192" s="85"/>
      <c r="Y192" s="85"/>
      <c r="Z192" s="85"/>
      <c r="AA192" s="85"/>
      <c r="AB192" s="85"/>
      <c r="AE192" s="85"/>
      <c r="AG192" s="85"/>
      <c r="AI192" s="85"/>
      <c r="AK192" s="86"/>
    </row>
    <row r="193" spans="1:37">
      <c r="A193" s="84" t="s">
        <v>1127</v>
      </c>
      <c r="B193" t="s">
        <v>1054</v>
      </c>
      <c r="C193" s="87" t="s">
        <v>1398</v>
      </c>
      <c r="D193" s="84" t="s">
        <v>1806</v>
      </c>
      <c r="F193" s="85">
        <v>0.1</v>
      </c>
      <c r="G193" s="85">
        <v>0.9</v>
      </c>
      <c r="H193" s="85"/>
      <c r="I193" s="85"/>
      <c r="J193" s="86"/>
      <c r="K193" s="84" t="s">
        <v>1811</v>
      </c>
      <c r="L193" s="85">
        <v>0.3</v>
      </c>
      <c r="N193" s="85"/>
      <c r="P193" s="86"/>
      <c r="R193" s="85"/>
      <c r="Y193" s="85"/>
      <c r="Z193" s="85"/>
      <c r="AA193" s="85"/>
      <c r="AB193" s="85"/>
      <c r="AE193" s="85"/>
      <c r="AG193" s="85"/>
      <c r="AI193" s="85"/>
      <c r="AK193" s="86"/>
    </row>
    <row r="194" spans="1:37">
      <c r="A194" s="84" t="s">
        <v>1694</v>
      </c>
      <c r="B194" t="s">
        <v>1384</v>
      </c>
      <c r="C194" s="98" t="s">
        <v>1695</v>
      </c>
      <c r="D194" s="84" t="s">
        <v>1806</v>
      </c>
      <c r="F194" s="85">
        <v>0.1</v>
      </c>
      <c r="G194" s="85">
        <v>0.9</v>
      </c>
      <c r="H194" s="85"/>
      <c r="I194" s="85"/>
      <c r="J194" s="86"/>
      <c r="L194" s="85"/>
      <c r="N194" s="85"/>
      <c r="P194" s="86"/>
      <c r="Q194" s="84">
        <v>0</v>
      </c>
      <c r="R194" s="85"/>
      <c r="Y194" s="85"/>
      <c r="Z194" s="85"/>
      <c r="AA194" s="85"/>
      <c r="AB194" s="85"/>
      <c r="AE194" s="85"/>
      <c r="AG194" s="85"/>
      <c r="AI194" s="85"/>
      <c r="AK194" s="86"/>
    </row>
    <row r="195" spans="1:37">
      <c r="A195" s="84" t="s">
        <v>1646</v>
      </c>
      <c r="D195" s="84" t="s">
        <v>1806</v>
      </c>
      <c r="F195" s="103"/>
      <c r="G195" s="103"/>
      <c r="H195" s="103"/>
      <c r="I195" s="103"/>
      <c r="R195" s="85"/>
      <c r="Z195" s="85"/>
      <c r="AA195" s="85"/>
      <c r="AB195" s="85"/>
      <c r="AE195" s="85"/>
      <c r="AG195" s="85"/>
      <c r="AI195" s="85"/>
      <c r="AK195" s="86"/>
    </row>
    <row r="196" spans="1:37">
      <c r="A196" s="84" t="s">
        <v>1285</v>
      </c>
      <c r="B196" t="s">
        <v>1387</v>
      </c>
      <c r="C196" s="93" t="s">
        <v>1420</v>
      </c>
      <c r="D196" s="84" t="s">
        <v>1806</v>
      </c>
      <c r="F196" s="85">
        <v>0.1</v>
      </c>
      <c r="G196" s="85">
        <v>0.9</v>
      </c>
      <c r="H196" s="85"/>
      <c r="I196" s="85"/>
      <c r="J196" s="86"/>
      <c r="K196" s="84" t="s">
        <v>1810</v>
      </c>
      <c r="L196" s="85">
        <v>0.3</v>
      </c>
      <c r="N196" s="85"/>
      <c r="P196" s="86"/>
      <c r="R196" s="85"/>
      <c r="Y196" s="85"/>
      <c r="Z196" s="85"/>
      <c r="AA196" s="85"/>
      <c r="AB196" s="85"/>
      <c r="AE196" s="85"/>
      <c r="AG196" s="85"/>
      <c r="AI196" s="85"/>
      <c r="AK196" s="86"/>
    </row>
    <row r="197" spans="1:37">
      <c r="A197" s="84" t="s">
        <v>1371</v>
      </c>
      <c r="B197" t="s">
        <v>1380</v>
      </c>
      <c r="C197" s="93" t="s">
        <v>1109</v>
      </c>
      <c r="D197" s="84" t="s">
        <v>1806</v>
      </c>
      <c r="E197">
        <v>1.5</v>
      </c>
      <c r="F197" s="85">
        <v>0.1</v>
      </c>
      <c r="G197" s="85">
        <v>0.8</v>
      </c>
      <c r="H197" s="85"/>
      <c r="I197" s="85"/>
      <c r="J197" s="86"/>
      <c r="L197" s="85"/>
      <c r="N197" s="85"/>
      <c r="P197" s="86"/>
      <c r="R197" s="85"/>
      <c r="Y197" s="85"/>
      <c r="Z197" s="85"/>
      <c r="AA197" s="85"/>
      <c r="AB197" s="85"/>
      <c r="AD197">
        <v>-2</v>
      </c>
      <c r="AE197" s="85">
        <v>1</v>
      </c>
      <c r="AG197" s="85"/>
      <c r="AI197" s="85"/>
      <c r="AK197" s="86"/>
    </row>
    <row r="198" spans="1:37">
      <c r="A198" s="84" t="s">
        <v>1679</v>
      </c>
      <c r="B198" t="s">
        <v>1055</v>
      </c>
      <c r="C198" s="87" t="s">
        <v>1680</v>
      </c>
      <c r="D198" s="84" t="s">
        <v>1806</v>
      </c>
      <c r="F198" s="85">
        <v>1</v>
      </c>
      <c r="G198" s="85">
        <v>0.8</v>
      </c>
      <c r="H198" s="85"/>
      <c r="I198" s="85"/>
      <c r="J198" s="86"/>
      <c r="L198" s="85"/>
      <c r="N198" s="85"/>
      <c r="P198" s="86"/>
      <c r="R198" s="85"/>
      <c r="Y198" s="85"/>
      <c r="Z198" s="85"/>
      <c r="AA198" s="85"/>
      <c r="AB198" s="85"/>
      <c r="AD198">
        <v>-1</v>
      </c>
      <c r="AE198" s="85">
        <v>1</v>
      </c>
      <c r="AF198">
        <v>-1</v>
      </c>
      <c r="AG198" s="85">
        <v>1</v>
      </c>
      <c r="AI198" s="85"/>
      <c r="AK198" s="86"/>
    </row>
    <row r="199" spans="1:37">
      <c r="A199" s="84" t="s">
        <v>1304</v>
      </c>
      <c r="B199" t="s">
        <v>1232</v>
      </c>
      <c r="C199" s="87" t="s">
        <v>1742</v>
      </c>
      <c r="D199" s="84" t="s">
        <v>1806</v>
      </c>
      <c r="F199" s="85"/>
      <c r="G199" s="85"/>
      <c r="H199" s="85"/>
      <c r="I199" s="85"/>
      <c r="J199" s="86"/>
      <c r="L199" s="85"/>
      <c r="N199" s="85"/>
      <c r="P199" s="86"/>
      <c r="R199" s="85"/>
      <c r="Y199" s="85"/>
      <c r="Z199" s="85"/>
      <c r="AA199" s="85"/>
      <c r="AB199" s="85"/>
      <c r="AE199" s="85"/>
      <c r="AG199" s="85"/>
      <c r="AI199" s="85"/>
      <c r="AK199" s="86"/>
    </row>
    <row r="200" spans="1:37" ht="32">
      <c r="A200" s="84" t="s">
        <v>1668</v>
      </c>
      <c r="B200" t="s">
        <v>1054</v>
      </c>
      <c r="C200" s="104" t="s">
        <v>1744</v>
      </c>
      <c r="D200" s="84" t="s">
        <v>1807</v>
      </c>
      <c r="F200" s="85" t="s">
        <v>1807</v>
      </c>
      <c r="G200" s="85">
        <v>1</v>
      </c>
      <c r="H200" s="85"/>
      <c r="I200" s="85"/>
      <c r="J200" s="86"/>
      <c r="L200" s="85"/>
      <c r="M200" t="s">
        <v>1840</v>
      </c>
      <c r="N200" s="85">
        <v>1</v>
      </c>
      <c r="P200" s="86"/>
      <c r="Q200" s="84">
        <v>0</v>
      </c>
      <c r="R200" s="85"/>
      <c r="Y200" s="85"/>
      <c r="Z200" s="85"/>
      <c r="AA200" s="85"/>
      <c r="AB200" s="85"/>
      <c r="AE200" s="85"/>
      <c r="AG200" s="85"/>
      <c r="AI200" s="85"/>
      <c r="AK200" s="86"/>
    </row>
    <row r="201" spans="1:37">
      <c r="A201" s="84" t="s">
        <v>2052</v>
      </c>
      <c r="D201" s="84" t="s">
        <v>1807</v>
      </c>
      <c r="F201" s="103"/>
      <c r="G201" s="103"/>
      <c r="H201" s="103"/>
      <c r="I201" s="103"/>
      <c r="R201" s="85"/>
      <c r="Z201" s="85"/>
      <c r="AA201" s="85"/>
      <c r="AB201" s="85"/>
      <c r="AE201" s="85"/>
      <c r="AG201" s="85"/>
      <c r="AI201" s="85"/>
      <c r="AK201" s="86"/>
    </row>
    <row r="202" spans="1:37">
      <c r="A202" s="84" t="s">
        <v>2114</v>
      </c>
      <c r="D202" s="84" t="s">
        <v>1807</v>
      </c>
      <c r="F202" s="103"/>
      <c r="G202" s="103"/>
      <c r="H202" s="103"/>
      <c r="I202" s="103"/>
      <c r="R202" s="85"/>
      <c r="Z202" s="85"/>
      <c r="AA202" s="85"/>
      <c r="AB202" s="85"/>
      <c r="AE202" s="85"/>
      <c r="AG202" s="85"/>
      <c r="AI202" s="85"/>
      <c r="AK202" s="86"/>
    </row>
    <row r="203" spans="1:37">
      <c r="A203" s="84" t="s">
        <v>2103</v>
      </c>
      <c r="D203" s="84" t="s">
        <v>1807</v>
      </c>
      <c r="F203" s="103"/>
      <c r="G203" s="103"/>
      <c r="H203" s="103"/>
      <c r="I203" s="103"/>
      <c r="R203" s="85"/>
      <c r="Z203" s="85"/>
      <c r="AA203" s="85"/>
      <c r="AB203" s="85"/>
      <c r="AE203" s="85"/>
      <c r="AG203" s="85"/>
      <c r="AI203" s="85"/>
      <c r="AK203" s="86"/>
    </row>
    <row r="204" spans="1:37">
      <c r="A204" s="84" t="s">
        <v>1367</v>
      </c>
      <c r="B204" t="s">
        <v>772</v>
      </c>
      <c r="C204" s="93" t="s">
        <v>1431</v>
      </c>
      <c r="D204" s="84" t="s">
        <v>1806</v>
      </c>
      <c r="F204" s="85">
        <v>0.2</v>
      </c>
      <c r="G204" s="85">
        <v>0.9</v>
      </c>
      <c r="H204" s="85"/>
      <c r="I204" s="85"/>
      <c r="J204" s="86"/>
      <c r="L204" s="85"/>
      <c r="M204" t="s">
        <v>1849</v>
      </c>
      <c r="N204" s="85">
        <v>0.1</v>
      </c>
      <c r="P204" s="86"/>
      <c r="Q204" s="84">
        <v>0</v>
      </c>
      <c r="R204" s="85"/>
      <c r="Y204" s="85"/>
      <c r="Z204" s="85"/>
      <c r="AA204" s="85"/>
      <c r="AB204" s="85"/>
      <c r="AE204" s="85"/>
      <c r="AG204" s="85"/>
      <c r="AI204" s="85"/>
      <c r="AK204" s="86"/>
    </row>
    <row r="205" spans="1:37">
      <c r="A205" s="84" t="s">
        <v>1771</v>
      </c>
      <c r="B205" t="s">
        <v>1083</v>
      </c>
      <c r="C205" s="98" t="s">
        <v>1772</v>
      </c>
      <c r="D205" s="84" t="s">
        <v>1807</v>
      </c>
      <c r="F205" s="85" t="s">
        <v>1807</v>
      </c>
      <c r="G205" s="85">
        <v>1</v>
      </c>
      <c r="H205" s="85"/>
      <c r="I205" s="85"/>
      <c r="J205" s="86"/>
      <c r="L205" s="85"/>
      <c r="N205" s="85"/>
      <c r="P205" s="86"/>
      <c r="R205" s="85"/>
      <c r="Y205" s="85"/>
      <c r="Z205" s="85"/>
      <c r="AA205" s="85"/>
      <c r="AB205" s="85"/>
      <c r="AE205" s="85"/>
      <c r="AG205" s="85"/>
      <c r="AI205" s="85"/>
      <c r="AK205" s="86"/>
    </row>
    <row r="206" spans="1:37">
      <c r="A206" s="84" t="s">
        <v>2086</v>
      </c>
      <c r="D206" s="84" t="s">
        <v>1806</v>
      </c>
      <c r="F206" s="103"/>
      <c r="G206" s="103"/>
      <c r="H206" s="103"/>
      <c r="I206" s="103"/>
      <c r="R206" s="85"/>
      <c r="Z206" s="85"/>
      <c r="AA206" s="85"/>
      <c r="AB206" s="85"/>
      <c r="AE206" s="85"/>
      <c r="AG206" s="85"/>
      <c r="AI206" s="85"/>
      <c r="AK206" s="86"/>
    </row>
    <row r="207" spans="1:37">
      <c r="A207" s="84" t="s">
        <v>2089</v>
      </c>
      <c r="D207" s="84" t="s">
        <v>1806</v>
      </c>
      <c r="F207" s="103"/>
      <c r="G207" s="103"/>
      <c r="H207" s="103"/>
      <c r="I207" s="103"/>
      <c r="R207" s="85"/>
      <c r="Z207" s="85"/>
      <c r="AA207" s="85"/>
      <c r="AB207" s="85"/>
      <c r="AE207" s="85"/>
      <c r="AG207" s="85"/>
      <c r="AI207" s="85"/>
      <c r="AK207" s="86"/>
    </row>
    <row r="208" spans="1:37">
      <c r="A208" s="84" t="s">
        <v>1244</v>
      </c>
      <c r="B208" t="s">
        <v>1385</v>
      </c>
      <c r="C208" s="93" t="s">
        <v>1935</v>
      </c>
      <c r="D208" s="84" t="s">
        <v>1806</v>
      </c>
      <c r="F208" s="103">
        <v>0.3</v>
      </c>
      <c r="G208" s="103">
        <v>0.9</v>
      </c>
      <c r="H208" s="103"/>
      <c r="I208" s="103"/>
      <c r="J208" s="86"/>
      <c r="L208" s="85"/>
      <c r="N208" s="85"/>
      <c r="P208" s="86"/>
      <c r="Q208" s="84">
        <v>0</v>
      </c>
      <c r="R208" s="85"/>
      <c r="Y208" s="85"/>
      <c r="Z208" s="85"/>
      <c r="AA208" s="85"/>
      <c r="AB208" s="85"/>
      <c r="AE208" s="85"/>
      <c r="AG208" s="85"/>
      <c r="AI208" s="85"/>
      <c r="AK208" s="86"/>
    </row>
    <row r="209" spans="1:37">
      <c r="A209" s="84" t="s">
        <v>1266</v>
      </c>
      <c r="B209" t="s">
        <v>1380</v>
      </c>
      <c r="C209" s="87" t="s">
        <v>1394</v>
      </c>
      <c r="D209" s="84" t="s">
        <v>1806</v>
      </c>
      <c r="F209" s="85">
        <v>0.1</v>
      </c>
      <c r="G209" s="85">
        <v>0.7</v>
      </c>
      <c r="H209" s="85"/>
      <c r="I209" s="85"/>
      <c r="J209" s="86"/>
      <c r="L209" s="85"/>
      <c r="N209" s="85"/>
      <c r="P209" s="86"/>
      <c r="R209" s="85"/>
      <c r="Y209" s="85"/>
      <c r="Z209" s="85"/>
      <c r="AA209" s="85">
        <v>0.2</v>
      </c>
      <c r="AB209" s="85"/>
      <c r="AE209" s="85"/>
      <c r="AG209" s="85"/>
      <c r="AI209" s="85"/>
      <c r="AK209" s="86"/>
    </row>
    <row r="210" spans="1:37">
      <c r="A210" s="84" t="s">
        <v>1721</v>
      </c>
      <c r="D210" s="84" t="s">
        <v>1806</v>
      </c>
      <c r="F210" s="103"/>
      <c r="G210" s="103"/>
      <c r="H210" s="103"/>
      <c r="I210" s="103"/>
      <c r="R210" s="85"/>
      <c r="Z210" s="85"/>
      <c r="AA210" s="85"/>
      <c r="AB210" s="85"/>
      <c r="AE210" s="85"/>
      <c r="AG210" s="85"/>
      <c r="AI210" s="85"/>
      <c r="AK210" s="86"/>
    </row>
    <row r="211" spans="1:37">
      <c r="A211" s="84" t="s">
        <v>1723</v>
      </c>
      <c r="D211" s="84" t="s">
        <v>1806</v>
      </c>
      <c r="F211" s="103"/>
      <c r="G211" s="103"/>
      <c r="H211" s="103"/>
      <c r="I211" s="103"/>
      <c r="R211" s="85"/>
      <c r="Z211" s="85"/>
      <c r="AA211" s="85"/>
      <c r="AB211" s="85"/>
      <c r="AE211" s="85"/>
      <c r="AG211" s="85"/>
      <c r="AI211" s="85"/>
      <c r="AK211" s="86"/>
    </row>
    <row r="212" spans="1:37">
      <c r="A212" s="84" t="s">
        <v>2081</v>
      </c>
      <c r="D212" s="84" t="s">
        <v>1806</v>
      </c>
      <c r="F212" s="103"/>
      <c r="G212" s="103"/>
      <c r="H212" s="103"/>
      <c r="I212" s="103"/>
      <c r="R212" s="85"/>
      <c r="Z212" s="85"/>
      <c r="AA212" s="85"/>
      <c r="AB212" s="85"/>
      <c r="AE212" s="85"/>
      <c r="AG212" s="85"/>
      <c r="AI212" s="85"/>
      <c r="AK212" s="86"/>
    </row>
    <row r="213" spans="1:37">
      <c r="A213" s="84" t="s">
        <v>2070</v>
      </c>
      <c r="D213" s="84" t="s">
        <v>1807</v>
      </c>
      <c r="F213" s="103"/>
      <c r="G213" s="103"/>
      <c r="H213" s="103"/>
      <c r="I213" s="103"/>
      <c r="R213" s="85"/>
      <c r="Z213" s="85"/>
      <c r="AA213" s="85"/>
      <c r="AB213" s="85"/>
      <c r="AE213" s="85"/>
      <c r="AG213" s="85"/>
      <c r="AI213" s="85"/>
      <c r="AK213" s="86"/>
    </row>
    <row r="214" spans="1:37">
      <c r="A214" s="84" t="s">
        <v>1780</v>
      </c>
      <c r="B214" t="s">
        <v>1054</v>
      </c>
      <c r="C214" s="98" t="s">
        <v>1781</v>
      </c>
      <c r="D214" s="84" t="s">
        <v>1806</v>
      </c>
      <c r="E214">
        <v>30</v>
      </c>
      <c r="F214" s="85" t="s">
        <v>1807</v>
      </c>
      <c r="G214" s="85">
        <v>1</v>
      </c>
      <c r="H214" s="85"/>
      <c r="I214" s="85"/>
      <c r="J214" s="86"/>
      <c r="L214" s="85"/>
      <c r="N214" s="85"/>
      <c r="P214" s="86"/>
      <c r="R214" s="85"/>
      <c r="Y214" s="85"/>
      <c r="Z214" s="85"/>
      <c r="AA214" s="85"/>
      <c r="AB214" s="85"/>
      <c r="AE214" s="85"/>
      <c r="AG214" s="85"/>
      <c r="AI214" s="85"/>
      <c r="AK214" s="86"/>
    </row>
    <row r="215" spans="1:37">
      <c r="A215" s="84" t="s">
        <v>1017</v>
      </c>
      <c r="B215" t="s">
        <v>1383</v>
      </c>
      <c r="C215" s="93" t="s">
        <v>1431</v>
      </c>
      <c r="D215" s="84" t="s">
        <v>1806</v>
      </c>
      <c r="F215" s="85"/>
      <c r="G215" s="85"/>
      <c r="H215" s="85"/>
      <c r="I215" s="85"/>
      <c r="J215" s="86"/>
      <c r="L215" s="85"/>
      <c r="N215" s="85"/>
      <c r="P215" s="86"/>
      <c r="R215" s="85"/>
      <c r="Y215" s="85"/>
      <c r="Z215" s="85"/>
      <c r="AA215" s="85"/>
      <c r="AB215" s="85"/>
      <c r="AE215" s="85"/>
      <c r="AG215" s="85"/>
      <c r="AI215" s="85"/>
      <c r="AK215" s="86"/>
    </row>
    <row r="216" spans="1:37">
      <c r="A216" s="84" t="s">
        <v>1728</v>
      </c>
      <c r="B216" t="s">
        <v>1388</v>
      </c>
      <c r="C216" s="87" t="s">
        <v>1729</v>
      </c>
      <c r="D216" s="84" t="s">
        <v>1806</v>
      </c>
      <c r="F216" s="85"/>
      <c r="G216" s="85"/>
      <c r="H216" s="85"/>
      <c r="I216" s="85"/>
      <c r="J216" s="86"/>
      <c r="L216" s="85"/>
      <c r="N216" s="85"/>
      <c r="P216" s="86"/>
      <c r="R216" s="85"/>
      <c r="Y216" s="85"/>
      <c r="Z216" s="85"/>
      <c r="AA216" s="85"/>
      <c r="AB216" s="85"/>
      <c r="AE216" s="85"/>
      <c r="AG216" s="85"/>
      <c r="AI216" s="85"/>
      <c r="AK216" s="86"/>
    </row>
    <row r="217" spans="1:37">
      <c r="A217" s="84" t="s">
        <v>1349</v>
      </c>
      <c r="B217" t="s">
        <v>1055</v>
      </c>
      <c r="C217" s="98" t="s">
        <v>1742</v>
      </c>
      <c r="D217" s="84" t="s">
        <v>1806</v>
      </c>
      <c r="F217" s="85" t="s">
        <v>1807</v>
      </c>
      <c r="G217" s="85">
        <v>1</v>
      </c>
      <c r="H217" s="85"/>
      <c r="I217" s="85"/>
      <c r="J217" s="86"/>
      <c r="L217" s="85"/>
      <c r="N217" s="85"/>
      <c r="P217" s="86"/>
      <c r="R217" s="85"/>
      <c r="Y217" s="85"/>
      <c r="Z217" s="85"/>
      <c r="AA217" s="85"/>
      <c r="AB217" s="85"/>
      <c r="AE217" s="85"/>
      <c r="AG217" s="85"/>
      <c r="AI217" s="85"/>
      <c r="AK217" s="86"/>
    </row>
    <row r="218" spans="1:37">
      <c r="A218" s="84" t="s">
        <v>2100</v>
      </c>
      <c r="D218" s="84" t="s">
        <v>1807</v>
      </c>
      <c r="F218" s="103"/>
      <c r="G218" s="103"/>
      <c r="H218" s="103"/>
      <c r="I218" s="103"/>
      <c r="R218" s="85"/>
      <c r="Z218" s="85"/>
      <c r="AA218" s="85"/>
      <c r="AB218" s="85"/>
      <c r="AE218" s="85"/>
      <c r="AG218" s="85"/>
      <c r="AI218" s="85"/>
      <c r="AK218" s="86"/>
    </row>
    <row r="219" spans="1:37">
      <c r="A219" s="84" t="s">
        <v>1667</v>
      </c>
      <c r="D219" s="84" t="s">
        <v>1806</v>
      </c>
      <c r="F219" s="103"/>
      <c r="G219" s="103"/>
      <c r="H219" s="103"/>
      <c r="I219" s="103"/>
      <c r="R219" s="85"/>
      <c r="Z219" s="85"/>
      <c r="AA219" s="85"/>
      <c r="AB219" s="85"/>
      <c r="AE219" s="85"/>
      <c r="AG219" s="85"/>
      <c r="AI219" s="85"/>
      <c r="AK219" s="86"/>
    </row>
    <row r="220" spans="1:37">
      <c r="A220" s="84" t="s">
        <v>2071</v>
      </c>
      <c r="D220" s="84" t="s">
        <v>1806</v>
      </c>
      <c r="F220" s="103"/>
      <c r="G220" s="103"/>
      <c r="H220" s="103"/>
      <c r="I220" s="103"/>
      <c r="R220" s="85"/>
      <c r="Z220" s="85"/>
      <c r="AA220" s="85"/>
      <c r="AB220" s="85"/>
      <c r="AE220" s="85"/>
      <c r="AG220" s="85"/>
      <c r="AI220" s="85"/>
      <c r="AK220" s="86"/>
    </row>
    <row r="221" spans="1:37">
      <c r="A221" s="84" t="s">
        <v>1650</v>
      </c>
      <c r="D221" s="84" t="s">
        <v>1806</v>
      </c>
      <c r="F221" s="103"/>
      <c r="G221" s="103"/>
      <c r="H221" s="103"/>
      <c r="I221" s="103"/>
      <c r="R221" s="85"/>
      <c r="Z221" s="85"/>
      <c r="AA221" s="85"/>
      <c r="AB221" s="85"/>
      <c r="AE221" s="85"/>
      <c r="AG221" s="85"/>
      <c r="AI221" s="85"/>
      <c r="AK221" s="86"/>
    </row>
    <row r="222" spans="1:37">
      <c r="A222" s="84" t="s">
        <v>1050</v>
      </c>
      <c r="B222" t="s">
        <v>1387</v>
      </c>
      <c r="C222" s="93" t="s">
        <v>1941</v>
      </c>
      <c r="D222" s="84" t="s">
        <v>1806</v>
      </c>
      <c r="F222" s="85">
        <v>0.3</v>
      </c>
      <c r="G222" s="85">
        <v>0.8</v>
      </c>
      <c r="H222" s="85"/>
      <c r="I222" s="85"/>
      <c r="J222" s="86"/>
      <c r="K222" s="84" t="s">
        <v>1810</v>
      </c>
      <c r="L222" s="85">
        <v>0.2</v>
      </c>
      <c r="N222" s="85"/>
      <c r="P222" s="86"/>
      <c r="R222" s="85"/>
      <c r="Y222" s="85"/>
      <c r="Z222" s="85"/>
      <c r="AA222" s="85"/>
      <c r="AB222" s="85"/>
      <c r="AE222" s="85"/>
      <c r="AG222" s="85"/>
      <c r="AI222" s="85"/>
      <c r="AK222" s="86"/>
    </row>
    <row r="223" spans="1:37">
      <c r="A223" s="84" t="s">
        <v>1796</v>
      </c>
      <c r="D223" s="84" t="s">
        <v>1806</v>
      </c>
      <c r="F223" s="103"/>
      <c r="G223" s="103"/>
      <c r="H223" s="103"/>
      <c r="I223" s="103"/>
      <c r="R223" s="85"/>
      <c r="Z223" s="85"/>
      <c r="AA223" s="85"/>
      <c r="AB223" s="85"/>
      <c r="AE223" s="85"/>
      <c r="AG223" s="85"/>
      <c r="AI223" s="85"/>
      <c r="AK223" s="86"/>
    </row>
    <row r="224" spans="1:37">
      <c r="A224" s="84" t="s">
        <v>1301</v>
      </c>
      <c r="B224" t="s">
        <v>1379</v>
      </c>
      <c r="C224" s="87" t="s">
        <v>1419</v>
      </c>
      <c r="D224" s="84" t="s">
        <v>1806</v>
      </c>
      <c r="F224" s="85"/>
      <c r="G224" s="85"/>
      <c r="H224" s="85"/>
      <c r="I224" s="85"/>
      <c r="J224" s="86"/>
      <c r="L224" s="85"/>
      <c r="N224" s="85"/>
      <c r="P224" s="86"/>
      <c r="R224" s="85"/>
      <c r="Y224" s="85"/>
      <c r="Z224" s="85"/>
      <c r="AA224" s="85"/>
      <c r="AB224" s="85"/>
      <c r="AE224" s="85"/>
      <c r="AG224" s="85"/>
      <c r="AI224" s="85"/>
      <c r="AK224" s="86"/>
    </row>
    <row r="225" spans="1:37">
      <c r="A225" s="84" t="s">
        <v>1578</v>
      </c>
      <c r="D225" s="84" t="s">
        <v>1807</v>
      </c>
      <c r="F225" s="103"/>
      <c r="G225" s="103"/>
      <c r="H225" s="103"/>
      <c r="I225" s="103"/>
      <c r="R225" s="85"/>
      <c r="Z225" s="85"/>
      <c r="AA225" s="85"/>
      <c r="AB225" s="85"/>
      <c r="AE225" s="85"/>
      <c r="AG225" s="85"/>
      <c r="AI225" s="85"/>
      <c r="AK225" s="86"/>
    </row>
    <row r="226" spans="1:37">
      <c r="A226" s="84" t="s">
        <v>1640</v>
      </c>
      <c r="D226" s="84" t="s">
        <v>1806</v>
      </c>
      <c r="F226" s="103"/>
      <c r="G226" s="103"/>
      <c r="H226" s="103"/>
      <c r="I226" s="103"/>
      <c r="R226" s="85"/>
      <c r="Z226" s="85"/>
      <c r="AA226" s="85"/>
      <c r="AB226" s="85"/>
      <c r="AE226" s="85"/>
      <c r="AG226" s="85"/>
      <c r="AI226" s="85"/>
      <c r="AK226" s="86"/>
    </row>
    <row r="227" spans="1:37">
      <c r="A227" s="84" t="s">
        <v>1196</v>
      </c>
      <c r="D227" s="84" t="s">
        <v>1807</v>
      </c>
      <c r="F227" s="103"/>
      <c r="G227" s="103"/>
      <c r="H227" s="103"/>
      <c r="I227" s="103"/>
      <c r="R227" s="85"/>
      <c r="Z227" s="85"/>
      <c r="AA227" s="85"/>
      <c r="AB227" s="85"/>
      <c r="AE227" s="85"/>
      <c r="AG227" s="85"/>
      <c r="AI227" s="85"/>
      <c r="AK227" s="86"/>
    </row>
    <row r="228" spans="1:37">
      <c r="A228" s="84" t="s">
        <v>2084</v>
      </c>
      <c r="D228" s="84" t="s">
        <v>1806</v>
      </c>
      <c r="F228" s="103"/>
      <c r="G228" s="103"/>
      <c r="H228" s="103"/>
      <c r="I228" s="103"/>
      <c r="R228" s="85"/>
      <c r="Z228" s="85"/>
      <c r="AA228" s="85"/>
      <c r="AB228" s="85"/>
      <c r="AE228" s="85"/>
      <c r="AG228" s="85"/>
      <c r="AI228" s="85"/>
      <c r="AK228" s="86"/>
    </row>
    <row r="229" spans="1:37">
      <c r="A229" s="84" t="s">
        <v>2059</v>
      </c>
      <c r="D229" s="84" t="s">
        <v>1807</v>
      </c>
      <c r="F229" s="103"/>
      <c r="G229" s="103"/>
      <c r="H229" s="103"/>
      <c r="I229" s="103"/>
      <c r="R229" s="85"/>
      <c r="Z229" s="85"/>
      <c r="AA229" s="85"/>
      <c r="AB229" s="85"/>
      <c r="AE229" s="85"/>
      <c r="AG229" s="85"/>
      <c r="AI229" s="85"/>
      <c r="AK229" s="86"/>
    </row>
    <row r="230" spans="1:37">
      <c r="A230" s="84" t="s">
        <v>1216</v>
      </c>
      <c r="B230" t="s">
        <v>36</v>
      </c>
      <c r="C230" s="98" t="s">
        <v>1718</v>
      </c>
      <c r="D230" s="84" t="s">
        <v>1807</v>
      </c>
      <c r="F230" s="85" t="s">
        <v>1807</v>
      </c>
      <c r="G230" s="85">
        <v>1</v>
      </c>
      <c r="H230" s="85"/>
      <c r="I230" s="85"/>
      <c r="J230" s="86"/>
      <c r="L230" s="85"/>
      <c r="N230" s="85"/>
      <c r="P230" s="86"/>
      <c r="R230" s="85"/>
      <c r="Y230" s="85"/>
      <c r="Z230" s="85"/>
      <c r="AA230" s="85"/>
      <c r="AB230" s="85"/>
      <c r="AE230" s="85"/>
      <c r="AG230" s="85"/>
      <c r="AI230" s="85"/>
      <c r="AK230" s="86"/>
    </row>
    <row r="231" spans="1:37">
      <c r="A231" s="84" t="s">
        <v>1035</v>
      </c>
      <c r="B231" t="s">
        <v>1380</v>
      </c>
      <c r="C231" s="87" t="s">
        <v>1425</v>
      </c>
      <c r="D231" s="84" t="s">
        <v>1807</v>
      </c>
      <c r="F231" s="85" t="s">
        <v>1807</v>
      </c>
      <c r="G231" s="85">
        <v>0.7</v>
      </c>
      <c r="H231" s="85"/>
      <c r="I231" s="85"/>
      <c r="J231" s="86"/>
      <c r="K231" s="84" t="s">
        <v>1811</v>
      </c>
      <c r="L231" s="85">
        <v>0.7</v>
      </c>
      <c r="N231" s="85"/>
      <c r="P231" s="86"/>
      <c r="R231" s="85"/>
      <c r="Y231" s="85"/>
      <c r="Z231" s="85"/>
      <c r="AA231" s="85"/>
      <c r="AB231" s="85"/>
      <c r="AE231" s="85"/>
      <c r="AG231" s="85"/>
      <c r="AI231" s="85"/>
      <c r="AK231" s="86"/>
    </row>
    <row r="232" spans="1:37">
      <c r="A232" s="84" t="s">
        <v>1256</v>
      </c>
      <c r="B232" t="s">
        <v>1083</v>
      </c>
      <c r="C232" s="93" t="s">
        <v>1109</v>
      </c>
      <c r="D232" s="84" t="s">
        <v>1806</v>
      </c>
      <c r="F232" s="85">
        <v>0.1</v>
      </c>
      <c r="G232" s="85">
        <v>0.9</v>
      </c>
      <c r="H232" s="85"/>
      <c r="I232" s="85"/>
      <c r="J232" s="86"/>
      <c r="L232" s="85"/>
      <c r="N232" s="85"/>
      <c r="P232" s="86"/>
      <c r="R232" s="85"/>
      <c r="Y232" s="85"/>
      <c r="Z232" s="85"/>
      <c r="AA232" s="85"/>
      <c r="AB232" s="85"/>
      <c r="AE232" s="85"/>
      <c r="AG232" s="85"/>
      <c r="AI232" s="85"/>
      <c r="AK232" s="86"/>
    </row>
    <row r="233" spans="1:37">
      <c r="A233" s="84" t="s">
        <v>1299</v>
      </c>
      <c r="B233" t="s">
        <v>1055</v>
      </c>
      <c r="C233" s="98" t="s">
        <v>1702</v>
      </c>
      <c r="D233" s="84" t="s">
        <v>1806</v>
      </c>
      <c r="E233">
        <v>2</v>
      </c>
      <c r="F233" s="85">
        <v>0.2</v>
      </c>
      <c r="G233" s="85">
        <v>0.7</v>
      </c>
      <c r="H233" s="85"/>
      <c r="I233" s="85"/>
      <c r="J233" s="86"/>
      <c r="L233" s="85"/>
      <c r="N233" s="85"/>
      <c r="P233" s="86"/>
      <c r="R233" s="85"/>
      <c r="Y233" s="85"/>
      <c r="Z233" s="85"/>
      <c r="AA233" s="85"/>
      <c r="AB233" s="85"/>
      <c r="AE233" s="85"/>
      <c r="AG233" s="85"/>
      <c r="AI233" s="85"/>
      <c r="AK233" s="86"/>
    </row>
    <row r="234" spans="1:37">
      <c r="A234" s="84" t="s">
        <v>1278</v>
      </c>
      <c r="B234" t="s">
        <v>1055</v>
      </c>
      <c r="C234" s="93" t="s">
        <v>1949</v>
      </c>
      <c r="D234" s="84" t="s">
        <v>1806</v>
      </c>
      <c r="F234" s="85">
        <v>0.1</v>
      </c>
      <c r="G234" s="85">
        <v>0.9</v>
      </c>
      <c r="H234" s="85"/>
      <c r="I234" s="85"/>
      <c r="J234" s="86"/>
      <c r="L234" s="85"/>
      <c r="N234" s="85"/>
      <c r="P234" s="86"/>
      <c r="R234" s="85"/>
      <c r="U234">
        <v>-1</v>
      </c>
      <c r="V234" s="85">
        <v>0.3</v>
      </c>
      <c r="Y234" s="85"/>
      <c r="Z234" s="85"/>
      <c r="AA234" s="85"/>
      <c r="AB234" s="85"/>
      <c r="AE234" s="85"/>
      <c r="AG234" s="85"/>
      <c r="AI234" s="85"/>
      <c r="AK234" s="86"/>
    </row>
    <row r="235" spans="1:37">
      <c r="A235" s="84" t="s">
        <v>1298</v>
      </c>
      <c r="B235" t="s">
        <v>1387</v>
      </c>
      <c r="C235" s="87" t="s">
        <v>1942</v>
      </c>
      <c r="D235" s="84" t="s">
        <v>1806</v>
      </c>
      <c r="F235" s="85">
        <v>0.1</v>
      </c>
      <c r="G235" s="85">
        <v>0.9</v>
      </c>
      <c r="H235" s="85"/>
      <c r="I235" s="85"/>
      <c r="J235" s="86"/>
      <c r="K235" s="84" t="s">
        <v>1810</v>
      </c>
      <c r="L235" s="85">
        <v>0.1</v>
      </c>
      <c r="M235" t="s">
        <v>1849</v>
      </c>
      <c r="N235" s="85">
        <v>0.1</v>
      </c>
      <c r="P235" s="86"/>
      <c r="R235" s="85"/>
      <c r="Y235" s="85"/>
      <c r="Z235" s="85"/>
      <c r="AA235" s="85"/>
      <c r="AB235" s="85"/>
      <c r="AE235" s="85"/>
      <c r="AG235" s="85"/>
      <c r="AI235" s="85"/>
      <c r="AK235" s="86"/>
    </row>
    <row r="236" spans="1:37">
      <c r="A236" s="84" t="s">
        <v>1753</v>
      </c>
      <c r="B236" t="s">
        <v>1055</v>
      </c>
      <c r="C236" s="98" t="s">
        <v>1754</v>
      </c>
      <c r="D236" s="84" t="s">
        <v>1806</v>
      </c>
      <c r="E236">
        <v>1.5</v>
      </c>
      <c r="F236" s="85">
        <v>0.1</v>
      </c>
      <c r="G236" s="85">
        <v>0.7</v>
      </c>
      <c r="H236" s="85"/>
      <c r="I236" s="85"/>
      <c r="J236" s="86"/>
      <c r="L236" s="85"/>
      <c r="N236" s="85"/>
      <c r="P236" s="86"/>
      <c r="R236" s="85"/>
      <c r="Y236" s="85"/>
      <c r="Z236" s="85"/>
      <c r="AA236" s="85"/>
      <c r="AB236" s="85"/>
      <c r="AE236" s="85"/>
      <c r="AG236" s="85"/>
      <c r="AI236" s="85"/>
      <c r="AK236" s="86"/>
    </row>
    <row r="237" spans="1:37">
      <c r="A237" s="84" t="s">
        <v>1782</v>
      </c>
      <c r="D237" s="84" t="s">
        <v>1806</v>
      </c>
      <c r="F237" s="103"/>
      <c r="G237" s="103"/>
      <c r="H237" s="103"/>
      <c r="I237" s="103"/>
      <c r="R237" s="85"/>
      <c r="Z237" s="85"/>
      <c r="AA237" s="85"/>
      <c r="AB237" s="85"/>
      <c r="AE237" s="85"/>
      <c r="AG237" s="85"/>
      <c r="AI237" s="85"/>
      <c r="AK237" s="86"/>
    </row>
    <row r="238" spans="1:37">
      <c r="A238" s="84" t="s">
        <v>1740</v>
      </c>
      <c r="B238" t="s">
        <v>1083</v>
      </c>
      <c r="C238" s="99" t="s">
        <v>1743</v>
      </c>
      <c r="D238" s="84" t="s">
        <v>1807</v>
      </c>
      <c r="F238" s="85" t="s">
        <v>1807</v>
      </c>
      <c r="G238" s="85">
        <v>1</v>
      </c>
      <c r="H238" s="85"/>
      <c r="I238" s="85"/>
      <c r="J238" s="86"/>
      <c r="L238" s="85"/>
      <c r="N238" s="85"/>
      <c r="P238" s="86"/>
      <c r="R238" s="85"/>
      <c r="Y238" s="85"/>
      <c r="Z238" s="85"/>
      <c r="AA238" s="85"/>
      <c r="AB238" s="85"/>
      <c r="AD238">
        <v>1</v>
      </c>
      <c r="AE238" s="85">
        <v>1</v>
      </c>
      <c r="AG238" s="85"/>
      <c r="AH238">
        <v>1</v>
      </c>
      <c r="AI238" s="85">
        <v>1</v>
      </c>
      <c r="AK238" s="86"/>
    </row>
    <row r="239" spans="1:37">
      <c r="A239" s="84" t="s">
        <v>1363</v>
      </c>
      <c r="B239" t="s">
        <v>1390</v>
      </c>
      <c r="C239" s="87" t="s">
        <v>1404</v>
      </c>
      <c r="D239" s="84" t="s">
        <v>1806</v>
      </c>
      <c r="F239" s="85"/>
      <c r="G239" s="85"/>
      <c r="H239" s="85"/>
      <c r="I239" s="85"/>
      <c r="J239" s="86"/>
      <c r="L239" s="85"/>
      <c r="N239" s="85"/>
      <c r="P239" s="86"/>
      <c r="R239" s="85"/>
      <c r="Y239" s="85"/>
      <c r="Z239" s="85"/>
      <c r="AA239" s="85"/>
      <c r="AB239" s="85"/>
      <c r="AE239" s="85"/>
      <c r="AG239" s="85"/>
      <c r="AI239" s="85"/>
      <c r="AK239" s="86"/>
    </row>
    <row r="240" spans="1:37">
      <c r="A240" s="84" t="s">
        <v>1346</v>
      </c>
      <c r="B240" t="s">
        <v>36</v>
      </c>
      <c r="C240" s="98" t="s">
        <v>1426</v>
      </c>
      <c r="D240" s="84" t="s">
        <v>1806</v>
      </c>
      <c r="E240">
        <v>30</v>
      </c>
      <c r="F240" s="85" t="s">
        <v>1807</v>
      </c>
      <c r="G240" s="85">
        <v>0.3</v>
      </c>
      <c r="H240" s="85"/>
      <c r="I240" s="85"/>
      <c r="J240" s="86"/>
      <c r="L240" s="85"/>
      <c r="N240" s="85"/>
      <c r="P240" s="86"/>
      <c r="R240" s="85"/>
      <c r="Y240" s="85"/>
      <c r="Z240" s="85"/>
      <c r="AA240" s="85"/>
      <c r="AB240" s="85"/>
      <c r="AE240" s="85"/>
      <c r="AG240" s="85"/>
      <c r="AI240" s="85"/>
      <c r="AK240" s="86"/>
    </row>
    <row r="241" spans="1:37">
      <c r="A241" s="84" t="s">
        <v>1220</v>
      </c>
      <c r="B241" t="s">
        <v>1383</v>
      </c>
      <c r="C241" s="93" t="s">
        <v>1752</v>
      </c>
      <c r="D241" s="84" t="s">
        <v>1806</v>
      </c>
      <c r="F241" s="85"/>
      <c r="G241" s="85"/>
      <c r="H241" s="85"/>
      <c r="I241" s="85"/>
      <c r="J241" s="86"/>
      <c r="L241" s="85"/>
      <c r="N241" s="85"/>
      <c r="P241" s="86"/>
      <c r="R241" s="85"/>
      <c r="Y241" s="85"/>
      <c r="Z241" s="85"/>
      <c r="AA241" s="85"/>
      <c r="AB241" s="85"/>
      <c r="AE241" s="85"/>
      <c r="AG241" s="85"/>
      <c r="AI241" s="85"/>
      <c r="AK241" s="86"/>
    </row>
    <row r="242" spans="1:37">
      <c r="A242" s="84" t="s">
        <v>1589</v>
      </c>
      <c r="D242" s="84" t="s">
        <v>1806</v>
      </c>
      <c r="F242" s="103"/>
      <c r="G242" s="103"/>
      <c r="H242" s="103"/>
      <c r="I242" s="103"/>
      <c r="R242" s="85"/>
      <c r="Z242" s="85"/>
      <c r="AA242" s="85"/>
      <c r="AB242" s="85"/>
      <c r="AE242" s="85"/>
      <c r="AG242" s="85"/>
      <c r="AI242" s="85"/>
      <c r="AK242" s="86"/>
    </row>
    <row r="243" spans="1:37">
      <c r="A243" s="84" t="s">
        <v>1618</v>
      </c>
      <c r="B243" t="s">
        <v>1385</v>
      </c>
      <c r="C243" s="98" t="s">
        <v>1764</v>
      </c>
      <c r="D243" s="84" t="s">
        <v>1806</v>
      </c>
      <c r="F243" s="103">
        <v>0.1</v>
      </c>
      <c r="G243" s="103">
        <v>0.9</v>
      </c>
      <c r="H243" s="103"/>
      <c r="I243" s="103"/>
      <c r="J243" s="86"/>
      <c r="L243" s="85"/>
      <c r="N243" s="85"/>
      <c r="P243" s="86"/>
      <c r="Q243" s="84">
        <v>0</v>
      </c>
      <c r="R243" s="85"/>
      <c r="Y243" s="85"/>
      <c r="Z243" s="85"/>
      <c r="AA243" s="85"/>
      <c r="AB243" s="85"/>
      <c r="AE243" s="85"/>
      <c r="AG243" s="85"/>
      <c r="AI243" s="85"/>
      <c r="AK243" s="86"/>
    </row>
    <row r="244" spans="1:37">
      <c r="A244" s="84" t="s">
        <v>1221</v>
      </c>
      <c r="B244" t="s">
        <v>1388</v>
      </c>
      <c r="C244" s="87" t="s">
        <v>1410</v>
      </c>
      <c r="D244" s="84" t="s">
        <v>1806</v>
      </c>
      <c r="F244" s="85"/>
      <c r="G244" s="85"/>
      <c r="H244" s="85"/>
      <c r="I244" s="85"/>
      <c r="J244" s="86"/>
      <c r="L244" s="85"/>
      <c r="N244" s="85"/>
      <c r="P244" s="86"/>
      <c r="R244" s="85"/>
      <c r="Y244" s="85"/>
      <c r="Z244" s="85"/>
      <c r="AA244" s="85"/>
      <c r="AB244" s="85"/>
      <c r="AE244" s="85"/>
      <c r="AG244" s="85"/>
      <c r="AI244" s="85"/>
      <c r="AK244" s="86"/>
    </row>
    <row r="245" spans="1:37">
      <c r="A245" s="84" t="s">
        <v>1218</v>
      </c>
      <c r="B245" t="s">
        <v>1388</v>
      </c>
      <c r="C245" s="93" t="s">
        <v>1109</v>
      </c>
      <c r="D245" s="84" t="s">
        <v>1806</v>
      </c>
      <c r="F245" s="85"/>
      <c r="G245" s="85"/>
      <c r="H245" s="85"/>
      <c r="I245" s="85"/>
      <c r="J245" s="86"/>
      <c r="L245" s="85"/>
      <c r="N245" s="85"/>
      <c r="P245" s="86"/>
      <c r="R245" s="85"/>
      <c r="Y245" s="85"/>
      <c r="Z245" s="85"/>
      <c r="AA245" s="85"/>
      <c r="AB245" s="85"/>
      <c r="AE245" s="85"/>
      <c r="AG245" s="85"/>
      <c r="AI245" s="85"/>
      <c r="AK245" s="86"/>
    </row>
    <row r="246" spans="1:37">
      <c r="A246" s="84" t="s">
        <v>1229</v>
      </c>
      <c r="B246" t="s">
        <v>1379</v>
      </c>
      <c r="C246" s="87" t="s">
        <v>1422</v>
      </c>
      <c r="D246" s="84" t="s">
        <v>1806</v>
      </c>
      <c r="F246" s="85"/>
      <c r="G246" s="85"/>
      <c r="H246" s="85"/>
      <c r="I246" s="85"/>
      <c r="J246" s="86"/>
      <c r="L246" s="85"/>
      <c r="N246" s="85"/>
      <c r="P246" s="86"/>
      <c r="R246" s="85"/>
      <c r="Y246" s="85"/>
      <c r="Z246" s="85"/>
      <c r="AA246" s="85"/>
      <c r="AB246" s="85"/>
      <c r="AE246" s="85"/>
      <c r="AG246" s="85"/>
      <c r="AI246" s="85"/>
      <c r="AK246" s="86"/>
    </row>
    <row r="247" spans="1:37">
      <c r="A247" s="84" t="s">
        <v>1321</v>
      </c>
      <c r="B247" t="s">
        <v>1385</v>
      </c>
      <c r="C247" s="98" t="s">
        <v>1404</v>
      </c>
      <c r="D247" s="84" t="s">
        <v>1806</v>
      </c>
      <c r="E247">
        <v>0.5</v>
      </c>
      <c r="F247" s="103" t="s">
        <v>1807</v>
      </c>
      <c r="G247" s="103">
        <v>0.8</v>
      </c>
      <c r="H247" s="103"/>
      <c r="I247" s="103"/>
      <c r="J247" s="86"/>
      <c r="L247" s="85"/>
      <c r="N247" s="85"/>
      <c r="P247" s="86"/>
      <c r="Q247" s="84">
        <v>0</v>
      </c>
      <c r="R247" s="85"/>
      <c r="Y247" s="85"/>
      <c r="Z247" s="85"/>
      <c r="AA247" s="85"/>
      <c r="AB247" s="85"/>
      <c r="AE247" s="85"/>
      <c r="AG247" s="85"/>
      <c r="AI247" s="85"/>
      <c r="AK247" s="86"/>
    </row>
    <row r="248" spans="1:37">
      <c r="A248" s="84" t="s">
        <v>2073</v>
      </c>
      <c r="D248" s="84" t="s">
        <v>1806</v>
      </c>
      <c r="F248" s="103"/>
      <c r="G248" s="103"/>
      <c r="H248" s="103"/>
      <c r="I248" s="103"/>
      <c r="R248" s="85"/>
      <c r="Z248" s="85"/>
      <c r="AA248" s="85"/>
      <c r="AB248" s="85"/>
      <c r="AE248" s="85"/>
      <c r="AG248" s="85"/>
      <c r="AI248" s="85"/>
      <c r="AK248" s="86"/>
    </row>
    <row r="249" spans="1:37">
      <c r="A249" s="84" t="s">
        <v>1784</v>
      </c>
      <c r="D249" s="84" t="s">
        <v>1806</v>
      </c>
      <c r="F249" s="103"/>
      <c r="G249" s="103"/>
      <c r="H249" s="103"/>
      <c r="I249" s="103"/>
      <c r="R249" s="85"/>
      <c r="Z249" s="85"/>
      <c r="AA249" s="85"/>
      <c r="AB249" s="85"/>
      <c r="AE249" s="85"/>
      <c r="AG249" s="85"/>
      <c r="AI249" s="85"/>
      <c r="AK249" s="86"/>
    </row>
    <row r="250" spans="1:37">
      <c r="A250" s="84" t="s">
        <v>1012</v>
      </c>
      <c r="B250" t="s">
        <v>772</v>
      </c>
      <c r="C250" s="93" t="s">
        <v>1109</v>
      </c>
      <c r="D250" s="84" t="s">
        <v>1806</v>
      </c>
      <c r="F250" s="85">
        <v>0.1</v>
      </c>
      <c r="G250" s="85">
        <v>0.9</v>
      </c>
      <c r="H250" s="85"/>
      <c r="I250" s="85"/>
      <c r="J250" s="86"/>
      <c r="L250" s="85"/>
      <c r="N250" s="85"/>
      <c r="P250" s="86"/>
      <c r="Q250" s="84">
        <v>0</v>
      </c>
      <c r="R250" s="85"/>
      <c r="Y250" s="85"/>
      <c r="Z250" s="85"/>
      <c r="AA250" s="85"/>
      <c r="AB250" s="85"/>
      <c r="AE250" s="85"/>
      <c r="AG250" s="85"/>
      <c r="AI250" s="85"/>
      <c r="AK250" s="86"/>
    </row>
    <row r="251" spans="1:37">
      <c r="A251" s="84" t="s">
        <v>1635</v>
      </c>
      <c r="D251" s="84" t="s">
        <v>1806</v>
      </c>
      <c r="F251" s="103"/>
      <c r="G251" s="103"/>
      <c r="H251" s="103"/>
      <c r="I251" s="103"/>
      <c r="R251" s="85"/>
      <c r="Z251" s="85"/>
      <c r="AA251" s="85"/>
      <c r="AB251" s="85"/>
      <c r="AE251" s="85"/>
      <c r="AG251" s="85"/>
      <c r="AI251" s="85"/>
      <c r="AK251" s="86"/>
    </row>
    <row r="252" spans="1:37">
      <c r="A252" s="84" t="s">
        <v>1004</v>
      </c>
      <c r="B252" t="s">
        <v>36</v>
      </c>
      <c r="C252" s="93" t="s">
        <v>1109</v>
      </c>
      <c r="D252" s="84" t="s">
        <v>1806</v>
      </c>
      <c r="F252" s="85">
        <v>0.1</v>
      </c>
      <c r="G252" s="85">
        <v>0.9</v>
      </c>
      <c r="H252" s="85"/>
      <c r="I252" s="85"/>
      <c r="J252" s="86"/>
      <c r="L252" s="85"/>
      <c r="N252" s="85"/>
      <c r="P252" s="86"/>
      <c r="R252" s="85"/>
      <c r="Y252" s="85"/>
      <c r="Z252" s="85"/>
      <c r="AA252" s="85"/>
      <c r="AB252" s="85"/>
      <c r="AE252" s="85"/>
      <c r="AG252" s="85"/>
      <c r="AI252" s="85"/>
      <c r="AK252" s="86"/>
    </row>
    <row r="253" spans="1:37">
      <c r="A253" s="84" t="s">
        <v>2113</v>
      </c>
      <c r="D253" s="84" t="s">
        <v>1806</v>
      </c>
      <c r="F253" s="103"/>
      <c r="G253" s="103"/>
      <c r="H253" s="103"/>
      <c r="I253" s="103"/>
      <c r="R253" s="85"/>
      <c r="Z253" s="85"/>
      <c r="AA253" s="85"/>
      <c r="AB253" s="85"/>
      <c r="AE253" s="85"/>
      <c r="AG253" s="85"/>
      <c r="AI253" s="85"/>
      <c r="AK253" s="86"/>
    </row>
    <row r="254" spans="1:37">
      <c r="A254" s="84" t="s">
        <v>1076</v>
      </c>
      <c r="B254" t="s">
        <v>1390</v>
      </c>
      <c r="C254" s="93" t="s">
        <v>1599</v>
      </c>
      <c r="D254" s="84" t="s">
        <v>1806</v>
      </c>
      <c r="F254" s="85"/>
      <c r="G254" s="85"/>
      <c r="H254" s="85"/>
      <c r="I254" s="85"/>
      <c r="J254" s="86"/>
      <c r="L254" s="85"/>
      <c r="N254" s="85"/>
      <c r="P254" s="86"/>
      <c r="R254" s="85"/>
      <c r="Y254" s="85"/>
      <c r="Z254" s="85"/>
      <c r="AA254" s="85"/>
      <c r="AB254" s="85"/>
      <c r="AE254" s="85"/>
      <c r="AG254" s="85"/>
      <c r="AI254" s="85"/>
      <c r="AK254" s="86"/>
    </row>
    <row r="255" spans="1:37">
      <c r="A255" s="84" t="s">
        <v>1739</v>
      </c>
      <c r="B255" t="s">
        <v>1083</v>
      </c>
      <c r="C255" s="98" t="s">
        <v>1741</v>
      </c>
      <c r="D255" s="84" t="s">
        <v>1806</v>
      </c>
      <c r="F255" s="85">
        <v>0.1</v>
      </c>
      <c r="G255" s="85">
        <v>0.9</v>
      </c>
      <c r="H255" s="85"/>
      <c r="I255" s="85"/>
      <c r="J255" s="86"/>
      <c r="L255" s="85"/>
      <c r="N255" s="85"/>
      <c r="P255" s="86"/>
      <c r="R255" s="85"/>
      <c r="Y255" s="85"/>
      <c r="Z255" s="85"/>
      <c r="AA255" s="85"/>
      <c r="AB255" s="85"/>
      <c r="AE255" s="85"/>
      <c r="AG255" s="85"/>
      <c r="AI255" s="85"/>
      <c r="AK255" s="86"/>
    </row>
    <row r="256" spans="1:37">
      <c r="A256" s="84" t="s">
        <v>1799</v>
      </c>
      <c r="D256" s="84" t="s">
        <v>1806</v>
      </c>
      <c r="F256" s="103"/>
      <c r="G256" s="103"/>
      <c r="H256" s="103"/>
      <c r="I256" s="103"/>
      <c r="R256" s="85"/>
      <c r="Z256" s="85"/>
      <c r="AA256" s="85"/>
      <c r="AB256" s="85"/>
      <c r="AE256" s="85"/>
      <c r="AG256" s="85"/>
      <c r="AI256" s="85"/>
      <c r="AK256" s="86"/>
    </row>
    <row r="257" spans="1:37">
      <c r="A257" s="84" t="s">
        <v>1378</v>
      </c>
      <c r="B257" t="s">
        <v>1379</v>
      </c>
      <c r="C257" s="87" t="s">
        <v>1415</v>
      </c>
      <c r="D257" s="84" t="s">
        <v>1806</v>
      </c>
      <c r="F257" s="85"/>
      <c r="G257" s="85"/>
      <c r="H257" s="85"/>
      <c r="I257" s="85"/>
      <c r="J257" s="86"/>
      <c r="L257" s="85"/>
      <c r="N257" s="85"/>
      <c r="P257" s="86"/>
      <c r="R257" s="85"/>
      <c r="Y257" s="85"/>
      <c r="Z257" s="85"/>
      <c r="AA257" s="85"/>
      <c r="AB257" s="85"/>
      <c r="AE257" s="85"/>
      <c r="AG257" s="85"/>
      <c r="AI257" s="85"/>
      <c r="AK257" s="86"/>
    </row>
    <row r="258" spans="1:37">
      <c r="A258" s="84" t="s">
        <v>1656</v>
      </c>
      <c r="B258" t="s">
        <v>1385</v>
      </c>
      <c r="C258" s="87" t="s">
        <v>1934</v>
      </c>
      <c r="D258" s="84" t="s">
        <v>1807</v>
      </c>
      <c r="F258" s="103" t="s">
        <v>1807</v>
      </c>
      <c r="G258" s="103">
        <v>1</v>
      </c>
      <c r="H258" s="103"/>
      <c r="I258" s="103"/>
      <c r="J258" s="86"/>
      <c r="L258" s="85"/>
      <c r="M258" t="s">
        <v>1836</v>
      </c>
      <c r="N258" s="85">
        <v>1</v>
      </c>
      <c r="P258" s="86"/>
      <c r="Q258" s="84">
        <v>2</v>
      </c>
      <c r="R258" s="85"/>
      <c r="S258">
        <v>2</v>
      </c>
      <c r="T258" s="85">
        <v>1</v>
      </c>
      <c r="W258">
        <v>-2</v>
      </c>
      <c r="X258" s="86">
        <v>1</v>
      </c>
      <c r="Y258" s="85"/>
      <c r="Z258" s="85"/>
      <c r="AA258" s="85"/>
      <c r="AB258" s="85"/>
      <c r="AE258" s="85"/>
      <c r="AG258" s="85"/>
      <c r="AI258" s="85"/>
      <c r="AK258" s="86"/>
    </row>
    <row r="259" spans="1:37">
      <c r="A259" s="84" t="s">
        <v>1003</v>
      </c>
      <c r="B259" t="s">
        <v>1379</v>
      </c>
      <c r="C259" s="87" t="s">
        <v>1423</v>
      </c>
      <c r="D259" s="84" t="s">
        <v>1807</v>
      </c>
      <c r="F259" s="85"/>
      <c r="G259" s="85"/>
      <c r="H259" s="85"/>
      <c r="I259" s="85"/>
      <c r="J259" s="86"/>
      <c r="L259" s="85"/>
      <c r="N259" s="85"/>
      <c r="P259" s="86"/>
      <c r="R259" s="85"/>
      <c r="Y259" s="85"/>
      <c r="Z259" s="85"/>
      <c r="AA259" s="85"/>
      <c r="AB259" s="85"/>
      <c r="AE259" s="85"/>
      <c r="AG259" s="85"/>
      <c r="AI259" s="85"/>
      <c r="AK259" s="86"/>
    </row>
    <row r="260" spans="1:37">
      <c r="A260" s="84" t="s">
        <v>2098</v>
      </c>
      <c r="D260" s="84" t="s">
        <v>1806</v>
      </c>
      <c r="F260" s="103"/>
      <c r="G260" s="103"/>
      <c r="H260" s="103"/>
      <c r="I260" s="103"/>
      <c r="R260" s="85"/>
      <c r="Z260" s="85"/>
      <c r="AA260" s="85"/>
      <c r="AB260" s="85"/>
      <c r="AE260" s="85"/>
      <c r="AG260" s="85"/>
      <c r="AI260" s="85"/>
      <c r="AK260" s="86"/>
    </row>
    <row r="261" spans="1:37">
      <c r="A261" s="84" t="s">
        <v>1107</v>
      </c>
      <c r="B261" t="s">
        <v>1083</v>
      </c>
      <c r="C261" s="93" t="s">
        <v>1962</v>
      </c>
      <c r="D261" s="84" t="s">
        <v>1806</v>
      </c>
      <c r="F261" s="85">
        <v>0.1</v>
      </c>
      <c r="G261" s="85">
        <v>0.9</v>
      </c>
      <c r="H261" s="85"/>
      <c r="I261" s="85"/>
      <c r="J261" s="86"/>
      <c r="L261" s="85"/>
      <c r="N261" s="85"/>
      <c r="P261" s="86"/>
      <c r="R261" s="85"/>
      <c r="S261">
        <v>-1</v>
      </c>
      <c r="T261" s="85">
        <v>0.1</v>
      </c>
      <c r="Y261" s="85"/>
      <c r="Z261" s="85"/>
      <c r="AA261" s="85"/>
      <c r="AB261" s="85"/>
      <c r="AE261" s="85"/>
      <c r="AG261" s="85"/>
      <c r="AI261" s="85"/>
      <c r="AK261" s="86"/>
    </row>
    <row r="262" spans="1:37">
      <c r="A262" s="84" t="s">
        <v>2116</v>
      </c>
      <c r="D262" s="84" t="s">
        <v>1806</v>
      </c>
      <c r="F262" s="103"/>
      <c r="G262" s="103"/>
      <c r="H262" s="103"/>
      <c r="I262" s="103"/>
      <c r="R262" s="85"/>
      <c r="Z262" s="85"/>
      <c r="AA262" s="85"/>
      <c r="AB262" s="85"/>
      <c r="AE262" s="85"/>
      <c r="AG262" s="85"/>
      <c r="AI262" s="85"/>
      <c r="AK262" s="86"/>
    </row>
    <row r="263" spans="1:37">
      <c r="A263" s="84" t="s">
        <v>1766</v>
      </c>
      <c r="D263" s="84" t="s">
        <v>1806</v>
      </c>
      <c r="F263" s="103"/>
      <c r="G263" s="103"/>
      <c r="H263" s="103"/>
      <c r="I263" s="103"/>
      <c r="R263" s="85"/>
      <c r="Z263" s="85"/>
      <c r="AA263" s="85"/>
      <c r="AB263" s="85"/>
      <c r="AE263" s="85"/>
      <c r="AG263" s="85"/>
      <c r="AI263" s="85"/>
      <c r="AK263" s="86"/>
    </row>
    <row r="264" spans="1:37">
      <c r="A264" s="84" t="s">
        <v>1333</v>
      </c>
      <c r="B264" t="s">
        <v>1083</v>
      </c>
      <c r="C264" s="98" t="s">
        <v>1742</v>
      </c>
      <c r="D264" s="84" t="s">
        <v>1806</v>
      </c>
      <c r="F264" s="85" t="s">
        <v>1807</v>
      </c>
      <c r="G264" s="85">
        <v>0.9</v>
      </c>
      <c r="H264" s="85"/>
      <c r="I264" s="85"/>
      <c r="J264" s="86"/>
      <c r="L264" s="85"/>
      <c r="N264" s="85"/>
      <c r="P264" s="86"/>
      <c r="R264" s="85"/>
      <c r="Y264" s="85"/>
      <c r="Z264" s="85"/>
      <c r="AA264" s="85"/>
      <c r="AB264" s="85"/>
      <c r="AE264" s="85"/>
      <c r="AG264" s="85"/>
      <c r="AI264" s="85"/>
      <c r="AK264" s="86"/>
    </row>
    <row r="265" spans="1:37">
      <c r="A265" s="84" t="s">
        <v>1106</v>
      </c>
      <c r="B265" t="s">
        <v>1083</v>
      </c>
      <c r="C265" s="93" t="s">
        <v>1836</v>
      </c>
      <c r="D265" s="84" t="s">
        <v>1806</v>
      </c>
      <c r="F265" s="85">
        <v>0.1</v>
      </c>
      <c r="G265" s="85">
        <v>0.9</v>
      </c>
      <c r="H265" s="85"/>
      <c r="I265" s="85"/>
      <c r="J265" s="86"/>
      <c r="L265" s="85"/>
      <c r="M265" t="s">
        <v>1836</v>
      </c>
      <c r="N265" s="85">
        <v>0.1</v>
      </c>
      <c r="P265" s="86"/>
      <c r="R265" s="85"/>
      <c r="Y265" s="85"/>
      <c r="Z265" s="85"/>
      <c r="AA265" s="85"/>
      <c r="AB265" s="85"/>
      <c r="AE265" s="85"/>
      <c r="AG265" s="85"/>
      <c r="AI265" s="85"/>
      <c r="AK265" s="86"/>
    </row>
    <row r="266" spans="1:37">
      <c r="A266" s="84" t="s">
        <v>1083</v>
      </c>
      <c r="B266" t="s">
        <v>1083</v>
      </c>
      <c r="C266" s="93" t="s">
        <v>1961</v>
      </c>
      <c r="D266" s="84" t="s">
        <v>1806</v>
      </c>
      <c r="F266" s="85">
        <v>0.1</v>
      </c>
      <c r="G266" s="85">
        <v>0.9</v>
      </c>
      <c r="H266" s="85"/>
      <c r="I266" s="85"/>
      <c r="J266" s="86"/>
      <c r="L266" s="85"/>
      <c r="N266" s="85"/>
      <c r="P266" s="86"/>
      <c r="R266" s="85"/>
      <c r="W266">
        <v>-1</v>
      </c>
      <c r="X266" s="86">
        <v>0.1</v>
      </c>
      <c r="Y266" s="85"/>
      <c r="Z266" s="85"/>
      <c r="AA266" s="85"/>
      <c r="AB266" s="85"/>
      <c r="AE266" s="85"/>
      <c r="AG266" s="85"/>
      <c r="AI266" s="85"/>
      <c r="AK266" s="86"/>
    </row>
    <row r="267" spans="1:37">
      <c r="A267" s="84" t="s">
        <v>2101</v>
      </c>
      <c r="D267" s="84" t="s">
        <v>1807</v>
      </c>
      <c r="F267" s="103"/>
      <c r="G267" s="103"/>
      <c r="H267" s="103"/>
      <c r="I267" s="103"/>
      <c r="R267" s="85"/>
      <c r="Z267" s="85"/>
      <c r="AA267" s="85"/>
      <c r="AB267" s="85"/>
      <c r="AE267" s="85"/>
      <c r="AG267" s="85"/>
      <c r="AI267" s="85"/>
      <c r="AK267" s="86"/>
    </row>
    <row r="268" spans="1:37">
      <c r="A268" s="84" t="s">
        <v>1621</v>
      </c>
      <c r="B268" t="s">
        <v>1379</v>
      </c>
      <c r="C268" s="87" t="s">
        <v>1622</v>
      </c>
      <c r="D268" s="84" t="s">
        <v>1807</v>
      </c>
      <c r="F268" s="85"/>
      <c r="G268" s="85"/>
      <c r="H268" s="85"/>
      <c r="I268" s="85"/>
      <c r="J268" s="86"/>
      <c r="L268" s="85"/>
      <c r="N268" s="85"/>
      <c r="P268" s="86"/>
      <c r="R268" s="85"/>
      <c r="Y268" s="85"/>
      <c r="Z268" s="85"/>
      <c r="AA268" s="85"/>
      <c r="AB268" s="85"/>
      <c r="AE268" s="85"/>
      <c r="AG268" s="85"/>
      <c r="AI268" s="85"/>
      <c r="AK268" s="86"/>
    </row>
    <row r="269" spans="1:37">
      <c r="A269" s="84" t="s">
        <v>1716</v>
      </c>
      <c r="B269" t="s">
        <v>1390</v>
      </c>
      <c r="C269" s="87" t="s">
        <v>1720</v>
      </c>
      <c r="D269" s="84" t="s">
        <v>1807</v>
      </c>
      <c r="F269" s="85"/>
      <c r="G269" s="85"/>
      <c r="H269" s="85"/>
      <c r="I269" s="85"/>
      <c r="J269" s="86"/>
      <c r="L269" s="85"/>
      <c r="N269" s="85"/>
      <c r="P269" s="86"/>
      <c r="R269" s="85"/>
      <c r="Y269" s="85"/>
      <c r="Z269" s="85"/>
      <c r="AA269" s="85"/>
      <c r="AB269" s="85"/>
      <c r="AE269" s="85"/>
      <c r="AG269" s="85"/>
      <c r="AI269" s="85"/>
      <c r="AK269" s="86"/>
    </row>
    <row r="270" spans="1:37">
      <c r="A270" s="84" t="s">
        <v>2096</v>
      </c>
      <c r="D270" s="84" t="s">
        <v>1806</v>
      </c>
      <c r="F270" s="103"/>
      <c r="G270" s="103"/>
      <c r="H270" s="103"/>
      <c r="I270" s="103"/>
      <c r="R270" s="85"/>
      <c r="Z270" s="85"/>
      <c r="AA270" s="85"/>
      <c r="AB270" s="85"/>
      <c r="AE270" s="85"/>
      <c r="AG270" s="85"/>
      <c r="AI270" s="85"/>
      <c r="AK270" s="86"/>
    </row>
    <row r="271" spans="1:37">
      <c r="A271" s="84" t="s">
        <v>1347</v>
      </c>
      <c r="B271" t="s">
        <v>1386</v>
      </c>
      <c r="C271" s="93" t="s">
        <v>1109</v>
      </c>
      <c r="D271" s="84" t="s">
        <v>1806</v>
      </c>
      <c r="F271" s="85">
        <v>0.1</v>
      </c>
      <c r="G271" s="85">
        <v>0.9</v>
      </c>
      <c r="H271" s="85"/>
      <c r="I271" s="85"/>
      <c r="J271" s="86"/>
      <c r="L271" s="85"/>
      <c r="N271" s="85"/>
      <c r="P271" s="86"/>
      <c r="R271" s="85"/>
      <c r="W271">
        <v>-1</v>
      </c>
      <c r="X271" s="86">
        <v>0.1</v>
      </c>
      <c r="Y271" s="85"/>
      <c r="Z271" s="85"/>
      <c r="AA271" s="85"/>
      <c r="AB271" s="85"/>
      <c r="AE271" s="85"/>
      <c r="AG271" s="85"/>
      <c r="AI271" s="85"/>
      <c r="AK271" s="86"/>
    </row>
    <row r="272" spans="1:37">
      <c r="A272" s="84" t="s">
        <v>1632</v>
      </c>
      <c r="D272" s="84" t="s">
        <v>1806</v>
      </c>
      <c r="F272" s="103"/>
      <c r="G272" s="103"/>
      <c r="H272" s="103"/>
      <c r="I272" s="103"/>
      <c r="R272" s="85"/>
      <c r="Z272" s="85"/>
      <c r="AA272" s="85"/>
      <c r="AB272" s="85"/>
      <c r="AE272" s="85"/>
      <c r="AG272" s="85"/>
      <c r="AI272" s="85"/>
      <c r="AK272" s="86"/>
    </row>
    <row r="273" spans="1:37">
      <c r="A273" s="84" t="s">
        <v>2067</v>
      </c>
      <c r="D273" s="84" t="s">
        <v>1806</v>
      </c>
      <c r="F273" s="103"/>
      <c r="G273" s="103"/>
      <c r="H273" s="103"/>
      <c r="I273" s="103"/>
      <c r="R273" s="85"/>
      <c r="Z273" s="85"/>
      <c r="AA273" s="85"/>
      <c r="AB273" s="85"/>
      <c r="AE273" s="85"/>
      <c r="AG273" s="85"/>
      <c r="AI273" s="85"/>
      <c r="AK273" s="86"/>
    </row>
    <row r="274" spans="1:37">
      <c r="A274" s="84" t="s">
        <v>1292</v>
      </c>
      <c r="B274" t="s">
        <v>1381</v>
      </c>
      <c r="C274" s="87" t="s">
        <v>1427</v>
      </c>
      <c r="D274" s="84" t="s">
        <v>1806</v>
      </c>
      <c r="F274" s="85">
        <v>0.1</v>
      </c>
      <c r="G274" s="85">
        <v>0.9</v>
      </c>
      <c r="H274" s="85"/>
      <c r="I274" s="85"/>
      <c r="J274" s="86"/>
      <c r="L274" s="85"/>
      <c r="N274" s="85"/>
      <c r="P274" s="86"/>
      <c r="Q274" s="84">
        <v>1</v>
      </c>
      <c r="R274" s="85"/>
      <c r="Y274" s="85"/>
      <c r="Z274" s="85"/>
      <c r="AA274" s="85"/>
      <c r="AB274" s="85"/>
      <c r="AE274" s="85"/>
      <c r="AG274" s="85"/>
      <c r="AI274" s="85"/>
      <c r="AK274" s="86"/>
    </row>
    <row r="275" spans="1:37">
      <c r="A275" s="84" t="s">
        <v>1300</v>
      </c>
      <c r="B275" t="s">
        <v>1055</v>
      </c>
      <c r="C275" s="87" t="s">
        <v>1394</v>
      </c>
      <c r="D275" s="84" t="s">
        <v>1806</v>
      </c>
      <c r="F275" s="85">
        <v>0.1</v>
      </c>
      <c r="G275" s="85">
        <v>0.9</v>
      </c>
      <c r="H275" s="85"/>
      <c r="I275" s="85"/>
      <c r="J275" s="86"/>
      <c r="L275" s="85"/>
      <c r="N275" s="85"/>
      <c r="P275" s="86"/>
      <c r="R275" s="85"/>
      <c r="Y275" s="85"/>
      <c r="Z275" s="85">
        <v>0.3</v>
      </c>
      <c r="AA275" s="85"/>
      <c r="AB275" s="85"/>
      <c r="AE275" s="85"/>
      <c r="AG275" s="85"/>
      <c r="AI275" s="85"/>
      <c r="AK275" s="86"/>
    </row>
    <row r="276" spans="1:37">
      <c r="A276" s="84" t="s">
        <v>1374</v>
      </c>
      <c r="B276" t="s">
        <v>1387</v>
      </c>
      <c r="C276" s="87" t="s">
        <v>1411</v>
      </c>
      <c r="D276" s="84" t="s">
        <v>1806</v>
      </c>
      <c r="F276" s="85">
        <v>0.1</v>
      </c>
      <c r="G276" s="85">
        <v>0.9</v>
      </c>
      <c r="H276" s="85"/>
      <c r="I276" s="85"/>
      <c r="J276" s="86"/>
      <c r="K276" s="84" t="s">
        <v>1810</v>
      </c>
      <c r="L276" s="85">
        <v>0.1</v>
      </c>
      <c r="N276" s="85"/>
      <c r="P276" s="86"/>
      <c r="R276" s="85"/>
      <c r="Y276" s="85"/>
      <c r="Z276" s="85"/>
      <c r="AA276" s="85"/>
      <c r="AB276" s="85"/>
      <c r="AE276" s="85"/>
      <c r="AG276" s="85"/>
      <c r="AI276" s="85"/>
      <c r="AK276" s="86"/>
    </row>
    <row r="277" spans="1:37">
      <c r="A277" s="84" t="s">
        <v>1019</v>
      </c>
      <c r="B277" t="s">
        <v>1384</v>
      </c>
      <c r="C277" s="87" t="s">
        <v>1413</v>
      </c>
      <c r="D277" s="84" t="s">
        <v>1806</v>
      </c>
      <c r="F277" s="85">
        <v>0.1</v>
      </c>
      <c r="G277" s="85">
        <v>0.9</v>
      </c>
      <c r="H277" s="85"/>
      <c r="I277" s="85"/>
      <c r="J277" s="86"/>
      <c r="K277" s="84" t="s">
        <v>1809</v>
      </c>
      <c r="L277" s="85">
        <v>0.1</v>
      </c>
      <c r="N277" s="85"/>
      <c r="P277" s="86"/>
      <c r="Q277" s="84">
        <v>0</v>
      </c>
      <c r="R277" s="85"/>
      <c r="Y277" s="85"/>
      <c r="Z277" s="85"/>
      <c r="AA277" s="85"/>
      <c r="AB277" s="85"/>
      <c r="AE277" s="85"/>
      <c r="AG277" s="85"/>
      <c r="AI277" s="85"/>
      <c r="AK277" s="86"/>
    </row>
    <row r="278" spans="1:37">
      <c r="A278" s="84" t="s">
        <v>1759</v>
      </c>
      <c r="D278" s="84" t="s">
        <v>1806</v>
      </c>
      <c r="F278" s="103"/>
      <c r="G278" s="103"/>
      <c r="H278" s="103"/>
      <c r="I278" s="103"/>
      <c r="R278" s="85"/>
      <c r="Z278" s="85"/>
      <c r="AA278" s="85"/>
      <c r="AB278" s="85"/>
      <c r="AE278" s="85"/>
      <c r="AG278" s="85"/>
      <c r="AI278" s="85"/>
      <c r="AK278" s="86"/>
    </row>
    <row r="279" spans="1:37">
      <c r="A279" s="84" t="s">
        <v>1348</v>
      </c>
      <c r="B279" t="s">
        <v>36</v>
      </c>
      <c r="C279" s="87" t="s">
        <v>1399</v>
      </c>
      <c r="D279" s="84" t="s">
        <v>1806</v>
      </c>
      <c r="F279" s="85">
        <v>0.1</v>
      </c>
      <c r="G279" s="85">
        <v>0.9</v>
      </c>
      <c r="H279" s="85"/>
      <c r="I279" s="85"/>
      <c r="J279" s="86"/>
      <c r="L279" s="85"/>
      <c r="M279" t="s">
        <v>1836</v>
      </c>
      <c r="N279" s="85">
        <v>0.5</v>
      </c>
      <c r="P279" s="86"/>
      <c r="R279" s="85"/>
      <c r="Y279" s="85"/>
      <c r="Z279" s="85"/>
      <c r="AA279" s="85"/>
      <c r="AB279" s="85"/>
      <c r="AE279" s="85"/>
      <c r="AG279" s="85"/>
      <c r="AI279" s="85"/>
      <c r="AK279" s="86"/>
    </row>
    <row r="280" spans="1:37">
      <c r="A280" s="84" t="s">
        <v>1642</v>
      </c>
      <c r="D280" s="84" t="s">
        <v>1806</v>
      </c>
      <c r="F280" s="103"/>
      <c r="G280" s="103"/>
      <c r="H280" s="103"/>
      <c r="I280" s="103"/>
      <c r="R280" s="85"/>
      <c r="Z280" s="85"/>
      <c r="AA280" s="85"/>
      <c r="AB280" s="85"/>
      <c r="AE280" s="85"/>
      <c r="AG280" s="85"/>
      <c r="AI280" s="85"/>
      <c r="AK280" s="86"/>
    </row>
    <row r="281" spans="1:37">
      <c r="A281" s="84" t="s">
        <v>1123</v>
      </c>
      <c r="B281" t="s">
        <v>1054</v>
      </c>
      <c r="C281" s="93" t="s">
        <v>1938</v>
      </c>
      <c r="D281" s="84" t="s">
        <v>1806</v>
      </c>
      <c r="F281" s="85">
        <v>0.1</v>
      </c>
      <c r="G281" s="85">
        <v>0.9</v>
      </c>
      <c r="H281" s="85"/>
      <c r="I281" s="85"/>
      <c r="J281" s="86"/>
      <c r="L281" s="85"/>
      <c r="N281" s="85"/>
      <c r="P281" s="86"/>
      <c r="Q281" s="84">
        <v>1</v>
      </c>
      <c r="R281" s="85"/>
      <c r="Y281" s="85"/>
      <c r="Z281" s="85"/>
      <c r="AA281" s="85"/>
      <c r="AB281" s="85"/>
      <c r="AE281" s="85"/>
      <c r="AG281" s="85"/>
      <c r="AI281" s="85"/>
      <c r="AK281" s="86"/>
    </row>
    <row r="282" spans="1:37">
      <c r="A282" s="84" t="s">
        <v>1010</v>
      </c>
      <c r="B282" t="s">
        <v>1382</v>
      </c>
      <c r="C282" s="87" t="s">
        <v>1414</v>
      </c>
      <c r="D282" s="84" t="s">
        <v>1806</v>
      </c>
      <c r="F282" s="85">
        <v>0.1</v>
      </c>
      <c r="G282" s="85">
        <v>0.9</v>
      </c>
      <c r="H282" s="85"/>
      <c r="I282" s="85"/>
      <c r="J282" s="86"/>
      <c r="K282" s="84" t="s">
        <v>1811</v>
      </c>
      <c r="L282" s="85">
        <v>0.1</v>
      </c>
      <c r="N282" s="85"/>
      <c r="P282" s="86"/>
      <c r="Q282" s="84">
        <v>0</v>
      </c>
      <c r="R282" s="85"/>
      <c r="Y282" s="85"/>
      <c r="Z282" s="85"/>
      <c r="AA282" s="85"/>
      <c r="AB282" s="85"/>
      <c r="AE282" s="85"/>
      <c r="AG282" s="85"/>
      <c r="AI282" s="85"/>
      <c r="AK282" s="86"/>
    </row>
    <row r="283" spans="1:37">
      <c r="A283" s="84" t="s">
        <v>1289</v>
      </c>
      <c r="B283" t="s">
        <v>1055</v>
      </c>
      <c r="C283" s="87" t="s">
        <v>1399</v>
      </c>
      <c r="D283" s="84" t="s">
        <v>1806</v>
      </c>
      <c r="F283" s="85">
        <v>0.1</v>
      </c>
      <c r="G283" s="85">
        <v>0.7</v>
      </c>
      <c r="H283" s="85"/>
      <c r="I283" s="85"/>
      <c r="J283" s="86"/>
      <c r="L283" s="85"/>
      <c r="M283" t="s">
        <v>1836</v>
      </c>
      <c r="N283" s="85">
        <v>0.5</v>
      </c>
      <c r="P283" s="86"/>
      <c r="R283" s="85"/>
      <c r="Y283" s="85"/>
      <c r="Z283" s="85"/>
      <c r="AA283" s="85"/>
      <c r="AB283" s="85"/>
      <c r="AE283" s="85"/>
      <c r="AG283" s="85"/>
      <c r="AI283" s="85"/>
      <c r="AK283" s="86"/>
    </row>
    <row r="284" spans="1:37">
      <c r="A284" s="84" t="s">
        <v>1037</v>
      </c>
      <c r="B284" t="s">
        <v>1379</v>
      </c>
      <c r="C284" s="87" t="s">
        <v>1415</v>
      </c>
      <c r="D284" s="84" t="s">
        <v>1806</v>
      </c>
      <c r="F284" s="85"/>
      <c r="G284" s="85"/>
      <c r="H284" s="85"/>
      <c r="I284" s="85"/>
      <c r="J284" s="86"/>
      <c r="L284" s="85"/>
      <c r="N284" s="85"/>
      <c r="P284" s="86"/>
      <c r="R284" s="85"/>
      <c r="Y284" s="85"/>
      <c r="Z284" s="85"/>
      <c r="AA284" s="85"/>
      <c r="AB284" s="85"/>
      <c r="AE284" s="85"/>
      <c r="AG284" s="85"/>
      <c r="AI284" s="85"/>
      <c r="AK284" s="86"/>
    </row>
    <row r="285" spans="1:37">
      <c r="A285" s="84" t="s">
        <v>2080</v>
      </c>
      <c r="D285" s="84" t="s">
        <v>1806</v>
      </c>
      <c r="F285" s="103"/>
      <c r="G285" s="103"/>
      <c r="H285" s="103"/>
      <c r="I285" s="103"/>
      <c r="R285" s="85"/>
      <c r="Z285" s="85"/>
      <c r="AA285" s="85"/>
      <c r="AB285" s="85"/>
      <c r="AE285" s="85"/>
      <c r="AG285" s="85"/>
      <c r="AI285" s="85"/>
      <c r="AK285" s="86"/>
    </row>
    <row r="286" spans="1:37">
      <c r="A286" s="84" t="s">
        <v>1334</v>
      </c>
      <c r="B286" t="s">
        <v>36</v>
      </c>
      <c r="C286" s="93" t="s">
        <v>1109</v>
      </c>
      <c r="D286" s="84" t="s">
        <v>1806</v>
      </c>
      <c r="F286" s="85">
        <v>0.1</v>
      </c>
      <c r="G286" s="85">
        <v>1</v>
      </c>
      <c r="H286" s="85"/>
      <c r="I286" s="85"/>
      <c r="J286" s="86"/>
      <c r="L286" s="85"/>
      <c r="N286" s="85"/>
      <c r="P286" s="86"/>
      <c r="R286" s="85"/>
      <c r="Y286" s="85"/>
      <c r="Z286" s="85"/>
      <c r="AA286" s="85"/>
      <c r="AB286" s="85"/>
      <c r="AE286" s="85"/>
      <c r="AG286" s="85"/>
      <c r="AI286" s="85"/>
      <c r="AK286" s="86"/>
    </row>
    <row r="287" spans="1:37">
      <c r="A287" s="84" t="s">
        <v>1233</v>
      </c>
      <c r="B287" t="s">
        <v>1382</v>
      </c>
      <c r="C287" s="87" t="s">
        <v>1418</v>
      </c>
      <c r="D287" s="84" t="s">
        <v>1806</v>
      </c>
      <c r="F287" s="85">
        <v>0.1</v>
      </c>
      <c r="G287" s="85">
        <v>0.9</v>
      </c>
      <c r="H287" s="85"/>
      <c r="I287" s="85"/>
      <c r="J287" s="86"/>
      <c r="K287" s="84" t="s">
        <v>1811</v>
      </c>
      <c r="L287" s="85">
        <v>0.2</v>
      </c>
      <c r="N287" s="85"/>
      <c r="P287" s="86"/>
      <c r="Q287" s="84">
        <v>0</v>
      </c>
      <c r="R287" s="85"/>
      <c r="Y287" s="85"/>
      <c r="Z287" s="85"/>
      <c r="AA287" s="85"/>
      <c r="AB287" s="85"/>
      <c r="AE287" s="85"/>
      <c r="AG287" s="85"/>
      <c r="AI287" s="85"/>
      <c r="AK287" s="86"/>
    </row>
    <row r="288" spans="1:37">
      <c r="A288" s="84" t="s">
        <v>1357</v>
      </c>
      <c r="B288" t="s">
        <v>1384</v>
      </c>
      <c r="C288" s="87" t="s">
        <v>1413</v>
      </c>
      <c r="D288" s="84" t="s">
        <v>1806</v>
      </c>
      <c r="F288" s="85">
        <v>0.1</v>
      </c>
      <c r="G288" s="85">
        <v>0.9</v>
      </c>
      <c r="H288" s="85"/>
      <c r="I288" s="85"/>
      <c r="J288" s="86"/>
      <c r="K288" s="84" t="s">
        <v>1809</v>
      </c>
      <c r="L288" s="85">
        <v>0.1</v>
      </c>
      <c r="N288" s="85"/>
      <c r="P288" s="86"/>
      <c r="Q288" s="84">
        <v>0</v>
      </c>
      <c r="R288" s="85"/>
      <c r="Y288" s="85"/>
      <c r="Z288" s="85"/>
      <c r="AA288" s="85"/>
      <c r="AB288" s="85"/>
      <c r="AE288" s="85"/>
      <c r="AG288" s="85"/>
      <c r="AI288" s="85"/>
      <c r="AK288" s="86"/>
    </row>
    <row r="289" spans="1:37">
      <c r="A289" s="84" t="s">
        <v>1286</v>
      </c>
      <c r="B289" t="s">
        <v>772</v>
      </c>
      <c r="C289" s="93" t="s">
        <v>1930</v>
      </c>
      <c r="D289" s="84" t="s">
        <v>1806</v>
      </c>
      <c r="F289" s="85">
        <v>0.1</v>
      </c>
      <c r="G289" s="85">
        <v>0.9</v>
      </c>
      <c r="H289" s="85"/>
      <c r="I289" s="85"/>
      <c r="J289" s="86"/>
      <c r="L289" s="85"/>
      <c r="N289" s="85"/>
      <c r="P289" s="86"/>
      <c r="Q289" s="84">
        <v>0</v>
      </c>
      <c r="R289" s="85"/>
      <c r="U289">
        <v>-1</v>
      </c>
      <c r="V289" s="85">
        <v>0.4</v>
      </c>
      <c r="Y289" s="85"/>
      <c r="Z289" s="85"/>
      <c r="AA289" s="85"/>
      <c r="AB289" s="85"/>
      <c r="AE289" s="85"/>
      <c r="AG289" s="85"/>
      <c r="AI289" s="85"/>
      <c r="AK289" s="86"/>
    </row>
    <row r="290" spans="1:37">
      <c r="A290" s="84" t="s">
        <v>2054</v>
      </c>
      <c r="D290" s="84" t="s">
        <v>1806</v>
      </c>
      <c r="F290" s="103"/>
      <c r="G290" s="103"/>
      <c r="H290" s="103"/>
      <c r="I290" s="103"/>
      <c r="R290" s="85"/>
      <c r="Z290" s="85"/>
      <c r="AA290" s="85"/>
      <c r="AB290" s="85"/>
      <c r="AE290" s="85"/>
      <c r="AG290" s="85"/>
      <c r="AI290" s="85"/>
      <c r="AK290" s="86"/>
    </row>
    <row r="291" spans="1:37">
      <c r="A291" s="84" t="s">
        <v>1126</v>
      </c>
      <c r="B291" t="s">
        <v>1054</v>
      </c>
      <c r="C291" s="87" t="s">
        <v>1424</v>
      </c>
      <c r="D291" s="84" t="s">
        <v>1807</v>
      </c>
      <c r="F291" s="85" t="s">
        <v>1807</v>
      </c>
      <c r="G291" s="85">
        <v>0.9</v>
      </c>
      <c r="H291" s="85"/>
      <c r="I291" s="85"/>
      <c r="J291" s="86"/>
      <c r="L291" s="85"/>
      <c r="M291" t="s">
        <v>1836</v>
      </c>
      <c r="N291" s="85">
        <v>0.8</v>
      </c>
      <c r="P291" s="86"/>
      <c r="R291" s="85"/>
      <c r="Y291" s="85"/>
      <c r="Z291" s="85"/>
      <c r="AA291" s="85"/>
      <c r="AB291" s="85"/>
      <c r="AE291" s="85"/>
      <c r="AG291" s="85"/>
      <c r="AI291" s="85"/>
      <c r="AK291" s="86"/>
    </row>
    <row r="292" spans="1:37">
      <c r="A292" s="84" t="s">
        <v>1246</v>
      </c>
      <c r="B292" t="s">
        <v>1384</v>
      </c>
      <c r="C292" s="87" t="s">
        <v>1417</v>
      </c>
      <c r="D292" s="84" t="s">
        <v>1806</v>
      </c>
      <c r="F292" s="85">
        <v>0.1</v>
      </c>
      <c r="G292" s="85">
        <v>0.9</v>
      </c>
      <c r="H292" s="85"/>
      <c r="I292" s="85"/>
      <c r="J292" s="86"/>
      <c r="K292" s="84" t="s">
        <v>1809</v>
      </c>
      <c r="L292" s="85">
        <v>0.2</v>
      </c>
      <c r="N292" s="85"/>
      <c r="P292" s="86"/>
      <c r="Q292" s="84">
        <v>0</v>
      </c>
      <c r="R292" s="85"/>
      <c r="Y292" s="85"/>
      <c r="Z292" s="85"/>
      <c r="AA292" s="85"/>
      <c r="AB292" s="85"/>
      <c r="AE292" s="85"/>
      <c r="AG292" s="85"/>
      <c r="AI292" s="85"/>
      <c r="AK292" s="86"/>
    </row>
    <row r="293" spans="1:37">
      <c r="A293" s="84" t="s">
        <v>1795</v>
      </c>
      <c r="D293" s="84" t="s">
        <v>1806</v>
      </c>
      <c r="F293" s="103"/>
      <c r="G293" s="103"/>
      <c r="H293" s="103"/>
      <c r="I293" s="103"/>
      <c r="R293" s="85"/>
      <c r="Z293" s="85"/>
      <c r="AA293" s="85"/>
      <c r="AB293" s="85"/>
      <c r="AE293" s="85"/>
      <c r="AG293" s="85"/>
      <c r="AI293" s="85"/>
      <c r="AK293" s="86"/>
    </row>
    <row r="294" spans="1:37">
      <c r="A294" s="84" t="s">
        <v>1108</v>
      </c>
      <c r="B294" t="s">
        <v>36</v>
      </c>
      <c r="C294" s="87" t="s">
        <v>1395</v>
      </c>
      <c r="D294" s="84" t="s">
        <v>1807</v>
      </c>
      <c r="F294" s="85" t="s">
        <v>1807</v>
      </c>
      <c r="G294" s="85">
        <v>1</v>
      </c>
      <c r="H294" s="85"/>
      <c r="I294" s="85"/>
      <c r="J294" s="86"/>
      <c r="L294" s="85"/>
      <c r="N294" s="85"/>
      <c r="P294" s="86"/>
      <c r="R294" s="85"/>
      <c r="Y294" s="85"/>
      <c r="Z294" s="85">
        <v>0.5</v>
      </c>
      <c r="AA294" s="85"/>
      <c r="AB294" s="85"/>
      <c r="AE294" s="85"/>
      <c r="AG294" s="85"/>
      <c r="AI294" s="85"/>
      <c r="AK294" s="86"/>
    </row>
    <row r="295" spans="1:37">
      <c r="A295" s="84" t="s">
        <v>1370</v>
      </c>
      <c r="B295" t="s">
        <v>1380</v>
      </c>
      <c r="C295" s="87" t="s">
        <v>1404</v>
      </c>
      <c r="D295" s="84" t="s">
        <v>1806</v>
      </c>
      <c r="E295">
        <v>0.5</v>
      </c>
      <c r="F295" s="85">
        <v>0.1</v>
      </c>
      <c r="G295" s="85">
        <v>0.7</v>
      </c>
      <c r="H295" s="85"/>
      <c r="I295" s="85"/>
      <c r="J295" s="86"/>
      <c r="L295" s="85"/>
      <c r="N295" s="85"/>
      <c r="P295" s="86"/>
      <c r="R295" s="85"/>
      <c r="Y295" s="85"/>
      <c r="Z295" s="85"/>
      <c r="AA295" s="85"/>
      <c r="AB295" s="85"/>
      <c r="AE295" s="85"/>
      <c r="AG295" s="85"/>
      <c r="AI295" s="85"/>
      <c r="AK295" s="86"/>
    </row>
    <row r="296" spans="1:37">
      <c r="A296" s="84" t="s">
        <v>2060</v>
      </c>
      <c r="D296" s="84" t="s">
        <v>1807</v>
      </c>
      <c r="F296" s="103"/>
      <c r="G296" s="103"/>
      <c r="H296" s="103"/>
      <c r="I296" s="103"/>
      <c r="R296" s="85"/>
      <c r="Z296" s="85"/>
      <c r="AA296" s="85"/>
      <c r="AB296" s="85"/>
      <c r="AE296" s="85"/>
      <c r="AG296" s="85"/>
      <c r="AI296" s="85"/>
      <c r="AK296" s="86"/>
    </row>
    <row r="297" spans="1:37">
      <c r="A297" s="84" t="s">
        <v>2056</v>
      </c>
      <c r="D297" s="84" t="s">
        <v>1807</v>
      </c>
      <c r="F297" s="103"/>
      <c r="G297" s="103"/>
      <c r="H297" s="103"/>
      <c r="I297" s="103"/>
      <c r="R297" s="85"/>
      <c r="Z297" s="85"/>
      <c r="AA297" s="85"/>
      <c r="AB297" s="85"/>
      <c r="AE297" s="85"/>
      <c r="AG297" s="85"/>
      <c r="AI297" s="85"/>
      <c r="AK297" s="86"/>
    </row>
    <row r="298" spans="1:37">
      <c r="A298" s="84" t="s">
        <v>1612</v>
      </c>
      <c r="B298" t="s">
        <v>36</v>
      </c>
      <c r="C298" s="87" t="s">
        <v>1616</v>
      </c>
      <c r="D298" s="84" t="s">
        <v>1807</v>
      </c>
      <c r="F298" s="85" t="s">
        <v>1807</v>
      </c>
      <c r="G298" s="85">
        <v>1</v>
      </c>
      <c r="H298" s="85"/>
      <c r="I298" s="85"/>
      <c r="J298" s="86"/>
      <c r="L298" s="85"/>
      <c r="N298" s="85"/>
      <c r="P298" s="86"/>
      <c r="R298" s="85"/>
      <c r="W298">
        <v>2</v>
      </c>
      <c r="Y298" s="85"/>
      <c r="Z298" s="85"/>
      <c r="AA298" s="85"/>
      <c r="AB298" s="85"/>
      <c r="AE298" s="85"/>
      <c r="AG298" s="85"/>
      <c r="AI298" s="85"/>
      <c r="AK298" s="86"/>
    </row>
    <row r="299" spans="1:37">
      <c r="A299" s="84" t="s">
        <v>1359</v>
      </c>
      <c r="B299" t="s">
        <v>1379</v>
      </c>
      <c r="C299" s="87" t="s">
        <v>1415</v>
      </c>
      <c r="D299" s="84" t="s">
        <v>1806</v>
      </c>
      <c r="F299" s="85"/>
      <c r="G299" s="85"/>
      <c r="H299" s="85"/>
      <c r="I299" s="85"/>
      <c r="J299" s="86"/>
      <c r="L299" s="85"/>
      <c r="N299" s="85"/>
      <c r="P299" s="86"/>
      <c r="R299" s="85"/>
      <c r="Y299" s="85"/>
      <c r="Z299" s="85"/>
      <c r="AA299" s="85"/>
      <c r="AB299" s="85"/>
      <c r="AE299" s="85"/>
      <c r="AG299" s="85"/>
      <c r="AI299" s="85"/>
      <c r="AK299" s="86"/>
    </row>
    <row r="300" spans="1:37">
      <c r="A300" s="84" t="s">
        <v>1731</v>
      </c>
      <c r="B300" t="s">
        <v>1388</v>
      </c>
      <c r="C300" s="87" t="s">
        <v>1395</v>
      </c>
      <c r="D300" s="84" t="s">
        <v>1807</v>
      </c>
      <c r="F300" s="85"/>
      <c r="G300" s="85"/>
      <c r="H300" s="85"/>
      <c r="I300" s="85"/>
      <c r="J300" s="86"/>
      <c r="L300" s="85"/>
      <c r="N300" s="85"/>
      <c r="P300" s="86"/>
      <c r="R300" s="85"/>
      <c r="Y300" s="85"/>
      <c r="Z300" s="85"/>
      <c r="AA300" s="85"/>
      <c r="AB300" s="85"/>
      <c r="AE300" s="85"/>
      <c r="AG300" s="85"/>
      <c r="AI300" s="85"/>
      <c r="AK300" s="86"/>
    </row>
    <row r="301" spans="1:37">
      <c r="A301" s="84" t="s">
        <v>2079</v>
      </c>
      <c r="D301" s="84" t="s">
        <v>1807</v>
      </c>
      <c r="F301" s="103"/>
      <c r="G301" s="103"/>
      <c r="H301" s="103"/>
      <c r="I301" s="103"/>
      <c r="R301" s="85"/>
      <c r="Z301" s="85"/>
      <c r="AA301" s="85"/>
      <c r="AB301" s="85"/>
      <c r="AE301" s="85"/>
      <c r="AG301" s="85"/>
      <c r="AI301" s="85"/>
      <c r="AK301" s="86"/>
    </row>
    <row r="302" spans="1:37">
      <c r="A302" s="84" t="s">
        <v>1737</v>
      </c>
      <c r="D302" s="84" t="s">
        <v>1806</v>
      </c>
      <c r="F302" s="103"/>
      <c r="G302" s="103"/>
      <c r="H302" s="103"/>
      <c r="I302" s="103"/>
      <c r="R302" s="85"/>
      <c r="Z302" s="85"/>
      <c r="AA302" s="85"/>
      <c r="AB302" s="85"/>
      <c r="AE302" s="85"/>
      <c r="AG302" s="85"/>
      <c r="AI302" s="85"/>
      <c r="AK302" s="86"/>
    </row>
    <row r="303" spans="1:37">
      <c r="A303" s="84" t="s">
        <v>1317</v>
      </c>
      <c r="B303" t="s">
        <v>1390</v>
      </c>
      <c r="C303" s="87" t="s">
        <v>1410</v>
      </c>
      <c r="D303" s="84" t="s">
        <v>1806</v>
      </c>
      <c r="F303" s="85"/>
      <c r="G303" s="85"/>
      <c r="H303" s="85"/>
      <c r="I303" s="85"/>
      <c r="J303" s="86"/>
      <c r="L303" s="85"/>
      <c r="N303" s="85"/>
      <c r="P303" s="86"/>
      <c r="R303" s="85"/>
      <c r="Y303" s="85"/>
      <c r="Z303" s="85"/>
      <c r="AA303" s="85"/>
      <c r="AB303" s="85"/>
      <c r="AE303" s="85"/>
      <c r="AG303" s="85"/>
      <c r="AI303" s="85"/>
      <c r="AK303" s="86"/>
    </row>
    <row r="304" spans="1:37">
      <c r="A304" s="84" t="s">
        <v>1636</v>
      </c>
      <c r="D304" s="84" t="s">
        <v>1806</v>
      </c>
      <c r="F304" s="103"/>
      <c r="G304" s="103"/>
      <c r="H304" s="103"/>
      <c r="I304" s="103"/>
      <c r="R304" s="85"/>
      <c r="Z304" s="85"/>
      <c r="AA304" s="85"/>
      <c r="AB304" s="85"/>
      <c r="AE304" s="85"/>
      <c r="AG304" s="85"/>
      <c r="AI304" s="85"/>
      <c r="AK304" s="86"/>
    </row>
    <row r="305" spans="1:37">
      <c r="A305" s="84" t="s">
        <v>1614</v>
      </c>
      <c r="B305" t="s">
        <v>36</v>
      </c>
      <c r="C305" s="87" t="s">
        <v>1950</v>
      </c>
      <c r="D305" s="84" t="s">
        <v>1807</v>
      </c>
      <c r="F305" s="85" t="s">
        <v>1807</v>
      </c>
      <c r="G305" s="85">
        <v>1</v>
      </c>
      <c r="H305" s="85"/>
      <c r="I305" s="85"/>
      <c r="J305" s="86"/>
      <c r="L305" s="85"/>
      <c r="N305" s="85"/>
      <c r="P305" s="86"/>
      <c r="R305" s="85"/>
      <c r="Y305" s="85"/>
      <c r="Z305" s="85"/>
      <c r="AA305" s="85"/>
      <c r="AB305" s="85"/>
      <c r="AD305">
        <v>3</v>
      </c>
      <c r="AE305" s="85">
        <v>1</v>
      </c>
      <c r="AF305">
        <v>3</v>
      </c>
      <c r="AG305" s="85">
        <v>1</v>
      </c>
      <c r="AH305">
        <v>-4</v>
      </c>
      <c r="AI305" s="85">
        <v>1</v>
      </c>
      <c r="AK305" s="86"/>
    </row>
    <row r="306" spans="1:37">
      <c r="A306" s="84" t="s">
        <v>1080</v>
      </c>
      <c r="B306" t="s">
        <v>36</v>
      </c>
      <c r="C306" s="98" t="s">
        <v>1689</v>
      </c>
      <c r="D306" s="84" t="s">
        <v>1806</v>
      </c>
      <c r="F306" s="85"/>
      <c r="G306" s="85"/>
      <c r="H306" s="85"/>
      <c r="I306" s="85"/>
      <c r="J306" s="86"/>
      <c r="L306" s="85"/>
      <c r="N306" s="85"/>
      <c r="P306" s="86"/>
      <c r="R306" s="85"/>
      <c r="Y306" s="85"/>
      <c r="Z306" s="85"/>
      <c r="AA306" s="85"/>
      <c r="AB306" s="85"/>
      <c r="AE306" s="85"/>
      <c r="AG306" s="85"/>
      <c r="AI306" s="85"/>
      <c r="AK306" s="86"/>
    </row>
    <row r="307" spans="1:37">
      <c r="A307" s="84" t="s">
        <v>1283</v>
      </c>
      <c r="B307" t="s">
        <v>1387</v>
      </c>
      <c r="C307" s="87" t="s">
        <v>1411</v>
      </c>
      <c r="D307" s="84" t="s">
        <v>1806</v>
      </c>
      <c r="F307" s="85">
        <v>0.1</v>
      </c>
      <c r="G307" s="85">
        <v>0.9</v>
      </c>
      <c r="H307" s="85"/>
      <c r="I307" s="85"/>
      <c r="J307" s="86"/>
      <c r="K307" s="84" t="s">
        <v>1810</v>
      </c>
      <c r="L307" s="85">
        <v>0.1</v>
      </c>
      <c r="N307" s="85"/>
      <c r="P307" s="86"/>
      <c r="R307" s="85"/>
      <c r="Y307" s="85"/>
      <c r="Z307" s="85"/>
      <c r="AA307" s="85"/>
      <c r="AB307" s="85"/>
      <c r="AE307" s="85"/>
      <c r="AG307" s="85"/>
      <c r="AI307" s="85"/>
      <c r="AK307" s="86"/>
    </row>
    <row r="308" spans="1:37">
      <c r="A308" s="84" t="s">
        <v>964</v>
      </c>
      <c r="D308" s="84" t="s">
        <v>1807</v>
      </c>
      <c r="F308" s="103"/>
      <c r="G308" s="103"/>
      <c r="H308" s="103"/>
      <c r="I308" s="103"/>
      <c r="R308" s="85"/>
      <c r="Z308" s="85"/>
      <c r="AA308" s="85"/>
      <c r="AB308" s="85"/>
      <c r="AE308" s="85"/>
      <c r="AG308" s="85"/>
      <c r="AI308" s="85"/>
      <c r="AK308" s="86"/>
    </row>
    <row r="309" spans="1:37">
      <c r="A309" s="84" t="s">
        <v>1393</v>
      </c>
      <c r="B309" t="s">
        <v>36</v>
      </c>
      <c r="C309" s="98" t="s">
        <v>1396</v>
      </c>
      <c r="D309" s="84" t="s">
        <v>1807</v>
      </c>
      <c r="F309" s="85" t="s">
        <v>1807</v>
      </c>
      <c r="G309" s="85">
        <v>1</v>
      </c>
      <c r="H309" s="85"/>
      <c r="I309" s="85"/>
      <c r="J309" s="86"/>
      <c r="L309" s="85"/>
      <c r="N309" s="85"/>
      <c r="P309" s="86"/>
      <c r="R309" s="85"/>
      <c r="Y309" s="85"/>
      <c r="Z309" s="85"/>
      <c r="AA309" s="85"/>
      <c r="AB309" s="85"/>
      <c r="AE309" s="85"/>
      <c r="AG309" s="85"/>
      <c r="AI309" s="85"/>
      <c r="AK309" s="86"/>
    </row>
    <row r="310" spans="1:37">
      <c r="A310" s="84" t="s">
        <v>2048</v>
      </c>
      <c r="D310" s="84" t="s">
        <v>1807</v>
      </c>
      <c r="F310" s="103"/>
      <c r="G310" s="103"/>
      <c r="H310" s="103"/>
      <c r="I310" s="103"/>
      <c r="R310" s="85"/>
      <c r="Z310" s="85"/>
      <c r="AA310" s="85"/>
      <c r="AB310" s="85"/>
      <c r="AE310" s="85"/>
      <c r="AG310" s="85"/>
      <c r="AI310" s="85"/>
      <c r="AK310" s="86"/>
    </row>
    <row r="311" spans="1:37">
      <c r="A311" s="84" t="s">
        <v>1685</v>
      </c>
      <c r="B311" t="s">
        <v>1083</v>
      </c>
      <c r="C311" s="98" t="s">
        <v>1696</v>
      </c>
      <c r="D311" s="84" t="s">
        <v>1806</v>
      </c>
      <c r="F311" s="85">
        <v>0.1</v>
      </c>
      <c r="G311" s="85">
        <v>0.9</v>
      </c>
      <c r="H311" s="85"/>
      <c r="I311" s="85"/>
      <c r="J311" s="86"/>
      <c r="L311" s="85"/>
      <c r="N311" s="85"/>
      <c r="P311" s="86"/>
      <c r="R311" s="85"/>
      <c r="Y311" s="85"/>
      <c r="Z311" s="85"/>
      <c r="AA311" s="85"/>
      <c r="AB311" s="85"/>
      <c r="AE311" s="85"/>
      <c r="AG311" s="85"/>
      <c r="AI311" s="85"/>
      <c r="AK311" s="86"/>
    </row>
    <row r="312" spans="1:37">
      <c r="A312" s="84" t="s">
        <v>2088</v>
      </c>
      <c r="D312" s="84" t="s">
        <v>1807</v>
      </c>
      <c r="F312" s="103"/>
      <c r="G312" s="103"/>
      <c r="H312" s="103"/>
      <c r="I312" s="103"/>
      <c r="R312" s="85"/>
      <c r="Z312" s="85"/>
      <c r="AA312" s="85"/>
      <c r="AB312" s="85"/>
      <c r="AE312" s="85"/>
      <c r="AG312" s="85"/>
      <c r="AI312" s="85"/>
      <c r="AK312" s="86"/>
    </row>
    <row r="313" spans="1:37">
      <c r="A313" s="84" t="s">
        <v>1711</v>
      </c>
      <c r="D313" s="84" t="s">
        <v>1806</v>
      </c>
      <c r="F313" s="103"/>
      <c r="G313" s="103"/>
      <c r="H313" s="103"/>
      <c r="I313" s="103"/>
      <c r="R313" s="85"/>
      <c r="Z313" s="85"/>
      <c r="AA313" s="85"/>
      <c r="AB313" s="85"/>
      <c r="AE313" s="85"/>
      <c r="AG313" s="85"/>
      <c r="AI313" s="85"/>
      <c r="AK313" s="86"/>
    </row>
    <row r="314" spans="1:37">
      <c r="A314" s="84" t="s">
        <v>1712</v>
      </c>
      <c r="D314" s="84" t="s">
        <v>1807</v>
      </c>
      <c r="F314" s="103"/>
      <c r="G314" s="103"/>
      <c r="H314" s="103"/>
      <c r="I314" s="103"/>
      <c r="R314" s="85"/>
      <c r="Z314" s="85"/>
      <c r="AA314" s="85"/>
      <c r="AB314" s="85"/>
      <c r="AE314" s="85"/>
      <c r="AG314" s="85"/>
      <c r="AI314" s="85"/>
      <c r="AK314" s="86"/>
    </row>
    <row r="315" spans="1:37">
      <c r="A315" s="84" t="s">
        <v>1758</v>
      </c>
      <c r="D315" s="84" t="s">
        <v>1806</v>
      </c>
      <c r="F315" s="103"/>
      <c r="G315" s="103"/>
      <c r="H315" s="103"/>
      <c r="I315" s="103"/>
      <c r="R315" s="85"/>
      <c r="Z315" s="85"/>
      <c r="AA315" s="85"/>
      <c r="AB315" s="85"/>
      <c r="AE315" s="85"/>
      <c r="AG315" s="85"/>
      <c r="AI315" s="85"/>
      <c r="AK315" s="86"/>
    </row>
    <row r="316" spans="1:37">
      <c r="A316" s="84" t="s">
        <v>1008</v>
      </c>
      <c r="B316" t="s">
        <v>1380</v>
      </c>
      <c r="C316" s="87" t="s">
        <v>1485</v>
      </c>
      <c r="D316" s="84" t="s">
        <v>1807</v>
      </c>
      <c r="F316" s="85" t="s">
        <v>1807</v>
      </c>
      <c r="G316" s="85">
        <v>0.7</v>
      </c>
      <c r="H316" s="85"/>
      <c r="I316" s="85"/>
      <c r="J316" s="86"/>
      <c r="K316" s="84" t="s">
        <v>1813</v>
      </c>
      <c r="L316" s="85">
        <v>0.7</v>
      </c>
      <c r="N316" s="85"/>
      <c r="P316" s="86"/>
      <c r="R316" s="85"/>
      <c r="Y316" s="85"/>
      <c r="Z316" s="85"/>
      <c r="AA316" s="85"/>
      <c r="AB316" s="85"/>
      <c r="AE316" s="85"/>
      <c r="AG316" s="85"/>
      <c r="AI316" s="85"/>
      <c r="AK316" s="86"/>
    </row>
    <row r="317" spans="1:37">
      <c r="A317" s="84" t="s">
        <v>985</v>
      </c>
      <c r="D317" s="84" t="s">
        <v>1806</v>
      </c>
      <c r="F317" s="103"/>
      <c r="G317" s="103"/>
      <c r="H317" s="103"/>
      <c r="I317" s="103"/>
      <c r="Z317" s="85"/>
      <c r="AA317" s="85"/>
      <c r="AB317" s="85"/>
      <c r="AE317" s="85"/>
      <c r="AG317" s="85"/>
      <c r="AI317" s="85"/>
      <c r="AK317" s="86"/>
    </row>
    <row r="318" spans="1:37">
      <c r="A318" s="84" t="s">
        <v>1052</v>
      </c>
      <c r="B318" t="s">
        <v>36</v>
      </c>
      <c r="C318" s="98" t="s">
        <v>1405</v>
      </c>
      <c r="D318" s="84" t="s">
        <v>1806</v>
      </c>
      <c r="F318" s="85"/>
      <c r="G318" s="85"/>
      <c r="H318" s="85"/>
      <c r="I318" s="85"/>
      <c r="J318" s="86"/>
      <c r="L318" s="85"/>
      <c r="N318" s="85"/>
      <c r="P318" s="86"/>
      <c r="R318" s="85"/>
      <c r="Y318" s="85"/>
      <c r="Z318" s="85"/>
      <c r="AA318" s="85"/>
      <c r="AB318" s="85"/>
      <c r="AE318" s="85"/>
      <c r="AG318" s="85"/>
      <c r="AI318" s="85"/>
      <c r="AK318" s="86"/>
    </row>
    <row r="319" spans="1:37">
      <c r="A319" s="84" t="s">
        <v>1262</v>
      </c>
      <c r="B319" t="s">
        <v>36</v>
      </c>
      <c r="C319" s="87" t="s">
        <v>1424</v>
      </c>
      <c r="D319" s="84" t="s">
        <v>1807</v>
      </c>
      <c r="F319" s="85" t="s">
        <v>1807</v>
      </c>
      <c r="G319" s="85">
        <v>0.6</v>
      </c>
      <c r="H319" s="85"/>
      <c r="I319" s="85"/>
      <c r="J319" s="86"/>
      <c r="L319" s="85"/>
      <c r="M319" t="s">
        <v>1836</v>
      </c>
      <c r="N319" s="85">
        <v>0.6</v>
      </c>
      <c r="P319" s="86"/>
      <c r="R319" s="85"/>
      <c r="Y319" s="85"/>
      <c r="Z319" s="85"/>
      <c r="AA319" s="85"/>
      <c r="AB319" s="85"/>
      <c r="AE319" s="85"/>
      <c r="AG319" s="85"/>
      <c r="AI319" s="85"/>
      <c r="AK319" s="86"/>
    </row>
    <row r="320" spans="1:37">
      <c r="A320" s="84" t="s">
        <v>1276</v>
      </c>
      <c r="B320" t="s">
        <v>772</v>
      </c>
      <c r="C320" s="93" t="s">
        <v>1109</v>
      </c>
      <c r="D320" s="84" t="s">
        <v>1806</v>
      </c>
      <c r="F320" s="85">
        <v>0.1</v>
      </c>
      <c r="G320" s="85">
        <v>1</v>
      </c>
      <c r="H320" s="85"/>
      <c r="I320" s="85"/>
      <c r="J320" s="86"/>
      <c r="L320" s="85"/>
      <c r="N320" s="85"/>
      <c r="P320" s="86"/>
      <c r="Q320" s="84">
        <v>0</v>
      </c>
      <c r="R320" s="85"/>
      <c r="Y320" s="85"/>
      <c r="Z320" s="85"/>
      <c r="AA320" s="85"/>
      <c r="AB320" s="85"/>
      <c r="AE320" s="85"/>
      <c r="AG320" s="85"/>
      <c r="AI320" s="85"/>
      <c r="AK320" s="86"/>
    </row>
    <row r="321" spans="1:37">
      <c r="A321" s="84" t="s">
        <v>1611</v>
      </c>
      <c r="D321" s="84" t="s">
        <v>1806</v>
      </c>
      <c r="F321" s="103"/>
      <c r="G321" s="103"/>
      <c r="H321" s="103"/>
      <c r="I321" s="103"/>
      <c r="Z321" s="85"/>
      <c r="AA321" s="85"/>
      <c r="AB321" s="85"/>
      <c r="AE321" s="85"/>
      <c r="AG321" s="85"/>
      <c r="AI321" s="85"/>
      <c r="AK321" s="86"/>
    </row>
    <row r="322" spans="1:37">
      <c r="A322" s="84" t="s">
        <v>1293</v>
      </c>
      <c r="B322" t="s">
        <v>1055</v>
      </c>
      <c r="C322" s="87" t="s">
        <v>1410</v>
      </c>
      <c r="D322" s="84" t="s">
        <v>1806</v>
      </c>
      <c r="F322" s="85">
        <v>0.3</v>
      </c>
      <c r="G322" s="85">
        <v>0.8</v>
      </c>
      <c r="H322" s="85"/>
      <c r="I322" s="85"/>
      <c r="J322" s="86"/>
      <c r="L322" s="85"/>
      <c r="N322" s="85"/>
      <c r="P322" s="86"/>
      <c r="R322" s="85"/>
      <c r="Y322" s="85"/>
      <c r="Z322" s="85"/>
      <c r="AA322" s="85"/>
      <c r="AB322" s="85"/>
      <c r="AE322" s="85"/>
      <c r="AG322" s="85"/>
      <c r="AI322" s="85"/>
      <c r="AK322" s="86"/>
    </row>
    <row r="323" spans="1:37">
      <c r="A323" s="84" t="s">
        <v>1767</v>
      </c>
      <c r="D323" s="84" t="s">
        <v>1806</v>
      </c>
      <c r="F323" s="103"/>
      <c r="G323" s="103"/>
      <c r="H323" s="103"/>
      <c r="I323" s="103"/>
      <c r="Z323" s="85"/>
      <c r="AA323" s="85"/>
      <c r="AB323" s="85"/>
      <c r="AE323" s="85"/>
      <c r="AG323" s="85"/>
      <c r="AI323" s="85"/>
      <c r="AK323" s="86"/>
    </row>
    <row r="324" spans="1:37">
      <c r="A324" s="84" t="s">
        <v>1623</v>
      </c>
      <c r="B324" t="s">
        <v>1232</v>
      </c>
      <c r="C324" s="93" t="s">
        <v>1109</v>
      </c>
      <c r="D324" s="84" t="s">
        <v>1806</v>
      </c>
      <c r="F324" s="85"/>
      <c r="G324" s="85"/>
      <c r="H324" s="85"/>
      <c r="I324" s="85"/>
      <c r="J324" s="86"/>
      <c r="L324" s="85"/>
      <c r="N324" s="85"/>
      <c r="P324" s="86"/>
      <c r="R324" s="85"/>
      <c r="Y324" s="85"/>
      <c r="Z324" s="85"/>
      <c r="AA324" s="85"/>
      <c r="AB324" s="85"/>
      <c r="AE324" s="85"/>
      <c r="AG324" s="85"/>
      <c r="AI324" s="85"/>
      <c r="AK324" s="86"/>
    </row>
    <row r="325" spans="1:37">
      <c r="A325" s="84" t="s">
        <v>1606</v>
      </c>
      <c r="B325" t="s">
        <v>36</v>
      </c>
      <c r="C325" s="98" t="s">
        <v>1703</v>
      </c>
      <c r="D325" s="84" t="s">
        <v>1807</v>
      </c>
      <c r="F325" s="85" t="s">
        <v>1807</v>
      </c>
      <c r="G325" s="85">
        <v>1</v>
      </c>
      <c r="H325" s="85"/>
      <c r="I325" s="85"/>
      <c r="J325" s="86"/>
      <c r="L325" s="85"/>
      <c r="N325" s="85"/>
      <c r="P325" s="86"/>
      <c r="R325" s="85"/>
      <c r="Y325" s="85"/>
      <c r="Z325" s="85"/>
      <c r="AA325" s="85"/>
      <c r="AB325" s="85"/>
      <c r="AE325" s="85"/>
      <c r="AG325" s="85"/>
      <c r="AI325" s="85"/>
      <c r="AK325" s="86"/>
    </row>
    <row r="326" spans="1:37">
      <c r="A326" s="84" t="s">
        <v>1574</v>
      </c>
      <c r="D326" s="84" t="s">
        <v>1806</v>
      </c>
      <c r="F326" s="103"/>
      <c r="G326" s="103"/>
      <c r="H326" s="103"/>
      <c r="I326" s="103"/>
      <c r="Z326" s="85"/>
      <c r="AA326" s="85"/>
      <c r="AB326" s="85"/>
      <c r="AE326" s="85"/>
      <c r="AG326" s="85"/>
      <c r="AI326" s="85"/>
      <c r="AK326" s="86"/>
    </row>
    <row r="327" spans="1:37">
      <c r="A327" s="84" t="s">
        <v>1235</v>
      </c>
      <c r="B327" t="s">
        <v>1232</v>
      </c>
      <c r="C327" s="93" t="s">
        <v>1109</v>
      </c>
      <c r="D327" s="84" t="s">
        <v>1806</v>
      </c>
      <c r="F327" s="85"/>
      <c r="G327" s="85"/>
      <c r="H327" s="85"/>
      <c r="I327" s="85"/>
      <c r="J327" s="86"/>
      <c r="L327" s="85"/>
      <c r="N327" s="85"/>
      <c r="P327" s="86"/>
      <c r="R327" s="85"/>
      <c r="Y327" s="85"/>
      <c r="Z327" s="85"/>
      <c r="AA327" s="85"/>
      <c r="AB327" s="85"/>
      <c r="AE327" s="85"/>
      <c r="AG327" s="85"/>
      <c r="AI327" s="85"/>
      <c r="AK327" s="86"/>
    </row>
    <row r="328" spans="1:37">
      <c r="A328" s="84" t="s">
        <v>2087</v>
      </c>
      <c r="D328" s="84" t="s">
        <v>1806</v>
      </c>
      <c r="F328" s="103"/>
      <c r="G328" s="103"/>
      <c r="H328" s="103"/>
      <c r="I328" s="103"/>
      <c r="Z328" s="85"/>
      <c r="AA328" s="85"/>
      <c r="AB328" s="85"/>
      <c r="AE328" s="85"/>
      <c r="AG328" s="85"/>
      <c r="AI328" s="85"/>
      <c r="AK328" s="86"/>
    </row>
    <row r="329" spans="1:37">
      <c r="A329" s="84" t="s">
        <v>1241</v>
      </c>
      <c r="B329" t="s">
        <v>1232</v>
      </c>
      <c r="C329" s="93" t="s">
        <v>1109</v>
      </c>
      <c r="D329" s="84" t="s">
        <v>1806</v>
      </c>
      <c r="F329" s="85"/>
      <c r="G329" s="85"/>
      <c r="H329" s="85"/>
      <c r="I329" s="85"/>
      <c r="J329" s="86"/>
      <c r="L329" s="85"/>
      <c r="N329" s="85"/>
      <c r="P329" s="86"/>
      <c r="R329" s="85"/>
      <c r="Y329" s="85"/>
      <c r="Z329" s="85"/>
      <c r="AA329" s="85"/>
      <c r="AB329" s="85"/>
      <c r="AE329" s="85"/>
      <c r="AG329" s="85"/>
      <c r="AI329" s="85"/>
      <c r="AK329" s="86"/>
    </row>
    <row r="330" spans="1:37">
      <c r="A330" s="84" t="s">
        <v>1332</v>
      </c>
      <c r="B330" t="s">
        <v>1385</v>
      </c>
      <c r="C330" s="87" t="s">
        <v>1410</v>
      </c>
      <c r="D330" s="84" t="s">
        <v>1806</v>
      </c>
      <c r="F330" s="103">
        <v>0.3</v>
      </c>
      <c r="G330" s="103">
        <v>0.9</v>
      </c>
      <c r="H330" s="103"/>
      <c r="I330" s="103"/>
      <c r="J330" s="86"/>
      <c r="L330" s="85"/>
      <c r="N330" s="85"/>
      <c r="P330" s="86"/>
      <c r="Q330" s="84">
        <v>0</v>
      </c>
      <c r="R330" s="85"/>
      <c r="Y330" s="85"/>
      <c r="Z330" s="85"/>
      <c r="AA330" s="85"/>
      <c r="AB330" s="85"/>
      <c r="AE330" s="85"/>
      <c r="AG330" s="85"/>
      <c r="AI330" s="85"/>
      <c r="AK330" s="86"/>
    </row>
    <row r="331" spans="1:37">
      <c r="A331" s="84" t="s">
        <v>2062</v>
      </c>
      <c r="D331" s="84" t="s">
        <v>1806</v>
      </c>
      <c r="F331" s="103"/>
      <c r="G331" s="103"/>
      <c r="H331" s="103"/>
      <c r="I331" s="103"/>
      <c r="Z331" s="85"/>
      <c r="AA331" s="85"/>
      <c r="AB331" s="85"/>
      <c r="AE331" s="85"/>
      <c r="AG331" s="85"/>
      <c r="AI331" s="85"/>
      <c r="AK331" s="86"/>
    </row>
    <row r="332" spans="1:37">
      <c r="A332" s="84" t="s">
        <v>2064</v>
      </c>
      <c r="D332" s="84" t="s">
        <v>1806</v>
      </c>
      <c r="F332" s="103"/>
      <c r="G332" s="103"/>
      <c r="H332" s="103"/>
      <c r="I332" s="103"/>
      <c r="Z332" s="85"/>
      <c r="AA332" s="85"/>
      <c r="AB332" s="85"/>
      <c r="AE332" s="85"/>
      <c r="AG332" s="85"/>
      <c r="AI332" s="85"/>
      <c r="AK332" s="86"/>
    </row>
    <row r="333" spans="1:37">
      <c r="A333" s="84" t="s">
        <v>2049</v>
      </c>
      <c r="D333" s="84" t="s">
        <v>1806</v>
      </c>
      <c r="F333" s="103"/>
      <c r="G333" s="103"/>
      <c r="H333" s="103"/>
      <c r="I333" s="103"/>
      <c r="Z333" s="85"/>
      <c r="AA333" s="85"/>
      <c r="AB333" s="85"/>
      <c r="AE333" s="85"/>
      <c r="AG333" s="85"/>
      <c r="AI333" s="85"/>
      <c r="AK333" s="86"/>
    </row>
    <row r="334" spans="1:37">
      <c r="A334" s="84" t="s">
        <v>1045</v>
      </c>
      <c r="B334" t="s">
        <v>1388</v>
      </c>
      <c r="C334" s="93" t="s">
        <v>1109</v>
      </c>
      <c r="D334" s="84" t="s">
        <v>1806</v>
      </c>
      <c r="F334" s="85"/>
      <c r="G334" s="85"/>
      <c r="H334" s="85"/>
      <c r="I334" s="85"/>
      <c r="J334" s="86"/>
      <c r="L334" s="85"/>
      <c r="N334" s="85"/>
      <c r="P334" s="86"/>
      <c r="R334" s="85"/>
      <c r="Y334" s="85"/>
      <c r="Z334" s="85"/>
      <c r="AA334" s="85"/>
      <c r="AB334" s="85"/>
      <c r="AE334" s="85"/>
      <c r="AG334" s="85"/>
      <c r="AI334" s="85"/>
      <c r="AK334" s="86"/>
    </row>
    <row r="335" spans="1:37">
      <c r="A335" s="84" t="s">
        <v>1575</v>
      </c>
      <c r="B335" t="s">
        <v>1379</v>
      </c>
      <c r="C335" s="87" t="s">
        <v>1576</v>
      </c>
      <c r="D335" s="84" t="s">
        <v>1807</v>
      </c>
      <c r="F335" s="85"/>
      <c r="G335" s="85"/>
      <c r="H335" s="85"/>
      <c r="I335" s="85"/>
      <c r="J335" s="86"/>
      <c r="L335" s="85"/>
      <c r="N335" s="85"/>
      <c r="P335" s="86"/>
      <c r="R335" s="85"/>
      <c r="Y335" s="85"/>
      <c r="Z335" s="85"/>
      <c r="AA335" s="85"/>
      <c r="AB335" s="85"/>
      <c r="AE335" s="85"/>
      <c r="AG335" s="85"/>
      <c r="AI335" s="85"/>
      <c r="AK335" s="86"/>
    </row>
    <row r="336" spans="1:37">
      <c r="A336" s="84" t="s">
        <v>1672</v>
      </c>
      <c r="B336" t="s">
        <v>1390</v>
      </c>
      <c r="C336" s="87" t="s">
        <v>1674</v>
      </c>
      <c r="D336" s="84" t="s">
        <v>1807</v>
      </c>
      <c r="F336" s="85"/>
      <c r="G336" s="85"/>
      <c r="H336" s="85"/>
      <c r="I336" s="85"/>
      <c r="J336" s="86"/>
      <c r="L336" s="85"/>
      <c r="N336" s="85"/>
      <c r="P336" s="86"/>
      <c r="R336" s="85"/>
      <c r="Y336" s="85"/>
      <c r="Z336" s="85"/>
      <c r="AA336" s="85"/>
      <c r="AB336" s="85"/>
      <c r="AE336" s="85"/>
      <c r="AG336" s="85"/>
      <c r="AI336" s="85"/>
      <c r="AK336" s="86"/>
    </row>
    <row r="337" spans="1:37">
      <c r="A337" s="84" t="s">
        <v>1320</v>
      </c>
      <c r="B337" t="s">
        <v>36</v>
      </c>
      <c r="C337" s="98" t="s">
        <v>1397</v>
      </c>
      <c r="D337" s="84" t="s">
        <v>1806</v>
      </c>
      <c r="F337" s="85">
        <v>0.1</v>
      </c>
      <c r="G337" s="85">
        <v>0.9</v>
      </c>
      <c r="H337" s="85"/>
      <c r="I337" s="85"/>
      <c r="J337" s="86"/>
      <c r="L337" s="85"/>
      <c r="N337" s="85"/>
      <c r="P337" s="86"/>
      <c r="R337" s="85"/>
      <c r="Y337" s="85"/>
      <c r="Z337" s="85"/>
      <c r="AA337" s="85"/>
      <c r="AB337" s="85"/>
      <c r="AE337" s="85"/>
      <c r="AG337" s="85"/>
      <c r="AI337" s="85"/>
      <c r="AK337" s="86"/>
    </row>
    <row r="338" spans="1:37">
      <c r="A338" s="84" t="s">
        <v>2068</v>
      </c>
      <c r="D338" s="84" t="s">
        <v>1806</v>
      </c>
      <c r="F338" s="103"/>
      <c r="G338" s="103"/>
      <c r="H338" s="103"/>
      <c r="I338" s="103"/>
      <c r="Z338" s="85"/>
      <c r="AA338" s="85"/>
      <c r="AB338" s="85"/>
      <c r="AE338" s="85"/>
      <c r="AG338" s="85"/>
      <c r="AI338" s="85"/>
      <c r="AK338" s="86"/>
    </row>
    <row r="339" spans="1:37">
      <c r="A339" s="84" t="s">
        <v>2066</v>
      </c>
      <c r="D339" s="84" t="s">
        <v>1806</v>
      </c>
      <c r="F339" s="103"/>
      <c r="G339" s="103"/>
      <c r="H339" s="103"/>
      <c r="I339" s="103"/>
      <c r="Z339" s="85"/>
      <c r="AA339" s="85"/>
      <c r="AB339" s="85"/>
      <c r="AE339" s="85"/>
      <c r="AG339" s="85"/>
      <c r="AI339" s="85"/>
      <c r="AK339" s="86"/>
    </row>
    <row r="340" spans="1:37">
      <c r="A340" s="84" t="s">
        <v>1330</v>
      </c>
      <c r="B340" t="s">
        <v>1383</v>
      </c>
      <c r="C340" s="93" t="s">
        <v>1432</v>
      </c>
      <c r="D340" s="84" t="s">
        <v>1806</v>
      </c>
      <c r="F340" s="85"/>
      <c r="G340" s="85"/>
      <c r="H340" s="85"/>
      <c r="I340" s="85"/>
      <c r="J340" s="86"/>
      <c r="L340" s="85"/>
      <c r="N340" s="85"/>
      <c r="P340" s="86"/>
      <c r="R340" s="85"/>
      <c r="Y340" s="85"/>
      <c r="Z340" s="85"/>
      <c r="AA340" s="85"/>
      <c r="AB340" s="85"/>
      <c r="AE340" s="85"/>
      <c r="AG340" s="85"/>
      <c r="AI340" s="85"/>
      <c r="AK340" s="86"/>
    </row>
    <row r="341" spans="1:37">
      <c r="A341" s="84" t="s">
        <v>1308</v>
      </c>
      <c r="B341" t="s">
        <v>1382</v>
      </c>
      <c r="C341" s="87" t="s">
        <v>1398</v>
      </c>
      <c r="D341" s="84" t="s">
        <v>1806</v>
      </c>
      <c r="F341" s="85">
        <v>0.1</v>
      </c>
      <c r="G341" s="85">
        <v>0.9</v>
      </c>
      <c r="H341" s="85"/>
      <c r="I341" s="85"/>
      <c r="J341" s="86"/>
      <c r="K341" s="84" t="s">
        <v>1811</v>
      </c>
      <c r="L341" s="85">
        <v>0.3</v>
      </c>
      <c r="N341" s="85"/>
      <c r="P341" s="86"/>
      <c r="Q341" s="84">
        <v>0</v>
      </c>
      <c r="R341" s="85"/>
      <c r="Y341" s="85"/>
      <c r="Z341" s="85"/>
      <c r="AA341" s="85"/>
      <c r="AB341" s="85"/>
      <c r="AE341" s="85"/>
      <c r="AG341" s="85"/>
      <c r="AI341" s="85"/>
      <c r="AK341" s="86"/>
    </row>
    <row r="342" spans="1:37">
      <c r="A342" s="84" t="s">
        <v>1245</v>
      </c>
      <c r="B342" t="s">
        <v>1390</v>
      </c>
      <c r="C342" s="93" t="s">
        <v>1406</v>
      </c>
      <c r="D342" s="84" t="s">
        <v>1806</v>
      </c>
      <c r="F342" s="85"/>
      <c r="G342" s="85"/>
      <c r="H342" s="85"/>
      <c r="I342" s="85"/>
      <c r="J342" s="86"/>
      <c r="L342" s="85"/>
      <c r="N342" s="85"/>
      <c r="P342" s="86"/>
      <c r="R342" s="85"/>
      <c r="Y342" s="85"/>
      <c r="Z342" s="85"/>
      <c r="AA342" s="85"/>
      <c r="AB342" s="85"/>
      <c r="AE342" s="85"/>
      <c r="AG342" s="85"/>
      <c r="AI342" s="85"/>
      <c r="AK342" s="86"/>
    </row>
    <row r="343" spans="1:37">
      <c r="A343" s="84" t="s">
        <v>2058</v>
      </c>
      <c r="D343" s="84" t="s">
        <v>1806</v>
      </c>
      <c r="F343" s="103"/>
      <c r="G343" s="103"/>
      <c r="H343" s="103"/>
      <c r="I343" s="103"/>
      <c r="Z343" s="85"/>
      <c r="AA343" s="85"/>
      <c r="AB343" s="85"/>
      <c r="AE343" s="85"/>
      <c r="AG343" s="85"/>
      <c r="AI343" s="85"/>
      <c r="AK343" s="86"/>
    </row>
    <row r="344" spans="1:37">
      <c r="A344" s="84" t="s">
        <v>1151</v>
      </c>
      <c r="B344" t="s">
        <v>36</v>
      </c>
      <c r="C344" s="87" t="s">
        <v>1428</v>
      </c>
      <c r="D344" s="84" t="s">
        <v>1806</v>
      </c>
      <c r="F344" s="85">
        <v>0.1</v>
      </c>
      <c r="G344" s="85">
        <v>1</v>
      </c>
      <c r="H344" s="85"/>
      <c r="I344" s="85"/>
      <c r="J344" s="86"/>
      <c r="L344" s="85"/>
      <c r="N344" s="85"/>
      <c r="P344" s="86"/>
      <c r="Q344" s="84">
        <v>3</v>
      </c>
      <c r="R344" s="85"/>
      <c r="Y344" s="85"/>
      <c r="Z344" s="85"/>
      <c r="AA344" s="85"/>
      <c r="AB344" s="85"/>
      <c r="AE344" s="85"/>
      <c r="AG344" s="85"/>
      <c r="AI344" s="85"/>
      <c r="AK344" s="86"/>
    </row>
    <row r="345" spans="1:37">
      <c r="A345" s="84" t="s">
        <v>1140</v>
      </c>
      <c r="D345" s="84" t="s">
        <v>1807</v>
      </c>
      <c r="F345" s="103"/>
      <c r="G345" s="103"/>
      <c r="H345" s="103"/>
      <c r="I345" s="103"/>
      <c r="Z345" s="85"/>
      <c r="AA345" s="85"/>
      <c r="AB345" s="85"/>
      <c r="AE345" s="85"/>
      <c r="AG345" s="85"/>
      <c r="AI345" s="85"/>
      <c r="AK345" s="86"/>
    </row>
    <row r="346" spans="1:37">
      <c r="A346" s="84" t="s">
        <v>1049</v>
      </c>
      <c r="B346" t="s">
        <v>1388</v>
      </c>
      <c r="C346" s="87" t="s">
        <v>1421</v>
      </c>
      <c r="D346" s="84" t="s">
        <v>1806</v>
      </c>
      <c r="F346" s="85"/>
      <c r="G346" s="85"/>
      <c r="H346" s="85"/>
      <c r="I346" s="85"/>
      <c r="J346" s="86"/>
      <c r="L346" s="85"/>
      <c r="N346" s="85"/>
      <c r="P346" s="86"/>
      <c r="R346" s="85"/>
      <c r="Y346" s="85"/>
      <c r="Z346" s="85"/>
      <c r="AA346" s="85"/>
      <c r="AB346" s="85"/>
      <c r="AE346" s="85"/>
      <c r="AG346" s="85"/>
      <c r="AI346" s="85"/>
      <c r="AK346" s="86"/>
    </row>
    <row r="347" spans="1:37">
      <c r="A347" s="84" t="s">
        <v>1664</v>
      </c>
      <c r="D347" s="84" t="s">
        <v>1806</v>
      </c>
      <c r="F347" s="103"/>
      <c r="G347" s="103"/>
      <c r="H347" s="103"/>
      <c r="I347" s="103"/>
      <c r="Z347" s="85"/>
      <c r="AA347" s="85"/>
      <c r="AB347" s="85"/>
      <c r="AE347" s="85"/>
      <c r="AG347" s="85"/>
      <c r="AI347" s="85"/>
      <c r="AK347" s="86"/>
    </row>
    <row r="348" spans="1:37">
      <c r="A348" s="84" t="s">
        <v>1657</v>
      </c>
      <c r="D348" s="84" t="s">
        <v>1806</v>
      </c>
      <c r="F348" s="103"/>
      <c r="G348" s="103"/>
      <c r="H348" s="103"/>
      <c r="I348" s="103"/>
      <c r="Z348" s="85"/>
      <c r="AA348" s="85"/>
      <c r="AB348" s="85"/>
      <c r="AE348" s="85"/>
      <c r="AG348" s="85"/>
      <c r="AI348" s="85"/>
      <c r="AK348" s="86"/>
    </row>
    <row r="349" spans="1:37">
      <c r="A349" s="84" t="s">
        <v>1020</v>
      </c>
      <c r="B349" t="s">
        <v>1384</v>
      </c>
      <c r="C349" s="87" t="s">
        <v>1945</v>
      </c>
      <c r="D349" s="84" t="s">
        <v>1806</v>
      </c>
      <c r="F349" s="85">
        <v>0.1</v>
      </c>
      <c r="G349" s="85">
        <v>0.9</v>
      </c>
      <c r="H349" s="85"/>
      <c r="I349" s="85"/>
      <c r="J349" s="86"/>
      <c r="K349" s="84" t="s">
        <v>1809</v>
      </c>
      <c r="L349" s="85">
        <v>0.3</v>
      </c>
      <c r="N349" s="85"/>
      <c r="P349" s="86"/>
      <c r="Q349" s="84">
        <v>0</v>
      </c>
      <c r="R349" s="85"/>
      <c r="Y349" s="85"/>
      <c r="Z349" s="85"/>
      <c r="AA349" s="85"/>
      <c r="AB349" s="85"/>
      <c r="AE349" s="85"/>
      <c r="AG349" s="85"/>
      <c r="AI349" s="85"/>
      <c r="AK349" s="86"/>
    </row>
    <row r="350" spans="1:37">
      <c r="A350" s="84" t="s">
        <v>1609</v>
      </c>
      <c r="D350" s="84" t="s">
        <v>1806</v>
      </c>
      <c r="F350" s="103"/>
      <c r="G350" s="103"/>
      <c r="H350" s="103"/>
      <c r="I350" s="103"/>
      <c r="Z350" s="85"/>
      <c r="AA350" s="85"/>
      <c r="AB350" s="85"/>
      <c r="AE350" s="85"/>
      <c r="AG350" s="85"/>
      <c r="AI350" s="85"/>
      <c r="AK350" s="86"/>
    </row>
    <row r="351" spans="1:37">
      <c r="A351" s="84" t="s">
        <v>2069</v>
      </c>
      <c r="D351" s="84" t="s">
        <v>1806</v>
      </c>
      <c r="F351" s="103"/>
      <c r="G351" s="103"/>
      <c r="H351" s="103"/>
      <c r="I351" s="103"/>
      <c r="Z351" s="85"/>
      <c r="AA351" s="85"/>
      <c r="AB351" s="85"/>
      <c r="AE351" s="85"/>
      <c r="AG351" s="85"/>
      <c r="AI351" s="85"/>
      <c r="AK351" s="86"/>
    </row>
    <row r="352" spans="1:37">
      <c r="A352" s="84" t="s">
        <v>1319</v>
      </c>
      <c r="B352" t="s">
        <v>1384</v>
      </c>
      <c r="C352" s="93" t="s">
        <v>1406</v>
      </c>
      <c r="D352" s="84" t="s">
        <v>1806</v>
      </c>
      <c r="F352" s="85">
        <v>0.1</v>
      </c>
      <c r="G352" s="85">
        <v>0.9</v>
      </c>
      <c r="H352" s="85"/>
      <c r="I352" s="85"/>
      <c r="J352" s="86"/>
      <c r="L352" s="85"/>
      <c r="N352" s="85"/>
      <c r="P352" s="86"/>
      <c r="Q352" s="84">
        <v>0</v>
      </c>
      <c r="R352" s="85"/>
      <c r="U352">
        <v>-1</v>
      </c>
      <c r="V352" s="85">
        <v>1</v>
      </c>
      <c r="Y352" s="85"/>
      <c r="Z352" s="85"/>
      <c r="AA352" s="85"/>
      <c r="AB352" s="85"/>
      <c r="AE352" s="85"/>
      <c r="AG352" s="85"/>
      <c r="AI352" s="85"/>
      <c r="AK352" s="86"/>
    </row>
    <row r="353" spans="1:37">
      <c r="A353" s="84" t="s">
        <v>2057</v>
      </c>
      <c r="D353" s="84" t="s">
        <v>1806</v>
      </c>
      <c r="F353" s="103"/>
      <c r="G353" s="103"/>
      <c r="H353" s="103"/>
      <c r="I353" s="103"/>
      <c r="Z353" s="85"/>
      <c r="AA353" s="85"/>
      <c r="AB353" s="85"/>
      <c r="AE353" s="85"/>
      <c r="AG353" s="85"/>
      <c r="AI353" s="85"/>
      <c r="AK353" s="86"/>
    </row>
    <row r="354" spans="1:37">
      <c r="A354" s="84" t="s">
        <v>1629</v>
      </c>
      <c r="D354" s="84" t="s">
        <v>1806</v>
      </c>
      <c r="F354" s="103"/>
      <c r="G354" s="103"/>
      <c r="H354" s="103"/>
      <c r="I354" s="103"/>
      <c r="Z354" s="85"/>
      <c r="AA354" s="85"/>
      <c r="AB354" s="85"/>
      <c r="AE354" s="85"/>
      <c r="AG354" s="85"/>
      <c r="AI354" s="85"/>
      <c r="AK354" s="86"/>
    </row>
    <row r="355" spans="1:37">
      <c r="A355" s="84" t="s">
        <v>1641</v>
      </c>
      <c r="D355" s="84" t="s">
        <v>1806</v>
      </c>
      <c r="F355" s="103"/>
      <c r="G355" s="103"/>
      <c r="H355" s="103"/>
      <c r="I355" s="103"/>
      <c r="Z355" s="85"/>
      <c r="AA355" s="85"/>
      <c r="AB355" s="85"/>
      <c r="AE355" s="85"/>
      <c r="AG355" s="85"/>
      <c r="AI355" s="85"/>
      <c r="AK355" s="86"/>
    </row>
    <row r="356" spans="1:37">
      <c r="A356" s="84" t="s">
        <v>1648</v>
      </c>
      <c r="B356" t="s">
        <v>36</v>
      </c>
      <c r="C356" s="87" t="s">
        <v>1953</v>
      </c>
      <c r="D356" s="84" t="s">
        <v>1806</v>
      </c>
      <c r="F356" s="85">
        <v>0.1</v>
      </c>
      <c r="G356" s="85">
        <v>0.8</v>
      </c>
      <c r="H356" s="85"/>
      <c r="I356" s="85"/>
      <c r="J356" s="86"/>
      <c r="K356" s="84" t="s">
        <v>1813</v>
      </c>
      <c r="L356" s="85">
        <v>0.3</v>
      </c>
      <c r="N356" s="85"/>
      <c r="P356" s="86"/>
      <c r="R356" s="85"/>
      <c r="Y356" s="85"/>
      <c r="Z356" s="85"/>
      <c r="AA356" s="85"/>
      <c r="AB356" s="85"/>
      <c r="AE356" s="85"/>
      <c r="AG356" s="85"/>
      <c r="AI356" s="85"/>
      <c r="AK356" s="86"/>
    </row>
    <row r="357" spans="1:37">
      <c r="A357" s="84" t="s">
        <v>1579</v>
      </c>
      <c r="D357" s="84" t="s">
        <v>1806</v>
      </c>
      <c r="F357" s="103"/>
      <c r="G357" s="103"/>
      <c r="H357" s="103"/>
      <c r="I357" s="103"/>
      <c r="Z357" s="85"/>
      <c r="AA357" s="85"/>
      <c r="AB357" s="85"/>
      <c r="AE357" s="85"/>
      <c r="AG357" s="85"/>
      <c r="AI357" s="85"/>
      <c r="AK357" s="86"/>
    </row>
    <row r="358" spans="1:37">
      <c r="A358" s="84" t="s">
        <v>1269</v>
      </c>
      <c r="B358" t="s">
        <v>1385</v>
      </c>
      <c r="C358" s="93" t="s">
        <v>1936</v>
      </c>
      <c r="D358" s="84" t="s">
        <v>1806</v>
      </c>
      <c r="F358" s="103">
        <v>0.1</v>
      </c>
      <c r="G358" s="103">
        <v>1</v>
      </c>
      <c r="H358" s="103"/>
      <c r="I358" s="103"/>
      <c r="J358" s="86"/>
      <c r="L358" s="85"/>
      <c r="N358" s="85"/>
      <c r="P358" s="86"/>
      <c r="Q358" s="84">
        <v>0</v>
      </c>
      <c r="R358" s="85"/>
      <c r="Y358" s="85"/>
      <c r="Z358" s="85"/>
      <c r="AA358" s="85"/>
      <c r="AB358" s="85"/>
      <c r="AE358" s="85"/>
      <c r="AG358" s="85"/>
      <c r="AI358" s="85"/>
      <c r="AK358" s="86"/>
    </row>
    <row r="359" spans="1:37">
      <c r="F359" s="103"/>
      <c r="G359" s="103"/>
      <c r="H359" s="103"/>
      <c r="I359" s="103"/>
      <c r="Z359" s="85"/>
      <c r="AA359" s="85"/>
      <c r="AB359" s="85"/>
      <c r="AE359" s="85"/>
      <c r="AG359" s="85"/>
      <c r="AI359" s="85"/>
      <c r="AK359" s="86"/>
    </row>
    <row r="360" spans="1:37">
      <c r="F360" s="103"/>
      <c r="G360" s="103"/>
      <c r="H360" s="103"/>
      <c r="I360" s="103"/>
      <c r="Z360" s="85"/>
      <c r="AA360" s="85"/>
      <c r="AB360" s="85"/>
      <c r="AE360" s="85"/>
      <c r="AG360" s="85"/>
      <c r="AI360" s="85"/>
      <c r="AK360" s="86"/>
    </row>
    <row r="361" spans="1:37">
      <c r="F361" s="103"/>
      <c r="G361" s="103"/>
      <c r="H361" s="103"/>
      <c r="I361" s="103"/>
      <c r="Z361" s="85"/>
      <c r="AA361" s="85"/>
      <c r="AB361" s="85"/>
      <c r="AE361" s="85"/>
      <c r="AG361" s="85"/>
      <c r="AI361" s="85"/>
      <c r="AK361" s="86"/>
    </row>
    <row r="362" spans="1:37">
      <c r="F362" s="103"/>
      <c r="G362" s="103"/>
      <c r="H362" s="103"/>
      <c r="I362" s="103"/>
      <c r="Z362" s="85"/>
      <c r="AA362" s="85"/>
      <c r="AB362" s="85"/>
      <c r="AE362" s="85"/>
      <c r="AG362" s="85"/>
      <c r="AI362" s="85"/>
      <c r="AK362" s="86"/>
    </row>
    <row r="363" spans="1:37">
      <c r="F363" s="103"/>
      <c r="G363" s="103"/>
      <c r="H363" s="103"/>
      <c r="I363" s="103"/>
      <c r="Z363" s="85"/>
      <c r="AA363" s="85"/>
      <c r="AB363" s="85"/>
      <c r="AE363" s="85"/>
      <c r="AG363" s="85"/>
      <c r="AI363" s="85"/>
      <c r="AK363" s="86"/>
    </row>
    <row r="364" spans="1:37">
      <c r="F364" s="103"/>
      <c r="G364" s="103"/>
      <c r="H364" s="103"/>
      <c r="I364" s="103"/>
      <c r="Z364" s="85"/>
      <c r="AA364" s="85"/>
      <c r="AB364" s="85"/>
      <c r="AE364" s="85"/>
      <c r="AG364" s="85"/>
      <c r="AI364" s="85"/>
      <c r="AK364" s="86"/>
    </row>
    <row r="365" spans="1:37">
      <c r="F365" s="103"/>
      <c r="G365" s="103"/>
      <c r="H365" s="103"/>
      <c r="I365" s="103"/>
      <c r="Z365" s="85"/>
      <c r="AA365" s="85"/>
      <c r="AB365" s="85"/>
      <c r="AE365" s="85"/>
      <c r="AG365" s="85"/>
      <c r="AI365" s="85"/>
      <c r="AK365" s="86"/>
    </row>
    <row r="366" spans="1:37">
      <c r="F366" s="103"/>
      <c r="G366" s="103"/>
      <c r="H366" s="103"/>
      <c r="I366" s="103"/>
      <c r="Z366" s="85"/>
      <c r="AA366" s="85"/>
      <c r="AB366" s="85"/>
      <c r="AE366" s="85"/>
      <c r="AG366" s="85"/>
      <c r="AI366" s="85"/>
      <c r="AK366" s="86"/>
    </row>
    <row r="367" spans="1:37">
      <c r="F367" s="103"/>
      <c r="G367" s="103"/>
      <c r="H367" s="103"/>
      <c r="I367" s="103"/>
      <c r="Z367" s="85"/>
      <c r="AA367" s="85"/>
      <c r="AB367" s="85"/>
      <c r="AE367" s="85"/>
      <c r="AG367" s="85"/>
      <c r="AI367" s="85"/>
      <c r="AK367" s="86"/>
    </row>
    <row r="368" spans="1:37">
      <c r="F368" s="103"/>
      <c r="G368" s="103"/>
      <c r="H368" s="103"/>
      <c r="I368" s="103"/>
      <c r="Z368" s="85"/>
      <c r="AA368" s="85"/>
      <c r="AB368" s="85"/>
      <c r="AE368" s="85"/>
      <c r="AG368" s="85"/>
      <c r="AI368" s="85"/>
      <c r="AK368" s="86"/>
    </row>
    <row r="369" spans="6:37">
      <c r="F369" s="103"/>
      <c r="G369" s="103"/>
      <c r="H369" s="103"/>
      <c r="I369" s="103"/>
      <c r="Z369" s="85"/>
      <c r="AA369" s="85"/>
      <c r="AB369" s="85"/>
      <c r="AE369" s="85"/>
      <c r="AG369" s="85"/>
      <c r="AI369" s="85"/>
      <c r="AK369" s="86"/>
    </row>
    <row r="370" spans="6:37">
      <c r="F370" s="103"/>
      <c r="G370" s="103"/>
      <c r="H370" s="103"/>
      <c r="I370" s="103"/>
      <c r="Z370" s="85"/>
      <c r="AA370" s="85"/>
      <c r="AB370" s="85"/>
      <c r="AE370" s="85"/>
      <c r="AG370" s="85"/>
      <c r="AI370" s="85"/>
      <c r="AK370" s="86"/>
    </row>
    <row r="371" spans="6:37">
      <c r="F371" s="103"/>
      <c r="G371" s="103"/>
      <c r="H371" s="103"/>
      <c r="I371" s="103"/>
      <c r="Z371" s="85"/>
      <c r="AA371" s="85"/>
      <c r="AB371" s="85"/>
      <c r="AE371" s="85"/>
      <c r="AG371" s="85"/>
      <c r="AI371" s="85"/>
      <c r="AK371" s="86"/>
    </row>
    <row r="372" spans="6:37">
      <c r="F372" s="103"/>
      <c r="G372" s="103"/>
      <c r="H372" s="103"/>
      <c r="I372" s="103"/>
      <c r="Z372" s="85"/>
      <c r="AA372" s="85"/>
      <c r="AB372" s="85"/>
      <c r="AE372" s="85"/>
      <c r="AG372" s="85"/>
      <c r="AI372" s="85"/>
      <c r="AK372" s="86"/>
    </row>
    <row r="373" spans="6:37">
      <c r="F373" s="103"/>
      <c r="G373" s="103"/>
      <c r="H373" s="103"/>
      <c r="I373" s="103"/>
      <c r="Z373" s="85"/>
      <c r="AA373" s="85"/>
      <c r="AB373" s="85"/>
      <c r="AE373" s="85"/>
      <c r="AG373" s="85"/>
      <c r="AI373" s="85"/>
      <c r="AK373" s="86"/>
    </row>
    <row r="374" spans="6:37">
      <c r="F374" s="103"/>
      <c r="G374" s="103"/>
      <c r="H374" s="103"/>
      <c r="I374" s="103"/>
      <c r="Z374" s="85"/>
      <c r="AA374" s="85"/>
      <c r="AB374" s="85"/>
      <c r="AE374" s="85"/>
      <c r="AG374" s="85"/>
      <c r="AI374" s="85"/>
      <c r="AK374" s="86"/>
    </row>
    <row r="375" spans="6:37">
      <c r="F375" s="103"/>
      <c r="G375" s="103"/>
      <c r="H375" s="103"/>
      <c r="I375" s="103"/>
      <c r="Z375" s="85"/>
      <c r="AA375" s="85"/>
      <c r="AB375" s="85"/>
      <c r="AE375" s="85"/>
      <c r="AG375" s="85"/>
      <c r="AI375" s="85"/>
      <c r="AK375" s="86"/>
    </row>
    <row r="376" spans="6:37">
      <c r="F376" s="103"/>
      <c r="G376" s="103"/>
      <c r="H376" s="103"/>
      <c r="I376" s="103"/>
      <c r="Z376" s="85"/>
      <c r="AA376" s="85"/>
      <c r="AB376" s="85"/>
      <c r="AE376" s="85"/>
      <c r="AG376" s="85"/>
      <c r="AI376" s="85"/>
      <c r="AK376" s="86"/>
    </row>
    <row r="377" spans="6:37">
      <c r="F377" s="103"/>
      <c r="G377" s="103"/>
      <c r="H377" s="103"/>
      <c r="I377" s="103"/>
      <c r="Z377" s="85"/>
      <c r="AA377" s="85"/>
      <c r="AB377" s="85"/>
      <c r="AE377" s="85"/>
      <c r="AG377" s="85"/>
      <c r="AI377" s="85"/>
      <c r="AK377" s="86"/>
    </row>
    <row r="378" spans="6:37">
      <c r="F378" s="103"/>
      <c r="G378" s="103"/>
      <c r="H378" s="103"/>
      <c r="I378" s="103"/>
      <c r="Z378" s="85"/>
      <c r="AA378" s="85"/>
      <c r="AB378" s="85"/>
      <c r="AE378" s="85"/>
      <c r="AG378" s="85"/>
      <c r="AI378" s="85"/>
      <c r="AK378" s="86"/>
    </row>
    <row r="379" spans="6:37">
      <c r="F379" s="103"/>
      <c r="G379" s="103"/>
      <c r="H379" s="103"/>
      <c r="I379" s="103"/>
      <c r="Z379" s="85"/>
      <c r="AA379" s="85"/>
      <c r="AB379" s="85"/>
      <c r="AE379" s="85"/>
      <c r="AG379" s="85"/>
      <c r="AI379" s="85"/>
      <c r="AK379" s="86"/>
    </row>
    <row r="380" spans="6:37">
      <c r="F380" s="103"/>
      <c r="G380" s="103"/>
      <c r="H380" s="103"/>
      <c r="I380" s="103"/>
      <c r="Z380" s="85"/>
      <c r="AA380" s="85"/>
      <c r="AB380" s="85"/>
      <c r="AE380" s="85"/>
      <c r="AG380" s="85"/>
      <c r="AI380" s="85"/>
      <c r="AK380" s="86"/>
    </row>
    <row r="381" spans="6:37">
      <c r="F381" s="103"/>
      <c r="G381" s="103"/>
      <c r="H381" s="103"/>
      <c r="I381" s="103"/>
      <c r="Z381" s="85"/>
      <c r="AA381" s="85"/>
      <c r="AB381" s="85"/>
      <c r="AE381" s="85"/>
      <c r="AG381" s="85"/>
      <c r="AI381" s="85"/>
      <c r="AK381" s="86"/>
    </row>
    <row r="382" spans="6:37">
      <c r="F382" s="103"/>
      <c r="G382" s="103"/>
      <c r="H382" s="103"/>
      <c r="I382" s="103"/>
      <c r="Z382" s="85"/>
      <c r="AA382" s="85"/>
      <c r="AB382" s="85"/>
      <c r="AE382" s="85"/>
      <c r="AG382" s="85"/>
      <c r="AI382" s="85"/>
      <c r="AK382" s="86"/>
    </row>
    <row r="383" spans="6:37">
      <c r="F383" s="103"/>
      <c r="G383" s="103"/>
      <c r="H383" s="103"/>
      <c r="I383" s="103"/>
      <c r="Z383" s="85"/>
      <c r="AA383" s="85"/>
      <c r="AB383" s="85"/>
      <c r="AE383" s="85"/>
      <c r="AG383" s="85"/>
      <c r="AI383" s="85"/>
      <c r="AK383" s="86"/>
    </row>
    <row r="384" spans="6:37">
      <c r="F384" s="103"/>
      <c r="G384" s="103"/>
      <c r="H384" s="103"/>
      <c r="I384" s="103"/>
      <c r="Z384" s="85"/>
      <c r="AA384" s="85"/>
      <c r="AB384" s="85"/>
      <c r="AE384" s="85"/>
      <c r="AG384" s="85"/>
      <c r="AI384" s="85"/>
      <c r="AK384" s="86"/>
    </row>
    <row r="385" spans="6:37">
      <c r="F385" s="103"/>
      <c r="G385" s="103"/>
      <c r="H385" s="103"/>
      <c r="I385" s="103"/>
      <c r="Z385" s="85"/>
      <c r="AA385" s="85"/>
      <c r="AB385" s="85"/>
      <c r="AE385" s="85"/>
      <c r="AG385" s="85"/>
      <c r="AI385" s="85"/>
      <c r="AK385" s="86"/>
    </row>
    <row r="386" spans="6:37">
      <c r="F386" s="103"/>
      <c r="G386" s="103"/>
      <c r="H386" s="103"/>
      <c r="I386" s="103"/>
      <c r="Z386" s="85"/>
      <c r="AA386" s="85"/>
      <c r="AB386" s="85"/>
      <c r="AE386" s="85"/>
      <c r="AG386" s="85"/>
      <c r="AI386" s="85"/>
      <c r="AK386" s="86"/>
    </row>
    <row r="387" spans="6:37">
      <c r="F387" s="103"/>
      <c r="G387" s="103"/>
      <c r="H387" s="103"/>
      <c r="I387" s="103"/>
      <c r="Z387" s="85"/>
      <c r="AA387" s="85"/>
      <c r="AB387" s="85"/>
      <c r="AE387" s="85"/>
      <c r="AG387" s="85"/>
      <c r="AI387" s="85"/>
      <c r="AK387" s="86"/>
    </row>
    <row r="388" spans="6:37">
      <c r="F388" s="103"/>
      <c r="G388" s="103"/>
      <c r="H388" s="103"/>
      <c r="I388" s="103"/>
      <c r="Z388" s="85"/>
      <c r="AA388" s="85"/>
      <c r="AB388" s="85"/>
      <c r="AE388" s="85"/>
      <c r="AG388" s="85"/>
      <c r="AI388" s="85"/>
      <c r="AK388" s="86"/>
    </row>
    <row r="389" spans="6:37">
      <c r="F389" s="103"/>
      <c r="G389" s="103"/>
      <c r="H389" s="103"/>
      <c r="I389" s="103"/>
      <c r="Z389" s="85"/>
      <c r="AA389" s="85"/>
      <c r="AB389" s="85"/>
      <c r="AE389" s="85"/>
      <c r="AG389" s="85"/>
      <c r="AI389" s="85"/>
      <c r="AK389" s="86"/>
    </row>
    <row r="390" spans="6:37">
      <c r="F390" s="103"/>
      <c r="G390" s="103"/>
      <c r="H390" s="103"/>
      <c r="I390" s="103"/>
      <c r="Z390" s="85"/>
      <c r="AA390" s="85"/>
      <c r="AB390" s="85"/>
      <c r="AE390" s="85"/>
      <c r="AG390" s="85"/>
      <c r="AI390" s="85"/>
      <c r="AK390" s="86"/>
    </row>
    <row r="391" spans="6:37">
      <c r="F391" s="103"/>
      <c r="G391" s="103"/>
      <c r="H391" s="103"/>
      <c r="I391" s="103"/>
      <c r="Z391" s="85"/>
      <c r="AA391" s="85"/>
      <c r="AB391" s="85"/>
      <c r="AE391" s="85"/>
      <c r="AG391" s="85"/>
      <c r="AI391" s="85"/>
      <c r="AK391" s="86"/>
    </row>
    <row r="392" spans="6:37">
      <c r="F392" s="103"/>
      <c r="G392" s="103"/>
      <c r="H392" s="103"/>
      <c r="I392" s="103"/>
      <c r="Z392" s="85"/>
      <c r="AA392" s="85"/>
      <c r="AB392" s="85"/>
      <c r="AE392" s="85"/>
      <c r="AG392" s="85"/>
      <c r="AI392" s="85"/>
      <c r="AK392" s="86"/>
    </row>
    <row r="393" spans="6:37">
      <c r="F393" s="103"/>
      <c r="G393" s="103"/>
      <c r="H393" s="103"/>
      <c r="I393" s="103"/>
      <c r="Z393" s="85"/>
      <c r="AA393" s="85"/>
      <c r="AB393" s="85"/>
      <c r="AE393" s="85"/>
      <c r="AG393" s="85"/>
      <c r="AI393" s="85"/>
      <c r="AK393" s="86"/>
    </row>
    <row r="394" spans="6:37">
      <c r="F394" s="103"/>
      <c r="G394" s="103"/>
      <c r="H394" s="103"/>
      <c r="I394" s="103"/>
      <c r="Z394" s="85"/>
      <c r="AA394" s="85"/>
      <c r="AB394" s="85"/>
      <c r="AE394" s="85"/>
      <c r="AG394" s="85"/>
      <c r="AI394" s="85"/>
      <c r="AK394" s="86"/>
    </row>
    <row r="395" spans="6:37">
      <c r="F395" s="103"/>
      <c r="G395" s="103"/>
      <c r="H395" s="103"/>
      <c r="I395" s="103"/>
      <c r="Z395" s="85"/>
      <c r="AA395" s="85"/>
      <c r="AB395" s="85"/>
      <c r="AE395" s="85"/>
      <c r="AG395" s="85"/>
      <c r="AI395" s="85"/>
      <c r="AK395" s="86"/>
    </row>
    <row r="396" spans="6:37">
      <c r="F396" s="103"/>
      <c r="G396" s="103"/>
      <c r="H396" s="103"/>
      <c r="I396" s="103"/>
      <c r="Z396" s="85"/>
      <c r="AA396" s="85"/>
      <c r="AB396" s="85"/>
      <c r="AE396" s="85"/>
      <c r="AG396" s="85"/>
      <c r="AI396" s="85"/>
      <c r="AK396" s="86"/>
    </row>
    <row r="397" spans="6:37">
      <c r="F397" s="103"/>
      <c r="G397" s="103"/>
      <c r="H397" s="103"/>
      <c r="I397" s="103"/>
      <c r="Z397" s="85"/>
      <c r="AA397" s="85"/>
      <c r="AB397" s="85"/>
      <c r="AE397" s="85"/>
      <c r="AG397" s="85"/>
      <c r="AI397" s="85"/>
      <c r="AK397" s="86"/>
    </row>
    <row r="398" spans="6:37">
      <c r="F398" s="103"/>
      <c r="G398" s="103"/>
      <c r="H398" s="103"/>
      <c r="I398" s="103"/>
      <c r="Z398" s="85"/>
      <c r="AA398" s="85"/>
      <c r="AB398" s="85"/>
      <c r="AE398" s="85"/>
      <c r="AG398" s="85"/>
      <c r="AI398" s="85"/>
      <c r="AK398" s="86"/>
    </row>
    <row r="399" spans="6:37">
      <c r="F399" s="103"/>
      <c r="G399" s="103"/>
      <c r="H399" s="103"/>
      <c r="I399" s="103"/>
      <c r="Z399" s="85"/>
      <c r="AA399" s="85"/>
      <c r="AB399" s="85"/>
      <c r="AE399" s="85"/>
      <c r="AG399" s="85"/>
      <c r="AI399" s="85"/>
      <c r="AK399" s="86"/>
    </row>
    <row r="400" spans="6:37">
      <c r="F400" s="103"/>
      <c r="G400" s="103"/>
      <c r="H400" s="103"/>
      <c r="I400" s="103"/>
      <c r="Z400" s="85"/>
      <c r="AA400" s="85"/>
      <c r="AB400" s="85"/>
      <c r="AE400" s="85"/>
      <c r="AG400" s="85"/>
      <c r="AI400" s="85"/>
      <c r="AK400" s="86"/>
    </row>
    <row r="401" spans="6:37">
      <c r="F401" s="103"/>
      <c r="G401" s="103"/>
      <c r="H401" s="103"/>
      <c r="I401" s="103"/>
      <c r="Z401" s="85"/>
      <c r="AA401" s="85"/>
      <c r="AB401" s="85"/>
      <c r="AE401" s="85"/>
      <c r="AG401" s="85"/>
      <c r="AI401" s="85"/>
      <c r="AK401" s="86"/>
    </row>
    <row r="402" spans="6:37">
      <c r="F402" s="103"/>
      <c r="G402" s="103"/>
      <c r="H402" s="103"/>
      <c r="I402" s="103"/>
      <c r="Z402" s="85"/>
      <c r="AA402" s="85"/>
      <c r="AB402" s="85"/>
      <c r="AE402" s="85"/>
      <c r="AG402" s="85"/>
      <c r="AI402" s="85"/>
      <c r="AK402" s="86"/>
    </row>
    <row r="403" spans="6:37">
      <c r="F403" s="103"/>
      <c r="G403" s="103"/>
      <c r="H403" s="103"/>
      <c r="I403" s="103"/>
      <c r="Z403" s="85"/>
      <c r="AA403" s="85"/>
      <c r="AB403" s="85"/>
      <c r="AE403" s="85"/>
      <c r="AG403" s="85"/>
      <c r="AI403" s="85"/>
      <c r="AK403" s="86"/>
    </row>
    <row r="404" spans="6:37">
      <c r="F404" s="103"/>
      <c r="G404" s="103"/>
      <c r="H404" s="103"/>
      <c r="I404" s="103"/>
      <c r="Z404" s="85"/>
      <c r="AA404" s="85"/>
      <c r="AB404" s="85"/>
      <c r="AE404" s="85"/>
      <c r="AG404" s="85"/>
      <c r="AI404" s="85"/>
      <c r="AK404" s="86"/>
    </row>
    <row r="405" spans="6:37">
      <c r="F405" s="103"/>
      <c r="G405" s="103"/>
      <c r="H405" s="103"/>
      <c r="I405" s="103"/>
      <c r="Z405" s="85"/>
      <c r="AA405" s="85"/>
      <c r="AB405" s="85"/>
      <c r="AE405" s="85"/>
      <c r="AG405" s="85"/>
      <c r="AI405" s="85"/>
      <c r="AK405" s="86"/>
    </row>
    <row r="406" spans="6:37">
      <c r="F406" s="103"/>
      <c r="G406" s="103"/>
      <c r="H406" s="103"/>
      <c r="I406" s="103"/>
      <c r="Z406" s="85"/>
      <c r="AA406" s="85"/>
      <c r="AB406" s="85"/>
      <c r="AE406" s="85"/>
      <c r="AG406" s="85"/>
      <c r="AI406" s="85"/>
      <c r="AK406" s="86"/>
    </row>
    <row r="407" spans="6:37">
      <c r="F407" s="103"/>
      <c r="G407" s="103"/>
      <c r="H407" s="103"/>
      <c r="I407" s="103"/>
      <c r="Z407" s="85"/>
      <c r="AA407" s="85"/>
      <c r="AB407" s="85"/>
      <c r="AE407" s="85"/>
      <c r="AG407" s="85"/>
      <c r="AI407" s="85"/>
      <c r="AK407" s="86"/>
    </row>
    <row r="408" spans="6:37">
      <c r="F408" s="103"/>
      <c r="G408" s="103"/>
      <c r="H408" s="103"/>
      <c r="I408" s="103"/>
      <c r="Z408" s="85"/>
      <c r="AA408" s="85"/>
      <c r="AB408" s="85"/>
      <c r="AE408" s="85"/>
      <c r="AG408" s="85"/>
      <c r="AI408" s="85"/>
      <c r="AK408" s="86"/>
    </row>
    <row r="409" spans="6:37">
      <c r="F409" s="103"/>
      <c r="G409" s="103"/>
      <c r="H409" s="103"/>
      <c r="I409" s="103"/>
      <c r="Z409" s="85"/>
      <c r="AA409" s="85"/>
      <c r="AB409" s="85"/>
      <c r="AE409" s="85"/>
      <c r="AG409" s="85"/>
      <c r="AI409" s="85"/>
      <c r="AK409" s="86"/>
    </row>
    <row r="410" spans="6:37">
      <c r="F410" s="103"/>
      <c r="G410" s="103"/>
      <c r="H410" s="103"/>
      <c r="I410" s="103"/>
      <c r="Z410" s="85"/>
      <c r="AA410" s="85"/>
      <c r="AB410" s="85"/>
      <c r="AE410" s="85"/>
      <c r="AG410" s="85"/>
      <c r="AI410" s="85"/>
      <c r="AK410" s="86"/>
    </row>
    <row r="411" spans="6:37">
      <c r="F411" s="103"/>
      <c r="G411" s="103"/>
      <c r="H411" s="103"/>
      <c r="I411" s="103"/>
      <c r="Z411" s="85"/>
      <c r="AA411" s="85"/>
      <c r="AB411" s="85"/>
      <c r="AE411" s="85"/>
      <c r="AG411" s="85"/>
      <c r="AI411" s="85"/>
      <c r="AK411" s="86"/>
    </row>
    <row r="412" spans="6:37">
      <c r="F412" s="103"/>
      <c r="G412" s="103"/>
      <c r="H412" s="103"/>
      <c r="I412" s="103"/>
      <c r="Z412" s="85"/>
      <c r="AA412" s="85"/>
      <c r="AB412" s="85"/>
      <c r="AE412" s="85"/>
      <c r="AG412" s="85"/>
      <c r="AI412" s="85"/>
      <c r="AK412" s="86"/>
    </row>
    <row r="413" spans="6:37">
      <c r="F413" s="103"/>
      <c r="G413" s="103"/>
      <c r="H413" s="103"/>
      <c r="I413" s="103"/>
      <c r="Z413" s="85"/>
      <c r="AA413" s="85"/>
      <c r="AB413" s="85"/>
      <c r="AE413" s="85"/>
      <c r="AG413" s="85"/>
      <c r="AI413" s="85"/>
      <c r="AK413" s="86"/>
    </row>
    <row r="414" spans="6:37">
      <c r="F414" s="103"/>
      <c r="G414" s="103"/>
      <c r="H414" s="103"/>
      <c r="I414" s="103"/>
      <c r="Z414" s="85"/>
      <c r="AA414" s="85"/>
      <c r="AB414" s="85"/>
      <c r="AE414" s="85"/>
      <c r="AG414" s="85"/>
      <c r="AI414" s="85"/>
      <c r="AK414" s="86"/>
    </row>
    <row r="415" spans="6:37">
      <c r="F415" s="103"/>
      <c r="G415" s="103"/>
      <c r="H415" s="103"/>
      <c r="I415" s="103"/>
      <c r="Z415" s="85"/>
      <c r="AA415" s="85"/>
      <c r="AB415" s="85"/>
      <c r="AE415" s="85"/>
      <c r="AG415" s="85"/>
      <c r="AI415" s="85"/>
      <c r="AK415" s="86"/>
    </row>
    <row r="416" spans="6:37">
      <c r="F416" s="103"/>
      <c r="G416" s="103"/>
      <c r="H416" s="103"/>
      <c r="I416" s="103"/>
      <c r="Z416" s="85"/>
      <c r="AA416" s="85"/>
      <c r="AB416" s="85"/>
      <c r="AE416" s="85"/>
      <c r="AG416" s="85"/>
      <c r="AI416" s="85"/>
      <c r="AK416" s="86"/>
    </row>
    <row r="417" spans="6:37">
      <c r="F417" s="103"/>
      <c r="G417" s="103"/>
      <c r="H417" s="103"/>
      <c r="I417" s="103"/>
      <c r="Z417" s="85"/>
      <c r="AA417" s="85"/>
      <c r="AB417" s="85"/>
      <c r="AE417" s="85"/>
      <c r="AG417" s="85"/>
      <c r="AI417" s="85"/>
      <c r="AK417" s="86"/>
    </row>
    <row r="418" spans="6:37">
      <c r="F418" s="103"/>
      <c r="G418" s="103"/>
      <c r="H418" s="103"/>
      <c r="I418" s="103"/>
      <c r="Z418" s="85"/>
      <c r="AA418" s="85"/>
      <c r="AB418" s="85"/>
      <c r="AE418" s="85"/>
      <c r="AG418" s="85"/>
      <c r="AI418" s="85"/>
      <c r="AK418" s="86"/>
    </row>
    <row r="419" spans="6:37">
      <c r="F419" s="103"/>
      <c r="G419" s="103"/>
      <c r="H419" s="103"/>
      <c r="I419" s="103"/>
      <c r="Z419" s="85"/>
      <c r="AA419" s="85"/>
      <c r="AB419" s="85"/>
      <c r="AE419" s="85"/>
      <c r="AG419" s="85"/>
      <c r="AI419" s="85"/>
      <c r="AK419" s="86"/>
    </row>
    <row r="420" spans="6:37">
      <c r="F420" s="103"/>
      <c r="G420" s="103"/>
      <c r="H420" s="103"/>
      <c r="I420" s="103"/>
      <c r="Z420" s="85"/>
      <c r="AA420" s="85"/>
      <c r="AB420" s="85"/>
      <c r="AE420" s="85"/>
      <c r="AG420" s="85"/>
      <c r="AI420" s="85"/>
      <c r="AK420" s="86"/>
    </row>
    <row r="421" spans="6:37">
      <c r="F421" s="103"/>
      <c r="G421" s="103"/>
      <c r="H421" s="103"/>
      <c r="I421" s="103"/>
      <c r="Z421" s="85"/>
      <c r="AA421" s="85"/>
      <c r="AB421" s="85"/>
      <c r="AE421" s="85"/>
      <c r="AG421" s="85"/>
      <c r="AI421" s="85"/>
      <c r="AK421" s="86"/>
    </row>
    <row r="422" spans="6:37">
      <c r="F422" s="103"/>
      <c r="G422" s="103"/>
      <c r="H422" s="103"/>
      <c r="I422" s="103"/>
      <c r="Z422" s="85"/>
      <c r="AA422" s="85"/>
      <c r="AB422" s="85"/>
      <c r="AE422" s="85"/>
      <c r="AG422" s="85"/>
      <c r="AI422" s="85"/>
      <c r="AK422" s="86"/>
    </row>
    <row r="423" spans="6:37">
      <c r="F423" s="103"/>
      <c r="G423" s="103"/>
      <c r="H423" s="103"/>
      <c r="I423" s="103"/>
      <c r="Z423" s="85"/>
      <c r="AA423" s="85"/>
      <c r="AB423" s="85"/>
      <c r="AE423" s="85"/>
      <c r="AG423" s="85"/>
      <c r="AI423" s="85"/>
      <c r="AK423" s="86"/>
    </row>
    <row r="424" spans="6:37">
      <c r="F424" s="103"/>
      <c r="G424" s="103"/>
      <c r="H424" s="103"/>
      <c r="I424" s="103"/>
      <c r="Z424" s="85"/>
      <c r="AA424" s="85"/>
      <c r="AB424" s="85"/>
      <c r="AE424" s="85"/>
      <c r="AG424" s="85"/>
      <c r="AI424" s="85"/>
      <c r="AK424" s="86"/>
    </row>
    <row r="425" spans="6:37">
      <c r="F425" s="103"/>
      <c r="G425" s="103"/>
      <c r="H425" s="103"/>
      <c r="I425" s="103"/>
      <c r="Z425" s="85"/>
      <c r="AA425" s="85"/>
      <c r="AB425" s="85"/>
      <c r="AE425" s="85"/>
      <c r="AG425" s="85"/>
      <c r="AI425" s="85"/>
      <c r="AK425" s="86"/>
    </row>
    <row r="426" spans="6:37">
      <c r="F426" s="103"/>
      <c r="G426" s="103"/>
      <c r="H426" s="103"/>
      <c r="I426" s="103"/>
      <c r="Z426" s="85"/>
      <c r="AA426" s="85"/>
      <c r="AB426" s="85"/>
      <c r="AE426" s="85"/>
      <c r="AG426" s="85"/>
      <c r="AI426" s="85"/>
      <c r="AK426" s="86"/>
    </row>
    <row r="427" spans="6:37">
      <c r="F427" s="103"/>
      <c r="G427" s="103"/>
      <c r="H427" s="103"/>
      <c r="I427" s="103"/>
      <c r="Z427" s="85"/>
      <c r="AA427" s="85"/>
      <c r="AB427" s="85"/>
      <c r="AE427" s="85"/>
      <c r="AG427" s="85"/>
      <c r="AI427" s="85"/>
      <c r="AK427" s="86"/>
    </row>
    <row r="428" spans="6:37">
      <c r="F428" s="103"/>
      <c r="G428" s="103"/>
      <c r="H428" s="103"/>
      <c r="I428" s="103"/>
      <c r="Z428" s="85"/>
      <c r="AA428" s="85"/>
      <c r="AB428" s="85"/>
      <c r="AE428" s="85"/>
      <c r="AG428" s="85"/>
      <c r="AI428" s="85"/>
      <c r="AK428" s="86"/>
    </row>
    <row r="429" spans="6:37">
      <c r="F429" s="103"/>
      <c r="G429" s="103"/>
      <c r="H429" s="103"/>
      <c r="I429" s="103"/>
      <c r="Z429" s="85"/>
      <c r="AA429" s="85"/>
      <c r="AB429" s="85"/>
      <c r="AE429" s="85"/>
      <c r="AG429" s="85"/>
      <c r="AI429" s="85"/>
      <c r="AK429" s="86"/>
    </row>
    <row r="430" spans="6:37">
      <c r="F430" s="103"/>
      <c r="G430" s="103"/>
      <c r="H430" s="103"/>
      <c r="I430" s="103"/>
      <c r="Z430" s="85"/>
      <c r="AA430" s="85"/>
      <c r="AB430" s="85"/>
      <c r="AE430" s="85"/>
      <c r="AG430" s="85"/>
      <c r="AI430" s="85"/>
      <c r="AK430" s="86"/>
    </row>
    <row r="431" spans="6:37">
      <c r="F431" s="103"/>
      <c r="G431" s="103"/>
      <c r="H431" s="103"/>
      <c r="I431" s="103"/>
      <c r="Z431" s="85"/>
      <c r="AA431" s="85"/>
      <c r="AB431" s="85"/>
      <c r="AE431" s="85"/>
      <c r="AG431" s="85"/>
      <c r="AI431" s="85"/>
      <c r="AK431" s="86"/>
    </row>
    <row r="432" spans="6:37">
      <c r="F432" s="103"/>
      <c r="G432" s="103"/>
      <c r="H432" s="103"/>
      <c r="I432" s="103"/>
      <c r="Z432" s="85"/>
      <c r="AA432" s="85"/>
      <c r="AB432" s="85"/>
      <c r="AE432" s="85"/>
      <c r="AG432" s="85"/>
      <c r="AI432" s="85"/>
      <c r="AK432" s="86"/>
    </row>
    <row r="433" spans="6:37">
      <c r="F433" s="103"/>
      <c r="G433" s="103"/>
      <c r="H433" s="103"/>
      <c r="I433" s="103"/>
      <c r="Z433" s="85"/>
      <c r="AA433" s="85"/>
      <c r="AB433" s="85"/>
      <c r="AE433" s="85"/>
      <c r="AG433" s="85"/>
      <c r="AI433" s="85"/>
      <c r="AK433" s="86"/>
    </row>
    <row r="434" spans="6:37">
      <c r="F434" s="103"/>
      <c r="G434" s="103"/>
      <c r="H434" s="103"/>
      <c r="I434" s="103"/>
      <c r="Z434" s="85"/>
      <c r="AA434" s="85"/>
      <c r="AB434" s="85"/>
      <c r="AE434" s="85"/>
      <c r="AG434" s="85"/>
      <c r="AI434" s="85"/>
    </row>
    <row r="435" spans="6:37">
      <c r="F435" s="103"/>
      <c r="G435" s="103"/>
      <c r="H435" s="103"/>
      <c r="I435" s="103"/>
      <c r="Z435" s="85"/>
      <c r="AA435" s="85"/>
      <c r="AB435" s="85"/>
      <c r="AE435" s="85"/>
      <c r="AG435" s="85"/>
      <c r="AI435" s="85"/>
    </row>
    <row r="436" spans="6:37">
      <c r="F436" s="103"/>
      <c r="G436" s="103"/>
      <c r="H436" s="103"/>
      <c r="I436" s="103"/>
      <c r="Z436" s="85"/>
      <c r="AA436" s="85"/>
      <c r="AB436" s="85"/>
      <c r="AE436" s="85"/>
      <c r="AG436" s="85"/>
      <c r="AI436" s="85"/>
    </row>
    <row r="437" spans="6:37">
      <c r="F437" s="103"/>
      <c r="G437" s="103"/>
      <c r="H437" s="103"/>
      <c r="I437" s="103"/>
      <c r="Z437" s="85"/>
      <c r="AA437" s="85"/>
      <c r="AB437" s="85"/>
      <c r="AE437" s="85"/>
      <c r="AG437" s="85"/>
      <c r="AI437" s="85"/>
    </row>
    <row r="438" spans="6:37">
      <c r="F438" s="103"/>
      <c r="G438" s="103"/>
      <c r="H438" s="103"/>
      <c r="I438" s="103"/>
      <c r="Z438" s="85"/>
      <c r="AA438" s="85"/>
      <c r="AB438" s="85"/>
      <c r="AE438" s="85"/>
      <c r="AG438" s="85"/>
      <c r="AI438" s="85"/>
    </row>
    <row r="439" spans="6:37">
      <c r="F439" s="103"/>
      <c r="G439" s="103"/>
      <c r="H439" s="103"/>
      <c r="I439" s="103"/>
      <c r="Z439" s="85"/>
      <c r="AA439" s="85"/>
      <c r="AB439" s="85"/>
      <c r="AE439" s="85"/>
      <c r="AG439" s="85"/>
      <c r="AI439" s="85"/>
    </row>
    <row r="440" spans="6:37">
      <c r="F440" s="103"/>
      <c r="G440" s="103"/>
      <c r="H440" s="103"/>
      <c r="I440" s="103"/>
      <c r="Z440" s="85"/>
      <c r="AA440" s="85"/>
      <c r="AB440" s="85"/>
      <c r="AE440" s="85"/>
      <c r="AG440" s="85"/>
      <c r="AI440" s="85"/>
    </row>
    <row r="441" spans="6:37">
      <c r="F441" s="103"/>
      <c r="G441" s="103"/>
      <c r="H441" s="103"/>
      <c r="I441" s="103"/>
      <c r="Z441" s="85"/>
      <c r="AA441" s="85"/>
      <c r="AB441" s="85"/>
      <c r="AE441" s="85"/>
      <c r="AG441" s="85"/>
      <c r="AI441" s="85"/>
    </row>
    <row r="442" spans="6:37">
      <c r="F442" s="103"/>
      <c r="G442" s="103"/>
      <c r="H442" s="103"/>
      <c r="I442" s="103"/>
      <c r="Z442" s="85"/>
      <c r="AA442" s="85"/>
      <c r="AB442" s="85"/>
      <c r="AE442" s="85"/>
      <c r="AG442" s="85"/>
      <c r="AI442" s="85"/>
    </row>
    <row r="443" spans="6:37">
      <c r="F443" s="103"/>
      <c r="G443" s="103"/>
      <c r="H443" s="103"/>
      <c r="I443" s="103"/>
      <c r="Z443" s="85"/>
      <c r="AA443" s="85"/>
      <c r="AB443" s="85"/>
      <c r="AE443" s="85"/>
      <c r="AG443" s="85"/>
      <c r="AI443" s="85"/>
    </row>
    <row r="444" spans="6:37">
      <c r="F444" s="103"/>
      <c r="G444" s="103"/>
      <c r="H444" s="103"/>
      <c r="I444" s="103"/>
      <c r="Z444" s="85"/>
      <c r="AA444" s="85"/>
      <c r="AB444" s="85"/>
      <c r="AE444" s="85"/>
      <c r="AG444" s="85"/>
      <c r="AI444" s="85"/>
    </row>
    <row r="445" spans="6:37">
      <c r="F445" s="103"/>
      <c r="G445" s="103"/>
      <c r="H445" s="103"/>
      <c r="I445" s="103"/>
      <c r="Z445" s="85"/>
      <c r="AA445" s="85"/>
      <c r="AB445" s="85"/>
      <c r="AE445" s="85"/>
      <c r="AG445" s="85"/>
      <c r="AI445" s="85"/>
    </row>
    <row r="446" spans="6:37">
      <c r="F446" s="103"/>
      <c r="G446" s="103"/>
      <c r="H446" s="103"/>
      <c r="I446" s="103"/>
      <c r="Z446" s="85"/>
      <c r="AA446" s="85"/>
      <c r="AB446" s="85"/>
      <c r="AE446" s="85"/>
      <c r="AG446" s="85"/>
      <c r="AI446" s="85"/>
    </row>
    <row r="447" spans="6:37">
      <c r="F447" s="103"/>
      <c r="G447" s="103"/>
      <c r="H447" s="103"/>
      <c r="I447" s="103"/>
      <c r="Z447" s="85"/>
      <c r="AA447" s="85"/>
      <c r="AB447" s="85"/>
      <c r="AE447" s="85"/>
      <c r="AG447" s="85"/>
      <c r="AI447" s="85"/>
    </row>
    <row r="448" spans="6:37">
      <c r="F448" s="103"/>
      <c r="G448" s="103"/>
      <c r="H448" s="103"/>
      <c r="I448" s="103"/>
      <c r="Z448" s="85"/>
      <c r="AA448" s="85"/>
      <c r="AB448" s="85"/>
      <c r="AE448" s="85"/>
      <c r="AG448" s="85"/>
      <c r="AI448" s="85"/>
    </row>
    <row r="449" spans="6:35">
      <c r="F449" s="103"/>
      <c r="G449" s="103"/>
      <c r="H449" s="103"/>
      <c r="I449" s="103"/>
      <c r="Z449" s="85"/>
      <c r="AA449" s="85"/>
      <c r="AB449" s="85"/>
      <c r="AE449" s="85"/>
      <c r="AG449" s="85"/>
      <c r="AI449" s="85"/>
    </row>
    <row r="450" spans="6:35">
      <c r="F450" s="103"/>
      <c r="G450" s="103"/>
      <c r="H450" s="103"/>
      <c r="I450" s="103"/>
      <c r="Z450" s="85"/>
      <c r="AA450" s="85"/>
      <c r="AB450" s="85"/>
      <c r="AE450" s="85"/>
      <c r="AG450" s="85"/>
      <c r="AI450" s="85"/>
    </row>
    <row r="451" spans="6:35">
      <c r="F451" s="103"/>
      <c r="G451" s="103"/>
      <c r="H451" s="103"/>
      <c r="I451" s="103"/>
      <c r="Z451" s="85"/>
      <c r="AA451" s="85"/>
      <c r="AB451" s="85"/>
      <c r="AE451" s="85"/>
      <c r="AG451" s="85"/>
      <c r="AI451" s="85"/>
    </row>
    <row r="452" spans="6:35">
      <c r="F452" s="103"/>
      <c r="G452" s="103"/>
      <c r="H452" s="103"/>
      <c r="I452" s="103"/>
      <c r="Z452" s="85"/>
      <c r="AA452" s="85"/>
      <c r="AB452" s="85"/>
      <c r="AE452" s="85"/>
      <c r="AG452" s="85"/>
      <c r="AI452" s="85"/>
    </row>
    <row r="453" spans="6:35">
      <c r="F453" s="103"/>
      <c r="G453" s="103"/>
      <c r="H453" s="103"/>
      <c r="I453" s="103"/>
      <c r="Z453" s="85"/>
      <c r="AA453" s="85"/>
      <c r="AB453" s="85"/>
      <c r="AE453" s="85"/>
      <c r="AG453" s="85"/>
      <c r="AI453" s="85"/>
    </row>
    <row r="454" spans="6:35">
      <c r="F454" s="103"/>
      <c r="G454" s="103"/>
      <c r="H454" s="103"/>
      <c r="I454" s="103"/>
      <c r="Z454" s="85"/>
      <c r="AA454" s="85"/>
      <c r="AB454" s="85"/>
      <c r="AE454" s="85"/>
      <c r="AG454" s="85"/>
      <c r="AI454" s="85"/>
    </row>
    <row r="455" spans="6:35">
      <c r="F455" s="103"/>
      <c r="G455" s="103"/>
      <c r="H455" s="103"/>
      <c r="I455" s="103"/>
      <c r="Z455" s="85"/>
      <c r="AA455" s="85"/>
      <c r="AB455" s="85"/>
      <c r="AE455" s="85"/>
      <c r="AG455" s="85"/>
      <c r="AI455" s="85"/>
    </row>
    <row r="456" spans="6:35">
      <c r="F456" s="103"/>
      <c r="G456" s="103"/>
      <c r="H456" s="103"/>
      <c r="I456" s="103"/>
      <c r="Z456" s="85"/>
      <c r="AA456" s="85"/>
      <c r="AB456" s="85"/>
      <c r="AE456" s="85"/>
      <c r="AG456" s="85"/>
      <c r="AI456" s="85"/>
    </row>
    <row r="457" spans="6:35">
      <c r="F457" s="103"/>
      <c r="G457" s="103"/>
      <c r="H457" s="103"/>
      <c r="I457" s="103"/>
      <c r="Z457" s="85"/>
      <c r="AA457" s="85"/>
      <c r="AB457" s="85"/>
      <c r="AE457" s="85"/>
      <c r="AG457" s="85"/>
      <c r="AI457" s="85"/>
    </row>
    <row r="458" spans="6:35">
      <c r="F458" s="103"/>
      <c r="G458" s="103"/>
      <c r="H458" s="103"/>
      <c r="I458" s="103"/>
      <c r="Z458" s="85"/>
      <c r="AA458" s="85"/>
      <c r="AB458" s="85"/>
      <c r="AE458" s="85"/>
      <c r="AG458" s="85"/>
      <c r="AI458" s="85"/>
    </row>
    <row r="459" spans="6:35">
      <c r="F459" s="103"/>
      <c r="G459" s="103"/>
      <c r="H459" s="103"/>
      <c r="I459" s="103"/>
      <c r="Z459" s="85"/>
      <c r="AA459" s="85"/>
      <c r="AB459" s="85"/>
      <c r="AE459" s="85"/>
      <c r="AG459" s="85"/>
      <c r="AI459" s="85"/>
    </row>
    <row r="460" spans="6:35">
      <c r="F460" s="103"/>
      <c r="G460" s="103"/>
      <c r="H460" s="103"/>
      <c r="I460" s="103"/>
      <c r="Z460" s="85"/>
      <c r="AA460" s="85"/>
      <c r="AB460" s="85"/>
      <c r="AE460" s="85"/>
      <c r="AG460" s="85"/>
      <c r="AI460" s="85"/>
    </row>
    <row r="461" spans="6:35">
      <c r="F461" s="103"/>
      <c r="G461" s="103"/>
      <c r="H461" s="103"/>
      <c r="I461" s="103"/>
      <c r="Z461" s="85"/>
      <c r="AA461" s="85"/>
      <c r="AB461" s="85"/>
      <c r="AE461" s="85"/>
      <c r="AG461" s="85"/>
      <c r="AI461" s="85"/>
    </row>
    <row r="462" spans="6:35">
      <c r="F462" s="103"/>
      <c r="G462" s="103"/>
      <c r="H462" s="103"/>
      <c r="I462" s="103"/>
      <c r="Z462" s="85"/>
      <c r="AA462" s="85"/>
      <c r="AB462" s="85"/>
      <c r="AE462" s="85"/>
      <c r="AG462" s="85"/>
      <c r="AI462" s="85"/>
    </row>
    <row r="463" spans="6:35">
      <c r="F463" s="103"/>
      <c r="G463" s="103"/>
      <c r="H463" s="103"/>
      <c r="I463" s="103"/>
      <c r="Z463" s="85"/>
      <c r="AA463" s="85"/>
      <c r="AB463" s="85"/>
      <c r="AE463" s="85"/>
      <c r="AG463" s="85"/>
      <c r="AI463" s="85"/>
    </row>
    <row r="464" spans="6:35">
      <c r="F464" s="103"/>
      <c r="G464" s="103"/>
      <c r="H464" s="103"/>
      <c r="I464" s="103"/>
      <c r="Z464" s="85"/>
      <c r="AA464" s="85"/>
      <c r="AB464" s="85"/>
      <c r="AE464" s="85"/>
      <c r="AG464" s="85"/>
      <c r="AI464" s="85"/>
    </row>
    <row r="465" spans="6:35">
      <c r="F465" s="103"/>
      <c r="G465" s="103"/>
      <c r="H465" s="103"/>
      <c r="I465" s="103"/>
      <c r="Z465" s="85"/>
      <c r="AA465" s="85"/>
      <c r="AB465" s="85"/>
      <c r="AE465" s="85"/>
      <c r="AG465" s="85"/>
      <c r="AI465" s="85"/>
    </row>
    <row r="466" spans="6:35">
      <c r="F466" s="103"/>
      <c r="G466" s="103"/>
      <c r="H466" s="103"/>
      <c r="I466" s="103"/>
      <c r="Z466" s="85"/>
      <c r="AA466" s="85"/>
      <c r="AB466" s="85"/>
      <c r="AE466" s="85"/>
      <c r="AG466" s="85"/>
      <c r="AI466" s="85"/>
    </row>
    <row r="467" spans="6:35">
      <c r="F467" s="103"/>
      <c r="G467" s="103"/>
      <c r="H467" s="103"/>
      <c r="I467" s="103"/>
      <c r="Z467" s="85"/>
      <c r="AA467" s="85"/>
      <c r="AB467" s="85"/>
      <c r="AC467" s="85"/>
      <c r="AE467" s="85"/>
      <c r="AI467" s="85"/>
    </row>
    <row r="468" spans="6:35">
      <c r="F468" s="103"/>
      <c r="G468" s="103"/>
      <c r="H468" s="103"/>
      <c r="I468" s="103"/>
      <c r="Z468" s="85"/>
      <c r="AA468" s="85"/>
      <c r="AB468" s="85"/>
      <c r="AC468" s="85"/>
      <c r="AE468" s="85"/>
      <c r="AI468" s="85"/>
    </row>
    <row r="469" spans="6:35">
      <c r="F469" s="103"/>
      <c r="G469" s="103"/>
      <c r="H469" s="103"/>
      <c r="I469" s="103"/>
      <c r="Z469" s="85"/>
      <c r="AA469" s="85"/>
      <c r="AB469" s="85"/>
      <c r="AC469" s="85"/>
      <c r="AE469" s="85"/>
      <c r="AI469" s="85"/>
    </row>
    <row r="470" spans="6:35">
      <c r="F470" s="103"/>
      <c r="G470" s="103"/>
      <c r="H470" s="103"/>
      <c r="I470" s="103"/>
      <c r="Z470" s="85"/>
      <c r="AA470" s="85"/>
      <c r="AB470" s="85"/>
      <c r="AC470" s="85"/>
      <c r="AE470" s="85"/>
      <c r="AI470" s="85"/>
    </row>
    <row r="471" spans="6:35">
      <c r="F471" s="103"/>
      <c r="G471" s="103"/>
      <c r="H471" s="103"/>
      <c r="I471" s="103"/>
      <c r="Z471" s="85"/>
      <c r="AA471" s="85"/>
      <c r="AB471" s="85"/>
      <c r="AC471" s="85"/>
      <c r="AE471" s="85"/>
      <c r="AI471" s="85"/>
    </row>
    <row r="472" spans="6:35">
      <c r="F472" s="103"/>
      <c r="G472" s="103"/>
      <c r="H472" s="103"/>
      <c r="I472" s="103"/>
      <c r="Z472" s="85"/>
      <c r="AA472" s="85"/>
      <c r="AB472" s="85"/>
      <c r="AC472" s="85"/>
      <c r="AE472" s="85"/>
      <c r="AI472" s="85"/>
    </row>
    <row r="473" spans="6:35">
      <c r="F473" s="103"/>
      <c r="G473" s="103"/>
      <c r="H473" s="103"/>
      <c r="I473" s="103"/>
      <c r="Z473" s="85"/>
      <c r="AA473" s="85"/>
      <c r="AB473" s="85"/>
      <c r="AC473" s="85"/>
      <c r="AE473" s="85"/>
      <c r="AI473" s="85"/>
    </row>
    <row r="474" spans="6:35">
      <c r="F474" s="103"/>
      <c r="G474" s="103"/>
      <c r="H474" s="103"/>
      <c r="I474" s="103"/>
      <c r="Z474" s="85"/>
      <c r="AA474" s="85"/>
      <c r="AB474" s="85"/>
      <c r="AC474" s="85"/>
      <c r="AE474" s="85"/>
      <c r="AI474" s="85"/>
    </row>
    <row r="475" spans="6:35">
      <c r="F475" s="103"/>
      <c r="G475" s="103"/>
      <c r="H475" s="103"/>
      <c r="I475" s="103"/>
      <c r="Z475" s="85"/>
      <c r="AA475" s="85"/>
      <c r="AB475" s="85"/>
      <c r="AC475" s="85"/>
      <c r="AE475" s="85"/>
      <c r="AI475" s="85"/>
    </row>
    <row r="476" spans="6:35">
      <c r="F476" s="103"/>
      <c r="G476" s="103"/>
      <c r="H476" s="103"/>
      <c r="I476" s="103"/>
      <c r="Z476" s="85"/>
      <c r="AA476" s="85"/>
      <c r="AB476" s="85"/>
      <c r="AC476" s="85"/>
      <c r="AE476" s="85"/>
      <c r="AI476" s="85"/>
    </row>
    <row r="477" spans="6:35">
      <c r="F477" s="103"/>
      <c r="G477" s="103"/>
      <c r="H477" s="103"/>
      <c r="I477" s="103"/>
      <c r="Z477" s="85"/>
      <c r="AA477" s="85"/>
      <c r="AB477" s="85"/>
      <c r="AC477" s="85"/>
      <c r="AE477" s="85"/>
      <c r="AI477" s="85"/>
    </row>
    <row r="478" spans="6:35">
      <c r="F478" s="103"/>
      <c r="G478" s="103"/>
      <c r="H478" s="103"/>
      <c r="I478" s="103"/>
      <c r="Z478" s="85"/>
      <c r="AA478" s="85"/>
      <c r="AB478" s="85"/>
      <c r="AC478" s="85"/>
      <c r="AE478" s="85"/>
      <c r="AI478" s="85"/>
    </row>
    <row r="479" spans="6:35">
      <c r="F479" s="103"/>
      <c r="G479" s="103"/>
      <c r="H479" s="103"/>
      <c r="I479" s="103"/>
      <c r="Z479" s="85"/>
      <c r="AA479" s="85"/>
      <c r="AB479" s="85"/>
      <c r="AC479" s="85"/>
      <c r="AE479" s="85"/>
      <c r="AI479" s="85"/>
    </row>
    <row r="480" spans="6:35">
      <c r="F480" s="103"/>
      <c r="G480" s="103"/>
      <c r="H480" s="103"/>
      <c r="I480" s="103"/>
      <c r="Z480" s="85"/>
      <c r="AA480" s="85"/>
      <c r="AB480" s="85"/>
      <c r="AC480" s="85"/>
      <c r="AE480" s="85"/>
      <c r="AI480" s="85"/>
    </row>
    <row r="481" spans="6:35">
      <c r="F481" s="103"/>
      <c r="G481" s="103"/>
      <c r="H481" s="103"/>
      <c r="I481" s="103"/>
      <c r="Z481" s="85"/>
      <c r="AA481" s="85"/>
      <c r="AB481" s="85"/>
      <c r="AC481" s="85"/>
      <c r="AE481" s="85"/>
      <c r="AI481" s="85"/>
    </row>
    <row r="482" spans="6:35">
      <c r="F482" s="103"/>
      <c r="G482" s="103"/>
      <c r="H482" s="103"/>
      <c r="I482" s="103"/>
      <c r="Z482" s="85"/>
      <c r="AA482" s="85"/>
      <c r="AB482" s="85"/>
      <c r="AC482" s="85"/>
      <c r="AE482" s="85"/>
    </row>
    <row r="483" spans="6:35">
      <c r="F483" s="103"/>
      <c r="G483" s="103"/>
      <c r="H483" s="103"/>
      <c r="I483" s="103"/>
      <c r="Z483" s="85"/>
      <c r="AA483" s="85"/>
      <c r="AB483" s="85"/>
      <c r="AC483" s="85"/>
      <c r="AE483" s="85"/>
    </row>
    <row r="484" spans="6:35">
      <c r="F484" s="103"/>
      <c r="G484" s="103"/>
      <c r="H484" s="103"/>
      <c r="I484" s="103"/>
      <c r="Z484" s="85"/>
      <c r="AA484" s="85"/>
      <c r="AB484" s="85"/>
      <c r="AC484" s="85"/>
      <c r="AE484" s="85"/>
    </row>
    <row r="485" spans="6:35">
      <c r="F485" s="103"/>
      <c r="G485" s="103"/>
      <c r="H485" s="103"/>
      <c r="I485" s="103"/>
      <c r="Z485" s="85"/>
      <c r="AA485" s="85"/>
      <c r="AB485" s="85"/>
      <c r="AC485" s="85"/>
      <c r="AE485" s="85"/>
    </row>
    <row r="486" spans="6:35">
      <c r="F486" s="103"/>
      <c r="G486" s="103"/>
      <c r="H486" s="103"/>
      <c r="I486" s="103"/>
      <c r="Z486" s="85"/>
      <c r="AA486" s="85"/>
      <c r="AB486" s="85"/>
      <c r="AC486" s="85"/>
      <c r="AE486" s="85"/>
    </row>
    <row r="487" spans="6:35">
      <c r="F487" s="103"/>
      <c r="G487" s="103"/>
      <c r="H487" s="103"/>
      <c r="I487" s="103"/>
      <c r="Z487" s="85"/>
      <c r="AA487" s="85"/>
      <c r="AB487" s="85"/>
      <c r="AC487" s="85"/>
      <c r="AE487" s="85"/>
    </row>
    <row r="488" spans="6:35">
      <c r="F488" s="103"/>
      <c r="G488" s="103"/>
      <c r="H488" s="103"/>
      <c r="I488" s="103"/>
      <c r="Z488" s="85"/>
      <c r="AA488" s="85"/>
      <c r="AB488" s="85"/>
      <c r="AC488" s="85"/>
      <c r="AE488" s="85"/>
    </row>
    <row r="489" spans="6:35">
      <c r="F489" s="103"/>
      <c r="G489" s="103"/>
      <c r="H489" s="103"/>
      <c r="I489" s="103"/>
      <c r="Z489" s="85"/>
      <c r="AA489" s="85"/>
      <c r="AB489" s="85"/>
      <c r="AC489" s="85"/>
      <c r="AE489" s="85"/>
    </row>
    <row r="490" spans="6:35">
      <c r="F490" s="103"/>
      <c r="G490" s="103"/>
      <c r="H490" s="103"/>
      <c r="I490" s="103"/>
      <c r="Z490" s="85"/>
      <c r="AA490" s="85"/>
      <c r="AB490" s="85"/>
      <c r="AC490" s="85"/>
      <c r="AE490" s="85"/>
    </row>
    <row r="491" spans="6:35">
      <c r="F491" s="103"/>
      <c r="G491" s="103"/>
      <c r="H491" s="103"/>
      <c r="I491" s="103"/>
      <c r="Z491" s="85"/>
      <c r="AA491" s="85"/>
      <c r="AB491" s="85"/>
      <c r="AC491" s="85"/>
      <c r="AE491" s="85"/>
    </row>
    <row r="492" spans="6:35">
      <c r="F492" s="103"/>
      <c r="G492" s="103"/>
      <c r="H492" s="103"/>
      <c r="I492" s="103"/>
      <c r="Z492" s="85"/>
      <c r="AA492" s="85"/>
      <c r="AB492" s="85"/>
      <c r="AC492" s="85"/>
      <c r="AE492" s="85"/>
    </row>
    <row r="493" spans="6:35">
      <c r="F493" s="103"/>
      <c r="G493" s="103"/>
      <c r="H493" s="103"/>
      <c r="I493" s="103"/>
      <c r="Z493" s="85"/>
      <c r="AA493" s="85"/>
      <c r="AB493" s="85"/>
      <c r="AC493" s="85"/>
      <c r="AE493" s="85"/>
    </row>
    <row r="494" spans="6:35">
      <c r="F494" s="103"/>
      <c r="G494" s="103"/>
      <c r="H494" s="103"/>
      <c r="I494" s="103"/>
      <c r="Z494" s="85"/>
      <c r="AA494" s="85"/>
      <c r="AB494" s="85"/>
      <c r="AC494" s="85"/>
      <c r="AE494" s="85"/>
    </row>
    <row r="495" spans="6:35">
      <c r="F495" s="103"/>
      <c r="G495" s="103"/>
      <c r="H495" s="103"/>
      <c r="I495" s="103"/>
      <c r="Z495" s="85"/>
      <c r="AA495" s="85"/>
      <c r="AB495" s="85"/>
      <c r="AC495" s="85"/>
      <c r="AE495" s="85"/>
    </row>
    <row r="496" spans="6:35">
      <c r="F496" s="103"/>
      <c r="G496" s="103"/>
      <c r="H496" s="103"/>
      <c r="I496" s="103"/>
      <c r="Z496" s="85"/>
      <c r="AA496" s="85"/>
      <c r="AB496" s="85"/>
      <c r="AC496" s="85"/>
      <c r="AE496" s="85"/>
    </row>
    <row r="497" spans="6:31">
      <c r="F497" s="103"/>
      <c r="G497" s="103"/>
      <c r="H497" s="103"/>
      <c r="I497" s="103"/>
      <c r="Z497" s="85"/>
      <c r="AA497" s="85"/>
      <c r="AB497" s="85"/>
      <c r="AC497" s="85"/>
      <c r="AE497" s="85"/>
    </row>
    <row r="498" spans="6:31">
      <c r="F498" s="103"/>
      <c r="G498" s="103"/>
      <c r="H498" s="103"/>
      <c r="I498" s="103"/>
      <c r="Z498" s="85"/>
      <c r="AA498" s="85"/>
      <c r="AB498" s="85"/>
      <c r="AC498" s="85"/>
      <c r="AE498" s="85"/>
    </row>
    <row r="499" spans="6:31">
      <c r="F499" s="103"/>
      <c r="G499" s="103"/>
      <c r="H499" s="103"/>
      <c r="I499" s="103"/>
      <c r="Z499" s="85"/>
      <c r="AA499" s="85"/>
      <c r="AB499" s="85"/>
      <c r="AC499" s="85"/>
      <c r="AE499" s="85"/>
    </row>
    <row r="500" spans="6:31">
      <c r="F500" s="103"/>
      <c r="G500" s="103"/>
      <c r="H500" s="103"/>
      <c r="I500" s="103"/>
      <c r="Z500" s="85"/>
      <c r="AA500" s="85"/>
      <c r="AB500" s="85"/>
      <c r="AC500" s="85"/>
      <c r="AE500" s="85"/>
    </row>
    <row r="501" spans="6:31">
      <c r="F501" s="103"/>
      <c r="G501" s="103"/>
      <c r="H501" s="103"/>
      <c r="I501" s="103"/>
      <c r="Z501" s="85"/>
      <c r="AA501" s="85"/>
      <c r="AB501" s="85"/>
      <c r="AC501" s="85"/>
      <c r="AE501" s="85"/>
    </row>
    <row r="502" spans="6:31">
      <c r="F502" s="103"/>
      <c r="G502" s="103"/>
      <c r="H502" s="103"/>
      <c r="I502" s="103"/>
      <c r="Z502" s="85"/>
      <c r="AA502" s="85"/>
      <c r="AB502" s="85"/>
      <c r="AC502" s="85"/>
      <c r="AE502" s="85"/>
    </row>
    <row r="503" spans="6:31">
      <c r="F503" s="103"/>
      <c r="G503" s="103"/>
      <c r="H503" s="103"/>
      <c r="I503" s="103"/>
      <c r="Z503" s="85"/>
      <c r="AA503" s="85"/>
      <c r="AB503" s="85"/>
      <c r="AC503" s="85"/>
      <c r="AE503" s="85"/>
    </row>
    <row r="504" spans="6:31">
      <c r="F504" s="103"/>
      <c r="G504" s="103"/>
      <c r="H504" s="103"/>
      <c r="I504" s="103"/>
      <c r="Z504" s="85"/>
      <c r="AA504" s="85"/>
      <c r="AB504" s="85"/>
      <c r="AC504" s="85"/>
      <c r="AE504" s="85"/>
    </row>
    <row r="505" spans="6:31">
      <c r="F505" s="103"/>
      <c r="G505" s="103"/>
      <c r="H505" s="103"/>
      <c r="I505" s="103"/>
      <c r="Z505" s="85"/>
      <c r="AA505" s="85"/>
      <c r="AB505" s="85"/>
      <c r="AC505" s="85"/>
      <c r="AE505" s="85"/>
    </row>
    <row r="506" spans="6:31">
      <c r="F506" s="103"/>
      <c r="G506" s="103"/>
      <c r="H506" s="103"/>
      <c r="I506" s="103"/>
      <c r="Z506" s="85"/>
      <c r="AA506" s="85"/>
      <c r="AB506" s="85"/>
      <c r="AC506" s="85"/>
    </row>
    <row r="507" spans="6:31">
      <c r="F507" s="103"/>
      <c r="G507" s="103"/>
      <c r="H507" s="103"/>
      <c r="I507" s="103"/>
      <c r="Z507" s="85"/>
      <c r="AA507" s="85"/>
      <c r="AB507" s="85"/>
      <c r="AC507" s="85"/>
    </row>
    <row r="508" spans="6:31">
      <c r="F508" s="103"/>
      <c r="G508" s="103"/>
      <c r="H508" s="103"/>
      <c r="I508" s="103"/>
      <c r="Z508" s="85"/>
      <c r="AA508" s="85"/>
      <c r="AB508" s="85"/>
      <c r="AC508" s="85"/>
    </row>
    <row r="509" spans="6:31">
      <c r="F509" s="103"/>
      <c r="G509" s="103"/>
      <c r="H509" s="103"/>
      <c r="I509" s="103"/>
      <c r="Z509" s="85"/>
      <c r="AA509" s="85"/>
      <c r="AB509" s="85"/>
      <c r="AC509" s="85"/>
    </row>
    <row r="510" spans="6:31">
      <c r="F510" s="103"/>
      <c r="G510" s="103"/>
      <c r="H510" s="103"/>
      <c r="I510" s="103"/>
      <c r="Z510" s="85"/>
      <c r="AA510" s="85"/>
      <c r="AB510" s="85"/>
      <c r="AC510" s="85"/>
    </row>
    <row r="511" spans="6:31">
      <c r="F511" s="103"/>
      <c r="G511" s="103"/>
      <c r="H511" s="103"/>
      <c r="I511" s="103"/>
      <c r="Z511" s="85"/>
      <c r="AA511" s="85"/>
      <c r="AB511" s="85"/>
      <c r="AC511" s="85"/>
    </row>
    <row r="512" spans="6:31">
      <c r="F512" s="103"/>
      <c r="G512" s="103"/>
      <c r="H512" s="103"/>
      <c r="I512" s="103"/>
      <c r="Z512" s="85"/>
      <c r="AA512" s="85"/>
      <c r="AB512" s="85"/>
      <c r="AC512" s="85"/>
    </row>
    <row r="513" spans="6:29">
      <c r="F513" s="103"/>
      <c r="G513" s="103"/>
      <c r="H513" s="103"/>
      <c r="I513" s="103"/>
      <c r="Z513" s="85"/>
      <c r="AA513" s="85"/>
      <c r="AB513" s="85"/>
      <c r="AC513" s="85"/>
    </row>
    <row r="514" spans="6:29">
      <c r="F514" s="103"/>
      <c r="G514" s="103"/>
      <c r="H514" s="103"/>
      <c r="I514" s="103"/>
      <c r="Z514" s="85"/>
      <c r="AA514" s="85"/>
      <c r="AB514" s="85"/>
      <c r="AC514" s="85"/>
    </row>
    <row r="515" spans="6:29">
      <c r="F515" s="103"/>
      <c r="G515" s="103"/>
      <c r="H515" s="103"/>
      <c r="I515" s="103"/>
      <c r="Z515" s="85"/>
      <c r="AA515" s="85"/>
      <c r="AB515" s="85"/>
      <c r="AC515" s="85"/>
    </row>
    <row r="516" spans="6:29">
      <c r="F516" s="103"/>
      <c r="G516" s="103"/>
      <c r="H516" s="103"/>
      <c r="I516" s="103"/>
      <c r="Z516" s="85"/>
      <c r="AA516" s="85"/>
      <c r="AB516" s="85"/>
      <c r="AC516" s="85"/>
    </row>
    <row r="517" spans="6:29">
      <c r="F517" s="103"/>
      <c r="G517" s="103"/>
      <c r="H517" s="103"/>
      <c r="I517" s="103"/>
      <c r="Z517" s="85"/>
      <c r="AA517" s="85"/>
      <c r="AB517" s="85"/>
      <c r="AC517" s="85"/>
    </row>
    <row r="518" spans="6:29">
      <c r="F518" s="103"/>
      <c r="G518" s="103"/>
      <c r="H518" s="103"/>
      <c r="I518" s="103"/>
      <c r="Z518" s="85"/>
      <c r="AA518" s="85"/>
      <c r="AB518" s="85"/>
      <c r="AC518" s="85"/>
    </row>
    <row r="519" spans="6:29">
      <c r="F519" s="103"/>
      <c r="G519" s="103"/>
      <c r="H519" s="103"/>
      <c r="I519" s="103"/>
      <c r="Z519" s="85"/>
      <c r="AA519" s="85"/>
      <c r="AB519" s="85"/>
      <c r="AC519" s="85"/>
    </row>
    <row r="520" spans="6:29">
      <c r="F520" s="103"/>
      <c r="G520" s="103"/>
      <c r="H520" s="103"/>
      <c r="I520" s="103"/>
      <c r="Z520" s="85"/>
      <c r="AA520" s="85"/>
      <c r="AB520" s="85"/>
      <c r="AC520" s="85"/>
    </row>
    <row r="521" spans="6:29">
      <c r="F521" s="103"/>
      <c r="G521" s="103"/>
      <c r="H521" s="103"/>
      <c r="I521" s="103"/>
      <c r="Z521" s="85"/>
      <c r="AA521" s="85"/>
      <c r="AB521" s="85"/>
      <c r="AC521" s="85"/>
    </row>
    <row r="522" spans="6:29">
      <c r="F522" s="103"/>
      <c r="G522" s="103"/>
      <c r="H522" s="103"/>
      <c r="I522" s="103"/>
      <c r="Z522" s="85"/>
      <c r="AA522" s="85"/>
      <c r="AB522" s="85"/>
      <c r="AC522" s="85"/>
    </row>
    <row r="523" spans="6:29">
      <c r="F523" s="103"/>
      <c r="G523" s="103"/>
      <c r="H523" s="103"/>
      <c r="I523" s="103"/>
      <c r="Z523" s="85"/>
      <c r="AA523" s="85"/>
      <c r="AB523" s="85"/>
      <c r="AC523" s="85"/>
    </row>
    <row r="524" spans="6:29">
      <c r="F524" s="103"/>
      <c r="G524" s="103"/>
      <c r="H524" s="103"/>
      <c r="I524" s="103"/>
      <c r="Z524" s="85"/>
      <c r="AA524" s="85"/>
      <c r="AB524" s="85"/>
      <c r="AC524" s="85"/>
    </row>
    <row r="525" spans="6:29">
      <c r="F525" s="103"/>
      <c r="G525" s="103"/>
      <c r="H525" s="103"/>
      <c r="I525" s="103"/>
      <c r="Z525" s="85"/>
      <c r="AA525" s="85"/>
      <c r="AB525" s="85"/>
      <c r="AC525" s="85"/>
    </row>
    <row r="526" spans="6:29">
      <c r="F526" s="103"/>
      <c r="G526" s="103"/>
      <c r="H526" s="103"/>
      <c r="I526" s="103"/>
      <c r="Z526" s="85"/>
      <c r="AA526" s="85"/>
      <c r="AB526" s="85"/>
      <c r="AC526" s="85"/>
    </row>
    <row r="527" spans="6:29">
      <c r="F527" s="103"/>
      <c r="G527" s="103"/>
      <c r="H527" s="103"/>
      <c r="I527" s="103"/>
      <c r="Z527" s="85"/>
      <c r="AA527" s="85"/>
      <c r="AB527" s="85"/>
      <c r="AC527" s="85"/>
    </row>
    <row r="528" spans="6:29">
      <c r="F528" s="103"/>
      <c r="G528" s="103"/>
      <c r="H528" s="103"/>
      <c r="I528" s="103"/>
      <c r="Z528" s="85"/>
      <c r="AA528" s="85"/>
      <c r="AB528" s="85"/>
      <c r="AC528" s="85"/>
    </row>
    <row r="529" spans="6:29">
      <c r="F529" s="103"/>
      <c r="G529" s="103"/>
      <c r="H529" s="103"/>
      <c r="I529" s="103"/>
      <c r="Z529" s="85"/>
      <c r="AA529" s="85"/>
      <c r="AB529" s="85"/>
      <c r="AC529" s="85"/>
    </row>
    <row r="530" spans="6:29">
      <c r="F530" s="103"/>
      <c r="G530" s="103"/>
      <c r="H530" s="103"/>
      <c r="I530" s="103"/>
      <c r="Z530" s="85"/>
      <c r="AA530" s="85"/>
      <c r="AB530" s="85"/>
      <c r="AC530" s="85"/>
    </row>
    <row r="531" spans="6:29">
      <c r="F531" s="103"/>
      <c r="G531" s="103"/>
      <c r="H531" s="103"/>
      <c r="I531" s="103"/>
      <c r="Z531" s="85"/>
      <c r="AA531" s="85"/>
      <c r="AB531" s="85"/>
      <c r="AC531" s="85"/>
    </row>
    <row r="532" spans="6:29">
      <c r="F532" s="103"/>
      <c r="G532" s="103"/>
      <c r="H532" s="103"/>
      <c r="I532" s="103"/>
      <c r="Z532" s="85"/>
      <c r="AA532" s="85"/>
      <c r="AB532" s="85"/>
      <c r="AC532" s="85"/>
    </row>
    <row r="533" spans="6:29">
      <c r="F533" s="103"/>
      <c r="G533" s="103"/>
      <c r="H533" s="103"/>
      <c r="I533" s="103"/>
      <c r="Z533" s="85"/>
      <c r="AA533" s="85"/>
      <c r="AB533" s="85"/>
      <c r="AC533" s="85"/>
    </row>
    <row r="534" spans="6:29">
      <c r="F534" s="103"/>
      <c r="G534" s="103"/>
      <c r="H534" s="103"/>
      <c r="I534" s="103"/>
      <c r="Z534" s="85"/>
      <c r="AA534" s="85"/>
      <c r="AB534" s="85"/>
      <c r="AC534" s="85"/>
    </row>
    <row r="535" spans="6:29">
      <c r="F535" s="103"/>
      <c r="G535" s="103"/>
      <c r="H535" s="103"/>
      <c r="I535" s="103"/>
      <c r="Z535" s="85"/>
      <c r="AA535" s="85"/>
      <c r="AB535" s="85"/>
      <c r="AC535" s="85"/>
    </row>
    <row r="536" spans="6:29">
      <c r="F536" s="103"/>
      <c r="G536" s="103"/>
      <c r="H536" s="103"/>
      <c r="I536" s="103"/>
      <c r="Z536" s="85"/>
      <c r="AA536" s="85"/>
      <c r="AB536" s="85"/>
      <c r="AC536" s="85"/>
    </row>
    <row r="537" spans="6:29">
      <c r="F537" s="103"/>
      <c r="G537" s="103"/>
      <c r="H537" s="103"/>
      <c r="I537" s="103"/>
      <c r="Z537" s="85"/>
      <c r="AA537" s="85"/>
      <c r="AB537" s="85"/>
      <c r="AC537" s="85"/>
    </row>
    <row r="538" spans="6:29">
      <c r="F538" s="103"/>
      <c r="G538" s="103"/>
      <c r="H538" s="103"/>
      <c r="I538" s="103"/>
      <c r="Z538" s="85"/>
      <c r="AA538" s="85"/>
      <c r="AB538" s="85"/>
      <c r="AC538" s="85"/>
    </row>
    <row r="539" spans="6:29">
      <c r="F539" s="103"/>
      <c r="G539" s="103"/>
      <c r="H539" s="103"/>
      <c r="I539" s="103"/>
      <c r="Z539" s="85"/>
      <c r="AA539" s="85"/>
      <c r="AB539" s="85"/>
      <c r="AC539" s="85"/>
    </row>
    <row r="540" spans="6:29">
      <c r="F540" s="103"/>
      <c r="G540" s="103"/>
      <c r="H540" s="103"/>
      <c r="I540" s="103"/>
      <c r="Z540" s="85"/>
      <c r="AA540" s="85"/>
      <c r="AB540" s="85"/>
      <c r="AC540" s="85"/>
    </row>
    <row r="541" spans="6:29">
      <c r="F541" s="103"/>
      <c r="G541" s="103"/>
      <c r="H541" s="103"/>
      <c r="I541" s="103"/>
      <c r="Z541" s="85"/>
      <c r="AA541" s="85"/>
      <c r="AB541" s="85"/>
      <c r="AC541" s="85"/>
    </row>
    <row r="542" spans="6:29">
      <c r="F542" s="103"/>
      <c r="G542" s="103"/>
      <c r="H542" s="103"/>
      <c r="I542" s="103"/>
      <c r="Z542" s="85"/>
      <c r="AA542" s="85"/>
      <c r="AB542" s="85"/>
      <c r="AC542" s="85"/>
    </row>
    <row r="543" spans="6:29">
      <c r="F543" s="103"/>
      <c r="G543" s="103"/>
      <c r="H543" s="103"/>
      <c r="I543" s="103"/>
      <c r="Z543" s="85"/>
      <c r="AA543" s="85"/>
      <c r="AB543" s="85"/>
      <c r="AC543" s="85"/>
    </row>
    <row r="544" spans="6:29">
      <c r="F544" s="103"/>
      <c r="G544" s="103"/>
      <c r="H544" s="103"/>
      <c r="I544" s="103"/>
      <c r="Z544" s="85"/>
      <c r="AA544" s="85"/>
      <c r="AB544" s="85"/>
      <c r="AC544" s="85"/>
    </row>
    <row r="545" spans="6:29">
      <c r="F545" s="103"/>
      <c r="G545" s="103"/>
      <c r="H545" s="103"/>
      <c r="I545" s="103"/>
      <c r="Z545" s="85"/>
      <c r="AA545" s="85"/>
      <c r="AB545" s="85"/>
      <c r="AC545" s="85"/>
    </row>
    <row r="546" spans="6:29">
      <c r="F546" s="103"/>
      <c r="G546" s="103"/>
      <c r="H546" s="103"/>
      <c r="I546" s="103"/>
      <c r="Z546" s="85"/>
      <c r="AA546" s="85"/>
      <c r="AB546" s="85"/>
      <c r="AC546" s="85"/>
    </row>
    <row r="547" spans="6:29">
      <c r="F547" s="103"/>
      <c r="G547" s="103"/>
      <c r="H547" s="103"/>
      <c r="I547" s="103"/>
      <c r="Z547" s="85"/>
      <c r="AA547" s="85"/>
      <c r="AB547" s="85"/>
      <c r="AC547" s="85"/>
    </row>
    <row r="548" spans="6:29">
      <c r="F548" s="103"/>
      <c r="G548" s="103"/>
      <c r="H548" s="103"/>
      <c r="I548" s="103"/>
      <c r="Z548" s="85"/>
      <c r="AA548" s="85"/>
      <c r="AB548" s="85"/>
      <c r="AC548" s="85"/>
    </row>
    <row r="549" spans="6:29">
      <c r="F549" s="103"/>
      <c r="G549" s="103"/>
      <c r="H549" s="103"/>
      <c r="I549" s="103"/>
      <c r="Z549" s="85"/>
      <c r="AA549" s="85"/>
      <c r="AB549" s="85"/>
      <c r="AC549" s="85"/>
    </row>
    <row r="550" spans="6:29">
      <c r="F550" s="103"/>
      <c r="G550" s="103"/>
      <c r="H550" s="103"/>
      <c r="I550" s="103"/>
      <c r="Z550" s="85"/>
      <c r="AA550" s="85"/>
      <c r="AB550" s="85"/>
      <c r="AC550" s="85"/>
    </row>
    <row r="551" spans="6:29">
      <c r="F551" s="103"/>
      <c r="G551" s="103"/>
      <c r="H551" s="103"/>
      <c r="I551" s="103"/>
      <c r="Z551" s="85"/>
      <c r="AA551" s="85"/>
      <c r="AB551" s="85"/>
      <c r="AC551" s="85"/>
    </row>
    <row r="552" spans="6:29">
      <c r="F552" s="103"/>
      <c r="G552" s="103"/>
      <c r="H552" s="103"/>
      <c r="I552" s="103"/>
      <c r="Z552" s="85"/>
      <c r="AA552" s="85"/>
      <c r="AB552" s="85"/>
      <c r="AC552" s="85"/>
    </row>
    <row r="553" spans="6:29">
      <c r="F553" s="103"/>
      <c r="G553" s="103"/>
      <c r="H553" s="103"/>
      <c r="I553" s="103"/>
      <c r="Z553" s="85"/>
      <c r="AA553" s="85"/>
      <c r="AB553" s="85"/>
      <c r="AC553" s="85"/>
    </row>
    <row r="554" spans="6:29">
      <c r="F554" s="103"/>
      <c r="G554" s="103"/>
      <c r="H554" s="103"/>
      <c r="I554" s="103"/>
      <c r="Z554" s="85"/>
      <c r="AA554" s="85"/>
      <c r="AB554" s="85"/>
      <c r="AC554" s="85"/>
    </row>
    <row r="555" spans="6:29">
      <c r="F555" s="103"/>
      <c r="G555" s="103"/>
      <c r="H555" s="103"/>
      <c r="I555" s="103"/>
      <c r="Z555" s="85"/>
      <c r="AA555" s="85"/>
      <c r="AB555" s="85"/>
      <c r="AC555" s="85"/>
    </row>
    <row r="556" spans="6:29">
      <c r="F556" s="103"/>
      <c r="G556" s="103"/>
      <c r="H556" s="103"/>
      <c r="I556" s="103"/>
      <c r="Z556" s="85"/>
      <c r="AA556" s="85"/>
      <c r="AB556" s="85"/>
      <c r="AC556" s="85"/>
    </row>
    <row r="557" spans="6:29">
      <c r="F557" s="103"/>
      <c r="G557" s="103"/>
      <c r="H557" s="103"/>
      <c r="I557" s="103"/>
      <c r="Z557" s="85"/>
      <c r="AA557" s="85"/>
      <c r="AB557" s="85"/>
      <c r="AC557" s="85"/>
    </row>
    <row r="558" spans="6:29">
      <c r="F558" s="103"/>
      <c r="G558" s="103"/>
      <c r="H558" s="103"/>
      <c r="I558" s="103"/>
      <c r="Z558" s="85"/>
      <c r="AA558" s="85"/>
      <c r="AB558" s="85"/>
      <c r="AC558" s="85"/>
    </row>
    <row r="559" spans="6:29">
      <c r="F559" s="103"/>
      <c r="G559" s="103"/>
      <c r="H559" s="103"/>
      <c r="I559" s="103"/>
      <c r="Z559" s="85"/>
      <c r="AA559" s="85"/>
      <c r="AB559" s="85"/>
      <c r="AC559" s="85"/>
    </row>
    <row r="560" spans="6:29">
      <c r="F560" s="103"/>
      <c r="G560" s="103"/>
      <c r="H560" s="103"/>
      <c r="I560" s="103"/>
      <c r="Z560" s="85"/>
      <c r="AA560" s="85"/>
      <c r="AB560" s="85"/>
      <c r="AC560" s="85"/>
    </row>
    <row r="561" spans="6:29">
      <c r="F561" s="103"/>
      <c r="G561" s="103"/>
      <c r="H561" s="103"/>
      <c r="I561" s="103"/>
      <c r="Z561" s="85"/>
      <c r="AA561" s="85"/>
      <c r="AB561" s="85"/>
      <c r="AC561" s="85"/>
    </row>
    <row r="562" spans="6:29">
      <c r="F562" s="103"/>
      <c r="G562" s="103"/>
      <c r="H562" s="103"/>
      <c r="I562" s="103"/>
      <c r="Z562" s="85"/>
      <c r="AA562" s="85"/>
      <c r="AB562" s="85"/>
      <c r="AC562" s="85"/>
    </row>
    <row r="563" spans="6:29">
      <c r="F563" s="103"/>
      <c r="G563" s="103"/>
      <c r="H563" s="103"/>
      <c r="I563" s="103"/>
      <c r="Z563" s="85"/>
      <c r="AA563" s="85"/>
      <c r="AB563" s="85"/>
      <c r="AC563" s="85"/>
    </row>
    <row r="564" spans="6:29">
      <c r="F564" s="103"/>
      <c r="G564" s="103"/>
      <c r="H564" s="103"/>
      <c r="I564" s="103"/>
      <c r="Z564" s="85"/>
      <c r="AA564" s="85"/>
      <c r="AB564" s="85"/>
      <c r="AC564" s="85"/>
    </row>
    <row r="565" spans="6:29">
      <c r="F565" s="103"/>
      <c r="G565" s="103"/>
      <c r="H565" s="103"/>
      <c r="I565" s="103"/>
      <c r="Z565" s="85"/>
      <c r="AA565" s="85"/>
      <c r="AB565" s="85"/>
      <c r="AC565" s="85"/>
    </row>
    <row r="566" spans="6:29">
      <c r="F566" s="103"/>
      <c r="G566" s="103"/>
      <c r="H566" s="103"/>
      <c r="I566" s="103"/>
      <c r="Z566" s="85"/>
      <c r="AA566" s="85"/>
      <c r="AB566" s="85"/>
      <c r="AC566" s="85"/>
    </row>
    <row r="567" spans="6:29">
      <c r="F567" s="103"/>
      <c r="G567" s="103"/>
      <c r="H567" s="103"/>
      <c r="I567" s="103"/>
      <c r="Z567" s="85"/>
      <c r="AA567" s="85"/>
      <c r="AB567" s="85"/>
      <c r="AC567" s="85"/>
    </row>
    <row r="568" spans="6:29">
      <c r="F568" s="103"/>
      <c r="G568" s="103"/>
      <c r="H568" s="103"/>
      <c r="I568" s="103"/>
      <c r="Z568" s="85"/>
      <c r="AA568" s="85"/>
      <c r="AB568" s="85"/>
      <c r="AC568" s="85"/>
    </row>
    <row r="569" spans="6:29">
      <c r="F569" s="103"/>
      <c r="G569" s="103"/>
      <c r="H569" s="103"/>
      <c r="I569" s="103"/>
      <c r="Z569" s="85"/>
      <c r="AA569" s="85"/>
      <c r="AB569" s="85"/>
      <c r="AC569" s="85"/>
    </row>
    <row r="570" spans="6:29">
      <c r="F570" s="103"/>
      <c r="G570" s="103"/>
      <c r="H570" s="103"/>
      <c r="I570" s="103"/>
      <c r="Z570" s="85"/>
      <c r="AA570" s="85"/>
      <c r="AB570" s="85"/>
      <c r="AC570" s="85"/>
    </row>
    <row r="571" spans="6:29">
      <c r="F571" s="103"/>
      <c r="G571" s="103"/>
      <c r="H571" s="103"/>
      <c r="I571" s="103"/>
      <c r="Z571" s="85"/>
      <c r="AA571" s="85"/>
      <c r="AB571" s="85"/>
      <c r="AC571" s="85"/>
    </row>
    <row r="572" spans="6:29">
      <c r="F572" s="103"/>
      <c r="G572" s="103"/>
      <c r="H572" s="103"/>
      <c r="I572" s="103"/>
      <c r="Z572" s="85"/>
      <c r="AA572" s="85"/>
      <c r="AB572" s="85"/>
      <c r="AC572" s="85"/>
    </row>
    <row r="573" spans="6:29">
      <c r="F573" s="103"/>
      <c r="G573" s="103"/>
      <c r="H573" s="103"/>
      <c r="I573" s="103"/>
      <c r="Z573" s="85"/>
      <c r="AA573" s="85"/>
      <c r="AB573" s="85"/>
      <c r="AC573" s="85"/>
    </row>
    <row r="574" spans="6:29">
      <c r="F574" s="103"/>
      <c r="G574" s="103"/>
      <c r="H574" s="103"/>
      <c r="I574" s="103"/>
      <c r="Z574" s="85"/>
      <c r="AA574" s="85"/>
      <c r="AB574" s="85"/>
      <c r="AC574" s="85"/>
    </row>
    <row r="575" spans="6:29">
      <c r="F575" s="103"/>
      <c r="G575" s="103"/>
      <c r="H575" s="103"/>
      <c r="I575" s="103"/>
      <c r="Z575" s="85"/>
      <c r="AA575" s="85"/>
      <c r="AB575" s="85"/>
      <c r="AC575" s="85"/>
    </row>
    <row r="576" spans="6:29">
      <c r="F576" s="103"/>
      <c r="G576" s="103"/>
      <c r="H576" s="103"/>
      <c r="I576" s="103"/>
      <c r="Z576" s="85"/>
      <c r="AA576" s="85"/>
      <c r="AB576" s="85"/>
      <c r="AC576" s="85"/>
    </row>
    <row r="577" spans="6:29">
      <c r="F577" s="103"/>
      <c r="G577" s="103"/>
      <c r="H577" s="103"/>
      <c r="I577" s="103"/>
      <c r="Z577" s="85"/>
      <c r="AA577" s="85"/>
      <c r="AB577" s="85"/>
      <c r="AC577" s="85"/>
    </row>
    <row r="578" spans="6:29">
      <c r="F578" s="103"/>
      <c r="G578" s="103"/>
      <c r="H578" s="103"/>
      <c r="I578" s="103"/>
      <c r="Z578" s="85"/>
      <c r="AA578" s="85"/>
      <c r="AB578" s="85"/>
      <c r="AC578" s="85"/>
    </row>
    <row r="579" spans="6:29">
      <c r="F579" s="103"/>
      <c r="G579" s="103"/>
      <c r="H579" s="103"/>
      <c r="I579" s="103"/>
      <c r="Z579" s="85"/>
      <c r="AA579" s="85"/>
      <c r="AB579" s="85"/>
      <c r="AC579" s="85"/>
    </row>
    <row r="580" spans="6:29">
      <c r="F580" s="103"/>
      <c r="G580" s="103"/>
      <c r="H580" s="103"/>
      <c r="I580" s="103"/>
      <c r="Z580" s="85"/>
      <c r="AA580" s="85"/>
      <c r="AB580" s="85"/>
      <c r="AC580" s="85"/>
    </row>
    <row r="581" spans="6:29">
      <c r="F581" s="103"/>
      <c r="G581" s="103"/>
      <c r="H581" s="103"/>
      <c r="I581" s="103"/>
      <c r="Z581" s="85"/>
      <c r="AA581" s="85"/>
      <c r="AB581" s="85"/>
      <c r="AC581" s="85"/>
    </row>
    <row r="582" spans="6:29">
      <c r="F582" s="103"/>
      <c r="G582" s="103"/>
      <c r="H582" s="103"/>
      <c r="I582" s="103"/>
      <c r="Z582" s="85"/>
      <c r="AA582" s="85"/>
      <c r="AB582" s="85"/>
      <c r="AC582" s="85"/>
    </row>
    <row r="583" spans="6:29">
      <c r="F583" s="103"/>
      <c r="G583" s="103"/>
      <c r="H583" s="103"/>
      <c r="I583" s="103"/>
      <c r="Z583" s="85"/>
      <c r="AA583" s="85"/>
      <c r="AB583" s="85"/>
      <c r="AC583" s="85"/>
    </row>
    <row r="584" spans="6:29">
      <c r="F584" s="103"/>
      <c r="G584" s="103"/>
      <c r="H584" s="103"/>
      <c r="I584" s="103"/>
      <c r="Z584" s="85"/>
      <c r="AA584" s="85"/>
      <c r="AB584" s="85"/>
      <c r="AC584" s="85"/>
    </row>
    <row r="585" spans="6:29">
      <c r="F585" s="103"/>
      <c r="G585" s="103"/>
      <c r="H585" s="103"/>
      <c r="I585" s="103"/>
      <c r="Z585" s="85"/>
      <c r="AA585" s="85"/>
      <c r="AB585" s="85"/>
      <c r="AC585" s="85"/>
    </row>
    <row r="586" spans="6:29">
      <c r="F586" s="103"/>
      <c r="G586" s="103"/>
      <c r="H586" s="103"/>
      <c r="I586" s="103"/>
      <c r="Z586" s="85"/>
      <c r="AA586" s="85"/>
      <c r="AB586" s="85"/>
      <c r="AC586" s="85"/>
    </row>
    <row r="587" spans="6:29">
      <c r="F587" s="103"/>
      <c r="G587" s="103"/>
      <c r="H587" s="103"/>
      <c r="I587" s="103"/>
      <c r="Z587" s="85"/>
      <c r="AA587" s="85"/>
      <c r="AB587" s="85"/>
      <c r="AC587" s="85"/>
    </row>
    <row r="588" spans="6:29">
      <c r="F588" s="103"/>
      <c r="G588" s="103"/>
      <c r="H588" s="103"/>
      <c r="I588" s="103"/>
      <c r="Z588" s="85"/>
      <c r="AA588" s="85"/>
      <c r="AB588" s="85"/>
      <c r="AC588" s="85"/>
    </row>
    <row r="589" spans="6:29">
      <c r="F589" s="103"/>
      <c r="G589" s="103"/>
      <c r="H589" s="103"/>
      <c r="I589" s="103"/>
      <c r="Z589" s="85"/>
      <c r="AA589" s="85"/>
      <c r="AB589" s="85"/>
      <c r="AC589" s="85"/>
    </row>
    <row r="590" spans="6:29">
      <c r="F590" s="103"/>
      <c r="G590" s="103"/>
      <c r="H590" s="103"/>
      <c r="I590" s="103"/>
      <c r="Z590" s="85"/>
      <c r="AA590" s="85"/>
      <c r="AB590" s="85"/>
      <c r="AC590" s="85"/>
    </row>
    <row r="591" spans="6:29">
      <c r="F591" s="103"/>
      <c r="G591" s="103"/>
      <c r="H591" s="103"/>
      <c r="I591" s="103"/>
      <c r="Z591" s="85"/>
      <c r="AA591" s="85"/>
      <c r="AB591" s="85"/>
      <c r="AC591" s="85"/>
    </row>
    <row r="592" spans="6:29">
      <c r="F592" s="103"/>
      <c r="G592" s="103"/>
      <c r="H592" s="103"/>
      <c r="I592" s="103"/>
      <c r="Z592" s="85"/>
      <c r="AA592" s="85"/>
      <c r="AB592" s="85"/>
      <c r="AC592" s="85"/>
    </row>
    <row r="593" spans="6:29">
      <c r="F593" s="103"/>
      <c r="G593" s="103"/>
      <c r="H593" s="103"/>
      <c r="I593" s="103"/>
      <c r="Z593" s="85"/>
      <c r="AA593" s="85"/>
      <c r="AB593" s="85"/>
      <c r="AC593" s="85"/>
    </row>
    <row r="594" spans="6:29">
      <c r="F594" s="103"/>
      <c r="G594" s="103"/>
      <c r="H594" s="103"/>
      <c r="I594" s="103"/>
      <c r="Z594" s="85"/>
      <c r="AA594" s="85"/>
      <c r="AB594" s="85"/>
      <c r="AC594" s="85"/>
    </row>
    <row r="595" spans="6:29">
      <c r="F595" s="103"/>
      <c r="G595" s="103"/>
      <c r="H595" s="103"/>
      <c r="I595" s="103"/>
      <c r="Z595" s="85"/>
      <c r="AA595" s="85"/>
      <c r="AB595" s="85"/>
      <c r="AC595" s="85"/>
    </row>
    <row r="596" spans="6:29">
      <c r="F596" s="103"/>
      <c r="G596" s="103"/>
      <c r="H596" s="103"/>
      <c r="I596" s="103"/>
      <c r="Z596" s="85"/>
      <c r="AA596" s="85"/>
      <c r="AB596" s="85"/>
      <c r="AC596" s="85"/>
    </row>
    <row r="597" spans="6:29">
      <c r="F597" s="103"/>
      <c r="G597" s="103"/>
      <c r="H597" s="103"/>
      <c r="I597" s="103"/>
      <c r="Z597" s="85"/>
      <c r="AA597" s="85"/>
      <c r="AB597" s="85"/>
      <c r="AC597" s="85"/>
    </row>
    <row r="598" spans="6:29">
      <c r="F598" s="103"/>
      <c r="G598" s="103"/>
      <c r="H598" s="103"/>
      <c r="I598" s="103"/>
      <c r="Z598" s="85"/>
      <c r="AA598" s="85"/>
      <c r="AB598" s="85"/>
      <c r="AC598" s="85"/>
    </row>
    <row r="599" spans="6:29">
      <c r="F599" s="103"/>
      <c r="G599" s="103"/>
      <c r="H599" s="103"/>
      <c r="I599" s="103"/>
      <c r="Z599" s="85"/>
      <c r="AA599" s="85"/>
      <c r="AB599" s="85"/>
      <c r="AC599" s="85"/>
    </row>
    <row r="600" spans="6:29">
      <c r="F600" s="103"/>
      <c r="G600" s="103"/>
      <c r="H600" s="103"/>
      <c r="I600" s="103"/>
      <c r="Z600" s="85"/>
      <c r="AA600" s="85"/>
      <c r="AB600" s="85"/>
      <c r="AC600" s="85"/>
    </row>
    <row r="601" spans="6:29">
      <c r="F601" s="103"/>
      <c r="G601" s="103"/>
      <c r="H601" s="103"/>
      <c r="I601" s="103"/>
      <c r="Z601" s="85"/>
      <c r="AA601" s="85"/>
      <c r="AB601" s="85"/>
      <c r="AC601" s="85"/>
    </row>
    <row r="602" spans="6:29">
      <c r="F602" s="103"/>
      <c r="G602" s="103"/>
      <c r="H602" s="103"/>
      <c r="I602" s="103"/>
      <c r="Z602" s="85"/>
      <c r="AA602" s="85"/>
      <c r="AB602" s="85"/>
      <c r="AC602" s="85"/>
    </row>
    <row r="603" spans="6:29">
      <c r="F603" s="103"/>
      <c r="G603" s="103"/>
      <c r="H603" s="103"/>
      <c r="I603" s="103"/>
      <c r="Z603" s="85"/>
      <c r="AA603" s="85"/>
      <c r="AB603" s="85"/>
      <c r="AC603" s="85"/>
    </row>
    <row r="604" spans="6:29">
      <c r="F604" s="103"/>
      <c r="G604" s="103"/>
      <c r="H604" s="103"/>
      <c r="I604" s="103"/>
      <c r="Z604" s="85"/>
      <c r="AA604" s="85"/>
      <c r="AB604" s="85"/>
      <c r="AC604" s="85"/>
    </row>
    <row r="605" spans="6:29">
      <c r="F605" s="103"/>
      <c r="G605" s="103"/>
      <c r="H605" s="103"/>
      <c r="I605" s="103"/>
      <c r="Z605" s="85"/>
      <c r="AA605" s="85"/>
      <c r="AB605" s="85"/>
      <c r="AC605" s="85"/>
    </row>
    <row r="606" spans="6:29">
      <c r="F606" s="103"/>
      <c r="G606" s="103"/>
      <c r="H606" s="103"/>
      <c r="I606" s="103"/>
      <c r="Z606" s="85"/>
      <c r="AA606" s="85"/>
      <c r="AB606" s="85"/>
      <c r="AC606" s="85"/>
    </row>
    <row r="607" spans="6:29">
      <c r="F607" s="103"/>
      <c r="G607" s="103"/>
      <c r="H607" s="103"/>
      <c r="I607" s="103"/>
      <c r="Z607" s="85"/>
      <c r="AA607" s="85"/>
      <c r="AB607" s="85"/>
      <c r="AC607" s="85"/>
    </row>
    <row r="608" spans="6:29">
      <c r="F608" s="103"/>
      <c r="G608" s="103"/>
      <c r="H608" s="103"/>
      <c r="I608" s="103"/>
      <c r="Z608" s="85"/>
      <c r="AA608" s="85"/>
      <c r="AB608" s="85"/>
      <c r="AC608" s="85"/>
    </row>
    <row r="609" spans="6:29">
      <c r="F609" s="103"/>
      <c r="G609" s="103"/>
      <c r="H609" s="103"/>
      <c r="I609" s="103"/>
      <c r="Z609" s="85"/>
      <c r="AA609" s="85"/>
      <c r="AB609" s="85"/>
      <c r="AC609" s="85"/>
    </row>
    <row r="610" spans="6:29">
      <c r="F610" s="103"/>
      <c r="G610" s="103"/>
      <c r="H610" s="103"/>
      <c r="I610" s="103"/>
      <c r="Z610" s="85"/>
      <c r="AA610" s="85"/>
      <c r="AB610" s="85"/>
      <c r="AC610" s="85"/>
    </row>
    <row r="611" spans="6:29">
      <c r="F611" s="103"/>
      <c r="G611" s="103"/>
      <c r="H611" s="103"/>
      <c r="I611" s="103"/>
    </row>
    <row r="612" spans="6:29">
      <c r="F612" s="103"/>
      <c r="G612" s="103"/>
      <c r="H612" s="103"/>
      <c r="I612" s="103"/>
    </row>
    <row r="613" spans="6:29">
      <c r="F613" s="103"/>
      <c r="G613" s="103"/>
      <c r="H613" s="103"/>
      <c r="I613" s="103"/>
    </row>
    <row r="614" spans="6:29">
      <c r="F614" s="103"/>
      <c r="G614" s="103"/>
      <c r="H614" s="103"/>
      <c r="I614" s="103"/>
    </row>
    <row r="615" spans="6:29">
      <c r="F615" s="103"/>
      <c r="G615" s="103"/>
      <c r="H615" s="103"/>
      <c r="I615" s="103"/>
    </row>
    <row r="616" spans="6:29">
      <c r="F616" s="103"/>
      <c r="G616" s="103"/>
      <c r="H616" s="103"/>
      <c r="I616" s="103"/>
    </row>
    <row r="617" spans="6:29">
      <c r="F617" s="103"/>
      <c r="G617" s="103"/>
      <c r="H617" s="103"/>
      <c r="I617" s="103"/>
    </row>
    <row r="618" spans="6:29">
      <c r="F618" s="103"/>
      <c r="G618" s="103"/>
      <c r="H618" s="103"/>
      <c r="I618" s="103"/>
    </row>
    <row r="619" spans="6:29">
      <c r="F619" s="103"/>
      <c r="G619" s="103"/>
      <c r="H619" s="103"/>
      <c r="I619" s="103"/>
    </row>
    <row r="620" spans="6:29">
      <c r="F620" s="103"/>
      <c r="G620" s="103"/>
      <c r="H620" s="103"/>
      <c r="I620" s="103"/>
    </row>
    <row r="621" spans="6:29">
      <c r="F621" s="103"/>
      <c r="G621" s="103"/>
      <c r="H621" s="103"/>
      <c r="I621" s="103"/>
    </row>
    <row r="622" spans="6:29">
      <c r="F622" s="103"/>
      <c r="G622" s="103"/>
      <c r="H622" s="103"/>
      <c r="I622" s="103"/>
    </row>
    <row r="623" spans="6:29">
      <c r="F623" s="103"/>
      <c r="G623" s="103"/>
      <c r="H623" s="103"/>
      <c r="I623" s="103"/>
    </row>
    <row r="624" spans="6:29">
      <c r="F624" s="103"/>
      <c r="G624" s="103"/>
      <c r="H624" s="103"/>
      <c r="I624" s="103"/>
    </row>
    <row r="625" spans="6:9">
      <c r="F625" s="103"/>
      <c r="G625" s="103"/>
      <c r="H625" s="103"/>
      <c r="I625" s="103"/>
    </row>
    <row r="626" spans="6:9">
      <c r="F626" s="103"/>
      <c r="G626" s="103"/>
      <c r="H626" s="103"/>
      <c r="I626" s="103"/>
    </row>
    <row r="627" spans="6:9">
      <c r="F627" s="103"/>
      <c r="G627" s="103"/>
      <c r="H627" s="103"/>
      <c r="I627" s="103"/>
    </row>
    <row r="628" spans="6:9">
      <c r="F628" s="103"/>
      <c r="G628" s="103"/>
      <c r="H628" s="103"/>
      <c r="I628" s="103"/>
    </row>
    <row r="629" spans="6:9">
      <c r="F629" s="103"/>
      <c r="G629" s="103"/>
      <c r="H629" s="103"/>
      <c r="I629" s="103"/>
    </row>
    <row r="630" spans="6:9">
      <c r="F630" s="103"/>
      <c r="G630" s="103"/>
      <c r="H630" s="103"/>
      <c r="I630" s="103"/>
    </row>
    <row r="631" spans="6:9">
      <c r="F631" s="103"/>
      <c r="G631" s="103"/>
      <c r="H631" s="103"/>
      <c r="I631" s="103"/>
    </row>
    <row r="632" spans="6:9">
      <c r="F632" s="103"/>
      <c r="G632" s="103"/>
      <c r="H632" s="103"/>
      <c r="I632" s="103"/>
    </row>
    <row r="633" spans="6:9">
      <c r="F633" s="103"/>
      <c r="G633" s="103"/>
      <c r="H633" s="103"/>
      <c r="I633" s="103"/>
    </row>
    <row r="634" spans="6:9">
      <c r="F634" s="103"/>
      <c r="G634" s="103"/>
      <c r="H634" s="103"/>
      <c r="I634" s="103"/>
    </row>
    <row r="635" spans="6:9">
      <c r="F635" s="103"/>
      <c r="G635" s="103"/>
      <c r="H635" s="103"/>
      <c r="I635" s="103"/>
    </row>
    <row r="636" spans="6:9">
      <c r="F636" s="103"/>
      <c r="G636" s="103"/>
      <c r="H636" s="103"/>
      <c r="I636" s="103"/>
    </row>
    <row r="637" spans="6:9">
      <c r="F637" s="103"/>
      <c r="G637" s="103"/>
      <c r="H637" s="103"/>
      <c r="I637" s="103"/>
    </row>
    <row r="638" spans="6:9">
      <c r="F638" s="103"/>
      <c r="G638" s="103"/>
      <c r="H638" s="103"/>
      <c r="I638" s="103"/>
    </row>
    <row r="639" spans="6:9">
      <c r="F639" s="103"/>
      <c r="G639" s="103"/>
      <c r="H639" s="103"/>
      <c r="I639" s="103"/>
    </row>
    <row r="640" spans="6:9">
      <c r="F640" s="103"/>
      <c r="G640" s="103"/>
      <c r="H640" s="103"/>
      <c r="I640" s="103"/>
    </row>
    <row r="641" spans="6:9">
      <c r="F641" s="103"/>
      <c r="G641" s="103"/>
      <c r="H641" s="103"/>
      <c r="I641" s="103"/>
    </row>
    <row r="642" spans="6:9">
      <c r="F642" s="103"/>
      <c r="G642" s="103"/>
      <c r="H642" s="103"/>
      <c r="I642" s="103"/>
    </row>
    <row r="643" spans="6:9">
      <c r="F643" s="103"/>
      <c r="G643" s="103"/>
      <c r="H643" s="103"/>
      <c r="I643" s="103"/>
    </row>
    <row r="644" spans="6:9">
      <c r="F644" s="103"/>
      <c r="G644" s="103"/>
      <c r="H644" s="103"/>
      <c r="I644" s="103"/>
    </row>
    <row r="645" spans="6:9">
      <c r="F645" s="103"/>
      <c r="G645" s="103"/>
      <c r="H645" s="103"/>
      <c r="I645" s="103"/>
    </row>
    <row r="646" spans="6:9">
      <c r="F646" s="103"/>
      <c r="G646" s="103"/>
      <c r="H646" s="103"/>
      <c r="I646" s="103"/>
    </row>
    <row r="647" spans="6:9">
      <c r="F647" s="103"/>
      <c r="G647" s="103"/>
      <c r="H647" s="103"/>
      <c r="I647" s="103"/>
    </row>
    <row r="648" spans="6:9">
      <c r="F648" s="103"/>
      <c r="G648" s="103"/>
      <c r="H648" s="103"/>
      <c r="I648" s="103"/>
    </row>
    <row r="649" spans="6:9">
      <c r="F649" s="103"/>
      <c r="G649" s="103"/>
      <c r="H649" s="103"/>
      <c r="I649" s="103"/>
    </row>
    <row r="650" spans="6:9">
      <c r="F650" s="103"/>
      <c r="G650" s="103"/>
      <c r="H650" s="103"/>
      <c r="I650" s="103"/>
    </row>
    <row r="651" spans="6:9">
      <c r="F651" s="103"/>
      <c r="G651" s="103"/>
      <c r="H651" s="103"/>
      <c r="I651" s="103"/>
    </row>
    <row r="652" spans="6:9">
      <c r="F652" s="103"/>
      <c r="G652" s="103"/>
      <c r="H652" s="103"/>
      <c r="I652" s="103"/>
    </row>
    <row r="653" spans="6:9">
      <c r="F653" s="103"/>
      <c r="G653" s="103"/>
      <c r="H653" s="103"/>
      <c r="I653" s="103"/>
    </row>
    <row r="654" spans="6:9">
      <c r="F654" s="103"/>
      <c r="G654" s="103"/>
      <c r="H654" s="103"/>
      <c r="I654" s="103"/>
    </row>
    <row r="655" spans="6:9">
      <c r="F655" s="103"/>
      <c r="G655" s="103"/>
      <c r="H655" s="103"/>
      <c r="I655" s="103"/>
    </row>
    <row r="656" spans="6:9">
      <c r="F656" s="103"/>
      <c r="G656" s="103"/>
      <c r="H656" s="103"/>
      <c r="I656" s="103"/>
    </row>
    <row r="657" spans="6:9">
      <c r="F657" s="103"/>
      <c r="G657" s="103"/>
      <c r="H657" s="103"/>
      <c r="I657" s="103"/>
    </row>
    <row r="658" spans="6:9">
      <c r="F658" s="103"/>
      <c r="G658" s="103"/>
      <c r="H658" s="103"/>
      <c r="I658" s="103"/>
    </row>
  </sheetData>
  <autoFilter ref="A1:AL358" xr:uid="{00000000-0001-0000-0500-000000000000}">
    <sortState xmlns:xlrd2="http://schemas.microsoft.com/office/spreadsheetml/2017/richdata2" ref="A2:AL358">
      <sortCondition ref="A1:A358"/>
    </sortState>
  </autoFilter>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3C731487-8F36-2E44-9C14-8043AF96BA48}">
          <x14:formula1>
            <xm:f>Status!$C$2:$C$6</xm:f>
          </x14:formula1>
          <xm:sqref>AJ539:AJ586 K2:K205</xm:sqref>
        </x14:dataValidation>
        <x14:dataValidation type="list" allowBlank="1" showInputMessage="1" showErrorMessage="1" xr:uid="{7337B335-D5F7-584B-A85F-9E4EB936566A}">
          <x14:formula1>
            <xm:f>MISC!$B$2:$B$12</xm:f>
          </x14:formula1>
          <xm:sqref>AC467:AC610 F2:J51 P2:P205 L2:L205 N2:N205 J52:J205 R2:R337 Z2:AB610 V2:V850 T2:T466 AE2:AE505 X2:X850 AG2:AG466 AK2:AK433 AI2:AI481 F52:I658</xm:sqref>
        </x14:dataValidation>
        <x14:dataValidation type="list" allowBlank="1" showInputMessage="1" showErrorMessage="1" xr:uid="{2859F52B-DA88-0044-880D-21B40D0AF8DC}">
          <x14:formula1>
            <xm:f>MISC!$A$2:$A$3</xm:f>
          </x14:formula1>
          <xm:sqref>D215:D216 D210:D212 D2:D207 D1048576</xm:sqref>
        </x14:dataValidation>
        <x14:dataValidation type="list" allowBlank="1" showInputMessage="1" showErrorMessage="1" xr:uid="{3DCCA995-1BE6-7242-9CAF-E82F93B18F1B}">
          <x14:formula1>
            <xm:f>Status!$C$9:$C$22</xm:f>
          </x14:formula1>
          <xm:sqref>M2:M205</xm:sqref>
        </x14:dataValidation>
        <x14:dataValidation type="list" allowBlank="1" showInputMessage="1" showErrorMessage="1" xr:uid="{1DD5DEE0-18B4-BA48-8C7F-70098E8AF43D}">
          <x14:formula1>
            <xm:f>MISC!$D$2:$D$8</xm:f>
          </x14:formula1>
          <xm:sqref>Q2:Q205</xm:sqref>
        </x14:dataValidation>
        <x14:dataValidation type="list" allowBlank="1" showInputMessage="1" showErrorMessage="1" xr:uid="{A4CDE8F4-304E-BA46-A47E-EA47E7C85D55}">
          <x14:formula1>
            <xm:f>MISC!$E$2:$E$13</xm:f>
          </x14:formula1>
          <xm:sqref>W2:W205 AH2:AH205 AF2:AF205 AD2:AD205 U2:U205 S2:S205</xm:sqref>
        </x14:dataValidation>
        <x14:dataValidation type="list" allowBlank="1" showInputMessage="1" showErrorMessage="1" xr:uid="{F228C557-6333-2E4A-A935-F1A29F4F7F5E}">
          <x14:formula1>
            <xm:f>MISC!$F$4:$F$19</xm:f>
          </x14:formula1>
          <xm:sqref>E2:E205 Y2:Y205</xm:sqref>
        </x14:dataValidation>
        <x14:dataValidation type="list" allowBlank="1" showInputMessage="1" showErrorMessage="1" xr:uid="{899471AD-009C-7844-B7C4-CA97A9FFF924}">
          <x14:formula1>
            <xm:f>Status!$C$23:$C$36</xm:f>
          </x14:formula1>
          <xm:sqref>O2:O205</xm:sqref>
        </x14:dataValidation>
        <x14:dataValidation type="list" allowBlank="1" showInputMessage="1" showErrorMessage="1" xr:uid="{C14AB86C-2987-3D44-8D2F-9EA9D31B7887}">
          <x14:formula1>
            <xm:f>Status!$C$2:$C$36</xm:f>
          </x14:formula1>
          <xm:sqref>AC2:AC466 AJ2:AJ538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sheetPr>
  <dimension ref="B2:E167"/>
  <sheetViews>
    <sheetView zoomScale="110" zoomScaleNormal="110" workbookViewId="0">
      <selection activeCell="D7" sqref="D7"/>
    </sheetView>
  </sheetViews>
  <sheetFormatPr baseColWidth="10" defaultColWidth="8.83203125" defaultRowHeight="15"/>
  <cols>
    <col min="2" max="2" width="20.6640625" style="5" customWidth="1"/>
    <col min="3" max="3" width="7.83203125" style="5" customWidth="1"/>
    <col min="4" max="4" width="96.33203125" style="6" customWidth="1"/>
  </cols>
  <sheetData>
    <row r="2" spans="2:4" ht="16">
      <c r="B2" s="17" t="s">
        <v>937</v>
      </c>
      <c r="C2" s="17" t="s">
        <v>942</v>
      </c>
      <c r="D2" s="18" t="s">
        <v>771</v>
      </c>
    </row>
    <row r="3" spans="2:4" ht="16">
      <c r="B3" s="19" t="s">
        <v>1178</v>
      </c>
      <c r="C3" s="19" t="s">
        <v>943</v>
      </c>
      <c r="D3" s="20" t="s">
        <v>1181</v>
      </c>
    </row>
    <row r="4" spans="2:4" ht="16">
      <c r="B4" s="19" t="s">
        <v>1161</v>
      </c>
      <c r="C4" s="19" t="s">
        <v>943</v>
      </c>
      <c r="D4" s="20" t="s">
        <v>1163</v>
      </c>
    </row>
    <row r="5" spans="2:4" ht="18.5" customHeight="1">
      <c r="B5" s="19" t="s">
        <v>1097</v>
      </c>
      <c r="C5" s="19" t="s">
        <v>943</v>
      </c>
      <c r="D5" s="20" t="s">
        <v>1187</v>
      </c>
    </row>
    <row r="6" spans="2:4" ht="16">
      <c r="B6" s="21" t="s">
        <v>963</v>
      </c>
      <c r="C6" s="21" t="s">
        <v>946</v>
      </c>
      <c r="D6" s="22" t="s">
        <v>1200</v>
      </c>
    </row>
    <row r="7" spans="2:4" ht="16">
      <c r="B7" s="19" t="s">
        <v>1708</v>
      </c>
      <c r="C7" s="19" t="s">
        <v>943</v>
      </c>
      <c r="D7" s="20" t="s">
        <v>1709</v>
      </c>
    </row>
    <row r="8" spans="2:4" ht="16">
      <c r="B8" s="19" t="s">
        <v>991</v>
      </c>
      <c r="C8" s="19" t="s">
        <v>946</v>
      </c>
      <c r="D8" s="20" t="s">
        <v>1199</v>
      </c>
    </row>
    <row r="9" spans="2:4" ht="32">
      <c r="B9" s="19" t="s">
        <v>1142</v>
      </c>
      <c r="C9" s="19" t="s">
        <v>943</v>
      </c>
      <c r="D9" s="20" t="s">
        <v>1768</v>
      </c>
    </row>
    <row r="10" spans="2:4" ht="16">
      <c r="B10" s="19" t="s">
        <v>1195</v>
      </c>
      <c r="C10" s="19" t="s">
        <v>943</v>
      </c>
      <c r="D10" s="20" t="s">
        <v>1183</v>
      </c>
    </row>
    <row r="11" spans="2:4" ht="16">
      <c r="B11" s="19" t="s">
        <v>1561</v>
      </c>
      <c r="C11" s="19" t="s">
        <v>943</v>
      </c>
      <c r="D11" s="20" t="s">
        <v>1562</v>
      </c>
    </row>
    <row r="12" spans="2:4" ht="16">
      <c r="B12" s="19" t="s">
        <v>1143</v>
      </c>
      <c r="C12" s="19" t="s">
        <v>943</v>
      </c>
      <c r="D12" s="20" t="s">
        <v>970</v>
      </c>
    </row>
    <row r="13" spans="2:4" ht="16">
      <c r="B13" s="19" t="s">
        <v>1191</v>
      </c>
      <c r="C13" s="19" t="s">
        <v>943</v>
      </c>
      <c r="D13" s="20" t="s">
        <v>1192</v>
      </c>
    </row>
    <row r="14" spans="2:4" ht="32">
      <c r="B14" s="19" t="s">
        <v>1162</v>
      </c>
      <c r="C14" s="19" t="s">
        <v>943</v>
      </c>
      <c r="D14" s="20" t="s">
        <v>1177</v>
      </c>
    </row>
    <row r="15" spans="2:4" ht="32">
      <c r="B15" s="19" t="s">
        <v>1152</v>
      </c>
      <c r="C15" s="19" t="s">
        <v>943</v>
      </c>
      <c r="D15" s="20" t="s">
        <v>1666</v>
      </c>
    </row>
    <row r="16" spans="2:4" ht="16">
      <c r="B16" s="19" t="s">
        <v>949</v>
      </c>
      <c r="C16" s="19" t="s">
        <v>946</v>
      </c>
      <c r="D16" s="20" t="s">
        <v>1201</v>
      </c>
    </row>
    <row r="17" spans="2:4" ht="32">
      <c r="B17" s="19" t="s">
        <v>989</v>
      </c>
      <c r="C17" s="19" t="s">
        <v>943</v>
      </c>
      <c r="D17" s="20" t="s">
        <v>1595</v>
      </c>
    </row>
    <row r="18" spans="2:4" ht="16">
      <c r="B18" s="19" t="s">
        <v>1203</v>
      </c>
      <c r="C18" s="19" t="s">
        <v>946</v>
      </c>
      <c r="D18" s="20" t="s">
        <v>1204</v>
      </c>
    </row>
    <row r="19" spans="2:4" ht="32">
      <c r="B19" s="19" t="s">
        <v>1147</v>
      </c>
      <c r="C19" s="19" t="s">
        <v>946</v>
      </c>
      <c r="D19" s="20" t="s">
        <v>961</v>
      </c>
    </row>
    <row r="20" spans="2:4" ht="16">
      <c r="B20" s="19" t="s">
        <v>1179</v>
      </c>
      <c r="C20" s="19" t="s">
        <v>943</v>
      </c>
      <c r="D20" s="20" t="s">
        <v>966</v>
      </c>
    </row>
    <row r="21" spans="2:4" ht="32">
      <c r="B21" s="19" t="s">
        <v>1078</v>
      </c>
      <c r="C21" s="19" t="s">
        <v>943</v>
      </c>
      <c r="D21" s="20" t="s">
        <v>1504</v>
      </c>
    </row>
    <row r="22" spans="2:4" ht="16">
      <c r="B22" s="19" t="s">
        <v>1000</v>
      </c>
      <c r="C22" s="19" t="s">
        <v>946</v>
      </c>
      <c r="D22" s="20" t="s">
        <v>1118</v>
      </c>
    </row>
    <row r="23" spans="2:4" ht="32">
      <c r="B23" s="19" t="s">
        <v>1082</v>
      </c>
      <c r="C23" s="19" t="s">
        <v>943</v>
      </c>
      <c r="D23" s="20" t="s">
        <v>1069</v>
      </c>
    </row>
    <row r="24" spans="2:4" ht="16">
      <c r="B24" s="19" t="s">
        <v>1184</v>
      </c>
      <c r="C24" s="19" t="s">
        <v>943</v>
      </c>
      <c r="D24" s="20" t="s">
        <v>967</v>
      </c>
    </row>
    <row r="25" spans="2:4" ht="16">
      <c r="B25" s="19" t="s">
        <v>1066</v>
      </c>
      <c r="C25" s="19" t="s">
        <v>946</v>
      </c>
      <c r="D25" s="20" t="s">
        <v>1506</v>
      </c>
    </row>
    <row r="26" spans="2:4" ht="16">
      <c r="B26" s="19" t="s">
        <v>1132</v>
      </c>
      <c r="C26" s="19" t="s">
        <v>946</v>
      </c>
      <c r="D26" s="20" t="s">
        <v>1131</v>
      </c>
    </row>
    <row r="27" spans="2:4" ht="16">
      <c r="B27" s="19" t="s">
        <v>1172</v>
      </c>
      <c r="C27" s="19" t="s">
        <v>943</v>
      </c>
      <c r="D27" s="20" t="s">
        <v>1173</v>
      </c>
    </row>
    <row r="28" spans="2:4" ht="16">
      <c r="B28" s="19" t="s">
        <v>1182</v>
      </c>
      <c r="C28" s="19" t="s">
        <v>943</v>
      </c>
      <c r="D28" s="20" t="s">
        <v>979</v>
      </c>
    </row>
    <row r="29" spans="2:4" ht="32">
      <c r="B29" s="19" t="s">
        <v>1121</v>
      </c>
      <c r="C29" s="19" t="s">
        <v>946</v>
      </c>
      <c r="D29" s="20" t="s">
        <v>2033</v>
      </c>
    </row>
    <row r="30" spans="2:4" ht="32">
      <c r="B30" s="19" t="s">
        <v>1193</v>
      </c>
      <c r="C30" s="19" t="s">
        <v>943</v>
      </c>
      <c r="D30" s="20" t="s">
        <v>1194</v>
      </c>
    </row>
    <row r="31" spans="2:4" ht="32">
      <c r="B31" s="19" t="s">
        <v>1643</v>
      </c>
      <c r="C31" s="19" t="s">
        <v>943</v>
      </c>
      <c r="D31" s="20" t="s">
        <v>1250</v>
      </c>
    </row>
    <row r="32" spans="2:4" ht="16">
      <c r="B32" s="19" t="s">
        <v>971</v>
      </c>
      <c r="C32" s="19" t="s">
        <v>946</v>
      </c>
      <c r="D32" s="20" t="s">
        <v>1644</v>
      </c>
    </row>
    <row r="33" spans="2:5" ht="16">
      <c r="B33" s="19" t="s">
        <v>1001</v>
      </c>
      <c r="C33" s="19" t="s">
        <v>946</v>
      </c>
      <c r="D33" s="20" t="s">
        <v>982</v>
      </c>
    </row>
    <row r="34" spans="2:5" ht="16">
      <c r="B34" s="19" t="s">
        <v>1141</v>
      </c>
      <c r="C34" s="19" t="s">
        <v>943</v>
      </c>
      <c r="D34" s="20" t="s">
        <v>1525</v>
      </c>
    </row>
    <row r="35" spans="2:5" ht="16">
      <c r="B35" s="19" t="s">
        <v>955</v>
      </c>
      <c r="C35" s="19" t="s">
        <v>946</v>
      </c>
      <c r="D35" s="20" t="s">
        <v>954</v>
      </c>
    </row>
    <row r="36" spans="2:5" ht="16">
      <c r="B36" s="19" t="s">
        <v>995</v>
      </c>
      <c r="C36" s="19" t="s">
        <v>946</v>
      </c>
      <c r="D36" s="20" t="s">
        <v>1434</v>
      </c>
    </row>
    <row r="37" spans="2:5" ht="16">
      <c r="B37" s="19" t="s">
        <v>952</v>
      </c>
      <c r="C37" s="19" t="s">
        <v>946</v>
      </c>
      <c r="D37" s="20" t="s">
        <v>1113</v>
      </c>
    </row>
    <row r="38" spans="2:5" ht="16">
      <c r="B38" s="19" t="s">
        <v>1064</v>
      </c>
      <c r="C38" s="19" t="s">
        <v>946</v>
      </c>
      <c r="D38" s="20" t="s">
        <v>1065</v>
      </c>
    </row>
    <row r="39" spans="2:5" ht="16">
      <c r="B39" s="19" t="s">
        <v>974</v>
      </c>
      <c r="C39" s="19" t="s">
        <v>946</v>
      </c>
      <c r="D39" s="20" t="s">
        <v>1117</v>
      </c>
    </row>
    <row r="40" spans="2:5" ht="32">
      <c r="B40" s="19" t="s">
        <v>1073</v>
      </c>
      <c r="C40" s="19" t="s">
        <v>943</v>
      </c>
      <c r="D40" s="20" t="s">
        <v>1495</v>
      </c>
    </row>
    <row r="41" spans="2:5" ht="16">
      <c r="B41" s="19" t="s">
        <v>1214</v>
      </c>
      <c r="C41" s="19" t="s">
        <v>946</v>
      </c>
      <c r="D41" s="20" t="s">
        <v>1215</v>
      </c>
    </row>
    <row r="42" spans="2:5" ht="16">
      <c r="B42" s="19" t="s">
        <v>953</v>
      </c>
      <c r="C42" s="19" t="s">
        <v>943</v>
      </c>
      <c r="D42" s="20" t="s">
        <v>1070</v>
      </c>
    </row>
    <row r="43" spans="2:5" ht="16">
      <c r="B43" s="19" t="s">
        <v>1071</v>
      </c>
      <c r="C43" s="19" t="s">
        <v>943</v>
      </c>
      <c r="D43" s="20" t="s">
        <v>959</v>
      </c>
    </row>
    <row r="44" spans="2:5" ht="16">
      <c r="B44" s="19" t="s">
        <v>1138</v>
      </c>
      <c r="C44" s="19" t="s">
        <v>943</v>
      </c>
      <c r="D44" s="20" t="s">
        <v>1501</v>
      </c>
    </row>
    <row r="45" spans="2:5" ht="16">
      <c r="B45" s="19" t="s">
        <v>978</v>
      </c>
      <c r="C45" s="19" t="s">
        <v>946</v>
      </c>
      <c r="D45" s="20" t="s">
        <v>1490</v>
      </c>
    </row>
    <row r="46" spans="2:5" ht="32">
      <c r="B46" s="19" t="s">
        <v>1062</v>
      </c>
      <c r="C46" s="19" t="s">
        <v>946</v>
      </c>
      <c r="D46" s="20" t="s">
        <v>1503</v>
      </c>
      <c r="E46" t="s">
        <v>1491</v>
      </c>
    </row>
    <row r="47" spans="2:5" ht="16">
      <c r="B47" s="19" t="s">
        <v>999</v>
      </c>
      <c r="C47" s="19" t="s">
        <v>946</v>
      </c>
      <c r="D47" s="20" t="s">
        <v>1482</v>
      </c>
    </row>
    <row r="48" spans="2:5" ht="16">
      <c r="B48" s="19" t="s">
        <v>1176</v>
      </c>
      <c r="C48" s="19" t="s">
        <v>943</v>
      </c>
      <c r="D48" s="20" t="s">
        <v>1700</v>
      </c>
    </row>
    <row r="49" spans="2:5" ht="16">
      <c r="B49" s="19" t="s">
        <v>1002</v>
      </c>
      <c r="C49" s="19" t="s">
        <v>946</v>
      </c>
      <c r="D49" s="20" t="s">
        <v>1483</v>
      </c>
    </row>
    <row r="50" spans="2:5" ht="16">
      <c r="B50" s="19" t="s">
        <v>1056</v>
      </c>
      <c r="C50" s="19" t="s">
        <v>946</v>
      </c>
      <c r="D50" s="20" t="s">
        <v>1133</v>
      </c>
    </row>
    <row r="51" spans="2:5" ht="16">
      <c r="B51" s="19" t="s">
        <v>1145</v>
      </c>
      <c r="C51" s="19" t="s">
        <v>943</v>
      </c>
      <c r="D51" s="20" t="s">
        <v>1068</v>
      </c>
    </row>
    <row r="52" spans="2:5" ht="16">
      <c r="B52" s="19" t="s">
        <v>1149</v>
      </c>
      <c r="C52" s="19" t="s">
        <v>946</v>
      </c>
      <c r="D52" s="20" t="s">
        <v>1505</v>
      </c>
    </row>
    <row r="53" spans="2:5" ht="16">
      <c r="B53" s="19" t="s">
        <v>1206</v>
      </c>
      <c r="C53" s="19" t="s">
        <v>946</v>
      </c>
      <c r="D53" s="20" t="s">
        <v>1205</v>
      </c>
    </row>
    <row r="54" spans="2:5" ht="16">
      <c r="B54" s="19" t="s">
        <v>1335</v>
      </c>
      <c r="C54" s="19" t="s">
        <v>943</v>
      </c>
      <c r="D54" s="20" t="s">
        <v>965</v>
      </c>
    </row>
    <row r="55" spans="2:5" ht="16">
      <c r="B55" s="19" t="s">
        <v>1180</v>
      </c>
      <c r="C55" s="19" t="s">
        <v>943</v>
      </c>
      <c r="D55" s="20" t="s">
        <v>1498</v>
      </c>
      <c r="E55" t="s">
        <v>1491</v>
      </c>
    </row>
    <row r="56" spans="2:5" ht="16">
      <c r="B56" s="19" t="s">
        <v>956</v>
      </c>
      <c r="C56" s="19" t="s">
        <v>946</v>
      </c>
      <c r="D56" s="20" t="s">
        <v>1210</v>
      </c>
    </row>
    <row r="57" spans="2:5" ht="16">
      <c r="B57" s="19" t="s">
        <v>948</v>
      </c>
      <c r="C57" s="19" t="s">
        <v>946</v>
      </c>
      <c r="D57" s="20" t="s">
        <v>1111</v>
      </c>
    </row>
    <row r="58" spans="2:5" ht="16">
      <c r="B58" s="19" t="s">
        <v>986</v>
      </c>
      <c r="C58" s="19" t="s">
        <v>946</v>
      </c>
      <c r="D58" s="20" t="s">
        <v>1507</v>
      </c>
    </row>
    <row r="59" spans="2:5" ht="16">
      <c r="B59" s="19" t="s">
        <v>1095</v>
      </c>
      <c r="C59" s="19" t="s">
        <v>946</v>
      </c>
      <c r="D59" s="20" t="s">
        <v>1202</v>
      </c>
    </row>
    <row r="60" spans="2:5" ht="16">
      <c r="B60" s="19" t="s">
        <v>997</v>
      </c>
      <c r="C60" s="19" t="s">
        <v>946</v>
      </c>
      <c r="D60" s="20" t="s">
        <v>998</v>
      </c>
    </row>
    <row r="61" spans="2:5" ht="32">
      <c r="B61" s="19" t="s">
        <v>1190</v>
      </c>
      <c r="C61" s="19" t="s">
        <v>943</v>
      </c>
      <c r="D61" s="20" t="s">
        <v>1502</v>
      </c>
    </row>
    <row r="62" spans="2:5" ht="16">
      <c r="B62" s="19" t="s">
        <v>1174</v>
      </c>
      <c r="C62" s="19" t="s">
        <v>943</v>
      </c>
      <c r="D62" s="20" t="s">
        <v>1175</v>
      </c>
    </row>
    <row r="63" spans="2:5" ht="16">
      <c r="B63" s="19" t="s">
        <v>1058</v>
      </c>
      <c r="C63" s="19" t="s">
        <v>943</v>
      </c>
      <c r="D63" s="20" t="s">
        <v>1059</v>
      </c>
    </row>
    <row r="64" spans="2:5" ht="16">
      <c r="B64" s="19" t="s">
        <v>1090</v>
      </c>
      <c r="C64" s="19" t="s">
        <v>946</v>
      </c>
      <c r="D64" s="20" t="s">
        <v>1091</v>
      </c>
    </row>
    <row r="65" spans="2:5" ht="16">
      <c r="B65" s="19" t="s">
        <v>1057</v>
      </c>
      <c r="C65" s="19" t="s">
        <v>943</v>
      </c>
      <c r="D65" s="20" t="s">
        <v>1060</v>
      </c>
    </row>
    <row r="66" spans="2:5" ht="16">
      <c r="B66" s="19" t="s">
        <v>1164</v>
      </c>
      <c r="C66" s="19"/>
      <c r="D66" s="20" t="s">
        <v>1493</v>
      </c>
      <c r="E66" t="s">
        <v>1491</v>
      </c>
    </row>
    <row r="67" spans="2:5" ht="16">
      <c r="B67" s="19" t="s">
        <v>1486</v>
      </c>
      <c r="C67" s="19" t="s">
        <v>946</v>
      </c>
      <c r="D67" s="20" t="s">
        <v>1119</v>
      </c>
    </row>
    <row r="68" spans="2:5" ht="16">
      <c r="B68" s="19" t="s">
        <v>1156</v>
      </c>
      <c r="C68" s="19" t="s">
        <v>946</v>
      </c>
      <c r="D68" s="20" t="s">
        <v>1492</v>
      </c>
      <c r="E68" t="s">
        <v>1491</v>
      </c>
    </row>
    <row r="69" spans="2:5" ht="16">
      <c r="B69" s="19" t="s">
        <v>1075</v>
      </c>
      <c r="C69" s="19" t="s">
        <v>943</v>
      </c>
      <c r="D69" s="20" t="s">
        <v>988</v>
      </c>
    </row>
    <row r="70" spans="2:5" ht="16">
      <c r="B70" s="19" t="s">
        <v>1158</v>
      </c>
      <c r="C70" s="19" t="s">
        <v>943</v>
      </c>
      <c r="D70" s="20" t="s">
        <v>1707</v>
      </c>
    </row>
    <row r="71" spans="2:5" ht="32">
      <c r="B71" s="19" t="s">
        <v>1155</v>
      </c>
      <c r="C71" s="19" t="s">
        <v>943</v>
      </c>
      <c r="D71" s="20" t="s">
        <v>1494</v>
      </c>
      <c r="E71" t="s">
        <v>1491</v>
      </c>
    </row>
    <row r="72" spans="2:5" ht="32">
      <c r="B72" s="19" t="s">
        <v>1165</v>
      </c>
      <c r="C72" s="19" t="s">
        <v>943</v>
      </c>
      <c r="D72" s="20" t="s">
        <v>1188</v>
      </c>
    </row>
    <row r="73" spans="2:5" ht="16">
      <c r="B73" s="19" t="s">
        <v>1196</v>
      </c>
      <c r="C73" s="19" t="s">
        <v>943</v>
      </c>
      <c r="D73" s="20" t="s">
        <v>1197</v>
      </c>
    </row>
    <row r="74" spans="2:5" ht="16">
      <c r="B74" s="19" t="s">
        <v>1216</v>
      </c>
      <c r="C74" s="19" t="s">
        <v>943</v>
      </c>
      <c r="D74" s="20" t="s">
        <v>1217</v>
      </c>
    </row>
    <row r="75" spans="2:5" ht="16">
      <c r="B75" s="19" t="s">
        <v>1146</v>
      </c>
      <c r="C75" s="19" t="s">
        <v>943</v>
      </c>
      <c r="D75" s="20" t="s">
        <v>1067</v>
      </c>
    </row>
    <row r="76" spans="2:5" ht="16">
      <c r="B76" s="19" t="s">
        <v>1159</v>
      </c>
      <c r="C76" s="19" t="s">
        <v>943</v>
      </c>
      <c r="D76" s="20" t="s">
        <v>1160</v>
      </c>
    </row>
    <row r="77" spans="2:5" ht="16">
      <c r="B77" s="19" t="s">
        <v>1734</v>
      </c>
      <c r="C77" s="19" t="s">
        <v>943</v>
      </c>
      <c r="D77" s="20" t="s">
        <v>1499</v>
      </c>
      <c r="E77" t="s">
        <v>1491</v>
      </c>
    </row>
    <row r="78" spans="2:5" ht="16">
      <c r="B78" s="19" t="s">
        <v>1077</v>
      </c>
      <c r="C78" s="19" t="s">
        <v>943</v>
      </c>
      <c r="D78" s="20" t="s">
        <v>987</v>
      </c>
    </row>
    <row r="79" spans="2:5" ht="16">
      <c r="B79" s="19" t="s">
        <v>1148</v>
      </c>
      <c r="C79" s="19" t="s">
        <v>943</v>
      </c>
      <c r="D79" s="20" t="s">
        <v>1153</v>
      </c>
    </row>
    <row r="80" spans="2:5" ht="16">
      <c r="B80" s="19" t="s">
        <v>1074</v>
      </c>
      <c r="C80" s="19" t="s">
        <v>943</v>
      </c>
      <c r="D80" s="20" t="s">
        <v>1496</v>
      </c>
    </row>
    <row r="81" spans="2:4" ht="16">
      <c r="B81" s="19" t="s">
        <v>1092</v>
      </c>
      <c r="C81" s="19" t="s">
        <v>946</v>
      </c>
      <c r="D81" s="20" t="s">
        <v>1116</v>
      </c>
    </row>
    <row r="82" spans="2:4" ht="18.5" customHeight="1">
      <c r="B82" s="19" t="s">
        <v>1154</v>
      </c>
      <c r="C82" s="19" t="s">
        <v>943</v>
      </c>
      <c r="D82" s="20" t="s">
        <v>1677</v>
      </c>
    </row>
    <row r="83" spans="2:4" ht="16">
      <c r="B83" s="19" t="s">
        <v>976</v>
      </c>
      <c r="C83" s="19" t="s">
        <v>946</v>
      </c>
      <c r="D83" s="20" t="s">
        <v>1484</v>
      </c>
    </row>
    <row r="84" spans="2:4" ht="16">
      <c r="B84" s="19" t="s">
        <v>1208</v>
      </c>
      <c r="C84" s="19" t="s">
        <v>946</v>
      </c>
      <c r="D84" s="20" t="s">
        <v>1209</v>
      </c>
    </row>
    <row r="85" spans="2:4" ht="16">
      <c r="B85" s="19" t="s">
        <v>1063</v>
      </c>
      <c r="C85" s="19" t="s">
        <v>946</v>
      </c>
      <c r="D85" s="20" t="s">
        <v>1061</v>
      </c>
    </row>
    <row r="86" spans="2:4" ht="32">
      <c r="B86" s="19" t="s">
        <v>1089</v>
      </c>
      <c r="C86" s="19" t="s">
        <v>943</v>
      </c>
      <c r="D86" s="20" t="s">
        <v>1130</v>
      </c>
    </row>
    <row r="87" spans="2:4" ht="16">
      <c r="B87" s="19" t="s">
        <v>1135</v>
      </c>
      <c r="C87" s="19" t="s">
        <v>946</v>
      </c>
      <c r="D87" s="20" t="s">
        <v>1134</v>
      </c>
    </row>
    <row r="88" spans="2:4" ht="16">
      <c r="B88" s="19" t="s">
        <v>1167</v>
      </c>
      <c r="C88" s="19" t="s">
        <v>943</v>
      </c>
      <c r="D88" s="20" t="s">
        <v>1169</v>
      </c>
    </row>
    <row r="89" spans="2:4" ht="16">
      <c r="B89" s="19" t="s">
        <v>944</v>
      </c>
      <c r="C89" s="19" t="s">
        <v>946</v>
      </c>
      <c r="D89" s="20" t="s">
        <v>1563</v>
      </c>
    </row>
    <row r="90" spans="2:4" ht="16">
      <c r="B90" s="19" t="s">
        <v>1081</v>
      </c>
      <c r="C90" s="19" t="s">
        <v>943</v>
      </c>
      <c r="D90" s="20" t="s">
        <v>968</v>
      </c>
    </row>
    <row r="91" spans="2:4" ht="16">
      <c r="B91" s="19" t="s">
        <v>990</v>
      </c>
      <c r="C91" s="19" t="s">
        <v>946</v>
      </c>
      <c r="D91" s="20" t="s">
        <v>1213</v>
      </c>
    </row>
    <row r="92" spans="2:4" ht="16">
      <c r="B92" s="19" t="s">
        <v>1098</v>
      </c>
      <c r="C92" s="19" t="s">
        <v>943</v>
      </c>
      <c r="D92" s="20" t="s">
        <v>1099</v>
      </c>
    </row>
    <row r="93" spans="2:4" ht="16">
      <c r="B93" s="19" t="s">
        <v>1212</v>
      </c>
      <c r="C93" s="19" t="s">
        <v>946</v>
      </c>
      <c r="D93" s="20" t="s">
        <v>1211</v>
      </c>
    </row>
    <row r="94" spans="2:4" ht="16">
      <c r="B94" s="19" t="s">
        <v>1185</v>
      </c>
      <c r="C94" s="19" t="s">
        <v>943</v>
      </c>
      <c r="D94" s="20" t="s">
        <v>1186</v>
      </c>
    </row>
    <row r="95" spans="2:4" ht="16">
      <c r="B95" s="19" t="s">
        <v>1085</v>
      </c>
      <c r="C95" s="19" t="s">
        <v>943</v>
      </c>
      <c r="D95" s="20" t="s">
        <v>1086</v>
      </c>
    </row>
    <row r="96" spans="2:4" ht="16">
      <c r="B96" s="19" t="s">
        <v>977</v>
      </c>
      <c r="C96" s="19" t="s">
        <v>946</v>
      </c>
      <c r="D96" s="20" t="s">
        <v>1120</v>
      </c>
    </row>
    <row r="97" spans="2:4" ht="16">
      <c r="B97" s="19" t="s">
        <v>950</v>
      </c>
      <c r="C97" s="19" t="s">
        <v>946</v>
      </c>
      <c r="D97" s="20" t="s">
        <v>1112</v>
      </c>
    </row>
    <row r="98" spans="2:4" ht="32">
      <c r="B98" s="19" t="s">
        <v>1170</v>
      </c>
      <c r="C98" s="19" t="s">
        <v>943</v>
      </c>
      <c r="D98" s="20" t="s">
        <v>1171</v>
      </c>
    </row>
    <row r="99" spans="2:4" ht="16">
      <c r="B99" s="19" t="s">
        <v>973</v>
      </c>
      <c r="C99" s="19" t="s">
        <v>946</v>
      </c>
      <c r="D99" s="20" t="s">
        <v>975</v>
      </c>
    </row>
    <row r="100" spans="2:4" ht="32">
      <c r="B100" s="19" t="s">
        <v>1072</v>
      </c>
      <c r="C100" s="19" t="s">
        <v>943</v>
      </c>
      <c r="D100" s="20" t="s">
        <v>1497</v>
      </c>
    </row>
    <row r="101" spans="2:4" ht="16">
      <c r="B101" s="19" t="s">
        <v>1264</v>
      </c>
      <c r="C101" s="19" t="s">
        <v>946</v>
      </c>
      <c r="D101" s="20" t="s">
        <v>958</v>
      </c>
    </row>
    <row r="102" spans="2:4" ht="16">
      <c r="B102" s="19" t="s">
        <v>1136</v>
      </c>
      <c r="C102" s="19" t="s">
        <v>943</v>
      </c>
      <c r="D102" s="20" t="s">
        <v>1137</v>
      </c>
    </row>
    <row r="103" spans="2:4" ht="16">
      <c r="B103" s="19" t="s">
        <v>1100</v>
      </c>
      <c r="C103" s="19" t="s">
        <v>943</v>
      </c>
      <c r="D103" s="20" t="s">
        <v>1101</v>
      </c>
    </row>
    <row r="104" spans="2:4" ht="32">
      <c r="B104" s="19" t="s">
        <v>1087</v>
      </c>
      <c r="C104" s="19" t="s">
        <v>943</v>
      </c>
      <c r="D104" s="20" t="s">
        <v>1088</v>
      </c>
    </row>
    <row r="105" spans="2:4" ht="16">
      <c r="B105" s="19" t="s">
        <v>1157</v>
      </c>
      <c r="C105" s="19" t="s">
        <v>943</v>
      </c>
      <c r="D105" s="20" t="s">
        <v>1500</v>
      </c>
    </row>
    <row r="106" spans="2:4" ht="16">
      <c r="B106" s="19" t="s">
        <v>1140</v>
      </c>
      <c r="C106" s="19" t="s">
        <v>946</v>
      </c>
      <c r="D106" s="20" t="s">
        <v>984</v>
      </c>
    </row>
    <row r="107" spans="2:4" ht="16">
      <c r="B107" s="19" t="s">
        <v>945</v>
      </c>
      <c r="C107" s="19" t="s">
        <v>946</v>
      </c>
      <c r="D107" s="20" t="s">
        <v>1110</v>
      </c>
    </row>
    <row r="108" spans="2:4" ht="16">
      <c r="B108" s="19" t="s">
        <v>1139</v>
      </c>
      <c r="C108" s="19" t="s">
        <v>946</v>
      </c>
      <c r="D108" s="20" t="s">
        <v>1580</v>
      </c>
    </row>
    <row r="113" spans="2:4" ht="16">
      <c r="B113" s="17" t="s">
        <v>937</v>
      </c>
      <c r="C113" s="17" t="s">
        <v>942</v>
      </c>
      <c r="D113" s="18" t="s">
        <v>771</v>
      </c>
    </row>
    <row r="114" spans="2:4" ht="16">
      <c r="C114" s="5" t="s">
        <v>943</v>
      </c>
      <c r="D114" s="6" t="s">
        <v>960</v>
      </c>
    </row>
    <row r="115" spans="2:4" ht="16">
      <c r="B115" s="5" t="s">
        <v>1166</v>
      </c>
      <c r="C115" s="5" t="s">
        <v>943</v>
      </c>
      <c r="D115" s="6" t="s">
        <v>2074</v>
      </c>
    </row>
    <row r="116" spans="2:4" ht="16">
      <c r="C116" s="5" t="s">
        <v>943</v>
      </c>
      <c r="D116" s="6" t="s">
        <v>980</v>
      </c>
    </row>
    <row r="117" spans="2:4" ht="32">
      <c r="D117" s="6" t="s">
        <v>1556</v>
      </c>
    </row>
    <row r="118" spans="2:4" ht="32">
      <c r="C118" s="5" t="s">
        <v>946</v>
      </c>
      <c r="D118" s="6" t="s">
        <v>1557</v>
      </c>
    </row>
    <row r="119" spans="2:4" ht="16">
      <c r="C119" s="5" t="s">
        <v>946</v>
      </c>
      <c r="D119" s="6" t="s">
        <v>951</v>
      </c>
    </row>
    <row r="121" spans="2:4" ht="16">
      <c r="C121" s="5" t="s">
        <v>946</v>
      </c>
      <c r="D121" s="6" t="s">
        <v>1114</v>
      </c>
    </row>
    <row r="122" spans="2:4" ht="16">
      <c r="C122" s="5" t="s">
        <v>946</v>
      </c>
      <c r="D122" s="6" t="s">
        <v>1115</v>
      </c>
    </row>
    <row r="124" spans="2:4" ht="16">
      <c r="C124" s="5" t="s">
        <v>946</v>
      </c>
      <c r="D124" s="6" t="s">
        <v>981</v>
      </c>
    </row>
    <row r="125" spans="2:4" ht="16">
      <c r="C125" s="5" t="s">
        <v>946</v>
      </c>
      <c r="D125" s="6" t="s">
        <v>996</v>
      </c>
    </row>
    <row r="126" spans="2:4" ht="16">
      <c r="C126" s="5" t="s">
        <v>946</v>
      </c>
      <c r="D126" s="6" t="s">
        <v>983</v>
      </c>
    </row>
    <row r="127" spans="2:4" ht="16">
      <c r="B127" s="5" t="s">
        <v>1093</v>
      </c>
      <c r="C127" s="5" t="s">
        <v>946</v>
      </c>
      <c r="D127" s="6" t="s">
        <v>1094</v>
      </c>
    </row>
    <row r="131" spans="2:4" ht="32">
      <c r="B131" s="5" t="s">
        <v>1547</v>
      </c>
      <c r="C131" s="5" t="s">
        <v>946</v>
      </c>
      <c r="D131" s="6" t="s">
        <v>1604</v>
      </c>
    </row>
    <row r="132" spans="2:4" ht="32">
      <c r="B132" s="5" t="s">
        <v>1548</v>
      </c>
      <c r="C132" s="5" t="s">
        <v>943</v>
      </c>
      <c r="D132" s="6" t="s">
        <v>1550</v>
      </c>
    </row>
    <row r="133" spans="2:4" ht="32">
      <c r="B133" s="5" t="s">
        <v>964</v>
      </c>
      <c r="C133" s="5" t="s">
        <v>946</v>
      </c>
      <c r="D133" s="6" t="s">
        <v>1549</v>
      </c>
    </row>
    <row r="134" spans="2:4" ht="16">
      <c r="B134" s="8" t="s">
        <v>962</v>
      </c>
      <c r="C134" s="8" t="s">
        <v>946</v>
      </c>
      <c r="D134" s="79" t="s">
        <v>1532</v>
      </c>
    </row>
    <row r="135" spans="2:4" ht="16">
      <c r="B135" s="5" t="s">
        <v>1534</v>
      </c>
      <c r="C135" s="5" t="s">
        <v>946</v>
      </c>
      <c r="D135" s="6" t="s">
        <v>1533</v>
      </c>
    </row>
    <row r="136" spans="2:4" ht="16">
      <c r="B136" s="5" t="s">
        <v>985</v>
      </c>
      <c r="C136" s="5" t="s">
        <v>946</v>
      </c>
      <c r="D136" s="6" t="s">
        <v>1552</v>
      </c>
    </row>
    <row r="137" spans="2:4" ht="16">
      <c r="B137" s="5" t="s">
        <v>992</v>
      </c>
      <c r="C137" s="5" t="s">
        <v>946</v>
      </c>
      <c r="D137" s="6" t="s">
        <v>1551</v>
      </c>
    </row>
    <row r="138" spans="2:4" ht="16">
      <c r="B138" s="5" t="s">
        <v>1144</v>
      </c>
      <c r="C138" s="5" t="s">
        <v>946</v>
      </c>
      <c r="D138" s="6" t="s">
        <v>1531</v>
      </c>
    </row>
    <row r="139" spans="2:4" ht="16">
      <c r="B139" s="5" t="s">
        <v>1096</v>
      </c>
      <c r="C139" s="5" t="s">
        <v>946</v>
      </c>
      <c r="D139" s="6" t="s">
        <v>1535</v>
      </c>
    </row>
    <row r="140" spans="2:4" ht="16">
      <c r="B140" s="5" t="s">
        <v>1140</v>
      </c>
      <c r="C140" s="5" t="s">
        <v>946</v>
      </c>
      <c r="D140" s="6" t="s">
        <v>994</v>
      </c>
    </row>
    <row r="141" spans="2:4" ht="16">
      <c r="B141" s="5" t="s">
        <v>993</v>
      </c>
      <c r="C141" s="5" t="s">
        <v>946</v>
      </c>
      <c r="D141" s="6" t="s">
        <v>1553</v>
      </c>
    </row>
    <row r="142" spans="2:4" ht="32">
      <c r="B142" s="5" t="s">
        <v>1554</v>
      </c>
      <c r="C142" s="5" t="s">
        <v>946</v>
      </c>
      <c r="D142" s="6" t="s">
        <v>1555</v>
      </c>
    </row>
    <row r="143" spans="2:4" ht="16">
      <c r="B143" s="5" t="s">
        <v>1559</v>
      </c>
      <c r="C143" s="5" t="s">
        <v>946</v>
      </c>
      <c r="D143" s="6" t="s">
        <v>1558</v>
      </c>
    </row>
    <row r="144" spans="2:4" ht="32">
      <c r="B144" s="5" t="s">
        <v>1560</v>
      </c>
      <c r="C144" s="5" t="s">
        <v>946</v>
      </c>
      <c r="D144" s="6" t="s">
        <v>1603</v>
      </c>
    </row>
    <row r="145" spans="2:4" ht="16">
      <c r="B145" s="5" t="s">
        <v>971</v>
      </c>
      <c r="C145" s="5" t="s">
        <v>946</v>
      </c>
      <c r="D145" s="6" t="s">
        <v>1564</v>
      </c>
    </row>
    <row r="146" spans="2:4" ht="16">
      <c r="B146" s="19" t="s">
        <v>1567</v>
      </c>
      <c r="C146" s="19" t="s">
        <v>946</v>
      </c>
      <c r="D146" s="20" t="s">
        <v>1565</v>
      </c>
    </row>
    <row r="147" spans="2:4" ht="16">
      <c r="B147" s="19" t="s">
        <v>1566</v>
      </c>
      <c r="C147" s="19" t="s">
        <v>946</v>
      </c>
      <c r="D147" s="20" t="s">
        <v>1568</v>
      </c>
    </row>
    <row r="148" spans="2:4" ht="32">
      <c r="B148" t="s">
        <v>1591</v>
      </c>
      <c r="C148" s="5" t="s">
        <v>946</v>
      </c>
      <c r="D148" s="6" t="s">
        <v>1592</v>
      </c>
    </row>
    <row r="149" spans="2:4" ht="16">
      <c r="B149" s="5" t="s">
        <v>1593</v>
      </c>
      <c r="C149" s="5" t="s">
        <v>946</v>
      </c>
      <c r="D149" s="6" t="s">
        <v>1594</v>
      </c>
    </row>
    <row r="150" spans="2:4" ht="16">
      <c r="B150" s="19" t="s">
        <v>1135</v>
      </c>
      <c r="C150" s="19" t="s">
        <v>943</v>
      </c>
      <c r="D150" s="20" t="s">
        <v>1597</v>
      </c>
    </row>
    <row r="151" spans="2:4" ht="16">
      <c r="B151" s="19" t="s">
        <v>1189</v>
      </c>
      <c r="C151" s="19" t="s">
        <v>946</v>
      </c>
      <c r="D151" s="20" t="s">
        <v>1598</v>
      </c>
    </row>
    <row r="152" spans="2:4" ht="16">
      <c r="B152" s="5" t="s">
        <v>1600</v>
      </c>
      <c r="C152" s="5" t="s">
        <v>946</v>
      </c>
      <c r="D152" s="6" t="s">
        <v>1601</v>
      </c>
    </row>
    <row r="153" spans="2:4" ht="32">
      <c r="B153" s="5" t="s">
        <v>1651</v>
      </c>
      <c r="C153" s="5" t="s">
        <v>946</v>
      </c>
      <c r="D153" s="6" t="s">
        <v>1652</v>
      </c>
    </row>
    <row r="154" spans="2:4" ht="16">
      <c r="B154" s="5" t="s">
        <v>1653</v>
      </c>
      <c r="C154" s="5" t="s">
        <v>946</v>
      </c>
      <c r="D154" s="6" t="s">
        <v>1654</v>
      </c>
    </row>
    <row r="155" spans="2:4" ht="16">
      <c r="B155" s="5" t="s">
        <v>1693</v>
      </c>
      <c r="C155" s="5" t="s">
        <v>946</v>
      </c>
      <c r="D155" s="6" t="s">
        <v>1775</v>
      </c>
    </row>
    <row r="156" spans="2:4" ht="16">
      <c r="B156" s="5" t="s">
        <v>1669</v>
      </c>
      <c r="C156" s="5" t="s">
        <v>946</v>
      </c>
      <c r="D156" s="6" t="s">
        <v>1673</v>
      </c>
    </row>
    <row r="157" spans="2:4" ht="16">
      <c r="B157" s="5" t="s">
        <v>1699</v>
      </c>
      <c r="C157" s="5" t="s">
        <v>946</v>
      </c>
      <c r="D157" s="6" t="s">
        <v>1698</v>
      </c>
    </row>
    <row r="158" spans="2:4" ht="16">
      <c r="B158" s="5" t="s">
        <v>1725</v>
      </c>
      <c r="C158" s="5" t="s">
        <v>946</v>
      </c>
      <c r="D158" s="6" t="s">
        <v>1726</v>
      </c>
    </row>
    <row r="159" spans="2:4" ht="16">
      <c r="B159" s="5" t="s">
        <v>1724</v>
      </c>
      <c r="C159" s="5" t="s">
        <v>946</v>
      </c>
      <c r="D159" s="6" t="s">
        <v>1727</v>
      </c>
    </row>
    <row r="160" spans="2:4" ht="16">
      <c r="B160" s="5" t="s">
        <v>1732</v>
      </c>
      <c r="C160" s="5" t="s">
        <v>946</v>
      </c>
      <c r="D160" s="6" t="s">
        <v>1733</v>
      </c>
    </row>
    <row r="161" spans="2:4" ht="16">
      <c r="B161" s="5" t="s">
        <v>1735</v>
      </c>
      <c r="C161" s="5" t="s">
        <v>946</v>
      </c>
      <c r="D161" s="6" t="s">
        <v>1736</v>
      </c>
    </row>
    <row r="162" spans="2:4" ht="16">
      <c r="B162" s="5" t="s">
        <v>1746</v>
      </c>
      <c r="C162" s="5" t="s">
        <v>946</v>
      </c>
      <c r="D162" s="6" t="s">
        <v>1749</v>
      </c>
    </row>
    <row r="163" spans="2:4" ht="32">
      <c r="B163" s="5" t="s">
        <v>1756</v>
      </c>
      <c r="C163" s="5" t="s">
        <v>946</v>
      </c>
      <c r="D163" s="6" t="s">
        <v>1757</v>
      </c>
    </row>
    <row r="164" spans="2:4" ht="16">
      <c r="B164" s="5" t="s">
        <v>972</v>
      </c>
      <c r="C164" s="5" t="s">
        <v>946</v>
      </c>
      <c r="D164" s="6" t="s">
        <v>1769</v>
      </c>
    </row>
    <row r="165" spans="2:4" ht="16">
      <c r="B165" s="5" t="s">
        <v>1777</v>
      </c>
      <c r="C165" s="5" t="s">
        <v>946</v>
      </c>
      <c r="D165" s="6" t="s">
        <v>1776</v>
      </c>
    </row>
    <row r="166" spans="2:4" ht="16">
      <c r="B166" s="5" t="s">
        <v>1783</v>
      </c>
      <c r="C166" s="5" t="s">
        <v>946</v>
      </c>
      <c r="D166" s="6" t="s">
        <v>1785</v>
      </c>
    </row>
    <row r="167" spans="2:4" ht="16">
      <c r="B167" s="5" t="s">
        <v>1799</v>
      </c>
      <c r="C167" s="5" t="s">
        <v>946</v>
      </c>
      <c r="D167" s="6" t="s">
        <v>1800</v>
      </c>
    </row>
  </sheetData>
  <autoFilter ref="B2:E108" xr:uid="{00000000-0009-0000-0000-000004000000}">
    <sortState xmlns:xlrd2="http://schemas.microsoft.com/office/spreadsheetml/2017/richdata2" ref="B3:E108">
      <sortCondition ref="B2:B108"/>
    </sortState>
  </autoFilter>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415D-B375-C842-B95B-C12111E864D8}">
  <sheetPr codeName="Hoja8">
    <tabColor theme="9"/>
  </sheetPr>
  <dimension ref="A1:O37"/>
  <sheetViews>
    <sheetView workbookViewId="0">
      <selection activeCell="N30" sqref="N30"/>
    </sheetView>
  </sheetViews>
  <sheetFormatPr baseColWidth="10" defaultRowHeight="15"/>
  <sheetData>
    <row r="1" spans="1:15">
      <c r="A1" t="s">
        <v>1805</v>
      </c>
      <c r="B1" t="s">
        <v>1905</v>
      </c>
      <c r="C1" t="s">
        <v>1909</v>
      </c>
      <c r="D1" t="s">
        <v>1907</v>
      </c>
      <c r="E1" t="s">
        <v>1914</v>
      </c>
      <c r="F1" t="s">
        <v>1911</v>
      </c>
      <c r="I1">
        <v>49</v>
      </c>
      <c r="J1" t="s">
        <v>4471</v>
      </c>
      <c r="K1">
        <v>4</v>
      </c>
      <c r="M1">
        <v>41</v>
      </c>
      <c r="N1" t="s">
        <v>4471</v>
      </c>
      <c r="O1">
        <v>4</v>
      </c>
    </row>
    <row r="2" spans="1:15">
      <c r="A2" t="s">
        <v>1806</v>
      </c>
      <c r="B2" s="29">
        <v>0.1</v>
      </c>
      <c r="C2" t="s">
        <v>1910</v>
      </c>
      <c r="D2">
        <v>-3</v>
      </c>
      <c r="E2">
        <v>-20</v>
      </c>
      <c r="F2">
        <v>0.5</v>
      </c>
      <c r="I2">
        <v>48</v>
      </c>
      <c r="J2" t="s">
        <v>4471</v>
      </c>
      <c r="K2">
        <v>4</v>
      </c>
      <c r="M2">
        <v>40</v>
      </c>
      <c r="N2" t="s">
        <v>4471</v>
      </c>
      <c r="O2">
        <v>4</v>
      </c>
    </row>
    <row r="3" spans="1:15">
      <c r="A3" t="s">
        <v>1807</v>
      </c>
      <c r="B3" s="29">
        <v>0.2</v>
      </c>
      <c r="C3" t="s">
        <v>1904</v>
      </c>
      <c r="D3">
        <v>-2</v>
      </c>
      <c r="E3">
        <v>-6</v>
      </c>
      <c r="F3">
        <v>0.75</v>
      </c>
      <c r="I3">
        <v>47</v>
      </c>
      <c r="J3" t="s">
        <v>4471</v>
      </c>
      <c r="K3">
        <v>4</v>
      </c>
      <c r="M3">
        <v>39</v>
      </c>
      <c r="N3" t="s">
        <v>4471</v>
      </c>
      <c r="O3">
        <v>4</v>
      </c>
    </row>
    <row r="4" spans="1:15">
      <c r="B4" s="29">
        <v>0.3</v>
      </c>
      <c r="C4" t="s">
        <v>2127</v>
      </c>
      <c r="D4">
        <v>-1</v>
      </c>
      <c r="E4">
        <v>-4</v>
      </c>
      <c r="F4">
        <v>1</v>
      </c>
      <c r="I4">
        <v>46</v>
      </c>
      <c r="J4" t="s">
        <v>4471</v>
      </c>
      <c r="K4">
        <v>4</v>
      </c>
      <c r="M4">
        <v>38</v>
      </c>
      <c r="N4" t="s">
        <v>4472</v>
      </c>
      <c r="O4">
        <v>4</v>
      </c>
    </row>
    <row r="5" spans="1:15">
      <c r="B5" s="29">
        <v>0.4</v>
      </c>
      <c r="D5">
        <v>0</v>
      </c>
      <c r="E5">
        <v>-3</v>
      </c>
      <c r="F5">
        <v>1.5</v>
      </c>
      <c r="I5">
        <v>45</v>
      </c>
      <c r="J5" t="s">
        <v>4471</v>
      </c>
      <c r="K5">
        <v>4</v>
      </c>
      <c r="M5">
        <v>37</v>
      </c>
      <c r="N5" t="s">
        <v>4472</v>
      </c>
      <c r="O5">
        <v>3</v>
      </c>
    </row>
    <row r="6" spans="1:15">
      <c r="B6" s="29">
        <v>0.5</v>
      </c>
      <c r="D6">
        <v>1</v>
      </c>
      <c r="E6">
        <v>-2</v>
      </c>
      <c r="F6">
        <v>2</v>
      </c>
      <c r="I6">
        <v>44</v>
      </c>
      <c r="J6" t="s">
        <v>4472</v>
      </c>
      <c r="K6">
        <v>4</v>
      </c>
      <c r="M6">
        <v>36</v>
      </c>
      <c r="N6" t="s">
        <v>4472</v>
      </c>
      <c r="O6">
        <v>3</v>
      </c>
    </row>
    <row r="7" spans="1:15">
      <c r="B7" s="29">
        <v>0.6</v>
      </c>
      <c r="D7">
        <v>2</v>
      </c>
      <c r="E7">
        <v>-1</v>
      </c>
      <c r="F7">
        <v>2.5</v>
      </c>
      <c r="I7">
        <v>43</v>
      </c>
      <c r="J7" t="s">
        <v>4472</v>
      </c>
      <c r="K7">
        <v>4</v>
      </c>
      <c r="M7">
        <v>35</v>
      </c>
      <c r="N7" t="s">
        <v>1479</v>
      </c>
      <c r="O7">
        <v>3</v>
      </c>
    </row>
    <row r="8" spans="1:15">
      <c r="B8" s="29">
        <v>0.7</v>
      </c>
      <c r="D8">
        <v>3</v>
      </c>
      <c r="E8">
        <v>1</v>
      </c>
      <c r="F8">
        <v>3</v>
      </c>
      <c r="I8">
        <v>42</v>
      </c>
      <c r="J8" t="s">
        <v>4472</v>
      </c>
      <c r="K8">
        <v>4</v>
      </c>
      <c r="M8">
        <v>34</v>
      </c>
      <c r="N8" t="s">
        <v>1479</v>
      </c>
      <c r="O8">
        <v>3</v>
      </c>
    </row>
    <row r="9" spans="1:15">
      <c r="B9" s="29">
        <v>0.8</v>
      </c>
      <c r="E9">
        <v>2</v>
      </c>
      <c r="F9">
        <v>4</v>
      </c>
      <c r="I9">
        <v>41</v>
      </c>
      <c r="J9" t="s">
        <v>4472</v>
      </c>
      <c r="K9">
        <v>4</v>
      </c>
      <c r="M9">
        <v>33</v>
      </c>
      <c r="N9" t="s">
        <v>4473</v>
      </c>
      <c r="O9">
        <v>3</v>
      </c>
    </row>
    <row r="10" spans="1:15">
      <c r="B10" s="29">
        <v>0.9</v>
      </c>
      <c r="E10">
        <v>3</v>
      </c>
      <c r="F10">
        <v>6</v>
      </c>
      <c r="I10">
        <v>40</v>
      </c>
      <c r="J10" t="s">
        <v>1479</v>
      </c>
      <c r="K10">
        <v>4</v>
      </c>
      <c r="M10">
        <v>32</v>
      </c>
      <c r="N10" t="s">
        <v>4473</v>
      </c>
      <c r="O10">
        <v>3</v>
      </c>
    </row>
    <row r="11" spans="1:15">
      <c r="B11" s="29">
        <v>1</v>
      </c>
      <c r="E11">
        <v>4</v>
      </c>
      <c r="F11">
        <v>8</v>
      </c>
      <c r="I11">
        <v>39</v>
      </c>
      <c r="J11" t="s">
        <v>1479</v>
      </c>
      <c r="K11">
        <v>4</v>
      </c>
      <c r="M11">
        <v>31</v>
      </c>
      <c r="N11" t="s">
        <v>1537</v>
      </c>
      <c r="O11">
        <v>3</v>
      </c>
    </row>
    <row r="12" spans="1:15">
      <c r="B12" s="4" t="s">
        <v>1807</v>
      </c>
      <c r="E12">
        <v>6</v>
      </c>
      <c r="F12">
        <v>10</v>
      </c>
      <c r="I12">
        <v>38</v>
      </c>
      <c r="J12" t="s">
        <v>1479</v>
      </c>
      <c r="K12">
        <v>4</v>
      </c>
      <c r="M12">
        <v>30</v>
      </c>
      <c r="N12" t="s">
        <v>1537</v>
      </c>
      <c r="O12">
        <v>3</v>
      </c>
    </row>
    <row r="13" spans="1:15">
      <c r="E13">
        <v>20</v>
      </c>
      <c r="F13">
        <v>12</v>
      </c>
      <c r="I13">
        <v>37</v>
      </c>
      <c r="J13" t="s">
        <v>4473</v>
      </c>
      <c r="K13">
        <v>3</v>
      </c>
      <c r="M13">
        <v>29</v>
      </c>
      <c r="N13" t="s">
        <v>4474</v>
      </c>
      <c r="O13">
        <v>3</v>
      </c>
    </row>
    <row r="14" spans="1:15">
      <c r="F14">
        <v>15</v>
      </c>
      <c r="I14">
        <v>36</v>
      </c>
      <c r="J14" t="s">
        <v>4473</v>
      </c>
      <c r="K14">
        <v>3</v>
      </c>
      <c r="M14">
        <v>28</v>
      </c>
      <c r="N14" t="s">
        <v>4474</v>
      </c>
      <c r="O14">
        <v>3</v>
      </c>
    </row>
    <row r="15" spans="1:15">
      <c r="F15">
        <v>20</v>
      </c>
      <c r="I15">
        <v>35</v>
      </c>
      <c r="J15" t="s">
        <v>4473</v>
      </c>
      <c r="K15">
        <v>3</v>
      </c>
      <c r="M15">
        <v>27</v>
      </c>
      <c r="N15" t="s">
        <v>4475</v>
      </c>
      <c r="O15">
        <v>2</v>
      </c>
    </row>
    <row r="16" spans="1:15">
      <c r="F16">
        <v>25</v>
      </c>
      <c r="I16">
        <v>34</v>
      </c>
      <c r="J16" t="s">
        <v>1537</v>
      </c>
      <c r="K16">
        <v>3</v>
      </c>
      <c r="M16">
        <v>26</v>
      </c>
      <c r="N16" t="s">
        <v>4475</v>
      </c>
      <c r="O16">
        <v>2</v>
      </c>
    </row>
    <row r="17" spans="6:15">
      <c r="F17">
        <v>0.5</v>
      </c>
      <c r="I17">
        <v>33</v>
      </c>
      <c r="J17" t="s">
        <v>1537</v>
      </c>
      <c r="K17">
        <v>3</v>
      </c>
      <c r="M17">
        <v>25</v>
      </c>
      <c r="N17" t="s">
        <v>1538</v>
      </c>
      <c r="O17">
        <v>2</v>
      </c>
    </row>
    <row r="18" spans="6:15">
      <c r="F18">
        <v>0.75</v>
      </c>
      <c r="I18">
        <v>32</v>
      </c>
      <c r="J18" t="s">
        <v>1537</v>
      </c>
      <c r="K18">
        <v>3</v>
      </c>
      <c r="M18">
        <v>24</v>
      </c>
      <c r="N18" t="s">
        <v>1538</v>
      </c>
      <c r="O18">
        <v>2</v>
      </c>
    </row>
    <row r="19" spans="6:15">
      <c r="F19">
        <v>30</v>
      </c>
      <c r="I19">
        <v>31</v>
      </c>
      <c r="J19" t="s">
        <v>4474</v>
      </c>
      <c r="K19">
        <v>3</v>
      </c>
      <c r="M19">
        <v>23</v>
      </c>
      <c r="N19" t="s">
        <v>4476</v>
      </c>
      <c r="O19">
        <v>2</v>
      </c>
    </row>
    <row r="20" spans="6:15">
      <c r="I20">
        <v>30</v>
      </c>
      <c r="J20" t="s">
        <v>4474</v>
      </c>
      <c r="K20">
        <v>3</v>
      </c>
      <c r="M20">
        <v>22</v>
      </c>
      <c r="N20" t="s">
        <v>4476</v>
      </c>
      <c r="O20">
        <v>2</v>
      </c>
    </row>
    <row r="21" spans="6:15">
      <c r="I21">
        <v>29</v>
      </c>
      <c r="J21" t="s">
        <v>4475</v>
      </c>
      <c r="K21">
        <v>3</v>
      </c>
      <c r="M21">
        <v>21</v>
      </c>
      <c r="N21" t="s">
        <v>4477</v>
      </c>
      <c r="O21">
        <v>1</v>
      </c>
    </row>
    <row r="22" spans="6:15">
      <c r="I22">
        <v>28</v>
      </c>
      <c r="J22" t="s">
        <v>4475</v>
      </c>
      <c r="K22">
        <v>3</v>
      </c>
      <c r="M22">
        <v>20</v>
      </c>
      <c r="N22" t="s">
        <v>4477</v>
      </c>
      <c r="O22">
        <v>1</v>
      </c>
    </row>
    <row r="23" spans="6:15">
      <c r="I23">
        <v>27</v>
      </c>
      <c r="J23" t="s">
        <v>1538</v>
      </c>
      <c r="K23">
        <v>2</v>
      </c>
      <c r="M23">
        <v>19</v>
      </c>
      <c r="N23" t="s">
        <v>946</v>
      </c>
      <c r="O23">
        <v>1</v>
      </c>
    </row>
    <row r="24" spans="6:15">
      <c r="I24">
        <v>26</v>
      </c>
      <c r="J24" t="s">
        <v>1538</v>
      </c>
      <c r="K24">
        <v>2</v>
      </c>
      <c r="M24">
        <v>18</v>
      </c>
      <c r="N24" t="s">
        <v>946</v>
      </c>
      <c r="O24">
        <v>1</v>
      </c>
    </row>
    <row r="25" spans="6:15">
      <c r="I25">
        <v>25</v>
      </c>
      <c r="J25" t="s">
        <v>4476</v>
      </c>
      <c r="K25">
        <v>2</v>
      </c>
      <c r="M25">
        <v>17</v>
      </c>
      <c r="N25" t="s">
        <v>4478</v>
      </c>
      <c r="O25">
        <v>1</v>
      </c>
    </row>
    <row r="26" spans="6:15">
      <c r="I26">
        <v>24</v>
      </c>
      <c r="J26" t="s">
        <v>4476</v>
      </c>
      <c r="K26">
        <v>2</v>
      </c>
      <c r="M26">
        <v>16</v>
      </c>
      <c r="N26" t="s">
        <v>4478</v>
      </c>
      <c r="O26">
        <v>1</v>
      </c>
    </row>
    <row r="27" spans="6:15">
      <c r="I27">
        <v>23</v>
      </c>
      <c r="J27" t="s">
        <v>4477</v>
      </c>
      <c r="K27">
        <v>2</v>
      </c>
      <c r="M27">
        <v>15</v>
      </c>
      <c r="N27" t="s">
        <v>1545</v>
      </c>
      <c r="O27">
        <v>1</v>
      </c>
    </row>
    <row r="28" spans="6:15">
      <c r="I28">
        <v>22</v>
      </c>
      <c r="J28" t="s">
        <v>4477</v>
      </c>
      <c r="K28">
        <v>2</v>
      </c>
      <c r="M28">
        <v>14</v>
      </c>
      <c r="N28" t="s">
        <v>1546</v>
      </c>
      <c r="O28">
        <v>1</v>
      </c>
    </row>
    <row r="29" spans="6:15">
      <c r="I29">
        <v>21</v>
      </c>
      <c r="J29" t="s">
        <v>946</v>
      </c>
      <c r="K29">
        <v>1</v>
      </c>
      <c r="M29">
        <v>13</v>
      </c>
      <c r="N29" t="s">
        <v>1972</v>
      </c>
      <c r="O29">
        <v>1</v>
      </c>
    </row>
    <row r="30" spans="6:15">
      <c r="I30">
        <v>20</v>
      </c>
      <c r="J30" t="s">
        <v>946</v>
      </c>
      <c r="K30">
        <v>1</v>
      </c>
      <c r="M30">
        <v>12</v>
      </c>
      <c r="N30" t="s">
        <v>1972</v>
      </c>
      <c r="O30">
        <v>1</v>
      </c>
    </row>
    <row r="31" spans="6:15">
      <c r="I31">
        <v>19</v>
      </c>
      <c r="J31" t="s">
        <v>4478</v>
      </c>
      <c r="K31">
        <v>1</v>
      </c>
    </row>
    <row r="32" spans="6:15">
      <c r="I32">
        <v>18</v>
      </c>
      <c r="J32" t="s">
        <v>4478</v>
      </c>
      <c r="K32">
        <v>1</v>
      </c>
    </row>
    <row r="33" spans="9:11">
      <c r="I33">
        <v>17</v>
      </c>
      <c r="J33" t="s">
        <v>1545</v>
      </c>
      <c r="K33">
        <v>1</v>
      </c>
    </row>
    <row r="34" spans="9:11">
      <c r="I34">
        <v>16</v>
      </c>
      <c r="J34" t="s">
        <v>1545</v>
      </c>
      <c r="K34">
        <v>1</v>
      </c>
    </row>
    <row r="35" spans="9:11">
      <c r="I35">
        <v>15</v>
      </c>
      <c r="J35" t="s">
        <v>1546</v>
      </c>
      <c r="K35">
        <v>1</v>
      </c>
    </row>
    <row r="36" spans="9:11">
      <c r="I36">
        <v>14</v>
      </c>
      <c r="J36" t="s">
        <v>1546</v>
      </c>
      <c r="K36">
        <v>1</v>
      </c>
    </row>
    <row r="37" spans="9:11">
      <c r="I37">
        <v>13</v>
      </c>
      <c r="J37" t="s">
        <v>1546</v>
      </c>
      <c r="K37">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3C139-5869-794F-9A7A-F1D0353DBEAE}">
  <sheetPr codeName="Hoja9" filterMode="1">
    <tabColor theme="9"/>
  </sheetPr>
  <dimension ref="A1:I36"/>
  <sheetViews>
    <sheetView topLeftCell="A9" zoomScale="125" workbookViewId="0">
      <selection activeCell="D19" sqref="D19"/>
    </sheetView>
  </sheetViews>
  <sheetFormatPr baseColWidth="10" defaultRowHeight="15"/>
  <cols>
    <col min="1" max="1" width="14.33203125" bestFit="1" customWidth="1"/>
    <col min="4" max="4" width="99.83203125" style="10" customWidth="1"/>
    <col min="9" max="9" width="68.83203125" customWidth="1"/>
  </cols>
  <sheetData>
    <row r="1" spans="1:9" ht="16">
      <c r="A1" s="16" t="s">
        <v>1818</v>
      </c>
      <c r="B1" s="16" t="s">
        <v>1819</v>
      </c>
      <c r="C1" s="16" t="s">
        <v>1820</v>
      </c>
      <c r="D1" s="105" t="s">
        <v>1821</v>
      </c>
      <c r="E1" s="16" t="s">
        <v>2045</v>
      </c>
      <c r="F1" s="16" t="s">
        <v>2046</v>
      </c>
      <c r="H1" t="s">
        <v>1824</v>
      </c>
    </row>
    <row r="2" spans="1:9" ht="32" hidden="1">
      <c r="A2" t="s">
        <v>1814</v>
      </c>
      <c r="B2" t="s">
        <v>1822</v>
      </c>
      <c r="C2" t="s">
        <v>1810</v>
      </c>
      <c r="D2" s="10" t="s">
        <v>1832</v>
      </c>
      <c r="H2" t="s">
        <v>1822</v>
      </c>
      <c r="I2" t="s">
        <v>2043</v>
      </c>
    </row>
    <row r="3" spans="1:9" ht="32" hidden="1">
      <c r="A3" t="s">
        <v>1815</v>
      </c>
      <c r="B3" t="s">
        <v>1822</v>
      </c>
      <c r="C3" t="s">
        <v>1811</v>
      </c>
      <c r="D3" s="10" t="s">
        <v>1831</v>
      </c>
      <c r="H3" t="s">
        <v>1823</v>
      </c>
      <c r="I3" t="s">
        <v>2044</v>
      </c>
    </row>
    <row r="4" spans="1:9" ht="32" hidden="1">
      <c r="A4" t="s">
        <v>1829</v>
      </c>
      <c r="B4" t="s">
        <v>1822</v>
      </c>
      <c r="C4" t="s">
        <v>1809</v>
      </c>
      <c r="D4" s="10" t="s">
        <v>1830</v>
      </c>
      <c r="H4" t="s">
        <v>1873</v>
      </c>
    </row>
    <row r="5" spans="1:9" ht="48" hidden="1">
      <c r="A5" t="s">
        <v>1816</v>
      </c>
      <c r="B5" t="s">
        <v>1822</v>
      </c>
      <c r="C5" t="s">
        <v>1812</v>
      </c>
      <c r="D5" s="10" t="s">
        <v>1833</v>
      </c>
    </row>
    <row r="6" spans="1:9" ht="48" hidden="1">
      <c r="A6" t="s">
        <v>1817</v>
      </c>
      <c r="B6" t="s">
        <v>1822</v>
      </c>
      <c r="C6" t="s">
        <v>1813</v>
      </c>
      <c r="D6" s="10" t="s">
        <v>1834</v>
      </c>
    </row>
    <row r="7" spans="1:9" ht="16" hidden="1">
      <c r="A7" t="s">
        <v>2041</v>
      </c>
      <c r="B7" t="s">
        <v>1822</v>
      </c>
      <c r="C7" t="s">
        <v>2042</v>
      </c>
      <c r="D7" s="10" t="s">
        <v>2700</v>
      </c>
    </row>
    <row r="8" spans="1:9" ht="16" hidden="1">
      <c r="A8" t="s">
        <v>2698</v>
      </c>
      <c r="B8" t="s">
        <v>1822</v>
      </c>
      <c r="C8" t="s">
        <v>2697</v>
      </c>
      <c r="D8" s="10" t="s">
        <v>2699</v>
      </c>
    </row>
    <row r="9" spans="1:9" ht="32">
      <c r="A9" t="s">
        <v>1825</v>
      </c>
      <c r="B9" t="s">
        <v>1823</v>
      </c>
      <c r="C9" t="s">
        <v>1837</v>
      </c>
      <c r="D9" s="10" t="s">
        <v>1835</v>
      </c>
    </row>
    <row r="10" spans="1:9" ht="16">
      <c r="A10" t="s">
        <v>1826</v>
      </c>
      <c r="B10" t="s">
        <v>1823</v>
      </c>
      <c r="C10" t="s">
        <v>1838</v>
      </c>
      <c r="D10" s="10" t="s">
        <v>1827</v>
      </c>
    </row>
    <row r="11" spans="1:9" ht="48">
      <c r="A11" t="s">
        <v>1828</v>
      </c>
      <c r="B11" t="s">
        <v>1823</v>
      </c>
      <c r="C11" t="s">
        <v>1836</v>
      </c>
      <c r="D11" s="10" t="s">
        <v>1863</v>
      </c>
    </row>
    <row r="12" spans="1:9" ht="32">
      <c r="A12" t="s">
        <v>1839</v>
      </c>
      <c r="B12" t="s">
        <v>1823</v>
      </c>
      <c r="C12" t="s">
        <v>1840</v>
      </c>
      <c r="D12" s="10" t="s">
        <v>1862</v>
      </c>
    </row>
    <row r="13" spans="1:9" ht="32">
      <c r="A13" t="s">
        <v>1841</v>
      </c>
      <c r="B13" t="s">
        <v>1823</v>
      </c>
      <c r="C13" t="s">
        <v>1842</v>
      </c>
      <c r="D13" s="10" t="s">
        <v>1843</v>
      </c>
    </row>
    <row r="14" spans="1:9" ht="32">
      <c r="A14" t="s">
        <v>1844</v>
      </c>
      <c r="B14" t="s">
        <v>1823</v>
      </c>
      <c r="C14" t="s">
        <v>1845</v>
      </c>
      <c r="D14" s="10" t="s">
        <v>1861</v>
      </c>
    </row>
    <row r="15" spans="1:9" ht="32">
      <c r="A15" t="s">
        <v>1846</v>
      </c>
      <c r="B15" t="s">
        <v>1823</v>
      </c>
      <c r="C15" t="s">
        <v>1847</v>
      </c>
      <c r="D15" s="10" t="s">
        <v>1860</v>
      </c>
    </row>
    <row r="16" spans="1:9" ht="32">
      <c r="A16" t="s">
        <v>1848</v>
      </c>
      <c r="B16" t="s">
        <v>1823</v>
      </c>
      <c r="C16" t="s">
        <v>1849</v>
      </c>
      <c r="D16" s="10" t="s">
        <v>1850</v>
      </c>
    </row>
    <row r="17" spans="1:4" ht="32">
      <c r="A17" t="s">
        <v>1851</v>
      </c>
      <c r="B17" t="s">
        <v>1823</v>
      </c>
      <c r="C17" t="s">
        <v>1852</v>
      </c>
      <c r="D17" s="10" t="s">
        <v>1859</v>
      </c>
    </row>
    <row r="18" spans="1:4" ht="48">
      <c r="A18" t="s">
        <v>1853</v>
      </c>
      <c r="B18" t="s">
        <v>1823</v>
      </c>
      <c r="C18" t="s">
        <v>1854</v>
      </c>
      <c r="D18" s="10" t="s">
        <v>1855</v>
      </c>
    </row>
    <row r="19" spans="1:4" ht="48">
      <c r="A19" t="s">
        <v>1856</v>
      </c>
      <c r="B19" t="s">
        <v>1823</v>
      </c>
      <c r="C19" t="s">
        <v>1857</v>
      </c>
      <c r="D19" s="10" t="s">
        <v>1858</v>
      </c>
    </row>
    <row r="20" spans="1:4" ht="32">
      <c r="A20" t="s">
        <v>1865</v>
      </c>
      <c r="B20" t="s">
        <v>1823</v>
      </c>
      <c r="C20" t="s">
        <v>1866</v>
      </c>
      <c r="D20" s="10" t="s">
        <v>1864</v>
      </c>
    </row>
    <row r="21" spans="1:4" ht="16">
      <c r="A21" t="s">
        <v>1868</v>
      </c>
      <c r="B21" t="s">
        <v>1823</v>
      </c>
      <c r="C21" t="s">
        <v>1869</v>
      </c>
      <c r="D21" s="10" t="s">
        <v>1867</v>
      </c>
    </row>
    <row r="22" spans="1:4" ht="32">
      <c r="A22" t="s">
        <v>1871</v>
      </c>
      <c r="B22" t="s">
        <v>1823</v>
      </c>
      <c r="C22" t="s">
        <v>1872</v>
      </c>
      <c r="D22" s="10" t="s">
        <v>1870</v>
      </c>
    </row>
    <row r="23" spans="1:4" hidden="1">
      <c r="A23" t="s">
        <v>1874</v>
      </c>
      <c r="B23" t="s">
        <v>1873</v>
      </c>
      <c r="C23" t="s">
        <v>1890</v>
      </c>
    </row>
    <row r="24" spans="1:4" hidden="1">
      <c r="A24" t="s">
        <v>1875</v>
      </c>
      <c r="B24" t="s">
        <v>1873</v>
      </c>
      <c r="C24" t="s">
        <v>1891</v>
      </c>
    </row>
    <row r="25" spans="1:4" hidden="1">
      <c r="A25" t="s">
        <v>1876</v>
      </c>
      <c r="B25" t="s">
        <v>1873</v>
      </c>
      <c r="C25" t="s">
        <v>1892</v>
      </c>
    </row>
    <row r="26" spans="1:4" hidden="1">
      <c r="A26" t="s">
        <v>1877</v>
      </c>
      <c r="B26" t="s">
        <v>1873</v>
      </c>
      <c r="C26" t="s">
        <v>1893</v>
      </c>
    </row>
    <row r="27" spans="1:4" hidden="1">
      <c r="A27" t="s">
        <v>1878</v>
      </c>
      <c r="B27" t="s">
        <v>1873</v>
      </c>
      <c r="C27" t="s">
        <v>1894</v>
      </c>
    </row>
    <row r="28" spans="1:4" hidden="1">
      <c r="A28" t="s">
        <v>1879</v>
      </c>
      <c r="B28" t="s">
        <v>1873</v>
      </c>
      <c r="C28" t="s">
        <v>1895</v>
      </c>
    </row>
    <row r="29" spans="1:4" hidden="1">
      <c r="A29" t="s">
        <v>1880</v>
      </c>
      <c r="B29" t="s">
        <v>1873</v>
      </c>
      <c r="C29" t="s">
        <v>1896</v>
      </c>
    </row>
    <row r="30" spans="1:4" hidden="1">
      <c r="A30" t="s">
        <v>1881</v>
      </c>
      <c r="B30" t="s">
        <v>1873</v>
      </c>
      <c r="C30" t="s">
        <v>1897</v>
      </c>
    </row>
    <row r="31" spans="1:4" hidden="1">
      <c r="A31" t="s">
        <v>1882</v>
      </c>
      <c r="B31" t="s">
        <v>1873</v>
      </c>
      <c r="C31" t="s">
        <v>1898</v>
      </c>
    </row>
    <row r="32" spans="1:4" hidden="1">
      <c r="A32" t="s">
        <v>1883</v>
      </c>
      <c r="B32" t="s">
        <v>1873</v>
      </c>
      <c r="C32" t="s">
        <v>1899</v>
      </c>
    </row>
    <row r="33" spans="1:3" hidden="1">
      <c r="A33" t="s">
        <v>1884</v>
      </c>
      <c r="B33" t="s">
        <v>1873</v>
      </c>
      <c r="C33" t="s">
        <v>1900</v>
      </c>
    </row>
    <row r="34" spans="1:3" hidden="1">
      <c r="A34" t="s">
        <v>1886</v>
      </c>
      <c r="B34" t="s">
        <v>1873</v>
      </c>
      <c r="C34" t="s">
        <v>1901</v>
      </c>
    </row>
    <row r="35" spans="1:3" hidden="1">
      <c r="A35" t="s">
        <v>1887</v>
      </c>
      <c r="B35" t="s">
        <v>1873</v>
      </c>
      <c r="C35" t="s">
        <v>1902</v>
      </c>
    </row>
    <row r="36" spans="1:3" hidden="1">
      <c r="A36" t="s">
        <v>1885</v>
      </c>
      <c r="B36" t="s">
        <v>1873</v>
      </c>
      <c r="C36" t="s">
        <v>1903</v>
      </c>
    </row>
  </sheetData>
  <autoFilter ref="A1:I36" xr:uid="{B003C139-5869-794F-9A7A-F1D0353DBEAE}">
    <filterColumn colId="1">
      <filters>
        <filter val="Volatile"/>
      </filters>
    </filterColumn>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206DC-4F4A-9F48-8424-21C0F2FB4BCB}">
  <sheetPr>
    <tabColor theme="9"/>
  </sheetPr>
  <dimension ref="A1:H22"/>
  <sheetViews>
    <sheetView zoomScale="70" zoomScaleNormal="70" workbookViewId="0">
      <selection sqref="A1:XFD1048576"/>
    </sheetView>
  </sheetViews>
  <sheetFormatPr baseColWidth="10" defaultRowHeight="15"/>
  <cols>
    <col min="1" max="1" width="14.33203125" style="5" bestFit="1" customWidth="1"/>
    <col min="2" max="2" width="14.5" style="5" customWidth="1"/>
    <col min="3" max="3" width="11" style="5"/>
    <col min="4" max="4" width="57.5" style="5" customWidth="1"/>
    <col min="5" max="5" width="113.83203125" style="6" customWidth="1"/>
    <col min="6" max="6" width="3.33203125" customWidth="1"/>
    <col min="7" max="7" width="10.83203125" style="5"/>
    <col min="8" max="8" width="103" style="6" customWidth="1"/>
  </cols>
  <sheetData>
    <row r="1" spans="1:5" ht="16">
      <c r="A1" s="19" t="s">
        <v>1818</v>
      </c>
      <c r="B1" s="19" t="s">
        <v>1819</v>
      </c>
      <c r="C1" s="19" t="s">
        <v>1820</v>
      </c>
      <c r="D1" s="20" t="s">
        <v>1821</v>
      </c>
      <c r="E1" s="20" t="s">
        <v>4540</v>
      </c>
    </row>
    <row r="2" spans="1:5" ht="48">
      <c r="A2" s="139" t="s">
        <v>4488</v>
      </c>
      <c r="B2" s="5" t="s">
        <v>1822</v>
      </c>
      <c r="C2" s="5" t="s">
        <v>4500</v>
      </c>
      <c r="D2" s="6" t="s">
        <v>4497</v>
      </c>
      <c r="E2" s="6" t="s">
        <v>4543</v>
      </c>
    </row>
    <row r="3" spans="1:5" ht="48">
      <c r="A3" s="140" t="s">
        <v>4489</v>
      </c>
      <c r="B3" s="5" t="s">
        <v>1822</v>
      </c>
      <c r="C3" s="5" t="s">
        <v>1811</v>
      </c>
      <c r="D3" s="6" t="s">
        <v>4494</v>
      </c>
      <c r="E3" s="6" t="s">
        <v>4549</v>
      </c>
    </row>
    <row r="4" spans="1:5" ht="32">
      <c r="A4" s="144" t="s">
        <v>4490</v>
      </c>
      <c r="B4" s="5" t="s">
        <v>1822</v>
      </c>
      <c r="C4" s="5" t="s">
        <v>4501</v>
      </c>
      <c r="D4" s="6" t="s">
        <v>4495</v>
      </c>
      <c r="E4" s="6" t="s">
        <v>6488</v>
      </c>
    </row>
    <row r="5" spans="1:5" ht="48">
      <c r="A5" s="141" t="s">
        <v>4491</v>
      </c>
      <c r="B5" s="5" t="s">
        <v>1822</v>
      </c>
      <c r="C5" s="5" t="s">
        <v>4502</v>
      </c>
      <c r="D5" s="6" t="s">
        <v>4496</v>
      </c>
      <c r="E5" s="6" t="s">
        <v>6489</v>
      </c>
    </row>
    <row r="6" spans="1:5" ht="48">
      <c r="A6" s="142" t="s">
        <v>4492</v>
      </c>
      <c r="B6" s="5" t="s">
        <v>1822</v>
      </c>
      <c r="C6" s="5" t="s">
        <v>4503</v>
      </c>
      <c r="D6" s="6" t="s">
        <v>4498</v>
      </c>
      <c r="E6" s="6" t="s">
        <v>6490</v>
      </c>
    </row>
    <row r="7" spans="1:5" ht="16">
      <c r="A7" s="145" t="s">
        <v>4493</v>
      </c>
      <c r="B7" s="5" t="s">
        <v>1822</v>
      </c>
      <c r="C7" s="5" t="s">
        <v>4504</v>
      </c>
      <c r="D7" s="6" t="s">
        <v>4499</v>
      </c>
      <c r="E7" s="6" t="s">
        <v>4499</v>
      </c>
    </row>
    <row r="8" spans="1:5" ht="48">
      <c r="A8" s="143" t="s">
        <v>4508</v>
      </c>
      <c r="B8" s="5" t="s">
        <v>1823</v>
      </c>
      <c r="C8" s="5" t="s">
        <v>4531</v>
      </c>
      <c r="D8" s="6" t="s">
        <v>4505</v>
      </c>
      <c r="E8" s="6" t="s">
        <v>4947</v>
      </c>
    </row>
    <row r="9" spans="1:5" ht="64">
      <c r="A9" s="143" t="s">
        <v>4506</v>
      </c>
      <c r="B9" s="5" t="s">
        <v>1823</v>
      </c>
      <c r="C9" s="5" t="s">
        <v>1836</v>
      </c>
      <c r="D9" s="6" t="s">
        <v>4518</v>
      </c>
      <c r="E9" s="6" t="s">
        <v>4544</v>
      </c>
    </row>
    <row r="10" spans="1:5" ht="32">
      <c r="A10" s="143" t="s">
        <v>4507</v>
      </c>
      <c r="B10" s="5" t="s">
        <v>1823</v>
      </c>
      <c r="C10" s="5" t="s">
        <v>1840</v>
      </c>
      <c r="D10" s="6" t="s">
        <v>4519</v>
      </c>
      <c r="E10" s="6" t="s">
        <v>4545</v>
      </c>
    </row>
    <row r="11" spans="1:5" ht="48">
      <c r="A11" s="143" t="s">
        <v>4515</v>
      </c>
      <c r="B11" s="5" t="s">
        <v>1823</v>
      </c>
      <c r="C11" s="5" t="s">
        <v>1845</v>
      </c>
      <c r="D11" s="6" t="s">
        <v>4516</v>
      </c>
      <c r="E11" s="6" t="s">
        <v>4516</v>
      </c>
    </row>
    <row r="12" spans="1:5" ht="32">
      <c r="A12" s="143" t="s">
        <v>4514</v>
      </c>
      <c r="B12" s="5" t="s">
        <v>1823</v>
      </c>
      <c r="C12" s="5" t="s">
        <v>4529</v>
      </c>
      <c r="D12" s="6" t="s">
        <v>4517</v>
      </c>
      <c r="E12" s="6" t="s">
        <v>4546</v>
      </c>
    </row>
    <row r="13" spans="1:5" ht="48">
      <c r="A13" s="143" t="s">
        <v>4510</v>
      </c>
      <c r="B13" s="5" t="s">
        <v>1823</v>
      </c>
      <c r="C13" s="5" t="s">
        <v>4528</v>
      </c>
      <c r="D13" s="6" t="s">
        <v>4520</v>
      </c>
      <c r="E13" s="6" t="s">
        <v>4547</v>
      </c>
    </row>
    <row r="14" spans="1:5" ht="64">
      <c r="A14" s="143" t="s">
        <v>4511</v>
      </c>
      <c r="B14" s="5" t="s">
        <v>1823</v>
      </c>
      <c r="C14" s="5" t="s">
        <v>4527</v>
      </c>
      <c r="D14" s="6" t="s">
        <v>4521</v>
      </c>
      <c r="E14" s="6" t="s">
        <v>4521</v>
      </c>
    </row>
    <row r="15" spans="1:5" ht="64">
      <c r="A15" s="143" t="s">
        <v>4512</v>
      </c>
      <c r="B15" s="5" t="s">
        <v>1823</v>
      </c>
      <c r="C15" s="5" t="s">
        <v>1872</v>
      </c>
      <c r="D15" s="6" t="s">
        <v>4523</v>
      </c>
      <c r="E15" s="6" t="s">
        <v>4948</v>
      </c>
    </row>
    <row r="16" spans="1:5" ht="48">
      <c r="A16" s="143" t="s">
        <v>4513</v>
      </c>
      <c r="B16" s="5" t="s">
        <v>1823</v>
      </c>
      <c r="C16" s="5" t="s">
        <v>1869</v>
      </c>
      <c r="D16" s="6" t="s">
        <v>4522</v>
      </c>
      <c r="E16" s="6" t="s">
        <v>4949</v>
      </c>
    </row>
    <row r="17" spans="1:5" ht="64">
      <c r="A17" s="143" t="s">
        <v>4509</v>
      </c>
      <c r="B17" s="5" t="s">
        <v>1823</v>
      </c>
      <c r="C17" s="5" t="s">
        <v>1866</v>
      </c>
      <c r="D17" s="6" t="s">
        <v>4524</v>
      </c>
      <c r="E17" s="6" t="s">
        <v>4524</v>
      </c>
    </row>
    <row r="18" spans="1:5" ht="48">
      <c r="A18" s="143" t="s">
        <v>4525</v>
      </c>
      <c r="B18" s="5" t="s">
        <v>1823</v>
      </c>
      <c r="C18" s="5" t="s">
        <v>1847</v>
      </c>
      <c r="D18" s="6" t="s">
        <v>4526</v>
      </c>
      <c r="E18" s="6" t="s">
        <v>4548</v>
      </c>
    </row>
    <row r="19" spans="1:5" ht="32">
      <c r="A19" s="143" t="s">
        <v>4533</v>
      </c>
      <c r="B19" s="5" t="s">
        <v>1823</v>
      </c>
      <c r="C19" s="5" t="s">
        <v>4534</v>
      </c>
      <c r="D19" s="6" t="s">
        <v>4532</v>
      </c>
      <c r="E19" s="6" t="s">
        <v>4532</v>
      </c>
    </row>
    <row r="20" spans="1:5" ht="32">
      <c r="A20" s="143" t="s">
        <v>4530</v>
      </c>
      <c r="B20" s="5" t="s">
        <v>1823</v>
      </c>
      <c r="C20" s="5" t="s">
        <v>1838</v>
      </c>
      <c r="D20" s="6" t="s">
        <v>4535</v>
      </c>
      <c r="E20" s="6" t="s">
        <v>4950</v>
      </c>
    </row>
    <row r="21" spans="1:5" ht="32">
      <c r="A21" s="143" t="s">
        <v>4541</v>
      </c>
      <c r="B21" s="5" t="s">
        <v>1823</v>
      </c>
      <c r="C21" s="5" t="s">
        <v>4542</v>
      </c>
      <c r="D21" s="6" t="s">
        <v>4536</v>
      </c>
      <c r="E21" s="6" t="s">
        <v>4710</v>
      </c>
    </row>
    <row r="22" spans="1:5" ht="48">
      <c r="A22" s="143" t="s">
        <v>4537</v>
      </c>
      <c r="B22" s="5" t="s">
        <v>1823</v>
      </c>
      <c r="C22" s="5" t="s">
        <v>4538</v>
      </c>
      <c r="D22" s="6" t="s">
        <v>4539</v>
      </c>
      <c r="E22" s="6" t="s">
        <v>4951</v>
      </c>
    </row>
  </sheetData>
  <autoFilter ref="A1:H32" xr:uid="{B003C139-5869-794F-9A7A-F1D0353DBEA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34E5-FD1C-B542-8C24-02487C92D1B2}">
  <sheetPr codeName="Hoja12"/>
  <dimension ref="A1:V325"/>
  <sheetViews>
    <sheetView workbookViewId="0">
      <selection activeCell="T122" sqref="T122"/>
    </sheetView>
  </sheetViews>
  <sheetFormatPr baseColWidth="10" defaultRowHeight="15"/>
  <cols>
    <col min="1" max="1" width="17.1640625" style="107" bestFit="1" customWidth="1"/>
  </cols>
  <sheetData>
    <row r="1" spans="1:22" s="107" customFormat="1">
      <c r="A1" s="126" t="s">
        <v>2690</v>
      </c>
      <c r="B1" s="126" t="s">
        <v>2351</v>
      </c>
      <c r="C1" s="126" t="s">
        <v>2352</v>
      </c>
      <c r="D1" s="126" t="s">
        <v>2353</v>
      </c>
      <c r="E1" s="126" t="s">
        <v>2354</v>
      </c>
      <c r="F1" s="126" t="s">
        <v>2355</v>
      </c>
      <c r="G1" s="126" t="s">
        <v>2356</v>
      </c>
      <c r="H1" s="126" t="s">
        <v>2357</v>
      </c>
      <c r="I1" s="126" t="s">
        <v>2358</v>
      </c>
      <c r="J1" s="126" t="s">
        <v>2359</v>
      </c>
      <c r="K1" s="126" t="s">
        <v>2360</v>
      </c>
      <c r="L1" s="126" t="s">
        <v>2361</v>
      </c>
      <c r="M1" s="126" t="s">
        <v>2362</v>
      </c>
      <c r="N1" s="126" t="s">
        <v>2363</v>
      </c>
      <c r="O1" s="126" t="s">
        <v>2364</v>
      </c>
      <c r="P1" s="126" t="s">
        <v>2365</v>
      </c>
      <c r="Q1" s="126" t="s">
        <v>2366</v>
      </c>
      <c r="R1" s="126" t="s">
        <v>2367</v>
      </c>
      <c r="S1" s="126" t="s">
        <v>2368</v>
      </c>
      <c r="T1" s="107" t="s">
        <v>2694</v>
      </c>
      <c r="U1" s="107" t="s">
        <v>2696</v>
      </c>
      <c r="V1" s="107" t="s">
        <v>2695</v>
      </c>
    </row>
    <row r="2" spans="1:22">
      <c r="A2" s="126" t="s">
        <v>2031</v>
      </c>
      <c r="B2" s="127" t="s">
        <v>1109</v>
      </c>
      <c r="C2" s="127" t="s">
        <v>1109</v>
      </c>
      <c r="D2" s="127" t="s">
        <v>1109</v>
      </c>
      <c r="E2" s="127" t="s">
        <v>1109</v>
      </c>
      <c r="F2" s="127" t="s">
        <v>1109</v>
      </c>
      <c r="G2" s="127" t="s">
        <v>1109</v>
      </c>
      <c r="H2" s="128" t="s">
        <v>2693</v>
      </c>
      <c r="I2" s="127" t="s">
        <v>1109</v>
      </c>
      <c r="J2" s="127" t="s">
        <v>1109</v>
      </c>
      <c r="K2" s="127" t="s">
        <v>1109</v>
      </c>
      <c r="L2" s="127" t="s">
        <v>1109</v>
      </c>
      <c r="M2" s="127" t="s">
        <v>1109</v>
      </c>
      <c r="N2" s="127" t="s">
        <v>1109</v>
      </c>
      <c r="O2" s="128" t="s">
        <v>2691</v>
      </c>
      <c r="P2" s="127" t="s">
        <v>1109</v>
      </c>
      <c r="Q2" s="127" t="s">
        <v>1109</v>
      </c>
      <c r="R2" s="127" t="s">
        <v>1109</v>
      </c>
      <c r="S2" s="127" t="s">
        <v>1109</v>
      </c>
      <c r="T2">
        <f>COUNTIF($B2:$S2,"W")</f>
        <v>1</v>
      </c>
      <c r="U2">
        <f>COUNTIF($B2:$S2,"R")</f>
        <v>0</v>
      </c>
      <c r="V2">
        <f>COUNTIF($B2:$S2,"I")</f>
        <v>1</v>
      </c>
    </row>
    <row r="3" spans="1:22">
      <c r="A3" s="126" t="s">
        <v>2384</v>
      </c>
      <c r="B3" s="127" t="s">
        <v>1109</v>
      </c>
      <c r="C3" s="128" t="s">
        <v>2692</v>
      </c>
      <c r="D3" s="128" t="s">
        <v>2693</v>
      </c>
      <c r="E3" s="127" t="s">
        <v>1109</v>
      </c>
      <c r="F3" s="128" t="s">
        <v>2692</v>
      </c>
      <c r="G3" s="128" t="s">
        <v>2692</v>
      </c>
      <c r="H3" s="128" t="s">
        <v>2693</v>
      </c>
      <c r="I3" s="127" t="s">
        <v>1109</v>
      </c>
      <c r="J3" s="128" t="s">
        <v>2693</v>
      </c>
      <c r="K3" s="127" t="s">
        <v>1109</v>
      </c>
      <c r="L3" s="127" t="s">
        <v>1109</v>
      </c>
      <c r="M3" s="128" t="s">
        <v>2692</v>
      </c>
      <c r="N3" s="128" t="s">
        <v>2693</v>
      </c>
      <c r="O3" s="128" t="s">
        <v>2691</v>
      </c>
      <c r="P3" s="127" t="s">
        <v>1109</v>
      </c>
      <c r="Q3" s="127" t="s">
        <v>1109</v>
      </c>
      <c r="R3" s="128" t="s">
        <v>2692</v>
      </c>
      <c r="S3" s="128" t="s">
        <v>2692</v>
      </c>
      <c r="T3">
        <f t="shared" ref="T3:T66" si="0">COUNTIF($B3:$S3,"W")</f>
        <v>4</v>
      </c>
      <c r="U3">
        <f t="shared" ref="U3:U66" si="1">COUNTIF($B3:$S3,"R")</f>
        <v>6</v>
      </c>
      <c r="V3">
        <f t="shared" ref="V3:V66" si="2">COUNTIF($B3:$S3,"I")</f>
        <v>1</v>
      </c>
    </row>
    <row r="4" spans="1:22">
      <c r="A4" s="126" t="s">
        <v>2385</v>
      </c>
      <c r="B4" s="127" t="s">
        <v>1109</v>
      </c>
      <c r="C4" s="128" t="s">
        <v>2692</v>
      </c>
      <c r="D4" s="128" t="s">
        <v>2692</v>
      </c>
      <c r="E4" s="128" t="s">
        <v>2693</v>
      </c>
      <c r="F4" s="128" t="s">
        <v>2693</v>
      </c>
      <c r="G4" s="128" t="s">
        <v>2692</v>
      </c>
      <c r="H4" s="128" t="s">
        <v>2693</v>
      </c>
      <c r="I4" s="127" t="s">
        <v>1109</v>
      </c>
      <c r="J4" s="127" t="s">
        <v>1109</v>
      </c>
      <c r="K4" s="127" t="s">
        <v>1109</v>
      </c>
      <c r="L4" s="127" t="s">
        <v>1109</v>
      </c>
      <c r="M4" s="127" t="s">
        <v>1109</v>
      </c>
      <c r="N4" s="127" t="s">
        <v>1109</v>
      </c>
      <c r="O4" s="128" t="s">
        <v>2691</v>
      </c>
      <c r="P4" s="127" t="s">
        <v>1109</v>
      </c>
      <c r="Q4" s="127" t="s">
        <v>1109</v>
      </c>
      <c r="R4" s="128" t="s">
        <v>2692</v>
      </c>
      <c r="S4" s="127" t="s">
        <v>1109</v>
      </c>
      <c r="T4">
        <f t="shared" si="0"/>
        <v>3</v>
      </c>
      <c r="U4">
        <f t="shared" si="1"/>
        <v>4</v>
      </c>
      <c r="V4">
        <f t="shared" si="2"/>
        <v>1</v>
      </c>
    </row>
    <row r="5" spans="1:22">
      <c r="A5" s="126" t="s">
        <v>2386</v>
      </c>
      <c r="B5" s="127" t="s">
        <v>1109</v>
      </c>
      <c r="C5" s="127" t="s">
        <v>1109</v>
      </c>
      <c r="D5" s="127" t="s">
        <v>1109</v>
      </c>
      <c r="E5" s="128" t="s">
        <v>2692</v>
      </c>
      <c r="F5" s="127" t="s">
        <v>1109</v>
      </c>
      <c r="G5" s="127" t="s">
        <v>1109</v>
      </c>
      <c r="H5" s="128" t="s">
        <v>2693</v>
      </c>
      <c r="I5" s="127" t="s">
        <v>1109</v>
      </c>
      <c r="J5" s="128" t="s">
        <v>2693</v>
      </c>
      <c r="K5" s="128" t="s">
        <v>2692</v>
      </c>
      <c r="L5" s="127" t="s">
        <v>1109</v>
      </c>
      <c r="M5" s="127" t="s">
        <v>1109</v>
      </c>
      <c r="N5" s="127" t="s">
        <v>1109</v>
      </c>
      <c r="O5" s="128" t="s">
        <v>2691</v>
      </c>
      <c r="P5" s="127" t="s">
        <v>1109</v>
      </c>
      <c r="Q5" s="127" t="s">
        <v>1109</v>
      </c>
      <c r="R5" s="128" t="s">
        <v>2692</v>
      </c>
      <c r="S5" s="127" t="s">
        <v>1109</v>
      </c>
      <c r="T5">
        <f t="shared" si="0"/>
        <v>2</v>
      </c>
      <c r="U5">
        <f t="shared" si="1"/>
        <v>3</v>
      </c>
      <c r="V5">
        <f t="shared" si="2"/>
        <v>1</v>
      </c>
    </row>
    <row r="6" spans="1:22">
      <c r="A6" s="126" t="s">
        <v>2387</v>
      </c>
      <c r="B6" s="127" t="s">
        <v>1109</v>
      </c>
      <c r="C6" s="128" t="s">
        <v>2693</v>
      </c>
      <c r="D6" s="128" t="s">
        <v>2692</v>
      </c>
      <c r="E6" s="128" t="s">
        <v>2692</v>
      </c>
      <c r="F6" s="128" t="s">
        <v>2692</v>
      </c>
      <c r="G6" s="128" t="s">
        <v>2693</v>
      </c>
      <c r="H6" s="128" t="s">
        <v>2693</v>
      </c>
      <c r="I6" s="128" t="s">
        <v>2693</v>
      </c>
      <c r="J6" s="128" t="s">
        <v>2692</v>
      </c>
      <c r="K6" s="128" t="s">
        <v>2693</v>
      </c>
      <c r="L6" s="127" t="s">
        <v>1109</v>
      </c>
      <c r="M6" s="128" t="s">
        <v>2693</v>
      </c>
      <c r="N6" s="127" t="s">
        <v>1109</v>
      </c>
      <c r="O6" s="128" t="s">
        <v>2691</v>
      </c>
      <c r="P6" s="127" t="s">
        <v>1109</v>
      </c>
      <c r="Q6" s="127" t="s">
        <v>1109</v>
      </c>
      <c r="R6" s="127" t="s">
        <v>1109</v>
      </c>
      <c r="S6" s="127" t="s">
        <v>1109</v>
      </c>
      <c r="T6">
        <f t="shared" si="0"/>
        <v>6</v>
      </c>
      <c r="U6">
        <f t="shared" si="1"/>
        <v>4</v>
      </c>
      <c r="V6">
        <f t="shared" si="2"/>
        <v>1</v>
      </c>
    </row>
    <row r="7" spans="1:22">
      <c r="A7" s="126" t="s">
        <v>2388</v>
      </c>
      <c r="B7" s="127" t="s">
        <v>1109</v>
      </c>
      <c r="C7" s="128" t="s">
        <v>2693</v>
      </c>
      <c r="D7" s="127" t="s">
        <v>1109</v>
      </c>
      <c r="E7" s="127" t="s">
        <v>1109</v>
      </c>
      <c r="F7" s="127" t="s">
        <v>1109</v>
      </c>
      <c r="G7" s="128" t="s">
        <v>2692</v>
      </c>
      <c r="H7" s="128" t="s">
        <v>2693</v>
      </c>
      <c r="I7" s="127" t="s">
        <v>1109</v>
      </c>
      <c r="J7" s="127" t="s">
        <v>1109</v>
      </c>
      <c r="K7" s="127" t="s">
        <v>1109</v>
      </c>
      <c r="L7" s="127" t="s">
        <v>1109</v>
      </c>
      <c r="M7" s="127" t="s">
        <v>1109</v>
      </c>
      <c r="N7" s="128" t="s">
        <v>2693</v>
      </c>
      <c r="O7" s="128" t="s">
        <v>2691</v>
      </c>
      <c r="P7" s="127" t="s">
        <v>1109</v>
      </c>
      <c r="Q7" s="127" t="s">
        <v>1109</v>
      </c>
      <c r="R7" s="128" t="s">
        <v>2693</v>
      </c>
      <c r="S7" s="127" t="s">
        <v>1109</v>
      </c>
      <c r="T7">
        <f t="shared" si="0"/>
        <v>4</v>
      </c>
      <c r="U7">
        <f t="shared" si="1"/>
        <v>1</v>
      </c>
      <c r="V7">
        <f t="shared" si="2"/>
        <v>1</v>
      </c>
    </row>
    <row r="8" spans="1:22">
      <c r="A8" s="126" t="s">
        <v>2389</v>
      </c>
      <c r="B8" s="127" t="s">
        <v>1109</v>
      </c>
      <c r="C8" s="127" t="s">
        <v>1109</v>
      </c>
      <c r="D8" s="127" t="s">
        <v>1109</v>
      </c>
      <c r="E8" s="127" t="s">
        <v>1109</v>
      </c>
      <c r="F8" s="127" t="s">
        <v>1109</v>
      </c>
      <c r="G8" s="127" t="s">
        <v>1109</v>
      </c>
      <c r="H8" s="128" t="s">
        <v>2693</v>
      </c>
      <c r="I8" s="127" t="s">
        <v>1109</v>
      </c>
      <c r="J8" s="127" t="s">
        <v>1109</v>
      </c>
      <c r="K8" s="128" t="s">
        <v>2693</v>
      </c>
      <c r="L8" s="128" t="s">
        <v>2693</v>
      </c>
      <c r="M8" s="128" t="s">
        <v>2692</v>
      </c>
      <c r="N8" s="128" t="s">
        <v>2692</v>
      </c>
      <c r="O8" s="128" t="s">
        <v>2691</v>
      </c>
      <c r="P8" s="127" t="s">
        <v>1109</v>
      </c>
      <c r="Q8" s="128" t="s">
        <v>2692</v>
      </c>
      <c r="R8" s="127" t="s">
        <v>1109</v>
      </c>
      <c r="S8" s="128" t="s">
        <v>2693</v>
      </c>
      <c r="T8">
        <f t="shared" si="0"/>
        <v>4</v>
      </c>
      <c r="U8">
        <f t="shared" si="1"/>
        <v>3</v>
      </c>
      <c r="V8">
        <f t="shared" si="2"/>
        <v>1</v>
      </c>
    </row>
    <row r="9" spans="1:22">
      <c r="A9" s="126" t="s">
        <v>2390</v>
      </c>
      <c r="B9" s="127" t="s">
        <v>1109</v>
      </c>
      <c r="C9" s="127" t="s">
        <v>1109</v>
      </c>
      <c r="D9" s="127" t="s">
        <v>1109</v>
      </c>
      <c r="E9" s="127" t="s">
        <v>1109</v>
      </c>
      <c r="F9" s="128" t="s">
        <v>2692</v>
      </c>
      <c r="G9" s="127" t="s">
        <v>1109</v>
      </c>
      <c r="H9" s="127" t="s">
        <v>1109</v>
      </c>
      <c r="I9" s="128" t="s">
        <v>2692</v>
      </c>
      <c r="J9" s="128" t="s">
        <v>2693</v>
      </c>
      <c r="K9" s="127" t="s">
        <v>1109</v>
      </c>
      <c r="L9" s="128" t="s">
        <v>2693</v>
      </c>
      <c r="M9" s="128" t="s">
        <v>2692</v>
      </c>
      <c r="N9" s="127" t="s">
        <v>1109</v>
      </c>
      <c r="O9" s="128" t="s">
        <v>2691</v>
      </c>
      <c r="P9" s="127" t="s">
        <v>1109</v>
      </c>
      <c r="Q9" s="127" t="s">
        <v>1109</v>
      </c>
      <c r="R9" s="127" t="s">
        <v>1109</v>
      </c>
      <c r="S9" s="128" t="s">
        <v>2692</v>
      </c>
      <c r="T9">
        <f t="shared" si="0"/>
        <v>2</v>
      </c>
      <c r="U9">
        <f t="shared" si="1"/>
        <v>4</v>
      </c>
      <c r="V9">
        <f t="shared" si="2"/>
        <v>1</v>
      </c>
    </row>
    <row r="10" spans="1:22">
      <c r="A10" s="126" t="s">
        <v>2391</v>
      </c>
      <c r="B10" s="127" t="s">
        <v>1109</v>
      </c>
      <c r="C10" s="127" t="s">
        <v>1109</v>
      </c>
      <c r="D10" s="128" t="s">
        <v>2693</v>
      </c>
      <c r="E10" s="128" t="s">
        <v>2691</v>
      </c>
      <c r="F10" s="128" t="s">
        <v>2693</v>
      </c>
      <c r="G10" s="128" t="s">
        <v>2693</v>
      </c>
      <c r="H10" s="128" t="s">
        <v>2693</v>
      </c>
      <c r="I10" s="128" t="s">
        <v>2692</v>
      </c>
      <c r="J10" s="127" t="s">
        <v>1109</v>
      </c>
      <c r="K10" s="127" t="s">
        <v>1109</v>
      </c>
      <c r="L10" s="127" t="s">
        <v>1109</v>
      </c>
      <c r="M10" s="127" t="s">
        <v>1109</v>
      </c>
      <c r="N10" s="128" t="s">
        <v>2692</v>
      </c>
      <c r="O10" s="128" t="s">
        <v>2691</v>
      </c>
      <c r="P10" s="127" t="s">
        <v>1109</v>
      </c>
      <c r="Q10" s="127" t="s">
        <v>1109</v>
      </c>
      <c r="R10" s="127" t="s">
        <v>1109</v>
      </c>
      <c r="S10" s="127" t="s">
        <v>1109</v>
      </c>
      <c r="T10">
        <f t="shared" si="0"/>
        <v>4</v>
      </c>
      <c r="U10">
        <f t="shared" si="1"/>
        <v>2</v>
      </c>
      <c r="V10">
        <f t="shared" si="2"/>
        <v>2</v>
      </c>
    </row>
    <row r="11" spans="1:22">
      <c r="A11" s="126" t="s">
        <v>2392</v>
      </c>
      <c r="B11" s="127" t="s">
        <v>1109</v>
      </c>
      <c r="C11" s="127" t="s">
        <v>1109</v>
      </c>
      <c r="D11" s="127" t="s">
        <v>1109</v>
      </c>
      <c r="E11" s="128" t="s">
        <v>2693</v>
      </c>
      <c r="F11" s="128" t="s">
        <v>2692</v>
      </c>
      <c r="G11" s="128" t="s">
        <v>2693</v>
      </c>
      <c r="H11" s="127" t="s">
        <v>1109</v>
      </c>
      <c r="I11" s="127" t="s">
        <v>1109</v>
      </c>
      <c r="J11" s="128" t="s">
        <v>2691</v>
      </c>
      <c r="K11" s="127" t="s">
        <v>1109</v>
      </c>
      <c r="L11" s="127" t="s">
        <v>1109</v>
      </c>
      <c r="M11" s="128" t="s">
        <v>2692</v>
      </c>
      <c r="N11" s="128" t="s">
        <v>2693</v>
      </c>
      <c r="O11" s="128" t="s">
        <v>2691</v>
      </c>
      <c r="P11" s="127" t="s">
        <v>1109</v>
      </c>
      <c r="Q11" s="127" t="s">
        <v>1109</v>
      </c>
      <c r="R11" s="127" t="s">
        <v>1109</v>
      </c>
      <c r="S11" s="127" t="s">
        <v>1109</v>
      </c>
      <c r="T11">
        <f t="shared" si="0"/>
        <v>3</v>
      </c>
      <c r="U11">
        <f t="shared" si="1"/>
        <v>2</v>
      </c>
      <c r="V11">
        <f t="shared" si="2"/>
        <v>2</v>
      </c>
    </row>
    <row r="12" spans="1:22">
      <c r="A12" s="126" t="s">
        <v>2393</v>
      </c>
      <c r="B12" s="127" t="s">
        <v>1109</v>
      </c>
      <c r="C12" s="127" t="s">
        <v>1109</v>
      </c>
      <c r="D12" s="127" t="s">
        <v>1109</v>
      </c>
      <c r="E12" s="127" t="s">
        <v>1109</v>
      </c>
      <c r="F12" s="127" t="s">
        <v>1109</v>
      </c>
      <c r="G12" s="127" t="s">
        <v>1109</v>
      </c>
      <c r="H12" s="127" t="s">
        <v>1109</v>
      </c>
      <c r="I12" s="127" t="s">
        <v>1109</v>
      </c>
      <c r="J12" s="127" t="s">
        <v>1109</v>
      </c>
      <c r="K12" s="127" t="s">
        <v>1109</v>
      </c>
      <c r="L12" s="128" t="s">
        <v>2692</v>
      </c>
      <c r="M12" s="128" t="s">
        <v>2693</v>
      </c>
      <c r="N12" s="127" t="s">
        <v>1109</v>
      </c>
      <c r="O12" s="128" t="s">
        <v>2691</v>
      </c>
      <c r="P12" s="127" t="s">
        <v>1109</v>
      </c>
      <c r="Q12" s="128" t="s">
        <v>2693</v>
      </c>
      <c r="R12" s="127" t="s">
        <v>1109</v>
      </c>
      <c r="S12" s="127" t="s">
        <v>1109</v>
      </c>
      <c r="T12">
        <f t="shared" si="0"/>
        <v>2</v>
      </c>
      <c r="U12">
        <f t="shared" si="1"/>
        <v>1</v>
      </c>
      <c r="V12">
        <f t="shared" si="2"/>
        <v>1</v>
      </c>
    </row>
    <row r="13" spans="1:22">
      <c r="A13" s="126" t="s">
        <v>2394</v>
      </c>
      <c r="B13" s="127" t="s">
        <v>1109</v>
      </c>
      <c r="C13" s="128" t="s">
        <v>2693</v>
      </c>
      <c r="D13" s="127" t="s">
        <v>1109</v>
      </c>
      <c r="E13" s="127" t="s">
        <v>1109</v>
      </c>
      <c r="F13" s="128" t="s">
        <v>2692</v>
      </c>
      <c r="G13" s="127" t="s">
        <v>1109</v>
      </c>
      <c r="H13" s="127" t="s">
        <v>1109</v>
      </c>
      <c r="I13" s="127" t="s">
        <v>1109</v>
      </c>
      <c r="J13" s="128" t="s">
        <v>2692</v>
      </c>
      <c r="K13" s="128" t="s">
        <v>2693</v>
      </c>
      <c r="L13" s="127" t="s">
        <v>1109</v>
      </c>
      <c r="M13" s="127" t="s">
        <v>1109</v>
      </c>
      <c r="N13" s="128" t="s">
        <v>2693</v>
      </c>
      <c r="O13" s="128" t="s">
        <v>2691</v>
      </c>
      <c r="P13" s="127" t="s">
        <v>1109</v>
      </c>
      <c r="Q13" s="127" t="s">
        <v>1109</v>
      </c>
      <c r="R13" s="127" t="s">
        <v>1109</v>
      </c>
      <c r="S13" s="127" t="s">
        <v>1109</v>
      </c>
      <c r="T13">
        <f t="shared" si="0"/>
        <v>3</v>
      </c>
      <c r="U13">
        <f t="shared" si="1"/>
        <v>2</v>
      </c>
      <c r="V13">
        <f t="shared" si="2"/>
        <v>1</v>
      </c>
    </row>
    <row r="14" spans="1:22">
      <c r="A14" s="126" t="s">
        <v>2395</v>
      </c>
      <c r="B14" s="128" t="s">
        <v>2692</v>
      </c>
      <c r="C14" s="128" t="s">
        <v>2692</v>
      </c>
      <c r="D14" s="128" t="s">
        <v>2693</v>
      </c>
      <c r="E14" s="127" t="s">
        <v>1109</v>
      </c>
      <c r="F14" s="128" t="s">
        <v>2693</v>
      </c>
      <c r="G14" s="127" t="s">
        <v>1109</v>
      </c>
      <c r="H14" s="128" t="s">
        <v>2693</v>
      </c>
      <c r="I14" s="128" t="s">
        <v>2692</v>
      </c>
      <c r="J14" s="128" t="s">
        <v>2693</v>
      </c>
      <c r="K14" s="128" t="s">
        <v>2692</v>
      </c>
      <c r="L14" s="127" t="s">
        <v>1109</v>
      </c>
      <c r="M14" s="127" t="s">
        <v>1109</v>
      </c>
      <c r="N14" s="127" t="s">
        <v>1109</v>
      </c>
      <c r="O14" s="128" t="s">
        <v>2691</v>
      </c>
      <c r="P14" s="127" t="s">
        <v>1109</v>
      </c>
      <c r="Q14" s="127" t="s">
        <v>1109</v>
      </c>
      <c r="R14" s="128" t="s">
        <v>2693</v>
      </c>
      <c r="S14" s="127" t="s">
        <v>1109</v>
      </c>
      <c r="T14">
        <f t="shared" si="0"/>
        <v>5</v>
      </c>
      <c r="U14">
        <f t="shared" si="1"/>
        <v>4</v>
      </c>
      <c r="V14">
        <f t="shared" si="2"/>
        <v>1</v>
      </c>
    </row>
    <row r="15" spans="1:22">
      <c r="A15" s="126" t="s">
        <v>2396</v>
      </c>
      <c r="B15" s="128" t="s">
        <v>2691</v>
      </c>
      <c r="C15" s="127" t="s">
        <v>1109</v>
      </c>
      <c r="D15" s="127" t="s">
        <v>1109</v>
      </c>
      <c r="E15" s="127" t="s">
        <v>1109</v>
      </c>
      <c r="F15" s="127" t="s">
        <v>1109</v>
      </c>
      <c r="G15" s="127" t="s">
        <v>1109</v>
      </c>
      <c r="H15" s="128" t="s">
        <v>2691</v>
      </c>
      <c r="I15" s="128" t="s">
        <v>2692</v>
      </c>
      <c r="J15" s="127" t="s">
        <v>1109</v>
      </c>
      <c r="K15" s="127" t="s">
        <v>1109</v>
      </c>
      <c r="L15" s="127" t="s">
        <v>1109</v>
      </c>
      <c r="M15" s="128" t="s">
        <v>2692</v>
      </c>
      <c r="N15" s="127" t="s">
        <v>1109</v>
      </c>
      <c r="O15" s="128" t="s">
        <v>2691</v>
      </c>
      <c r="P15" s="127" t="s">
        <v>1109</v>
      </c>
      <c r="Q15" s="128" t="s">
        <v>2693</v>
      </c>
      <c r="R15" s="127" t="s">
        <v>1109</v>
      </c>
      <c r="S15" s="127" t="s">
        <v>1109</v>
      </c>
      <c r="T15">
        <f t="shared" si="0"/>
        <v>1</v>
      </c>
      <c r="U15">
        <f t="shared" si="1"/>
        <v>2</v>
      </c>
      <c r="V15">
        <f t="shared" si="2"/>
        <v>3</v>
      </c>
    </row>
    <row r="16" spans="1:22">
      <c r="A16" s="126" t="s">
        <v>2397</v>
      </c>
      <c r="B16" s="127" t="s">
        <v>1109</v>
      </c>
      <c r="C16" s="128" t="s">
        <v>2692</v>
      </c>
      <c r="D16" s="128" t="s">
        <v>2692</v>
      </c>
      <c r="E16" s="128" t="s">
        <v>2692</v>
      </c>
      <c r="F16" s="128" t="s">
        <v>2692</v>
      </c>
      <c r="G16" s="128" t="s">
        <v>2693</v>
      </c>
      <c r="H16" s="128" t="s">
        <v>2693</v>
      </c>
      <c r="I16" s="127" t="s">
        <v>1109</v>
      </c>
      <c r="J16" s="127" t="s">
        <v>1109</v>
      </c>
      <c r="K16" s="127" t="s">
        <v>1109</v>
      </c>
      <c r="L16" s="127" t="s">
        <v>1109</v>
      </c>
      <c r="M16" s="127" t="s">
        <v>1109</v>
      </c>
      <c r="N16" s="127" t="s">
        <v>1109</v>
      </c>
      <c r="O16" s="128" t="s">
        <v>2691</v>
      </c>
      <c r="P16" s="128" t="s">
        <v>2693</v>
      </c>
      <c r="Q16" s="127" t="s">
        <v>1109</v>
      </c>
      <c r="R16" s="127" t="s">
        <v>1109</v>
      </c>
      <c r="S16" s="128" t="s">
        <v>2693</v>
      </c>
      <c r="T16">
        <f t="shared" si="0"/>
        <v>4</v>
      </c>
      <c r="U16">
        <f t="shared" si="1"/>
        <v>4</v>
      </c>
      <c r="V16">
        <f t="shared" si="2"/>
        <v>1</v>
      </c>
    </row>
    <row r="17" spans="1:22">
      <c r="A17" s="126" t="s">
        <v>2398</v>
      </c>
      <c r="B17" s="127" t="s">
        <v>1109</v>
      </c>
      <c r="C17" s="127" t="s">
        <v>1109</v>
      </c>
      <c r="D17" s="127" t="s">
        <v>1109</v>
      </c>
      <c r="E17" s="127" t="s">
        <v>1109</v>
      </c>
      <c r="F17" s="127" t="s">
        <v>1109</v>
      </c>
      <c r="G17" s="127" t="s">
        <v>1109</v>
      </c>
      <c r="H17" s="128" t="s">
        <v>2693</v>
      </c>
      <c r="I17" s="127" t="s">
        <v>1109</v>
      </c>
      <c r="J17" s="127" t="s">
        <v>1109</v>
      </c>
      <c r="K17" s="127" t="s">
        <v>1109</v>
      </c>
      <c r="L17" s="128" t="s">
        <v>2691</v>
      </c>
      <c r="M17" s="128" t="s">
        <v>2693</v>
      </c>
      <c r="N17" s="127" t="s">
        <v>1109</v>
      </c>
      <c r="O17" s="128" t="s">
        <v>2691</v>
      </c>
      <c r="P17" s="127" t="s">
        <v>1109</v>
      </c>
      <c r="Q17" s="128" t="s">
        <v>2692</v>
      </c>
      <c r="R17" s="127" t="s">
        <v>1109</v>
      </c>
      <c r="S17" s="128" t="s">
        <v>2693</v>
      </c>
      <c r="T17">
        <f t="shared" si="0"/>
        <v>3</v>
      </c>
      <c r="U17">
        <f t="shared" si="1"/>
        <v>1</v>
      </c>
      <c r="V17">
        <f t="shared" si="2"/>
        <v>2</v>
      </c>
    </row>
    <row r="18" spans="1:22">
      <c r="A18" s="126" t="s">
        <v>2399</v>
      </c>
      <c r="B18" s="128" t="s">
        <v>2692</v>
      </c>
      <c r="C18" s="128" t="s">
        <v>2693</v>
      </c>
      <c r="D18" s="127" t="s">
        <v>1109</v>
      </c>
      <c r="E18" s="127" t="s">
        <v>1109</v>
      </c>
      <c r="F18" s="128" t="s">
        <v>2692</v>
      </c>
      <c r="G18" s="128" t="s">
        <v>2692</v>
      </c>
      <c r="H18" s="128" t="s">
        <v>2693</v>
      </c>
      <c r="I18" s="128" t="s">
        <v>2691</v>
      </c>
      <c r="J18" s="128" t="s">
        <v>2693</v>
      </c>
      <c r="K18" s="128" t="s">
        <v>2692</v>
      </c>
      <c r="L18" s="128" t="s">
        <v>2692</v>
      </c>
      <c r="M18" s="128" t="s">
        <v>2692</v>
      </c>
      <c r="N18" s="128" t="s">
        <v>2692</v>
      </c>
      <c r="O18" s="128" t="s">
        <v>2691</v>
      </c>
      <c r="P18" s="128" t="s">
        <v>2692</v>
      </c>
      <c r="Q18" s="127" t="s">
        <v>1109</v>
      </c>
      <c r="R18" s="128" t="s">
        <v>2692</v>
      </c>
      <c r="S18" s="128" t="s">
        <v>2692</v>
      </c>
      <c r="T18">
        <f t="shared" si="0"/>
        <v>3</v>
      </c>
      <c r="U18">
        <f t="shared" si="1"/>
        <v>10</v>
      </c>
      <c r="V18">
        <f t="shared" si="2"/>
        <v>2</v>
      </c>
    </row>
    <row r="19" spans="1:22">
      <c r="A19" s="126" t="s">
        <v>2400</v>
      </c>
      <c r="B19" s="127" t="s">
        <v>1109</v>
      </c>
      <c r="C19" s="127" t="s">
        <v>1109</v>
      </c>
      <c r="D19" s="127" t="s">
        <v>1109</v>
      </c>
      <c r="E19" s="127" t="s">
        <v>1109</v>
      </c>
      <c r="F19" s="127" t="s">
        <v>1109</v>
      </c>
      <c r="G19" s="127" t="s">
        <v>1109</v>
      </c>
      <c r="H19" s="127" t="s">
        <v>1109</v>
      </c>
      <c r="I19" s="128" t="s">
        <v>2693</v>
      </c>
      <c r="J19" s="127" t="s">
        <v>1109</v>
      </c>
      <c r="K19" s="127" t="s">
        <v>1109</v>
      </c>
      <c r="L19" s="127" t="s">
        <v>1109</v>
      </c>
      <c r="M19" s="128" t="s">
        <v>2692</v>
      </c>
      <c r="N19" s="127" t="s">
        <v>1109</v>
      </c>
      <c r="O19" s="128" t="s">
        <v>2691</v>
      </c>
      <c r="P19" s="128" t="s">
        <v>2691</v>
      </c>
      <c r="Q19" s="128" t="s">
        <v>2692</v>
      </c>
      <c r="R19" s="128" t="s">
        <v>2693</v>
      </c>
      <c r="S19" s="127" t="s">
        <v>1109</v>
      </c>
      <c r="T19">
        <f t="shared" si="0"/>
        <v>2</v>
      </c>
      <c r="U19">
        <f t="shared" si="1"/>
        <v>2</v>
      </c>
      <c r="V19">
        <f t="shared" si="2"/>
        <v>2</v>
      </c>
    </row>
    <row r="20" spans="1:22">
      <c r="A20" s="126" t="s">
        <v>2369</v>
      </c>
      <c r="B20" s="127" t="s">
        <v>1109</v>
      </c>
      <c r="C20" s="128" t="s">
        <v>2692</v>
      </c>
      <c r="D20" s="128" t="s">
        <v>2693</v>
      </c>
      <c r="E20" s="127" t="s">
        <v>1109</v>
      </c>
      <c r="F20" s="128" t="s">
        <v>2692</v>
      </c>
      <c r="G20" s="128" t="s">
        <v>2692</v>
      </c>
      <c r="H20" s="127" t="s">
        <v>1109</v>
      </c>
      <c r="I20" s="127" t="s">
        <v>1109</v>
      </c>
      <c r="J20" s="128" t="s">
        <v>2693</v>
      </c>
      <c r="K20" s="127" t="s">
        <v>1109</v>
      </c>
      <c r="L20" s="127" t="s">
        <v>1109</v>
      </c>
      <c r="M20" s="128" t="s">
        <v>2692</v>
      </c>
      <c r="N20" s="128" t="s">
        <v>2693</v>
      </c>
      <c r="O20" s="127" t="s">
        <v>1109</v>
      </c>
      <c r="P20" s="127" t="s">
        <v>1109</v>
      </c>
      <c r="Q20" s="127" t="s">
        <v>1109</v>
      </c>
      <c r="R20" s="128" t="s">
        <v>2692</v>
      </c>
      <c r="S20" s="128" t="s">
        <v>2692</v>
      </c>
      <c r="T20">
        <f t="shared" si="0"/>
        <v>3</v>
      </c>
      <c r="U20">
        <f t="shared" si="1"/>
        <v>6</v>
      </c>
      <c r="V20">
        <f t="shared" si="2"/>
        <v>0</v>
      </c>
    </row>
    <row r="21" spans="1:22">
      <c r="A21" s="126" t="s">
        <v>2401</v>
      </c>
      <c r="B21" s="127" t="s">
        <v>1109</v>
      </c>
      <c r="C21" s="128" t="s">
        <v>2692</v>
      </c>
      <c r="D21" s="128" t="s">
        <v>2693</v>
      </c>
      <c r="E21" s="127" t="s">
        <v>1109</v>
      </c>
      <c r="F21" s="128" t="s">
        <v>2692</v>
      </c>
      <c r="G21" s="128" t="s">
        <v>2692</v>
      </c>
      <c r="H21" s="128" t="s">
        <v>2693</v>
      </c>
      <c r="I21" s="127" t="s">
        <v>1109</v>
      </c>
      <c r="J21" s="128" t="s">
        <v>2693</v>
      </c>
      <c r="K21" s="127" t="s">
        <v>1109</v>
      </c>
      <c r="L21" s="127" t="s">
        <v>1109</v>
      </c>
      <c r="M21" s="128" t="s">
        <v>2692</v>
      </c>
      <c r="N21" s="128" t="s">
        <v>2693</v>
      </c>
      <c r="O21" s="128" t="s">
        <v>2691</v>
      </c>
      <c r="P21" s="127" t="s">
        <v>1109</v>
      </c>
      <c r="Q21" s="127" t="s">
        <v>1109</v>
      </c>
      <c r="R21" s="128" t="s">
        <v>2692</v>
      </c>
      <c r="S21" s="128" t="s">
        <v>2692</v>
      </c>
      <c r="T21">
        <f t="shared" si="0"/>
        <v>4</v>
      </c>
      <c r="U21">
        <f t="shared" si="1"/>
        <v>6</v>
      </c>
      <c r="V21">
        <f t="shared" si="2"/>
        <v>1</v>
      </c>
    </row>
    <row r="22" spans="1:22">
      <c r="A22" s="126" t="s">
        <v>2402</v>
      </c>
      <c r="B22" s="127" t="s">
        <v>1109</v>
      </c>
      <c r="C22" s="128" t="s">
        <v>2692</v>
      </c>
      <c r="D22" s="127" t="s">
        <v>1109</v>
      </c>
      <c r="E22" s="128" t="s">
        <v>2693</v>
      </c>
      <c r="F22" s="127" t="s">
        <v>1109</v>
      </c>
      <c r="G22" s="128" t="s">
        <v>2692</v>
      </c>
      <c r="H22" s="127" t="s">
        <v>1109</v>
      </c>
      <c r="I22" s="127" t="s">
        <v>1109</v>
      </c>
      <c r="J22" s="128" t="s">
        <v>2693</v>
      </c>
      <c r="K22" s="127" t="s">
        <v>1109</v>
      </c>
      <c r="L22" s="127" t="s">
        <v>1109</v>
      </c>
      <c r="M22" s="128" t="s">
        <v>2692</v>
      </c>
      <c r="N22" s="128" t="s">
        <v>2693</v>
      </c>
      <c r="O22" s="127" t="s">
        <v>1109</v>
      </c>
      <c r="P22" s="127" t="s">
        <v>1109</v>
      </c>
      <c r="Q22" s="127" t="s">
        <v>1109</v>
      </c>
      <c r="R22" s="128" t="s">
        <v>2692</v>
      </c>
      <c r="S22" s="128" t="s">
        <v>2692</v>
      </c>
      <c r="T22">
        <f t="shared" si="0"/>
        <v>3</v>
      </c>
      <c r="U22">
        <f t="shared" si="1"/>
        <v>5</v>
      </c>
      <c r="V22">
        <f t="shared" si="2"/>
        <v>0</v>
      </c>
    </row>
    <row r="23" spans="1:22">
      <c r="A23" s="126" t="s">
        <v>2403</v>
      </c>
      <c r="B23" s="127" t="s">
        <v>1109</v>
      </c>
      <c r="C23" s="128" t="s">
        <v>2692</v>
      </c>
      <c r="D23" s="128" t="s">
        <v>2693</v>
      </c>
      <c r="E23" s="128" t="s">
        <v>2692</v>
      </c>
      <c r="F23" s="128" t="s">
        <v>2692</v>
      </c>
      <c r="G23" s="128" t="s">
        <v>2692</v>
      </c>
      <c r="H23" s="127" t="s">
        <v>1109</v>
      </c>
      <c r="I23" s="127" t="s">
        <v>1109</v>
      </c>
      <c r="J23" s="128" t="s">
        <v>2693</v>
      </c>
      <c r="K23" s="128" t="s">
        <v>2692</v>
      </c>
      <c r="L23" s="127" t="s">
        <v>1109</v>
      </c>
      <c r="M23" s="128" t="s">
        <v>2692</v>
      </c>
      <c r="N23" s="128" t="s">
        <v>2693</v>
      </c>
      <c r="O23" s="127" t="s">
        <v>1109</v>
      </c>
      <c r="P23" s="127" t="s">
        <v>1109</v>
      </c>
      <c r="Q23" s="127" t="s">
        <v>1109</v>
      </c>
      <c r="R23" s="128" t="s">
        <v>2692</v>
      </c>
      <c r="S23" s="128" t="s">
        <v>2692</v>
      </c>
      <c r="T23">
        <f t="shared" si="0"/>
        <v>3</v>
      </c>
      <c r="U23">
        <f t="shared" si="1"/>
        <v>8</v>
      </c>
      <c r="V23">
        <f t="shared" si="2"/>
        <v>0</v>
      </c>
    </row>
    <row r="24" spans="1:22">
      <c r="A24" s="126" t="s">
        <v>2404</v>
      </c>
      <c r="B24" s="127" t="s">
        <v>1109</v>
      </c>
      <c r="C24" s="127" t="s">
        <v>1109</v>
      </c>
      <c r="D24" s="127" t="s">
        <v>1109</v>
      </c>
      <c r="E24" s="128" t="s">
        <v>2692</v>
      </c>
      <c r="F24" s="128" t="s">
        <v>2692</v>
      </c>
      <c r="G24" s="127" t="s">
        <v>1109</v>
      </c>
      <c r="H24" s="127" t="s">
        <v>1109</v>
      </c>
      <c r="I24" s="128" t="s">
        <v>2693</v>
      </c>
      <c r="J24" s="127" t="s">
        <v>1109</v>
      </c>
      <c r="K24" s="128" t="s">
        <v>2693</v>
      </c>
      <c r="L24" s="127" t="s">
        <v>1109</v>
      </c>
      <c r="M24" s="127" t="s">
        <v>1109</v>
      </c>
      <c r="N24" s="128" t="s">
        <v>2693</v>
      </c>
      <c r="O24" s="127" t="s">
        <v>1109</v>
      </c>
      <c r="P24" s="127" t="s">
        <v>1109</v>
      </c>
      <c r="Q24" s="127" t="s">
        <v>1109</v>
      </c>
      <c r="R24" s="128" t="s">
        <v>2692</v>
      </c>
      <c r="S24" s="128" t="s">
        <v>2692</v>
      </c>
      <c r="T24">
        <f t="shared" si="0"/>
        <v>3</v>
      </c>
      <c r="U24">
        <f t="shared" si="1"/>
        <v>4</v>
      </c>
      <c r="V24">
        <f t="shared" si="2"/>
        <v>0</v>
      </c>
    </row>
    <row r="25" spans="1:22">
      <c r="A25" s="126" t="s">
        <v>2405</v>
      </c>
      <c r="B25" s="127" t="s">
        <v>1109</v>
      </c>
      <c r="C25" s="127" t="s">
        <v>1109</v>
      </c>
      <c r="D25" s="128" t="s">
        <v>2693</v>
      </c>
      <c r="E25" s="127" t="s">
        <v>1109</v>
      </c>
      <c r="F25" s="128" t="s">
        <v>2692</v>
      </c>
      <c r="G25" s="128" t="s">
        <v>2692</v>
      </c>
      <c r="H25" s="128" t="s">
        <v>2693</v>
      </c>
      <c r="I25" s="127" t="s">
        <v>1109</v>
      </c>
      <c r="J25" s="128" t="s">
        <v>2693</v>
      </c>
      <c r="K25" s="127" t="s">
        <v>1109</v>
      </c>
      <c r="L25" s="127" t="s">
        <v>1109</v>
      </c>
      <c r="M25" s="128" t="s">
        <v>2692</v>
      </c>
      <c r="N25" s="128" t="s">
        <v>2693</v>
      </c>
      <c r="O25" s="127" t="s">
        <v>1109</v>
      </c>
      <c r="P25" s="127" t="s">
        <v>1109</v>
      </c>
      <c r="Q25" s="127" t="s">
        <v>1109</v>
      </c>
      <c r="R25" s="127" t="s">
        <v>1109</v>
      </c>
      <c r="S25" s="128" t="s">
        <v>2692</v>
      </c>
      <c r="T25">
        <f t="shared" si="0"/>
        <v>4</v>
      </c>
      <c r="U25">
        <f t="shared" si="1"/>
        <v>4</v>
      </c>
      <c r="V25">
        <f t="shared" si="2"/>
        <v>0</v>
      </c>
    </row>
    <row r="26" spans="1:22">
      <c r="A26" s="126" t="s">
        <v>2406</v>
      </c>
      <c r="B26" s="127" t="s">
        <v>1109</v>
      </c>
      <c r="C26" s="128" t="s">
        <v>2692</v>
      </c>
      <c r="D26" s="128" t="s">
        <v>2693</v>
      </c>
      <c r="E26" s="127" t="s">
        <v>1109</v>
      </c>
      <c r="F26" s="128" t="s">
        <v>2692</v>
      </c>
      <c r="G26" s="128" t="s">
        <v>2692</v>
      </c>
      <c r="H26" s="127" t="s">
        <v>1109</v>
      </c>
      <c r="I26" s="127" t="s">
        <v>1109</v>
      </c>
      <c r="J26" s="128" t="s">
        <v>2693</v>
      </c>
      <c r="K26" s="128" t="s">
        <v>2693</v>
      </c>
      <c r="L26" s="128" t="s">
        <v>2693</v>
      </c>
      <c r="M26" s="128" t="s">
        <v>2692</v>
      </c>
      <c r="N26" s="127" t="s">
        <v>1109</v>
      </c>
      <c r="O26" s="127" t="s">
        <v>1109</v>
      </c>
      <c r="P26" s="127" t="s">
        <v>1109</v>
      </c>
      <c r="Q26" s="128" t="s">
        <v>2692</v>
      </c>
      <c r="R26" s="128" t="s">
        <v>2692</v>
      </c>
      <c r="S26" s="127" t="s">
        <v>1109</v>
      </c>
      <c r="T26">
        <f t="shared" si="0"/>
        <v>4</v>
      </c>
      <c r="U26">
        <f t="shared" si="1"/>
        <v>6</v>
      </c>
      <c r="V26">
        <f t="shared" si="2"/>
        <v>0</v>
      </c>
    </row>
    <row r="27" spans="1:22">
      <c r="A27" s="126" t="s">
        <v>2407</v>
      </c>
      <c r="B27" s="127" t="s">
        <v>1109</v>
      </c>
      <c r="C27" s="128" t="s">
        <v>2692</v>
      </c>
      <c r="D27" s="128" t="s">
        <v>2693</v>
      </c>
      <c r="E27" s="127" t="s">
        <v>1109</v>
      </c>
      <c r="F27" s="128" t="s">
        <v>2692</v>
      </c>
      <c r="G27" s="128" t="s">
        <v>2692</v>
      </c>
      <c r="H27" s="128" t="s">
        <v>2692</v>
      </c>
      <c r="I27" s="128" t="s">
        <v>2692</v>
      </c>
      <c r="J27" s="128" t="s">
        <v>2693</v>
      </c>
      <c r="K27" s="127" t="s">
        <v>1109</v>
      </c>
      <c r="L27" s="128" t="s">
        <v>2693</v>
      </c>
      <c r="M27" s="128" t="s">
        <v>2692</v>
      </c>
      <c r="N27" s="128" t="s">
        <v>2693</v>
      </c>
      <c r="O27" s="127" t="s">
        <v>1109</v>
      </c>
      <c r="P27" s="127" t="s">
        <v>1109</v>
      </c>
      <c r="Q27" s="127" t="s">
        <v>1109</v>
      </c>
      <c r="R27" s="128" t="s">
        <v>2692</v>
      </c>
      <c r="S27" s="128" t="s">
        <v>2692</v>
      </c>
      <c r="T27">
        <f t="shared" si="0"/>
        <v>4</v>
      </c>
      <c r="U27">
        <f t="shared" si="1"/>
        <v>8</v>
      </c>
      <c r="V27">
        <f t="shared" si="2"/>
        <v>0</v>
      </c>
    </row>
    <row r="28" spans="1:22">
      <c r="A28" s="126" t="s">
        <v>2408</v>
      </c>
      <c r="B28" s="127" t="s">
        <v>1109</v>
      </c>
      <c r="C28" s="128" t="s">
        <v>2692</v>
      </c>
      <c r="D28" s="128" t="s">
        <v>2693</v>
      </c>
      <c r="E28" s="128" t="s">
        <v>2691</v>
      </c>
      <c r="F28" s="127" t="s">
        <v>1109</v>
      </c>
      <c r="G28" s="127" t="s">
        <v>1109</v>
      </c>
      <c r="H28" s="127" t="s">
        <v>1109</v>
      </c>
      <c r="I28" s="128" t="s">
        <v>2692</v>
      </c>
      <c r="J28" s="128" t="s">
        <v>2693</v>
      </c>
      <c r="K28" s="127" t="s">
        <v>1109</v>
      </c>
      <c r="L28" s="127" t="s">
        <v>1109</v>
      </c>
      <c r="M28" s="128" t="s">
        <v>2692</v>
      </c>
      <c r="N28" s="127" t="s">
        <v>1109</v>
      </c>
      <c r="O28" s="127" t="s">
        <v>1109</v>
      </c>
      <c r="P28" s="127" t="s">
        <v>1109</v>
      </c>
      <c r="Q28" s="127" t="s">
        <v>1109</v>
      </c>
      <c r="R28" s="128" t="s">
        <v>2692</v>
      </c>
      <c r="S28" s="128" t="s">
        <v>2692</v>
      </c>
      <c r="T28">
        <f t="shared" si="0"/>
        <v>2</v>
      </c>
      <c r="U28">
        <f t="shared" si="1"/>
        <v>5</v>
      </c>
      <c r="V28">
        <f t="shared" si="2"/>
        <v>1</v>
      </c>
    </row>
    <row r="29" spans="1:22">
      <c r="A29" s="126" t="s">
        <v>2409</v>
      </c>
      <c r="B29" s="127" t="s">
        <v>1109</v>
      </c>
      <c r="C29" s="128" t="s">
        <v>2692</v>
      </c>
      <c r="D29" s="128" t="s">
        <v>2693</v>
      </c>
      <c r="E29" s="128" t="s">
        <v>2693</v>
      </c>
      <c r="F29" s="128" t="s">
        <v>2692</v>
      </c>
      <c r="G29" s="127" t="s">
        <v>1109</v>
      </c>
      <c r="H29" s="128" t="s">
        <v>2692</v>
      </c>
      <c r="I29" s="127" t="s">
        <v>1109</v>
      </c>
      <c r="J29" s="128" t="s">
        <v>2691</v>
      </c>
      <c r="K29" s="127" t="s">
        <v>1109</v>
      </c>
      <c r="L29" s="127" t="s">
        <v>1109</v>
      </c>
      <c r="M29" s="128" t="s">
        <v>2692</v>
      </c>
      <c r="N29" s="128" t="s">
        <v>2693</v>
      </c>
      <c r="O29" s="127" t="s">
        <v>1109</v>
      </c>
      <c r="P29" s="127" t="s">
        <v>1109</v>
      </c>
      <c r="Q29" s="127" t="s">
        <v>1109</v>
      </c>
      <c r="R29" s="128" t="s">
        <v>2692</v>
      </c>
      <c r="S29" s="128" t="s">
        <v>2692</v>
      </c>
      <c r="T29">
        <f t="shared" si="0"/>
        <v>3</v>
      </c>
      <c r="U29">
        <f t="shared" si="1"/>
        <v>6</v>
      </c>
      <c r="V29">
        <f t="shared" si="2"/>
        <v>1</v>
      </c>
    </row>
    <row r="30" spans="1:22">
      <c r="A30" s="126" t="s">
        <v>2410</v>
      </c>
      <c r="B30" s="127" t="s">
        <v>1109</v>
      </c>
      <c r="C30" s="128" t="s">
        <v>2692</v>
      </c>
      <c r="D30" s="128" t="s">
        <v>2693</v>
      </c>
      <c r="E30" s="127" t="s">
        <v>1109</v>
      </c>
      <c r="F30" s="128" t="s">
        <v>2692</v>
      </c>
      <c r="G30" s="128" t="s">
        <v>2692</v>
      </c>
      <c r="H30" s="128" t="s">
        <v>2692</v>
      </c>
      <c r="I30" s="127" t="s">
        <v>1109</v>
      </c>
      <c r="J30" s="128" t="s">
        <v>2693</v>
      </c>
      <c r="K30" s="127" t="s">
        <v>1109</v>
      </c>
      <c r="L30" s="128" t="s">
        <v>2692</v>
      </c>
      <c r="M30" s="127" t="s">
        <v>1109</v>
      </c>
      <c r="N30" s="128" t="s">
        <v>2693</v>
      </c>
      <c r="O30" s="128" t="s">
        <v>2693</v>
      </c>
      <c r="P30" s="127" t="s">
        <v>1109</v>
      </c>
      <c r="Q30" s="128" t="s">
        <v>2693</v>
      </c>
      <c r="R30" s="128" t="s">
        <v>2692</v>
      </c>
      <c r="S30" s="128" t="s">
        <v>2692</v>
      </c>
      <c r="T30">
        <f t="shared" si="0"/>
        <v>5</v>
      </c>
      <c r="U30">
        <f t="shared" si="1"/>
        <v>7</v>
      </c>
      <c r="V30">
        <f t="shared" si="2"/>
        <v>0</v>
      </c>
    </row>
    <row r="31" spans="1:22">
      <c r="A31" s="126" t="s">
        <v>2411</v>
      </c>
      <c r="B31" s="127" t="s">
        <v>1109</v>
      </c>
      <c r="C31" s="127" t="s">
        <v>1109</v>
      </c>
      <c r="D31" s="128" t="s">
        <v>2693</v>
      </c>
      <c r="E31" s="127" t="s">
        <v>1109</v>
      </c>
      <c r="F31" s="128" t="s">
        <v>2692</v>
      </c>
      <c r="G31" s="128" t="s">
        <v>2692</v>
      </c>
      <c r="H31" s="128" t="s">
        <v>2692</v>
      </c>
      <c r="I31" s="127" t="s">
        <v>1109</v>
      </c>
      <c r="J31" s="127" t="s">
        <v>1109</v>
      </c>
      <c r="K31" s="128" t="s">
        <v>2693</v>
      </c>
      <c r="L31" s="127" t="s">
        <v>1109</v>
      </c>
      <c r="M31" s="128" t="s">
        <v>2692</v>
      </c>
      <c r="N31" s="128" t="s">
        <v>2693</v>
      </c>
      <c r="O31" s="127" t="s">
        <v>1109</v>
      </c>
      <c r="P31" s="127" t="s">
        <v>1109</v>
      </c>
      <c r="Q31" s="127" t="s">
        <v>1109</v>
      </c>
      <c r="R31" s="128" t="s">
        <v>2692</v>
      </c>
      <c r="S31" s="128" t="s">
        <v>2692</v>
      </c>
      <c r="T31">
        <f t="shared" si="0"/>
        <v>3</v>
      </c>
      <c r="U31">
        <f t="shared" si="1"/>
        <v>6</v>
      </c>
      <c r="V31">
        <f t="shared" si="2"/>
        <v>0</v>
      </c>
    </row>
    <row r="32" spans="1:22">
      <c r="A32" s="126" t="s">
        <v>2412</v>
      </c>
      <c r="B32" s="128" t="s">
        <v>2692</v>
      </c>
      <c r="C32" s="128" t="s">
        <v>2692</v>
      </c>
      <c r="D32" s="128" t="s">
        <v>2693</v>
      </c>
      <c r="E32" s="127" t="s">
        <v>1109</v>
      </c>
      <c r="F32" s="127" t="s">
        <v>1109</v>
      </c>
      <c r="G32" s="128" t="s">
        <v>2692</v>
      </c>
      <c r="H32" s="128" t="s">
        <v>2693</v>
      </c>
      <c r="I32" s="128" t="s">
        <v>2692</v>
      </c>
      <c r="J32" s="128" t="s">
        <v>2693</v>
      </c>
      <c r="K32" s="128" t="s">
        <v>2692</v>
      </c>
      <c r="L32" s="127" t="s">
        <v>1109</v>
      </c>
      <c r="M32" s="128" t="s">
        <v>2692</v>
      </c>
      <c r="N32" s="128" t="s">
        <v>2693</v>
      </c>
      <c r="O32" s="127" t="s">
        <v>1109</v>
      </c>
      <c r="P32" s="127" t="s">
        <v>1109</v>
      </c>
      <c r="Q32" s="127" t="s">
        <v>1109</v>
      </c>
      <c r="R32" s="127" t="s">
        <v>1109</v>
      </c>
      <c r="S32" s="128" t="s">
        <v>2692</v>
      </c>
      <c r="T32">
        <f t="shared" si="0"/>
        <v>4</v>
      </c>
      <c r="U32">
        <f t="shared" si="1"/>
        <v>7</v>
      </c>
      <c r="V32">
        <f t="shared" si="2"/>
        <v>0</v>
      </c>
    </row>
    <row r="33" spans="1:22">
      <c r="A33" s="126" t="s">
        <v>2413</v>
      </c>
      <c r="B33" s="128" t="s">
        <v>2691</v>
      </c>
      <c r="C33" s="128" t="s">
        <v>2692</v>
      </c>
      <c r="D33" s="128" t="s">
        <v>2693</v>
      </c>
      <c r="E33" s="127" t="s">
        <v>1109</v>
      </c>
      <c r="F33" s="128" t="s">
        <v>2692</v>
      </c>
      <c r="G33" s="128" t="s">
        <v>2692</v>
      </c>
      <c r="H33" s="128" t="s">
        <v>2691</v>
      </c>
      <c r="I33" s="128" t="s">
        <v>2692</v>
      </c>
      <c r="J33" s="128" t="s">
        <v>2693</v>
      </c>
      <c r="K33" s="127" t="s">
        <v>1109</v>
      </c>
      <c r="L33" s="127" t="s">
        <v>1109</v>
      </c>
      <c r="M33" s="128" t="s">
        <v>2692</v>
      </c>
      <c r="N33" s="128" t="s">
        <v>2693</v>
      </c>
      <c r="O33" s="128" t="s">
        <v>2693</v>
      </c>
      <c r="P33" s="127" t="s">
        <v>1109</v>
      </c>
      <c r="Q33" s="128" t="s">
        <v>2693</v>
      </c>
      <c r="R33" s="128" t="s">
        <v>2692</v>
      </c>
      <c r="S33" s="128" t="s">
        <v>2692</v>
      </c>
      <c r="T33">
        <f t="shared" si="0"/>
        <v>5</v>
      </c>
      <c r="U33">
        <f t="shared" si="1"/>
        <v>7</v>
      </c>
      <c r="V33">
        <f t="shared" si="2"/>
        <v>2</v>
      </c>
    </row>
    <row r="34" spans="1:22">
      <c r="A34" s="126" t="s">
        <v>2414</v>
      </c>
      <c r="B34" s="127" t="s">
        <v>1109</v>
      </c>
      <c r="C34" s="128" t="s">
        <v>2692</v>
      </c>
      <c r="D34" s="127" t="s">
        <v>1109</v>
      </c>
      <c r="E34" s="128" t="s">
        <v>2692</v>
      </c>
      <c r="F34" s="128" t="s">
        <v>2692</v>
      </c>
      <c r="G34" s="127" t="s">
        <v>1109</v>
      </c>
      <c r="H34" s="127" t="s">
        <v>1109</v>
      </c>
      <c r="I34" s="127" t="s">
        <v>1109</v>
      </c>
      <c r="J34" s="128" t="s">
        <v>2693</v>
      </c>
      <c r="K34" s="127" t="s">
        <v>1109</v>
      </c>
      <c r="L34" s="127" t="s">
        <v>1109</v>
      </c>
      <c r="M34" s="128" t="s">
        <v>2692</v>
      </c>
      <c r="N34" s="128" t="s">
        <v>2693</v>
      </c>
      <c r="O34" s="127" t="s">
        <v>1109</v>
      </c>
      <c r="P34" s="128" t="s">
        <v>2693</v>
      </c>
      <c r="Q34" s="127" t="s">
        <v>1109</v>
      </c>
      <c r="R34" s="128" t="s">
        <v>2692</v>
      </c>
      <c r="S34" s="127" t="s">
        <v>1109</v>
      </c>
      <c r="T34">
        <f t="shared" si="0"/>
        <v>3</v>
      </c>
      <c r="U34">
        <f t="shared" si="1"/>
        <v>5</v>
      </c>
      <c r="V34">
        <f t="shared" si="2"/>
        <v>0</v>
      </c>
    </row>
    <row r="35" spans="1:22">
      <c r="A35" s="126" t="s">
        <v>2415</v>
      </c>
      <c r="B35" s="127" t="s">
        <v>1109</v>
      </c>
      <c r="C35" s="128" t="s">
        <v>2692</v>
      </c>
      <c r="D35" s="128" t="s">
        <v>2693</v>
      </c>
      <c r="E35" s="127" t="s">
        <v>1109</v>
      </c>
      <c r="F35" s="128" t="s">
        <v>2692</v>
      </c>
      <c r="G35" s="128" t="s">
        <v>2692</v>
      </c>
      <c r="H35" s="128" t="s">
        <v>2693</v>
      </c>
      <c r="I35" s="127" t="s">
        <v>1109</v>
      </c>
      <c r="J35" s="128" t="s">
        <v>2693</v>
      </c>
      <c r="K35" s="127" t="s">
        <v>1109</v>
      </c>
      <c r="L35" s="128" t="s">
        <v>2691</v>
      </c>
      <c r="M35" s="127" t="s">
        <v>1109</v>
      </c>
      <c r="N35" s="128" t="s">
        <v>2693</v>
      </c>
      <c r="O35" s="128" t="s">
        <v>2692</v>
      </c>
      <c r="P35" s="127" t="s">
        <v>1109</v>
      </c>
      <c r="Q35" s="128" t="s">
        <v>2692</v>
      </c>
      <c r="R35" s="128" t="s">
        <v>2692</v>
      </c>
      <c r="S35" s="127" t="s">
        <v>1109</v>
      </c>
      <c r="T35">
        <f t="shared" si="0"/>
        <v>4</v>
      </c>
      <c r="U35">
        <f t="shared" si="1"/>
        <v>6</v>
      </c>
      <c r="V35">
        <f t="shared" si="2"/>
        <v>1</v>
      </c>
    </row>
    <row r="36" spans="1:22">
      <c r="A36" s="126" t="s">
        <v>2416</v>
      </c>
      <c r="B36" s="128" t="s">
        <v>2692</v>
      </c>
      <c r="C36" s="127" t="s">
        <v>1109</v>
      </c>
      <c r="D36" s="128" t="s">
        <v>2693</v>
      </c>
      <c r="E36" s="127" t="s">
        <v>1109</v>
      </c>
      <c r="F36" s="128" t="s">
        <v>2692</v>
      </c>
      <c r="G36" s="128" t="s">
        <v>2692</v>
      </c>
      <c r="H36" s="128" t="s">
        <v>2693</v>
      </c>
      <c r="I36" s="128" t="s">
        <v>2691</v>
      </c>
      <c r="J36" s="128" t="s">
        <v>2693</v>
      </c>
      <c r="K36" s="128" t="s">
        <v>2692</v>
      </c>
      <c r="L36" s="128" t="s">
        <v>2692</v>
      </c>
      <c r="M36" s="128" t="s">
        <v>2692</v>
      </c>
      <c r="N36" s="127" t="s">
        <v>1109</v>
      </c>
      <c r="O36" s="127" t="s">
        <v>1109</v>
      </c>
      <c r="P36" s="128" t="s">
        <v>2692</v>
      </c>
      <c r="Q36" s="127" t="s">
        <v>1109</v>
      </c>
      <c r="R36" s="128" t="s">
        <v>2692</v>
      </c>
      <c r="S36" s="128" t="s">
        <v>2692</v>
      </c>
      <c r="T36">
        <f t="shared" si="0"/>
        <v>3</v>
      </c>
      <c r="U36">
        <f t="shared" si="1"/>
        <v>9</v>
      </c>
      <c r="V36">
        <f t="shared" si="2"/>
        <v>1</v>
      </c>
    </row>
    <row r="37" spans="1:22">
      <c r="A37" s="126" t="s">
        <v>2417</v>
      </c>
      <c r="B37" s="127" t="s">
        <v>1109</v>
      </c>
      <c r="C37" s="128" t="s">
        <v>2692</v>
      </c>
      <c r="D37" s="128" t="s">
        <v>2693</v>
      </c>
      <c r="E37" s="127" t="s">
        <v>1109</v>
      </c>
      <c r="F37" s="128" t="s">
        <v>2692</v>
      </c>
      <c r="G37" s="128" t="s">
        <v>2692</v>
      </c>
      <c r="H37" s="128" t="s">
        <v>2692</v>
      </c>
      <c r="I37" s="128" t="s">
        <v>2693</v>
      </c>
      <c r="J37" s="128" t="s">
        <v>2693</v>
      </c>
      <c r="K37" s="127" t="s">
        <v>1109</v>
      </c>
      <c r="L37" s="127" t="s">
        <v>1109</v>
      </c>
      <c r="M37" s="128" t="s">
        <v>2692</v>
      </c>
      <c r="N37" s="128" t="s">
        <v>2693</v>
      </c>
      <c r="O37" s="127" t="s">
        <v>1109</v>
      </c>
      <c r="P37" s="128" t="s">
        <v>2691</v>
      </c>
      <c r="Q37" s="128" t="s">
        <v>2692</v>
      </c>
      <c r="R37" s="127" t="s">
        <v>1109</v>
      </c>
      <c r="S37" s="128" t="s">
        <v>2692</v>
      </c>
      <c r="T37">
        <f t="shared" si="0"/>
        <v>4</v>
      </c>
      <c r="U37">
        <f t="shared" si="1"/>
        <v>7</v>
      </c>
      <c r="V37">
        <f t="shared" si="2"/>
        <v>1</v>
      </c>
    </row>
    <row r="38" spans="1:22">
      <c r="A38" s="126" t="s">
        <v>2370</v>
      </c>
      <c r="B38" s="127" t="s">
        <v>1109</v>
      </c>
      <c r="C38" s="128" t="s">
        <v>2692</v>
      </c>
      <c r="D38" s="128" t="s">
        <v>2692</v>
      </c>
      <c r="E38" s="128" t="s">
        <v>2693</v>
      </c>
      <c r="F38" s="128" t="s">
        <v>2693</v>
      </c>
      <c r="G38" s="128" t="s">
        <v>2692</v>
      </c>
      <c r="H38" s="127" t="s">
        <v>1109</v>
      </c>
      <c r="I38" s="127" t="s">
        <v>1109</v>
      </c>
      <c r="J38" s="127" t="s">
        <v>1109</v>
      </c>
      <c r="K38" s="127" t="s">
        <v>1109</v>
      </c>
      <c r="L38" s="127" t="s">
        <v>1109</v>
      </c>
      <c r="M38" s="127" t="s">
        <v>1109</v>
      </c>
      <c r="N38" s="127" t="s">
        <v>1109</v>
      </c>
      <c r="O38" s="127" t="s">
        <v>1109</v>
      </c>
      <c r="P38" s="127" t="s">
        <v>1109</v>
      </c>
      <c r="Q38" s="127" t="s">
        <v>1109</v>
      </c>
      <c r="R38" s="128" t="s">
        <v>2692</v>
      </c>
      <c r="S38" s="127" t="s">
        <v>1109</v>
      </c>
      <c r="T38">
        <f t="shared" si="0"/>
        <v>2</v>
      </c>
      <c r="U38">
        <f t="shared" si="1"/>
        <v>4</v>
      </c>
      <c r="V38">
        <f t="shared" si="2"/>
        <v>0</v>
      </c>
    </row>
    <row r="39" spans="1:22">
      <c r="A39" s="126" t="s">
        <v>2418</v>
      </c>
      <c r="B39" s="127" t="s">
        <v>1109</v>
      </c>
      <c r="C39" s="128" t="s">
        <v>2692</v>
      </c>
      <c r="D39" s="128" t="s">
        <v>2692</v>
      </c>
      <c r="E39" s="128" t="s">
        <v>2693</v>
      </c>
      <c r="F39" s="128" t="s">
        <v>2693</v>
      </c>
      <c r="G39" s="128" t="s">
        <v>2692</v>
      </c>
      <c r="H39" s="128" t="s">
        <v>2693</v>
      </c>
      <c r="I39" s="127" t="s">
        <v>1109</v>
      </c>
      <c r="J39" s="127" t="s">
        <v>1109</v>
      </c>
      <c r="K39" s="127" t="s">
        <v>1109</v>
      </c>
      <c r="L39" s="127" t="s">
        <v>1109</v>
      </c>
      <c r="M39" s="127" t="s">
        <v>1109</v>
      </c>
      <c r="N39" s="127" t="s">
        <v>1109</v>
      </c>
      <c r="O39" s="128" t="s">
        <v>2691</v>
      </c>
      <c r="P39" s="127" t="s">
        <v>1109</v>
      </c>
      <c r="Q39" s="127" t="s">
        <v>1109</v>
      </c>
      <c r="R39" s="128" t="s">
        <v>2692</v>
      </c>
      <c r="S39" s="127" t="s">
        <v>1109</v>
      </c>
      <c r="T39">
        <f t="shared" si="0"/>
        <v>3</v>
      </c>
      <c r="U39">
        <f t="shared" si="1"/>
        <v>4</v>
      </c>
      <c r="V39">
        <f t="shared" si="2"/>
        <v>1</v>
      </c>
    </row>
    <row r="40" spans="1:22">
      <c r="A40" s="126" t="s">
        <v>2419</v>
      </c>
      <c r="B40" s="127" t="s">
        <v>1109</v>
      </c>
      <c r="C40" s="128" t="s">
        <v>2692</v>
      </c>
      <c r="D40" s="127" t="s">
        <v>1109</v>
      </c>
      <c r="E40" s="128" t="s">
        <v>2693</v>
      </c>
      <c r="F40" s="127" t="s">
        <v>1109</v>
      </c>
      <c r="G40" s="128" t="s">
        <v>2692</v>
      </c>
      <c r="H40" s="127" t="s">
        <v>1109</v>
      </c>
      <c r="I40" s="127" t="s">
        <v>1109</v>
      </c>
      <c r="J40" s="128" t="s">
        <v>2693</v>
      </c>
      <c r="K40" s="127" t="s">
        <v>1109</v>
      </c>
      <c r="L40" s="127" t="s">
        <v>1109</v>
      </c>
      <c r="M40" s="128" t="s">
        <v>2692</v>
      </c>
      <c r="N40" s="128" t="s">
        <v>2693</v>
      </c>
      <c r="O40" s="127" t="s">
        <v>1109</v>
      </c>
      <c r="P40" s="127" t="s">
        <v>1109</v>
      </c>
      <c r="Q40" s="127" t="s">
        <v>1109</v>
      </c>
      <c r="R40" s="128" t="s">
        <v>2692</v>
      </c>
      <c r="S40" s="128" t="s">
        <v>2692</v>
      </c>
      <c r="T40">
        <f t="shared" si="0"/>
        <v>3</v>
      </c>
      <c r="U40">
        <f t="shared" si="1"/>
        <v>5</v>
      </c>
      <c r="V40">
        <f t="shared" si="2"/>
        <v>0</v>
      </c>
    </row>
    <row r="41" spans="1:22">
      <c r="A41" s="126" t="s">
        <v>2420</v>
      </c>
      <c r="B41" s="127" t="s">
        <v>1109</v>
      </c>
      <c r="C41" s="128" t="s">
        <v>2692</v>
      </c>
      <c r="D41" s="128" t="s">
        <v>2692</v>
      </c>
      <c r="E41" s="127" t="s">
        <v>1109</v>
      </c>
      <c r="F41" s="128" t="s">
        <v>2693</v>
      </c>
      <c r="G41" s="128" t="s">
        <v>2692</v>
      </c>
      <c r="H41" s="127" t="s">
        <v>1109</v>
      </c>
      <c r="I41" s="127" t="s">
        <v>1109</v>
      </c>
      <c r="J41" s="128" t="s">
        <v>2693</v>
      </c>
      <c r="K41" s="128" t="s">
        <v>2692</v>
      </c>
      <c r="L41" s="127" t="s">
        <v>1109</v>
      </c>
      <c r="M41" s="127" t="s">
        <v>1109</v>
      </c>
      <c r="N41" s="127" t="s">
        <v>1109</v>
      </c>
      <c r="O41" s="127" t="s">
        <v>1109</v>
      </c>
      <c r="P41" s="127" t="s">
        <v>1109</v>
      </c>
      <c r="Q41" s="127" t="s">
        <v>1109</v>
      </c>
      <c r="R41" s="128" t="s">
        <v>2692</v>
      </c>
      <c r="S41" s="127" t="s">
        <v>1109</v>
      </c>
      <c r="T41">
        <f t="shared" si="0"/>
        <v>2</v>
      </c>
      <c r="U41">
        <f t="shared" si="1"/>
        <v>5</v>
      </c>
      <c r="V41">
        <f t="shared" si="2"/>
        <v>0</v>
      </c>
    </row>
    <row r="42" spans="1:22">
      <c r="A42" s="126" t="s">
        <v>2421</v>
      </c>
      <c r="B42" s="127" t="s">
        <v>1109</v>
      </c>
      <c r="C42" s="127" t="s">
        <v>1109</v>
      </c>
      <c r="D42" s="128" t="s">
        <v>2692</v>
      </c>
      <c r="E42" s="127" t="s">
        <v>1109</v>
      </c>
      <c r="F42" s="127" t="s">
        <v>1109</v>
      </c>
      <c r="G42" s="127" t="s">
        <v>1109</v>
      </c>
      <c r="H42" s="127" t="s">
        <v>1109</v>
      </c>
      <c r="I42" s="128" t="s">
        <v>2693</v>
      </c>
      <c r="J42" s="128" t="s">
        <v>2692</v>
      </c>
      <c r="K42" s="128" t="s">
        <v>2693</v>
      </c>
      <c r="L42" s="127" t="s">
        <v>1109</v>
      </c>
      <c r="M42" s="128" t="s">
        <v>2693</v>
      </c>
      <c r="N42" s="127" t="s">
        <v>1109</v>
      </c>
      <c r="O42" s="127" t="s">
        <v>1109</v>
      </c>
      <c r="P42" s="127" t="s">
        <v>1109</v>
      </c>
      <c r="Q42" s="127" t="s">
        <v>1109</v>
      </c>
      <c r="R42" s="128" t="s">
        <v>2692</v>
      </c>
      <c r="S42" s="127" t="s">
        <v>1109</v>
      </c>
      <c r="T42">
        <f t="shared" si="0"/>
        <v>3</v>
      </c>
      <c r="U42">
        <f t="shared" si="1"/>
        <v>3</v>
      </c>
      <c r="V42">
        <f t="shared" si="2"/>
        <v>0</v>
      </c>
    </row>
    <row r="43" spans="1:22">
      <c r="A43" s="126" t="s">
        <v>2422</v>
      </c>
      <c r="B43" s="127" t="s">
        <v>1109</v>
      </c>
      <c r="C43" s="127" t="s">
        <v>1109</v>
      </c>
      <c r="D43" s="128" t="s">
        <v>2692</v>
      </c>
      <c r="E43" s="128" t="s">
        <v>2693</v>
      </c>
      <c r="F43" s="128" t="s">
        <v>2693</v>
      </c>
      <c r="G43" s="128" t="s">
        <v>2692</v>
      </c>
      <c r="H43" s="128" t="s">
        <v>2693</v>
      </c>
      <c r="I43" s="127" t="s">
        <v>1109</v>
      </c>
      <c r="J43" s="127" t="s">
        <v>1109</v>
      </c>
      <c r="K43" s="127" t="s">
        <v>1109</v>
      </c>
      <c r="L43" s="127" t="s">
        <v>1109</v>
      </c>
      <c r="M43" s="127" t="s">
        <v>1109</v>
      </c>
      <c r="N43" s="128" t="s">
        <v>2693</v>
      </c>
      <c r="O43" s="127" t="s">
        <v>1109</v>
      </c>
      <c r="P43" s="127" t="s">
        <v>1109</v>
      </c>
      <c r="Q43" s="127" t="s">
        <v>1109</v>
      </c>
      <c r="R43" s="127" t="s">
        <v>1109</v>
      </c>
      <c r="S43" s="127" t="s">
        <v>1109</v>
      </c>
      <c r="T43">
        <f t="shared" si="0"/>
        <v>4</v>
      </c>
      <c r="U43">
        <f t="shared" si="1"/>
        <v>2</v>
      </c>
      <c r="V43">
        <f t="shared" si="2"/>
        <v>0</v>
      </c>
    </row>
    <row r="44" spans="1:22">
      <c r="A44" s="126" t="s">
        <v>2423</v>
      </c>
      <c r="B44" s="127" t="s">
        <v>1109</v>
      </c>
      <c r="C44" s="128" t="s">
        <v>2692</v>
      </c>
      <c r="D44" s="128" t="s">
        <v>2692</v>
      </c>
      <c r="E44" s="128" t="s">
        <v>2693</v>
      </c>
      <c r="F44" s="128" t="s">
        <v>2693</v>
      </c>
      <c r="G44" s="128" t="s">
        <v>2692</v>
      </c>
      <c r="H44" s="127" t="s">
        <v>1109</v>
      </c>
      <c r="I44" s="127" t="s">
        <v>1109</v>
      </c>
      <c r="J44" s="127" t="s">
        <v>1109</v>
      </c>
      <c r="K44" s="128" t="s">
        <v>2693</v>
      </c>
      <c r="L44" s="128" t="s">
        <v>2693</v>
      </c>
      <c r="M44" s="128" t="s">
        <v>2692</v>
      </c>
      <c r="N44" s="128" t="s">
        <v>2692</v>
      </c>
      <c r="O44" s="127" t="s">
        <v>1109</v>
      </c>
      <c r="P44" s="127" t="s">
        <v>1109</v>
      </c>
      <c r="Q44" s="128" t="s">
        <v>2692</v>
      </c>
      <c r="R44" s="128" t="s">
        <v>2692</v>
      </c>
      <c r="S44" s="128" t="s">
        <v>2693</v>
      </c>
      <c r="T44">
        <f t="shared" si="0"/>
        <v>5</v>
      </c>
      <c r="U44">
        <f t="shared" si="1"/>
        <v>7</v>
      </c>
      <c r="V44">
        <f t="shared" si="2"/>
        <v>0</v>
      </c>
    </row>
    <row r="45" spans="1:22">
      <c r="A45" s="126" t="s">
        <v>2424</v>
      </c>
      <c r="B45" s="127" t="s">
        <v>1109</v>
      </c>
      <c r="C45" s="128" t="s">
        <v>2692</v>
      </c>
      <c r="D45" s="128" t="s">
        <v>2692</v>
      </c>
      <c r="E45" s="128" t="s">
        <v>2693</v>
      </c>
      <c r="F45" s="127" t="s">
        <v>1109</v>
      </c>
      <c r="G45" s="128" t="s">
        <v>2692</v>
      </c>
      <c r="H45" s="128" t="s">
        <v>2692</v>
      </c>
      <c r="I45" s="128" t="s">
        <v>2692</v>
      </c>
      <c r="J45" s="128" t="s">
        <v>2693</v>
      </c>
      <c r="K45" s="127" t="s">
        <v>1109</v>
      </c>
      <c r="L45" s="128" t="s">
        <v>2693</v>
      </c>
      <c r="M45" s="128" t="s">
        <v>2692</v>
      </c>
      <c r="N45" s="127" t="s">
        <v>1109</v>
      </c>
      <c r="O45" s="127" t="s">
        <v>1109</v>
      </c>
      <c r="P45" s="127" t="s">
        <v>1109</v>
      </c>
      <c r="Q45" s="127" t="s">
        <v>1109</v>
      </c>
      <c r="R45" s="128" t="s">
        <v>2692</v>
      </c>
      <c r="S45" s="128" t="s">
        <v>2692</v>
      </c>
      <c r="T45">
        <f t="shared" si="0"/>
        <v>3</v>
      </c>
      <c r="U45">
        <f t="shared" si="1"/>
        <v>8</v>
      </c>
      <c r="V45">
        <f t="shared" si="2"/>
        <v>0</v>
      </c>
    </row>
    <row r="46" spans="1:22">
      <c r="A46" s="126" t="s">
        <v>2425</v>
      </c>
      <c r="B46" s="127" t="s">
        <v>1109</v>
      </c>
      <c r="C46" s="128" t="s">
        <v>2692</v>
      </c>
      <c r="D46" s="127" t="s">
        <v>1109</v>
      </c>
      <c r="E46" s="128" t="s">
        <v>2691</v>
      </c>
      <c r="F46" s="128" t="s">
        <v>2693</v>
      </c>
      <c r="G46" s="127" t="s">
        <v>1109</v>
      </c>
      <c r="H46" s="127" t="s">
        <v>1109</v>
      </c>
      <c r="I46" s="128" t="s">
        <v>2692</v>
      </c>
      <c r="J46" s="127" t="s">
        <v>1109</v>
      </c>
      <c r="K46" s="127" t="s">
        <v>1109</v>
      </c>
      <c r="L46" s="127" t="s">
        <v>1109</v>
      </c>
      <c r="M46" s="127" t="s">
        <v>1109</v>
      </c>
      <c r="N46" s="128" t="s">
        <v>2692</v>
      </c>
      <c r="O46" s="127" t="s">
        <v>1109</v>
      </c>
      <c r="P46" s="127" t="s">
        <v>1109</v>
      </c>
      <c r="Q46" s="127" t="s">
        <v>1109</v>
      </c>
      <c r="R46" s="128" t="s">
        <v>2692</v>
      </c>
      <c r="S46" s="127" t="s">
        <v>1109</v>
      </c>
      <c r="T46">
        <f t="shared" si="0"/>
        <v>1</v>
      </c>
      <c r="U46">
        <f t="shared" si="1"/>
        <v>4</v>
      </c>
      <c r="V46">
        <f t="shared" si="2"/>
        <v>1</v>
      </c>
    </row>
    <row r="47" spans="1:22">
      <c r="A47" s="126" t="s">
        <v>2426</v>
      </c>
      <c r="B47" s="127" t="s">
        <v>1109</v>
      </c>
      <c r="C47" s="128" t="s">
        <v>2692</v>
      </c>
      <c r="D47" s="128" t="s">
        <v>2692</v>
      </c>
      <c r="E47" s="128" t="s">
        <v>2693</v>
      </c>
      <c r="F47" s="127" t="s">
        <v>1109</v>
      </c>
      <c r="G47" s="127" t="s">
        <v>1109</v>
      </c>
      <c r="H47" s="128" t="s">
        <v>2692</v>
      </c>
      <c r="I47" s="127" t="s">
        <v>1109</v>
      </c>
      <c r="J47" s="128" t="s">
        <v>2691</v>
      </c>
      <c r="K47" s="127" t="s">
        <v>1109</v>
      </c>
      <c r="L47" s="127" t="s">
        <v>1109</v>
      </c>
      <c r="M47" s="128" t="s">
        <v>2692</v>
      </c>
      <c r="N47" s="128" t="s">
        <v>2693</v>
      </c>
      <c r="O47" s="127" t="s">
        <v>1109</v>
      </c>
      <c r="P47" s="127" t="s">
        <v>1109</v>
      </c>
      <c r="Q47" s="127" t="s">
        <v>1109</v>
      </c>
      <c r="R47" s="128" t="s">
        <v>2692</v>
      </c>
      <c r="S47" s="127" t="s">
        <v>1109</v>
      </c>
      <c r="T47">
        <f t="shared" si="0"/>
        <v>2</v>
      </c>
      <c r="U47">
        <f t="shared" si="1"/>
        <v>5</v>
      </c>
      <c r="V47">
        <f t="shared" si="2"/>
        <v>1</v>
      </c>
    </row>
    <row r="48" spans="1:22">
      <c r="A48" s="126" t="s">
        <v>2427</v>
      </c>
      <c r="B48" s="127" t="s">
        <v>1109</v>
      </c>
      <c r="C48" s="128" t="s">
        <v>2692</v>
      </c>
      <c r="D48" s="128" t="s">
        <v>2692</v>
      </c>
      <c r="E48" s="128" t="s">
        <v>2693</v>
      </c>
      <c r="F48" s="128" t="s">
        <v>2693</v>
      </c>
      <c r="G48" s="128" t="s">
        <v>2692</v>
      </c>
      <c r="H48" s="128" t="s">
        <v>2692</v>
      </c>
      <c r="I48" s="127" t="s">
        <v>1109</v>
      </c>
      <c r="J48" s="127" t="s">
        <v>1109</v>
      </c>
      <c r="K48" s="127" t="s">
        <v>1109</v>
      </c>
      <c r="L48" s="128" t="s">
        <v>2692</v>
      </c>
      <c r="M48" s="128" t="s">
        <v>2693</v>
      </c>
      <c r="N48" s="127" t="s">
        <v>1109</v>
      </c>
      <c r="O48" s="128" t="s">
        <v>2693</v>
      </c>
      <c r="P48" s="127" t="s">
        <v>1109</v>
      </c>
      <c r="Q48" s="128" t="s">
        <v>2693</v>
      </c>
      <c r="R48" s="128" t="s">
        <v>2692</v>
      </c>
      <c r="S48" s="127" t="s">
        <v>1109</v>
      </c>
      <c r="T48">
        <f t="shared" si="0"/>
        <v>5</v>
      </c>
      <c r="U48">
        <f t="shared" si="1"/>
        <v>6</v>
      </c>
      <c r="V48">
        <f t="shared" si="2"/>
        <v>0</v>
      </c>
    </row>
    <row r="49" spans="1:22">
      <c r="A49" s="126" t="s">
        <v>2428</v>
      </c>
      <c r="B49" s="127" t="s">
        <v>1109</v>
      </c>
      <c r="C49" s="127" t="s">
        <v>1109</v>
      </c>
      <c r="D49" s="128" t="s">
        <v>2692</v>
      </c>
      <c r="E49" s="128" t="s">
        <v>2693</v>
      </c>
      <c r="F49" s="127" t="s">
        <v>1109</v>
      </c>
      <c r="G49" s="128" t="s">
        <v>2692</v>
      </c>
      <c r="H49" s="128" t="s">
        <v>2692</v>
      </c>
      <c r="I49" s="127" t="s">
        <v>1109</v>
      </c>
      <c r="J49" s="128" t="s">
        <v>2692</v>
      </c>
      <c r="K49" s="128" t="s">
        <v>2693</v>
      </c>
      <c r="L49" s="127" t="s">
        <v>1109</v>
      </c>
      <c r="M49" s="127" t="s">
        <v>1109</v>
      </c>
      <c r="N49" s="128" t="s">
        <v>2693</v>
      </c>
      <c r="O49" s="127" t="s">
        <v>1109</v>
      </c>
      <c r="P49" s="127" t="s">
        <v>1109</v>
      </c>
      <c r="Q49" s="127" t="s">
        <v>1109</v>
      </c>
      <c r="R49" s="128" t="s">
        <v>2692</v>
      </c>
      <c r="S49" s="127" t="s">
        <v>1109</v>
      </c>
      <c r="T49">
        <f t="shared" si="0"/>
        <v>3</v>
      </c>
      <c r="U49">
        <f t="shared" si="1"/>
        <v>5</v>
      </c>
      <c r="V49">
        <f t="shared" si="2"/>
        <v>0</v>
      </c>
    </row>
    <row r="50" spans="1:22">
      <c r="A50" s="126" t="s">
        <v>2429</v>
      </c>
      <c r="B50" s="128" t="s">
        <v>2692</v>
      </c>
      <c r="C50" s="128" t="s">
        <v>2692</v>
      </c>
      <c r="D50" s="127" t="s">
        <v>1109</v>
      </c>
      <c r="E50" s="128" t="s">
        <v>2693</v>
      </c>
      <c r="F50" s="128" t="s">
        <v>2693</v>
      </c>
      <c r="G50" s="128" t="s">
        <v>2692</v>
      </c>
      <c r="H50" s="128" t="s">
        <v>2693</v>
      </c>
      <c r="I50" s="128" t="s">
        <v>2692</v>
      </c>
      <c r="J50" s="128" t="s">
        <v>2693</v>
      </c>
      <c r="K50" s="128" t="s">
        <v>2692</v>
      </c>
      <c r="L50" s="127" t="s">
        <v>1109</v>
      </c>
      <c r="M50" s="127" t="s">
        <v>1109</v>
      </c>
      <c r="N50" s="127" t="s">
        <v>1109</v>
      </c>
      <c r="O50" s="127" t="s">
        <v>1109</v>
      </c>
      <c r="P50" s="127" t="s">
        <v>1109</v>
      </c>
      <c r="Q50" s="127" t="s">
        <v>1109</v>
      </c>
      <c r="R50" s="127" t="s">
        <v>1109</v>
      </c>
      <c r="S50" s="127" t="s">
        <v>1109</v>
      </c>
      <c r="T50">
        <f t="shared" si="0"/>
        <v>4</v>
      </c>
      <c r="U50">
        <f t="shared" si="1"/>
        <v>5</v>
      </c>
      <c r="V50">
        <f t="shared" si="2"/>
        <v>0</v>
      </c>
    </row>
    <row r="51" spans="1:22">
      <c r="A51" s="126" t="s">
        <v>2430</v>
      </c>
      <c r="B51" s="128" t="s">
        <v>2691</v>
      </c>
      <c r="C51" s="128" t="s">
        <v>2692</v>
      </c>
      <c r="D51" s="128" t="s">
        <v>2692</v>
      </c>
      <c r="E51" s="128" t="s">
        <v>2693</v>
      </c>
      <c r="F51" s="128" t="s">
        <v>2693</v>
      </c>
      <c r="G51" s="128" t="s">
        <v>2692</v>
      </c>
      <c r="H51" s="128" t="s">
        <v>2691</v>
      </c>
      <c r="I51" s="128" t="s">
        <v>2692</v>
      </c>
      <c r="J51" s="127" t="s">
        <v>1109</v>
      </c>
      <c r="K51" s="127" t="s">
        <v>1109</v>
      </c>
      <c r="L51" s="127" t="s">
        <v>1109</v>
      </c>
      <c r="M51" s="128" t="s">
        <v>2692</v>
      </c>
      <c r="N51" s="127" t="s">
        <v>1109</v>
      </c>
      <c r="O51" s="128" t="s">
        <v>2693</v>
      </c>
      <c r="P51" s="127" t="s">
        <v>1109</v>
      </c>
      <c r="Q51" s="128" t="s">
        <v>2693</v>
      </c>
      <c r="R51" s="128" t="s">
        <v>2692</v>
      </c>
      <c r="S51" s="127" t="s">
        <v>1109</v>
      </c>
      <c r="T51">
        <f t="shared" si="0"/>
        <v>4</v>
      </c>
      <c r="U51">
        <f t="shared" si="1"/>
        <v>6</v>
      </c>
      <c r="V51">
        <f t="shared" si="2"/>
        <v>2</v>
      </c>
    </row>
    <row r="52" spans="1:22">
      <c r="A52" s="126" t="s">
        <v>2431</v>
      </c>
      <c r="B52" s="127" t="s">
        <v>1109</v>
      </c>
      <c r="C52" s="128" t="s">
        <v>2692</v>
      </c>
      <c r="D52" s="128" t="s">
        <v>2692</v>
      </c>
      <c r="E52" s="127" t="s">
        <v>1109</v>
      </c>
      <c r="F52" s="127" t="s">
        <v>1109</v>
      </c>
      <c r="G52" s="127" t="s">
        <v>1109</v>
      </c>
      <c r="H52" s="127" t="s">
        <v>1109</v>
      </c>
      <c r="I52" s="127" t="s">
        <v>1109</v>
      </c>
      <c r="J52" s="127" t="s">
        <v>1109</v>
      </c>
      <c r="K52" s="127" t="s">
        <v>1109</v>
      </c>
      <c r="L52" s="127" t="s">
        <v>1109</v>
      </c>
      <c r="M52" s="127" t="s">
        <v>1109</v>
      </c>
      <c r="N52" s="127" t="s">
        <v>1109</v>
      </c>
      <c r="O52" s="127" t="s">
        <v>1109</v>
      </c>
      <c r="P52" s="128" t="s">
        <v>2693</v>
      </c>
      <c r="Q52" s="127" t="s">
        <v>1109</v>
      </c>
      <c r="R52" s="128" t="s">
        <v>2692</v>
      </c>
      <c r="S52" s="128" t="s">
        <v>2693</v>
      </c>
      <c r="T52">
        <f t="shared" si="0"/>
        <v>2</v>
      </c>
      <c r="U52">
        <f t="shared" si="1"/>
        <v>3</v>
      </c>
      <c r="V52">
        <f t="shared" si="2"/>
        <v>0</v>
      </c>
    </row>
    <row r="53" spans="1:22">
      <c r="A53" s="126" t="s">
        <v>2432</v>
      </c>
      <c r="B53" s="127" t="s">
        <v>1109</v>
      </c>
      <c r="C53" s="128" t="s">
        <v>2692</v>
      </c>
      <c r="D53" s="128" t="s">
        <v>2692</v>
      </c>
      <c r="E53" s="128" t="s">
        <v>2693</v>
      </c>
      <c r="F53" s="128" t="s">
        <v>2693</v>
      </c>
      <c r="G53" s="128" t="s">
        <v>2692</v>
      </c>
      <c r="H53" s="128" t="s">
        <v>2693</v>
      </c>
      <c r="I53" s="127" t="s">
        <v>1109</v>
      </c>
      <c r="J53" s="127" t="s">
        <v>1109</v>
      </c>
      <c r="K53" s="127" t="s">
        <v>1109</v>
      </c>
      <c r="L53" s="128" t="s">
        <v>2691</v>
      </c>
      <c r="M53" s="128" t="s">
        <v>2693</v>
      </c>
      <c r="N53" s="127" t="s">
        <v>1109</v>
      </c>
      <c r="O53" s="128" t="s">
        <v>2692</v>
      </c>
      <c r="P53" s="127" t="s">
        <v>1109</v>
      </c>
      <c r="Q53" s="128" t="s">
        <v>2692</v>
      </c>
      <c r="R53" s="128" t="s">
        <v>2692</v>
      </c>
      <c r="S53" s="128" t="s">
        <v>2693</v>
      </c>
      <c r="T53">
        <f t="shared" si="0"/>
        <v>5</v>
      </c>
      <c r="U53">
        <f t="shared" si="1"/>
        <v>6</v>
      </c>
      <c r="V53">
        <f t="shared" si="2"/>
        <v>1</v>
      </c>
    </row>
    <row r="54" spans="1:22">
      <c r="A54" s="126" t="s">
        <v>2433</v>
      </c>
      <c r="B54" s="128" t="s">
        <v>2692</v>
      </c>
      <c r="C54" s="127" t="s">
        <v>1109</v>
      </c>
      <c r="D54" s="128" t="s">
        <v>2692</v>
      </c>
      <c r="E54" s="128" t="s">
        <v>2693</v>
      </c>
      <c r="F54" s="127" t="s">
        <v>1109</v>
      </c>
      <c r="G54" s="128" t="s">
        <v>2692</v>
      </c>
      <c r="H54" s="128" t="s">
        <v>2693</v>
      </c>
      <c r="I54" s="128" t="s">
        <v>2691</v>
      </c>
      <c r="J54" s="128" t="s">
        <v>2693</v>
      </c>
      <c r="K54" s="128" t="s">
        <v>2692</v>
      </c>
      <c r="L54" s="128" t="s">
        <v>2692</v>
      </c>
      <c r="M54" s="128" t="s">
        <v>2692</v>
      </c>
      <c r="N54" s="128" t="s">
        <v>2692</v>
      </c>
      <c r="O54" s="127" t="s">
        <v>1109</v>
      </c>
      <c r="P54" s="128" t="s">
        <v>2692</v>
      </c>
      <c r="Q54" s="127" t="s">
        <v>1109</v>
      </c>
      <c r="R54" s="128" t="s">
        <v>2692</v>
      </c>
      <c r="S54" s="128" t="s">
        <v>2692</v>
      </c>
      <c r="T54">
        <f t="shared" si="0"/>
        <v>3</v>
      </c>
      <c r="U54">
        <f t="shared" si="1"/>
        <v>10</v>
      </c>
      <c r="V54">
        <f t="shared" si="2"/>
        <v>1</v>
      </c>
    </row>
    <row r="55" spans="1:22">
      <c r="A55" s="126" t="s">
        <v>2434</v>
      </c>
      <c r="B55" s="127" t="s">
        <v>1109</v>
      </c>
      <c r="C55" s="128" t="s">
        <v>2692</v>
      </c>
      <c r="D55" s="128" t="s">
        <v>2692</v>
      </c>
      <c r="E55" s="128" t="s">
        <v>2693</v>
      </c>
      <c r="F55" s="128" t="s">
        <v>2693</v>
      </c>
      <c r="G55" s="128" t="s">
        <v>2692</v>
      </c>
      <c r="H55" s="128" t="s">
        <v>2692</v>
      </c>
      <c r="I55" s="128" t="s">
        <v>2693</v>
      </c>
      <c r="J55" s="127" t="s">
        <v>1109</v>
      </c>
      <c r="K55" s="127" t="s">
        <v>1109</v>
      </c>
      <c r="L55" s="127" t="s">
        <v>1109</v>
      </c>
      <c r="M55" s="128" t="s">
        <v>2692</v>
      </c>
      <c r="N55" s="127" t="s">
        <v>1109</v>
      </c>
      <c r="O55" s="127" t="s">
        <v>1109</v>
      </c>
      <c r="P55" s="128" t="s">
        <v>2691</v>
      </c>
      <c r="Q55" s="128" t="s">
        <v>2692</v>
      </c>
      <c r="R55" s="127" t="s">
        <v>1109</v>
      </c>
      <c r="S55" s="127" t="s">
        <v>1109</v>
      </c>
      <c r="T55">
        <f t="shared" si="0"/>
        <v>3</v>
      </c>
      <c r="U55">
        <f t="shared" si="1"/>
        <v>6</v>
      </c>
      <c r="V55">
        <f t="shared" si="2"/>
        <v>1</v>
      </c>
    </row>
    <row r="56" spans="1:22">
      <c r="A56" s="126" t="s">
        <v>2371</v>
      </c>
      <c r="B56" s="127" t="s">
        <v>1109</v>
      </c>
      <c r="C56" s="127" t="s">
        <v>1109</v>
      </c>
      <c r="D56" s="127" t="s">
        <v>1109</v>
      </c>
      <c r="E56" s="128" t="s">
        <v>2692</v>
      </c>
      <c r="F56" s="127" t="s">
        <v>1109</v>
      </c>
      <c r="G56" s="127" t="s">
        <v>1109</v>
      </c>
      <c r="H56" s="127" t="s">
        <v>1109</v>
      </c>
      <c r="I56" s="127" t="s">
        <v>1109</v>
      </c>
      <c r="J56" s="128" t="s">
        <v>2693</v>
      </c>
      <c r="K56" s="128" t="s">
        <v>2692</v>
      </c>
      <c r="L56" s="127" t="s">
        <v>1109</v>
      </c>
      <c r="M56" s="127" t="s">
        <v>1109</v>
      </c>
      <c r="N56" s="127" t="s">
        <v>1109</v>
      </c>
      <c r="O56" s="127" t="s">
        <v>1109</v>
      </c>
      <c r="P56" s="127" t="s">
        <v>1109</v>
      </c>
      <c r="Q56" s="127" t="s">
        <v>1109</v>
      </c>
      <c r="R56" s="128" t="s">
        <v>2692</v>
      </c>
      <c r="S56" s="127" t="s">
        <v>1109</v>
      </c>
      <c r="T56">
        <f t="shared" si="0"/>
        <v>1</v>
      </c>
      <c r="U56">
        <f t="shared" si="1"/>
        <v>3</v>
      </c>
      <c r="V56">
        <f t="shared" si="2"/>
        <v>0</v>
      </c>
    </row>
    <row r="57" spans="1:22">
      <c r="A57" s="126" t="s">
        <v>2435</v>
      </c>
      <c r="B57" s="127" t="s">
        <v>1109</v>
      </c>
      <c r="C57" s="127" t="s">
        <v>1109</v>
      </c>
      <c r="D57" s="127" t="s">
        <v>1109</v>
      </c>
      <c r="E57" s="128" t="s">
        <v>2692</v>
      </c>
      <c r="F57" s="127" t="s">
        <v>1109</v>
      </c>
      <c r="G57" s="127" t="s">
        <v>1109</v>
      </c>
      <c r="H57" s="128" t="s">
        <v>2693</v>
      </c>
      <c r="I57" s="127" t="s">
        <v>1109</v>
      </c>
      <c r="J57" s="128" t="s">
        <v>2693</v>
      </c>
      <c r="K57" s="128" t="s">
        <v>2692</v>
      </c>
      <c r="L57" s="127" t="s">
        <v>1109</v>
      </c>
      <c r="M57" s="127" t="s">
        <v>1109</v>
      </c>
      <c r="N57" s="127" t="s">
        <v>1109</v>
      </c>
      <c r="O57" s="128" t="s">
        <v>2691</v>
      </c>
      <c r="P57" s="127" t="s">
        <v>1109</v>
      </c>
      <c r="Q57" s="127" t="s">
        <v>1109</v>
      </c>
      <c r="R57" s="128" t="s">
        <v>2692</v>
      </c>
      <c r="S57" s="127" t="s">
        <v>1109</v>
      </c>
      <c r="T57">
        <f t="shared" si="0"/>
        <v>2</v>
      </c>
      <c r="U57">
        <f t="shared" si="1"/>
        <v>3</v>
      </c>
      <c r="V57">
        <f t="shared" si="2"/>
        <v>1</v>
      </c>
    </row>
    <row r="58" spans="1:22">
      <c r="A58" s="126" t="s">
        <v>2436</v>
      </c>
      <c r="B58" s="127" t="s">
        <v>1109</v>
      </c>
      <c r="C58" s="128" t="s">
        <v>2692</v>
      </c>
      <c r="D58" s="128" t="s">
        <v>2693</v>
      </c>
      <c r="E58" s="128" t="s">
        <v>2692</v>
      </c>
      <c r="F58" s="128" t="s">
        <v>2692</v>
      </c>
      <c r="G58" s="128" t="s">
        <v>2692</v>
      </c>
      <c r="H58" s="127" t="s">
        <v>1109</v>
      </c>
      <c r="I58" s="127" t="s">
        <v>1109</v>
      </c>
      <c r="J58" s="128" t="s">
        <v>2693</v>
      </c>
      <c r="K58" s="128" t="s">
        <v>2692</v>
      </c>
      <c r="L58" s="127" t="s">
        <v>1109</v>
      </c>
      <c r="M58" s="128" t="s">
        <v>2692</v>
      </c>
      <c r="N58" s="128" t="s">
        <v>2693</v>
      </c>
      <c r="O58" s="127" t="s">
        <v>1109</v>
      </c>
      <c r="P58" s="127" t="s">
        <v>1109</v>
      </c>
      <c r="Q58" s="127" t="s">
        <v>1109</v>
      </c>
      <c r="R58" s="128" t="s">
        <v>2692</v>
      </c>
      <c r="S58" s="128" t="s">
        <v>2692</v>
      </c>
      <c r="T58">
        <f t="shared" si="0"/>
        <v>3</v>
      </c>
      <c r="U58">
        <f t="shared" si="1"/>
        <v>8</v>
      </c>
      <c r="V58">
        <f t="shared" si="2"/>
        <v>0</v>
      </c>
    </row>
    <row r="59" spans="1:22">
      <c r="A59" s="126" t="s">
        <v>2437</v>
      </c>
      <c r="B59" s="127" t="s">
        <v>1109</v>
      </c>
      <c r="C59" s="128" t="s">
        <v>2692</v>
      </c>
      <c r="D59" s="128" t="s">
        <v>2692</v>
      </c>
      <c r="E59" s="127" t="s">
        <v>1109</v>
      </c>
      <c r="F59" s="128" t="s">
        <v>2693</v>
      </c>
      <c r="G59" s="128" t="s">
        <v>2692</v>
      </c>
      <c r="H59" s="127" t="s">
        <v>1109</v>
      </c>
      <c r="I59" s="127" t="s">
        <v>1109</v>
      </c>
      <c r="J59" s="128" t="s">
        <v>2693</v>
      </c>
      <c r="K59" s="128" t="s">
        <v>2692</v>
      </c>
      <c r="L59" s="127" t="s">
        <v>1109</v>
      </c>
      <c r="M59" s="127" t="s">
        <v>1109</v>
      </c>
      <c r="N59" s="127" t="s">
        <v>1109</v>
      </c>
      <c r="O59" s="127" t="s">
        <v>1109</v>
      </c>
      <c r="P59" s="127" t="s">
        <v>1109</v>
      </c>
      <c r="Q59" s="127" t="s">
        <v>1109</v>
      </c>
      <c r="R59" s="128" t="s">
        <v>2692</v>
      </c>
      <c r="S59" s="127" t="s">
        <v>1109</v>
      </c>
      <c r="T59">
        <f t="shared" si="0"/>
        <v>2</v>
      </c>
      <c r="U59">
        <f t="shared" si="1"/>
        <v>5</v>
      </c>
      <c r="V59">
        <f t="shared" si="2"/>
        <v>0</v>
      </c>
    </row>
    <row r="60" spans="1:22">
      <c r="A60" s="126" t="s">
        <v>2438</v>
      </c>
      <c r="B60" s="127" t="s">
        <v>1109</v>
      </c>
      <c r="C60" s="128" t="s">
        <v>2693</v>
      </c>
      <c r="D60" s="128" t="s">
        <v>2692</v>
      </c>
      <c r="E60" s="128" t="s">
        <v>2692</v>
      </c>
      <c r="F60" s="128" t="s">
        <v>2692</v>
      </c>
      <c r="G60" s="128" t="s">
        <v>2693</v>
      </c>
      <c r="H60" s="127" t="s">
        <v>1109</v>
      </c>
      <c r="I60" s="128" t="s">
        <v>2693</v>
      </c>
      <c r="J60" s="127" t="s">
        <v>1109</v>
      </c>
      <c r="K60" s="127" t="s">
        <v>1109</v>
      </c>
      <c r="L60" s="127" t="s">
        <v>1109</v>
      </c>
      <c r="M60" s="128" t="s">
        <v>2693</v>
      </c>
      <c r="N60" s="127" t="s">
        <v>1109</v>
      </c>
      <c r="O60" s="127" t="s">
        <v>1109</v>
      </c>
      <c r="P60" s="127" t="s">
        <v>1109</v>
      </c>
      <c r="Q60" s="127" t="s">
        <v>1109</v>
      </c>
      <c r="R60" s="128" t="s">
        <v>2692</v>
      </c>
      <c r="S60" s="127" t="s">
        <v>1109</v>
      </c>
      <c r="T60">
        <f t="shared" si="0"/>
        <v>4</v>
      </c>
      <c r="U60">
        <f t="shared" si="1"/>
        <v>4</v>
      </c>
      <c r="V60">
        <f t="shared" si="2"/>
        <v>0</v>
      </c>
    </row>
    <row r="61" spans="1:22">
      <c r="A61" s="126" t="s">
        <v>2439</v>
      </c>
      <c r="B61" s="127" t="s">
        <v>1109</v>
      </c>
      <c r="C61" s="128" t="s">
        <v>2693</v>
      </c>
      <c r="D61" s="127" t="s">
        <v>1109</v>
      </c>
      <c r="E61" s="128" t="s">
        <v>2692</v>
      </c>
      <c r="F61" s="127" t="s">
        <v>1109</v>
      </c>
      <c r="G61" s="128" t="s">
        <v>2692</v>
      </c>
      <c r="H61" s="128" t="s">
        <v>2693</v>
      </c>
      <c r="I61" s="127" t="s">
        <v>1109</v>
      </c>
      <c r="J61" s="128" t="s">
        <v>2693</v>
      </c>
      <c r="K61" s="128" t="s">
        <v>2692</v>
      </c>
      <c r="L61" s="127" t="s">
        <v>1109</v>
      </c>
      <c r="M61" s="127" t="s">
        <v>1109</v>
      </c>
      <c r="N61" s="128" t="s">
        <v>2693</v>
      </c>
      <c r="O61" s="127" t="s">
        <v>1109</v>
      </c>
      <c r="P61" s="127" t="s">
        <v>1109</v>
      </c>
      <c r="Q61" s="127" t="s">
        <v>1109</v>
      </c>
      <c r="R61" s="127" t="s">
        <v>1109</v>
      </c>
      <c r="S61" s="127" t="s">
        <v>1109</v>
      </c>
      <c r="T61">
        <f t="shared" si="0"/>
        <v>4</v>
      </c>
      <c r="U61">
        <f t="shared" si="1"/>
        <v>3</v>
      </c>
      <c r="V61">
        <f t="shared" si="2"/>
        <v>0</v>
      </c>
    </row>
    <row r="62" spans="1:22">
      <c r="A62" s="126" t="s">
        <v>2440</v>
      </c>
      <c r="B62" s="127" t="s">
        <v>1109</v>
      </c>
      <c r="C62" s="127" t="s">
        <v>1109</v>
      </c>
      <c r="D62" s="127" t="s">
        <v>1109</v>
      </c>
      <c r="E62" s="128" t="s">
        <v>2692</v>
      </c>
      <c r="F62" s="127" t="s">
        <v>1109</v>
      </c>
      <c r="G62" s="127" t="s">
        <v>1109</v>
      </c>
      <c r="H62" s="127" t="s">
        <v>1109</v>
      </c>
      <c r="I62" s="127" t="s">
        <v>1109</v>
      </c>
      <c r="J62" s="128" t="s">
        <v>2693</v>
      </c>
      <c r="K62" s="127" t="s">
        <v>1109</v>
      </c>
      <c r="L62" s="128" t="s">
        <v>2693</v>
      </c>
      <c r="M62" s="128" t="s">
        <v>2692</v>
      </c>
      <c r="N62" s="128" t="s">
        <v>2692</v>
      </c>
      <c r="O62" s="127" t="s">
        <v>1109</v>
      </c>
      <c r="P62" s="127" t="s">
        <v>1109</v>
      </c>
      <c r="Q62" s="128" t="s">
        <v>2692</v>
      </c>
      <c r="R62" s="128" t="s">
        <v>2692</v>
      </c>
      <c r="S62" s="128" t="s">
        <v>2693</v>
      </c>
      <c r="T62">
        <f t="shared" si="0"/>
        <v>3</v>
      </c>
      <c r="U62">
        <f t="shared" si="1"/>
        <v>5</v>
      </c>
      <c r="V62">
        <f t="shared" si="2"/>
        <v>0</v>
      </c>
    </row>
    <row r="63" spans="1:22">
      <c r="A63" s="126" t="s">
        <v>2441</v>
      </c>
      <c r="B63" s="127" t="s">
        <v>1109</v>
      </c>
      <c r="C63" s="127" t="s">
        <v>1109</v>
      </c>
      <c r="D63" s="127" t="s">
        <v>1109</v>
      </c>
      <c r="E63" s="128" t="s">
        <v>2692</v>
      </c>
      <c r="F63" s="128" t="s">
        <v>2692</v>
      </c>
      <c r="G63" s="127" t="s">
        <v>1109</v>
      </c>
      <c r="H63" s="128" t="s">
        <v>2692</v>
      </c>
      <c r="I63" s="128" t="s">
        <v>2692</v>
      </c>
      <c r="J63" s="128" t="s">
        <v>2693</v>
      </c>
      <c r="K63" s="128" t="s">
        <v>2692</v>
      </c>
      <c r="L63" s="128" t="s">
        <v>2693</v>
      </c>
      <c r="M63" s="128" t="s">
        <v>2692</v>
      </c>
      <c r="N63" s="127" t="s">
        <v>1109</v>
      </c>
      <c r="O63" s="127" t="s">
        <v>1109</v>
      </c>
      <c r="P63" s="127" t="s">
        <v>1109</v>
      </c>
      <c r="Q63" s="127" t="s">
        <v>1109</v>
      </c>
      <c r="R63" s="128" t="s">
        <v>2692</v>
      </c>
      <c r="S63" s="128" t="s">
        <v>2692</v>
      </c>
      <c r="T63">
        <f t="shared" si="0"/>
        <v>2</v>
      </c>
      <c r="U63">
        <f t="shared" si="1"/>
        <v>8</v>
      </c>
      <c r="V63">
        <f t="shared" si="2"/>
        <v>0</v>
      </c>
    </row>
    <row r="64" spans="1:22">
      <c r="A64" s="126" t="s">
        <v>2442</v>
      </c>
      <c r="B64" s="127" t="s">
        <v>1109</v>
      </c>
      <c r="C64" s="127" t="s">
        <v>1109</v>
      </c>
      <c r="D64" s="128" t="s">
        <v>2693</v>
      </c>
      <c r="E64" s="128" t="s">
        <v>2691</v>
      </c>
      <c r="F64" s="128" t="s">
        <v>2693</v>
      </c>
      <c r="G64" s="128" t="s">
        <v>2693</v>
      </c>
      <c r="H64" s="127" t="s">
        <v>1109</v>
      </c>
      <c r="I64" s="128" t="s">
        <v>2692</v>
      </c>
      <c r="J64" s="128" t="s">
        <v>2693</v>
      </c>
      <c r="K64" s="128" t="s">
        <v>2692</v>
      </c>
      <c r="L64" s="127" t="s">
        <v>1109</v>
      </c>
      <c r="M64" s="127" t="s">
        <v>1109</v>
      </c>
      <c r="N64" s="128" t="s">
        <v>2692</v>
      </c>
      <c r="O64" s="127" t="s">
        <v>1109</v>
      </c>
      <c r="P64" s="127" t="s">
        <v>1109</v>
      </c>
      <c r="Q64" s="127" t="s">
        <v>1109</v>
      </c>
      <c r="R64" s="128" t="s">
        <v>2692</v>
      </c>
      <c r="S64" s="127" t="s">
        <v>1109</v>
      </c>
      <c r="T64">
        <f t="shared" si="0"/>
        <v>4</v>
      </c>
      <c r="U64">
        <f t="shared" si="1"/>
        <v>4</v>
      </c>
      <c r="V64">
        <f t="shared" si="2"/>
        <v>1</v>
      </c>
    </row>
    <row r="65" spans="1:22">
      <c r="A65" s="126" t="s">
        <v>2443</v>
      </c>
      <c r="B65" s="127" t="s">
        <v>1109</v>
      </c>
      <c r="C65" s="127" t="s">
        <v>1109</v>
      </c>
      <c r="D65" s="127" t="s">
        <v>1109</v>
      </c>
      <c r="E65" s="127" t="s">
        <v>1109</v>
      </c>
      <c r="F65" s="128" t="s">
        <v>2692</v>
      </c>
      <c r="G65" s="128" t="s">
        <v>2693</v>
      </c>
      <c r="H65" s="128" t="s">
        <v>2692</v>
      </c>
      <c r="I65" s="127" t="s">
        <v>1109</v>
      </c>
      <c r="J65" s="128" t="s">
        <v>2691</v>
      </c>
      <c r="K65" s="128" t="s">
        <v>2692</v>
      </c>
      <c r="L65" s="127" t="s">
        <v>1109</v>
      </c>
      <c r="M65" s="128" t="s">
        <v>2692</v>
      </c>
      <c r="N65" s="128" t="s">
        <v>2693</v>
      </c>
      <c r="O65" s="127" t="s">
        <v>1109</v>
      </c>
      <c r="P65" s="127" t="s">
        <v>1109</v>
      </c>
      <c r="Q65" s="127" t="s">
        <v>1109</v>
      </c>
      <c r="R65" s="128" t="s">
        <v>2692</v>
      </c>
      <c r="S65" s="127" t="s">
        <v>1109</v>
      </c>
      <c r="T65">
        <f t="shared" si="0"/>
        <v>2</v>
      </c>
      <c r="U65">
        <f t="shared" si="1"/>
        <v>5</v>
      </c>
      <c r="V65">
        <f t="shared" si="2"/>
        <v>1</v>
      </c>
    </row>
    <row r="66" spans="1:22">
      <c r="A66" s="126" t="s">
        <v>2444</v>
      </c>
      <c r="B66" s="127" t="s">
        <v>1109</v>
      </c>
      <c r="C66" s="127" t="s">
        <v>1109</v>
      </c>
      <c r="D66" s="127" t="s">
        <v>1109</v>
      </c>
      <c r="E66" s="128" t="s">
        <v>2692</v>
      </c>
      <c r="F66" s="127" t="s">
        <v>1109</v>
      </c>
      <c r="G66" s="127" t="s">
        <v>1109</v>
      </c>
      <c r="H66" s="128" t="s">
        <v>2692</v>
      </c>
      <c r="I66" s="127" t="s">
        <v>1109</v>
      </c>
      <c r="J66" s="128" t="s">
        <v>2693</v>
      </c>
      <c r="K66" s="128" t="s">
        <v>2692</v>
      </c>
      <c r="L66" s="128" t="s">
        <v>2692</v>
      </c>
      <c r="M66" s="128" t="s">
        <v>2693</v>
      </c>
      <c r="N66" s="127" t="s">
        <v>1109</v>
      </c>
      <c r="O66" s="128" t="s">
        <v>2693</v>
      </c>
      <c r="P66" s="127" t="s">
        <v>1109</v>
      </c>
      <c r="Q66" s="128" t="s">
        <v>2693</v>
      </c>
      <c r="R66" s="128" t="s">
        <v>2692</v>
      </c>
      <c r="S66" s="127" t="s">
        <v>1109</v>
      </c>
      <c r="T66">
        <f t="shared" si="0"/>
        <v>4</v>
      </c>
      <c r="U66">
        <f t="shared" si="1"/>
        <v>5</v>
      </c>
      <c r="V66">
        <f t="shared" si="2"/>
        <v>0</v>
      </c>
    </row>
    <row r="67" spans="1:22">
      <c r="A67" s="126" t="s">
        <v>2445</v>
      </c>
      <c r="B67" s="127" t="s">
        <v>1109</v>
      </c>
      <c r="C67" s="128" t="s">
        <v>2693</v>
      </c>
      <c r="D67" s="127" t="s">
        <v>1109</v>
      </c>
      <c r="E67" s="128" t="s">
        <v>2692</v>
      </c>
      <c r="F67" s="128" t="s">
        <v>2692</v>
      </c>
      <c r="G67" s="127" t="s">
        <v>1109</v>
      </c>
      <c r="H67" s="128" t="s">
        <v>2692</v>
      </c>
      <c r="I67" s="127" t="s">
        <v>1109</v>
      </c>
      <c r="J67" s="127" t="s">
        <v>1109</v>
      </c>
      <c r="K67" s="127" t="s">
        <v>1109</v>
      </c>
      <c r="L67" s="127" t="s">
        <v>1109</v>
      </c>
      <c r="M67" s="127" t="s">
        <v>1109</v>
      </c>
      <c r="N67" s="128" t="s">
        <v>2693</v>
      </c>
      <c r="O67" s="127" t="s">
        <v>1109</v>
      </c>
      <c r="P67" s="127" t="s">
        <v>1109</v>
      </c>
      <c r="Q67" s="127" t="s">
        <v>1109</v>
      </c>
      <c r="R67" s="128" t="s">
        <v>2692</v>
      </c>
      <c r="S67" s="127" t="s">
        <v>1109</v>
      </c>
      <c r="T67">
        <f t="shared" ref="T67:T130" si="3">COUNTIF($B67:$S67,"W")</f>
        <v>2</v>
      </c>
      <c r="U67">
        <f t="shared" ref="U67:U130" si="4">COUNTIF($B67:$S67,"R")</f>
        <v>4</v>
      </c>
      <c r="V67">
        <f t="shared" ref="V67:V130" si="5">COUNTIF($B67:$S67,"I")</f>
        <v>0</v>
      </c>
    </row>
    <row r="68" spans="1:22">
      <c r="A68" s="126" t="s">
        <v>2446</v>
      </c>
      <c r="B68" s="128" t="s">
        <v>2692</v>
      </c>
      <c r="C68" s="128" t="s">
        <v>2692</v>
      </c>
      <c r="D68" s="128" t="s">
        <v>2693</v>
      </c>
      <c r="E68" s="128" t="s">
        <v>2692</v>
      </c>
      <c r="F68" s="128" t="s">
        <v>2693</v>
      </c>
      <c r="G68" s="127" t="s">
        <v>1109</v>
      </c>
      <c r="H68" s="128" t="s">
        <v>2693</v>
      </c>
      <c r="I68" s="128" t="s">
        <v>2692</v>
      </c>
      <c r="J68" s="128" t="s">
        <v>2693</v>
      </c>
      <c r="K68" s="128" t="s">
        <v>2692</v>
      </c>
      <c r="L68" s="127" t="s">
        <v>1109</v>
      </c>
      <c r="M68" s="127" t="s">
        <v>1109</v>
      </c>
      <c r="N68" s="127" t="s">
        <v>1109</v>
      </c>
      <c r="O68" s="127" t="s">
        <v>1109</v>
      </c>
      <c r="P68" s="127" t="s">
        <v>1109</v>
      </c>
      <c r="Q68" s="127" t="s">
        <v>1109</v>
      </c>
      <c r="R68" s="127" t="s">
        <v>1109</v>
      </c>
      <c r="S68" s="127" t="s">
        <v>1109</v>
      </c>
      <c r="T68">
        <f t="shared" si="3"/>
        <v>4</v>
      </c>
      <c r="U68">
        <f t="shared" si="4"/>
        <v>5</v>
      </c>
      <c r="V68">
        <f t="shared" si="5"/>
        <v>0</v>
      </c>
    </row>
    <row r="69" spans="1:22">
      <c r="A69" s="126" t="s">
        <v>2447</v>
      </c>
      <c r="B69" s="128" t="s">
        <v>2691</v>
      </c>
      <c r="C69" s="127" t="s">
        <v>1109</v>
      </c>
      <c r="D69" s="127" t="s">
        <v>1109</v>
      </c>
      <c r="E69" s="128" t="s">
        <v>2692</v>
      </c>
      <c r="F69" s="127" t="s">
        <v>1109</v>
      </c>
      <c r="G69" s="127" t="s">
        <v>1109</v>
      </c>
      <c r="H69" s="128" t="s">
        <v>2691</v>
      </c>
      <c r="I69" s="128" t="s">
        <v>2692</v>
      </c>
      <c r="J69" s="128" t="s">
        <v>2693</v>
      </c>
      <c r="K69" s="128" t="s">
        <v>2692</v>
      </c>
      <c r="L69" s="127" t="s">
        <v>1109</v>
      </c>
      <c r="M69" s="128" t="s">
        <v>2692</v>
      </c>
      <c r="N69" s="127" t="s">
        <v>1109</v>
      </c>
      <c r="O69" s="128" t="s">
        <v>2693</v>
      </c>
      <c r="P69" s="127" t="s">
        <v>1109</v>
      </c>
      <c r="Q69" s="128" t="s">
        <v>2693</v>
      </c>
      <c r="R69" s="128" t="s">
        <v>2692</v>
      </c>
      <c r="S69" s="127" t="s">
        <v>1109</v>
      </c>
      <c r="T69">
        <f t="shared" si="3"/>
        <v>3</v>
      </c>
      <c r="U69">
        <f t="shared" si="4"/>
        <v>5</v>
      </c>
      <c r="V69">
        <f t="shared" si="5"/>
        <v>2</v>
      </c>
    </row>
    <row r="70" spans="1:22">
      <c r="A70" s="126" t="s">
        <v>2448</v>
      </c>
      <c r="B70" s="127" t="s">
        <v>1109</v>
      </c>
      <c r="C70" s="128" t="s">
        <v>2692</v>
      </c>
      <c r="D70" s="128" t="s">
        <v>2692</v>
      </c>
      <c r="E70" s="128" t="s">
        <v>2692</v>
      </c>
      <c r="F70" s="128" t="s">
        <v>2692</v>
      </c>
      <c r="G70" s="128" t="s">
        <v>2693</v>
      </c>
      <c r="H70" s="127" t="s">
        <v>1109</v>
      </c>
      <c r="I70" s="127" t="s">
        <v>1109</v>
      </c>
      <c r="J70" s="128" t="s">
        <v>2693</v>
      </c>
      <c r="K70" s="128" t="s">
        <v>2692</v>
      </c>
      <c r="L70" s="127" t="s">
        <v>1109</v>
      </c>
      <c r="M70" s="127" t="s">
        <v>1109</v>
      </c>
      <c r="N70" s="127" t="s">
        <v>1109</v>
      </c>
      <c r="O70" s="127" t="s">
        <v>1109</v>
      </c>
      <c r="P70" s="128" t="s">
        <v>2693</v>
      </c>
      <c r="Q70" s="127" t="s">
        <v>1109</v>
      </c>
      <c r="R70" s="128" t="s">
        <v>2692</v>
      </c>
      <c r="S70" s="128" t="s">
        <v>2693</v>
      </c>
      <c r="T70">
        <f t="shared" si="3"/>
        <v>4</v>
      </c>
      <c r="U70">
        <f t="shared" si="4"/>
        <v>6</v>
      </c>
      <c r="V70">
        <f t="shared" si="5"/>
        <v>0</v>
      </c>
    </row>
    <row r="71" spans="1:22">
      <c r="A71" s="126" t="s">
        <v>2449</v>
      </c>
      <c r="B71" s="127" t="s">
        <v>1109</v>
      </c>
      <c r="C71" s="127" t="s">
        <v>1109</v>
      </c>
      <c r="D71" s="127" t="s">
        <v>1109</v>
      </c>
      <c r="E71" s="128" t="s">
        <v>2692</v>
      </c>
      <c r="F71" s="127" t="s">
        <v>1109</v>
      </c>
      <c r="G71" s="127" t="s">
        <v>1109</v>
      </c>
      <c r="H71" s="128" t="s">
        <v>2693</v>
      </c>
      <c r="I71" s="127" t="s">
        <v>1109</v>
      </c>
      <c r="J71" s="128" t="s">
        <v>2693</v>
      </c>
      <c r="K71" s="128" t="s">
        <v>2692</v>
      </c>
      <c r="L71" s="128" t="s">
        <v>2691</v>
      </c>
      <c r="M71" s="128" t="s">
        <v>2693</v>
      </c>
      <c r="N71" s="127" t="s">
        <v>1109</v>
      </c>
      <c r="O71" s="128" t="s">
        <v>2692</v>
      </c>
      <c r="P71" s="127" t="s">
        <v>1109</v>
      </c>
      <c r="Q71" s="128" t="s">
        <v>2692</v>
      </c>
      <c r="R71" s="128" t="s">
        <v>2692</v>
      </c>
      <c r="S71" s="128" t="s">
        <v>2693</v>
      </c>
      <c r="T71">
        <f t="shared" si="3"/>
        <v>4</v>
      </c>
      <c r="U71">
        <f t="shared" si="4"/>
        <v>5</v>
      </c>
      <c r="V71">
        <f t="shared" si="5"/>
        <v>1</v>
      </c>
    </row>
    <row r="72" spans="1:22">
      <c r="A72" s="126" t="s">
        <v>2450</v>
      </c>
      <c r="B72" s="128" t="s">
        <v>2692</v>
      </c>
      <c r="C72" s="128" t="s">
        <v>2693</v>
      </c>
      <c r="D72" s="127" t="s">
        <v>1109</v>
      </c>
      <c r="E72" s="128" t="s">
        <v>2692</v>
      </c>
      <c r="F72" s="128" t="s">
        <v>2692</v>
      </c>
      <c r="G72" s="128" t="s">
        <v>2692</v>
      </c>
      <c r="H72" s="128" t="s">
        <v>2693</v>
      </c>
      <c r="I72" s="128" t="s">
        <v>2691</v>
      </c>
      <c r="J72" s="128" t="s">
        <v>2693</v>
      </c>
      <c r="K72" s="128" t="s">
        <v>2692</v>
      </c>
      <c r="L72" s="128" t="s">
        <v>2692</v>
      </c>
      <c r="M72" s="128" t="s">
        <v>2692</v>
      </c>
      <c r="N72" s="128" t="s">
        <v>2692</v>
      </c>
      <c r="O72" s="127" t="s">
        <v>1109</v>
      </c>
      <c r="P72" s="128" t="s">
        <v>2692</v>
      </c>
      <c r="Q72" s="127" t="s">
        <v>1109</v>
      </c>
      <c r="R72" s="128" t="s">
        <v>2692</v>
      </c>
      <c r="S72" s="128" t="s">
        <v>2692</v>
      </c>
      <c r="T72">
        <f t="shared" si="3"/>
        <v>3</v>
      </c>
      <c r="U72">
        <f t="shared" si="4"/>
        <v>11</v>
      </c>
      <c r="V72">
        <f t="shared" si="5"/>
        <v>1</v>
      </c>
    </row>
    <row r="73" spans="1:22">
      <c r="A73" s="126" t="s">
        <v>2451</v>
      </c>
      <c r="B73" s="127" t="s">
        <v>1109</v>
      </c>
      <c r="C73" s="127" t="s">
        <v>1109</v>
      </c>
      <c r="D73" s="127" t="s">
        <v>1109</v>
      </c>
      <c r="E73" s="128" t="s">
        <v>2692</v>
      </c>
      <c r="F73" s="127" t="s">
        <v>1109</v>
      </c>
      <c r="G73" s="127" t="s">
        <v>1109</v>
      </c>
      <c r="H73" s="128" t="s">
        <v>2692</v>
      </c>
      <c r="I73" s="128" t="s">
        <v>2693</v>
      </c>
      <c r="J73" s="128" t="s">
        <v>2693</v>
      </c>
      <c r="K73" s="128" t="s">
        <v>2692</v>
      </c>
      <c r="L73" s="127" t="s">
        <v>1109</v>
      </c>
      <c r="M73" s="128" t="s">
        <v>2692</v>
      </c>
      <c r="N73" s="127" t="s">
        <v>1109</v>
      </c>
      <c r="O73" s="127" t="s">
        <v>1109</v>
      </c>
      <c r="P73" s="128" t="s">
        <v>2691</v>
      </c>
      <c r="Q73" s="128" t="s">
        <v>2692</v>
      </c>
      <c r="R73" s="127" t="s">
        <v>1109</v>
      </c>
      <c r="S73" s="127" t="s">
        <v>1109</v>
      </c>
      <c r="T73">
        <f t="shared" si="3"/>
        <v>2</v>
      </c>
      <c r="U73">
        <f t="shared" si="4"/>
        <v>5</v>
      </c>
      <c r="V73">
        <f t="shared" si="5"/>
        <v>1</v>
      </c>
    </row>
    <row r="74" spans="1:22">
      <c r="A74" s="126" t="s">
        <v>2372</v>
      </c>
      <c r="B74" s="127" t="s">
        <v>1109</v>
      </c>
      <c r="C74" s="128" t="s">
        <v>2693</v>
      </c>
      <c r="D74" s="128" t="s">
        <v>2692</v>
      </c>
      <c r="E74" s="128" t="s">
        <v>2692</v>
      </c>
      <c r="F74" s="128" t="s">
        <v>2692</v>
      </c>
      <c r="G74" s="128" t="s">
        <v>2693</v>
      </c>
      <c r="H74" s="127" t="s">
        <v>1109</v>
      </c>
      <c r="I74" s="128" t="s">
        <v>2693</v>
      </c>
      <c r="J74" s="128" t="s">
        <v>2692</v>
      </c>
      <c r="K74" s="128" t="s">
        <v>2693</v>
      </c>
      <c r="L74" s="127" t="s">
        <v>1109</v>
      </c>
      <c r="M74" s="128" t="s">
        <v>2693</v>
      </c>
      <c r="N74" s="127" t="s">
        <v>1109</v>
      </c>
      <c r="O74" s="127" t="s">
        <v>1109</v>
      </c>
      <c r="P74" s="127" t="s">
        <v>1109</v>
      </c>
      <c r="Q74" s="127" t="s">
        <v>1109</v>
      </c>
      <c r="R74" s="127" t="s">
        <v>1109</v>
      </c>
      <c r="S74" s="127" t="s">
        <v>1109</v>
      </c>
      <c r="T74">
        <f t="shared" si="3"/>
        <v>5</v>
      </c>
      <c r="U74">
        <f t="shared" si="4"/>
        <v>4</v>
      </c>
      <c r="V74">
        <f t="shared" si="5"/>
        <v>0</v>
      </c>
    </row>
    <row r="75" spans="1:22">
      <c r="A75" s="126" t="s">
        <v>2452</v>
      </c>
      <c r="B75" s="127" t="s">
        <v>1109</v>
      </c>
      <c r="C75" s="128" t="s">
        <v>2693</v>
      </c>
      <c r="D75" s="128" t="s">
        <v>2692</v>
      </c>
      <c r="E75" s="128" t="s">
        <v>2692</v>
      </c>
      <c r="F75" s="128" t="s">
        <v>2692</v>
      </c>
      <c r="G75" s="128" t="s">
        <v>2693</v>
      </c>
      <c r="H75" s="128" t="s">
        <v>2693</v>
      </c>
      <c r="I75" s="128" t="s">
        <v>2693</v>
      </c>
      <c r="J75" s="128" t="s">
        <v>2692</v>
      </c>
      <c r="K75" s="128" t="s">
        <v>2693</v>
      </c>
      <c r="L75" s="127" t="s">
        <v>1109</v>
      </c>
      <c r="M75" s="128" t="s">
        <v>2693</v>
      </c>
      <c r="N75" s="127" t="s">
        <v>1109</v>
      </c>
      <c r="O75" s="128" t="s">
        <v>2691</v>
      </c>
      <c r="P75" s="127" t="s">
        <v>1109</v>
      </c>
      <c r="Q75" s="127" t="s">
        <v>1109</v>
      </c>
      <c r="R75" s="127" t="s">
        <v>1109</v>
      </c>
      <c r="S75" s="127" t="s">
        <v>1109</v>
      </c>
      <c r="T75">
        <f t="shared" si="3"/>
        <v>6</v>
      </c>
      <c r="U75">
        <f t="shared" si="4"/>
        <v>4</v>
      </c>
      <c r="V75">
        <f t="shared" si="5"/>
        <v>1</v>
      </c>
    </row>
    <row r="76" spans="1:22">
      <c r="A76" s="126" t="s">
        <v>2453</v>
      </c>
      <c r="B76" s="127" t="s">
        <v>1109</v>
      </c>
      <c r="C76" s="127" t="s">
        <v>1109</v>
      </c>
      <c r="D76" s="127" t="s">
        <v>1109</v>
      </c>
      <c r="E76" s="128" t="s">
        <v>2692</v>
      </c>
      <c r="F76" s="128" t="s">
        <v>2692</v>
      </c>
      <c r="G76" s="127" t="s">
        <v>1109</v>
      </c>
      <c r="H76" s="127" t="s">
        <v>1109</v>
      </c>
      <c r="I76" s="128" t="s">
        <v>2693</v>
      </c>
      <c r="J76" s="127" t="s">
        <v>1109</v>
      </c>
      <c r="K76" s="128" t="s">
        <v>2693</v>
      </c>
      <c r="L76" s="127" t="s">
        <v>1109</v>
      </c>
      <c r="M76" s="127" t="s">
        <v>1109</v>
      </c>
      <c r="N76" s="128" t="s">
        <v>2693</v>
      </c>
      <c r="O76" s="127" t="s">
        <v>1109</v>
      </c>
      <c r="P76" s="127" t="s">
        <v>1109</v>
      </c>
      <c r="Q76" s="127" t="s">
        <v>1109</v>
      </c>
      <c r="R76" s="128" t="s">
        <v>2692</v>
      </c>
      <c r="S76" s="128" t="s">
        <v>2692</v>
      </c>
      <c r="T76">
        <f t="shared" si="3"/>
        <v>3</v>
      </c>
      <c r="U76">
        <f t="shared" si="4"/>
        <v>4</v>
      </c>
      <c r="V76">
        <f t="shared" si="5"/>
        <v>0</v>
      </c>
    </row>
    <row r="77" spans="1:22">
      <c r="A77" s="126" t="s">
        <v>2454</v>
      </c>
      <c r="B77" s="127" t="s">
        <v>1109</v>
      </c>
      <c r="C77" s="127" t="s">
        <v>1109</v>
      </c>
      <c r="D77" s="128" t="s">
        <v>2692</v>
      </c>
      <c r="E77" s="127" t="s">
        <v>1109</v>
      </c>
      <c r="F77" s="127" t="s">
        <v>1109</v>
      </c>
      <c r="G77" s="127" t="s">
        <v>1109</v>
      </c>
      <c r="H77" s="127" t="s">
        <v>1109</v>
      </c>
      <c r="I77" s="128" t="s">
        <v>2693</v>
      </c>
      <c r="J77" s="128" t="s">
        <v>2692</v>
      </c>
      <c r="K77" s="128" t="s">
        <v>2693</v>
      </c>
      <c r="L77" s="127" t="s">
        <v>1109</v>
      </c>
      <c r="M77" s="128" t="s">
        <v>2693</v>
      </c>
      <c r="N77" s="127" t="s">
        <v>1109</v>
      </c>
      <c r="O77" s="127" t="s">
        <v>1109</v>
      </c>
      <c r="P77" s="127" t="s">
        <v>1109</v>
      </c>
      <c r="Q77" s="127" t="s">
        <v>1109</v>
      </c>
      <c r="R77" s="128" t="s">
        <v>2692</v>
      </c>
      <c r="S77" s="127" t="s">
        <v>1109</v>
      </c>
      <c r="T77">
        <f t="shared" si="3"/>
        <v>3</v>
      </c>
      <c r="U77">
        <f t="shared" si="4"/>
        <v>3</v>
      </c>
      <c r="V77">
        <f t="shared" si="5"/>
        <v>0</v>
      </c>
    </row>
    <row r="78" spans="1:22">
      <c r="A78" s="126" t="s">
        <v>2455</v>
      </c>
      <c r="B78" s="127" t="s">
        <v>1109</v>
      </c>
      <c r="C78" s="128" t="s">
        <v>2693</v>
      </c>
      <c r="D78" s="128" t="s">
        <v>2692</v>
      </c>
      <c r="E78" s="128" t="s">
        <v>2692</v>
      </c>
      <c r="F78" s="128" t="s">
        <v>2692</v>
      </c>
      <c r="G78" s="128" t="s">
        <v>2693</v>
      </c>
      <c r="H78" s="127" t="s">
        <v>1109</v>
      </c>
      <c r="I78" s="128" t="s">
        <v>2693</v>
      </c>
      <c r="J78" s="127" t="s">
        <v>1109</v>
      </c>
      <c r="K78" s="127" t="s">
        <v>1109</v>
      </c>
      <c r="L78" s="127" t="s">
        <v>1109</v>
      </c>
      <c r="M78" s="128" t="s">
        <v>2693</v>
      </c>
      <c r="N78" s="127" t="s">
        <v>1109</v>
      </c>
      <c r="O78" s="127" t="s">
        <v>1109</v>
      </c>
      <c r="P78" s="127" t="s">
        <v>1109</v>
      </c>
      <c r="Q78" s="127" t="s">
        <v>1109</v>
      </c>
      <c r="R78" s="128" t="s">
        <v>2692</v>
      </c>
      <c r="S78" s="127" t="s">
        <v>1109</v>
      </c>
      <c r="T78">
        <f t="shared" si="3"/>
        <v>4</v>
      </c>
      <c r="U78">
        <f t="shared" si="4"/>
        <v>4</v>
      </c>
      <c r="V78">
        <f t="shared" si="5"/>
        <v>0</v>
      </c>
    </row>
    <row r="79" spans="1:22">
      <c r="A79" s="126" t="s">
        <v>2456</v>
      </c>
      <c r="B79" s="127" t="s">
        <v>1109</v>
      </c>
      <c r="C79" s="128" t="s">
        <v>2693</v>
      </c>
      <c r="D79" s="128" t="s">
        <v>2692</v>
      </c>
      <c r="E79" s="128" t="s">
        <v>2692</v>
      </c>
      <c r="F79" s="128" t="s">
        <v>2692</v>
      </c>
      <c r="G79" s="127" t="s">
        <v>1109</v>
      </c>
      <c r="H79" s="128" t="s">
        <v>2693</v>
      </c>
      <c r="I79" s="128" t="s">
        <v>2693</v>
      </c>
      <c r="J79" s="128" t="s">
        <v>2692</v>
      </c>
      <c r="K79" s="128" t="s">
        <v>2693</v>
      </c>
      <c r="L79" s="127" t="s">
        <v>1109</v>
      </c>
      <c r="M79" s="128" t="s">
        <v>2693</v>
      </c>
      <c r="N79" s="128" t="s">
        <v>2693</v>
      </c>
      <c r="O79" s="127" t="s">
        <v>1109</v>
      </c>
      <c r="P79" s="127" t="s">
        <v>1109</v>
      </c>
      <c r="Q79" s="127" t="s">
        <v>1109</v>
      </c>
      <c r="R79" s="128" t="s">
        <v>2693</v>
      </c>
      <c r="S79" s="127" t="s">
        <v>1109</v>
      </c>
      <c r="T79">
        <f t="shared" si="3"/>
        <v>7</v>
      </c>
      <c r="U79">
        <f t="shared" si="4"/>
        <v>4</v>
      </c>
      <c r="V79">
        <f t="shared" si="5"/>
        <v>0</v>
      </c>
    </row>
    <row r="80" spans="1:22">
      <c r="A80" s="126" t="s">
        <v>2457</v>
      </c>
      <c r="B80" s="127" t="s">
        <v>1109</v>
      </c>
      <c r="C80" s="128" t="s">
        <v>2693</v>
      </c>
      <c r="D80" s="128" t="s">
        <v>2692</v>
      </c>
      <c r="E80" s="128" t="s">
        <v>2692</v>
      </c>
      <c r="F80" s="128" t="s">
        <v>2692</v>
      </c>
      <c r="G80" s="128" t="s">
        <v>2693</v>
      </c>
      <c r="H80" s="127" t="s">
        <v>1109</v>
      </c>
      <c r="I80" s="128" t="s">
        <v>2693</v>
      </c>
      <c r="J80" s="128" t="s">
        <v>2692</v>
      </c>
      <c r="K80" s="128" t="s">
        <v>2693</v>
      </c>
      <c r="L80" s="128" t="s">
        <v>2693</v>
      </c>
      <c r="M80" s="127" t="s">
        <v>1109</v>
      </c>
      <c r="N80" s="128" t="s">
        <v>2692</v>
      </c>
      <c r="O80" s="127" t="s">
        <v>1109</v>
      </c>
      <c r="P80" s="127" t="s">
        <v>1109</v>
      </c>
      <c r="Q80" s="128" t="s">
        <v>2692</v>
      </c>
      <c r="R80" s="127" t="s">
        <v>1109</v>
      </c>
      <c r="S80" s="128" t="s">
        <v>2693</v>
      </c>
      <c r="T80">
        <f t="shared" si="3"/>
        <v>6</v>
      </c>
      <c r="U80">
        <f t="shared" si="4"/>
        <v>6</v>
      </c>
      <c r="V80">
        <f t="shared" si="5"/>
        <v>0</v>
      </c>
    </row>
    <row r="81" spans="1:22">
      <c r="A81" s="126" t="s">
        <v>2458</v>
      </c>
      <c r="B81" s="127" t="s">
        <v>1109</v>
      </c>
      <c r="C81" s="128" t="s">
        <v>2693</v>
      </c>
      <c r="D81" s="128" t="s">
        <v>2692</v>
      </c>
      <c r="E81" s="128" t="s">
        <v>2692</v>
      </c>
      <c r="F81" s="128" t="s">
        <v>2692</v>
      </c>
      <c r="G81" s="128" t="s">
        <v>2693</v>
      </c>
      <c r="H81" s="128" t="s">
        <v>2692</v>
      </c>
      <c r="I81" s="127" t="s">
        <v>1109</v>
      </c>
      <c r="J81" s="127" t="s">
        <v>1109</v>
      </c>
      <c r="K81" s="128" t="s">
        <v>2693</v>
      </c>
      <c r="L81" s="128" t="s">
        <v>2693</v>
      </c>
      <c r="M81" s="127" t="s">
        <v>1109</v>
      </c>
      <c r="N81" s="127" t="s">
        <v>1109</v>
      </c>
      <c r="O81" s="127" t="s">
        <v>1109</v>
      </c>
      <c r="P81" s="127" t="s">
        <v>1109</v>
      </c>
      <c r="Q81" s="127" t="s">
        <v>1109</v>
      </c>
      <c r="R81" s="127" t="s">
        <v>1109</v>
      </c>
      <c r="S81" s="128" t="s">
        <v>2692</v>
      </c>
      <c r="T81">
        <f t="shared" si="3"/>
        <v>4</v>
      </c>
      <c r="U81">
        <f t="shared" si="4"/>
        <v>5</v>
      </c>
      <c r="V81">
        <f t="shared" si="5"/>
        <v>0</v>
      </c>
    </row>
    <row r="82" spans="1:22">
      <c r="A82" s="126" t="s">
        <v>2459</v>
      </c>
      <c r="B82" s="127" t="s">
        <v>1109</v>
      </c>
      <c r="C82" s="128" t="s">
        <v>2693</v>
      </c>
      <c r="D82" s="127" t="s">
        <v>1109</v>
      </c>
      <c r="E82" s="128" t="s">
        <v>2691</v>
      </c>
      <c r="F82" s="127" t="s">
        <v>1109</v>
      </c>
      <c r="G82" s="128" t="s">
        <v>2693</v>
      </c>
      <c r="H82" s="127" t="s">
        <v>1109</v>
      </c>
      <c r="I82" s="127" t="s">
        <v>1109</v>
      </c>
      <c r="J82" s="128" t="s">
        <v>2692</v>
      </c>
      <c r="K82" s="128" t="s">
        <v>2693</v>
      </c>
      <c r="L82" s="127" t="s">
        <v>1109</v>
      </c>
      <c r="M82" s="128" t="s">
        <v>2693</v>
      </c>
      <c r="N82" s="128" t="s">
        <v>2692</v>
      </c>
      <c r="O82" s="127" t="s">
        <v>1109</v>
      </c>
      <c r="P82" s="127" t="s">
        <v>1109</v>
      </c>
      <c r="Q82" s="127" t="s">
        <v>1109</v>
      </c>
      <c r="R82" s="127" t="s">
        <v>1109</v>
      </c>
      <c r="S82" s="127" t="s">
        <v>1109</v>
      </c>
      <c r="T82">
        <f t="shared" si="3"/>
        <v>4</v>
      </c>
      <c r="U82">
        <f t="shared" si="4"/>
        <v>2</v>
      </c>
      <c r="V82">
        <f t="shared" si="5"/>
        <v>1</v>
      </c>
    </row>
    <row r="83" spans="1:22">
      <c r="A83" s="126" t="s">
        <v>2460</v>
      </c>
      <c r="B83" s="127" t="s">
        <v>1109</v>
      </c>
      <c r="C83" s="128" t="s">
        <v>2693</v>
      </c>
      <c r="D83" s="128" t="s">
        <v>2692</v>
      </c>
      <c r="E83" s="127" t="s">
        <v>1109</v>
      </c>
      <c r="F83" s="128" t="s">
        <v>2692</v>
      </c>
      <c r="G83" s="128" t="s">
        <v>2693</v>
      </c>
      <c r="H83" s="128" t="s">
        <v>2692</v>
      </c>
      <c r="I83" s="128" t="s">
        <v>2693</v>
      </c>
      <c r="J83" s="128" t="s">
        <v>2691</v>
      </c>
      <c r="K83" s="128" t="s">
        <v>2693</v>
      </c>
      <c r="L83" s="127" t="s">
        <v>1109</v>
      </c>
      <c r="M83" s="127" t="s">
        <v>1109</v>
      </c>
      <c r="N83" s="128" t="s">
        <v>2693</v>
      </c>
      <c r="O83" s="127" t="s">
        <v>1109</v>
      </c>
      <c r="P83" s="127" t="s">
        <v>1109</v>
      </c>
      <c r="Q83" s="127" t="s">
        <v>1109</v>
      </c>
      <c r="R83" s="127" t="s">
        <v>1109</v>
      </c>
      <c r="S83" s="127" t="s">
        <v>1109</v>
      </c>
      <c r="T83">
        <f t="shared" si="3"/>
        <v>5</v>
      </c>
      <c r="U83">
        <f t="shared" si="4"/>
        <v>3</v>
      </c>
      <c r="V83">
        <f t="shared" si="5"/>
        <v>1</v>
      </c>
    </row>
    <row r="84" spans="1:22">
      <c r="A84" s="126" t="s">
        <v>2461</v>
      </c>
      <c r="B84" s="127" t="s">
        <v>1109</v>
      </c>
      <c r="C84" s="128" t="s">
        <v>2693</v>
      </c>
      <c r="D84" s="128" t="s">
        <v>2692</v>
      </c>
      <c r="E84" s="128" t="s">
        <v>2692</v>
      </c>
      <c r="F84" s="128" t="s">
        <v>2692</v>
      </c>
      <c r="G84" s="128" t="s">
        <v>2693</v>
      </c>
      <c r="H84" s="128" t="s">
        <v>2692</v>
      </c>
      <c r="I84" s="128" t="s">
        <v>2693</v>
      </c>
      <c r="J84" s="128" t="s">
        <v>2692</v>
      </c>
      <c r="K84" s="128" t="s">
        <v>2693</v>
      </c>
      <c r="L84" s="128" t="s">
        <v>2692</v>
      </c>
      <c r="M84" s="128" t="s">
        <v>2693</v>
      </c>
      <c r="N84" s="127" t="s">
        <v>1109</v>
      </c>
      <c r="O84" s="128" t="s">
        <v>2693</v>
      </c>
      <c r="P84" s="127" t="s">
        <v>1109</v>
      </c>
      <c r="Q84" s="128" t="s">
        <v>2693</v>
      </c>
      <c r="R84" s="127" t="s">
        <v>1109</v>
      </c>
      <c r="S84" s="127" t="s">
        <v>1109</v>
      </c>
      <c r="T84">
        <f t="shared" si="3"/>
        <v>7</v>
      </c>
      <c r="U84">
        <f t="shared" si="4"/>
        <v>6</v>
      </c>
      <c r="V84">
        <f t="shared" si="5"/>
        <v>0</v>
      </c>
    </row>
    <row r="85" spans="1:22">
      <c r="A85" s="126" t="s">
        <v>2462</v>
      </c>
      <c r="B85" s="127" t="s">
        <v>1109</v>
      </c>
      <c r="C85" s="128" t="s">
        <v>2693</v>
      </c>
      <c r="D85" s="128" t="s">
        <v>2692</v>
      </c>
      <c r="E85" s="128" t="s">
        <v>2692</v>
      </c>
      <c r="F85" s="128" t="s">
        <v>2692</v>
      </c>
      <c r="G85" s="128" t="s">
        <v>2693</v>
      </c>
      <c r="H85" s="128" t="s">
        <v>2692</v>
      </c>
      <c r="I85" s="128" t="s">
        <v>2693</v>
      </c>
      <c r="J85" s="128" t="s">
        <v>2692</v>
      </c>
      <c r="K85" s="128" t="s">
        <v>2693</v>
      </c>
      <c r="L85" s="127" t="s">
        <v>1109</v>
      </c>
      <c r="M85" s="128" t="s">
        <v>2693</v>
      </c>
      <c r="N85" s="128" t="s">
        <v>2693</v>
      </c>
      <c r="O85" s="127" t="s">
        <v>1109</v>
      </c>
      <c r="P85" s="127" t="s">
        <v>1109</v>
      </c>
      <c r="Q85" s="127" t="s">
        <v>1109</v>
      </c>
      <c r="R85" s="127" t="s">
        <v>1109</v>
      </c>
      <c r="S85" s="127" t="s">
        <v>1109</v>
      </c>
      <c r="T85">
        <f t="shared" si="3"/>
        <v>6</v>
      </c>
      <c r="U85">
        <f t="shared" si="4"/>
        <v>5</v>
      </c>
      <c r="V85">
        <f t="shared" si="5"/>
        <v>0</v>
      </c>
    </row>
    <row r="86" spans="1:22">
      <c r="A86" s="126" t="s">
        <v>2463</v>
      </c>
      <c r="B86" s="128" t="s">
        <v>2692</v>
      </c>
      <c r="C86" s="127" t="s">
        <v>1109</v>
      </c>
      <c r="D86" s="127" t="s">
        <v>1109</v>
      </c>
      <c r="E86" s="128" t="s">
        <v>2692</v>
      </c>
      <c r="F86" s="127" t="s">
        <v>1109</v>
      </c>
      <c r="G86" s="128" t="s">
        <v>2693</v>
      </c>
      <c r="H86" s="128" t="s">
        <v>2693</v>
      </c>
      <c r="I86" s="127" t="s">
        <v>1109</v>
      </c>
      <c r="J86" s="127" t="s">
        <v>1109</v>
      </c>
      <c r="K86" s="127" t="s">
        <v>1109</v>
      </c>
      <c r="L86" s="127" t="s">
        <v>1109</v>
      </c>
      <c r="M86" s="128" t="s">
        <v>2693</v>
      </c>
      <c r="N86" s="127" t="s">
        <v>1109</v>
      </c>
      <c r="O86" s="127" t="s">
        <v>1109</v>
      </c>
      <c r="P86" s="127" t="s">
        <v>1109</v>
      </c>
      <c r="Q86" s="127" t="s">
        <v>1109</v>
      </c>
      <c r="R86" s="128" t="s">
        <v>2693</v>
      </c>
      <c r="S86" s="127" t="s">
        <v>1109</v>
      </c>
      <c r="T86">
        <f t="shared" si="3"/>
        <v>4</v>
      </c>
      <c r="U86">
        <f t="shared" si="4"/>
        <v>2</v>
      </c>
      <c r="V86">
        <f t="shared" si="5"/>
        <v>0</v>
      </c>
    </row>
    <row r="87" spans="1:22">
      <c r="A87" s="126" t="s">
        <v>2464</v>
      </c>
      <c r="B87" s="128" t="s">
        <v>2691</v>
      </c>
      <c r="C87" s="128" t="s">
        <v>2693</v>
      </c>
      <c r="D87" s="128" t="s">
        <v>2692</v>
      </c>
      <c r="E87" s="128" t="s">
        <v>2692</v>
      </c>
      <c r="F87" s="128" t="s">
        <v>2692</v>
      </c>
      <c r="G87" s="128" t="s">
        <v>2693</v>
      </c>
      <c r="H87" s="128" t="s">
        <v>2691</v>
      </c>
      <c r="I87" s="127" t="s">
        <v>1109</v>
      </c>
      <c r="J87" s="128" t="s">
        <v>2692</v>
      </c>
      <c r="K87" s="128" t="s">
        <v>2693</v>
      </c>
      <c r="L87" s="127" t="s">
        <v>1109</v>
      </c>
      <c r="M87" s="127" t="s">
        <v>1109</v>
      </c>
      <c r="N87" s="127" t="s">
        <v>1109</v>
      </c>
      <c r="O87" s="128" t="s">
        <v>2693</v>
      </c>
      <c r="P87" s="127" t="s">
        <v>1109</v>
      </c>
      <c r="Q87" s="128" t="s">
        <v>2693</v>
      </c>
      <c r="R87" s="127" t="s">
        <v>1109</v>
      </c>
      <c r="S87" s="127" t="s">
        <v>1109</v>
      </c>
      <c r="T87">
        <f t="shared" si="3"/>
        <v>5</v>
      </c>
      <c r="U87">
        <f t="shared" si="4"/>
        <v>4</v>
      </c>
      <c r="V87">
        <f t="shared" si="5"/>
        <v>2</v>
      </c>
    </row>
    <row r="88" spans="1:22">
      <c r="A88" s="126" t="s">
        <v>2465</v>
      </c>
      <c r="B88" s="127" t="s">
        <v>1109</v>
      </c>
      <c r="C88" s="127" t="s">
        <v>1109</v>
      </c>
      <c r="D88" s="128" t="s">
        <v>2692</v>
      </c>
      <c r="E88" s="128" t="s">
        <v>2692</v>
      </c>
      <c r="F88" s="128" t="s">
        <v>2692</v>
      </c>
      <c r="G88" s="128" t="s">
        <v>2693</v>
      </c>
      <c r="H88" s="127" t="s">
        <v>1109</v>
      </c>
      <c r="I88" s="128" t="s">
        <v>2693</v>
      </c>
      <c r="J88" s="128" t="s">
        <v>2692</v>
      </c>
      <c r="K88" s="128" t="s">
        <v>2693</v>
      </c>
      <c r="L88" s="127" t="s">
        <v>1109</v>
      </c>
      <c r="M88" s="128" t="s">
        <v>2693</v>
      </c>
      <c r="N88" s="127" t="s">
        <v>1109</v>
      </c>
      <c r="O88" s="127" t="s">
        <v>1109</v>
      </c>
      <c r="P88" s="128" t="s">
        <v>2693</v>
      </c>
      <c r="Q88" s="127" t="s">
        <v>1109</v>
      </c>
      <c r="R88" s="127" t="s">
        <v>1109</v>
      </c>
      <c r="S88" s="128" t="s">
        <v>2693</v>
      </c>
      <c r="T88">
        <f t="shared" si="3"/>
        <v>6</v>
      </c>
      <c r="U88">
        <f t="shared" si="4"/>
        <v>4</v>
      </c>
      <c r="V88">
        <f t="shared" si="5"/>
        <v>0</v>
      </c>
    </row>
    <row r="89" spans="1:22">
      <c r="A89" s="126" t="s">
        <v>2466</v>
      </c>
      <c r="B89" s="127" t="s">
        <v>1109</v>
      </c>
      <c r="C89" s="128" t="s">
        <v>2693</v>
      </c>
      <c r="D89" s="128" t="s">
        <v>2692</v>
      </c>
      <c r="E89" s="128" t="s">
        <v>2692</v>
      </c>
      <c r="F89" s="128" t="s">
        <v>2692</v>
      </c>
      <c r="G89" s="128" t="s">
        <v>2693</v>
      </c>
      <c r="H89" s="128" t="s">
        <v>2693</v>
      </c>
      <c r="I89" s="128" t="s">
        <v>2693</v>
      </c>
      <c r="J89" s="128" t="s">
        <v>2692</v>
      </c>
      <c r="K89" s="128" t="s">
        <v>2693</v>
      </c>
      <c r="L89" s="128" t="s">
        <v>2691</v>
      </c>
      <c r="M89" s="128" t="s">
        <v>2693</v>
      </c>
      <c r="N89" s="127" t="s">
        <v>1109</v>
      </c>
      <c r="O89" s="128" t="s">
        <v>2692</v>
      </c>
      <c r="P89" s="127" t="s">
        <v>1109</v>
      </c>
      <c r="Q89" s="128" t="s">
        <v>2692</v>
      </c>
      <c r="R89" s="127" t="s">
        <v>1109</v>
      </c>
      <c r="S89" s="128" t="s">
        <v>2693</v>
      </c>
      <c r="T89">
        <f t="shared" si="3"/>
        <v>7</v>
      </c>
      <c r="U89">
        <f t="shared" si="4"/>
        <v>6</v>
      </c>
      <c r="V89">
        <f t="shared" si="5"/>
        <v>1</v>
      </c>
    </row>
    <row r="90" spans="1:22">
      <c r="A90" s="126" t="s">
        <v>2467</v>
      </c>
      <c r="B90" s="128" t="s">
        <v>2692</v>
      </c>
      <c r="C90" s="128" t="s">
        <v>2693</v>
      </c>
      <c r="D90" s="128" t="s">
        <v>2692</v>
      </c>
      <c r="E90" s="128" t="s">
        <v>2692</v>
      </c>
      <c r="F90" s="128" t="s">
        <v>2692</v>
      </c>
      <c r="G90" s="127" t="s">
        <v>1109</v>
      </c>
      <c r="H90" s="128" t="s">
        <v>2693</v>
      </c>
      <c r="I90" s="128" t="s">
        <v>2691</v>
      </c>
      <c r="J90" s="127" t="s">
        <v>1109</v>
      </c>
      <c r="K90" s="127" t="s">
        <v>1109</v>
      </c>
      <c r="L90" s="128" t="s">
        <v>2692</v>
      </c>
      <c r="M90" s="127" t="s">
        <v>1109</v>
      </c>
      <c r="N90" s="128" t="s">
        <v>2692</v>
      </c>
      <c r="O90" s="127" t="s">
        <v>1109</v>
      </c>
      <c r="P90" s="128" t="s">
        <v>2692</v>
      </c>
      <c r="Q90" s="127" t="s">
        <v>1109</v>
      </c>
      <c r="R90" s="128" t="s">
        <v>2692</v>
      </c>
      <c r="S90" s="128" t="s">
        <v>2692</v>
      </c>
      <c r="T90">
        <f t="shared" si="3"/>
        <v>2</v>
      </c>
      <c r="U90">
        <f t="shared" si="4"/>
        <v>9</v>
      </c>
      <c r="V90">
        <f t="shared" si="5"/>
        <v>1</v>
      </c>
    </row>
    <row r="91" spans="1:22">
      <c r="A91" s="126" t="s">
        <v>2468</v>
      </c>
      <c r="B91" s="127" t="s">
        <v>1109</v>
      </c>
      <c r="C91" s="128" t="s">
        <v>2693</v>
      </c>
      <c r="D91" s="128" t="s">
        <v>2692</v>
      </c>
      <c r="E91" s="128" t="s">
        <v>2692</v>
      </c>
      <c r="F91" s="128" t="s">
        <v>2692</v>
      </c>
      <c r="G91" s="128" t="s">
        <v>2693</v>
      </c>
      <c r="H91" s="128" t="s">
        <v>2692</v>
      </c>
      <c r="I91" s="128" t="s">
        <v>2693</v>
      </c>
      <c r="J91" s="128" t="s">
        <v>2692</v>
      </c>
      <c r="K91" s="128" t="s">
        <v>2693</v>
      </c>
      <c r="L91" s="127" t="s">
        <v>1109</v>
      </c>
      <c r="M91" s="127" t="s">
        <v>1109</v>
      </c>
      <c r="N91" s="127" t="s">
        <v>1109</v>
      </c>
      <c r="O91" s="127" t="s">
        <v>1109</v>
      </c>
      <c r="P91" s="128" t="s">
        <v>2691</v>
      </c>
      <c r="Q91" s="128" t="s">
        <v>2692</v>
      </c>
      <c r="R91" s="128" t="s">
        <v>2693</v>
      </c>
      <c r="S91" s="127" t="s">
        <v>1109</v>
      </c>
      <c r="T91">
        <f t="shared" si="3"/>
        <v>5</v>
      </c>
      <c r="U91">
        <f t="shared" si="4"/>
        <v>6</v>
      </c>
      <c r="V91">
        <f t="shared" si="5"/>
        <v>1</v>
      </c>
    </row>
    <row r="92" spans="1:22">
      <c r="A92" s="126" t="s">
        <v>2356</v>
      </c>
      <c r="B92" s="127" t="s">
        <v>1109</v>
      </c>
      <c r="C92" s="128" t="s">
        <v>2693</v>
      </c>
      <c r="D92" s="127" t="s">
        <v>1109</v>
      </c>
      <c r="E92" s="127" t="s">
        <v>1109</v>
      </c>
      <c r="F92" s="127" t="s">
        <v>1109</v>
      </c>
      <c r="G92" s="128" t="s">
        <v>2692</v>
      </c>
      <c r="H92" s="128" t="s">
        <v>2693</v>
      </c>
      <c r="I92" s="127" t="s">
        <v>1109</v>
      </c>
      <c r="J92" s="127" t="s">
        <v>1109</v>
      </c>
      <c r="K92" s="127" t="s">
        <v>1109</v>
      </c>
      <c r="L92" s="127" t="s">
        <v>1109</v>
      </c>
      <c r="M92" s="127" t="s">
        <v>1109</v>
      </c>
      <c r="N92" s="128" t="s">
        <v>2693</v>
      </c>
      <c r="O92" s="127" t="s">
        <v>1109</v>
      </c>
      <c r="P92" s="127" t="s">
        <v>1109</v>
      </c>
      <c r="Q92" s="127" t="s">
        <v>1109</v>
      </c>
      <c r="R92" s="128" t="s">
        <v>2693</v>
      </c>
      <c r="S92" s="127" t="s">
        <v>1109</v>
      </c>
      <c r="T92">
        <f t="shared" si="3"/>
        <v>4</v>
      </c>
      <c r="U92">
        <f t="shared" si="4"/>
        <v>1</v>
      </c>
      <c r="V92">
        <f t="shared" si="5"/>
        <v>0</v>
      </c>
    </row>
    <row r="93" spans="1:22">
      <c r="A93" s="126" t="s">
        <v>2469</v>
      </c>
      <c r="B93" s="127" t="s">
        <v>1109</v>
      </c>
      <c r="C93" s="128" t="s">
        <v>2693</v>
      </c>
      <c r="D93" s="127" t="s">
        <v>1109</v>
      </c>
      <c r="E93" s="127" t="s">
        <v>1109</v>
      </c>
      <c r="F93" s="127" t="s">
        <v>1109</v>
      </c>
      <c r="G93" s="128" t="s">
        <v>2692</v>
      </c>
      <c r="H93" s="128" t="s">
        <v>2693</v>
      </c>
      <c r="I93" s="127" t="s">
        <v>1109</v>
      </c>
      <c r="J93" s="127" t="s">
        <v>1109</v>
      </c>
      <c r="K93" s="127" t="s">
        <v>1109</v>
      </c>
      <c r="L93" s="127" t="s">
        <v>1109</v>
      </c>
      <c r="M93" s="127" t="s">
        <v>1109</v>
      </c>
      <c r="N93" s="128" t="s">
        <v>2693</v>
      </c>
      <c r="O93" s="128" t="s">
        <v>2691</v>
      </c>
      <c r="P93" s="127" t="s">
        <v>1109</v>
      </c>
      <c r="Q93" s="127" t="s">
        <v>1109</v>
      </c>
      <c r="R93" s="128" t="s">
        <v>2693</v>
      </c>
      <c r="S93" s="127" t="s">
        <v>1109</v>
      </c>
      <c r="T93">
        <f t="shared" si="3"/>
        <v>4</v>
      </c>
      <c r="U93">
        <f t="shared" si="4"/>
        <v>1</v>
      </c>
      <c r="V93">
        <f t="shared" si="5"/>
        <v>1</v>
      </c>
    </row>
    <row r="94" spans="1:22">
      <c r="A94" s="126" t="s">
        <v>2470</v>
      </c>
      <c r="B94" s="127" t="s">
        <v>1109</v>
      </c>
      <c r="C94" s="127" t="s">
        <v>1109</v>
      </c>
      <c r="D94" s="128" t="s">
        <v>2693</v>
      </c>
      <c r="E94" s="127" t="s">
        <v>1109</v>
      </c>
      <c r="F94" s="128" t="s">
        <v>2692</v>
      </c>
      <c r="G94" s="128" t="s">
        <v>2692</v>
      </c>
      <c r="H94" s="128" t="s">
        <v>2693</v>
      </c>
      <c r="I94" s="127" t="s">
        <v>1109</v>
      </c>
      <c r="J94" s="128" t="s">
        <v>2693</v>
      </c>
      <c r="K94" s="127" t="s">
        <v>1109</v>
      </c>
      <c r="L94" s="127" t="s">
        <v>1109</v>
      </c>
      <c r="M94" s="128" t="s">
        <v>2692</v>
      </c>
      <c r="N94" s="128" t="s">
        <v>2693</v>
      </c>
      <c r="O94" s="127" t="s">
        <v>1109</v>
      </c>
      <c r="P94" s="127" t="s">
        <v>1109</v>
      </c>
      <c r="Q94" s="127" t="s">
        <v>1109</v>
      </c>
      <c r="R94" s="127" t="s">
        <v>1109</v>
      </c>
      <c r="S94" s="128" t="s">
        <v>2692</v>
      </c>
      <c r="T94">
        <f t="shared" si="3"/>
        <v>4</v>
      </c>
      <c r="U94">
        <f t="shared" si="4"/>
        <v>4</v>
      </c>
      <c r="V94">
        <f t="shared" si="5"/>
        <v>0</v>
      </c>
    </row>
    <row r="95" spans="1:22">
      <c r="A95" s="126" t="s">
        <v>2471</v>
      </c>
      <c r="B95" s="127" t="s">
        <v>1109</v>
      </c>
      <c r="C95" s="127" t="s">
        <v>1109</v>
      </c>
      <c r="D95" s="128" t="s">
        <v>2692</v>
      </c>
      <c r="E95" s="128" t="s">
        <v>2693</v>
      </c>
      <c r="F95" s="128" t="s">
        <v>2693</v>
      </c>
      <c r="G95" s="128" t="s">
        <v>2692</v>
      </c>
      <c r="H95" s="128" t="s">
        <v>2693</v>
      </c>
      <c r="I95" s="127" t="s">
        <v>1109</v>
      </c>
      <c r="J95" s="127" t="s">
        <v>1109</v>
      </c>
      <c r="K95" s="127" t="s">
        <v>1109</v>
      </c>
      <c r="L95" s="127" t="s">
        <v>1109</v>
      </c>
      <c r="M95" s="127" t="s">
        <v>1109</v>
      </c>
      <c r="N95" s="128" t="s">
        <v>2693</v>
      </c>
      <c r="O95" s="127" t="s">
        <v>1109</v>
      </c>
      <c r="P95" s="127" t="s">
        <v>1109</v>
      </c>
      <c r="Q95" s="127" t="s">
        <v>1109</v>
      </c>
      <c r="R95" s="127" t="s">
        <v>1109</v>
      </c>
      <c r="S95" s="127" t="s">
        <v>1109</v>
      </c>
      <c r="T95">
        <f t="shared" si="3"/>
        <v>4</v>
      </c>
      <c r="U95">
        <f t="shared" si="4"/>
        <v>2</v>
      </c>
      <c r="V95">
        <f t="shared" si="5"/>
        <v>0</v>
      </c>
    </row>
    <row r="96" spans="1:22">
      <c r="A96" s="126" t="s">
        <v>2472</v>
      </c>
      <c r="B96" s="127" t="s">
        <v>1109</v>
      </c>
      <c r="C96" s="128" t="s">
        <v>2693</v>
      </c>
      <c r="D96" s="127" t="s">
        <v>1109</v>
      </c>
      <c r="E96" s="128" t="s">
        <v>2692</v>
      </c>
      <c r="F96" s="127" t="s">
        <v>1109</v>
      </c>
      <c r="G96" s="128" t="s">
        <v>2692</v>
      </c>
      <c r="H96" s="128" t="s">
        <v>2693</v>
      </c>
      <c r="I96" s="127" t="s">
        <v>1109</v>
      </c>
      <c r="J96" s="128" t="s">
        <v>2693</v>
      </c>
      <c r="K96" s="128" t="s">
        <v>2692</v>
      </c>
      <c r="L96" s="127" t="s">
        <v>1109</v>
      </c>
      <c r="M96" s="127" t="s">
        <v>1109</v>
      </c>
      <c r="N96" s="128" t="s">
        <v>2693</v>
      </c>
      <c r="O96" s="127" t="s">
        <v>1109</v>
      </c>
      <c r="P96" s="127" t="s">
        <v>1109</v>
      </c>
      <c r="Q96" s="127" t="s">
        <v>1109</v>
      </c>
      <c r="R96" s="127" t="s">
        <v>1109</v>
      </c>
      <c r="S96" s="127" t="s">
        <v>1109</v>
      </c>
      <c r="T96">
        <f t="shared" si="3"/>
        <v>4</v>
      </c>
      <c r="U96">
        <f t="shared" si="4"/>
        <v>3</v>
      </c>
      <c r="V96">
        <f t="shared" si="5"/>
        <v>0</v>
      </c>
    </row>
    <row r="97" spans="1:22">
      <c r="A97" s="126" t="s">
        <v>2473</v>
      </c>
      <c r="B97" s="127" t="s">
        <v>1109</v>
      </c>
      <c r="C97" s="128" t="s">
        <v>2693</v>
      </c>
      <c r="D97" s="128" t="s">
        <v>2692</v>
      </c>
      <c r="E97" s="128" t="s">
        <v>2692</v>
      </c>
      <c r="F97" s="128" t="s">
        <v>2692</v>
      </c>
      <c r="G97" s="127" t="s">
        <v>1109</v>
      </c>
      <c r="H97" s="128" t="s">
        <v>2693</v>
      </c>
      <c r="I97" s="128" t="s">
        <v>2693</v>
      </c>
      <c r="J97" s="128" t="s">
        <v>2692</v>
      </c>
      <c r="K97" s="128" t="s">
        <v>2693</v>
      </c>
      <c r="L97" s="127" t="s">
        <v>1109</v>
      </c>
      <c r="M97" s="128" t="s">
        <v>2693</v>
      </c>
      <c r="N97" s="128" t="s">
        <v>2693</v>
      </c>
      <c r="O97" s="127" t="s">
        <v>1109</v>
      </c>
      <c r="P97" s="127" t="s">
        <v>1109</v>
      </c>
      <c r="Q97" s="127" t="s">
        <v>1109</v>
      </c>
      <c r="R97" s="128" t="s">
        <v>2693</v>
      </c>
      <c r="S97" s="127" t="s">
        <v>1109</v>
      </c>
      <c r="T97">
        <f t="shared" si="3"/>
        <v>7</v>
      </c>
      <c r="U97">
        <f t="shared" si="4"/>
        <v>4</v>
      </c>
      <c r="V97">
        <f t="shared" si="5"/>
        <v>0</v>
      </c>
    </row>
    <row r="98" spans="1:22">
      <c r="A98" s="126" t="s">
        <v>2474</v>
      </c>
      <c r="B98" s="127" t="s">
        <v>1109</v>
      </c>
      <c r="C98" s="128" t="s">
        <v>2693</v>
      </c>
      <c r="D98" s="127" t="s">
        <v>1109</v>
      </c>
      <c r="E98" s="127" t="s">
        <v>1109</v>
      </c>
      <c r="F98" s="127" t="s">
        <v>1109</v>
      </c>
      <c r="G98" s="128" t="s">
        <v>2692</v>
      </c>
      <c r="H98" s="128" t="s">
        <v>2693</v>
      </c>
      <c r="I98" s="127" t="s">
        <v>1109</v>
      </c>
      <c r="J98" s="127" t="s">
        <v>1109</v>
      </c>
      <c r="K98" s="128" t="s">
        <v>2693</v>
      </c>
      <c r="L98" s="128" t="s">
        <v>2693</v>
      </c>
      <c r="M98" s="128" t="s">
        <v>2692</v>
      </c>
      <c r="N98" s="127" t="s">
        <v>1109</v>
      </c>
      <c r="O98" s="127" t="s">
        <v>1109</v>
      </c>
      <c r="P98" s="127" t="s">
        <v>1109</v>
      </c>
      <c r="Q98" s="128" t="s">
        <v>2692</v>
      </c>
      <c r="R98" s="128" t="s">
        <v>2693</v>
      </c>
      <c r="S98" s="128" t="s">
        <v>2693</v>
      </c>
      <c r="T98">
        <f t="shared" si="3"/>
        <v>6</v>
      </c>
      <c r="U98">
        <f t="shared" si="4"/>
        <v>3</v>
      </c>
      <c r="V98">
        <f t="shared" si="5"/>
        <v>0</v>
      </c>
    </row>
    <row r="99" spans="1:22">
      <c r="A99" s="126" t="s">
        <v>2475</v>
      </c>
      <c r="B99" s="127" t="s">
        <v>1109</v>
      </c>
      <c r="C99" s="128" t="s">
        <v>2693</v>
      </c>
      <c r="D99" s="127" t="s">
        <v>1109</v>
      </c>
      <c r="E99" s="127" t="s">
        <v>1109</v>
      </c>
      <c r="F99" s="128" t="s">
        <v>2692</v>
      </c>
      <c r="G99" s="128" t="s">
        <v>2692</v>
      </c>
      <c r="H99" s="127" t="s">
        <v>1109</v>
      </c>
      <c r="I99" s="128" t="s">
        <v>2692</v>
      </c>
      <c r="J99" s="128" t="s">
        <v>2693</v>
      </c>
      <c r="K99" s="127" t="s">
        <v>1109</v>
      </c>
      <c r="L99" s="128" t="s">
        <v>2693</v>
      </c>
      <c r="M99" s="128" t="s">
        <v>2692</v>
      </c>
      <c r="N99" s="128" t="s">
        <v>2693</v>
      </c>
      <c r="O99" s="127" t="s">
        <v>1109</v>
      </c>
      <c r="P99" s="127" t="s">
        <v>1109</v>
      </c>
      <c r="Q99" s="127" t="s">
        <v>1109</v>
      </c>
      <c r="R99" s="128" t="s">
        <v>2693</v>
      </c>
      <c r="S99" s="128" t="s">
        <v>2692</v>
      </c>
      <c r="T99">
        <f t="shared" si="3"/>
        <v>5</v>
      </c>
      <c r="U99">
        <f t="shared" si="4"/>
        <v>5</v>
      </c>
      <c r="V99">
        <f t="shared" si="5"/>
        <v>0</v>
      </c>
    </row>
    <row r="100" spans="1:22">
      <c r="A100" s="126" t="s">
        <v>2476</v>
      </c>
      <c r="B100" s="127" t="s">
        <v>1109</v>
      </c>
      <c r="C100" s="128" t="s">
        <v>2693</v>
      </c>
      <c r="D100" s="128" t="s">
        <v>2693</v>
      </c>
      <c r="E100" s="128" t="s">
        <v>2691</v>
      </c>
      <c r="F100" s="128" t="s">
        <v>2693</v>
      </c>
      <c r="G100" s="127" t="s">
        <v>1109</v>
      </c>
      <c r="H100" s="128" t="s">
        <v>2693</v>
      </c>
      <c r="I100" s="128" t="s">
        <v>2692</v>
      </c>
      <c r="J100" s="127" t="s">
        <v>1109</v>
      </c>
      <c r="K100" s="127" t="s">
        <v>1109</v>
      </c>
      <c r="L100" s="127" t="s">
        <v>1109</v>
      </c>
      <c r="M100" s="127" t="s">
        <v>1109</v>
      </c>
      <c r="N100" s="127" t="s">
        <v>1109</v>
      </c>
      <c r="O100" s="127" t="s">
        <v>1109</v>
      </c>
      <c r="P100" s="127" t="s">
        <v>1109</v>
      </c>
      <c r="Q100" s="127" t="s">
        <v>1109</v>
      </c>
      <c r="R100" s="128" t="s">
        <v>2693</v>
      </c>
      <c r="S100" s="127" t="s">
        <v>1109</v>
      </c>
      <c r="T100">
        <f t="shared" si="3"/>
        <v>5</v>
      </c>
      <c r="U100">
        <f t="shared" si="4"/>
        <v>1</v>
      </c>
      <c r="V100">
        <f t="shared" si="5"/>
        <v>1</v>
      </c>
    </row>
    <row r="101" spans="1:22">
      <c r="A101" s="126" t="s">
        <v>2477</v>
      </c>
      <c r="B101" s="127" t="s">
        <v>1109</v>
      </c>
      <c r="C101" s="128" t="s">
        <v>2693</v>
      </c>
      <c r="D101" s="127" t="s">
        <v>1109</v>
      </c>
      <c r="E101" s="128" t="s">
        <v>2693</v>
      </c>
      <c r="F101" s="128" t="s">
        <v>2692</v>
      </c>
      <c r="G101" s="127" t="s">
        <v>1109</v>
      </c>
      <c r="H101" s="127" t="s">
        <v>1109</v>
      </c>
      <c r="I101" s="127" t="s">
        <v>1109</v>
      </c>
      <c r="J101" s="128" t="s">
        <v>2691</v>
      </c>
      <c r="K101" s="127" t="s">
        <v>1109</v>
      </c>
      <c r="L101" s="127" t="s">
        <v>1109</v>
      </c>
      <c r="M101" s="128" t="s">
        <v>2692</v>
      </c>
      <c r="N101" s="128" t="s">
        <v>2693</v>
      </c>
      <c r="O101" s="127" t="s">
        <v>1109</v>
      </c>
      <c r="P101" s="127" t="s">
        <v>1109</v>
      </c>
      <c r="Q101" s="127" t="s">
        <v>1109</v>
      </c>
      <c r="R101" s="128" t="s">
        <v>2693</v>
      </c>
      <c r="S101" s="127" t="s">
        <v>1109</v>
      </c>
      <c r="T101">
        <f t="shared" si="3"/>
        <v>4</v>
      </c>
      <c r="U101">
        <f t="shared" si="4"/>
        <v>2</v>
      </c>
      <c r="V101">
        <f t="shared" si="5"/>
        <v>1</v>
      </c>
    </row>
    <row r="102" spans="1:22">
      <c r="A102" s="126" t="s">
        <v>2478</v>
      </c>
      <c r="B102" s="127" t="s">
        <v>1109</v>
      </c>
      <c r="C102" s="128" t="s">
        <v>2693</v>
      </c>
      <c r="D102" s="127" t="s">
        <v>1109</v>
      </c>
      <c r="E102" s="127" t="s">
        <v>1109</v>
      </c>
      <c r="F102" s="127" t="s">
        <v>1109</v>
      </c>
      <c r="G102" s="128" t="s">
        <v>2692</v>
      </c>
      <c r="H102" s="127" t="s">
        <v>1109</v>
      </c>
      <c r="I102" s="127" t="s">
        <v>1109</v>
      </c>
      <c r="J102" s="127" t="s">
        <v>1109</v>
      </c>
      <c r="K102" s="127" t="s">
        <v>1109</v>
      </c>
      <c r="L102" s="128" t="s">
        <v>2692</v>
      </c>
      <c r="M102" s="128" t="s">
        <v>2693</v>
      </c>
      <c r="N102" s="128" t="s">
        <v>2693</v>
      </c>
      <c r="O102" s="128" t="s">
        <v>2693</v>
      </c>
      <c r="P102" s="127" t="s">
        <v>1109</v>
      </c>
      <c r="Q102" s="128" t="s">
        <v>2693</v>
      </c>
      <c r="R102" s="128" t="s">
        <v>2693</v>
      </c>
      <c r="S102" s="127" t="s">
        <v>1109</v>
      </c>
      <c r="T102">
        <f t="shared" si="3"/>
        <v>6</v>
      </c>
      <c r="U102">
        <f t="shared" si="4"/>
        <v>2</v>
      </c>
      <c r="V102">
        <f t="shared" si="5"/>
        <v>0</v>
      </c>
    </row>
    <row r="103" spans="1:22">
      <c r="A103" s="126" t="s">
        <v>2479</v>
      </c>
      <c r="B103" s="127" t="s">
        <v>1109</v>
      </c>
      <c r="C103" s="128" t="s">
        <v>2693</v>
      </c>
      <c r="D103" s="127" t="s">
        <v>1109</v>
      </c>
      <c r="E103" s="127" t="s">
        <v>1109</v>
      </c>
      <c r="F103" s="128" t="s">
        <v>2692</v>
      </c>
      <c r="G103" s="128" t="s">
        <v>2692</v>
      </c>
      <c r="H103" s="127" t="s">
        <v>1109</v>
      </c>
      <c r="I103" s="127" t="s">
        <v>1109</v>
      </c>
      <c r="J103" s="128" t="s">
        <v>2692</v>
      </c>
      <c r="K103" s="128" t="s">
        <v>2693</v>
      </c>
      <c r="L103" s="127" t="s">
        <v>1109</v>
      </c>
      <c r="M103" s="127" t="s">
        <v>1109</v>
      </c>
      <c r="N103" s="128" t="s">
        <v>2693</v>
      </c>
      <c r="O103" s="127" t="s">
        <v>1109</v>
      </c>
      <c r="P103" s="127" t="s">
        <v>1109</v>
      </c>
      <c r="Q103" s="127" t="s">
        <v>1109</v>
      </c>
      <c r="R103" s="128" t="s">
        <v>2693</v>
      </c>
      <c r="S103" s="127" t="s">
        <v>1109</v>
      </c>
      <c r="T103">
        <f t="shared" si="3"/>
        <v>4</v>
      </c>
      <c r="U103">
        <f t="shared" si="4"/>
        <v>3</v>
      </c>
      <c r="V103">
        <f t="shared" si="5"/>
        <v>0</v>
      </c>
    </row>
    <row r="104" spans="1:22">
      <c r="A104" s="126" t="s">
        <v>2480</v>
      </c>
      <c r="B104" s="128" t="s">
        <v>2692</v>
      </c>
      <c r="C104" s="127" t="s">
        <v>1109</v>
      </c>
      <c r="D104" s="128" t="s">
        <v>2693</v>
      </c>
      <c r="E104" s="127" t="s">
        <v>1109</v>
      </c>
      <c r="F104" s="128" t="s">
        <v>2693</v>
      </c>
      <c r="G104" s="128" t="s">
        <v>2692</v>
      </c>
      <c r="H104" s="128" t="s">
        <v>2693</v>
      </c>
      <c r="I104" s="128" t="s">
        <v>2692</v>
      </c>
      <c r="J104" s="128" t="s">
        <v>2693</v>
      </c>
      <c r="K104" s="128" t="s">
        <v>2692</v>
      </c>
      <c r="L104" s="127" t="s">
        <v>1109</v>
      </c>
      <c r="M104" s="127" t="s">
        <v>1109</v>
      </c>
      <c r="N104" s="128" t="s">
        <v>2693</v>
      </c>
      <c r="O104" s="127" t="s">
        <v>1109</v>
      </c>
      <c r="P104" s="127" t="s">
        <v>1109</v>
      </c>
      <c r="Q104" s="127" t="s">
        <v>1109</v>
      </c>
      <c r="R104" s="128" t="s">
        <v>2693</v>
      </c>
      <c r="S104" s="127" t="s">
        <v>1109</v>
      </c>
      <c r="T104">
        <f t="shared" si="3"/>
        <v>6</v>
      </c>
      <c r="U104">
        <f t="shared" si="4"/>
        <v>4</v>
      </c>
      <c r="V104">
        <f t="shared" si="5"/>
        <v>0</v>
      </c>
    </row>
    <row r="105" spans="1:22">
      <c r="A105" s="126" t="s">
        <v>2481</v>
      </c>
      <c r="B105" s="128" t="s">
        <v>2691</v>
      </c>
      <c r="C105" s="128" t="s">
        <v>2693</v>
      </c>
      <c r="D105" s="127" t="s">
        <v>1109</v>
      </c>
      <c r="E105" s="127" t="s">
        <v>1109</v>
      </c>
      <c r="F105" s="127" t="s">
        <v>1109</v>
      </c>
      <c r="G105" s="128" t="s">
        <v>2692</v>
      </c>
      <c r="H105" s="128" t="s">
        <v>2691</v>
      </c>
      <c r="I105" s="128" t="s">
        <v>2692</v>
      </c>
      <c r="J105" s="127" t="s">
        <v>1109</v>
      </c>
      <c r="K105" s="127" t="s">
        <v>1109</v>
      </c>
      <c r="L105" s="127" t="s">
        <v>1109</v>
      </c>
      <c r="M105" s="128" t="s">
        <v>2692</v>
      </c>
      <c r="N105" s="128" t="s">
        <v>2693</v>
      </c>
      <c r="O105" s="128" t="s">
        <v>2693</v>
      </c>
      <c r="P105" s="127" t="s">
        <v>1109</v>
      </c>
      <c r="Q105" s="128" t="s">
        <v>2693</v>
      </c>
      <c r="R105" s="128" t="s">
        <v>2693</v>
      </c>
      <c r="S105" s="127" t="s">
        <v>1109</v>
      </c>
      <c r="T105">
        <f t="shared" si="3"/>
        <v>5</v>
      </c>
      <c r="U105">
        <f t="shared" si="4"/>
        <v>3</v>
      </c>
      <c r="V105">
        <f t="shared" si="5"/>
        <v>2</v>
      </c>
    </row>
    <row r="106" spans="1:22">
      <c r="A106" s="126" t="s">
        <v>2482</v>
      </c>
      <c r="B106" s="127" t="s">
        <v>1109</v>
      </c>
      <c r="C106" s="127" t="s">
        <v>1109</v>
      </c>
      <c r="D106" s="128" t="s">
        <v>2692</v>
      </c>
      <c r="E106" s="128" t="s">
        <v>2692</v>
      </c>
      <c r="F106" s="128" t="s">
        <v>2692</v>
      </c>
      <c r="G106" s="127" t="s">
        <v>1109</v>
      </c>
      <c r="H106" s="128" t="s">
        <v>2693</v>
      </c>
      <c r="I106" s="127" t="s">
        <v>1109</v>
      </c>
      <c r="J106" s="127" t="s">
        <v>1109</v>
      </c>
      <c r="K106" s="127" t="s">
        <v>1109</v>
      </c>
      <c r="L106" s="127" t="s">
        <v>1109</v>
      </c>
      <c r="M106" s="127" t="s">
        <v>1109</v>
      </c>
      <c r="N106" s="128" t="s">
        <v>2693</v>
      </c>
      <c r="O106" s="127" t="s">
        <v>1109</v>
      </c>
      <c r="P106" s="128" t="s">
        <v>2693</v>
      </c>
      <c r="Q106" s="127" t="s">
        <v>1109</v>
      </c>
      <c r="R106" s="128" t="s">
        <v>2693</v>
      </c>
      <c r="S106" s="128" t="s">
        <v>2693</v>
      </c>
      <c r="T106">
        <f t="shared" si="3"/>
        <v>5</v>
      </c>
      <c r="U106">
        <f t="shared" si="4"/>
        <v>3</v>
      </c>
      <c r="V106">
        <f t="shared" si="5"/>
        <v>0</v>
      </c>
    </row>
    <row r="107" spans="1:22">
      <c r="A107" s="126" t="s">
        <v>2483</v>
      </c>
      <c r="B107" s="127" t="s">
        <v>1109</v>
      </c>
      <c r="C107" s="128" t="s">
        <v>2693</v>
      </c>
      <c r="D107" s="127" t="s">
        <v>1109</v>
      </c>
      <c r="E107" s="127" t="s">
        <v>1109</v>
      </c>
      <c r="F107" s="127" t="s">
        <v>1109</v>
      </c>
      <c r="G107" s="128" t="s">
        <v>2692</v>
      </c>
      <c r="H107" s="128" t="s">
        <v>2693</v>
      </c>
      <c r="I107" s="127" t="s">
        <v>1109</v>
      </c>
      <c r="J107" s="127" t="s">
        <v>1109</v>
      </c>
      <c r="K107" s="127" t="s">
        <v>1109</v>
      </c>
      <c r="L107" s="128" t="s">
        <v>2691</v>
      </c>
      <c r="M107" s="128" t="s">
        <v>2693</v>
      </c>
      <c r="N107" s="128" t="s">
        <v>2693</v>
      </c>
      <c r="O107" s="128" t="s">
        <v>2692</v>
      </c>
      <c r="P107" s="127" t="s">
        <v>1109</v>
      </c>
      <c r="Q107" s="128" t="s">
        <v>2692</v>
      </c>
      <c r="R107" s="128" t="s">
        <v>2693</v>
      </c>
      <c r="S107" s="128" t="s">
        <v>2693</v>
      </c>
      <c r="T107">
        <f t="shared" si="3"/>
        <v>6</v>
      </c>
      <c r="U107">
        <f t="shared" si="4"/>
        <v>3</v>
      </c>
      <c r="V107">
        <f t="shared" si="5"/>
        <v>1</v>
      </c>
    </row>
    <row r="108" spans="1:22">
      <c r="A108" s="126" t="s">
        <v>2484</v>
      </c>
      <c r="B108" s="128" t="s">
        <v>2692</v>
      </c>
      <c r="C108" s="128" t="s">
        <v>2693</v>
      </c>
      <c r="D108" s="127" t="s">
        <v>1109</v>
      </c>
      <c r="E108" s="127" t="s">
        <v>1109</v>
      </c>
      <c r="F108" s="128" t="s">
        <v>2692</v>
      </c>
      <c r="G108" s="128" t="s">
        <v>2692</v>
      </c>
      <c r="H108" s="128" t="s">
        <v>2693</v>
      </c>
      <c r="I108" s="128" t="s">
        <v>2691</v>
      </c>
      <c r="J108" s="128" t="s">
        <v>2693</v>
      </c>
      <c r="K108" s="128" t="s">
        <v>2692</v>
      </c>
      <c r="L108" s="128" t="s">
        <v>2692</v>
      </c>
      <c r="M108" s="128" t="s">
        <v>2692</v>
      </c>
      <c r="N108" s="127" t="s">
        <v>1109</v>
      </c>
      <c r="O108" s="127" t="s">
        <v>1109</v>
      </c>
      <c r="P108" s="128" t="s">
        <v>2692</v>
      </c>
      <c r="Q108" s="127" t="s">
        <v>1109</v>
      </c>
      <c r="R108" s="127" t="s">
        <v>1109</v>
      </c>
      <c r="S108" s="128" t="s">
        <v>2692</v>
      </c>
      <c r="T108">
        <f t="shared" si="3"/>
        <v>3</v>
      </c>
      <c r="U108">
        <f t="shared" si="4"/>
        <v>8</v>
      </c>
      <c r="V108">
        <f t="shared" si="5"/>
        <v>1</v>
      </c>
    </row>
    <row r="109" spans="1:22">
      <c r="A109" s="126" t="s">
        <v>2485</v>
      </c>
      <c r="B109" s="127" t="s">
        <v>1109</v>
      </c>
      <c r="C109" s="128" t="s">
        <v>2693</v>
      </c>
      <c r="D109" s="127" t="s">
        <v>1109</v>
      </c>
      <c r="E109" s="127" t="s">
        <v>1109</v>
      </c>
      <c r="F109" s="127" t="s">
        <v>1109</v>
      </c>
      <c r="G109" s="128" t="s">
        <v>2692</v>
      </c>
      <c r="H109" s="127" t="s">
        <v>1109</v>
      </c>
      <c r="I109" s="128" t="s">
        <v>2693</v>
      </c>
      <c r="J109" s="127" t="s">
        <v>1109</v>
      </c>
      <c r="K109" s="127" t="s">
        <v>1109</v>
      </c>
      <c r="L109" s="127" t="s">
        <v>1109</v>
      </c>
      <c r="M109" s="128" t="s">
        <v>2692</v>
      </c>
      <c r="N109" s="128" t="s">
        <v>2693</v>
      </c>
      <c r="O109" s="127" t="s">
        <v>1109</v>
      </c>
      <c r="P109" s="128" t="s">
        <v>2691</v>
      </c>
      <c r="Q109" s="128" t="s">
        <v>2692</v>
      </c>
      <c r="R109" s="128" t="s">
        <v>2693</v>
      </c>
      <c r="S109" s="127" t="s">
        <v>1109</v>
      </c>
      <c r="T109">
        <f t="shared" si="3"/>
        <v>4</v>
      </c>
      <c r="U109">
        <f t="shared" si="4"/>
        <v>3</v>
      </c>
      <c r="V109">
        <f t="shared" si="5"/>
        <v>1</v>
      </c>
    </row>
    <row r="110" spans="1:22">
      <c r="A110" s="126" t="s">
        <v>2373</v>
      </c>
      <c r="B110" s="127" t="s">
        <v>1109</v>
      </c>
      <c r="C110" s="127" t="s">
        <v>1109</v>
      </c>
      <c r="D110" s="127" t="s">
        <v>1109</v>
      </c>
      <c r="E110" s="127" t="s">
        <v>1109</v>
      </c>
      <c r="F110" s="127" t="s">
        <v>1109</v>
      </c>
      <c r="G110" s="127" t="s">
        <v>1109</v>
      </c>
      <c r="H110" s="127" t="s">
        <v>1109</v>
      </c>
      <c r="I110" s="127" t="s">
        <v>1109</v>
      </c>
      <c r="J110" s="127" t="s">
        <v>1109</v>
      </c>
      <c r="K110" s="128" t="s">
        <v>2693</v>
      </c>
      <c r="L110" s="128" t="s">
        <v>2693</v>
      </c>
      <c r="M110" s="128" t="s">
        <v>2692</v>
      </c>
      <c r="N110" s="128" t="s">
        <v>2692</v>
      </c>
      <c r="O110" s="127" t="s">
        <v>1109</v>
      </c>
      <c r="P110" s="127" t="s">
        <v>1109</v>
      </c>
      <c r="Q110" s="128" t="s">
        <v>2692</v>
      </c>
      <c r="R110" s="127" t="s">
        <v>1109</v>
      </c>
      <c r="S110" s="128" t="s">
        <v>2693</v>
      </c>
      <c r="T110">
        <f t="shared" si="3"/>
        <v>3</v>
      </c>
      <c r="U110">
        <f t="shared" si="4"/>
        <v>3</v>
      </c>
      <c r="V110">
        <f t="shared" si="5"/>
        <v>0</v>
      </c>
    </row>
    <row r="111" spans="1:22">
      <c r="A111" s="126" t="s">
        <v>2486</v>
      </c>
      <c r="B111" s="127" t="s">
        <v>1109</v>
      </c>
      <c r="C111" s="127" t="s">
        <v>1109</v>
      </c>
      <c r="D111" s="127" t="s">
        <v>1109</v>
      </c>
      <c r="E111" s="127" t="s">
        <v>1109</v>
      </c>
      <c r="F111" s="127" t="s">
        <v>1109</v>
      </c>
      <c r="G111" s="127" t="s">
        <v>1109</v>
      </c>
      <c r="H111" s="128" t="s">
        <v>2693</v>
      </c>
      <c r="I111" s="127" t="s">
        <v>1109</v>
      </c>
      <c r="J111" s="127" t="s">
        <v>1109</v>
      </c>
      <c r="K111" s="128" t="s">
        <v>2693</v>
      </c>
      <c r="L111" s="128" t="s">
        <v>2693</v>
      </c>
      <c r="M111" s="128" t="s">
        <v>2692</v>
      </c>
      <c r="N111" s="128" t="s">
        <v>2692</v>
      </c>
      <c r="O111" s="128" t="s">
        <v>2691</v>
      </c>
      <c r="P111" s="127" t="s">
        <v>1109</v>
      </c>
      <c r="Q111" s="128" t="s">
        <v>2692</v>
      </c>
      <c r="R111" s="127" t="s">
        <v>1109</v>
      </c>
      <c r="S111" s="128" t="s">
        <v>2693</v>
      </c>
      <c r="T111">
        <f t="shared" si="3"/>
        <v>4</v>
      </c>
      <c r="U111">
        <f t="shared" si="4"/>
        <v>3</v>
      </c>
      <c r="V111">
        <f t="shared" si="5"/>
        <v>1</v>
      </c>
    </row>
    <row r="112" spans="1:22">
      <c r="A112" s="126" t="s">
        <v>2487</v>
      </c>
      <c r="B112" s="127" t="s">
        <v>1109</v>
      </c>
      <c r="C112" s="128" t="s">
        <v>2692</v>
      </c>
      <c r="D112" s="128" t="s">
        <v>2693</v>
      </c>
      <c r="E112" s="127" t="s">
        <v>1109</v>
      </c>
      <c r="F112" s="128" t="s">
        <v>2692</v>
      </c>
      <c r="G112" s="128" t="s">
        <v>2692</v>
      </c>
      <c r="H112" s="127" t="s">
        <v>1109</v>
      </c>
      <c r="I112" s="127" t="s">
        <v>1109</v>
      </c>
      <c r="J112" s="128" t="s">
        <v>2693</v>
      </c>
      <c r="K112" s="128" t="s">
        <v>2693</v>
      </c>
      <c r="L112" s="128" t="s">
        <v>2693</v>
      </c>
      <c r="M112" s="128" t="s">
        <v>2692</v>
      </c>
      <c r="N112" s="127" t="s">
        <v>1109</v>
      </c>
      <c r="O112" s="127" t="s">
        <v>1109</v>
      </c>
      <c r="P112" s="127" t="s">
        <v>1109</v>
      </c>
      <c r="Q112" s="128" t="s">
        <v>2692</v>
      </c>
      <c r="R112" s="128" t="s">
        <v>2692</v>
      </c>
      <c r="S112" s="127" t="s">
        <v>1109</v>
      </c>
      <c r="T112">
        <f t="shared" si="3"/>
        <v>4</v>
      </c>
      <c r="U112">
        <f t="shared" si="4"/>
        <v>6</v>
      </c>
      <c r="V112">
        <f t="shared" si="5"/>
        <v>0</v>
      </c>
    </row>
    <row r="113" spans="1:22">
      <c r="A113" s="126" t="s">
        <v>2488</v>
      </c>
      <c r="B113" s="127" t="s">
        <v>1109</v>
      </c>
      <c r="C113" s="128" t="s">
        <v>2692</v>
      </c>
      <c r="D113" s="128" t="s">
        <v>2692</v>
      </c>
      <c r="E113" s="128" t="s">
        <v>2693</v>
      </c>
      <c r="F113" s="128" t="s">
        <v>2693</v>
      </c>
      <c r="G113" s="128" t="s">
        <v>2692</v>
      </c>
      <c r="H113" s="127" t="s">
        <v>1109</v>
      </c>
      <c r="I113" s="127" t="s">
        <v>1109</v>
      </c>
      <c r="J113" s="127" t="s">
        <v>1109</v>
      </c>
      <c r="K113" s="128" t="s">
        <v>2693</v>
      </c>
      <c r="L113" s="128" t="s">
        <v>2693</v>
      </c>
      <c r="M113" s="128" t="s">
        <v>2692</v>
      </c>
      <c r="N113" s="128" t="s">
        <v>2692</v>
      </c>
      <c r="O113" s="127" t="s">
        <v>1109</v>
      </c>
      <c r="P113" s="127" t="s">
        <v>1109</v>
      </c>
      <c r="Q113" s="128" t="s">
        <v>2692</v>
      </c>
      <c r="R113" s="128" t="s">
        <v>2692</v>
      </c>
      <c r="S113" s="128" t="s">
        <v>2693</v>
      </c>
      <c r="T113">
        <f t="shared" si="3"/>
        <v>5</v>
      </c>
      <c r="U113">
        <f t="shared" si="4"/>
        <v>7</v>
      </c>
      <c r="V113">
        <f t="shared" si="5"/>
        <v>0</v>
      </c>
    </row>
    <row r="114" spans="1:22">
      <c r="A114" s="126" t="s">
        <v>2489</v>
      </c>
      <c r="B114" s="127" t="s">
        <v>1109</v>
      </c>
      <c r="C114" s="127" t="s">
        <v>1109</v>
      </c>
      <c r="D114" s="127" t="s">
        <v>1109</v>
      </c>
      <c r="E114" s="128" t="s">
        <v>2692</v>
      </c>
      <c r="F114" s="127" t="s">
        <v>1109</v>
      </c>
      <c r="G114" s="127" t="s">
        <v>1109</v>
      </c>
      <c r="H114" s="127" t="s">
        <v>1109</v>
      </c>
      <c r="I114" s="127" t="s">
        <v>1109</v>
      </c>
      <c r="J114" s="128" t="s">
        <v>2693</v>
      </c>
      <c r="K114" s="127" t="s">
        <v>1109</v>
      </c>
      <c r="L114" s="128" t="s">
        <v>2693</v>
      </c>
      <c r="M114" s="128" t="s">
        <v>2692</v>
      </c>
      <c r="N114" s="128" t="s">
        <v>2692</v>
      </c>
      <c r="O114" s="127" t="s">
        <v>1109</v>
      </c>
      <c r="P114" s="127" t="s">
        <v>1109</v>
      </c>
      <c r="Q114" s="128" t="s">
        <v>2692</v>
      </c>
      <c r="R114" s="128" t="s">
        <v>2692</v>
      </c>
      <c r="S114" s="128" t="s">
        <v>2693</v>
      </c>
      <c r="T114">
        <f t="shared" si="3"/>
        <v>3</v>
      </c>
      <c r="U114">
        <f t="shared" si="4"/>
        <v>5</v>
      </c>
      <c r="V114">
        <f t="shared" si="5"/>
        <v>0</v>
      </c>
    </row>
    <row r="115" spans="1:22">
      <c r="A115" s="126" t="s">
        <v>2490</v>
      </c>
      <c r="B115" s="127" t="s">
        <v>1109</v>
      </c>
      <c r="C115" s="128" t="s">
        <v>2693</v>
      </c>
      <c r="D115" s="128" t="s">
        <v>2692</v>
      </c>
      <c r="E115" s="128" t="s">
        <v>2692</v>
      </c>
      <c r="F115" s="128" t="s">
        <v>2692</v>
      </c>
      <c r="G115" s="128" t="s">
        <v>2693</v>
      </c>
      <c r="H115" s="127" t="s">
        <v>1109</v>
      </c>
      <c r="I115" s="128" t="s">
        <v>2693</v>
      </c>
      <c r="J115" s="128" t="s">
        <v>2692</v>
      </c>
      <c r="K115" s="128" t="s">
        <v>2693</v>
      </c>
      <c r="L115" s="128" t="s">
        <v>2693</v>
      </c>
      <c r="M115" s="127" t="s">
        <v>1109</v>
      </c>
      <c r="N115" s="128" t="s">
        <v>2692</v>
      </c>
      <c r="O115" s="127" t="s">
        <v>1109</v>
      </c>
      <c r="P115" s="127" t="s">
        <v>1109</v>
      </c>
      <c r="Q115" s="128" t="s">
        <v>2692</v>
      </c>
      <c r="R115" s="127" t="s">
        <v>1109</v>
      </c>
      <c r="S115" s="128" t="s">
        <v>2693</v>
      </c>
      <c r="T115">
        <f t="shared" si="3"/>
        <v>6</v>
      </c>
      <c r="U115">
        <f t="shared" si="4"/>
        <v>6</v>
      </c>
      <c r="V115">
        <f t="shared" si="5"/>
        <v>0</v>
      </c>
    </row>
    <row r="116" spans="1:22">
      <c r="A116" s="126" t="s">
        <v>2491</v>
      </c>
      <c r="B116" s="127" t="s">
        <v>1109</v>
      </c>
      <c r="C116" s="128" t="s">
        <v>2693</v>
      </c>
      <c r="D116" s="127" t="s">
        <v>1109</v>
      </c>
      <c r="E116" s="127" t="s">
        <v>1109</v>
      </c>
      <c r="F116" s="127" t="s">
        <v>1109</v>
      </c>
      <c r="G116" s="128" t="s">
        <v>2692</v>
      </c>
      <c r="H116" s="128" t="s">
        <v>2693</v>
      </c>
      <c r="I116" s="127" t="s">
        <v>1109</v>
      </c>
      <c r="J116" s="127" t="s">
        <v>1109</v>
      </c>
      <c r="K116" s="128" t="s">
        <v>2693</v>
      </c>
      <c r="L116" s="128" t="s">
        <v>2693</v>
      </c>
      <c r="M116" s="128" t="s">
        <v>2692</v>
      </c>
      <c r="N116" s="127" t="s">
        <v>1109</v>
      </c>
      <c r="O116" s="127" t="s">
        <v>1109</v>
      </c>
      <c r="P116" s="127" t="s">
        <v>1109</v>
      </c>
      <c r="Q116" s="128" t="s">
        <v>2692</v>
      </c>
      <c r="R116" s="128" t="s">
        <v>2693</v>
      </c>
      <c r="S116" s="128" t="s">
        <v>2693</v>
      </c>
      <c r="T116">
        <f t="shared" si="3"/>
        <v>6</v>
      </c>
      <c r="U116">
        <f t="shared" si="4"/>
        <v>3</v>
      </c>
      <c r="V116">
        <f t="shared" si="5"/>
        <v>0</v>
      </c>
    </row>
    <row r="117" spans="1:22">
      <c r="A117" s="126" t="s">
        <v>2492</v>
      </c>
      <c r="B117" s="127" t="s">
        <v>1109</v>
      </c>
      <c r="C117" s="127" t="s">
        <v>1109</v>
      </c>
      <c r="D117" s="127" t="s">
        <v>1109</v>
      </c>
      <c r="E117" s="127" t="s">
        <v>1109</v>
      </c>
      <c r="F117" s="128" t="s">
        <v>2692</v>
      </c>
      <c r="G117" s="127" t="s">
        <v>1109</v>
      </c>
      <c r="H117" s="128" t="s">
        <v>2692</v>
      </c>
      <c r="I117" s="128" t="s">
        <v>2692</v>
      </c>
      <c r="J117" s="128" t="s">
        <v>2693</v>
      </c>
      <c r="K117" s="128" t="s">
        <v>2693</v>
      </c>
      <c r="L117" s="128" t="s">
        <v>2693</v>
      </c>
      <c r="M117" s="128" t="s">
        <v>2692</v>
      </c>
      <c r="N117" s="128" t="s">
        <v>2692</v>
      </c>
      <c r="O117" s="127" t="s">
        <v>1109</v>
      </c>
      <c r="P117" s="127" t="s">
        <v>1109</v>
      </c>
      <c r="Q117" s="128" t="s">
        <v>2692</v>
      </c>
      <c r="R117" s="127" t="s">
        <v>1109</v>
      </c>
      <c r="S117" s="127" t="s">
        <v>1109</v>
      </c>
      <c r="T117">
        <f t="shared" si="3"/>
        <v>3</v>
      </c>
      <c r="U117">
        <f t="shared" si="4"/>
        <v>6</v>
      </c>
      <c r="V117">
        <f t="shared" si="5"/>
        <v>0</v>
      </c>
    </row>
    <row r="118" spans="1:22">
      <c r="A118" s="126" t="s">
        <v>2493</v>
      </c>
      <c r="B118" s="127" t="s">
        <v>1109</v>
      </c>
      <c r="C118" s="127" t="s">
        <v>1109</v>
      </c>
      <c r="D118" s="128" t="s">
        <v>2693</v>
      </c>
      <c r="E118" s="128" t="s">
        <v>2691</v>
      </c>
      <c r="F118" s="128" t="s">
        <v>2693</v>
      </c>
      <c r="G118" s="128" t="s">
        <v>2693</v>
      </c>
      <c r="H118" s="127" t="s">
        <v>1109</v>
      </c>
      <c r="I118" s="128" t="s">
        <v>2692</v>
      </c>
      <c r="J118" s="127" t="s">
        <v>1109</v>
      </c>
      <c r="K118" s="128" t="s">
        <v>2693</v>
      </c>
      <c r="L118" s="128" t="s">
        <v>2693</v>
      </c>
      <c r="M118" s="128" t="s">
        <v>2692</v>
      </c>
      <c r="N118" s="128" t="s">
        <v>2692</v>
      </c>
      <c r="O118" s="127" t="s">
        <v>1109</v>
      </c>
      <c r="P118" s="127" t="s">
        <v>1109</v>
      </c>
      <c r="Q118" s="128" t="s">
        <v>2692</v>
      </c>
      <c r="R118" s="127" t="s">
        <v>1109</v>
      </c>
      <c r="S118" s="128" t="s">
        <v>2693</v>
      </c>
      <c r="T118">
        <f t="shared" si="3"/>
        <v>6</v>
      </c>
      <c r="U118">
        <f t="shared" si="4"/>
        <v>4</v>
      </c>
      <c r="V118">
        <f t="shared" si="5"/>
        <v>1</v>
      </c>
    </row>
    <row r="119" spans="1:22">
      <c r="A119" s="126" t="s">
        <v>2494</v>
      </c>
      <c r="B119" s="127" t="s">
        <v>1109</v>
      </c>
      <c r="C119" s="127" t="s">
        <v>1109</v>
      </c>
      <c r="D119" s="127" t="s">
        <v>1109</v>
      </c>
      <c r="E119" s="128" t="s">
        <v>2693</v>
      </c>
      <c r="F119" s="128" t="s">
        <v>2692</v>
      </c>
      <c r="G119" s="128" t="s">
        <v>2693</v>
      </c>
      <c r="H119" s="128" t="s">
        <v>2692</v>
      </c>
      <c r="I119" s="127" t="s">
        <v>1109</v>
      </c>
      <c r="J119" s="128" t="s">
        <v>2691</v>
      </c>
      <c r="K119" s="128" t="s">
        <v>2693</v>
      </c>
      <c r="L119" s="128" t="s">
        <v>2693</v>
      </c>
      <c r="M119" s="128" t="s">
        <v>2692</v>
      </c>
      <c r="N119" s="127" t="s">
        <v>1109</v>
      </c>
      <c r="O119" s="127" t="s">
        <v>1109</v>
      </c>
      <c r="P119" s="127" t="s">
        <v>1109</v>
      </c>
      <c r="Q119" s="128" t="s">
        <v>2692</v>
      </c>
      <c r="R119" s="127" t="s">
        <v>1109</v>
      </c>
      <c r="S119" s="128" t="s">
        <v>2693</v>
      </c>
      <c r="T119">
        <f t="shared" si="3"/>
        <v>5</v>
      </c>
      <c r="U119">
        <f t="shared" si="4"/>
        <v>4</v>
      </c>
      <c r="V119">
        <f t="shared" si="5"/>
        <v>1</v>
      </c>
    </row>
    <row r="120" spans="1:22">
      <c r="A120" s="126" t="s">
        <v>2495</v>
      </c>
      <c r="B120" s="127" t="s">
        <v>1109</v>
      </c>
      <c r="C120" s="127" t="s">
        <v>1109</v>
      </c>
      <c r="D120" s="127" t="s">
        <v>1109</v>
      </c>
      <c r="E120" s="127" t="s">
        <v>1109</v>
      </c>
      <c r="F120" s="127" t="s">
        <v>1109</v>
      </c>
      <c r="G120" s="127" t="s">
        <v>1109</v>
      </c>
      <c r="H120" s="128" t="s">
        <v>2692</v>
      </c>
      <c r="I120" s="127" t="s">
        <v>1109</v>
      </c>
      <c r="J120" s="127" t="s">
        <v>1109</v>
      </c>
      <c r="K120" s="128" t="s">
        <v>2693</v>
      </c>
      <c r="L120" s="127" t="s">
        <v>1109</v>
      </c>
      <c r="M120" s="127" t="s">
        <v>1109</v>
      </c>
      <c r="N120" s="128" t="s">
        <v>2692</v>
      </c>
      <c r="O120" s="128" t="s">
        <v>2693</v>
      </c>
      <c r="P120" s="127" t="s">
        <v>1109</v>
      </c>
      <c r="Q120" s="127" t="s">
        <v>1109</v>
      </c>
      <c r="R120" s="127" t="s">
        <v>1109</v>
      </c>
      <c r="S120" s="128" t="s">
        <v>2693</v>
      </c>
      <c r="T120">
        <f t="shared" si="3"/>
        <v>3</v>
      </c>
      <c r="U120">
        <f t="shared" si="4"/>
        <v>2</v>
      </c>
      <c r="V120">
        <f t="shared" si="5"/>
        <v>0</v>
      </c>
    </row>
    <row r="121" spans="1:22">
      <c r="A121" s="126" t="s">
        <v>2496</v>
      </c>
      <c r="B121" s="127" t="s">
        <v>1109</v>
      </c>
      <c r="C121" s="128" t="s">
        <v>2693</v>
      </c>
      <c r="D121" s="127" t="s">
        <v>1109</v>
      </c>
      <c r="E121" s="127" t="s">
        <v>1109</v>
      </c>
      <c r="F121" s="128" t="s">
        <v>2692</v>
      </c>
      <c r="G121" s="127" t="s">
        <v>1109</v>
      </c>
      <c r="H121" s="128" t="s">
        <v>2692</v>
      </c>
      <c r="I121" s="127" t="s">
        <v>1109</v>
      </c>
      <c r="J121" s="128" t="s">
        <v>2692</v>
      </c>
      <c r="K121" s="128" t="s">
        <v>2693</v>
      </c>
      <c r="L121" s="128" t="s">
        <v>2693</v>
      </c>
      <c r="M121" s="128" t="s">
        <v>2692</v>
      </c>
      <c r="N121" s="127" t="s">
        <v>1109</v>
      </c>
      <c r="O121" s="127" t="s">
        <v>1109</v>
      </c>
      <c r="P121" s="127" t="s">
        <v>1109</v>
      </c>
      <c r="Q121" s="128" t="s">
        <v>2692</v>
      </c>
      <c r="R121" s="127" t="s">
        <v>1109</v>
      </c>
      <c r="S121" s="128" t="s">
        <v>2693</v>
      </c>
      <c r="T121">
        <f t="shared" si="3"/>
        <v>4</v>
      </c>
      <c r="U121">
        <f t="shared" si="4"/>
        <v>5</v>
      </c>
      <c r="V121">
        <f t="shared" si="5"/>
        <v>0</v>
      </c>
    </row>
    <row r="122" spans="1:22">
      <c r="A122" s="126" t="s">
        <v>2497</v>
      </c>
      <c r="B122" s="128" t="s">
        <v>2692</v>
      </c>
      <c r="C122" s="128" t="s">
        <v>2692</v>
      </c>
      <c r="D122" s="128" t="s">
        <v>2693</v>
      </c>
      <c r="E122" s="127" t="s">
        <v>1109</v>
      </c>
      <c r="F122" s="128" t="s">
        <v>2693</v>
      </c>
      <c r="G122" s="127" t="s">
        <v>1109</v>
      </c>
      <c r="H122" s="128" t="s">
        <v>2693</v>
      </c>
      <c r="I122" s="128" t="s">
        <v>2692</v>
      </c>
      <c r="J122" s="128" t="s">
        <v>2693</v>
      </c>
      <c r="K122" s="127" t="s">
        <v>1109</v>
      </c>
      <c r="L122" s="128" t="s">
        <v>2693</v>
      </c>
      <c r="M122" s="128" t="s">
        <v>2692</v>
      </c>
      <c r="N122" s="128" t="s">
        <v>2692</v>
      </c>
      <c r="O122" s="127" t="s">
        <v>1109</v>
      </c>
      <c r="P122" s="127" t="s">
        <v>1109</v>
      </c>
      <c r="Q122" s="128" t="s">
        <v>2692</v>
      </c>
      <c r="R122" s="128" t="s">
        <v>2693</v>
      </c>
      <c r="S122" s="128" t="s">
        <v>2693</v>
      </c>
      <c r="T122">
        <f t="shared" si="3"/>
        <v>7</v>
      </c>
      <c r="U122">
        <f t="shared" si="4"/>
        <v>6</v>
      </c>
      <c r="V122">
        <f t="shared" si="5"/>
        <v>0</v>
      </c>
    </row>
    <row r="123" spans="1:22">
      <c r="A123" s="126" t="s">
        <v>2498</v>
      </c>
      <c r="B123" s="128" t="s">
        <v>2691</v>
      </c>
      <c r="C123" s="127" t="s">
        <v>1109</v>
      </c>
      <c r="D123" s="127" t="s">
        <v>1109</v>
      </c>
      <c r="E123" s="127" t="s">
        <v>1109</v>
      </c>
      <c r="F123" s="127" t="s">
        <v>1109</v>
      </c>
      <c r="G123" s="127" t="s">
        <v>1109</v>
      </c>
      <c r="H123" s="128" t="s">
        <v>2691</v>
      </c>
      <c r="I123" s="128" t="s">
        <v>2692</v>
      </c>
      <c r="J123" s="127" t="s">
        <v>1109</v>
      </c>
      <c r="K123" s="128" t="s">
        <v>2693</v>
      </c>
      <c r="L123" s="128" t="s">
        <v>2693</v>
      </c>
      <c r="M123" s="128" t="s">
        <v>2692</v>
      </c>
      <c r="N123" s="128" t="s">
        <v>2692</v>
      </c>
      <c r="O123" s="128" t="s">
        <v>2693</v>
      </c>
      <c r="P123" s="127" t="s">
        <v>1109</v>
      </c>
      <c r="Q123" s="127" t="s">
        <v>1109</v>
      </c>
      <c r="R123" s="127" t="s">
        <v>1109</v>
      </c>
      <c r="S123" s="128" t="s">
        <v>2693</v>
      </c>
      <c r="T123">
        <f t="shared" si="3"/>
        <v>4</v>
      </c>
      <c r="U123">
        <f t="shared" si="4"/>
        <v>3</v>
      </c>
      <c r="V123">
        <f t="shared" si="5"/>
        <v>2</v>
      </c>
    </row>
    <row r="124" spans="1:22">
      <c r="A124" s="126" t="s">
        <v>2499</v>
      </c>
      <c r="B124" s="127" t="s">
        <v>1109</v>
      </c>
      <c r="C124" s="128" t="s">
        <v>2692</v>
      </c>
      <c r="D124" s="128" t="s">
        <v>2692</v>
      </c>
      <c r="E124" s="128" t="s">
        <v>2692</v>
      </c>
      <c r="F124" s="128" t="s">
        <v>2692</v>
      </c>
      <c r="G124" s="128" t="s">
        <v>2693</v>
      </c>
      <c r="H124" s="127" t="s">
        <v>1109</v>
      </c>
      <c r="I124" s="127" t="s">
        <v>1109</v>
      </c>
      <c r="J124" s="127" t="s">
        <v>1109</v>
      </c>
      <c r="K124" s="128" t="s">
        <v>2693</v>
      </c>
      <c r="L124" s="128" t="s">
        <v>2693</v>
      </c>
      <c r="M124" s="128" t="s">
        <v>2692</v>
      </c>
      <c r="N124" s="128" t="s">
        <v>2692</v>
      </c>
      <c r="O124" s="127" t="s">
        <v>1109</v>
      </c>
      <c r="P124" s="128" t="s">
        <v>2693</v>
      </c>
      <c r="Q124" s="128" t="s">
        <v>2692</v>
      </c>
      <c r="R124" s="127" t="s">
        <v>1109</v>
      </c>
      <c r="S124" s="128" t="s">
        <v>2693</v>
      </c>
      <c r="T124">
        <f t="shared" si="3"/>
        <v>5</v>
      </c>
      <c r="U124">
        <f t="shared" si="4"/>
        <v>7</v>
      </c>
      <c r="V124">
        <f t="shared" si="5"/>
        <v>0</v>
      </c>
    </row>
    <row r="125" spans="1:22">
      <c r="A125" s="126" t="s">
        <v>2500</v>
      </c>
      <c r="B125" s="127" t="s">
        <v>1109</v>
      </c>
      <c r="C125" s="127" t="s">
        <v>1109</v>
      </c>
      <c r="D125" s="127" t="s">
        <v>1109</v>
      </c>
      <c r="E125" s="127" t="s">
        <v>1109</v>
      </c>
      <c r="F125" s="127" t="s">
        <v>1109</v>
      </c>
      <c r="G125" s="127" t="s">
        <v>1109</v>
      </c>
      <c r="H125" s="128" t="s">
        <v>2693</v>
      </c>
      <c r="I125" s="127" t="s">
        <v>1109</v>
      </c>
      <c r="J125" s="127" t="s">
        <v>1109</v>
      </c>
      <c r="K125" s="128" t="s">
        <v>2693</v>
      </c>
      <c r="L125" s="128" t="s">
        <v>2691</v>
      </c>
      <c r="M125" s="127" t="s">
        <v>1109</v>
      </c>
      <c r="N125" s="128" t="s">
        <v>2692</v>
      </c>
      <c r="O125" s="128" t="s">
        <v>2692</v>
      </c>
      <c r="P125" s="127" t="s">
        <v>1109</v>
      </c>
      <c r="Q125" s="128" t="s">
        <v>2692</v>
      </c>
      <c r="R125" s="127" t="s">
        <v>1109</v>
      </c>
      <c r="S125" s="128" t="s">
        <v>2693</v>
      </c>
      <c r="T125">
        <f t="shared" si="3"/>
        <v>3</v>
      </c>
      <c r="U125">
        <f t="shared" si="4"/>
        <v>3</v>
      </c>
      <c r="V125">
        <f t="shared" si="5"/>
        <v>1</v>
      </c>
    </row>
    <row r="126" spans="1:22">
      <c r="A126" s="126" t="s">
        <v>2501</v>
      </c>
      <c r="B126" s="128" t="s">
        <v>2692</v>
      </c>
      <c r="C126" s="128" t="s">
        <v>2693</v>
      </c>
      <c r="D126" s="127" t="s">
        <v>1109</v>
      </c>
      <c r="E126" s="127" t="s">
        <v>1109</v>
      </c>
      <c r="F126" s="128" t="s">
        <v>2692</v>
      </c>
      <c r="G126" s="128" t="s">
        <v>2692</v>
      </c>
      <c r="H126" s="128" t="s">
        <v>2693</v>
      </c>
      <c r="I126" s="128" t="s">
        <v>2691</v>
      </c>
      <c r="J126" s="128" t="s">
        <v>2693</v>
      </c>
      <c r="K126" s="127" t="s">
        <v>1109</v>
      </c>
      <c r="L126" s="127" t="s">
        <v>1109</v>
      </c>
      <c r="M126" s="128" t="s">
        <v>2692</v>
      </c>
      <c r="N126" s="128" t="s">
        <v>2692</v>
      </c>
      <c r="O126" s="127" t="s">
        <v>1109</v>
      </c>
      <c r="P126" s="128" t="s">
        <v>2692</v>
      </c>
      <c r="Q126" s="128" t="s">
        <v>2692</v>
      </c>
      <c r="R126" s="128" t="s">
        <v>2692</v>
      </c>
      <c r="S126" s="127" t="s">
        <v>1109</v>
      </c>
      <c r="T126">
        <f t="shared" si="3"/>
        <v>3</v>
      </c>
      <c r="U126">
        <f t="shared" si="4"/>
        <v>8</v>
      </c>
      <c r="V126">
        <f t="shared" si="5"/>
        <v>1</v>
      </c>
    </row>
    <row r="127" spans="1:22">
      <c r="A127" s="126" t="s">
        <v>2502</v>
      </c>
      <c r="B127" s="127" t="s">
        <v>1109</v>
      </c>
      <c r="C127" s="127" t="s">
        <v>1109</v>
      </c>
      <c r="D127" s="127" t="s">
        <v>1109</v>
      </c>
      <c r="E127" s="127" t="s">
        <v>1109</v>
      </c>
      <c r="F127" s="127" t="s">
        <v>1109</v>
      </c>
      <c r="G127" s="127" t="s">
        <v>1109</v>
      </c>
      <c r="H127" s="128" t="s">
        <v>2692</v>
      </c>
      <c r="I127" s="128" t="s">
        <v>2693</v>
      </c>
      <c r="J127" s="127" t="s">
        <v>1109</v>
      </c>
      <c r="K127" s="128" t="s">
        <v>2693</v>
      </c>
      <c r="L127" s="128" t="s">
        <v>2693</v>
      </c>
      <c r="M127" s="128" t="s">
        <v>2692</v>
      </c>
      <c r="N127" s="128" t="s">
        <v>2692</v>
      </c>
      <c r="O127" s="127" t="s">
        <v>1109</v>
      </c>
      <c r="P127" s="128" t="s">
        <v>2691</v>
      </c>
      <c r="Q127" s="128" t="s">
        <v>2692</v>
      </c>
      <c r="R127" s="128" t="s">
        <v>2693</v>
      </c>
      <c r="S127" s="128" t="s">
        <v>2693</v>
      </c>
      <c r="T127">
        <f t="shared" si="3"/>
        <v>5</v>
      </c>
      <c r="U127">
        <f t="shared" si="4"/>
        <v>4</v>
      </c>
      <c r="V127">
        <f t="shared" si="5"/>
        <v>1</v>
      </c>
    </row>
    <row r="128" spans="1:22">
      <c r="A128" s="126" t="s">
        <v>2374</v>
      </c>
      <c r="B128" s="127" t="s">
        <v>1109</v>
      </c>
      <c r="C128" s="127" t="s">
        <v>1109</v>
      </c>
      <c r="D128" s="127" t="s">
        <v>1109</v>
      </c>
      <c r="E128" s="127" t="s">
        <v>1109</v>
      </c>
      <c r="F128" s="128" t="s">
        <v>2692</v>
      </c>
      <c r="G128" s="127" t="s">
        <v>1109</v>
      </c>
      <c r="H128" s="128" t="s">
        <v>2692</v>
      </c>
      <c r="I128" s="128" t="s">
        <v>2692</v>
      </c>
      <c r="J128" s="128" t="s">
        <v>2693</v>
      </c>
      <c r="K128" s="127" t="s">
        <v>1109</v>
      </c>
      <c r="L128" s="128" t="s">
        <v>2693</v>
      </c>
      <c r="M128" s="128" t="s">
        <v>2692</v>
      </c>
      <c r="N128" s="127" t="s">
        <v>1109</v>
      </c>
      <c r="O128" s="127" t="s">
        <v>1109</v>
      </c>
      <c r="P128" s="127" t="s">
        <v>1109</v>
      </c>
      <c r="Q128" s="127" t="s">
        <v>1109</v>
      </c>
      <c r="R128" s="127" t="s">
        <v>1109</v>
      </c>
      <c r="S128" s="128" t="s">
        <v>2692</v>
      </c>
      <c r="T128">
        <f t="shared" si="3"/>
        <v>2</v>
      </c>
      <c r="U128">
        <f t="shared" si="4"/>
        <v>5</v>
      </c>
      <c r="V128">
        <f t="shared" si="5"/>
        <v>0</v>
      </c>
    </row>
    <row r="129" spans="1:22">
      <c r="A129" s="126" t="s">
        <v>2503</v>
      </c>
      <c r="B129" s="127" t="s">
        <v>1109</v>
      </c>
      <c r="C129" s="127" t="s">
        <v>1109</v>
      </c>
      <c r="D129" s="127" t="s">
        <v>1109</v>
      </c>
      <c r="E129" s="127" t="s">
        <v>1109</v>
      </c>
      <c r="F129" s="128" t="s">
        <v>2692</v>
      </c>
      <c r="G129" s="127" t="s">
        <v>1109</v>
      </c>
      <c r="H129" s="127" t="s">
        <v>1109</v>
      </c>
      <c r="I129" s="128" t="s">
        <v>2692</v>
      </c>
      <c r="J129" s="128" t="s">
        <v>2693</v>
      </c>
      <c r="K129" s="127" t="s">
        <v>1109</v>
      </c>
      <c r="L129" s="128" t="s">
        <v>2693</v>
      </c>
      <c r="M129" s="128" t="s">
        <v>2692</v>
      </c>
      <c r="N129" s="127" t="s">
        <v>1109</v>
      </c>
      <c r="O129" s="128" t="s">
        <v>2691</v>
      </c>
      <c r="P129" s="127" t="s">
        <v>1109</v>
      </c>
      <c r="Q129" s="127" t="s">
        <v>1109</v>
      </c>
      <c r="R129" s="127" t="s">
        <v>1109</v>
      </c>
      <c r="S129" s="128" t="s">
        <v>2692</v>
      </c>
      <c r="T129">
        <f t="shared" si="3"/>
        <v>2</v>
      </c>
      <c r="U129">
        <f t="shared" si="4"/>
        <v>4</v>
      </c>
      <c r="V129">
        <f t="shared" si="5"/>
        <v>1</v>
      </c>
    </row>
    <row r="130" spans="1:22">
      <c r="A130" s="126" t="s">
        <v>2504</v>
      </c>
      <c r="B130" s="127" t="s">
        <v>1109</v>
      </c>
      <c r="C130" s="128" t="s">
        <v>2692</v>
      </c>
      <c r="D130" s="128" t="s">
        <v>2693</v>
      </c>
      <c r="E130" s="127" t="s">
        <v>1109</v>
      </c>
      <c r="F130" s="128" t="s">
        <v>2692</v>
      </c>
      <c r="G130" s="128" t="s">
        <v>2692</v>
      </c>
      <c r="H130" s="128" t="s">
        <v>2692</v>
      </c>
      <c r="I130" s="128" t="s">
        <v>2692</v>
      </c>
      <c r="J130" s="128" t="s">
        <v>2693</v>
      </c>
      <c r="K130" s="127" t="s">
        <v>1109</v>
      </c>
      <c r="L130" s="128" t="s">
        <v>2693</v>
      </c>
      <c r="M130" s="128" t="s">
        <v>2692</v>
      </c>
      <c r="N130" s="128" t="s">
        <v>2693</v>
      </c>
      <c r="O130" s="127" t="s">
        <v>1109</v>
      </c>
      <c r="P130" s="127" t="s">
        <v>1109</v>
      </c>
      <c r="Q130" s="127" t="s">
        <v>1109</v>
      </c>
      <c r="R130" s="128" t="s">
        <v>2692</v>
      </c>
      <c r="S130" s="128" t="s">
        <v>2692</v>
      </c>
      <c r="T130">
        <f t="shared" si="3"/>
        <v>4</v>
      </c>
      <c r="U130">
        <f t="shared" si="4"/>
        <v>8</v>
      </c>
      <c r="V130">
        <f t="shared" si="5"/>
        <v>0</v>
      </c>
    </row>
    <row r="131" spans="1:22">
      <c r="A131" s="126" t="s">
        <v>2505</v>
      </c>
      <c r="B131" s="127" t="s">
        <v>1109</v>
      </c>
      <c r="C131" s="128" t="s">
        <v>2692</v>
      </c>
      <c r="D131" s="128" t="s">
        <v>2692</v>
      </c>
      <c r="E131" s="128" t="s">
        <v>2693</v>
      </c>
      <c r="F131" s="127" t="s">
        <v>1109</v>
      </c>
      <c r="G131" s="128" t="s">
        <v>2692</v>
      </c>
      <c r="H131" s="128" t="s">
        <v>2692</v>
      </c>
      <c r="I131" s="128" t="s">
        <v>2692</v>
      </c>
      <c r="J131" s="128" t="s">
        <v>2693</v>
      </c>
      <c r="K131" s="127" t="s">
        <v>1109</v>
      </c>
      <c r="L131" s="128" t="s">
        <v>2693</v>
      </c>
      <c r="M131" s="128" t="s">
        <v>2692</v>
      </c>
      <c r="N131" s="127" t="s">
        <v>1109</v>
      </c>
      <c r="O131" s="127" t="s">
        <v>1109</v>
      </c>
      <c r="P131" s="127" t="s">
        <v>1109</v>
      </c>
      <c r="Q131" s="127" t="s">
        <v>1109</v>
      </c>
      <c r="R131" s="128" t="s">
        <v>2692</v>
      </c>
      <c r="S131" s="128" t="s">
        <v>2692</v>
      </c>
      <c r="T131">
        <f t="shared" ref="T131:T194" si="6">COUNTIF($B131:$S131,"W")</f>
        <v>3</v>
      </c>
      <c r="U131">
        <f t="shared" ref="U131:U194" si="7">COUNTIF($B131:$S131,"R")</f>
        <v>8</v>
      </c>
      <c r="V131">
        <f t="shared" ref="V131:V194" si="8">COUNTIF($B131:$S131,"I")</f>
        <v>0</v>
      </c>
    </row>
    <row r="132" spans="1:22">
      <c r="A132" s="126" t="s">
        <v>2506</v>
      </c>
      <c r="B132" s="127" t="s">
        <v>1109</v>
      </c>
      <c r="C132" s="127" t="s">
        <v>1109</v>
      </c>
      <c r="D132" s="127" t="s">
        <v>1109</v>
      </c>
      <c r="E132" s="128" t="s">
        <v>2692</v>
      </c>
      <c r="F132" s="128" t="s">
        <v>2692</v>
      </c>
      <c r="G132" s="127" t="s">
        <v>1109</v>
      </c>
      <c r="H132" s="128" t="s">
        <v>2692</v>
      </c>
      <c r="I132" s="128" t="s">
        <v>2692</v>
      </c>
      <c r="J132" s="128" t="s">
        <v>2693</v>
      </c>
      <c r="K132" s="128" t="s">
        <v>2692</v>
      </c>
      <c r="L132" s="128" t="s">
        <v>2693</v>
      </c>
      <c r="M132" s="128" t="s">
        <v>2692</v>
      </c>
      <c r="N132" s="127" t="s">
        <v>1109</v>
      </c>
      <c r="O132" s="127" t="s">
        <v>1109</v>
      </c>
      <c r="P132" s="127" t="s">
        <v>1109</v>
      </c>
      <c r="Q132" s="127" t="s">
        <v>1109</v>
      </c>
      <c r="R132" s="128" t="s">
        <v>2692</v>
      </c>
      <c r="S132" s="128" t="s">
        <v>2692</v>
      </c>
      <c r="T132">
        <f t="shared" si="6"/>
        <v>2</v>
      </c>
      <c r="U132">
        <f t="shared" si="7"/>
        <v>8</v>
      </c>
      <c r="V132">
        <f t="shared" si="8"/>
        <v>0</v>
      </c>
    </row>
    <row r="133" spans="1:22">
      <c r="A133" s="126" t="s">
        <v>2507</v>
      </c>
      <c r="B133" s="127" t="s">
        <v>1109</v>
      </c>
      <c r="C133" s="128" t="s">
        <v>2693</v>
      </c>
      <c r="D133" s="128" t="s">
        <v>2692</v>
      </c>
      <c r="E133" s="128" t="s">
        <v>2692</v>
      </c>
      <c r="F133" s="128" t="s">
        <v>2692</v>
      </c>
      <c r="G133" s="128" t="s">
        <v>2693</v>
      </c>
      <c r="H133" s="128" t="s">
        <v>2692</v>
      </c>
      <c r="I133" s="127" t="s">
        <v>1109</v>
      </c>
      <c r="J133" s="127" t="s">
        <v>1109</v>
      </c>
      <c r="K133" s="128" t="s">
        <v>2693</v>
      </c>
      <c r="L133" s="128" t="s">
        <v>2693</v>
      </c>
      <c r="M133" s="127" t="s">
        <v>1109</v>
      </c>
      <c r="N133" s="127" t="s">
        <v>1109</v>
      </c>
      <c r="O133" s="127" t="s">
        <v>1109</v>
      </c>
      <c r="P133" s="127" t="s">
        <v>1109</v>
      </c>
      <c r="Q133" s="127" t="s">
        <v>1109</v>
      </c>
      <c r="R133" s="127" t="s">
        <v>1109</v>
      </c>
      <c r="S133" s="128" t="s">
        <v>2692</v>
      </c>
      <c r="T133">
        <f t="shared" si="6"/>
        <v>4</v>
      </c>
      <c r="U133">
        <f t="shared" si="7"/>
        <v>5</v>
      </c>
      <c r="V133">
        <f t="shared" si="8"/>
        <v>0</v>
      </c>
    </row>
    <row r="134" spans="1:22">
      <c r="A134" s="126" t="s">
        <v>2508</v>
      </c>
      <c r="B134" s="127" t="s">
        <v>1109</v>
      </c>
      <c r="C134" s="128" t="s">
        <v>2693</v>
      </c>
      <c r="D134" s="127" t="s">
        <v>1109</v>
      </c>
      <c r="E134" s="127" t="s">
        <v>1109</v>
      </c>
      <c r="F134" s="128" t="s">
        <v>2692</v>
      </c>
      <c r="G134" s="128" t="s">
        <v>2692</v>
      </c>
      <c r="H134" s="127" t="s">
        <v>1109</v>
      </c>
      <c r="I134" s="128" t="s">
        <v>2692</v>
      </c>
      <c r="J134" s="128" t="s">
        <v>2693</v>
      </c>
      <c r="K134" s="127" t="s">
        <v>1109</v>
      </c>
      <c r="L134" s="128" t="s">
        <v>2693</v>
      </c>
      <c r="M134" s="128" t="s">
        <v>2692</v>
      </c>
      <c r="N134" s="128" t="s">
        <v>2693</v>
      </c>
      <c r="O134" s="127" t="s">
        <v>1109</v>
      </c>
      <c r="P134" s="127" t="s">
        <v>1109</v>
      </c>
      <c r="Q134" s="127" t="s">
        <v>1109</v>
      </c>
      <c r="R134" s="128" t="s">
        <v>2693</v>
      </c>
      <c r="S134" s="128" t="s">
        <v>2692</v>
      </c>
      <c r="T134">
        <f t="shared" si="6"/>
        <v>5</v>
      </c>
      <c r="U134">
        <f t="shared" si="7"/>
        <v>5</v>
      </c>
      <c r="V134">
        <f t="shared" si="8"/>
        <v>0</v>
      </c>
    </row>
    <row r="135" spans="1:22">
      <c r="A135" s="126" t="s">
        <v>2509</v>
      </c>
      <c r="B135" s="127" t="s">
        <v>1109</v>
      </c>
      <c r="C135" s="127" t="s">
        <v>1109</v>
      </c>
      <c r="D135" s="127" t="s">
        <v>1109</v>
      </c>
      <c r="E135" s="127" t="s">
        <v>1109</v>
      </c>
      <c r="F135" s="128" t="s">
        <v>2692</v>
      </c>
      <c r="G135" s="127" t="s">
        <v>1109</v>
      </c>
      <c r="H135" s="128" t="s">
        <v>2692</v>
      </c>
      <c r="I135" s="128" t="s">
        <v>2692</v>
      </c>
      <c r="J135" s="128" t="s">
        <v>2693</v>
      </c>
      <c r="K135" s="128" t="s">
        <v>2693</v>
      </c>
      <c r="L135" s="128" t="s">
        <v>2693</v>
      </c>
      <c r="M135" s="128" t="s">
        <v>2692</v>
      </c>
      <c r="N135" s="128" t="s">
        <v>2692</v>
      </c>
      <c r="O135" s="127" t="s">
        <v>1109</v>
      </c>
      <c r="P135" s="127" t="s">
        <v>1109</v>
      </c>
      <c r="Q135" s="128" t="s">
        <v>2692</v>
      </c>
      <c r="R135" s="127" t="s">
        <v>1109</v>
      </c>
      <c r="S135" s="127" t="s">
        <v>1109</v>
      </c>
      <c r="T135">
        <f t="shared" si="6"/>
        <v>3</v>
      </c>
      <c r="U135">
        <f t="shared" si="7"/>
        <v>6</v>
      </c>
      <c r="V135">
        <f t="shared" si="8"/>
        <v>0</v>
      </c>
    </row>
    <row r="136" spans="1:22">
      <c r="A136" s="126" t="s">
        <v>2510</v>
      </c>
      <c r="B136" s="127" t="s">
        <v>1109</v>
      </c>
      <c r="C136" s="127" t="s">
        <v>1109</v>
      </c>
      <c r="D136" s="128" t="s">
        <v>2693</v>
      </c>
      <c r="E136" s="128" t="s">
        <v>2691</v>
      </c>
      <c r="F136" s="127" t="s">
        <v>1109</v>
      </c>
      <c r="G136" s="128" t="s">
        <v>2693</v>
      </c>
      <c r="H136" s="128" t="s">
        <v>2692</v>
      </c>
      <c r="I136" s="128" t="s">
        <v>2692</v>
      </c>
      <c r="J136" s="128" t="s">
        <v>2693</v>
      </c>
      <c r="K136" s="127" t="s">
        <v>1109</v>
      </c>
      <c r="L136" s="128" t="s">
        <v>2693</v>
      </c>
      <c r="M136" s="128" t="s">
        <v>2692</v>
      </c>
      <c r="N136" s="128" t="s">
        <v>2692</v>
      </c>
      <c r="O136" s="127" t="s">
        <v>1109</v>
      </c>
      <c r="P136" s="127" t="s">
        <v>1109</v>
      </c>
      <c r="Q136" s="127" t="s">
        <v>1109</v>
      </c>
      <c r="R136" s="127" t="s">
        <v>1109</v>
      </c>
      <c r="S136" s="128" t="s">
        <v>2692</v>
      </c>
      <c r="T136">
        <f t="shared" si="6"/>
        <v>4</v>
      </c>
      <c r="U136">
        <f t="shared" si="7"/>
        <v>5</v>
      </c>
      <c r="V136">
        <f t="shared" si="8"/>
        <v>1</v>
      </c>
    </row>
    <row r="137" spans="1:22">
      <c r="A137" s="126" t="s">
        <v>2511</v>
      </c>
      <c r="B137" s="127" t="s">
        <v>1109</v>
      </c>
      <c r="C137" s="127" t="s">
        <v>1109</v>
      </c>
      <c r="D137" s="127" t="s">
        <v>1109</v>
      </c>
      <c r="E137" s="128" t="s">
        <v>2693</v>
      </c>
      <c r="F137" s="128" t="s">
        <v>2692</v>
      </c>
      <c r="G137" s="128" t="s">
        <v>2693</v>
      </c>
      <c r="H137" s="128" t="s">
        <v>2692</v>
      </c>
      <c r="I137" s="128" t="s">
        <v>2692</v>
      </c>
      <c r="J137" s="128" t="s">
        <v>2691</v>
      </c>
      <c r="K137" s="127" t="s">
        <v>1109</v>
      </c>
      <c r="L137" s="128" t="s">
        <v>2693</v>
      </c>
      <c r="M137" s="128" t="s">
        <v>2692</v>
      </c>
      <c r="N137" s="128" t="s">
        <v>2693</v>
      </c>
      <c r="O137" s="127" t="s">
        <v>1109</v>
      </c>
      <c r="P137" s="127" t="s">
        <v>1109</v>
      </c>
      <c r="Q137" s="127" t="s">
        <v>1109</v>
      </c>
      <c r="R137" s="127" t="s">
        <v>1109</v>
      </c>
      <c r="S137" s="128" t="s">
        <v>2692</v>
      </c>
      <c r="T137">
        <f t="shared" si="6"/>
        <v>4</v>
      </c>
      <c r="U137">
        <f t="shared" si="7"/>
        <v>5</v>
      </c>
      <c r="V137">
        <f t="shared" si="8"/>
        <v>1</v>
      </c>
    </row>
    <row r="138" spans="1:22">
      <c r="A138" s="126" t="s">
        <v>2512</v>
      </c>
      <c r="B138" s="127" t="s">
        <v>1109</v>
      </c>
      <c r="C138" s="127" t="s">
        <v>1109</v>
      </c>
      <c r="D138" s="127" t="s">
        <v>1109</v>
      </c>
      <c r="E138" s="127" t="s">
        <v>1109</v>
      </c>
      <c r="F138" s="128" t="s">
        <v>2692</v>
      </c>
      <c r="G138" s="127" t="s">
        <v>1109</v>
      </c>
      <c r="H138" s="128" t="s">
        <v>2692</v>
      </c>
      <c r="I138" s="128" t="s">
        <v>2692</v>
      </c>
      <c r="J138" s="128" t="s">
        <v>2693</v>
      </c>
      <c r="K138" s="127" t="s">
        <v>1109</v>
      </c>
      <c r="L138" s="127" t="s">
        <v>1109</v>
      </c>
      <c r="M138" s="127" t="s">
        <v>1109</v>
      </c>
      <c r="N138" s="127" t="s">
        <v>1109</v>
      </c>
      <c r="O138" s="128" t="s">
        <v>2693</v>
      </c>
      <c r="P138" s="127" t="s">
        <v>1109</v>
      </c>
      <c r="Q138" s="128" t="s">
        <v>2693</v>
      </c>
      <c r="R138" s="127" t="s">
        <v>1109</v>
      </c>
      <c r="S138" s="128" t="s">
        <v>2692</v>
      </c>
      <c r="T138">
        <f t="shared" si="6"/>
        <v>3</v>
      </c>
      <c r="U138">
        <f t="shared" si="7"/>
        <v>4</v>
      </c>
      <c r="V138">
        <f t="shared" si="8"/>
        <v>0</v>
      </c>
    </row>
    <row r="139" spans="1:22">
      <c r="A139" s="126" t="s">
        <v>2513</v>
      </c>
      <c r="B139" s="127" t="s">
        <v>1109</v>
      </c>
      <c r="C139" s="128" t="s">
        <v>2693</v>
      </c>
      <c r="D139" s="127" t="s">
        <v>1109</v>
      </c>
      <c r="E139" s="127" t="s">
        <v>1109</v>
      </c>
      <c r="F139" s="128" t="s">
        <v>2692</v>
      </c>
      <c r="G139" s="127" t="s">
        <v>1109</v>
      </c>
      <c r="H139" s="128" t="s">
        <v>2692</v>
      </c>
      <c r="I139" s="128" t="s">
        <v>2692</v>
      </c>
      <c r="J139" s="127" t="s">
        <v>1109</v>
      </c>
      <c r="K139" s="128" t="s">
        <v>2693</v>
      </c>
      <c r="L139" s="128" t="s">
        <v>2693</v>
      </c>
      <c r="M139" s="128" t="s">
        <v>2692</v>
      </c>
      <c r="N139" s="128" t="s">
        <v>2693</v>
      </c>
      <c r="O139" s="127" t="s">
        <v>1109</v>
      </c>
      <c r="P139" s="127" t="s">
        <v>1109</v>
      </c>
      <c r="Q139" s="127" t="s">
        <v>1109</v>
      </c>
      <c r="R139" s="127" t="s">
        <v>1109</v>
      </c>
      <c r="S139" s="128" t="s">
        <v>2692</v>
      </c>
      <c r="T139">
        <f t="shared" si="6"/>
        <v>4</v>
      </c>
      <c r="U139">
        <f t="shared" si="7"/>
        <v>5</v>
      </c>
      <c r="V139">
        <f t="shared" si="8"/>
        <v>0</v>
      </c>
    </row>
    <row r="140" spans="1:22">
      <c r="A140" s="126" t="s">
        <v>2514</v>
      </c>
      <c r="B140" s="128" t="s">
        <v>2692</v>
      </c>
      <c r="C140" s="128" t="s">
        <v>2692</v>
      </c>
      <c r="D140" s="128" t="s">
        <v>2693</v>
      </c>
      <c r="E140" s="127" t="s">
        <v>1109</v>
      </c>
      <c r="F140" s="127" t="s">
        <v>1109</v>
      </c>
      <c r="G140" s="127" t="s">
        <v>1109</v>
      </c>
      <c r="H140" s="127" t="s">
        <v>1109</v>
      </c>
      <c r="I140" s="128" t="s">
        <v>2692</v>
      </c>
      <c r="J140" s="128" t="s">
        <v>2693</v>
      </c>
      <c r="K140" s="128" t="s">
        <v>2692</v>
      </c>
      <c r="L140" s="128" t="s">
        <v>2693</v>
      </c>
      <c r="M140" s="128" t="s">
        <v>2692</v>
      </c>
      <c r="N140" s="127" t="s">
        <v>1109</v>
      </c>
      <c r="O140" s="127" t="s">
        <v>1109</v>
      </c>
      <c r="P140" s="127" t="s">
        <v>1109</v>
      </c>
      <c r="Q140" s="127" t="s">
        <v>1109</v>
      </c>
      <c r="R140" s="128" t="s">
        <v>2693</v>
      </c>
      <c r="S140" s="128" t="s">
        <v>2692</v>
      </c>
      <c r="T140">
        <f t="shared" si="6"/>
        <v>4</v>
      </c>
      <c r="U140">
        <f t="shared" si="7"/>
        <v>6</v>
      </c>
      <c r="V140">
        <f t="shared" si="8"/>
        <v>0</v>
      </c>
    </row>
    <row r="141" spans="1:22">
      <c r="A141" s="126" t="s">
        <v>2515</v>
      </c>
      <c r="B141" s="128" t="s">
        <v>2691</v>
      </c>
      <c r="C141" s="127" t="s">
        <v>1109</v>
      </c>
      <c r="D141" s="127" t="s">
        <v>1109</v>
      </c>
      <c r="E141" s="127" t="s">
        <v>1109</v>
      </c>
      <c r="F141" s="128" t="s">
        <v>2692</v>
      </c>
      <c r="G141" s="127" t="s">
        <v>1109</v>
      </c>
      <c r="H141" s="128" t="s">
        <v>2691</v>
      </c>
      <c r="I141" s="128" t="s">
        <v>2692</v>
      </c>
      <c r="J141" s="128" t="s">
        <v>2693</v>
      </c>
      <c r="K141" s="127" t="s">
        <v>1109</v>
      </c>
      <c r="L141" s="128" t="s">
        <v>2693</v>
      </c>
      <c r="M141" s="128" t="s">
        <v>2692</v>
      </c>
      <c r="N141" s="127" t="s">
        <v>1109</v>
      </c>
      <c r="O141" s="128" t="s">
        <v>2693</v>
      </c>
      <c r="P141" s="127" t="s">
        <v>1109</v>
      </c>
      <c r="Q141" s="128" t="s">
        <v>2693</v>
      </c>
      <c r="R141" s="127" t="s">
        <v>1109</v>
      </c>
      <c r="S141" s="128" t="s">
        <v>2692</v>
      </c>
      <c r="T141">
        <f t="shared" si="6"/>
        <v>4</v>
      </c>
      <c r="U141">
        <f t="shared" si="7"/>
        <v>4</v>
      </c>
      <c r="V141">
        <f t="shared" si="8"/>
        <v>2</v>
      </c>
    </row>
    <row r="142" spans="1:22">
      <c r="A142" s="126" t="s">
        <v>2516</v>
      </c>
      <c r="B142" s="127" t="s">
        <v>1109</v>
      </c>
      <c r="C142" s="128" t="s">
        <v>2692</v>
      </c>
      <c r="D142" s="128" t="s">
        <v>2692</v>
      </c>
      <c r="E142" s="128" t="s">
        <v>2692</v>
      </c>
      <c r="F142" s="128" t="s">
        <v>2692</v>
      </c>
      <c r="G142" s="128" t="s">
        <v>2693</v>
      </c>
      <c r="H142" s="128" t="s">
        <v>2692</v>
      </c>
      <c r="I142" s="128" t="s">
        <v>2692</v>
      </c>
      <c r="J142" s="128" t="s">
        <v>2693</v>
      </c>
      <c r="K142" s="127" t="s">
        <v>1109</v>
      </c>
      <c r="L142" s="128" t="s">
        <v>2693</v>
      </c>
      <c r="M142" s="128" t="s">
        <v>2692</v>
      </c>
      <c r="N142" s="127" t="s">
        <v>1109</v>
      </c>
      <c r="O142" s="127" t="s">
        <v>1109</v>
      </c>
      <c r="P142" s="128" t="s">
        <v>2693</v>
      </c>
      <c r="Q142" s="127" t="s">
        <v>1109</v>
      </c>
      <c r="R142" s="127" t="s">
        <v>1109</v>
      </c>
      <c r="S142" s="127" t="s">
        <v>1109</v>
      </c>
      <c r="T142">
        <f t="shared" si="6"/>
        <v>4</v>
      </c>
      <c r="U142">
        <f t="shared" si="7"/>
        <v>7</v>
      </c>
      <c r="V142">
        <f t="shared" si="8"/>
        <v>0</v>
      </c>
    </row>
    <row r="143" spans="1:22">
      <c r="A143" s="126" t="s">
        <v>2517</v>
      </c>
      <c r="B143" s="127" t="s">
        <v>1109</v>
      </c>
      <c r="C143" s="127" t="s">
        <v>1109</v>
      </c>
      <c r="D143" s="127" t="s">
        <v>1109</v>
      </c>
      <c r="E143" s="127" t="s">
        <v>1109</v>
      </c>
      <c r="F143" s="128" t="s">
        <v>2692</v>
      </c>
      <c r="G143" s="127" t="s">
        <v>1109</v>
      </c>
      <c r="H143" s="127" t="s">
        <v>1109</v>
      </c>
      <c r="I143" s="128" t="s">
        <v>2692</v>
      </c>
      <c r="J143" s="128" t="s">
        <v>2693</v>
      </c>
      <c r="K143" s="127" t="s">
        <v>1109</v>
      </c>
      <c r="L143" s="128" t="s">
        <v>2691</v>
      </c>
      <c r="M143" s="127" t="s">
        <v>1109</v>
      </c>
      <c r="N143" s="127" t="s">
        <v>1109</v>
      </c>
      <c r="O143" s="128" t="s">
        <v>2692</v>
      </c>
      <c r="P143" s="127" t="s">
        <v>1109</v>
      </c>
      <c r="Q143" s="128" t="s">
        <v>2692</v>
      </c>
      <c r="R143" s="127" t="s">
        <v>1109</v>
      </c>
      <c r="S143" s="127" t="s">
        <v>1109</v>
      </c>
      <c r="T143">
        <f t="shared" si="6"/>
        <v>1</v>
      </c>
      <c r="U143">
        <f t="shared" si="7"/>
        <v>4</v>
      </c>
      <c r="V143">
        <f t="shared" si="8"/>
        <v>1</v>
      </c>
    </row>
    <row r="144" spans="1:22">
      <c r="A144" s="126" t="s">
        <v>2518</v>
      </c>
      <c r="B144" s="128" t="s">
        <v>2692</v>
      </c>
      <c r="C144" s="128" t="s">
        <v>2693</v>
      </c>
      <c r="D144" s="127" t="s">
        <v>1109</v>
      </c>
      <c r="E144" s="127" t="s">
        <v>1109</v>
      </c>
      <c r="F144" s="128" t="s">
        <v>2692</v>
      </c>
      <c r="G144" s="128" t="s">
        <v>2692</v>
      </c>
      <c r="H144" s="127" t="s">
        <v>1109</v>
      </c>
      <c r="I144" s="128" t="s">
        <v>2691</v>
      </c>
      <c r="J144" s="128" t="s">
        <v>2693</v>
      </c>
      <c r="K144" s="128" t="s">
        <v>2692</v>
      </c>
      <c r="L144" s="127" t="s">
        <v>1109</v>
      </c>
      <c r="M144" s="128" t="s">
        <v>2692</v>
      </c>
      <c r="N144" s="128" t="s">
        <v>2692</v>
      </c>
      <c r="O144" s="127" t="s">
        <v>1109</v>
      </c>
      <c r="P144" s="128" t="s">
        <v>2692</v>
      </c>
      <c r="Q144" s="127" t="s">
        <v>1109</v>
      </c>
      <c r="R144" s="128" t="s">
        <v>2692</v>
      </c>
      <c r="S144" s="128" t="s">
        <v>2692</v>
      </c>
      <c r="T144">
        <f t="shared" si="6"/>
        <v>2</v>
      </c>
      <c r="U144">
        <f t="shared" si="7"/>
        <v>9</v>
      </c>
      <c r="V144">
        <f t="shared" si="8"/>
        <v>1</v>
      </c>
    </row>
    <row r="145" spans="1:22">
      <c r="A145" s="126" t="s">
        <v>2519</v>
      </c>
      <c r="B145" s="127" t="s">
        <v>1109</v>
      </c>
      <c r="C145" s="127" t="s">
        <v>1109</v>
      </c>
      <c r="D145" s="127" t="s">
        <v>1109</v>
      </c>
      <c r="E145" s="127" t="s">
        <v>1109</v>
      </c>
      <c r="F145" s="128" t="s">
        <v>2692</v>
      </c>
      <c r="G145" s="127" t="s">
        <v>1109</v>
      </c>
      <c r="H145" s="128" t="s">
        <v>2692</v>
      </c>
      <c r="I145" s="127" t="s">
        <v>1109</v>
      </c>
      <c r="J145" s="128" t="s">
        <v>2693</v>
      </c>
      <c r="K145" s="127" t="s">
        <v>1109</v>
      </c>
      <c r="L145" s="128" t="s">
        <v>2693</v>
      </c>
      <c r="M145" s="128" t="s">
        <v>2692</v>
      </c>
      <c r="N145" s="127" t="s">
        <v>1109</v>
      </c>
      <c r="O145" s="127" t="s">
        <v>1109</v>
      </c>
      <c r="P145" s="128" t="s">
        <v>2691</v>
      </c>
      <c r="Q145" s="128" t="s">
        <v>2692</v>
      </c>
      <c r="R145" s="128" t="s">
        <v>2693</v>
      </c>
      <c r="S145" s="128" t="s">
        <v>2692</v>
      </c>
      <c r="T145">
        <f t="shared" si="6"/>
        <v>3</v>
      </c>
      <c r="U145">
        <f t="shared" si="7"/>
        <v>5</v>
      </c>
      <c r="V145">
        <f t="shared" si="8"/>
        <v>1</v>
      </c>
    </row>
    <row r="146" spans="1:22">
      <c r="A146" s="126" t="s">
        <v>2375</v>
      </c>
      <c r="B146" s="127" t="s">
        <v>1109</v>
      </c>
      <c r="C146" s="127" t="s">
        <v>1109</v>
      </c>
      <c r="D146" s="128" t="s">
        <v>2693</v>
      </c>
      <c r="E146" s="128" t="s">
        <v>2691</v>
      </c>
      <c r="F146" s="128" t="s">
        <v>2693</v>
      </c>
      <c r="G146" s="128" t="s">
        <v>2693</v>
      </c>
      <c r="H146" s="127" t="s">
        <v>1109</v>
      </c>
      <c r="I146" s="128" t="s">
        <v>2692</v>
      </c>
      <c r="J146" s="127" t="s">
        <v>1109</v>
      </c>
      <c r="K146" s="127" t="s">
        <v>1109</v>
      </c>
      <c r="L146" s="127" t="s">
        <v>1109</v>
      </c>
      <c r="M146" s="127" t="s">
        <v>1109</v>
      </c>
      <c r="N146" s="128" t="s">
        <v>2692</v>
      </c>
      <c r="O146" s="127" t="s">
        <v>1109</v>
      </c>
      <c r="P146" s="127" t="s">
        <v>1109</v>
      </c>
      <c r="Q146" s="127" t="s">
        <v>1109</v>
      </c>
      <c r="R146" s="127" t="s">
        <v>1109</v>
      </c>
      <c r="S146" s="127" t="s">
        <v>1109</v>
      </c>
      <c r="T146">
        <f t="shared" si="6"/>
        <v>3</v>
      </c>
      <c r="U146">
        <f t="shared" si="7"/>
        <v>2</v>
      </c>
      <c r="V146">
        <f t="shared" si="8"/>
        <v>1</v>
      </c>
    </row>
    <row r="147" spans="1:22">
      <c r="A147" s="126" t="s">
        <v>2520</v>
      </c>
      <c r="B147" s="127" t="s">
        <v>1109</v>
      </c>
      <c r="C147" s="127" t="s">
        <v>1109</v>
      </c>
      <c r="D147" s="128" t="s">
        <v>2693</v>
      </c>
      <c r="E147" s="128" t="s">
        <v>2691</v>
      </c>
      <c r="F147" s="128" t="s">
        <v>2693</v>
      </c>
      <c r="G147" s="128" t="s">
        <v>2693</v>
      </c>
      <c r="H147" s="128" t="s">
        <v>2693</v>
      </c>
      <c r="I147" s="128" t="s">
        <v>2692</v>
      </c>
      <c r="J147" s="127" t="s">
        <v>1109</v>
      </c>
      <c r="K147" s="127" t="s">
        <v>1109</v>
      </c>
      <c r="L147" s="127" t="s">
        <v>1109</v>
      </c>
      <c r="M147" s="127" t="s">
        <v>1109</v>
      </c>
      <c r="N147" s="128" t="s">
        <v>2692</v>
      </c>
      <c r="O147" s="128" t="s">
        <v>2691</v>
      </c>
      <c r="P147" s="127" t="s">
        <v>1109</v>
      </c>
      <c r="Q147" s="127" t="s">
        <v>1109</v>
      </c>
      <c r="R147" s="127" t="s">
        <v>1109</v>
      </c>
      <c r="S147" s="127" t="s">
        <v>1109</v>
      </c>
      <c r="T147">
        <f t="shared" si="6"/>
        <v>4</v>
      </c>
      <c r="U147">
        <f t="shared" si="7"/>
        <v>2</v>
      </c>
      <c r="V147">
        <f t="shared" si="8"/>
        <v>2</v>
      </c>
    </row>
    <row r="148" spans="1:22">
      <c r="A148" s="126" t="s">
        <v>2521</v>
      </c>
      <c r="B148" s="127" t="s">
        <v>1109</v>
      </c>
      <c r="C148" s="128" t="s">
        <v>2692</v>
      </c>
      <c r="D148" s="128" t="s">
        <v>2693</v>
      </c>
      <c r="E148" s="128" t="s">
        <v>2691</v>
      </c>
      <c r="F148" s="127" t="s">
        <v>1109</v>
      </c>
      <c r="G148" s="127" t="s">
        <v>1109</v>
      </c>
      <c r="H148" s="127" t="s">
        <v>1109</v>
      </c>
      <c r="I148" s="128" t="s">
        <v>2692</v>
      </c>
      <c r="J148" s="128" t="s">
        <v>2693</v>
      </c>
      <c r="K148" s="127" t="s">
        <v>1109</v>
      </c>
      <c r="L148" s="127" t="s">
        <v>1109</v>
      </c>
      <c r="M148" s="128" t="s">
        <v>2692</v>
      </c>
      <c r="N148" s="127" t="s">
        <v>1109</v>
      </c>
      <c r="O148" s="127" t="s">
        <v>1109</v>
      </c>
      <c r="P148" s="127" t="s">
        <v>1109</v>
      </c>
      <c r="Q148" s="127" t="s">
        <v>1109</v>
      </c>
      <c r="R148" s="128" t="s">
        <v>2692</v>
      </c>
      <c r="S148" s="128" t="s">
        <v>2692</v>
      </c>
      <c r="T148">
        <f t="shared" si="6"/>
        <v>2</v>
      </c>
      <c r="U148">
        <f t="shared" si="7"/>
        <v>5</v>
      </c>
      <c r="V148">
        <f t="shared" si="8"/>
        <v>1</v>
      </c>
    </row>
    <row r="149" spans="1:22">
      <c r="A149" s="126" t="s">
        <v>2522</v>
      </c>
      <c r="B149" s="127" t="s">
        <v>1109</v>
      </c>
      <c r="C149" s="128" t="s">
        <v>2692</v>
      </c>
      <c r="D149" s="127" t="s">
        <v>1109</v>
      </c>
      <c r="E149" s="128" t="s">
        <v>2691</v>
      </c>
      <c r="F149" s="128" t="s">
        <v>2693</v>
      </c>
      <c r="G149" s="127" t="s">
        <v>1109</v>
      </c>
      <c r="H149" s="127" t="s">
        <v>1109</v>
      </c>
      <c r="I149" s="128" t="s">
        <v>2692</v>
      </c>
      <c r="J149" s="127" t="s">
        <v>1109</v>
      </c>
      <c r="K149" s="127" t="s">
        <v>1109</v>
      </c>
      <c r="L149" s="127" t="s">
        <v>1109</v>
      </c>
      <c r="M149" s="127" t="s">
        <v>1109</v>
      </c>
      <c r="N149" s="128" t="s">
        <v>2692</v>
      </c>
      <c r="O149" s="127" t="s">
        <v>1109</v>
      </c>
      <c r="P149" s="127" t="s">
        <v>1109</v>
      </c>
      <c r="Q149" s="127" t="s">
        <v>1109</v>
      </c>
      <c r="R149" s="128" t="s">
        <v>2692</v>
      </c>
      <c r="S149" s="127" t="s">
        <v>1109</v>
      </c>
      <c r="T149">
        <f t="shared" si="6"/>
        <v>1</v>
      </c>
      <c r="U149">
        <f t="shared" si="7"/>
        <v>4</v>
      </c>
      <c r="V149">
        <f t="shared" si="8"/>
        <v>1</v>
      </c>
    </row>
    <row r="150" spans="1:22">
      <c r="A150" s="126" t="s">
        <v>2523</v>
      </c>
      <c r="B150" s="127" t="s">
        <v>1109</v>
      </c>
      <c r="C150" s="127" t="s">
        <v>1109</v>
      </c>
      <c r="D150" s="128" t="s">
        <v>2693</v>
      </c>
      <c r="E150" s="128" t="s">
        <v>2691</v>
      </c>
      <c r="F150" s="128" t="s">
        <v>2693</v>
      </c>
      <c r="G150" s="128" t="s">
        <v>2693</v>
      </c>
      <c r="H150" s="127" t="s">
        <v>1109</v>
      </c>
      <c r="I150" s="128" t="s">
        <v>2692</v>
      </c>
      <c r="J150" s="128" t="s">
        <v>2693</v>
      </c>
      <c r="K150" s="128" t="s">
        <v>2692</v>
      </c>
      <c r="L150" s="127" t="s">
        <v>1109</v>
      </c>
      <c r="M150" s="127" t="s">
        <v>1109</v>
      </c>
      <c r="N150" s="128" t="s">
        <v>2692</v>
      </c>
      <c r="O150" s="127" t="s">
        <v>1109</v>
      </c>
      <c r="P150" s="127" t="s">
        <v>1109</v>
      </c>
      <c r="Q150" s="127" t="s">
        <v>1109</v>
      </c>
      <c r="R150" s="128" t="s">
        <v>2692</v>
      </c>
      <c r="S150" s="127" t="s">
        <v>1109</v>
      </c>
      <c r="T150">
        <f t="shared" si="6"/>
        <v>4</v>
      </c>
      <c r="U150">
        <f t="shared" si="7"/>
        <v>4</v>
      </c>
      <c r="V150">
        <f t="shared" si="8"/>
        <v>1</v>
      </c>
    </row>
    <row r="151" spans="1:22">
      <c r="A151" s="126" t="s">
        <v>2524</v>
      </c>
      <c r="B151" s="127" t="s">
        <v>1109</v>
      </c>
      <c r="C151" s="128" t="s">
        <v>2693</v>
      </c>
      <c r="D151" s="127" t="s">
        <v>1109</v>
      </c>
      <c r="E151" s="128" t="s">
        <v>2691</v>
      </c>
      <c r="F151" s="127" t="s">
        <v>1109</v>
      </c>
      <c r="G151" s="128" t="s">
        <v>2693</v>
      </c>
      <c r="H151" s="127" t="s">
        <v>1109</v>
      </c>
      <c r="I151" s="127" t="s">
        <v>1109</v>
      </c>
      <c r="J151" s="128" t="s">
        <v>2692</v>
      </c>
      <c r="K151" s="128" t="s">
        <v>2693</v>
      </c>
      <c r="L151" s="127" t="s">
        <v>1109</v>
      </c>
      <c r="M151" s="128" t="s">
        <v>2693</v>
      </c>
      <c r="N151" s="128" t="s">
        <v>2692</v>
      </c>
      <c r="O151" s="127" t="s">
        <v>1109</v>
      </c>
      <c r="P151" s="127" t="s">
        <v>1109</v>
      </c>
      <c r="Q151" s="127" t="s">
        <v>1109</v>
      </c>
      <c r="R151" s="127" t="s">
        <v>1109</v>
      </c>
      <c r="S151" s="127" t="s">
        <v>1109</v>
      </c>
      <c r="T151">
        <f t="shared" si="6"/>
        <v>4</v>
      </c>
      <c r="U151">
        <f t="shared" si="7"/>
        <v>2</v>
      </c>
      <c r="V151">
        <f t="shared" si="8"/>
        <v>1</v>
      </c>
    </row>
    <row r="152" spans="1:22">
      <c r="A152" s="126" t="s">
        <v>2525</v>
      </c>
      <c r="B152" s="127" t="s">
        <v>1109</v>
      </c>
      <c r="C152" s="128" t="s">
        <v>2693</v>
      </c>
      <c r="D152" s="128" t="s">
        <v>2693</v>
      </c>
      <c r="E152" s="128" t="s">
        <v>2691</v>
      </c>
      <c r="F152" s="128" t="s">
        <v>2693</v>
      </c>
      <c r="G152" s="127" t="s">
        <v>1109</v>
      </c>
      <c r="H152" s="128" t="s">
        <v>2693</v>
      </c>
      <c r="I152" s="128" t="s">
        <v>2692</v>
      </c>
      <c r="J152" s="127" t="s">
        <v>1109</v>
      </c>
      <c r="K152" s="127" t="s">
        <v>1109</v>
      </c>
      <c r="L152" s="127" t="s">
        <v>1109</v>
      </c>
      <c r="M152" s="127" t="s">
        <v>1109</v>
      </c>
      <c r="N152" s="127" t="s">
        <v>1109</v>
      </c>
      <c r="O152" s="127" t="s">
        <v>1109</v>
      </c>
      <c r="P152" s="127" t="s">
        <v>1109</v>
      </c>
      <c r="Q152" s="127" t="s">
        <v>1109</v>
      </c>
      <c r="R152" s="128" t="s">
        <v>2693</v>
      </c>
      <c r="S152" s="127" t="s">
        <v>1109</v>
      </c>
      <c r="T152">
        <f t="shared" si="6"/>
        <v>5</v>
      </c>
      <c r="U152">
        <f t="shared" si="7"/>
        <v>1</v>
      </c>
      <c r="V152">
        <f t="shared" si="8"/>
        <v>1</v>
      </c>
    </row>
    <row r="153" spans="1:22">
      <c r="A153" s="126" t="s">
        <v>2526</v>
      </c>
      <c r="B153" s="127" t="s">
        <v>1109</v>
      </c>
      <c r="C153" s="127" t="s">
        <v>1109</v>
      </c>
      <c r="D153" s="128" t="s">
        <v>2693</v>
      </c>
      <c r="E153" s="128" t="s">
        <v>2691</v>
      </c>
      <c r="F153" s="128" t="s">
        <v>2693</v>
      </c>
      <c r="G153" s="128" t="s">
        <v>2693</v>
      </c>
      <c r="H153" s="127" t="s">
        <v>1109</v>
      </c>
      <c r="I153" s="128" t="s">
        <v>2692</v>
      </c>
      <c r="J153" s="127" t="s">
        <v>1109</v>
      </c>
      <c r="K153" s="128" t="s">
        <v>2693</v>
      </c>
      <c r="L153" s="128" t="s">
        <v>2693</v>
      </c>
      <c r="M153" s="128" t="s">
        <v>2692</v>
      </c>
      <c r="N153" s="128" t="s">
        <v>2692</v>
      </c>
      <c r="O153" s="127" t="s">
        <v>1109</v>
      </c>
      <c r="P153" s="127" t="s">
        <v>1109</v>
      </c>
      <c r="Q153" s="128" t="s">
        <v>2692</v>
      </c>
      <c r="R153" s="127" t="s">
        <v>1109</v>
      </c>
      <c r="S153" s="128" t="s">
        <v>2693</v>
      </c>
      <c r="T153">
        <f t="shared" si="6"/>
        <v>6</v>
      </c>
      <c r="U153">
        <f t="shared" si="7"/>
        <v>4</v>
      </c>
      <c r="V153">
        <f t="shared" si="8"/>
        <v>1</v>
      </c>
    </row>
    <row r="154" spans="1:22">
      <c r="A154" s="126" t="s">
        <v>2527</v>
      </c>
      <c r="B154" s="127" t="s">
        <v>1109</v>
      </c>
      <c r="C154" s="127" t="s">
        <v>1109</v>
      </c>
      <c r="D154" s="128" t="s">
        <v>2693</v>
      </c>
      <c r="E154" s="128" t="s">
        <v>2691</v>
      </c>
      <c r="F154" s="127" t="s">
        <v>1109</v>
      </c>
      <c r="G154" s="128" t="s">
        <v>2693</v>
      </c>
      <c r="H154" s="128" t="s">
        <v>2692</v>
      </c>
      <c r="I154" s="128" t="s">
        <v>2692</v>
      </c>
      <c r="J154" s="128" t="s">
        <v>2693</v>
      </c>
      <c r="K154" s="127" t="s">
        <v>1109</v>
      </c>
      <c r="L154" s="128" t="s">
        <v>2693</v>
      </c>
      <c r="M154" s="128" t="s">
        <v>2692</v>
      </c>
      <c r="N154" s="128" t="s">
        <v>2692</v>
      </c>
      <c r="O154" s="127" t="s">
        <v>1109</v>
      </c>
      <c r="P154" s="127" t="s">
        <v>1109</v>
      </c>
      <c r="Q154" s="127" t="s">
        <v>1109</v>
      </c>
      <c r="R154" s="127" t="s">
        <v>1109</v>
      </c>
      <c r="S154" s="128" t="s">
        <v>2692</v>
      </c>
      <c r="T154">
        <f t="shared" si="6"/>
        <v>4</v>
      </c>
      <c r="U154">
        <f t="shared" si="7"/>
        <v>5</v>
      </c>
      <c r="V154">
        <f t="shared" si="8"/>
        <v>1</v>
      </c>
    </row>
    <row r="155" spans="1:22">
      <c r="A155" s="126" t="s">
        <v>2528</v>
      </c>
      <c r="B155" s="127" t="s">
        <v>1109</v>
      </c>
      <c r="C155" s="127" t="s">
        <v>1109</v>
      </c>
      <c r="D155" s="128" t="s">
        <v>2693</v>
      </c>
      <c r="E155" s="128" t="s">
        <v>2691</v>
      </c>
      <c r="F155" s="127" t="s">
        <v>1109</v>
      </c>
      <c r="G155" s="128" t="s">
        <v>2693</v>
      </c>
      <c r="H155" s="128" t="s">
        <v>2692</v>
      </c>
      <c r="I155" s="128" t="s">
        <v>2692</v>
      </c>
      <c r="J155" s="128" t="s">
        <v>2691</v>
      </c>
      <c r="K155" s="127" t="s">
        <v>1109</v>
      </c>
      <c r="L155" s="127" t="s">
        <v>1109</v>
      </c>
      <c r="M155" s="128" t="s">
        <v>2692</v>
      </c>
      <c r="N155" s="127" t="s">
        <v>1109</v>
      </c>
      <c r="O155" s="127" t="s">
        <v>1109</v>
      </c>
      <c r="P155" s="127" t="s">
        <v>1109</v>
      </c>
      <c r="Q155" s="127" t="s">
        <v>1109</v>
      </c>
      <c r="R155" s="127" t="s">
        <v>1109</v>
      </c>
      <c r="S155" s="127" t="s">
        <v>1109</v>
      </c>
      <c r="T155">
        <f t="shared" si="6"/>
        <v>2</v>
      </c>
      <c r="U155">
        <f t="shared" si="7"/>
        <v>3</v>
      </c>
      <c r="V155">
        <f t="shared" si="8"/>
        <v>2</v>
      </c>
    </row>
    <row r="156" spans="1:22">
      <c r="A156" s="126" t="s">
        <v>2529</v>
      </c>
      <c r="B156" s="127" t="s">
        <v>1109</v>
      </c>
      <c r="C156" s="127" t="s">
        <v>1109</v>
      </c>
      <c r="D156" s="128" t="s">
        <v>2693</v>
      </c>
      <c r="E156" s="128" t="s">
        <v>2691</v>
      </c>
      <c r="F156" s="128" t="s">
        <v>2693</v>
      </c>
      <c r="G156" s="128" t="s">
        <v>2693</v>
      </c>
      <c r="H156" s="128" t="s">
        <v>2692</v>
      </c>
      <c r="I156" s="128" t="s">
        <v>2692</v>
      </c>
      <c r="J156" s="127" t="s">
        <v>1109</v>
      </c>
      <c r="K156" s="127" t="s">
        <v>1109</v>
      </c>
      <c r="L156" s="128" t="s">
        <v>2692</v>
      </c>
      <c r="M156" s="128" t="s">
        <v>2693</v>
      </c>
      <c r="N156" s="128" t="s">
        <v>2692</v>
      </c>
      <c r="O156" s="128" t="s">
        <v>2693</v>
      </c>
      <c r="P156" s="127" t="s">
        <v>1109</v>
      </c>
      <c r="Q156" s="128" t="s">
        <v>2693</v>
      </c>
      <c r="R156" s="127" t="s">
        <v>1109</v>
      </c>
      <c r="S156" s="127" t="s">
        <v>1109</v>
      </c>
      <c r="T156">
        <f t="shared" si="6"/>
        <v>6</v>
      </c>
      <c r="U156">
        <f t="shared" si="7"/>
        <v>4</v>
      </c>
      <c r="V156">
        <f t="shared" si="8"/>
        <v>1</v>
      </c>
    </row>
    <row r="157" spans="1:22">
      <c r="A157" s="126" t="s">
        <v>2530</v>
      </c>
      <c r="B157" s="127" t="s">
        <v>1109</v>
      </c>
      <c r="C157" s="128" t="s">
        <v>2693</v>
      </c>
      <c r="D157" s="128" t="s">
        <v>2693</v>
      </c>
      <c r="E157" s="128" t="s">
        <v>2691</v>
      </c>
      <c r="F157" s="127" t="s">
        <v>1109</v>
      </c>
      <c r="G157" s="128" t="s">
        <v>2693</v>
      </c>
      <c r="H157" s="128" t="s">
        <v>2692</v>
      </c>
      <c r="I157" s="128" t="s">
        <v>2692</v>
      </c>
      <c r="J157" s="128" t="s">
        <v>2692</v>
      </c>
      <c r="K157" s="128" t="s">
        <v>2693</v>
      </c>
      <c r="L157" s="127" t="s">
        <v>1109</v>
      </c>
      <c r="M157" s="127" t="s">
        <v>1109</v>
      </c>
      <c r="N157" s="127" t="s">
        <v>1109</v>
      </c>
      <c r="O157" s="127" t="s">
        <v>1109</v>
      </c>
      <c r="P157" s="127" t="s">
        <v>1109</v>
      </c>
      <c r="Q157" s="127" t="s">
        <v>1109</v>
      </c>
      <c r="R157" s="127" t="s">
        <v>1109</v>
      </c>
      <c r="S157" s="127" t="s">
        <v>1109</v>
      </c>
      <c r="T157">
        <f t="shared" si="6"/>
        <v>4</v>
      </c>
      <c r="U157">
        <f t="shared" si="7"/>
        <v>3</v>
      </c>
      <c r="V157">
        <f t="shared" si="8"/>
        <v>1</v>
      </c>
    </row>
    <row r="158" spans="1:22">
      <c r="A158" s="126" t="s">
        <v>2531</v>
      </c>
      <c r="B158" s="128" t="s">
        <v>2692</v>
      </c>
      <c r="C158" s="128" t="s">
        <v>2692</v>
      </c>
      <c r="D158" s="128" t="s">
        <v>2693</v>
      </c>
      <c r="E158" s="128" t="s">
        <v>2691</v>
      </c>
      <c r="F158" s="128" t="s">
        <v>2693</v>
      </c>
      <c r="G158" s="128" t="s">
        <v>2693</v>
      </c>
      <c r="H158" s="128" t="s">
        <v>2693</v>
      </c>
      <c r="I158" s="128" t="s">
        <v>2692</v>
      </c>
      <c r="J158" s="128" t="s">
        <v>2693</v>
      </c>
      <c r="K158" s="128" t="s">
        <v>2692</v>
      </c>
      <c r="L158" s="127" t="s">
        <v>1109</v>
      </c>
      <c r="M158" s="127" t="s">
        <v>1109</v>
      </c>
      <c r="N158" s="128" t="s">
        <v>2692</v>
      </c>
      <c r="O158" s="127" t="s">
        <v>1109</v>
      </c>
      <c r="P158" s="127" t="s">
        <v>1109</v>
      </c>
      <c r="Q158" s="127" t="s">
        <v>1109</v>
      </c>
      <c r="R158" s="128" t="s">
        <v>2693</v>
      </c>
      <c r="S158" s="127" t="s">
        <v>1109</v>
      </c>
      <c r="T158">
        <f t="shared" si="6"/>
        <v>6</v>
      </c>
      <c r="U158">
        <f t="shared" si="7"/>
        <v>5</v>
      </c>
      <c r="V158">
        <f t="shared" si="8"/>
        <v>1</v>
      </c>
    </row>
    <row r="159" spans="1:22">
      <c r="A159" s="126" t="s">
        <v>2532</v>
      </c>
      <c r="B159" s="128" t="s">
        <v>2691</v>
      </c>
      <c r="C159" s="127" t="s">
        <v>1109</v>
      </c>
      <c r="D159" s="128" t="s">
        <v>2693</v>
      </c>
      <c r="E159" s="128" t="s">
        <v>2691</v>
      </c>
      <c r="F159" s="128" t="s">
        <v>2693</v>
      </c>
      <c r="G159" s="128" t="s">
        <v>2693</v>
      </c>
      <c r="H159" s="128" t="s">
        <v>2691</v>
      </c>
      <c r="I159" s="128" t="s">
        <v>2692</v>
      </c>
      <c r="J159" s="127" t="s">
        <v>1109</v>
      </c>
      <c r="K159" s="127" t="s">
        <v>1109</v>
      </c>
      <c r="L159" s="127" t="s">
        <v>1109</v>
      </c>
      <c r="M159" s="128" t="s">
        <v>2692</v>
      </c>
      <c r="N159" s="128" t="s">
        <v>2692</v>
      </c>
      <c r="O159" s="128" t="s">
        <v>2693</v>
      </c>
      <c r="P159" s="127" t="s">
        <v>1109</v>
      </c>
      <c r="Q159" s="128" t="s">
        <v>2693</v>
      </c>
      <c r="R159" s="127" t="s">
        <v>1109</v>
      </c>
      <c r="S159" s="127" t="s">
        <v>1109</v>
      </c>
      <c r="T159">
        <f t="shared" si="6"/>
        <v>5</v>
      </c>
      <c r="U159">
        <f t="shared" si="7"/>
        <v>3</v>
      </c>
      <c r="V159">
        <f t="shared" si="8"/>
        <v>3</v>
      </c>
    </row>
    <row r="160" spans="1:22">
      <c r="A160" s="126" t="s">
        <v>2533</v>
      </c>
      <c r="B160" s="127" t="s">
        <v>1109</v>
      </c>
      <c r="C160" s="128" t="s">
        <v>2692</v>
      </c>
      <c r="D160" s="127" t="s">
        <v>1109</v>
      </c>
      <c r="E160" s="128" t="s">
        <v>2691</v>
      </c>
      <c r="F160" s="127" t="s">
        <v>1109</v>
      </c>
      <c r="G160" s="128" t="s">
        <v>2693</v>
      </c>
      <c r="H160" s="127" t="s">
        <v>1109</v>
      </c>
      <c r="I160" s="128" t="s">
        <v>2692</v>
      </c>
      <c r="J160" s="127" t="s">
        <v>1109</v>
      </c>
      <c r="K160" s="127" t="s">
        <v>1109</v>
      </c>
      <c r="L160" s="127" t="s">
        <v>1109</v>
      </c>
      <c r="M160" s="127" t="s">
        <v>1109</v>
      </c>
      <c r="N160" s="128" t="s">
        <v>2692</v>
      </c>
      <c r="O160" s="127" t="s">
        <v>1109</v>
      </c>
      <c r="P160" s="128" t="s">
        <v>2693</v>
      </c>
      <c r="Q160" s="127" t="s">
        <v>1109</v>
      </c>
      <c r="R160" s="127" t="s">
        <v>1109</v>
      </c>
      <c r="S160" s="128" t="s">
        <v>2693</v>
      </c>
      <c r="T160">
        <f t="shared" si="6"/>
        <v>3</v>
      </c>
      <c r="U160">
        <f t="shared" si="7"/>
        <v>3</v>
      </c>
      <c r="V160">
        <f t="shared" si="8"/>
        <v>1</v>
      </c>
    </row>
    <row r="161" spans="1:22">
      <c r="A161" s="126" t="s">
        <v>2534</v>
      </c>
      <c r="B161" s="127" t="s">
        <v>1109</v>
      </c>
      <c r="C161" s="127" t="s">
        <v>1109</v>
      </c>
      <c r="D161" s="128" t="s">
        <v>2693</v>
      </c>
      <c r="E161" s="128" t="s">
        <v>2691</v>
      </c>
      <c r="F161" s="128" t="s">
        <v>2693</v>
      </c>
      <c r="G161" s="128" t="s">
        <v>2693</v>
      </c>
      <c r="H161" s="128" t="s">
        <v>2693</v>
      </c>
      <c r="I161" s="128" t="s">
        <v>2692</v>
      </c>
      <c r="J161" s="127" t="s">
        <v>1109</v>
      </c>
      <c r="K161" s="127" t="s">
        <v>1109</v>
      </c>
      <c r="L161" s="128" t="s">
        <v>2691</v>
      </c>
      <c r="M161" s="128" t="s">
        <v>2693</v>
      </c>
      <c r="N161" s="128" t="s">
        <v>2692</v>
      </c>
      <c r="O161" s="128" t="s">
        <v>2692</v>
      </c>
      <c r="P161" s="127" t="s">
        <v>1109</v>
      </c>
      <c r="Q161" s="128" t="s">
        <v>2692</v>
      </c>
      <c r="R161" s="127" t="s">
        <v>1109</v>
      </c>
      <c r="S161" s="128" t="s">
        <v>2693</v>
      </c>
      <c r="T161">
        <f t="shared" si="6"/>
        <v>6</v>
      </c>
      <c r="U161">
        <f t="shared" si="7"/>
        <v>4</v>
      </c>
      <c r="V161">
        <f t="shared" si="8"/>
        <v>2</v>
      </c>
    </row>
    <row r="162" spans="1:22">
      <c r="A162" s="126" t="s">
        <v>2535</v>
      </c>
      <c r="B162" s="128" t="s">
        <v>2692</v>
      </c>
      <c r="C162" s="128" t="s">
        <v>2693</v>
      </c>
      <c r="D162" s="128" t="s">
        <v>2693</v>
      </c>
      <c r="E162" s="128" t="s">
        <v>2691</v>
      </c>
      <c r="F162" s="127" t="s">
        <v>1109</v>
      </c>
      <c r="G162" s="127" t="s">
        <v>1109</v>
      </c>
      <c r="H162" s="128" t="s">
        <v>2693</v>
      </c>
      <c r="I162" s="128" t="s">
        <v>2691</v>
      </c>
      <c r="J162" s="128" t="s">
        <v>2693</v>
      </c>
      <c r="K162" s="128" t="s">
        <v>2692</v>
      </c>
      <c r="L162" s="128" t="s">
        <v>2692</v>
      </c>
      <c r="M162" s="128" t="s">
        <v>2692</v>
      </c>
      <c r="N162" s="128" t="s">
        <v>2692</v>
      </c>
      <c r="O162" s="127" t="s">
        <v>1109</v>
      </c>
      <c r="P162" s="128" t="s">
        <v>2692</v>
      </c>
      <c r="Q162" s="127" t="s">
        <v>1109</v>
      </c>
      <c r="R162" s="128" t="s">
        <v>2692</v>
      </c>
      <c r="S162" s="128" t="s">
        <v>2692</v>
      </c>
      <c r="T162">
        <f t="shared" si="6"/>
        <v>4</v>
      </c>
      <c r="U162">
        <f t="shared" si="7"/>
        <v>8</v>
      </c>
      <c r="V162">
        <f t="shared" si="8"/>
        <v>2</v>
      </c>
    </row>
    <row r="163" spans="1:22">
      <c r="A163" s="126" t="s">
        <v>2536</v>
      </c>
      <c r="B163" s="127" t="s">
        <v>1109</v>
      </c>
      <c r="C163" s="127" t="s">
        <v>1109</v>
      </c>
      <c r="D163" s="128" t="s">
        <v>2693</v>
      </c>
      <c r="E163" s="128" t="s">
        <v>2691</v>
      </c>
      <c r="F163" s="128" t="s">
        <v>2693</v>
      </c>
      <c r="G163" s="128" t="s">
        <v>2693</v>
      </c>
      <c r="H163" s="128" t="s">
        <v>2692</v>
      </c>
      <c r="I163" s="127" t="s">
        <v>1109</v>
      </c>
      <c r="J163" s="127" t="s">
        <v>1109</v>
      </c>
      <c r="K163" s="127" t="s">
        <v>1109</v>
      </c>
      <c r="L163" s="127" t="s">
        <v>1109</v>
      </c>
      <c r="M163" s="128" t="s">
        <v>2692</v>
      </c>
      <c r="N163" s="128" t="s">
        <v>2692</v>
      </c>
      <c r="O163" s="127" t="s">
        <v>1109</v>
      </c>
      <c r="P163" s="128" t="s">
        <v>2691</v>
      </c>
      <c r="Q163" s="128" t="s">
        <v>2692</v>
      </c>
      <c r="R163" s="128" t="s">
        <v>2693</v>
      </c>
      <c r="S163" s="127" t="s">
        <v>1109</v>
      </c>
      <c r="T163">
        <f t="shared" si="6"/>
        <v>4</v>
      </c>
      <c r="U163">
        <f t="shared" si="7"/>
        <v>4</v>
      </c>
      <c r="V163">
        <f t="shared" si="8"/>
        <v>2</v>
      </c>
    </row>
    <row r="164" spans="1:22">
      <c r="A164" s="126" t="s">
        <v>2376</v>
      </c>
      <c r="B164" s="127" t="s">
        <v>1109</v>
      </c>
      <c r="C164" s="127" t="s">
        <v>1109</v>
      </c>
      <c r="D164" s="127" t="s">
        <v>1109</v>
      </c>
      <c r="E164" s="128" t="s">
        <v>2693</v>
      </c>
      <c r="F164" s="128" t="s">
        <v>2692</v>
      </c>
      <c r="G164" s="128" t="s">
        <v>2693</v>
      </c>
      <c r="H164" s="128" t="s">
        <v>2692</v>
      </c>
      <c r="I164" s="127" t="s">
        <v>1109</v>
      </c>
      <c r="J164" s="128" t="s">
        <v>2691</v>
      </c>
      <c r="K164" s="127" t="s">
        <v>1109</v>
      </c>
      <c r="L164" s="127" t="s">
        <v>1109</v>
      </c>
      <c r="M164" s="128" t="s">
        <v>2692</v>
      </c>
      <c r="N164" s="128" t="s">
        <v>2693</v>
      </c>
      <c r="O164" s="127" t="s">
        <v>1109</v>
      </c>
      <c r="P164" s="127" t="s">
        <v>1109</v>
      </c>
      <c r="Q164" s="127" t="s">
        <v>1109</v>
      </c>
      <c r="R164" s="127" t="s">
        <v>1109</v>
      </c>
      <c r="S164" s="127" t="s">
        <v>1109</v>
      </c>
      <c r="T164">
        <f t="shared" si="6"/>
        <v>3</v>
      </c>
      <c r="U164">
        <f t="shared" si="7"/>
        <v>3</v>
      </c>
      <c r="V164">
        <f t="shared" si="8"/>
        <v>1</v>
      </c>
    </row>
    <row r="165" spans="1:22">
      <c r="A165" s="126" t="s">
        <v>2537</v>
      </c>
      <c r="B165" s="127" t="s">
        <v>1109</v>
      </c>
      <c r="C165" s="127" t="s">
        <v>1109</v>
      </c>
      <c r="D165" s="127" t="s">
        <v>1109</v>
      </c>
      <c r="E165" s="128" t="s">
        <v>2693</v>
      </c>
      <c r="F165" s="128" t="s">
        <v>2692</v>
      </c>
      <c r="G165" s="128" t="s">
        <v>2693</v>
      </c>
      <c r="H165" s="127" t="s">
        <v>1109</v>
      </c>
      <c r="I165" s="127" t="s">
        <v>1109</v>
      </c>
      <c r="J165" s="128" t="s">
        <v>2691</v>
      </c>
      <c r="K165" s="127" t="s">
        <v>1109</v>
      </c>
      <c r="L165" s="127" t="s">
        <v>1109</v>
      </c>
      <c r="M165" s="128" t="s">
        <v>2692</v>
      </c>
      <c r="N165" s="128" t="s">
        <v>2693</v>
      </c>
      <c r="O165" s="128" t="s">
        <v>2691</v>
      </c>
      <c r="P165" s="127" t="s">
        <v>1109</v>
      </c>
      <c r="Q165" s="127" t="s">
        <v>1109</v>
      </c>
      <c r="R165" s="127" t="s">
        <v>1109</v>
      </c>
      <c r="S165" s="127" t="s">
        <v>1109</v>
      </c>
      <c r="T165">
        <f t="shared" si="6"/>
        <v>3</v>
      </c>
      <c r="U165">
        <f t="shared" si="7"/>
        <v>2</v>
      </c>
      <c r="V165">
        <f t="shared" si="8"/>
        <v>2</v>
      </c>
    </row>
    <row r="166" spans="1:22">
      <c r="A166" s="126" t="s">
        <v>2538</v>
      </c>
      <c r="B166" s="127" t="s">
        <v>1109</v>
      </c>
      <c r="C166" s="128" t="s">
        <v>2692</v>
      </c>
      <c r="D166" s="128" t="s">
        <v>2693</v>
      </c>
      <c r="E166" s="128" t="s">
        <v>2693</v>
      </c>
      <c r="F166" s="128" t="s">
        <v>2692</v>
      </c>
      <c r="G166" s="127" t="s">
        <v>1109</v>
      </c>
      <c r="H166" s="128" t="s">
        <v>2692</v>
      </c>
      <c r="I166" s="127" t="s">
        <v>1109</v>
      </c>
      <c r="J166" s="128" t="s">
        <v>2691</v>
      </c>
      <c r="K166" s="127" t="s">
        <v>1109</v>
      </c>
      <c r="L166" s="127" t="s">
        <v>1109</v>
      </c>
      <c r="M166" s="128" t="s">
        <v>2692</v>
      </c>
      <c r="N166" s="128" t="s">
        <v>2693</v>
      </c>
      <c r="O166" s="127" t="s">
        <v>1109</v>
      </c>
      <c r="P166" s="127" t="s">
        <v>1109</v>
      </c>
      <c r="Q166" s="127" t="s">
        <v>1109</v>
      </c>
      <c r="R166" s="128" t="s">
        <v>2692</v>
      </c>
      <c r="S166" s="128" t="s">
        <v>2692</v>
      </c>
      <c r="T166">
        <f t="shared" si="6"/>
        <v>3</v>
      </c>
      <c r="U166">
        <f t="shared" si="7"/>
        <v>6</v>
      </c>
      <c r="V166">
        <f t="shared" si="8"/>
        <v>1</v>
      </c>
    </row>
    <row r="167" spans="1:22">
      <c r="A167" s="126" t="s">
        <v>2539</v>
      </c>
      <c r="B167" s="127" t="s">
        <v>1109</v>
      </c>
      <c r="C167" s="128" t="s">
        <v>2692</v>
      </c>
      <c r="D167" s="128" t="s">
        <v>2692</v>
      </c>
      <c r="E167" s="128" t="s">
        <v>2693</v>
      </c>
      <c r="F167" s="127" t="s">
        <v>1109</v>
      </c>
      <c r="G167" s="127" t="s">
        <v>1109</v>
      </c>
      <c r="H167" s="128" t="s">
        <v>2692</v>
      </c>
      <c r="I167" s="127" t="s">
        <v>1109</v>
      </c>
      <c r="J167" s="128" t="s">
        <v>2691</v>
      </c>
      <c r="K167" s="127" t="s">
        <v>1109</v>
      </c>
      <c r="L167" s="127" t="s">
        <v>1109</v>
      </c>
      <c r="M167" s="128" t="s">
        <v>2692</v>
      </c>
      <c r="N167" s="128" t="s">
        <v>2693</v>
      </c>
      <c r="O167" s="127" t="s">
        <v>1109</v>
      </c>
      <c r="P167" s="127" t="s">
        <v>1109</v>
      </c>
      <c r="Q167" s="127" t="s">
        <v>1109</v>
      </c>
      <c r="R167" s="128" t="s">
        <v>2692</v>
      </c>
      <c r="S167" s="127" t="s">
        <v>1109</v>
      </c>
      <c r="T167">
        <f t="shared" si="6"/>
        <v>2</v>
      </c>
      <c r="U167">
        <f t="shared" si="7"/>
        <v>5</v>
      </c>
      <c r="V167">
        <f t="shared" si="8"/>
        <v>1</v>
      </c>
    </row>
    <row r="168" spans="1:22">
      <c r="A168" s="126" t="s">
        <v>2540</v>
      </c>
      <c r="B168" s="127" t="s">
        <v>1109</v>
      </c>
      <c r="C168" s="127" t="s">
        <v>1109</v>
      </c>
      <c r="D168" s="127" t="s">
        <v>1109</v>
      </c>
      <c r="E168" s="127" t="s">
        <v>1109</v>
      </c>
      <c r="F168" s="128" t="s">
        <v>2692</v>
      </c>
      <c r="G168" s="128" t="s">
        <v>2693</v>
      </c>
      <c r="H168" s="128" t="s">
        <v>2692</v>
      </c>
      <c r="I168" s="127" t="s">
        <v>1109</v>
      </c>
      <c r="J168" s="128" t="s">
        <v>2691</v>
      </c>
      <c r="K168" s="128" t="s">
        <v>2692</v>
      </c>
      <c r="L168" s="127" t="s">
        <v>1109</v>
      </c>
      <c r="M168" s="128" t="s">
        <v>2692</v>
      </c>
      <c r="N168" s="128" t="s">
        <v>2693</v>
      </c>
      <c r="O168" s="127" t="s">
        <v>1109</v>
      </c>
      <c r="P168" s="127" t="s">
        <v>1109</v>
      </c>
      <c r="Q168" s="127" t="s">
        <v>1109</v>
      </c>
      <c r="R168" s="128" t="s">
        <v>2692</v>
      </c>
      <c r="S168" s="127" t="s">
        <v>1109</v>
      </c>
      <c r="T168">
        <f t="shared" si="6"/>
        <v>2</v>
      </c>
      <c r="U168">
        <f t="shared" si="7"/>
        <v>5</v>
      </c>
      <c r="V168">
        <f t="shared" si="8"/>
        <v>1</v>
      </c>
    </row>
    <row r="169" spans="1:22">
      <c r="A169" s="126" t="s">
        <v>2541</v>
      </c>
      <c r="B169" s="127" t="s">
        <v>1109</v>
      </c>
      <c r="C169" s="128" t="s">
        <v>2693</v>
      </c>
      <c r="D169" s="128" t="s">
        <v>2692</v>
      </c>
      <c r="E169" s="127" t="s">
        <v>1109</v>
      </c>
      <c r="F169" s="128" t="s">
        <v>2692</v>
      </c>
      <c r="G169" s="128" t="s">
        <v>2693</v>
      </c>
      <c r="H169" s="128" t="s">
        <v>2692</v>
      </c>
      <c r="I169" s="128" t="s">
        <v>2693</v>
      </c>
      <c r="J169" s="128" t="s">
        <v>2691</v>
      </c>
      <c r="K169" s="128" t="s">
        <v>2693</v>
      </c>
      <c r="L169" s="127" t="s">
        <v>1109</v>
      </c>
      <c r="M169" s="127" t="s">
        <v>1109</v>
      </c>
      <c r="N169" s="128" t="s">
        <v>2693</v>
      </c>
      <c r="O169" s="127" t="s">
        <v>1109</v>
      </c>
      <c r="P169" s="127" t="s">
        <v>1109</v>
      </c>
      <c r="Q169" s="127" t="s">
        <v>1109</v>
      </c>
      <c r="R169" s="127" t="s">
        <v>1109</v>
      </c>
      <c r="S169" s="127" t="s">
        <v>1109</v>
      </c>
      <c r="T169">
        <f t="shared" si="6"/>
        <v>5</v>
      </c>
      <c r="U169">
        <f t="shared" si="7"/>
        <v>3</v>
      </c>
      <c r="V169">
        <f t="shared" si="8"/>
        <v>1</v>
      </c>
    </row>
    <row r="170" spans="1:22">
      <c r="A170" s="126" t="s">
        <v>2542</v>
      </c>
      <c r="B170" s="127" t="s">
        <v>1109</v>
      </c>
      <c r="C170" s="128" t="s">
        <v>2693</v>
      </c>
      <c r="D170" s="127" t="s">
        <v>1109</v>
      </c>
      <c r="E170" s="128" t="s">
        <v>2693</v>
      </c>
      <c r="F170" s="128" t="s">
        <v>2692</v>
      </c>
      <c r="G170" s="127" t="s">
        <v>1109</v>
      </c>
      <c r="H170" s="127" t="s">
        <v>1109</v>
      </c>
      <c r="I170" s="127" t="s">
        <v>1109</v>
      </c>
      <c r="J170" s="128" t="s">
        <v>2691</v>
      </c>
      <c r="K170" s="127" t="s">
        <v>1109</v>
      </c>
      <c r="L170" s="127" t="s">
        <v>1109</v>
      </c>
      <c r="M170" s="128" t="s">
        <v>2692</v>
      </c>
      <c r="N170" s="128" t="s">
        <v>2693</v>
      </c>
      <c r="O170" s="127" t="s">
        <v>1109</v>
      </c>
      <c r="P170" s="127" t="s">
        <v>1109</v>
      </c>
      <c r="Q170" s="127" t="s">
        <v>1109</v>
      </c>
      <c r="R170" s="128" t="s">
        <v>2693</v>
      </c>
      <c r="S170" s="127" t="s">
        <v>1109</v>
      </c>
      <c r="T170">
        <f t="shared" si="6"/>
        <v>4</v>
      </c>
      <c r="U170">
        <f t="shared" si="7"/>
        <v>2</v>
      </c>
      <c r="V170">
        <f t="shared" si="8"/>
        <v>1</v>
      </c>
    </row>
    <row r="171" spans="1:22">
      <c r="A171" s="126" t="s">
        <v>2543</v>
      </c>
      <c r="B171" s="127" t="s">
        <v>1109</v>
      </c>
      <c r="C171" s="127" t="s">
        <v>1109</v>
      </c>
      <c r="D171" s="127" t="s">
        <v>1109</v>
      </c>
      <c r="E171" s="128" t="s">
        <v>2693</v>
      </c>
      <c r="F171" s="128" t="s">
        <v>2692</v>
      </c>
      <c r="G171" s="128" t="s">
        <v>2693</v>
      </c>
      <c r="H171" s="128" t="s">
        <v>2692</v>
      </c>
      <c r="I171" s="127" t="s">
        <v>1109</v>
      </c>
      <c r="J171" s="128" t="s">
        <v>2691</v>
      </c>
      <c r="K171" s="128" t="s">
        <v>2693</v>
      </c>
      <c r="L171" s="128" t="s">
        <v>2693</v>
      </c>
      <c r="M171" s="128" t="s">
        <v>2692</v>
      </c>
      <c r="N171" s="127" t="s">
        <v>1109</v>
      </c>
      <c r="O171" s="127" t="s">
        <v>1109</v>
      </c>
      <c r="P171" s="127" t="s">
        <v>1109</v>
      </c>
      <c r="Q171" s="128" t="s">
        <v>2692</v>
      </c>
      <c r="R171" s="127" t="s">
        <v>1109</v>
      </c>
      <c r="S171" s="128" t="s">
        <v>2693</v>
      </c>
      <c r="T171">
        <f t="shared" si="6"/>
        <v>5</v>
      </c>
      <c r="U171">
        <f t="shared" si="7"/>
        <v>4</v>
      </c>
      <c r="V171">
        <f t="shared" si="8"/>
        <v>1</v>
      </c>
    </row>
    <row r="172" spans="1:22">
      <c r="A172" s="126" t="s">
        <v>2544</v>
      </c>
      <c r="B172" s="127" t="s">
        <v>1109</v>
      </c>
      <c r="C172" s="127" t="s">
        <v>1109</v>
      </c>
      <c r="D172" s="127" t="s">
        <v>1109</v>
      </c>
      <c r="E172" s="128" t="s">
        <v>2693</v>
      </c>
      <c r="F172" s="128" t="s">
        <v>2692</v>
      </c>
      <c r="G172" s="128" t="s">
        <v>2693</v>
      </c>
      <c r="H172" s="128" t="s">
        <v>2692</v>
      </c>
      <c r="I172" s="128" t="s">
        <v>2692</v>
      </c>
      <c r="J172" s="128" t="s">
        <v>2691</v>
      </c>
      <c r="K172" s="127" t="s">
        <v>1109</v>
      </c>
      <c r="L172" s="128" t="s">
        <v>2693</v>
      </c>
      <c r="M172" s="128" t="s">
        <v>2692</v>
      </c>
      <c r="N172" s="128" t="s">
        <v>2693</v>
      </c>
      <c r="O172" s="127" t="s">
        <v>1109</v>
      </c>
      <c r="P172" s="127" t="s">
        <v>1109</v>
      </c>
      <c r="Q172" s="127" t="s">
        <v>1109</v>
      </c>
      <c r="R172" s="127" t="s">
        <v>1109</v>
      </c>
      <c r="S172" s="128" t="s">
        <v>2692</v>
      </c>
      <c r="T172">
        <f t="shared" si="6"/>
        <v>4</v>
      </c>
      <c r="U172">
        <f t="shared" si="7"/>
        <v>5</v>
      </c>
      <c r="V172">
        <f t="shared" si="8"/>
        <v>1</v>
      </c>
    </row>
    <row r="173" spans="1:22">
      <c r="A173" s="126" t="s">
        <v>2545</v>
      </c>
      <c r="B173" s="127" t="s">
        <v>1109</v>
      </c>
      <c r="C173" s="127" t="s">
        <v>1109</v>
      </c>
      <c r="D173" s="128" t="s">
        <v>2693</v>
      </c>
      <c r="E173" s="128" t="s">
        <v>2691</v>
      </c>
      <c r="F173" s="127" t="s">
        <v>1109</v>
      </c>
      <c r="G173" s="128" t="s">
        <v>2693</v>
      </c>
      <c r="H173" s="128" t="s">
        <v>2692</v>
      </c>
      <c r="I173" s="128" t="s">
        <v>2692</v>
      </c>
      <c r="J173" s="128" t="s">
        <v>2691</v>
      </c>
      <c r="K173" s="127" t="s">
        <v>1109</v>
      </c>
      <c r="L173" s="127" t="s">
        <v>1109</v>
      </c>
      <c r="M173" s="128" t="s">
        <v>2692</v>
      </c>
      <c r="N173" s="127" t="s">
        <v>1109</v>
      </c>
      <c r="O173" s="127" t="s">
        <v>1109</v>
      </c>
      <c r="P173" s="127" t="s">
        <v>1109</v>
      </c>
      <c r="Q173" s="127" t="s">
        <v>1109</v>
      </c>
      <c r="R173" s="127" t="s">
        <v>1109</v>
      </c>
      <c r="S173" s="127" t="s">
        <v>1109</v>
      </c>
      <c r="T173">
        <f t="shared" si="6"/>
        <v>2</v>
      </c>
      <c r="U173">
        <f t="shared" si="7"/>
        <v>3</v>
      </c>
      <c r="V173">
        <f t="shared" si="8"/>
        <v>2</v>
      </c>
    </row>
    <row r="174" spans="1:22">
      <c r="A174" s="126" t="s">
        <v>2546</v>
      </c>
      <c r="B174" s="127" t="s">
        <v>1109</v>
      </c>
      <c r="C174" s="127" t="s">
        <v>1109</v>
      </c>
      <c r="D174" s="127" t="s">
        <v>1109</v>
      </c>
      <c r="E174" s="128" t="s">
        <v>2693</v>
      </c>
      <c r="F174" s="128" t="s">
        <v>2692</v>
      </c>
      <c r="G174" s="128" t="s">
        <v>2693</v>
      </c>
      <c r="H174" s="128" t="s">
        <v>2692</v>
      </c>
      <c r="I174" s="127" t="s">
        <v>1109</v>
      </c>
      <c r="J174" s="128" t="s">
        <v>2691</v>
      </c>
      <c r="K174" s="127" t="s">
        <v>1109</v>
      </c>
      <c r="L174" s="128" t="s">
        <v>2692</v>
      </c>
      <c r="M174" s="127" t="s">
        <v>1109</v>
      </c>
      <c r="N174" s="128" t="s">
        <v>2693</v>
      </c>
      <c r="O174" s="128" t="s">
        <v>2693</v>
      </c>
      <c r="P174" s="127" t="s">
        <v>1109</v>
      </c>
      <c r="Q174" s="128" t="s">
        <v>2693</v>
      </c>
      <c r="R174" s="127" t="s">
        <v>1109</v>
      </c>
      <c r="S174" s="127" t="s">
        <v>1109</v>
      </c>
      <c r="T174">
        <f t="shared" si="6"/>
        <v>5</v>
      </c>
      <c r="U174">
        <f t="shared" si="7"/>
        <v>3</v>
      </c>
      <c r="V174">
        <f t="shared" si="8"/>
        <v>1</v>
      </c>
    </row>
    <row r="175" spans="1:22">
      <c r="A175" s="126" t="s">
        <v>2547</v>
      </c>
      <c r="B175" s="127" t="s">
        <v>1109</v>
      </c>
      <c r="C175" s="128" t="s">
        <v>2693</v>
      </c>
      <c r="D175" s="127" t="s">
        <v>1109</v>
      </c>
      <c r="E175" s="128" t="s">
        <v>2693</v>
      </c>
      <c r="F175" s="128" t="s">
        <v>2692</v>
      </c>
      <c r="G175" s="128" t="s">
        <v>2693</v>
      </c>
      <c r="H175" s="128" t="s">
        <v>2692</v>
      </c>
      <c r="I175" s="127" t="s">
        <v>1109</v>
      </c>
      <c r="J175" s="128" t="s">
        <v>2691</v>
      </c>
      <c r="K175" s="128" t="s">
        <v>2693</v>
      </c>
      <c r="L175" s="127" t="s">
        <v>1109</v>
      </c>
      <c r="M175" s="128" t="s">
        <v>2692</v>
      </c>
      <c r="N175" s="128" t="s">
        <v>2693</v>
      </c>
      <c r="O175" s="127" t="s">
        <v>1109</v>
      </c>
      <c r="P175" s="127" t="s">
        <v>1109</v>
      </c>
      <c r="Q175" s="127" t="s">
        <v>1109</v>
      </c>
      <c r="R175" s="127" t="s">
        <v>1109</v>
      </c>
      <c r="S175" s="127" t="s">
        <v>1109</v>
      </c>
      <c r="T175">
        <f t="shared" si="6"/>
        <v>5</v>
      </c>
      <c r="U175">
        <f t="shared" si="7"/>
        <v>3</v>
      </c>
      <c r="V175">
        <f t="shared" si="8"/>
        <v>1</v>
      </c>
    </row>
    <row r="176" spans="1:22">
      <c r="A176" s="126" t="s">
        <v>2548</v>
      </c>
      <c r="B176" s="128" t="s">
        <v>2692</v>
      </c>
      <c r="C176" s="128" t="s">
        <v>2692</v>
      </c>
      <c r="D176" s="128" t="s">
        <v>2693</v>
      </c>
      <c r="E176" s="128" t="s">
        <v>2693</v>
      </c>
      <c r="F176" s="127" t="s">
        <v>1109</v>
      </c>
      <c r="G176" s="128" t="s">
        <v>2693</v>
      </c>
      <c r="H176" s="127" t="s">
        <v>1109</v>
      </c>
      <c r="I176" s="128" t="s">
        <v>2692</v>
      </c>
      <c r="J176" s="128" t="s">
        <v>2691</v>
      </c>
      <c r="K176" s="128" t="s">
        <v>2692</v>
      </c>
      <c r="L176" s="127" t="s">
        <v>1109</v>
      </c>
      <c r="M176" s="128" t="s">
        <v>2692</v>
      </c>
      <c r="N176" s="128" t="s">
        <v>2693</v>
      </c>
      <c r="O176" s="127" t="s">
        <v>1109</v>
      </c>
      <c r="P176" s="127" t="s">
        <v>1109</v>
      </c>
      <c r="Q176" s="127" t="s">
        <v>1109</v>
      </c>
      <c r="R176" s="128" t="s">
        <v>2693</v>
      </c>
      <c r="S176" s="127" t="s">
        <v>1109</v>
      </c>
      <c r="T176">
        <f t="shared" si="6"/>
        <v>5</v>
      </c>
      <c r="U176">
        <f t="shared" si="7"/>
        <v>5</v>
      </c>
      <c r="V176">
        <f t="shared" si="8"/>
        <v>1</v>
      </c>
    </row>
    <row r="177" spans="1:22">
      <c r="A177" s="126" t="s">
        <v>2549</v>
      </c>
      <c r="B177" s="128" t="s">
        <v>2691</v>
      </c>
      <c r="C177" s="127" t="s">
        <v>1109</v>
      </c>
      <c r="D177" s="127" t="s">
        <v>1109</v>
      </c>
      <c r="E177" s="128" t="s">
        <v>2693</v>
      </c>
      <c r="F177" s="128" t="s">
        <v>2692</v>
      </c>
      <c r="G177" s="128" t="s">
        <v>2693</v>
      </c>
      <c r="H177" s="128" t="s">
        <v>2691</v>
      </c>
      <c r="I177" s="128" t="s">
        <v>2692</v>
      </c>
      <c r="J177" s="128" t="s">
        <v>2691</v>
      </c>
      <c r="K177" s="127" t="s">
        <v>1109</v>
      </c>
      <c r="L177" s="127" t="s">
        <v>1109</v>
      </c>
      <c r="M177" s="128" t="s">
        <v>2692</v>
      </c>
      <c r="N177" s="128" t="s">
        <v>2693</v>
      </c>
      <c r="O177" s="128" t="s">
        <v>2693</v>
      </c>
      <c r="P177" s="127" t="s">
        <v>1109</v>
      </c>
      <c r="Q177" s="128" t="s">
        <v>2693</v>
      </c>
      <c r="R177" s="127" t="s">
        <v>1109</v>
      </c>
      <c r="S177" s="127" t="s">
        <v>1109</v>
      </c>
      <c r="T177">
        <f t="shared" si="6"/>
        <v>5</v>
      </c>
      <c r="U177">
        <f t="shared" si="7"/>
        <v>3</v>
      </c>
      <c r="V177">
        <f t="shared" si="8"/>
        <v>3</v>
      </c>
    </row>
    <row r="178" spans="1:22">
      <c r="A178" s="126" t="s">
        <v>2550</v>
      </c>
      <c r="B178" s="127" t="s">
        <v>1109</v>
      </c>
      <c r="C178" s="128" t="s">
        <v>2692</v>
      </c>
      <c r="D178" s="128" t="s">
        <v>2692</v>
      </c>
      <c r="E178" s="127" t="s">
        <v>1109</v>
      </c>
      <c r="F178" s="128" t="s">
        <v>2692</v>
      </c>
      <c r="G178" s="128" t="s">
        <v>2693</v>
      </c>
      <c r="H178" s="128" t="s">
        <v>2692</v>
      </c>
      <c r="I178" s="127" t="s">
        <v>1109</v>
      </c>
      <c r="J178" s="128" t="s">
        <v>2691</v>
      </c>
      <c r="K178" s="127" t="s">
        <v>1109</v>
      </c>
      <c r="L178" s="127" t="s">
        <v>1109</v>
      </c>
      <c r="M178" s="128" t="s">
        <v>2692</v>
      </c>
      <c r="N178" s="128" t="s">
        <v>2693</v>
      </c>
      <c r="O178" s="127" t="s">
        <v>1109</v>
      </c>
      <c r="P178" s="128" t="s">
        <v>2693</v>
      </c>
      <c r="Q178" s="127" t="s">
        <v>1109</v>
      </c>
      <c r="R178" s="127" t="s">
        <v>1109</v>
      </c>
      <c r="S178" s="128" t="s">
        <v>2693</v>
      </c>
      <c r="T178">
        <f t="shared" si="6"/>
        <v>4</v>
      </c>
      <c r="U178">
        <f t="shared" si="7"/>
        <v>5</v>
      </c>
      <c r="V178">
        <f t="shared" si="8"/>
        <v>1</v>
      </c>
    </row>
    <row r="179" spans="1:22">
      <c r="A179" s="126" t="s">
        <v>2551</v>
      </c>
      <c r="B179" s="127" t="s">
        <v>1109</v>
      </c>
      <c r="C179" s="127" t="s">
        <v>1109</v>
      </c>
      <c r="D179" s="127" t="s">
        <v>1109</v>
      </c>
      <c r="E179" s="128" t="s">
        <v>2693</v>
      </c>
      <c r="F179" s="128" t="s">
        <v>2692</v>
      </c>
      <c r="G179" s="128" t="s">
        <v>2693</v>
      </c>
      <c r="H179" s="127" t="s">
        <v>1109</v>
      </c>
      <c r="I179" s="127" t="s">
        <v>1109</v>
      </c>
      <c r="J179" s="128" t="s">
        <v>2691</v>
      </c>
      <c r="K179" s="127" t="s">
        <v>1109</v>
      </c>
      <c r="L179" s="128" t="s">
        <v>2691</v>
      </c>
      <c r="M179" s="127" t="s">
        <v>1109</v>
      </c>
      <c r="N179" s="128" t="s">
        <v>2693</v>
      </c>
      <c r="O179" s="128" t="s">
        <v>2692</v>
      </c>
      <c r="P179" s="127" t="s">
        <v>1109</v>
      </c>
      <c r="Q179" s="128" t="s">
        <v>2692</v>
      </c>
      <c r="R179" s="127" t="s">
        <v>1109</v>
      </c>
      <c r="S179" s="128" t="s">
        <v>2693</v>
      </c>
      <c r="T179">
        <f t="shared" si="6"/>
        <v>4</v>
      </c>
      <c r="U179">
        <f t="shared" si="7"/>
        <v>3</v>
      </c>
      <c r="V179">
        <f t="shared" si="8"/>
        <v>2</v>
      </c>
    </row>
    <row r="180" spans="1:22">
      <c r="A180" s="126" t="s">
        <v>2552</v>
      </c>
      <c r="B180" s="128" t="s">
        <v>2692</v>
      </c>
      <c r="C180" s="128" t="s">
        <v>2693</v>
      </c>
      <c r="D180" s="127" t="s">
        <v>1109</v>
      </c>
      <c r="E180" s="128" t="s">
        <v>2693</v>
      </c>
      <c r="F180" s="128" t="s">
        <v>2692</v>
      </c>
      <c r="G180" s="127" t="s">
        <v>1109</v>
      </c>
      <c r="H180" s="127" t="s">
        <v>1109</v>
      </c>
      <c r="I180" s="128" t="s">
        <v>2691</v>
      </c>
      <c r="J180" s="128" t="s">
        <v>2691</v>
      </c>
      <c r="K180" s="128" t="s">
        <v>2692</v>
      </c>
      <c r="L180" s="128" t="s">
        <v>2692</v>
      </c>
      <c r="M180" s="128" t="s">
        <v>2692</v>
      </c>
      <c r="N180" s="127" t="s">
        <v>1109</v>
      </c>
      <c r="O180" s="127" t="s">
        <v>1109</v>
      </c>
      <c r="P180" s="128" t="s">
        <v>2692</v>
      </c>
      <c r="Q180" s="127" t="s">
        <v>1109</v>
      </c>
      <c r="R180" s="128" t="s">
        <v>2692</v>
      </c>
      <c r="S180" s="128" t="s">
        <v>2692</v>
      </c>
      <c r="T180">
        <f t="shared" si="6"/>
        <v>2</v>
      </c>
      <c r="U180">
        <f t="shared" si="7"/>
        <v>8</v>
      </c>
      <c r="V180">
        <f t="shared" si="8"/>
        <v>2</v>
      </c>
    </row>
    <row r="181" spans="1:22">
      <c r="A181" s="126" t="s">
        <v>2553</v>
      </c>
      <c r="B181" s="127" t="s">
        <v>1109</v>
      </c>
      <c r="C181" s="127" t="s">
        <v>1109</v>
      </c>
      <c r="D181" s="127" t="s">
        <v>1109</v>
      </c>
      <c r="E181" s="128" t="s">
        <v>2693</v>
      </c>
      <c r="F181" s="128" t="s">
        <v>2692</v>
      </c>
      <c r="G181" s="128" t="s">
        <v>2693</v>
      </c>
      <c r="H181" s="128" t="s">
        <v>2692</v>
      </c>
      <c r="I181" s="128" t="s">
        <v>2693</v>
      </c>
      <c r="J181" s="128" t="s">
        <v>2691</v>
      </c>
      <c r="K181" s="127" t="s">
        <v>1109</v>
      </c>
      <c r="L181" s="127" t="s">
        <v>1109</v>
      </c>
      <c r="M181" s="128" t="s">
        <v>2692</v>
      </c>
      <c r="N181" s="128" t="s">
        <v>2693</v>
      </c>
      <c r="O181" s="127" t="s">
        <v>1109</v>
      </c>
      <c r="P181" s="128" t="s">
        <v>2691</v>
      </c>
      <c r="Q181" s="128" t="s">
        <v>2692</v>
      </c>
      <c r="R181" s="128" t="s">
        <v>2693</v>
      </c>
      <c r="S181" s="127" t="s">
        <v>1109</v>
      </c>
      <c r="T181">
        <f t="shared" si="6"/>
        <v>5</v>
      </c>
      <c r="U181">
        <f t="shared" si="7"/>
        <v>4</v>
      </c>
      <c r="V181">
        <f t="shared" si="8"/>
        <v>2</v>
      </c>
    </row>
    <row r="182" spans="1:22">
      <c r="A182" s="126" t="s">
        <v>2377</v>
      </c>
      <c r="B182" s="127" t="s">
        <v>1109</v>
      </c>
      <c r="C182" s="127" t="s">
        <v>1109</v>
      </c>
      <c r="D182" s="127" t="s">
        <v>1109</v>
      </c>
      <c r="E182" s="127" t="s">
        <v>1109</v>
      </c>
      <c r="F182" s="127" t="s">
        <v>1109</v>
      </c>
      <c r="G182" s="127" t="s">
        <v>1109</v>
      </c>
      <c r="H182" s="128" t="s">
        <v>2692</v>
      </c>
      <c r="I182" s="127" t="s">
        <v>1109</v>
      </c>
      <c r="J182" s="127" t="s">
        <v>1109</v>
      </c>
      <c r="K182" s="127" t="s">
        <v>1109</v>
      </c>
      <c r="L182" s="128" t="s">
        <v>2692</v>
      </c>
      <c r="M182" s="128" t="s">
        <v>2693</v>
      </c>
      <c r="N182" s="127" t="s">
        <v>1109</v>
      </c>
      <c r="O182" s="128" t="s">
        <v>2693</v>
      </c>
      <c r="P182" s="127" t="s">
        <v>1109</v>
      </c>
      <c r="Q182" s="128" t="s">
        <v>2693</v>
      </c>
      <c r="R182" s="127" t="s">
        <v>1109</v>
      </c>
      <c r="S182" s="127" t="s">
        <v>1109</v>
      </c>
      <c r="T182">
        <f t="shared" si="6"/>
        <v>3</v>
      </c>
      <c r="U182">
        <f t="shared" si="7"/>
        <v>2</v>
      </c>
      <c r="V182">
        <f t="shared" si="8"/>
        <v>0</v>
      </c>
    </row>
    <row r="183" spans="1:22">
      <c r="A183" s="126" t="s">
        <v>2554</v>
      </c>
      <c r="B183" s="127" t="s">
        <v>1109</v>
      </c>
      <c r="C183" s="127" t="s">
        <v>1109</v>
      </c>
      <c r="D183" s="127" t="s">
        <v>1109</v>
      </c>
      <c r="E183" s="127" t="s">
        <v>1109</v>
      </c>
      <c r="F183" s="127" t="s">
        <v>1109</v>
      </c>
      <c r="G183" s="127" t="s">
        <v>1109</v>
      </c>
      <c r="H183" s="127" t="s">
        <v>1109</v>
      </c>
      <c r="I183" s="127" t="s">
        <v>1109</v>
      </c>
      <c r="J183" s="127" t="s">
        <v>1109</v>
      </c>
      <c r="K183" s="127" t="s">
        <v>1109</v>
      </c>
      <c r="L183" s="128" t="s">
        <v>2692</v>
      </c>
      <c r="M183" s="128" t="s">
        <v>2693</v>
      </c>
      <c r="N183" s="127" t="s">
        <v>1109</v>
      </c>
      <c r="O183" s="128" t="s">
        <v>2691</v>
      </c>
      <c r="P183" s="127" t="s">
        <v>1109</v>
      </c>
      <c r="Q183" s="128" t="s">
        <v>2693</v>
      </c>
      <c r="R183" s="127" t="s">
        <v>1109</v>
      </c>
      <c r="S183" s="127" t="s">
        <v>1109</v>
      </c>
      <c r="T183">
        <f t="shared" si="6"/>
        <v>2</v>
      </c>
      <c r="U183">
        <f t="shared" si="7"/>
        <v>1</v>
      </c>
      <c r="V183">
        <f t="shared" si="8"/>
        <v>1</v>
      </c>
    </row>
    <row r="184" spans="1:22">
      <c r="A184" s="126" t="s">
        <v>2555</v>
      </c>
      <c r="B184" s="127" t="s">
        <v>1109</v>
      </c>
      <c r="C184" s="128" t="s">
        <v>2692</v>
      </c>
      <c r="D184" s="128" t="s">
        <v>2693</v>
      </c>
      <c r="E184" s="127" t="s">
        <v>1109</v>
      </c>
      <c r="F184" s="128" t="s">
        <v>2692</v>
      </c>
      <c r="G184" s="128" t="s">
        <v>2692</v>
      </c>
      <c r="H184" s="128" t="s">
        <v>2692</v>
      </c>
      <c r="I184" s="127" t="s">
        <v>1109</v>
      </c>
      <c r="J184" s="128" t="s">
        <v>2693</v>
      </c>
      <c r="K184" s="127" t="s">
        <v>1109</v>
      </c>
      <c r="L184" s="128" t="s">
        <v>2692</v>
      </c>
      <c r="M184" s="127" t="s">
        <v>1109</v>
      </c>
      <c r="N184" s="128" t="s">
        <v>2693</v>
      </c>
      <c r="O184" s="128" t="s">
        <v>2693</v>
      </c>
      <c r="P184" s="127" t="s">
        <v>1109</v>
      </c>
      <c r="Q184" s="128" t="s">
        <v>2693</v>
      </c>
      <c r="R184" s="128" t="s">
        <v>2692</v>
      </c>
      <c r="S184" s="128" t="s">
        <v>2692</v>
      </c>
      <c r="T184">
        <f t="shared" si="6"/>
        <v>5</v>
      </c>
      <c r="U184">
        <f t="shared" si="7"/>
        <v>7</v>
      </c>
      <c r="V184">
        <f t="shared" si="8"/>
        <v>0</v>
      </c>
    </row>
    <row r="185" spans="1:22">
      <c r="A185" s="126" t="s">
        <v>2556</v>
      </c>
      <c r="B185" s="127" t="s">
        <v>1109</v>
      </c>
      <c r="C185" s="128" t="s">
        <v>2692</v>
      </c>
      <c r="D185" s="128" t="s">
        <v>2692</v>
      </c>
      <c r="E185" s="128" t="s">
        <v>2693</v>
      </c>
      <c r="F185" s="128" t="s">
        <v>2693</v>
      </c>
      <c r="G185" s="128" t="s">
        <v>2692</v>
      </c>
      <c r="H185" s="128" t="s">
        <v>2692</v>
      </c>
      <c r="I185" s="127" t="s">
        <v>1109</v>
      </c>
      <c r="J185" s="127" t="s">
        <v>1109</v>
      </c>
      <c r="K185" s="127" t="s">
        <v>1109</v>
      </c>
      <c r="L185" s="128" t="s">
        <v>2692</v>
      </c>
      <c r="M185" s="128" t="s">
        <v>2693</v>
      </c>
      <c r="N185" s="127" t="s">
        <v>1109</v>
      </c>
      <c r="O185" s="128" t="s">
        <v>2693</v>
      </c>
      <c r="P185" s="127" t="s">
        <v>1109</v>
      </c>
      <c r="Q185" s="128" t="s">
        <v>2693</v>
      </c>
      <c r="R185" s="128" t="s">
        <v>2692</v>
      </c>
      <c r="S185" s="127" t="s">
        <v>1109</v>
      </c>
      <c r="T185">
        <f t="shared" si="6"/>
        <v>5</v>
      </c>
      <c r="U185">
        <f t="shared" si="7"/>
        <v>6</v>
      </c>
      <c r="V185">
        <f t="shared" si="8"/>
        <v>0</v>
      </c>
    </row>
    <row r="186" spans="1:22">
      <c r="A186" s="126" t="s">
        <v>2557</v>
      </c>
      <c r="B186" s="127" t="s">
        <v>1109</v>
      </c>
      <c r="C186" s="127" t="s">
        <v>1109</v>
      </c>
      <c r="D186" s="127" t="s">
        <v>1109</v>
      </c>
      <c r="E186" s="128" t="s">
        <v>2692</v>
      </c>
      <c r="F186" s="127" t="s">
        <v>1109</v>
      </c>
      <c r="G186" s="127" t="s">
        <v>1109</v>
      </c>
      <c r="H186" s="128" t="s">
        <v>2692</v>
      </c>
      <c r="I186" s="127" t="s">
        <v>1109</v>
      </c>
      <c r="J186" s="128" t="s">
        <v>2693</v>
      </c>
      <c r="K186" s="128" t="s">
        <v>2692</v>
      </c>
      <c r="L186" s="128" t="s">
        <v>2692</v>
      </c>
      <c r="M186" s="128" t="s">
        <v>2693</v>
      </c>
      <c r="N186" s="127" t="s">
        <v>1109</v>
      </c>
      <c r="O186" s="128" t="s">
        <v>2693</v>
      </c>
      <c r="P186" s="127" t="s">
        <v>1109</v>
      </c>
      <c r="Q186" s="128" t="s">
        <v>2693</v>
      </c>
      <c r="R186" s="128" t="s">
        <v>2692</v>
      </c>
      <c r="S186" s="127" t="s">
        <v>1109</v>
      </c>
      <c r="T186">
        <f t="shared" si="6"/>
        <v>4</v>
      </c>
      <c r="U186">
        <f t="shared" si="7"/>
        <v>5</v>
      </c>
      <c r="V186">
        <f t="shared" si="8"/>
        <v>0</v>
      </c>
    </row>
    <row r="187" spans="1:22">
      <c r="A187" s="126" t="s">
        <v>2558</v>
      </c>
      <c r="B187" s="127" t="s">
        <v>1109</v>
      </c>
      <c r="C187" s="128" t="s">
        <v>2693</v>
      </c>
      <c r="D187" s="128" t="s">
        <v>2692</v>
      </c>
      <c r="E187" s="128" t="s">
        <v>2692</v>
      </c>
      <c r="F187" s="128" t="s">
        <v>2692</v>
      </c>
      <c r="G187" s="128" t="s">
        <v>2693</v>
      </c>
      <c r="H187" s="128" t="s">
        <v>2692</v>
      </c>
      <c r="I187" s="128" t="s">
        <v>2693</v>
      </c>
      <c r="J187" s="128" t="s">
        <v>2692</v>
      </c>
      <c r="K187" s="128" t="s">
        <v>2693</v>
      </c>
      <c r="L187" s="128" t="s">
        <v>2692</v>
      </c>
      <c r="M187" s="128" t="s">
        <v>2693</v>
      </c>
      <c r="N187" s="127" t="s">
        <v>1109</v>
      </c>
      <c r="O187" s="128" t="s">
        <v>2693</v>
      </c>
      <c r="P187" s="127" t="s">
        <v>1109</v>
      </c>
      <c r="Q187" s="128" t="s">
        <v>2693</v>
      </c>
      <c r="R187" s="127" t="s">
        <v>1109</v>
      </c>
      <c r="S187" s="127" t="s">
        <v>1109</v>
      </c>
      <c r="T187">
        <f t="shared" si="6"/>
        <v>7</v>
      </c>
      <c r="U187">
        <f t="shared" si="7"/>
        <v>6</v>
      </c>
      <c r="V187">
        <f t="shared" si="8"/>
        <v>0</v>
      </c>
    </row>
    <row r="188" spans="1:22">
      <c r="A188" s="126" t="s">
        <v>2559</v>
      </c>
      <c r="B188" s="127" t="s">
        <v>1109</v>
      </c>
      <c r="C188" s="128" t="s">
        <v>2693</v>
      </c>
      <c r="D188" s="127" t="s">
        <v>1109</v>
      </c>
      <c r="E188" s="127" t="s">
        <v>1109</v>
      </c>
      <c r="F188" s="127" t="s">
        <v>1109</v>
      </c>
      <c r="G188" s="128" t="s">
        <v>2692</v>
      </c>
      <c r="H188" s="127" t="s">
        <v>1109</v>
      </c>
      <c r="I188" s="127" t="s">
        <v>1109</v>
      </c>
      <c r="J188" s="127" t="s">
        <v>1109</v>
      </c>
      <c r="K188" s="127" t="s">
        <v>1109</v>
      </c>
      <c r="L188" s="128" t="s">
        <v>2692</v>
      </c>
      <c r="M188" s="128" t="s">
        <v>2693</v>
      </c>
      <c r="N188" s="128" t="s">
        <v>2693</v>
      </c>
      <c r="O188" s="128" t="s">
        <v>2693</v>
      </c>
      <c r="P188" s="127" t="s">
        <v>1109</v>
      </c>
      <c r="Q188" s="128" t="s">
        <v>2693</v>
      </c>
      <c r="R188" s="128" t="s">
        <v>2693</v>
      </c>
      <c r="S188" s="127" t="s">
        <v>1109</v>
      </c>
      <c r="T188">
        <f t="shared" si="6"/>
        <v>6</v>
      </c>
      <c r="U188">
        <f t="shared" si="7"/>
        <v>2</v>
      </c>
      <c r="V188">
        <f t="shared" si="8"/>
        <v>0</v>
      </c>
    </row>
    <row r="189" spans="1:22">
      <c r="A189" s="126" t="s">
        <v>2560</v>
      </c>
      <c r="B189" s="127" t="s">
        <v>1109</v>
      </c>
      <c r="C189" s="127" t="s">
        <v>1109</v>
      </c>
      <c r="D189" s="127" t="s">
        <v>1109</v>
      </c>
      <c r="E189" s="127" t="s">
        <v>1109</v>
      </c>
      <c r="F189" s="127" t="s">
        <v>1109</v>
      </c>
      <c r="G189" s="127" t="s">
        <v>1109</v>
      </c>
      <c r="H189" s="128" t="s">
        <v>2692</v>
      </c>
      <c r="I189" s="127" t="s">
        <v>1109</v>
      </c>
      <c r="J189" s="127" t="s">
        <v>1109</v>
      </c>
      <c r="K189" s="128" t="s">
        <v>2693</v>
      </c>
      <c r="L189" s="127" t="s">
        <v>1109</v>
      </c>
      <c r="M189" s="127" t="s">
        <v>1109</v>
      </c>
      <c r="N189" s="128" t="s">
        <v>2692</v>
      </c>
      <c r="O189" s="128" t="s">
        <v>2693</v>
      </c>
      <c r="P189" s="127" t="s">
        <v>1109</v>
      </c>
      <c r="Q189" s="127" t="s">
        <v>1109</v>
      </c>
      <c r="R189" s="127" t="s">
        <v>1109</v>
      </c>
      <c r="S189" s="128" t="s">
        <v>2693</v>
      </c>
      <c r="T189">
        <f t="shared" si="6"/>
        <v>3</v>
      </c>
      <c r="U189">
        <f t="shared" si="7"/>
        <v>2</v>
      </c>
      <c r="V189">
        <f t="shared" si="8"/>
        <v>0</v>
      </c>
    </row>
    <row r="190" spans="1:22">
      <c r="A190" s="126" t="s">
        <v>2561</v>
      </c>
      <c r="B190" s="127" t="s">
        <v>1109</v>
      </c>
      <c r="C190" s="127" t="s">
        <v>1109</v>
      </c>
      <c r="D190" s="127" t="s">
        <v>1109</v>
      </c>
      <c r="E190" s="127" t="s">
        <v>1109</v>
      </c>
      <c r="F190" s="128" t="s">
        <v>2692</v>
      </c>
      <c r="G190" s="127" t="s">
        <v>1109</v>
      </c>
      <c r="H190" s="128" t="s">
        <v>2692</v>
      </c>
      <c r="I190" s="128" t="s">
        <v>2692</v>
      </c>
      <c r="J190" s="128" t="s">
        <v>2693</v>
      </c>
      <c r="K190" s="127" t="s">
        <v>1109</v>
      </c>
      <c r="L190" s="127" t="s">
        <v>1109</v>
      </c>
      <c r="M190" s="127" t="s">
        <v>1109</v>
      </c>
      <c r="N190" s="127" t="s">
        <v>1109</v>
      </c>
      <c r="O190" s="128" t="s">
        <v>2693</v>
      </c>
      <c r="P190" s="127" t="s">
        <v>1109</v>
      </c>
      <c r="Q190" s="128" t="s">
        <v>2693</v>
      </c>
      <c r="R190" s="127" t="s">
        <v>1109</v>
      </c>
      <c r="S190" s="128" t="s">
        <v>2692</v>
      </c>
      <c r="T190">
        <f t="shared" si="6"/>
        <v>3</v>
      </c>
      <c r="U190">
        <f t="shared" si="7"/>
        <v>4</v>
      </c>
      <c r="V190">
        <f t="shared" si="8"/>
        <v>0</v>
      </c>
    </row>
    <row r="191" spans="1:22">
      <c r="A191" s="126" t="s">
        <v>2562</v>
      </c>
      <c r="B191" s="127" t="s">
        <v>1109</v>
      </c>
      <c r="C191" s="127" t="s">
        <v>1109</v>
      </c>
      <c r="D191" s="128" t="s">
        <v>2693</v>
      </c>
      <c r="E191" s="128" t="s">
        <v>2691</v>
      </c>
      <c r="F191" s="128" t="s">
        <v>2693</v>
      </c>
      <c r="G191" s="128" t="s">
        <v>2693</v>
      </c>
      <c r="H191" s="128" t="s">
        <v>2692</v>
      </c>
      <c r="I191" s="128" t="s">
        <v>2692</v>
      </c>
      <c r="J191" s="127" t="s">
        <v>1109</v>
      </c>
      <c r="K191" s="127" t="s">
        <v>1109</v>
      </c>
      <c r="L191" s="128" t="s">
        <v>2692</v>
      </c>
      <c r="M191" s="128" t="s">
        <v>2693</v>
      </c>
      <c r="N191" s="128" t="s">
        <v>2692</v>
      </c>
      <c r="O191" s="128" t="s">
        <v>2693</v>
      </c>
      <c r="P191" s="127" t="s">
        <v>1109</v>
      </c>
      <c r="Q191" s="128" t="s">
        <v>2693</v>
      </c>
      <c r="R191" s="127" t="s">
        <v>1109</v>
      </c>
      <c r="S191" s="127" t="s">
        <v>1109</v>
      </c>
      <c r="T191">
        <f t="shared" si="6"/>
        <v>6</v>
      </c>
      <c r="U191">
        <f t="shared" si="7"/>
        <v>4</v>
      </c>
      <c r="V191">
        <f t="shared" si="8"/>
        <v>1</v>
      </c>
    </row>
    <row r="192" spans="1:22">
      <c r="A192" s="126" t="s">
        <v>2563</v>
      </c>
      <c r="B192" s="127" t="s">
        <v>1109</v>
      </c>
      <c r="C192" s="127" t="s">
        <v>1109</v>
      </c>
      <c r="D192" s="127" t="s">
        <v>1109</v>
      </c>
      <c r="E192" s="128" t="s">
        <v>2693</v>
      </c>
      <c r="F192" s="128" t="s">
        <v>2692</v>
      </c>
      <c r="G192" s="128" t="s">
        <v>2693</v>
      </c>
      <c r="H192" s="128" t="s">
        <v>2692</v>
      </c>
      <c r="I192" s="127" t="s">
        <v>1109</v>
      </c>
      <c r="J192" s="128" t="s">
        <v>2691</v>
      </c>
      <c r="K192" s="127" t="s">
        <v>1109</v>
      </c>
      <c r="L192" s="128" t="s">
        <v>2692</v>
      </c>
      <c r="M192" s="127" t="s">
        <v>1109</v>
      </c>
      <c r="N192" s="128" t="s">
        <v>2693</v>
      </c>
      <c r="O192" s="128" t="s">
        <v>2693</v>
      </c>
      <c r="P192" s="127" t="s">
        <v>1109</v>
      </c>
      <c r="Q192" s="128" t="s">
        <v>2693</v>
      </c>
      <c r="R192" s="127" t="s">
        <v>1109</v>
      </c>
      <c r="S192" s="127" t="s">
        <v>1109</v>
      </c>
      <c r="T192">
        <f t="shared" si="6"/>
        <v>5</v>
      </c>
      <c r="U192">
        <f t="shared" si="7"/>
        <v>3</v>
      </c>
      <c r="V192">
        <f t="shared" si="8"/>
        <v>1</v>
      </c>
    </row>
    <row r="193" spans="1:22">
      <c r="A193" s="126" t="s">
        <v>2564</v>
      </c>
      <c r="B193" s="127" t="s">
        <v>1109</v>
      </c>
      <c r="C193" s="128" t="s">
        <v>2693</v>
      </c>
      <c r="D193" s="127" t="s">
        <v>1109</v>
      </c>
      <c r="E193" s="127" t="s">
        <v>1109</v>
      </c>
      <c r="F193" s="128" t="s">
        <v>2692</v>
      </c>
      <c r="G193" s="127" t="s">
        <v>1109</v>
      </c>
      <c r="H193" s="128" t="s">
        <v>2692</v>
      </c>
      <c r="I193" s="127" t="s">
        <v>1109</v>
      </c>
      <c r="J193" s="128" t="s">
        <v>2692</v>
      </c>
      <c r="K193" s="128" t="s">
        <v>2693</v>
      </c>
      <c r="L193" s="128" t="s">
        <v>2692</v>
      </c>
      <c r="M193" s="128" t="s">
        <v>2693</v>
      </c>
      <c r="N193" s="128" t="s">
        <v>2693</v>
      </c>
      <c r="O193" s="128" t="s">
        <v>2693</v>
      </c>
      <c r="P193" s="127" t="s">
        <v>1109</v>
      </c>
      <c r="Q193" s="128" t="s">
        <v>2693</v>
      </c>
      <c r="R193" s="127" t="s">
        <v>1109</v>
      </c>
      <c r="S193" s="127" t="s">
        <v>1109</v>
      </c>
      <c r="T193">
        <f t="shared" si="6"/>
        <v>6</v>
      </c>
      <c r="U193">
        <f t="shared" si="7"/>
        <v>4</v>
      </c>
      <c r="V193">
        <f t="shared" si="8"/>
        <v>0</v>
      </c>
    </row>
    <row r="194" spans="1:22">
      <c r="A194" s="126" t="s">
        <v>2565</v>
      </c>
      <c r="B194" s="128" t="s">
        <v>2692</v>
      </c>
      <c r="C194" s="128" t="s">
        <v>2692</v>
      </c>
      <c r="D194" s="128" t="s">
        <v>2693</v>
      </c>
      <c r="E194" s="127" t="s">
        <v>1109</v>
      </c>
      <c r="F194" s="128" t="s">
        <v>2693</v>
      </c>
      <c r="G194" s="127" t="s">
        <v>1109</v>
      </c>
      <c r="H194" s="127" t="s">
        <v>1109</v>
      </c>
      <c r="I194" s="128" t="s">
        <v>2692</v>
      </c>
      <c r="J194" s="128" t="s">
        <v>2693</v>
      </c>
      <c r="K194" s="128" t="s">
        <v>2692</v>
      </c>
      <c r="L194" s="128" t="s">
        <v>2692</v>
      </c>
      <c r="M194" s="128" t="s">
        <v>2693</v>
      </c>
      <c r="N194" s="127" t="s">
        <v>1109</v>
      </c>
      <c r="O194" s="128" t="s">
        <v>2693</v>
      </c>
      <c r="P194" s="127" t="s">
        <v>1109</v>
      </c>
      <c r="Q194" s="128" t="s">
        <v>2693</v>
      </c>
      <c r="R194" s="128" t="s">
        <v>2693</v>
      </c>
      <c r="S194" s="127" t="s">
        <v>1109</v>
      </c>
      <c r="T194">
        <f t="shared" si="6"/>
        <v>7</v>
      </c>
      <c r="U194">
        <f t="shared" si="7"/>
        <v>5</v>
      </c>
      <c r="V194">
        <f t="shared" si="8"/>
        <v>0</v>
      </c>
    </row>
    <row r="195" spans="1:22">
      <c r="A195" s="126" t="s">
        <v>2566</v>
      </c>
      <c r="B195" s="128" t="s">
        <v>2691</v>
      </c>
      <c r="C195" s="127" t="s">
        <v>1109</v>
      </c>
      <c r="D195" s="127" t="s">
        <v>1109</v>
      </c>
      <c r="E195" s="127" t="s">
        <v>1109</v>
      </c>
      <c r="F195" s="127" t="s">
        <v>1109</v>
      </c>
      <c r="G195" s="127" t="s">
        <v>1109</v>
      </c>
      <c r="H195" s="128" t="s">
        <v>2691</v>
      </c>
      <c r="I195" s="128" t="s">
        <v>2692</v>
      </c>
      <c r="J195" s="127" t="s">
        <v>1109</v>
      </c>
      <c r="K195" s="127" t="s">
        <v>1109</v>
      </c>
      <c r="L195" s="128" t="s">
        <v>2692</v>
      </c>
      <c r="M195" s="127" t="s">
        <v>1109</v>
      </c>
      <c r="N195" s="127" t="s">
        <v>1109</v>
      </c>
      <c r="O195" s="128" t="s">
        <v>2693</v>
      </c>
      <c r="P195" s="127" t="s">
        <v>1109</v>
      </c>
      <c r="Q195" s="128" t="s">
        <v>2693</v>
      </c>
      <c r="R195" s="127" t="s">
        <v>1109</v>
      </c>
      <c r="S195" s="127" t="s">
        <v>1109</v>
      </c>
      <c r="T195">
        <f t="shared" ref="T195:T258" si="9">COUNTIF($B195:$S195,"W")</f>
        <v>2</v>
      </c>
      <c r="U195">
        <f t="shared" ref="U195:U258" si="10">COUNTIF($B195:$S195,"R")</f>
        <v>2</v>
      </c>
      <c r="V195">
        <f t="shared" ref="V195:V258" si="11">COUNTIF($B195:$S195,"I")</f>
        <v>2</v>
      </c>
    </row>
    <row r="196" spans="1:22">
      <c r="A196" s="126" t="s">
        <v>2567</v>
      </c>
      <c r="B196" s="127" t="s">
        <v>1109</v>
      </c>
      <c r="C196" s="128" t="s">
        <v>2692</v>
      </c>
      <c r="D196" s="128" t="s">
        <v>2692</v>
      </c>
      <c r="E196" s="128" t="s">
        <v>2692</v>
      </c>
      <c r="F196" s="128" t="s">
        <v>2692</v>
      </c>
      <c r="G196" s="128" t="s">
        <v>2693</v>
      </c>
      <c r="H196" s="128" t="s">
        <v>2692</v>
      </c>
      <c r="I196" s="127" t="s">
        <v>1109</v>
      </c>
      <c r="J196" s="127" t="s">
        <v>1109</v>
      </c>
      <c r="K196" s="127" t="s">
        <v>1109</v>
      </c>
      <c r="L196" s="128" t="s">
        <v>2692</v>
      </c>
      <c r="M196" s="128" t="s">
        <v>2693</v>
      </c>
      <c r="N196" s="127" t="s">
        <v>1109</v>
      </c>
      <c r="O196" s="128" t="s">
        <v>2693</v>
      </c>
      <c r="P196" s="128" t="s">
        <v>2693</v>
      </c>
      <c r="Q196" s="128" t="s">
        <v>2693</v>
      </c>
      <c r="R196" s="127" t="s">
        <v>1109</v>
      </c>
      <c r="S196" s="128" t="s">
        <v>2693</v>
      </c>
      <c r="T196">
        <f t="shared" si="9"/>
        <v>6</v>
      </c>
      <c r="U196">
        <f t="shared" si="10"/>
        <v>6</v>
      </c>
      <c r="V196">
        <f t="shared" si="11"/>
        <v>0</v>
      </c>
    </row>
    <row r="197" spans="1:22">
      <c r="A197" s="126" t="s">
        <v>2568</v>
      </c>
      <c r="B197" s="127" t="s">
        <v>1109</v>
      </c>
      <c r="C197" s="127" t="s">
        <v>1109</v>
      </c>
      <c r="D197" s="127" t="s">
        <v>1109</v>
      </c>
      <c r="E197" s="127" t="s">
        <v>1109</v>
      </c>
      <c r="F197" s="127" t="s">
        <v>1109</v>
      </c>
      <c r="G197" s="127" t="s">
        <v>1109</v>
      </c>
      <c r="H197" s="127" t="s">
        <v>1109</v>
      </c>
      <c r="I197" s="127" t="s">
        <v>1109</v>
      </c>
      <c r="J197" s="127" t="s">
        <v>1109</v>
      </c>
      <c r="K197" s="127" t="s">
        <v>1109</v>
      </c>
      <c r="L197" s="128" t="s">
        <v>2691</v>
      </c>
      <c r="M197" s="128" t="s">
        <v>2693</v>
      </c>
      <c r="N197" s="127" t="s">
        <v>1109</v>
      </c>
      <c r="O197" s="127" t="s">
        <v>1109</v>
      </c>
      <c r="P197" s="127" t="s">
        <v>1109</v>
      </c>
      <c r="Q197" s="127" t="s">
        <v>1109</v>
      </c>
      <c r="R197" s="127" t="s">
        <v>1109</v>
      </c>
      <c r="S197" s="128" t="s">
        <v>2693</v>
      </c>
      <c r="T197">
        <f t="shared" si="9"/>
        <v>2</v>
      </c>
      <c r="U197">
        <f t="shared" si="10"/>
        <v>0</v>
      </c>
      <c r="V197">
        <f t="shared" si="11"/>
        <v>1</v>
      </c>
    </row>
    <row r="198" spans="1:22">
      <c r="A198" s="126" t="s">
        <v>2569</v>
      </c>
      <c r="B198" s="128" t="s">
        <v>2692</v>
      </c>
      <c r="C198" s="128" t="s">
        <v>2693</v>
      </c>
      <c r="D198" s="127" t="s">
        <v>1109</v>
      </c>
      <c r="E198" s="127" t="s">
        <v>1109</v>
      </c>
      <c r="F198" s="128" t="s">
        <v>2692</v>
      </c>
      <c r="G198" s="128" t="s">
        <v>2692</v>
      </c>
      <c r="H198" s="127" t="s">
        <v>1109</v>
      </c>
      <c r="I198" s="128" t="s">
        <v>2691</v>
      </c>
      <c r="J198" s="128" t="s">
        <v>2693</v>
      </c>
      <c r="K198" s="128" t="s">
        <v>2692</v>
      </c>
      <c r="L198" s="128" t="s">
        <v>2692</v>
      </c>
      <c r="M198" s="127" t="s">
        <v>1109</v>
      </c>
      <c r="N198" s="128" t="s">
        <v>2692</v>
      </c>
      <c r="O198" s="128" t="s">
        <v>2693</v>
      </c>
      <c r="P198" s="128" t="s">
        <v>2692</v>
      </c>
      <c r="Q198" s="128" t="s">
        <v>2693</v>
      </c>
      <c r="R198" s="128" t="s">
        <v>2692</v>
      </c>
      <c r="S198" s="128" t="s">
        <v>2692</v>
      </c>
      <c r="T198">
        <f t="shared" si="9"/>
        <v>4</v>
      </c>
      <c r="U198">
        <f t="shared" si="10"/>
        <v>9</v>
      </c>
      <c r="V198">
        <f t="shared" si="11"/>
        <v>1</v>
      </c>
    </row>
    <row r="199" spans="1:22">
      <c r="A199" s="126" t="s">
        <v>2570</v>
      </c>
      <c r="B199" s="127" t="s">
        <v>1109</v>
      </c>
      <c r="C199" s="127" t="s">
        <v>1109</v>
      </c>
      <c r="D199" s="127" t="s">
        <v>1109</v>
      </c>
      <c r="E199" s="127" t="s">
        <v>1109</v>
      </c>
      <c r="F199" s="127" t="s">
        <v>1109</v>
      </c>
      <c r="G199" s="127" t="s">
        <v>1109</v>
      </c>
      <c r="H199" s="128" t="s">
        <v>2692</v>
      </c>
      <c r="I199" s="128" t="s">
        <v>2693</v>
      </c>
      <c r="J199" s="127" t="s">
        <v>1109</v>
      </c>
      <c r="K199" s="127" t="s">
        <v>1109</v>
      </c>
      <c r="L199" s="128" t="s">
        <v>2692</v>
      </c>
      <c r="M199" s="127" t="s">
        <v>1109</v>
      </c>
      <c r="N199" s="127" t="s">
        <v>1109</v>
      </c>
      <c r="O199" s="128" t="s">
        <v>2693</v>
      </c>
      <c r="P199" s="128" t="s">
        <v>2691</v>
      </c>
      <c r="Q199" s="127" t="s">
        <v>1109</v>
      </c>
      <c r="R199" s="128" t="s">
        <v>2693</v>
      </c>
      <c r="S199" s="127" t="s">
        <v>1109</v>
      </c>
      <c r="T199">
        <f t="shared" si="9"/>
        <v>3</v>
      </c>
      <c r="U199">
        <f t="shared" si="10"/>
        <v>2</v>
      </c>
      <c r="V199">
        <f t="shared" si="11"/>
        <v>1</v>
      </c>
    </row>
    <row r="200" spans="1:22">
      <c r="A200" s="126" t="s">
        <v>2362</v>
      </c>
      <c r="B200" s="127" t="s">
        <v>1109</v>
      </c>
      <c r="C200" s="128" t="s">
        <v>2693</v>
      </c>
      <c r="D200" s="127" t="s">
        <v>1109</v>
      </c>
      <c r="E200" s="127" t="s">
        <v>1109</v>
      </c>
      <c r="F200" s="128" t="s">
        <v>2692</v>
      </c>
      <c r="G200" s="127" t="s">
        <v>1109</v>
      </c>
      <c r="H200" s="128" t="s">
        <v>2692</v>
      </c>
      <c r="I200" s="127" t="s">
        <v>1109</v>
      </c>
      <c r="J200" s="128" t="s">
        <v>2692</v>
      </c>
      <c r="K200" s="128" t="s">
        <v>2693</v>
      </c>
      <c r="L200" s="127" t="s">
        <v>1109</v>
      </c>
      <c r="M200" s="127" t="s">
        <v>1109</v>
      </c>
      <c r="N200" s="128" t="s">
        <v>2693</v>
      </c>
      <c r="O200" s="127" t="s">
        <v>1109</v>
      </c>
      <c r="P200" s="127" t="s">
        <v>1109</v>
      </c>
      <c r="Q200" s="127" t="s">
        <v>1109</v>
      </c>
      <c r="R200" s="127" t="s">
        <v>1109</v>
      </c>
      <c r="S200" s="127" t="s">
        <v>1109</v>
      </c>
      <c r="T200">
        <f t="shared" si="9"/>
        <v>3</v>
      </c>
      <c r="U200">
        <f t="shared" si="10"/>
        <v>3</v>
      </c>
      <c r="V200">
        <f t="shared" si="11"/>
        <v>0</v>
      </c>
    </row>
    <row r="201" spans="1:22">
      <c r="A201" s="126" t="s">
        <v>2571</v>
      </c>
      <c r="B201" s="127" t="s">
        <v>1109</v>
      </c>
      <c r="C201" s="128" t="s">
        <v>2693</v>
      </c>
      <c r="D201" s="127" t="s">
        <v>1109</v>
      </c>
      <c r="E201" s="127" t="s">
        <v>1109</v>
      </c>
      <c r="F201" s="128" t="s">
        <v>2692</v>
      </c>
      <c r="G201" s="127" t="s">
        <v>1109</v>
      </c>
      <c r="H201" s="127" t="s">
        <v>1109</v>
      </c>
      <c r="I201" s="127" t="s">
        <v>1109</v>
      </c>
      <c r="J201" s="128" t="s">
        <v>2692</v>
      </c>
      <c r="K201" s="128" t="s">
        <v>2693</v>
      </c>
      <c r="L201" s="127" t="s">
        <v>1109</v>
      </c>
      <c r="M201" s="127" t="s">
        <v>1109</v>
      </c>
      <c r="N201" s="128" t="s">
        <v>2693</v>
      </c>
      <c r="O201" s="128" t="s">
        <v>2691</v>
      </c>
      <c r="P201" s="127" t="s">
        <v>1109</v>
      </c>
      <c r="Q201" s="127" t="s">
        <v>1109</v>
      </c>
      <c r="R201" s="127" t="s">
        <v>1109</v>
      </c>
      <c r="S201" s="127" t="s">
        <v>1109</v>
      </c>
      <c r="T201">
        <f t="shared" si="9"/>
        <v>3</v>
      </c>
      <c r="U201">
        <f t="shared" si="10"/>
        <v>2</v>
      </c>
      <c r="V201">
        <f t="shared" si="11"/>
        <v>1</v>
      </c>
    </row>
    <row r="202" spans="1:22">
      <c r="A202" s="126" t="s">
        <v>2572</v>
      </c>
      <c r="B202" s="127" t="s">
        <v>1109</v>
      </c>
      <c r="C202" s="127" t="s">
        <v>1109</v>
      </c>
      <c r="D202" s="128" t="s">
        <v>2693</v>
      </c>
      <c r="E202" s="127" t="s">
        <v>1109</v>
      </c>
      <c r="F202" s="128" t="s">
        <v>2692</v>
      </c>
      <c r="G202" s="128" t="s">
        <v>2692</v>
      </c>
      <c r="H202" s="128" t="s">
        <v>2692</v>
      </c>
      <c r="I202" s="127" t="s">
        <v>1109</v>
      </c>
      <c r="J202" s="127" t="s">
        <v>1109</v>
      </c>
      <c r="K202" s="128" t="s">
        <v>2693</v>
      </c>
      <c r="L202" s="127" t="s">
        <v>1109</v>
      </c>
      <c r="M202" s="128" t="s">
        <v>2692</v>
      </c>
      <c r="N202" s="128" t="s">
        <v>2693</v>
      </c>
      <c r="O202" s="127" t="s">
        <v>1109</v>
      </c>
      <c r="P202" s="127" t="s">
        <v>1109</v>
      </c>
      <c r="Q202" s="127" t="s">
        <v>1109</v>
      </c>
      <c r="R202" s="128" t="s">
        <v>2692</v>
      </c>
      <c r="S202" s="128" t="s">
        <v>2692</v>
      </c>
      <c r="T202">
        <f t="shared" si="9"/>
        <v>3</v>
      </c>
      <c r="U202">
        <f t="shared" si="10"/>
        <v>6</v>
      </c>
      <c r="V202">
        <f t="shared" si="11"/>
        <v>0</v>
      </c>
    </row>
    <row r="203" spans="1:22">
      <c r="A203" s="126" t="s">
        <v>2573</v>
      </c>
      <c r="B203" s="127" t="s">
        <v>1109</v>
      </c>
      <c r="C203" s="127" t="s">
        <v>1109</v>
      </c>
      <c r="D203" s="128" t="s">
        <v>2692</v>
      </c>
      <c r="E203" s="128" t="s">
        <v>2693</v>
      </c>
      <c r="F203" s="127" t="s">
        <v>1109</v>
      </c>
      <c r="G203" s="128" t="s">
        <v>2692</v>
      </c>
      <c r="H203" s="128" t="s">
        <v>2692</v>
      </c>
      <c r="I203" s="127" t="s">
        <v>1109</v>
      </c>
      <c r="J203" s="128" t="s">
        <v>2692</v>
      </c>
      <c r="K203" s="128" t="s">
        <v>2693</v>
      </c>
      <c r="L203" s="127" t="s">
        <v>1109</v>
      </c>
      <c r="M203" s="127" t="s">
        <v>1109</v>
      </c>
      <c r="N203" s="128" t="s">
        <v>2693</v>
      </c>
      <c r="O203" s="127" t="s">
        <v>1109</v>
      </c>
      <c r="P203" s="127" t="s">
        <v>1109</v>
      </c>
      <c r="Q203" s="127" t="s">
        <v>1109</v>
      </c>
      <c r="R203" s="128" t="s">
        <v>2692</v>
      </c>
      <c r="S203" s="127" t="s">
        <v>1109</v>
      </c>
      <c r="T203">
        <f t="shared" si="9"/>
        <v>3</v>
      </c>
      <c r="U203">
        <f t="shared" si="10"/>
        <v>5</v>
      </c>
      <c r="V203">
        <f t="shared" si="11"/>
        <v>0</v>
      </c>
    </row>
    <row r="204" spans="1:22">
      <c r="A204" s="126" t="s">
        <v>2574</v>
      </c>
      <c r="B204" s="127" t="s">
        <v>1109</v>
      </c>
      <c r="C204" s="128" t="s">
        <v>2693</v>
      </c>
      <c r="D204" s="127" t="s">
        <v>1109</v>
      </c>
      <c r="E204" s="128" t="s">
        <v>2692</v>
      </c>
      <c r="F204" s="128" t="s">
        <v>2692</v>
      </c>
      <c r="G204" s="127" t="s">
        <v>1109</v>
      </c>
      <c r="H204" s="128" t="s">
        <v>2692</v>
      </c>
      <c r="I204" s="127" t="s">
        <v>1109</v>
      </c>
      <c r="J204" s="127" t="s">
        <v>1109</v>
      </c>
      <c r="K204" s="127" t="s">
        <v>1109</v>
      </c>
      <c r="L204" s="127" t="s">
        <v>1109</v>
      </c>
      <c r="M204" s="127" t="s">
        <v>1109</v>
      </c>
      <c r="N204" s="128" t="s">
        <v>2693</v>
      </c>
      <c r="O204" s="127" t="s">
        <v>1109</v>
      </c>
      <c r="P204" s="127" t="s">
        <v>1109</v>
      </c>
      <c r="Q204" s="127" t="s">
        <v>1109</v>
      </c>
      <c r="R204" s="128" t="s">
        <v>2692</v>
      </c>
      <c r="S204" s="127" t="s">
        <v>1109</v>
      </c>
      <c r="T204">
        <f t="shared" si="9"/>
        <v>2</v>
      </c>
      <c r="U204">
        <f t="shared" si="10"/>
        <v>4</v>
      </c>
      <c r="V204">
        <f t="shared" si="11"/>
        <v>0</v>
      </c>
    </row>
    <row r="205" spans="1:22">
      <c r="A205" s="126" t="s">
        <v>2575</v>
      </c>
      <c r="B205" s="127" t="s">
        <v>1109</v>
      </c>
      <c r="C205" s="128" t="s">
        <v>2693</v>
      </c>
      <c r="D205" s="128" t="s">
        <v>2692</v>
      </c>
      <c r="E205" s="128" t="s">
        <v>2692</v>
      </c>
      <c r="F205" s="128" t="s">
        <v>2692</v>
      </c>
      <c r="G205" s="128" t="s">
        <v>2693</v>
      </c>
      <c r="H205" s="128" t="s">
        <v>2692</v>
      </c>
      <c r="I205" s="128" t="s">
        <v>2693</v>
      </c>
      <c r="J205" s="128" t="s">
        <v>2692</v>
      </c>
      <c r="K205" s="128" t="s">
        <v>2693</v>
      </c>
      <c r="L205" s="127" t="s">
        <v>1109</v>
      </c>
      <c r="M205" s="128" t="s">
        <v>2693</v>
      </c>
      <c r="N205" s="128" t="s">
        <v>2693</v>
      </c>
      <c r="O205" s="127" t="s">
        <v>1109</v>
      </c>
      <c r="P205" s="127" t="s">
        <v>1109</v>
      </c>
      <c r="Q205" s="127" t="s">
        <v>1109</v>
      </c>
      <c r="R205" s="127" t="s">
        <v>1109</v>
      </c>
      <c r="S205" s="127" t="s">
        <v>1109</v>
      </c>
      <c r="T205">
        <f t="shared" si="9"/>
        <v>6</v>
      </c>
      <c r="U205">
        <f t="shared" si="10"/>
        <v>5</v>
      </c>
      <c r="V205">
        <f t="shared" si="11"/>
        <v>0</v>
      </c>
    </row>
    <row r="206" spans="1:22">
      <c r="A206" s="126" t="s">
        <v>2576</v>
      </c>
      <c r="B206" s="127" t="s">
        <v>1109</v>
      </c>
      <c r="C206" s="128" t="s">
        <v>2693</v>
      </c>
      <c r="D206" s="127" t="s">
        <v>1109</v>
      </c>
      <c r="E206" s="127" t="s">
        <v>1109</v>
      </c>
      <c r="F206" s="128" t="s">
        <v>2692</v>
      </c>
      <c r="G206" s="128" t="s">
        <v>2692</v>
      </c>
      <c r="H206" s="127" t="s">
        <v>1109</v>
      </c>
      <c r="I206" s="127" t="s">
        <v>1109</v>
      </c>
      <c r="J206" s="128" t="s">
        <v>2692</v>
      </c>
      <c r="K206" s="128" t="s">
        <v>2693</v>
      </c>
      <c r="L206" s="127" t="s">
        <v>1109</v>
      </c>
      <c r="M206" s="127" t="s">
        <v>1109</v>
      </c>
      <c r="N206" s="128" t="s">
        <v>2693</v>
      </c>
      <c r="O206" s="127" t="s">
        <v>1109</v>
      </c>
      <c r="P206" s="127" t="s">
        <v>1109</v>
      </c>
      <c r="Q206" s="127" t="s">
        <v>1109</v>
      </c>
      <c r="R206" s="128" t="s">
        <v>2693</v>
      </c>
      <c r="S206" s="127" t="s">
        <v>1109</v>
      </c>
      <c r="T206">
        <f t="shared" si="9"/>
        <v>4</v>
      </c>
      <c r="U206">
        <f t="shared" si="10"/>
        <v>3</v>
      </c>
      <c r="V206">
        <f t="shared" si="11"/>
        <v>0</v>
      </c>
    </row>
    <row r="207" spans="1:22">
      <c r="A207" s="126" t="s">
        <v>2577</v>
      </c>
      <c r="B207" s="127" t="s">
        <v>1109</v>
      </c>
      <c r="C207" s="128" t="s">
        <v>2693</v>
      </c>
      <c r="D207" s="127" t="s">
        <v>1109</v>
      </c>
      <c r="E207" s="127" t="s">
        <v>1109</v>
      </c>
      <c r="F207" s="128" t="s">
        <v>2692</v>
      </c>
      <c r="G207" s="127" t="s">
        <v>1109</v>
      </c>
      <c r="H207" s="128" t="s">
        <v>2692</v>
      </c>
      <c r="I207" s="127" t="s">
        <v>1109</v>
      </c>
      <c r="J207" s="128" t="s">
        <v>2692</v>
      </c>
      <c r="K207" s="128" t="s">
        <v>2693</v>
      </c>
      <c r="L207" s="128" t="s">
        <v>2693</v>
      </c>
      <c r="M207" s="128" t="s">
        <v>2692</v>
      </c>
      <c r="N207" s="127" t="s">
        <v>1109</v>
      </c>
      <c r="O207" s="127" t="s">
        <v>1109</v>
      </c>
      <c r="P207" s="127" t="s">
        <v>1109</v>
      </c>
      <c r="Q207" s="128" t="s">
        <v>2692</v>
      </c>
      <c r="R207" s="127" t="s">
        <v>1109</v>
      </c>
      <c r="S207" s="128" t="s">
        <v>2693</v>
      </c>
      <c r="T207">
        <f t="shared" si="9"/>
        <v>4</v>
      </c>
      <c r="U207">
        <f t="shared" si="10"/>
        <v>5</v>
      </c>
      <c r="V207">
        <f t="shared" si="11"/>
        <v>0</v>
      </c>
    </row>
    <row r="208" spans="1:22">
      <c r="A208" s="126" t="s">
        <v>2578</v>
      </c>
      <c r="B208" s="127" t="s">
        <v>1109</v>
      </c>
      <c r="C208" s="128" t="s">
        <v>2693</v>
      </c>
      <c r="D208" s="127" t="s">
        <v>1109</v>
      </c>
      <c r="E208" s="127" t="s">
        <v>1109</v>
      </c>
      <c r="F208" s="128" t="s">
        <v>2692</v>
      </c>
      <c r="G208" s="127" t="s">
        <v>1109</v>
      </c>
      <c r="H208" s="128" t="s">
        <v>2692</v>
      </c>
      <c r="I208" s="128" t="s">
        <v>2692</v>
      </c>
      <c r="J208" s="127" t="s">
        <v>1109</v>
      </c>
      <c r="K208" s="128" t="s">
        <v>2693</v>
      </c>
      <c r="L208" s="128" t="s">
        <v>2693</v>
      </c>
      <c r="M208" s="128" t="s">
        <v>2692</v>
      </c>
      <c r="N208" s="128" t="s">
        <v>2693</v>
      </c>
      <c r="O208" s="127" t="s">
        <v>1109</v>
      </c>
      <c r="P208" s="127" t="s">
        <v>1109</v>
      </c>
      <c r="Q208" s="127" t="s">
        <v>1109</v>
      </c>
      <c r="R208" s="127" t="s">
        <v>1109</v>
      </c>
      <c r="S208" s="128" t="s">
        <v>2692</v>
      </c>
      <c r="T208">
        <f t="shared" si="9"/>
        <v>4</v>
      </c>
      <c r="U208">
        <f t="shared" si="10"/>
        <v>5</v>
      </c>
      <c r="V208">
        <f t="shared" si="11"/>
        <v>0</v>
      </c>
    </row>
    <row r="209" spans="1:22">
      <c r="A209" s="126" t="s">
        <v>2579</v>
      </c>
      <c r="B209" s="127" t="s">
        <v>1109</v>
      </c>
      <c r="C209" s="128" t="s">
        <v>2693</v>
      </c>
      <c r="D209" s="128" t="s">
        <v>2693</v>
      </c>
      <c r="E209" s="128" t="s">
        <v>2691</v>
      </c>
      <c r="F209" s="127" t="s">
        <v>1109</v>
      </c>
      <c r="G209" s="128" t="s">
        <v>2693</v>
      </c>
      <c r="H209" s="128" t="s">
        <v>2692</v>
      </c>
      <c r="I209" s="128" t="s">
        <v>2692</v>
      </c>
      <c r="J209" s="128" t="s">
        <v>2692</v>
      </c>
      <c r="K209" s="128" t="s">
        <v>2693</v>
      </c>
      <c r="L209" s="127" t="s">
        <v>1109</v>
      </c>
      <c r="M209" s="127" t="s">
        <v>1109</v>
      </c>
      <c r="N209" s="127" t="s">
        <v>1109</v>
      </c>
      <c r="O209" s="127" t="s">
        <v>1109</v>
      </c>
      <c r="P209" s="127" t="s">
        <v>1109</v>
      </c>
      <c r="Q209" s="127" t="s">
        <v>1109</v>
      </c>
      <c r="R209" s="127" t="s">
        <v>1109</v>
      </c>
      <c r="S209" s="127" t="s">
        <v>1109</v>
      </c>
      <c r="T209">
        <f t="shared" si="9"/>
        <v>4</v>
      </c>
      <c r="U209">
        <f t="shared" si="10"/>
        <v>3</v>
      </c>
      <c r="V209">
        <f t="shared" si="11"/>
        <v>1</v>
      </c>
    </row>
    <row r="210" spans="1:22">
      <c r="A210" s="126" t="s">
        <v>2580</v>
      </c>
      <c r="B210" s="127" t="s">
        <v>1109</v>
      </c>
      <c r="C210" s="128" t="s">
        <v>2693</v>
      </c>
      <c r="D210" s="127" t="s">
        <v>1109</v>
      </c>
      <c r="E210" s="128" t="s">
        <v>2693</v>
      </c>
      <c r="F210" s="128" t="s">
        <v>2692</v>
      </c>
      <c r="G210" s="128" t="s">
        <v>2693</v>
      </c>
      <c r="H210" s="128" t="s">
        <v>2692</v>
      </c>
      <c r="I210" s="127" t="s">
        <v>1109</v>
      </c>
      <c r="J210" s="128" t="s">
        <v>2691</v>
      </c>
      <c r="K210" s="128" t="s">
        <v>2693</v>
      </c>
      <c r="L210" s="127" t="s">
        <v>1109</v>
      </c>
      <c r="M210" s="128" t="s">
        <v>2692</v>
      </c>
      <c r="N210" s="128" t="s">
        <v>2693</v>
      </c>
      <c r="O210" s="127" t="s">
        <v>1109</v>
      </c>
      <c r="P210" s="127" t="s">
        <v>1109</v>
      </c>
      <c r="Q210" s="127" t="s">
        <v>1109</v>
      </c>
      <c r="R210" s="127" t="s">
        <v>1109</v>
      </c>
      <c r="S210" s="127" t="s">
        <v>1109</v>
      </c>
      <c r="T210">
        <f t="shared" si="9"/>
        <v>5</v>
      </c>
      <c r="U210">
        <f t="shared" si="10"/>
        <v>3</v>
      </c>
      <c r="V210">
        <f t="shared" si="11"/>
        <v>1</v>
      </c>
    </row>
    <row r="211" spans="1:22">
      <c r="A211" s="126" t="s">
        <v>2581</v>
      </c>
      <c r="B211" s="127" t="s">
        <v>1109</v>
      </c>
      <c r="C211" s="128" t="s">
        <v>2693</v>
      </c>
      <c r="D211" s="127" t="s">
        <v>1109</v>
      </c>
      <c r="E211" s="127" t="s">
        <v>1109</v>
      </c>
      <c r="F211" s="128" t="s">
        <v>2692</v>
      </c>
      <c r="G211" s="127" t="s">
        <v>1109</v>
      </c>
      <c r="H211" s="128" t="s">
        <v>2692</v>
      </c>
      <c r="I211" s="127" t="s">
        <v>1109</v>
      </c>
      <c r="J211" s="128" t="s">
        <v>2692</v>
      </c>
      <c r="K211" s="128" t="s">
        <v>2693</v>
      </c>
      <c r="L211" s="128" t="s">
        <v>2692</v>
      </c>
      <c r="M211" s="128" t="s">
        <v>2693</v>
      </c>
      <c r="N211" s="128" t="s">
        <v>2693</v>
      </c>
      <c r="O211" s="128" t="s">
        <v>2693</v>
      </c>
      <c r="P211" s="127" t="s">
        <v>1109</v>
      </c>
      <c r="Q211" s="128" t="s">
        <v>2693</v>
      </c>
      <c r="R211" s="127" t="s">
        <v>1109</v>
      </c>
      <c r="S211" s="127" t="s">
        <v>1109</v>
      </c>
      <c r="T211">
        <f t="shared" si="9"/>
        <v>6</v>
      </c>
      <c r="U211">
        <f t="shared" si="10"/>
        <v>4</v>
      </c>
      <c r="V211">
        <f t="shared" si="11"/>
        <v>0</v>
      </c>
    </row>
    <row r="212" spans="1:22">
      <c r="A212" s="126" t="s">
        <v>2582</v>
      </c>
      <c r="B212" s="128" t="s">
        <v>2692</v>
      </c>
      <c r="C212" s="127" t="s">
        <v>1109</v>
      </c>
      <c r="D212" s="128" t="s">
        <v>2693</v>
      </c>
      <c r="E212" s="127" t="s">
        <v>1109</v>
      </c>
      <c r="F212" s="127" t="s">
        <v>1109</v>
      </c>
      <c r="G212" s="127" t="s">
        <v>1109</v>
      </c>
      <c r="H212" s="127" t="s">
        <v>1109</v>
      </c>
      <c r="I212" s="128" t="s">
        <v>2692</v>
      </c>
      <c r="J212" s="127" t="s">
        <v>1109</v>
      </c>
      <c r="K212" s="127" t="s">
        <v>1109</v>
      </c>
      <c r="L212" s="127" t="s">
        <v>1109</v>
      </c>
      <c r="M212" s="127" t="s">
        <v>1109</v>
      </c>
      <c r="N212" s="128" t="s">
        <v>2693</v>
      </c>
      <c r="O212" s="127" t="s">
        <v>1109</v>
      </c>
      <c r="P212" s="127" t="s">
        <v>1109</v>
      </c>
      <c r="Q212" s="127" t="s">
        <v>1109</v>
      </c>
      <c r="R212" s="128" t="s">
        <v>2693</v>
      </c>
      <c r="S212" s="127" t="s">
        <v>1109</v>
      </c>
      <c r="T212">
        <f t="shared" si="9"/>
        <v>3</v>
      </c>
      <c r="U212">
        <f t="shared" si="10"/>
        <v>2</v>
      </c>
      <c r="V212">
        <f t="shared" si="11"/>
        <v>0</v>
      </c>
    </row>
    <row r="213" spans="1:22">
      <c r="A213" s="126" t="s">
        <v>2583</v>
      </c>
      <c r="B213" s="128" t="s">
        <v>2691</v>
      </c>
      <c r="C213" s="128" t="s">
        <v>2693</v>
      </c>
      <c r="D213" s="127" t="s">
        <v>1109</v>
      </c>
      <c r="E213" s="127" t="s">
        <v>1109</v>
      </c>
      <c r="F213" s="128" t="s">
        <v>2692</v>
      </c>
      <c r="G213" s="127" t="s">
        <v>1109</v>
      </c>
      <c r="H213" s="128" t="s">
        <v>2691</v>
      </c>
      <c r="I213" s="128" t="s">
        <v>2692</v>
      </c>
      <c r="J213" s="128" t="s">
        <v>2692</v>
      </c>
      <c r="K213" s="128" t="s">
        <v>2693</v>
      </c>
      <c r="L213" s="127" t="s">
        <v>1109</v>
      </c>
      <c r="M213" s="128" t="s">
        <v>2692</v>
      </c>
      <c r="N213" s="128" t="s">
        <v>2693</v>
      </c>
      <c r="O213" s="128" t="s">
        <v>2693</v>
      </c>
      <c r="P213" s="127" t="s">
        <v>1109</v>
      </c>
      <c r="Q213" s="128" t="s">
        <v>2693</v>
      </c>
      <c r="R213" s="127" t="s">
        <v>1109</v>
      </c>
      <c r="S213" s="127" t="s">
        <v>1109</v>
      </c>
      <c r="T213">
        <f t="shared" si="9"/>
        <v>5</v>
      </c>
      <c r="U213">
        <f t="shared" si="10"/>
        <v>4</v>
      </c>
      <c r="V213">
        <f t="shared" si="11"/>
        <v>2</v>
      </c>
    </row>
    <row r="214" spans="1:22">
      <c r="A214" s="126" t="s">
        <v>2584</v>
      </c>
      <c r="B214" s="127" t="s">
        <v>1109</v>
      </c>
      <c r="C214" s="127" t="s">
        <v>1109</v>
      </c>
      <c r="D214" s="128" t="s">
        <v>2692</v>
      </c>
      <c r="E214" s="128" t="s">
        <v>2692</v>
      </c>
      <c r="F214" s="128" t="s">
        <v>2692</v>
      </c>
      <c r="G214" s="128" t="s">
        <v>2693</v>
      </c>
      <c r="H214" s="128" t="s">
        <v>2692</v>
      </c>
      <c r="I214" s="127" t="s">
        <v>1109</v>
      </c>
      <c r="J214" s="128" t="s">
        <v>2692</v>
      </c>
      <c r="K214" s="128" t="s">
        <v>2693</v>
      </c>
      <c r="L214" s="127" t="s">
        <v>1109</v>
      </c>
      <c r="M214" s="127" t="s">
        <v>1109</v>
      </c>
      <c r="N214" s="128" t="s">
        <v>2693</v>
      </c>
      <c r="O214" s="127" t="s">
        <v>1109</v>
      </c>
      <c r="P214" s="128" t="s">
        <v>2693</v>
      </c>
      <c r="Q214" s="127" t="s">
        <v>1109</v>
      </c>
      <c r="R214" s="127" t="s">
        <v>1109</v>
      </c>
      <c r="S214" s="128" t="s">
        <v>2693</v>
      </c>
      <c r="T214">
        <f t="shared" si="9"/>
        <v>5</v>
      </c>
      <c r="U214">
        <f t="shared" si="10"/>
        <v>5</v>
      </c>
      <c r="V214">
        <f t="shared" si="11"/>
        <v>0</v>
      </c>
    </row>
    <row r="215" spans="1:22">
      <c r="A215" s="126" t="s">
        <v>2585</v>
      </c>
      <c r="B215" s="127" t="s">
        <v>1109</v>
      </c>
      <c r="C215" s="128" t="s">
        <v>2693</v>
      </c>
      <c r="D215" s="127" t="s">
        <v>1109</v>
      </c>
      <c r="E215" s="127" t="s">
        <v>1109</v>
      </c>
      <c r="F215" s="128" t="s">
        <v>2692</v>
      </c>
      <c r="G215" s="127" t="s">
        <v>1109</v>
      </c>
      <c r="H215" s="127" t="s">
        <v>1109</v>
      </c>
      <c r="I215" s="127" t="s">
        <v>1109</v>
      </c>
      <c r="J215" s="128" t="s">
        <v>2692</v>
      </c>
      <c r="K215" s="128" t="s">
        <v>2693</v>
      </c>
      <c r="L215" s="128" t="s">
        <v>2691</v>
      </c>
      <c r="M215" s="128" t="s">
        <v>2693</v>
      </c>
      <c r="N215" s="128" t="s">
        <v>2693</v>
      </c>
      <c r="O215" s="128" t="s">
        <v>2692</v>
      </c>
      <c r="P215" s="127" t="s">
        <v>1109</v>
      </c>
      <c r="Q215" s="128" t="s">
        <v>2692</v>
      </c>
      <c r="R215" s="127" t="s">
        <v>1109</v>
      </c>
      <c r="S215" s="128" t="s">
        <v>2693</v>
      </c>
      <c r="T215">
        <f t="shared" si="9"/>
        <v>5</v>
      </c>
      <c r="U215">
        <f t="shared" si="10"/>
        <v>4</v>
      </c>
      <c r="V215">
        <f t="shared" si="11"/>
        <v>1</v>
      </c>
    </row>
    <row r="216" spans="1:22">
      <c r="A216" s="126" t="s">
        <v>2586</v>
      </c>
      <c r="B216" s="128" t="s">
        <v>2692</v>
      </c>
      <c r="C216" s="128" t="s">
        <v>2693</v>
      </c>
      <c r="D216" s="127" t="s">
        <v>1109</v>
      </c>
      <c r="E216" s="127" t="s">
        <v>1109</v>
      </c>
      <c r="F216" s="128" t="s">
        <v>2692</v>
      </c>
      <c r="G216" s="128" t="s">
        <v>2692</v>
      </c>
      <c r="H216" s="127" t="s">
        <v>1109</v>
      </c>
      <c r="I216" s="128" t="s">
        <v>2691</v>
      </c>
      <c r="J216" s="127" t="s">
        <v>1109</v>
      </c>
      <c r="K216" s="127" t="s">
        <v>1109</v>
      </c>
      <c r="L216" s="128" t="s">
        <v>2692</v>
      </c>
      <c r="M216" s="128" t="s">
        <v>2692</v>
      </c>
      <c r="N216" s="127" t="s">
        <v>1109</v>
      </c>
      <c r="O216" s="127" t="s">
        <v>1109</v>
      </c>
      <c r="P216" s="128" t="s">
        <v>2692</v>
      </c>
      <c r="Q216" s="127" t="s">
        <v>1109</v>
      </c>
      <c r="R216" s="128" t="s">
        <v>2692</v>
      </c>
      <c r="S216" s="128" t="s">
        <v>2692</v>
      </c>
      <c r="T216">
        <f t="shared" si="9"/>
        <v>1</v>
      </c>
      <c r="U216">
        <f t="shared" si="10"/>
        <v>8</v>
      </c>
      <c r="V216">
        <f t="shared" si="11"/>
        <v>1</v>
      </c>
    </row>
    <row r="217" spans="1:22">
      <c r="A217" s="126" t="s">
        <v>2587</v>
      </c>
      <c r="B217" s="127" t="s">
        <v>1109</v>
      </c>
      <c r="C217" s="128" t="s">
        <v>2693</v>
      </c>
      <c r="D217" s="127" t="s">
        <v>1109</v>
      </c>
      <c r="E217" s="127" t="s">
        <v>1109</v>
      </c>
      <c r="F217" s="128" t="s">
        <v>2692</v>
      </c>
      <c r="G217" s="127" t="s">
        <v>1109</v>
      </c>
      <c r="H217" s="128" t="s">
        <v>2692</v>
      </c>
      <c r="I217" s="128" t="s">
        <v>2693</v>
      </c>
      <c r="J217" s="128" t="s">
        <v>2692</v>
      </c>
      <c r="K217" s="128" t="s">
        <v>2693</v>
      </c>
      <c r="L217" s="127" t="s">
        <v>1109</v>
      </c>
      <c r="M217" s="128" t="s">
        <v>2692</v>
      </c>
      <c r="N217" s="128" t="s">
        <v>2693</v>
      </c>
      <c r="O217" s="127" t="s">
        <v>1109</v>
      </c>
      <c r="P217" s="128" t="s">
        <v>2691</v>
      </c>
      <c r="Q217" s="128" t="s">
        <v>2692</v>
      </c>
      <c r="R217" s="128" t="s">
        <v>2693</v>
      </c>
      <c r="S217" s="127" t="s">
        <v>1109</v>
      </c>
      <c r="T217">
        <f t="shared" si="9"/>
        <v>5</v>
      </c>
      <c r="U217">
        <f t="shared" si="10"/>
        <v>5</v>
      </c>
      <c r="V217">
        <f t="shared" si="11"/>
        <v>1</v>
      </c>
    </row>
    <row r="218" spans="1:22">
      <c r="A218" s="126" t="s">
        <v>2378</v>
      </c>
      <c r="B218" s="128" t="s">
        <v>2692</v>
      </c>
      <c r="C218" s="128" t="s">
        <v>2692</v>
      </c>
      <c r="D218" s="128" t="s">
        <v>2693</v>
      </c>
      <c r="E218" s="127" t="s">
        <v>1109</v>
      </c>
      <c r="F218" s="128" t="s">
        <v>2693</v>
      </c>
      <c r="G218" s="127" t="s">
        <v>1109</v>
      </c>
      <c r="H218" s="128" t="s">
        <v>2693</v>
      </c>
      <c r="I218" s="128" t="s">
        <v>2692</v>
      </c>
      <c r="J218" s="128" t="s">
        <v>2693</v>
      </c>
      <c r="K218" s="128" t="s">
        <v>2692</v>
      </c>
      <c r="L218" s="127" t="s">
        <v>1109</v>
      </c>
      <c r="M218" s="127" t="s">
        <v>1109</v>
      </c>
      <c r="N218" s="127" t="s">
        <v>1109</v>
      </c>
      <c r="O218" s="127" t="s">
        <v>1109</v>
      </c>
      <c r="P218" s="127" t="s">
        <v>1109</v>
      </c>
      <c r="Q218" s="127" t="s">
        <v>1109</v>
      </c>
      <c r="R218" s="128" t="s">
        <v>2693</v>
      </c>
      <c r="S218" s="127" t="s">
        <v>1109</v>
      </c>
      <c r="T218">
        <f t="shared" si="9"/>
        <v>5</v>
      </c>
      <c r="U218">
        <f t="shared" si="10"/>
        <v>4</v>
      </c>
      <c r="V218">
        <f t="shared" si="11"/>
        <v>0</v>
      </c>
    </row>
    <row r="219" spans="1:22">
      <c r="A219" s="126" t="s">
        <v>2588</v>
      </c>
      <c r="B219" s="128" t="s">
        <v>2692</v>
      </c>
      <c r="C219" s="128" t="s">
        <v>2692</v>
      </c>
      <c r="D219" s="128" t="s">
        <v>2693</v>
      </c>
      <c r="E219" s="127" t="s">
        <v>1109</v>
      </c>
      <c r="F219" s="128" t="s">
        <v>2693</v>
      </c>
      <c r="G219" s="127" t="s">
        <v>1109</v>
      </c>
      <c r="H219" s="128" t="s">
        <v>2693</v>
      </c>
      <c r="I219" s="128" t="s">
        <v>2692</v>
      </c>
      <c r="J219" s="128" t="s">
        <v>2693</v>
      </c>
      <c r="K219" s="128" t="s">
        <v>2692</v>
      </c>
      <c r="L219" s="127" t="s">
        <v>1109</v>
      </c>
      <c r="M219" s="127" t="s">
        <v>1109</v>
      </c>
      <c r="N219" s="127" t="s">
        <v>1109</v>
      </c>
      <c r="O219" s="128" t="s">
        <v>2691</v>
      </c>
      <c r="P219" s="127" t="s">
        <v>1109</v>
      </c>
      <c r="Q219" s="127" t="s">
        <v>1109</v>
      </c>
      <c r="R219" s="128" t="s">
        <v>2693</v>
      </c>
      <c r="S219" s="127" t="s">
        <v>1109</v>
      </c>
      <c r="T219">
        <f t="shared" si="9"/>
        <v>5</v>
      </c>
      <c r="U219">
        <f t="shared" si="10"/>
        <v>4</v>
      </c>
      <c r="V219">
        <f t="shared" si="11"/>
        <v>1</v>
      </c>
    </row>
    <row r="220" spans="1:22">
      <c r="A220" s="126" t="s">
        <v>2589</v>
      </c>
      <c r="B220" s="128" t="s">
        <v>2692</v>
      </c>
      <c r="C220" s="128" t="s">
        <v>2692</v>
      </c>
      <c r="D220" s="128" t="s">
        <v>2693</v>
      </c>
      <c r="E220" s="127" t="s">
        <v>1109</v>
      </c>
      <c r="F220" s="127" t="s">
        <v>1109</v>
      </c>
      <c r="G220" s="128" t="s">
        <v>2692</v>
      </c>
      <c r="H220" s="128" t="s">
        <v>2693</v>
      </c>
      <c r="I220" s="128" t="s">
        <v>2692</v>
      </c>
      <c r="J220" s="128" t="s">
        <v>2693</v>
      </c>
      <c r="K220" s="128" t="s">
        <v>2692</v>
      </c>
      <c r="L220" s="127" t="s">
        <v>1109</v>
      </c>
      <c r="M220" s="128" t="s">
        <v>2692</v>
      </c>
      <c r="N220" s="128" t="s">
        <v>2693</v>
      </c>
      <c r="O220" s="127" t="s">
        <v>1109</v>
      </c>
      <c r="P220" s="127" t="s">
        <v>1109</v>
      </c>
      <c r="Q220" s="127" t="s">
        <v>1109</v>
      </c>
      <c r="R220" s="127" t="s">
        <v>1109</v>
      </c>
      <c r="S220" s="128" t="s">
        <v>2692</v>
      </c>
      <c r="T220">
        <f t="shared" si="9"/>
        <v>4</v>
      </c>
      <c r="U220">
        <f t="shared" si="10"/>
        <v>7</v>
      </c>
      <c r="V220">
        <f t="shared" si="11"/>
        <v>0</v>
      </c>
    </row>
    <row r="221" spans="1:22">
      <c r="A221" s="126" t="s">
        <v>2590</v>
      </c>
      <c r="B221" s="128" t="s">
        <v>2692</v>
      </c>
      <c r="C221" s="128" t="s">
        <v>2692</v>
      </c>
      <c r="D221" s="127" t="s">
        <v>1109</v>
      </c>
      <c r="E221" s="128" t="s">
        <v>2693</v>
      </c>
      <c r="F221" s="128" t="s">
        <v>2693</v>
      </c>
      <c r="G221" s="128" t="s">
        <v>2692</v>
      </c>
      <c r="H221" s="128" t="s">
        <v>2693</v>
      </c>
      <c r="I221" s="128" t="s">
        <v>2692</v>
      </c>
      <c r="J221" s="128" t="s">
        <v>2693</v>
      </c>
      <c r="K221" s="128" t="s">
        <v>2692</v>
      </c>
      <c r="L221" s="127" t="s">
        <v>1109</v>
      </c>
      <c r="M221" s="127" t="s">
        <v>1109</v>
      </c>
      <c r="N221" s="127" t="s">
        <v>1109</v>
      </c>
      <c r="O221" s="127" t="s">
        <v>1109</v>
      </c>
      <c r="P221" s="127" t="s">
        <v>1109</v>
      </c>
      <c r="Q221" s="127" t="s">
        <v>1109</v>
      </c>
      <c r="R221" s="127" t="s">
        <v>1109</v>
      </c>
      <c r="S221" s="127" t="s">
        <v>1109</v>
      </c>
      <c r="T221">
        <f t="shared" si="9"/>
        <v>4</v>
      </c>
      <c r="U221">
        <f t="shared" si="10"/>
        <v>5</v>
      </c>
      <c r="V221">
        <f t="shared" si="11"/>
        <v>0</v>
      </c>
    </row>
    <row r="222" spans="1:22">
      <c r="A222" s="126" t="s">
        <v>2591</v>
      </c>
      <c r="B222" s="128" t="s">
        <v>2692</v>
      </c>
      <c r="C222" s="128" t="s">
        <v>2692</v>
      </c>
      <c r="D222" s="128" t="s">
        <v>2693</v>
      </c>
      <c r="E222" s="128" t="s">
        <v>2692</v>
      </c>
      <c r="F222" s="128" t="s">
        <v>2693</v>
      </c>
      <c r="G222" s="127" t="s">
        <v>1109</v>
      </c>
      <c r="H222" s="128" t="s">
        <v>2693</v>
      </c>
      <c r="I222" s="128" t="s">
        <v>2692</v>
      </c>
      <c r="J222" s="128" t="s">
        <v>2693</v>
      </c>
      <c r="K222" s="128" t="s">
        <v>2692</v>
      </c>
      <c r="L222" s="127" t="s">
        <v>1109</v>
      </c>
      <c r="M222" s="127" t="s">
        <v>1109</v>
      </c>
      <c r="N222" s="127" t="s">
        <v>1109</v>
      </c>
      <c r="O222" s="127" t="s">
        <v>1109</v>
      </c>
      <c r="P222" s="127" t="s">
        <v>1109</v>
      </c>
      <c r="Q222" s="127" t="s">
        <v>1109</v>
      </c>
      <c r="R222" s="127" t="s">
        <v>1109</v>
      </c>
      <c r="S222" s="127" t="s">
        <v>1109</v>
      </c>
      <c r="T222">
        <f t="shared" si="9"/>
        <v>4</v>
      </c>
      <c r="U222">
        <f t="shared" si="10"/>
        <v>5</v>
      </c>
      <c r="V222">
        <f t="shared" si="11"/>
        <v>0</v>
      </c>
    </row>
    <row r="223" spans="1:22">
      <c r="A223" s="126" t="s">
        <v>2592</v>
      </c>
      <c r="B223" s="128" t="s">
        <v>2692</v>
      </c>
      <c r="C223" s="127" t="s">
        <v>1109</v>
      </c>
      <c r="D223" s="127" t="s">
        <v>1109</v>
      </c>
      <c r="E223" s="128" t="s">
        <v>2692</v>
      </c>
      <c r="F223" s="127" t="s">
        <v>1109</v>
      </c>
      <c r="G223" s="128" t="s">
        <v>2693</v>
      </c>
      <c r="H223" s="128" t="s">
        <v>2693</v>
      </c>
      <c r="I223" s="127" t="s">
        <v>1109</v>
      </c>
      <c r="J223" s="127" t="s">
        <v>1109</v>
      </c>
      <c r="K223" s="127" t="s">
        <v>1109</v>
      </c>
      <c r="L223" s="127" t="s">
        <v>1109</v>
      </c>
      <c r="M223" s="128" t="s">
        <v>2693</v>
      </c>
      <c r="N223" s="127" t="s">
        <v>1109</v>
      </c>
      <c r="O223" s="127" t="s">
        <v>1109</v>
      </c>
      <c r="P223" s="127" t="s">
        <v>1109</v>
      </c>
      <c r="Q223" s="127" t="s">
        <v>1109</v>
      </c>
      <c r="R223" s="128" t="s">
        <v>2693</v>
      </c>
      <c r="S223" s="127" t="s">
        <v>1109</v>
      </c>
      <c r="T223">
        <f t="shared" si="9"/>
        <v>4</v>
      </c>
      <c r="U223">
        <f t="shared" si="10"/>
        <v>2</v>
      </c>
      <c r="V223">
        <f t="shared" si="11"/>
        <v>0</v>
      </c>
    </row>
    <row r="224" spans="1:22">
      <c r="A224" s="126" t="s">
        <v>2593</v>
      </c>
      <c r="B224" s="128" t="s">
        <v>2692</v>
      </c>
      <c r="C224" s="127" t="s">
        <v>1109</v>
      </c>
      <c r="D224" s="128" t="s">
        <v>2693</v>
      </c>
      <c r="E224" s="127" t="s">
        <v>1109</v>
      </c>
      <c r="F224" s="128" t="s">
        <v>2693</v>
      </c>
      <c r="G224" s="128" t="s">
        <v>2692</v>
      </c>
      <c r="H224" s="128" t="s">
        <v>2693</v>
      </c>
      <c r="I224" s="128" t="s">
        <v>2692</v>
      </c>
      <c r="J224" s="128" t="s">
        <v>2693</v>
      </c>
      <c r="K224" s="128" t="s">
        <v>2692</v>
      </c>
      <c r="L224" s="127" t="s">
        <v>1109</v>
      </c>
      <c r="M224" s="127" t="s">
        <v>1109</v>
      </c>
      <c r="N224" s="128" t="s">
        <v>2693</v>
      </c>
      <c r="O224" s="127" t="s">
        <v>1109</v>
      </c>
      <c r="P224" s="127" t="s">
        <v>1109</v>
      </c>
      <c r="Q224" s="127" t="s">
        <v>1109</v>
      </c>
      <c r="R224" s="128" t="s">
        <v>2693</v>
      </c>
      <c r="S224" s="127" t="s">
        <v>1109</v>
      </c>
      <c r="T224">
        <f t="shared" si="9"/>
        <v>6</v>
      </c>
      <c r="U224">
        <f t="shared" si="10"/>
        <v>4</v>
      </c>
      <c r="V224">
        <f t="shared" si="11"/>
        <v>0</v>
      </c>
    </row>
    <row r="225" spans="1:22">
      <c r="A225" s="126" t="s">
        <v>2594</v>
      </c>
      <c r="B225" s="128" t="s">
        <v>2692</v>
      </c>
      <c r="C225" s="128" t="s">
        <v>2692</v>
      </c>
      <c r="D225" s="128" t="s">
        <v>2693</v>
      </c>
      <c r="E225" s="127" t="s">
        <v>1109</v>
      </c>
      <c r="F225" s="128" t="s">
        <v>2693</v>
      </c>
      <c r="G225" s="127" t="s">
        <v>1109</v>
      </c>
      <c r="H225" s="128" t="s">
        <v>2693</v>
      </c>
      <c r="I225" s="128" t="s">
        <v>2692</v>
      </c>
      <c r="J225" s="128" t="s">
        <v>2693</v>
      </c>
      <c r="K225" s="127" t="s">
        <v>1109</v>
      </c>
      <c r="L225" s="128" t="s">
        <v>2693</v>
      </c>
      <c r="M225" s="128" t="s">
        <v>2692</v>
      </c>
      <c r="N225" s="128" t="s">
        <v>2692</v>
      </c>
      <c r="O225" s="127" t="s">
        <v>1109</v>
      </c>
      <c r="P225" s="127" t="s">
        <v>1109</v>
      </c>
      <c r="Q225" s="128" t="s">
        <v>2692</v>
      </c>
      <c r="R225" s="128" t="s">
        <v>2693</v>
      </c>
      <c r="S225" s="128" t="s">
        <v>2693</v>
      </c>
      <c r="T225">
        <f t="shared" si="9"/>
        <v>7</v>
      </c>
      <c r="U225">
        <f t="shared" si="10"/>
        <v>6</v>
      </c>
      <c r="V225">
        <f t="shared" si="11"/>
        <v>0</v>
      </c>
    </row>
    <row r="226" spans="1:22">
      <c r="A226" s="126" t="s">
        <v>2595</v>
      </c>
      <c r="B226" s="128" t="s">
        <v>2692</v>
      </c>
      <c r="C226" s="128" t="s">
        <v>2692</v>
      </c>
      <c r="D226" s="128" t="s">
        <v>2693</v>
      </c>
      <c r="E226" s="127" t="s">
        <v>1109</v>
      </c>
      <c r="F226" s="127" t="s">
        <v>1109</v>
      </c>
      <c r="G226" s="127" t="s">
        <v>1109</v>
      </c>
      <c r="H226" s="127" t="s">
        <v>1109</v>
      </c>
      <c r="I226" s="128" t="s">
        <v>2692</v>
      </c>
      <c r="J226" s="128" t="s">
        <v>2693</v>
      </c>
      <c r="K226" s="128" t="s">
        <v>2692</v>
      </c>
      <c r="L226" s="128" t="s">
        <v>2693</v>
      </c>
      <c r="M226" s="128" t="s">
        <v>2692</v>
      </c>
      <c r="N226" s="127" t="s">
        <v>1109</v>
      </c>
      <c r="O226" s="127" t="s">
        <v>1109</v>
      </c>
      <c r="P226" s="127" t="s">
        <v>1109</v>
      </c>
      <c r="Q226" s="127" t="s">
        <v>1109</v>
      </c>
      <c r="R226" s="128" t="s">
        <v>2693</v>
      </c>
      <c r="S226" s="128" t="s">
        <v>2692</v>
      </c>
      <c r="T226">
        <f t="shared" si="9"/>
        <v>4</v>
      </c>
      <c r="U226">
        <f t="shared" si="10"/>
        <v>6</v>
      </c>
      <c r="V226">
        <f t="shared" si="11"/>
        <v>0</v>
      </c>
    </row>
    <row r="227" spans="1:22">
      <c r="A227" s="126" t="s">
        <v>2596</v>
      </c>
      <c r="B227" s="128" t="s">
        <v>2692</v>
      </c>
      <c r="C227" s="128" t="s">
        <v>2692</v>
      </c>
      <c r="D227" s="128" t="s">
        <v>2693</v>
      </c>
      <c r="E227" s="128" t="s">
        <v>2691</v>
      </c>
      <c r="F227" s="128" t="s">
        <v>2693</v>
      </c>
      <c r="G227" s="128" t="s">
        <v>2693</v>
      </c>
      <c r="H227" s="128" t="s">
        <v>2693</v>
      </c>
      <c r="I227" s="128" t="s">
        <v>2692</v>
      </c>
      <c r="J227" s="128" t="s">
        <v>2693</v>
      </c>
      <c r="K227" s="128" t="s">
        <v>2692</v>
      </c>
      <c r="L227" s="127" t="s">
        <v>1109</v>
      </c>
      <c r="M227" s="127" t="s">
        <v>1109</v>
      </c>
      <c r="N227" s="128" t="s">
        <v>2692</v>
      </c>
      <c r="O227" s="127" t="s">
        <v>1109</v>
      </c>
      <c r="P227" s="127" t="s">
        <v>1109</v>
      </c>
      <c r="Q227" s="127" t="s">
        <v>1109</v>
      </c>
      <c r="R227" s="128" t="s">
        <v>2693</v>
      </c>
      <c r="S227" s="127" t="s">
        <v>1109</v>
      </c>
      <c r="T227">
        <f t="shared" si="9"/>
        <v>6</v>
      </c>
      <c r="U227">
        <f t="shared" si="10"/>
        <v>5</v>
      </c>
      <c r="V227">
        <f t="shared" si="11"/>
        <v>1</v>
      </c>
    </row>
    <row r="228" spans="1:22">
      <c r="A228" s="126" t="s">
        <v>2597</v>
      </c>
      <c r="B228" s="128" t="s">
        <v>2692</v>
      </c>
      <c r="C228" s="128" t="s">
        <v>2692</v>
      </c>
      <c r="D228" s="128" t="s">
        <v>2693</v>
      </c>
      <c r="E228" s="128" t="s">
        <v>2693</v>
      </c>
      <c r="F228" s="127" t="s">
        <v>1109</v>
      </c>
      <c r="G228" s="128" t="s">
        <v>2693</v>
      </c>
      <c r="H228" s="127" t="s">
        <v>1109</v>
      </c>
      <c r="I228" s="128" t="s">
        <v>2692</v>
      </c>
      <c r="J228" s="128" t="s">
        <v>2691</v>
      </c>
      <c r="K228" s="128" t="s">
        <v>2692</v>
      </c>
      <c r="L228" s="127" t="s">
        <v>1109</v>
      </c>
      <c r="M228" s="128" t="s">
        <v>2692</v>
      </c>
      <c r="N228" s="128" t="s">
        <v>2693</v>
      </c>
      <c r="O228" s="127" t="s">
        <v>1109</v>
      </c>
      <c r="P228" s="127" t="s">
        <v>1109</v>
      </c>
      <c r="Q228" s="127" t="s">
        <v>1109</v>
      </c>
      <c r="R228" s="128" t="s">
        <v>2693</v>
      </c>
      <c r="S228" s="127" t="s">
        <v>1109</v>
      </c>
      <c r="T228">
        <f t="shared" si="9"/>
        <v>5</v>
      </c>
      <c r="U228">
        <f t="shared" si="10"/>
        <v>5</v>
      </c>
      <c r="V228">
        <f t="shared" si="11"/>
        <v>1</v>
      </c>
    </row>
    <row r="229" spans="1:22">
      <c r="A229" s="126" t="s">
        <v>2598</v>
      </c>
      <c r="B229" s="128" t="s">
        <v>2692</v>
      </c>
      <c r="C229" s="128" t="s">
        <v>2692</v>
      </c>
      <c r="D229" s="128" t="s">
        <v>2693</v>
      </c>
      <c r="E229" s="127" t="s">
        <v>1109</v>
      </c>
      <c r="F229" s="128" t="s">
        <v>2693</v>
      </c>
      <c r="G229" s="127" t="s">
        <v>1109</v>
      </c>
      <c r="H229" s="127" t="s">
        <v>1109</v>
      </c>
      <c r="I229" s="128" t="s">
        <v>2692</v>
      </c>
      <c r="J229" s="128" t="s">
        <v>2693</v>
      </c>
      <c r="K229" s="128" t="s">
        <v>2692</v>
      </c>
      <c r="L229" s="128" t="s">
        <v>2692</v>
      </c>
      <c r="M229" s="128" t="s">
        <v>2693</v>
      </c>
      <c r="N229" s="127" t="s">
        <v>1109</v>
      </c>
      <c r="O229" s="128" t="s">
        <v>2693</v>
      </c>
      <c r="P229" s="127" t="s">
        <v>1109</v>
      </c>
      <c r="Q229" s="128" t="s">
        <v>2693</v>
      </c>
      <c r="R229" s="128" t="s">
        <v>2693</v>
      </c>
      <c r="S229" s="127" t="s">
        <v>1109</v>
      </c>
      <c r="T229">
        <f t="shared" si="9"/>
        <v>7</v>
      </c>
      <c r="U229">
        <f t="shared" si="10"/>
        <v>5</v>
      </c>
      <c r="V229">
        <f t="shared" si="11"/>
        <v>0</v>
      </c>
    </row>
    <row r="230" spans="1:22">
      <c r="A230" s="126" t="s">
        <v>2599</v>
      </c>
      <c r="B230" s="128" t="s">
        <v>2692</v>
      </c>
      <c r="C230" s="127" t="s">
        <v>1109</v>
      </c>
      <c r="D230" s="128" t="s">
        <v>2693</v>
      </c>
      <c r="E230" s="127" t="s">
        <v>1109</v>
      </c>
      <c r="F230" s="127" t="s">
        <v>1109</v>
      </c>
      <c r="G230" s="127" t="s">
        <v>1109</v>
      </c>
      <c r="H230" s="127" t="s">
        <v>1109</v>
      </c>
      <c r="I230" s="128" t="s">
        <v>2692</v>
      </c>
      <c r="J230" s="127" t="s">
        <v>1109</v>
      </c>
      <c r="K230" s="127" t="s">
        <v>1109</v>
      </c>
      <c r="L230" s="127" t="s">
        <v>1109</v>
      </c>
      <c r="M230" s="127" t="s">
        <v>1109</v>
      </c>
      <c r="N230" s="128" t="s">
        <v>2693</v>
      </c>
      <c r="O230" s="127" t="s">
        <v>1109</v>
      </c>
      <c r="P230" s="127" t="s">
        <v>1109</v>
      </c>
      <c r="Q230" s="127" t="s">
        <v>1109</v>
      </c>
      <c r="R230" s="128" t="s">
        <v>2693</v>
      </c>
      <c r="S230" s="127" t="s">
        <v>1109</v>
      </c>
      <c r="T230">
        <f t="shared" si="9"/>
        <v>3</v>
      </c>
      <c r="U230">
        <f t="shared" si="10"/>
        <v>2</v>
      </c>
      <c r="V230">
        <f t="shared" si="11"/>
        <v>0</v>
      </c>
    </row>
    <row r="231" spans="1:22">
      <c r="A231" s="126" t="s">
        <v>2600</v>
      </c>
      <c r="B231" s="128" t="s">
        <v>2691</v>
      </c>
      <c r="C231" s="128" t="s">
        <v>2692</v>
      </c>
      <c r="D231" s="128" t="s">
        <v>2693</v>
      </c>
      <c r="E231" s="127" t="s">
        <v>1109</v>
      </c>
      <c r="F231" s="128" t="s">
        <v>2693</v>
      </c>
      <c r="G231" s="127" t="s">
        <v>1109</v>
      </c>
      <c r="H231" s="128" t="s">
        <v>2691</v>
      </c>
      <c r="I231" s="128" t="s">
        <v>2692</v>
      </c>
      <c r="J231" s="128" t="s">
        <v>2693</v>
      </c>
      <c r="K231" s="128" t="s">
        <v>2692</v>
      </c>
      <c r="L231" s="127" t="s">
        <v>1109</v>
      </c>
      <c r="M231" s="128" t="s">
        <v>2692</v>
      </c>
      <c r="N231" s="127" t="s">
        <v>1109</v>
      </c>
      <c r="O231" s="128" t="s">
        <v>2693</v>
      </c>
      <c r="P231" s="127" t="s">
        <v>1109</v>
      </c>
      <c r="Q231" s="128" t="s">
        <v>2693</v>
      </c>
      <c r="R231" s="128" t="s">
        <v>2693</v>
      </c>
      <c r="S231" s="127" t="s">
        <v>1109</v>
      </c>
      <c r="T231">
        <f t="shared" si="9"/>
        <v>6</v>
      </c>
      <c r="U231">
        <f t="shared" si="10"/>
        <v>4</v>
      </c>
      <c r="V231">
        <f t="shared" si="11"/>
        <v>2</v>
      </c>
    </row>
    <row r="232" spans="1:22">
      <c r="A232" s="126" t="s">
        <v>2601</v>
      </c>
      <c r="B232" s="128" t="s">
        <v>2692</v>
      </c>
      <c r="C232" s="128" t="s">
        <v>2692</v>
      </c>
      <c r="D232" s="127" t="s">
        <v>1109</v>
      </c>
      <c r="E232" s="128" t="s">
        <v>2692</v>
      </c>
      <c r="F232" s="127" t="s">
        <v>1109</v>
      </c>
      <c r="G232" s="128" t="s">
        <v>2693</v>
      </c>
      <c r="H232" s="128" t="s">
        <v>2693</v>
      </c>
      <c r="I232" s="128" t="s">
        <v>2692</v>
      </c>
      <c r="J232" s="128" t="s">
        <v>2693</v>
      </c>
      <c r="K232" s="128" t="s">
        <v>2692</v>
      </c>
      <c r="L232" s="127" t="s">
        <v>1109</v>
      </c>
      <c r="M232" s="127" t="s">
        <v>1109</v>
      </c>
      <c r="N232" s="127" t="s">
        <v>1109</v>
      </c>
      <c r="O232" s="127" t="s">
        <v>1109</v>
      </c>
      <c r="P232" s="128" t="s">
        <v>2693</v>
      </c>
      <c r="Q232" s="127" t="s">
        <v>1109</v>
      </c>
      <c r="R232" s="128" t="s">
        <v>2693</v>
      </c>
      <c r="S232" s="128" t="s">
        <v>2693</v>
      </c>
      <c r="T232">
        <f t="shared" si="9"/>
        <v>6</v>
      </c>
      <c r="U232">
        <f t="shared" si="10"/>
        <v>5</v>
      </c>
      <c r="V232">
        <f t="shared" si="11"/>
        <v>0</v>
      </c>
    </row>
    <row r="233" spans="1:22">
      <c r="A233" s="126" t="s">
        <v>2602</v>
      </c>
      <c r="B233" s="128" t="s">
        <v>2692</v>
      </c>
      <c r="C233" s="128" t="s">
        <v>2692</v>
      </c>
      <c r="D233" s="128" t="s">
        <v>2693</v>
      </c>
      <c r="E233" s="127" t="s">
        <v>1109</v>
      </c>
      <c r="F233" s="128" t="s">
        <v>2693</v>
      </c>
      <c r="G233" s="127" t="s">
        <v>1109</v>
      </c>
      <c r="H233" s="128" t="s">
        <v>2693</v>
      </c>
      <c r="I233" s="128" t="s">
        <v>2692</v>
      </c>
      <c r="J233" s="128" t="s">
        <v>2693</v>
      </c>
      <c r="K233" s="128" t="s">
        <v>2692</v>
      </c>
      <c r="L233" s="128" t="s">
        <v>2691</v>
      </c>
      <c r="M233" s="128" t="s">
        <v>2693</v>
      </c>
      <c r="N233" s="127" t="s">
        <v>1109</v>
      </c>
      <c r="O233" s="128" t="s">
        <v>2692</v>
      </c>
      <c r="P233" s="127" t="s">
        <v>1109</v>
      </c>
      <c r="Q233" s="128" t="s">
        <v>2692</v>
      </c>
      <c r="R233" s="128" t="s">
        <v>2693</v>
      </c>
      <c r="S233" s="128" t="s">
        <v>2693</v>
      </c>
      <c r="T233">
        <f t="shared" si="9"/>
        <v>7</v>
      </c>
      <c r="U233">
        <f t="shared" si="10"/>
        <v>6</v>
      </c>
      <c r="V233">
        <f t="shared" si="11"/>
        <v>1</v>
      </c>
    </row>
    <row r="234" spans="1:22">
      <c r="A234" s="126" t="s">
        <v>2603</v>
      </c>
      <c r="B234" s="128" t="s">
        <v>2692</v>
      </c>
      <c r="C234" s="127" t="s">
        <v>1109</v>
      </c>
      <c r="D234" s="128" t="s">
        <v>2693</v>
      </c>
      <c r="E234" s="127" t="s">
        <v>1109</v>
      </c>
      <c r="F234" s="127" t="s">
        <v>1109</v>
      </c>
      <c r="G234" s="128" t="s">
        <v>2692</v>
      </c>
      <c r="H234" s="128" t="s">
        <v>2693</v>
      </c>
      <c r="I234" s="128" t="s">
        <v>2691</v>
      </c>
      <c r="J234" s="128" t="s">
        <v>2693</v>
      </c>
      <c r="K234" s="128" t="s">
        <v>2692</v>
      </c>
      <c r="L234" s="128" t="s">
        <v>2692</v>
      </c>
      <c r="M234" s="128" t="s">
        <v>2692</v>
      </c>
      <c r="N234" s="128" t="s">
        <v>2692</v>
      </c>
      <c r="O234" s="127" t="s">
        <v>1109</v>
      </c>
      <c r="P234" s="128" t="s">
        <v>2692</v>
      </c>
      <c r="Q234" s="127" t="s">
        <v>1109</v>
      </c>
      <c r="R234" s="127" t="s">
        <v>1109</v>
      </c>
      <c r="S234" s="128" t="s">
        <v>2692</v>
      </c>
      <c r="T234">
        <f t="shared" si="9"/>
        <v>3</v>
      </c>
      <c r="U234">
        <f t="shared" si="10"/>
        <v>8</v>
      </c>
      <c r="V234">
        <f t="shared" si="11"/>
        <v>1</v>
      </c>
    </row>
    <row r="235" spans="1:22">
      <c r="A235" s="126" t="s">
        <v>2604</v>
      </c>
      <c r="B235" s="128" t="s">
        <v>2692</v>
      </c>
      <c r="C235" s="128" t="s">
        <v>2692</v>
      </c>
      <c r="D235" s="128" t="s">
        <v>2693</v>
      </c>
      <c r="E235" s="127" t="s">
        <v>1109</v>
      </c>
      <c r="F235" s="128" t="s">
        <v>2693</v>
      </c>
      <c r="G235" s="127" t="s">
        <v>1109</v>
      </c>
      <c r="H235" s="127" t="s">
        <v>1109</v>
      </c>
      <c r="I235" s="127" t="s">
        <v>1109</v>
      </c>
      <c r="J235" s="128" t="s">
        <v>2693</v>
      </c>
      <c r="K235" s="128" t="s">
        <v>2692</v>
      </c>
      <c r="L235" s="127" t="s">
        <v>1109</v>
      </c>
      <c r="M235" s="128" t="s">
        <v>2692</v>
      </c>
      <c r="N235" s="127" t="s">
        <v>1109</v>
      </c>
      <c r="O235" s="127" t="s">
        <v>1109</v>
      </c>
      <c r="P235" s="128" t="s">
        <v>2691</v>
      </c>
      <c r="Q235" s="128" t="s">
        <v>2692</v>
      </c>
      <c r="R235" s="128" t="s">
        <v>2693</v>
      </c>
      <c r="S235" s="127" t="s">
        <v>1109</v>
      </c>
      <c r="T235">
        <f t="shared" si="9"/>
        <v>4</v>
      </c>
      <c r="U235">
        <f t="shared" si="10"/>
        <v>5</v>
      </c>
      <c r="V235">
        <f t="shared" si="11"/>
        <v>1</v>
      </c>
    </row>
    <row r="236" spans="1:22">
      <c r="A236" s="126" t="s">
        <v>2379</v>
      </c>
      <c r="B236" s="128" t="s">
        <v>2691</v>
      </c>
      <c r="C236" s="127" t="s">
        <v>1109</v>
      </c>
      <c r="D236" s="127" t="s">
        <v>1109</v>
      </c>
      <c r="E236" s="127" t="s">
        <v>1109</v>
      </c>
      <c r="F236" s="127" t="s">
        <v>1109</v>
      </c>
      <c r="G236" s="127" t="s">
        <v>1109</v>
      </c>
      <c r="H236" s="128" t="s">
        <v>2691</v>
      </c>
      <c r="I236" s="128" t="s">
        <v>2692</v>
      </c>
      <c r="J236" s="127" t="s">
        <v>1109</v>
      </c>
      <c r="K236" s="127" t="s">
        <v>1109</v>
      </c>
      <c r="L236" s="127" t="s">
        <v>1109</v>
      </c>
      <c r="M236" s="128" t="s">
        <v>2692</v>
      </c>
      <c r="N236" s="127" t="s">
        <v>1109</v>
      </c>
      <c r="O236" s="128" t="s">
        <v>2693</v>
      </c>
      <c r="P236" s="127" t="s">
        <v>1109</v>
      </c>
      <c r="Q236" s="128" t="s">
        <v>2693</v>
      </c>
      <c r="R236" s="127" t="s">
        <v>1109</v>
      </c>
      <c r="S236" s="127" t="s">
        <v>1109</v>
      </c>
      <c r="T236">
        <f t="shared" si="9"/>
        <v>2</v>
      </c>
      <c r="U236">
        <f t="shared" si="10"/>
        <v>2</v>
      </c>
      <c r="V236">
        <f t="shared" si="11"/>
        <v>2</v>
      </c>
    </row>
    <row r="237" spans="1:22">
      <c r="A237" s="126" t="s">
        <v>2605</v>
      </c>
      <c r="B237" s="128" t="s">
        <v>2691</v>
      </c>
      <c r="C237" s="127" t="s">
        <v>1109</v>
      </c>
      <c r="D237" s="127" t="s">
        <v>1109</v>
      </c>
      <c r="E237" s="127" t="s">
        <v>1109</v>
      </c>
      <c r="F237" s="127" t="s">
        <v>1109</v>
      </c>
      <c r="G237" s="127" t="s">
        <v>1109</v>
      </c>
      <c r="H237" s="128" t="s">
        <v>2691</v>
      </c>
      <c r="I237" s="128" t="s">
        <v>2692</v>
      </c>
      <c r="J237" s="127" t="s">
        <v>1109</v>
      </c>
      <c r="K237" s="127" t="s">
        <v>1109</v>
      </c>
      <c r="L237" s="127" t="s">
        <v>1109</v>
      </c>
      <c r="M237" s="128" t="s">
        <v>2692</v>
      </c>
      <c r="N237" s="127" t="s">
        <v>1109</v>
      </c>
      <c r="O237" s="128" t="s">
        <v>2691</v>
      </c>
      <c r="P237" s="127" t="s">
        <v>1109</v>
      </c>
      <c r="Q237" s="128" t="s">
        <v>2693</v>
      </c>
      <c r="R237" s="127" t="s">
        <v>1109</v>
      </c>
      <c r="S237" s="127" t="s">
        <v>1109</v>
      </c>
      <c r="T237">
        <f t="shared" si="9"/>
        <v>1</v>
      </c>
      <c r="U237">
        <f t="shared" si="10"/>
        <v>2</v>
      </c>
      <c r="V237">
        <f t="shared" si="11"/>
        <v>3</v>
      </c>
    </row>
    <row r="238" spans="1:22">
      <c r="A238" s="126" t="s">
        <v>2606</v>
      </c>
      <c r="B238" s="128" t="s">
        <v>2691</v>
      </c>
      <c r="C238" s="128" t="s">
        <v>2692</v>
      </c>
      <c r="D238" s="128" t="s">
        <v>2693</v>
      </c>
      <c r="E238" s="127" t="s">
        <v>1109</v>
      </c>
      <c r="F238" s="128" t="s">
        <v>2692</v>
      </c>
      <c r="G238" s="128" t="s">
        <v>2692</v>
      </c>
      <c r="H238" s="128" t="s">
        <v>2691</v>
      </c>
      <c r="I238" s="128" t="s">
        <v>2692</v>
      </c>
      <c r="J238" s="128" t="s">
        <v>2693</v>
      </c>
      <c r="K238" s="127" t="s">
        <v>1109</v>
      </c>
      <c r="L238" s="127" t="s">
        <v>1109</v>
      </c>
      <c r="M238" s="128" t="s">
        <v>2692</v>
      </c>
      <c r="N238" s="128" t="s">
        <v>2693</v>
      </c>
      <c r="O238" s="128" t="s">
        <v>2693</v>
      </c>
      <c r="P238" s="127" t="s">
        <v>1109</v>
      </c>
      <c r="Q238" s="128" t="s">
        <v>2693</v>
      </c>
      <c r="R238" s="128" t="s">
        <v>2692</v>
      </c>
      <c r="S238" s="128" t="s">
        <v>2692</v>
      </c>
      <c r="T238">
        <f t="shared" si="9"/>
        <v>5</v>
      </c>
      <c r="U238">
        <f t="shared" si="10"/>
        <v>7</v>
      </c>
      <c r="V238">
        <f t="shared" si="11"/>
        <v>2</v>
      </c>
    </row>
    <row r="239" spans="1:22">
      <c r="A239" s="126" t="s">
        <v>2607</v>
      </c>
      <c r="B239" s="128" t="s">
        <v>2691</v>
      </c>
      <c r="C239" s="128" t="s">
        <v>2692</v>
      </c>
      <c r="D239" s="128" t="s">
        <v>2692</v>
      </c>
      <c r="E239" s="128" t="s">
        <v>2693</v>
      </c>
      <c r="F239" s="128" t="s">
        <v>2693</v>
      </c>
      <c r="G239" s="128" t="s">
        <v>2692</v>
      </c>
      <c r="H239" s="128" t="s">
        <v>2691</v>
      </c>
      <c r="I239" s="128" t="s">
        <v>2692</v>
      </c>
      <c r="J239" s="127" t="s">
        <v>1109</v>
      </c>
      <c r="K239" s="127" t="s">
        <v>1109</v>
      </c>
      <c r="L239" s="127" t="s">
        <v>1109</v>
      </c>
      <c r="M239" s="128" t="s">
        <v>2692</v>
      </c>
      <c r="N239" s="127" t="s">
        <v>1109</v>
      </c>
      <c r="O239" s="128" t="s">
        <v>2693</v>
      </c>
      <c r="P239" s="127" t="s">
        <v>1109</v>
      </c>
      <c r="Q239" s="128" t="s">
        <v>2693</v>
      </c>
      <c r="R239" s="128" t="s">
        <v>2692</v>
      </c>
      <c r="S239" s="127" t="s">
        <v>1109</v>
      </c>
      <c r="T239">
        <f t="shared" si="9"/>
        <v>4</v>
      </c>
      <c r="U239">
        <f t="shared" si="10"/>
        <v>6</v>
      </c>
      <c r="V239">
        <f t="shared" si="11"/>
        <v>2</v>
      </c>
    </row>
    <row r="240" spans="1:22">
      <c r="A240" s="126" t="s">
        <v>2608</v>
      </c>
      <c r="B240" s="128" t="s">
        <v>2691</v>
      </c>
      <c r="C240" s="127" t="s">
        <v>1109</v>
      </c>
      <c r="D240" s="127" t="s">
        <v>1109</v>
      </c>
      <c r="E240" s="128" t="s">
        <v>2692</v>
      </c>
      <c r="F240" s="127" t="s">
        <v>1109</v>
      </c>
      <c r="G240" s="127" t="s">
        <v>1109</v>
      </c>
      <c r="H240" s="128" t="s">
        <v>2691</v>
      </c>
      <c r="I240" s="128" t="s">
        <v>2692</v>
      </c>
      <c r="J240" s="128" t="s">
        <v>2693</v>
      </c>
      <c r="K240" s="128" t="s">
        <v>2692</v>
      </c>
      <c r="L240" s="127" t="s">
        <v>1109</v>
      </c>
      <c r="M240" s="128" t="s">
        <v>2692</v>
      </c>
      <c r="N240" s="127" t="s">
        <v>1109</v>
      </c>
      <c r="O240" s="128" t="s">
        <v>2693</v>
      </c>
      <c r="P240" s="127" t="s">
        <v>1109</v>
      </c>
      <c r="Q240" s="128" t="s">
        <v>2693</v>
      </c>
      <c r="R240" s="128" t="s">
        <v>2692</v>
      </c>
      <c r="S240" s="127" t="s">
        <v>1109</v>
      </c>
      <c r="T240">
        <f t="shared" si="9"/>
        <v>3</v>
      </c>
      <c r="U240">
        <f t="shared" si="10"/>
        <v>5</v>
      </c>
      <c r="V240">
        <f t="shared" si="11"/>
        <v>2</v>
      </c>
    </row>
    <row r="241" spans="1:22">
      <c r="A241" s="126" t="s">
        <v>2609</v>
      </c>
      <c r="B241" s="128" t="s">
        <v>2691</v>
      </c>
      <c r="C241" s="128" t="s">
        <v>2693</v>
      </c>
      <c r="D241" s="128" t="s">
        <v>2692</v>
      </c>
      <c r="E241" s="128" t="s">
        <v>2692</v>
      </c>
      <c r="F241" s="128" t="s">
        <v>2692</v>
      </c>
      <c r="G241" s="128" t="s">
        <v>2693</v>
      </c>
      <c r="H241" s="128" t="s">
        <v>2691</v>
      </c>
      <c r="I241" s="127" t="s">
        <v>1109</v>
      </c>
      <c r="J241" s="128" t="s">
        <v>2692</v>
      </c>
      <c r="K241" s="128" t="s">
        <v>2693</v>
      </c>
      <c r="L241" s="127" t="s">
        <v>1109</v>
      </c>
      <c r="M241" s="127" t="s">
        <v>1109</v>
      </c>
      <c r="N241" s="127" t="s">
        <v>1109</v>
      </c>
      <c r="O241" s="128" t="s">
        <v>2693</v>
      </c>
      <c r="P241" s="127" t="s">
        <v>1109</v>
      </c>
      <c r="Q241" s="128" t="s">
        <v>2693</v>
      </c>
      <c r="R241" s="127" t="s">
        <v>1109</v>
      </c>
      <c r="S241" s="127" t="s">
        <v>1109</v>
      </c>
      <c r="T241">
        <f t="shared" si="9"/>
        <v>5</v>
      </c>
      <c r="U241">
        <f t="shared" si="10"/>
        <v>4</v>
      </c>
      <c r="V241">
        <f t="shared" si="11"/>
        <v>2</v>
      </c>
    </row>
    <row r="242" spans="1:22">
      <c r="A242" s="126" t="s">
        <v>2610</v>
      </c>
      <c r="B242" s="128" t="s">
        <v>2691</v>
      </c>
      <c r="C242" s="128" t="s">
        <v>2693</v>
      </c>
      <c r="D242" s="127" t="s">
        <v>1109</v>
      </c>
      <c r="E242" s="127" t="s">
        <v>1109</v>
      </c>
      <c r="F242" s="127" t="s">
        <v>1109</v>
      </c>
      <c r="G242" s="128" t="s">
        <v>2692</v>
      </c>
      <c r="H242" s="128" t="s">
        <v>2691</v>
      </c>
      <c r="I242" s="128" t="s">
        <v>2692</v>
      </c>
      <c r="J242" s="127" t="s">
        <v>1109</v>
      </c>
      <c r="K242" s="127" t="s">
        <v>1109</v>
      </c>
      <c r="L242" s="127" t="s">
        <v>1109</v>
      </c>
      <c r="M242" s="128" t="s">
        <v>2692</v>
      </c>
      <c r="N242" s="128" t="s">
        <v>2693</v>
      </c>
      <c r="O242" s="128" t="s">
        <v>2693</v>
      </c>
      <c r="P242" s="127" t="s">
        <v>1109</v>
      </c>
      <c r="Q242" s="128" t="s">
        <v>2693</v>
      </c>
      <c r="R242" s="128" t="s">
        <v>2693</v>
      </c>
      <c r="S242" s="127" t="s">
        <v>1109</v>
      </c>
      <c r="T242">
        <f t="shared" si="9"/>
        <v>5</v>
      </c>
      <c r="U242">
        <f t="shared" si="10"/>
        <v>3</v>
      </c>
      <c r="V242">
        <f t="shared" si="11"/>
        <v>2</v>
      </c>
    </row>
    <row r="243" spans="1:22">
      <c r="A243" s="126" t="s">
        <v>2611</v>
      </c>
      <c r="B243" s="128" t="s">
        <v>2691</v>
      </c>
      <c r="C243" s="127" t="s">
        <v>1109</v>
      </c>
      <c r="D243" s="127" t="s">
        <v>1109</v>
      </c>
      <c r="E243" s="127" t="s">
        <v>1109</v>
      </c>
      <c r="F243" s="127" t="s">
        <v>1109</v>
      </c>
      <c r="G243" s="127" t="s">
        <v>1109</v>
      </c>
      <c r="H243" s="128" t="s">
        <v>2691</v>
      </c>
      <c r="I243" s="128" t="s">
        <v>2692</v>
      </c>
      <c r="J243" s="127" t="s">
        <v>1109</v>
      </c>
      <c r="K243" s="128" t="s">
        <v>2693</v>
      </c>
      <c r="L243" s="128" t="s">
        <v>2693</v>
      </c>
      <c r="M243" s="128" t="s">
        <v>2692</v>
      </c>
      <c r="N243" s="128" t="s">
        <v>2692</v>
      </c>
      <c r="O243" s="128" t="s">
        <v>2693</v>
      </c>
      <c r="P243" s="127" t="s">
        <v>1109</v>
      </c>
      <c r="Q243" s="127" t="s">
        <v>1109</v>
      </c>
      <c r="R243" s="127" t="s">
        <v>1109</v>
      </c>
      <c r="S243" s="128" t="s">
        <v>2693</v>
      </c>
      <c r="T243">
        <f t="shared" si="9"/>
        <v>4</v>
      </c>
      <c r="U243">
        <f t="shared" si="10"/>
        <v>3</v>
      </c>
      <c r="V243">
        <f t="shared" si="11"/>
        <v>2</v>
      </c>
    </row>
    <row r="244" spans="1:22">
      <c r="A244" s="126" t="s">
        <v>2612</v>
      </c>
      <c r="B244" s="128" t="s">
        <v>2691</v>
      </c>
      <c r="C244" s="127" t="s">
        <v>1109</v>
      </c>
      <c r="D244" s="127" t="s">
        <v>1109</v>
      </c>
      <c r="E244" s="127" t="s">
        <v>1109</v>
      </c>
      <c r="F244" s="128" t="s">
        <v>2692</v>
      </c>
      <c r="G244" s="127" t="s">
        <v>1109</v>
      </c>
      <c r="H244" s="128" t="s">
        <v>2691</v>
      </c>
      <c r="I244" s="128" t="s">
        <v>2692</v>
      </c>
      <c r="J244" s="128" t="s">
        <v>2693</v>
      </c>
      <c r="K244" s="127" t="s">
        <v>1109</v>
      </c>
      <c r="L244" s="128" t="s">
        <v>2693</v>
      </c>
      <c r="M244" s="128" t="s">
        <v>2692</v>
      </c>
      <c r="N244" s="127" t="s">
        <v>1109</v>
      </c>
      <c r="O244" s="128" t="s">
        <v>2693</v>
      </c>
      <c r="P244" s="127" t="s">
        <v>1109</v>
      </c>
      <c r="Q244" s="128" t="s">
        <v>2693</v>
      </c>
      <c r="R244" s="127" t="s">
        <v>1109</v>
      </c>
      <c r="S244" s="128" t="s">
        <v>2692</v>
      </c>
      <c r="T244">
        <f t="shared" si="9"/>
        <v>4</v>
      </c>
      <c r="U244">
        <f t="shared" si="10"/>
        <v>4</v>
      </c>
      <c r="V244">
        <f t="shared" si="11"/>
        <v>2</v>
      </c>
    </row>
    <row r="245" spans="1:22">
      <c r="A245" s="126" t="s">
        <v>2613</v>
      </c>
      <c r="B245" s="128" t="s">
        <v>2691</v>
      </c>
      <c r="C245" s="127" t="s">
        <v>1109</v>
      </c>
      <c r="D245" s="128" t="s">
        <v>2693</v>
      </c>
      <c r="E245" s="128" t="s">
        <v>2691</v>
      </c>
      <c r="F245" s="128" t="s">
        <v>2693</v>
      </c>
      <c r="G245" s="128" t="s">
        <v>2693</v>
      </c>
      <c r="H245" s="128" t="s">
        <v>2691</v>
      </c>
      <c r="I245" s="128" t="s">
        <v>2692</v>
      </c>
      <c r="J245" s="127" t="s">
        <v>1109</v>
      </c>
      <c r="K245" s="127" t="s">
        <v>1109</v>
      </c>
      <c r="L245" s="127" t="s">
        <v>1109</v>
      </c>
      <c r="M245" s="128" t="s">
        <v>2692</v>
      </c>
      <c r="N245" s="128" t="s">
        <v>2692</v>
      </c>
      <c r="O245" s="128" t="s">
        <v>2693</v>
      </c>
      <c r="P245" s="127" t="s">
        <v>1109</v>
      </c>
      <c r="Q245" s="128" t="s">
        <v>2693</v>
      </c>
      <c r="R245" s="127" t="s">
        <v>1109</v>
      </c>
      <c r="S245" s="127" t="s">
        <v>1109</v>
      </c>
      <c r="T245">
        <f t="shared" si="9"/>
        <v>5</v>
      </c>
      <c r="U245">
        <f t="shared" si="10"/>
        <v>3</v>
      </c>
      <c r="V245">
        <f t="shared" si="11"/>
        <v>3</v>
      </c>
    </row>
    <row r="246" spans="1:22">
      <c r="A246" s="126" t="s">
        <v>2614</v>
      </c>
      <c r="B246" s="128" t="s">
        <v>2691</v>
      </c>
      <c r="C246" s="127" t="s">
        <v>1109</v>
      </c>
      <c r="D246" s="127" t="s">
        <v>1109</v>
      </c>
      <c r="E246" s="128" t="s">
        <v>2693</v>
      </c>
      <c r="F246" s="128" t="s">
        <v>2692</v>
      </c>
      <c r="G246" s="128" t="s">
        <v>2693</v>
      </c>
      <c r="H246" s="128" t="s">
        <v>2691</v>
      </c>
      <c r="I246" s="128" t="s">
        <v>2692</v>
      </c>
      <c r="J246" s="128" t="s">
        <v>2691</v>
      </c>
      <c r="K246" s="127" t="s">
        <v>1109</v>
      </c>
      <c r="L246" s="127" t="s">
        <v>1109</v>
      </c>
      <c r="M246" s="128" t="s">
        <v>2692</v>
      </c>
      <c r="N246" s="128" t="s">
        <v>2693</v>
      </c>
      <c r="O246" s="128" t="s">
        <v>2693</v>
      </c>
      <c r="P246" s="127" t="s">
        <v>1109</v>
      </c>
      <c r="Q246" s="128" t="s">
        <v>2693</v>
      </c>
      <c r="R246" s="127" t="s">
        <v>1109</v>
      </c>
      <c r="S246" s="127" t="s">
        <v>1109</v>
      </c>
      <c r="T246">
        <f t="shared" si="9"/>
        <v>5</v>
      </c>
      <c r="U246">
        <f t="shared" si="10"/>
        <v>3</v>
      </c>
      <c r="V246">
        <f t="shared" si="11"/>
        <v>3</v>
      </c>
    </row>
    <row r="247" spans="1:22">
      <c r="A247" s="126" t="s">
        <v>2615</v>
      </c>
      <c r="B247" s="128" t="s">
        <v>2691</v>
      </c>
      <c r="C247" s="127" t="s">
        <v>1109</v>
      </c>
      <c r="D247" s="127" t="s">
        <v>1109</v>
      </c>
      <c r="E247" s="127" t="s">
        <v>1109</v>
      </c>
      <c r="F247" s="127" t="s">
        <v>1109</v>
      </c>
      <c r="G247" s="127" t="s">
        <v>1109</v>
      </c>
      <c r="H247" s="128" t="s">
        <v>2691</v>
      </c>
      <c r="I247" s="128" t="s">
        <v>2692</v>
      </c>
      <c r="J247" s="127" t="s">
        <v>1109</v>
      </c>
      <c r="K247" s="127" t="s">
        <v>1109</v>
      </c>
      <c r="L247" s="128" t="s">
        <v>2692</v>
      </c>
      <c r="M247" s="127" t="s">
        <v>1109</v>
      </c>
      <c r="N247" s="127" t="s">
        <v>1109</v>
      </c>
      <c r="O247" s="128" t="s">
        <v>2693</v>
      </c>
      <c r="P247" s="127" t="s">
        <v>1109</v>
      </c>
      <c r="Q247" s="128" t="s">
        <v>2693</v>
      </c>
      <c r="R247" s="127" t="s">
        <v>1109</v>
      </c>
      <c r="S247" s="127" t="s">
        <v>1109</v>
      </c>
      <c r="T247">
        <f t="shared" si="9"/>
        <v>2</v>
      </c>
      <c r="U247">
        <f t="shared" si="10"/>
        <v>2</v>
      </c>
      <c r="V247">
        <f t="shared" si="11"/>
        <v>2</v>
      </c>
    </row>
    <row r="248" spans="1:22">
      <c r="A248" s="126" t="s">
        <v>2616</v>
      </c>
      <c r="B248" s="128" t="s">
        <v>2691</v>
      </c>
      <c r="C248" s="128" t="s">
        <v>2693</v>
      </c>
      <c r="D248" s="127" t="s">
        <v>1109</v>
      </c>
      <c r="E248" s="127" t="s">
        <v>1109</v>
      </c>
      <c r="F248" s="128" t="s">
        <v>2692</v>
      </c>
      <c r="G248" s="127" t="s">
        <v>1109</v>
      </c>
      <c r="H248" s="128" t="s">
        <v>2691</v>
      </c>
      <c r="I248" s="128" t="s">
        <v>2692</v>
      </c>
      <c r="J248" s="128" t="s">
        <v>2692</v>
      </c>
      <c r="K248" s="128" t="s">
        <v>2693</v>
      </c>
      <c r="L248" s="127" t="s">
        <v>1109</v>
      </c>
      <c r="M248" s="128" t="s">
        <v>2692</v>
      </c>
      <c r="N248" s="128" t="s">
        <v>2693</v>
      </c>
      <c r="O248" s="128" t="s">
        <v>2693</v>
      </c>
      <c r="P248" s="127" t="s">
        <v>1109</v>
      </c>
      <c r="Q248" s="128" t="s">
        <v>2693</v>
      </c>
      <c r="R248" s="127" t="s">
        <v>1109</v>
      </c>
      <c r="S248" s="127" t="s">
        <v>1109</v>
      </c>
      <c r="T248">
        <f t="shared" si="9"/>
        <v>5</v>
      </c>
      <c r="U248">
        <f t="shared" si="10"/>
        <v>4</v>
      </c>
      <c r="V248">
        <f t="shared" si="11"/>
        <v>2</v>
      </c>
    </row>
    <row r="249" spans="1:22">
      <c r="A249" s="126" t="s">
        <v>2617</v>
      </c>
      <c r="B249" s="128" t="s">
        <v>2691</v>
      </c>
      <c r="C249" s="128" t="s">
        <v>2692</v>
      </c>
      <c r="D249" s="128" t="s">
        <v>2693</v>
      </c>
      <c r="E249" s="127" t="s">
        <v>1109</v>
      </c>
      <c r="F249" s="128" t="s">
        <v>2693</v>
      </c>
      <c r="G249" s="127" t="s">
        <v>1109</v>
      </c>
      <c r="H249" s="128" t="s">
        <v>2691</v>
      </c>
      <c r="I249" s="128" t="s">
        <v>2692</v>
      </c>
      <c r="J249" s="128" t="s">
        <v>2693</v>
      </c>
      <c r="K249" s="128" t="s">
        <v>2692</v>
      </c>
      <c r="L249" s="127" t="s">
        <v>1109</v>
      </c>
      <c r="M249" s="128" t="s">
        <v>2692</v>
      </c>
      <c r="N249" s="127" t="s">
        <v>1109</v>
      </c>
      <c r="O249" s="128" t="s">
        <v>2693</v>
      </c>
      <c r="P249" s="127" t="s">
        <v>1109</v>
      </c>
      <c r="Q249" s="128" t="s">
        <v>2693</v>
      </c>
      <c r="R249" s="128" t="s">
        <v>2693</v>
      </c>
      <c r="S249" s="127" t="s">
        <v>1109</v>
      </c>
      <c r="T249">
        <f t="shared" si="9"/>
        <v>6</v>
      </c>
      <c r="U249">
        <f t="shared" si="10"/>
        <v>4</v>
      </c>
      <c r="V249">
        <f t="shared" si="11"/>
        <v>2</v>
      </c>
    </row>
    <row r="250" spans="1:22">
      <c r="A250" s="126" t="s">
        <v>2618</v>
      </c>
      <c r="B250" s="128" t="s">
        <v>2691</v>
      </c>
      <c r="C250" s="128" t="s">
        <v>2692</v>
      </c>
      <c r="D250" s="128" t="s">
        <v>2692</v>
      </c>
      <c r="E250" s="128" t="s">
        <v>2692</v>
      </c>
      <c r="F250" s="128" t="s">
        <v>2692</v>
      </c>
      <c r="G250" s="128" t="s">
        <v>2693</v>
      </c>
      <c r="H250" s="128" t="s">
        <v>2691</v>
      </c>
      <c r="I250" s="128" t="s">
        <v>2692</v>
      </c>
      <c r="J250" s="127" t="s">
        <v>1109</v>
      </c>
      <c r="K250" s="127" t="s">
        <v>1109</v>
      </c>
      <c r="L250" s="127" t="s">
        <v>1109</v>
      </c>
      <c r="M250" s="128" t="s">
        <v>2692</v>
      </c>
      <c r="N250" s="127" t="s">
        <v>1109</v>
      </c>
      <c r="O250" s="128" t="s">
        <v>2693</v>
      </c>
      <c r="P250" s="128" t="s">
        <v>2693</v>
      </c>
      <c r="Q250" s="128" t="s">
        <v>2693</v>
      </c>
      <c r="R250" s="127" t="s">
        <v>1109</v>
      </c>
      <c r="S250" s="128" t="s">
        <v>2693</v>
      </c>
      <c r="T250">
        <f t="shared" si="9"/>
        <v>5</v>
      </c>
      <c r="U250">
        <f t="shared" si="10"/>
        <v>6</v>
      </c>
      <c r="V250">
        <f t="shared" si="11"/>
        <v>2</v>
      </c>
    </row>
    <row r="251" spans="1:22">
      <c r="A251" s="126" t="s">
        <v>2619</v>
      </c>
      <c r="B251" s="128" t="s">
        <v>2691</v>
      </c>
      <c r="C251" s="127" t="s">
        <v>1109</v>
      </c>
      <c r="D251" s="127" t="s">
        <v>1109</v>
      </c>
      <c r="E251" s="127" t="s">
        <v>1109</v>
      </c>
      <c r="F251" s="127" t="s">
        <v>1109</v>
      </c>
      <c r="G251" s="127" t="s">
        <v>1109</v>
      </c>
      <c r="H251" s="128" t="s">
        <v>2691</v>
      </c>
      <c r="I251" s="128" t="s">
        <v>2692</v>
      </c>
      <c r="J251" s="127" t="s">
        <v>1109</v>
      </c>
      <c r="K251" s="127" t="s">
        <v>1109</v>
      </c>
      <c r="L251" s="128" t="s">
        <v>2691</v>
      </c>
      <c r="M251" s="127" t="s">
        <v>1109</v>
      </c>
      <c r="N251" s="127" t="s">
        <v>1109</v>
      </c>
      <c r="O251" s="127" t="s">
        <v>1109</v>
      </c>
      <c r="P251" s="127" t="s">
        <v>1109</v>
      </c>
      <c r="Q251" s="127" t="s">
        <v>1109</v>
      </c>
      <c r="R251" s="127" t="s">
        <v>1109</v>
      </c>
      <c r="S251" s="128" t="s">
        <v>2693</v>
      </c>
      <c r="T251">
        <f t="shared" si="9"/>
        <v>1</v>
      </c>
      <c r="U251">
        <f t="shared" si="10"/>
        <v>1</v>
      </c>
      <c r="V251">
        <f t="shared" si="11"/>
        <v>3</v>
      </c>
    </row>
    <row r="252" spans="1:22">
      <c r="A252" s="126" t="s">
        <v>2620</v>
      </c>
      <c r="B252" s="128" t="s">
        <v>2691</v>
      </c>
      <c r="C252" s="128" t="s">
        <v>2693</v>
      </c>
      <c r="D252" s="127" t="s">
        <v>1109</v>
      </c>
      <c r="E252" s="127" t="s">
        <v>1109</v>
      </c>
      <c r="F252" s="128" t="s">
        <v>2692</v>
      </c>
      <c r="G252" s="128" t="s">
        <v>2692</v>
      </c>
      <c r="H252" s="128" t="s">
        <v>2691</v>
      </c>
      <c r="I252" s="128" t="s">
        <v>2691</v>
      </c>
      <c r="J252" s="128" t="s">
        <v>2693</v>
      </c>
      <c r="K252" s="128" t="s">
        <v>2692</v>
      </c>
      <c r="L252" s="128" t="s">
        <v>2692</v>
      </c>
      <c r="M252" s="128" t="s">
        <v>2692</v>
      </c>
      <c r="N252" s="128" t="s">
        <v>2692</v>
      </c>
      <c r="O252" s="128" t="s">
        <v>2693</v>
      </c>
      <c r="P252" s="128" t="s">
        <v>2692</v>
      </c>
      <c r="Q252" s="128" t="s">
        <v>2693</v>
      </c>
      <c r="R252" s="128" t="s">
        <v>2692</v>
      </c>
      <c r="S252" s="128" t="s">
        <v>2692</v>
      </c>
      <c r="T252">
        <f t="shared" si="9"/>
        <v>4</v>
      </c>
      <c r="U252">
        <f t="shared" si="10"/>
        <v>9</v>
      </c>
      <c r="V252">
        <f t="shared" si="11"/>
        <v>3</v>
      </c>
    </row>
    <row r="253" spans="1:22">
      <c r="A253" s="126" t="s">
        <v>2621</v>
      </c>
      <c r="B253" s="128" t="s">
        <v>2691</v>
      </c>
      <c r="C253" s="127" t="s">
        <v>1109</v>
      </c>
      <c r="D253" s="127" t="s">
        <v>1109</v>
      </c>
      <c r="E253" s="127" t="s">
        <v>1109</v>
      </c>
      <c r="F253" s="127" t="s">
        <v>1109</v>
      </c>
      <c r="G253" s="127" t="s">
        <v>1109</v>
      </c>
      <c r="H253" s="128" t="s">
        <v>2691</v>
      </c>
      <c r="I253" s="127" t="s">
        <v>1109</v>
      </c>
      <c r="J253" s="127" t="s">
        <v>1109</v>
      </c>
      <c r="K253" s="127" t="s">
        <v>1109</v>
      </c>
      <c r="L253" s="127" t="s">
        <v>1109</v>
      </c>
      <c r="M253" s="128" t="s">
        <v>2692</v>
      </c>
      <c r="N253" s="127" t="s">
        <v>1109</v>
      </c>
      <c r="O253" s="128" t="s">
        <v>2693</v>
      </c>
      <c r="P253" s="128" t="s">
        <v>2691</v>
      </c>
      <c r="Q253" s="127" t="s">
        <v>1109</v>
      </c>
      <c r="R253" s="128" t="s">
        <v>2693</v>
      </c>
      <c r="S253" s="127" t="s">
        <v>1109</v>
      </c>
      <c r="T253">
        <f t="shared" si="9"/>
        <v>2</v>
      </c>
      <c r="U253">
        <f t="shared" si="10"/>
        <v>1</v>
      </c>
      <c r="V253">
        <f t="shared" si="11"/>
        <v>3</v>
      </c>
    </row>
    <row r="254" spans="1:22">
      <c r="A254" s="126" t="s">
        <v>2380</v>
      </c>
      <c r="B254" s="127" t="s">
        <v>1109</v>
      </c>
      <c r="C254" s="128" t="s">
        <v>2692</v>
      </c>
      <c r="D254" s="128" t="s">
        <v>2692</v>
      </c>
      <c r="E254" s="128" t="s">
        <v>2692</v>
      </c>
      <c r="F254" s="128" t="s">
        <v>2692</v>
      </c>
      <c r="G254" s="128" t="s">
        <v>2693</v>
      </c>
      <c r="H254" s="127" t="s">
        <v>1109</v>
      </c>
      <c r="I254" s="127" t="s">
        <v>1109</v>
      </c>
      <c r="J254" s="127" t="s">
        <v>1109</v>
      </c>
      <c r="K254" s="127" t="s">
        <v>1109</v>
      </c>
      <c r="L254" s="127" t="s">
        <v>1109</v>
      </c>
      <c r="M254" s="127" t="s">
        <v>1109</v>
      </c>
      <c r="N254" s="127" t="s">
        <v>1109</v>
      </c>
      <c r="O254" s="127" t="s">
        <v>1109</v>
      </c>
      <c r="P254" s="128" t="s">
        <v>2693</v>
      </c>
      <c r="Q254" s="127" t="s">
        <v>1109</v>
      </c>
      <c r="R254" s="127" t="s">
        <v>1109</v>
      </c>
      <c r="S254" s="128" t="s">
        <v>2693</v>
      </c>
      <c r="T254">
        <f t="shared" si="9"/>
        <v>3</v>
      </c>
      <c r="U254">
        <f t="shared" si="10"/>
        <v>4</v>
      </c>
      <c r="V254">
        <f t="shared" si="11"/>
        <v>0</v>
      </c>
    </row>
    <row r="255" spans="1:22">
      <c r="A255" s="126" t="s">
        <v>2622</v>
      </c>
      <c r="B255" s="127" t="s">
        <v>1109</v>
      </c>
      <c r="C255" s="128" t="s">
        <v>2692</v>
      </c>
      <c r="D255" s="128" t="s">
        <v>2692</v>
      </c>
      <c r="E255" s="128" t="s">
        <v>2692</v>
      </c>
      <c r="F255" s="128" t="s">
        <v>2692</v>
      </c>
      <c r="G255" s="128" t="s">
        <v>2693</v>
      </c>
      <c r="H255" s="128" t="s">
        <v>2693</v>
      </c>
      <c r="I255" s="127" t="s">
        <v>1109</v>
      </c>
      <c r="J255" s="127" t="s">
        <v>1109</v>
      </c>
      <c r="K255" s="127" t="s">
        <v>1109</v>
      </c>
      <c r="L255" s="127" t="s">
        <v>1109</v>
      </c>
      <c r="M255" s="127" t="s">
        <v>1109</v>
      </c>
      <c r="N255" s="127" t="s">
        <v>1109</v>
      </c>
      <c r="O255" s="128" t="s">
        <v>2691</v>
      </c>
      <c r="P255" s="128" t="s">
        <v>2693</v>
      </c>
      <c r="Q255" s="127" t="s">
        <v>1109</v>
      </c>
      <c r="R255" s="127" t="s">
        <v>1109</v>
      </c>
      <c r="S255" s="128" t="s">
        <v>2693</v>
      </c>
      <c r="T255">
        <f t="shared" si="9"/>
        <v>4</v>
      </c>
      <c r="U255">
        <f t="shared" si="10"/>
        <v>4</v>
      </c>
      <c r="V255">
        <f t="shared" si="11"/>
        <v>1</v>
      </c>
    </row>
    <row r="256" spans="1:22">
      <c r="A256" s="126" t="s">
        <v>2623</v>
      </c>
      <c r="B256" s="127" t="s">
        <v>1109</v>
      </c>
      <c r="C256" s="128" t="s">
        <v>2692</v>
      </c>
      <c r="D256" s="127" t="s">
        <v>1109</v>
      </c>
      <c r="E256" s="128" t="s">
        <v>2692</v>
      </c>
      <c r="F256" s="128" t="s">
        <v>2692</v>
      </c>
      <c r="G256" s="127" t="s">
        <v>1109</v>
      </c>
      <c r="H256" s="127" t="s">
        <v>1109</v>
      </c>
      <c r="I256" s="127" t="s">
        <v>1109</v>
      </c>
      <c r="J256" s="128" t="s">
        <v>2693</v>
      </c>
      <c r="K256" s="127" t="s">
        <v>1109</v>
      </c>
      <c r="L256" s="127" t="s">
        <v>1109</v>
      </c>
      <c r="M256" s="128" t="s">
        <v>2692</v>
      </c>
      <c r="N256" s="128" t="s">
        <v>2693</v>
      </c>
      <c r="O256" s="127" t="s">
        <v>1109</v>
      </c>
      <c r="P256" s="128" t="s">
        <v>2693</v>
      </c>
      <c r="Q256" s="127" t="s">
        <v>1109</v>
      </c>
      <c r="R256" s="128" t="s">
        <v>2692</v>
      </c>
      <c r="S256" s="127" t="s">
        <v>1109</v>
      </c>
      <c r="T256">
        <f t="shared" si="9"/>
        <v>3</v>
      </c>
      <c r="U256">
        <f t="shared" si="10"/>
        <v>5</v>
      </c>
      <c r="V256">
        <f t="shared" si="11"/>
        <v>0</v>
      </c>
    </row>
    <row r="257" spans="1:22">
      <c r="A257" s="126" t="s">
        <v>2624</v>
      </c>
      <c r="B257" s="127" t="s">
        <v>1109</v>
      </c>
      <c r="C257" s="128" t="s">
        <v>2692</v>
      </c>
      <c r="D257" s="128" t="s">
        <v>2692</v>
      </c>
      <c r="E257" s="127" t="s">
        <v>1109</v>
      </c>
      <c r="F257" s="127" t="s">
        <v>1109</v>
      </c>
      <c r="G257" s="127" t="s">
        <v>1109</v>
      </c>
      <c r="H257" s="127" t="s">
        <v>1109</v>
      </c>
      <c r="I257" s="127" t="s">
        <v>1109</v>
      </c>
      <c r="J257" s="127" t="s">
        <v>1109</v>
      </c>
      <c r="K257" s="127" t="s">
        <v>1109</v>
      </c>
      <c r="L257" s="127" t="s">
        <v>1109</v>
      </c>
      <c r="M257" s="127" t="s">
        <v>1109</v>
      </c>
      <c r="N257" s="127" t="s">
        <v>1109</v>
      </c>
      <c r="O257" s="127" t="s">
        <v>1109</v>
      </c>
      <c r="P257" s="128" t="s">
        <v>2693</v>
      </c>
      <c r="Q257" s="127" t="s">
        <v>1109</v>
      </c>
      <c r="R257" s="128" t="s">
        <v>2692</v>
      </c>
      <c r="S257" s="128" t="s">
        <v>2693</v>
      </c>
      <c r="T257">
        <f t="shared" si="9"/>
        <v>2</v>
      </c>
      <c r="U257">
        <f t="shared" si="10"/>
        <v>3</v>
      </c>
      <c r="V257">
        <f t="shared" si="11"/>
        <v>0</v>
      </c>
    </row>
    <row r="258" spans="1:22">
      <c r="A258" s="126" t="s">
        <v>2625</v>
      </c>
      <c r="B258" s="127" t="s">
        <v>1109</v>
      </c>
      <c r="C258" s="128" t="s">
        <v>2692</v>
      </c>
      <c r="D258" s="128" t="s">
        <v>2692</v>
      </c>
      <c r="E258" s="128" t="s">
        <v>2692</v>
      </c>
      <c r="F258" s="128" t="s">
        <v>2692</v>
      </c>
      <c r="G258" s="128" t="s">
        <v>2693</v>
      </c>
      <c r="H258" s="127" t="s">
        <v>1109</v>
      </c>
      <c r="I258" s="127" t="s">
        <v>1109</v>
      </c>
      <c r="J258" s="128" t="s">
        <v>2693</v>
      </c>
      <c r="K258" s="128" t="s">
        <v>2692</v>
      </c>
      <c r="L258" s="127" t="s">
        <v>1109</v>
      </c>
      <c r="M258" s="127" t="s">
        <v>1109</v>
      </c>
      <c r="N258" s="127" t="s">
        <v>1109</v>
      </c>
      <c r="O258" s="127" t="s">
        <v>1109</v>
      </c>
      <c r="P258" s="128" t="s">
        <v>2693</v>
      </c>
      <c r="Q258" s="127" t="s">
        <v>1109</v>
      </c>
      <c r="R258" s="128" t="s">
        <v>2692</v>
      </c>
      <c r="S258" s="128" t="s">
        <v>2693</v>
      </c>
      <c r="T258">
        <f t="shared" si="9"/>
        <v>4</v>
      </c>
      <c r="U258">
        <f t="shared" si="10"/>
        <v>6</v>
      </c>
      <c r="V258">
        <f t="shared" si="11"/>
        <v>0</v>
      </c>
    </row>
    <row r="259" spans="1:22">
      <c r="A259" s="126" t="s">
        <v>2626</v>
      </c>
      <c r="B259" s="127" t="s">
        <v>1109</v>
      </c>
      <c r="C259" s="127" t="s">
        <v>1109</v>
      </c>
      <c r="D259" s="128" t="s">
        <v>2692</v>
      </c>
      <c r="E259" s="128" t="s">
        <v>2692</v>
      </c>
      <c r="F259" s="128" t="s">
        <v>2692</v>
      </c>
      <c r="G259" s="128" t="s">
        <v>2693</v>
      </c>
      <c r="H259" s="127" t="s">
        <v>1109</v>
      </c>
      <c r="I259" s="128" t="s">
        <v>2693</v>
      </c>
      <c r="J259" s="128" t="s">
        <v>2692</v>
      </c>
      <c r="K259" s="128" t="s">
        <v>2693</v>
      </c>
      <c r="L259" s="127" t="s">
        <v>1109</v>
      </c>
      <c r="M259" s="128" t="s">
        <v>2693</v>
      </c>
      <c r="N259" s="127" t="s">
        <v>1109</v>
      </c>
      <c r="O259" s="127" t="s">
        <v>1109</v>
      </c>
      <c r="P259" s="128" t="s">
        <v>2693</v>
      </c>
      <c r="Q259" s="127" t="s">
        <v>1109</v>
      </c>
      <c r="R259" s="127" t="s">
        <v>1109</v>
      </c>
      <c r="S259" s="128" t="s">
        <v>2693</v>
      </c>
      <c r="T259">
        <f t="shared" ref="T259:T322" si="12">COUNTIF($B259:$S259,"W")</f>
        <v>6</v>
      </c>
      <c r="U259">
        <f t="shared" ref="U259:U322" si="13">COUNTIF($B259:$S259,"R")</f>
        <v>4</v>
      </c>
      <c r="V259">
        <f t="shared" ref="V259:V322" si="14">COUNTIF($B259:$S259,"I")</f>
        <v>0</v>
      </c>
    </row>
    <row r="260" spans="1:22">
      <c r="A260" s="126" t="s">
        <v>2627</v>
      </c>
      <c r="B260" s="127" t="s">
        <v>1109</v>
      </c>
      <c r="C260" s="127" t="s">
        <v>1109</v>
      </c>
      <c r="D260" s="128" t="s">
        <v>2692</v>
      </c>
      <c r="E260" s="128" t="s">
        <v>2692</v>
      </c>
      <c r="F260" s="128" t="s">
        <v>2692</v>
      </c>
      <c r="G260" s="127" t="s">
        <v>1109</v>
      </c>
      <c r="H260" s="128" t="s">
        <v>2693</v>
      </c>
      <c r="I260" s="127" t="s">
        <v>1109</v>
      </c>
      <c r="J260" s="127" t="s">
        <v>1109</v>
      </c>
      <c r="K260" s="127" t="s">
        <v>1109</v>
      </c>
      <c r="L260" s="127" t="s">
        <v>1109</v>
      </c>
      <c r="M260" s="127" t="s">
        <v>1109</v>
      </c>
      <c r="N260" s="128" t="s">
        <v>2693</v>
      </c>
      <c r="O260" s="127" t="s">
        <v>1109</v>
      </c>
      <c r="P260" s="128" t="s">
        <v>2693</v>
      </c>
      <c r="Q260" s="127" t="s">
        <v>1109</v>
      </c>
      <c r="R260" s="128" t="s">
        <v>2693</v>
      </c>
      <c r="S260" s="128" t="s">
        <v>2693</v>
      </c>
      <c r="T260">
        <f t="shared" si="12"/>
        <v>5</v>
      </c>
      <c r="U260">
        <f t="shared" si="13"/>
        <v>3</v>
      </c>
      <c r="V260">
        <f t="shared" si="14"/>
        <v>0</v>
      </c>
    </row>
    <row r="261" spans="1:22">
      <c r="A261" s="126" t="s">
        <v>2628</v>
      </c>
      <c r="B261" s="127" t="s">
        <v>1109</v>
      </c>
      <c r="C261" s="128" t="s">
        <v>2692</v>
      </c>
      <c r="D261" s="128" t="s">
        <v>2692</v>
      </c>
      <c r="E261" s="128" t="s">
        <v>2692</v>
      </c>
      <c r="F261" s="128" t="s">
        <v>2692</v>
      </c>
      <c r="G261" s="128" t="s">
        <v>2693</v>
      </c>
      <c r="H261" s="127" t="s">
        <v>1109</v>
      </c>
      <c r="I261" s="127" t="s">
        <v>1109</v>
      </c>
      <c r="J261" s="127" t="s">
        <v>1109</v>
      </c>
      <c r="K261" s="128" t="s">
        <v>2693</v>
      </c>
      <c r="L261" s="128" t="s">
        <v>2693</v>
      </c>
      <c r="M261" s="128" t="s">
        <v>2692</v>
      </c>
      <c r="N261" s="128" t="s">
        <v>2692</v>
      </c>
      <c r="O261" s="127" t="s">
        <v>1109</v>
      </c>
      <c r="P261" s="128" t="s">
        <v>2693</v>
      </c>
      <c r="Q261" s="128" t="s">
        <v>2692</v>
      </c>
      <c r="R261" s="127" t="s">
        <v>1109</v>
      </c>
      <c r="S261" s="128" t="s">
        <v>2693</v>
      </c>
      <c r="T261">
        <f t="shared" si="12"/>
        <v>5</v>
      </c>
      <c r="U261">
        <f t="shared" si="13"/>
        <v>7</v>
      </c>
      <c r="V261">
        <f t="shared" si="14"/>
        <v>0</v>
      </c>
    </row>
    <row r="262" spans="1:22">
      <c r="A262" s="126" t="s">
        <v>2629</v>
      </c>
      <c r="B262" s="127" t="s">
        <v>1109</v>
      </c>
      <c r="C262" s="128" t="s">
        <v>2692</v>
      </c>
      <c r="D262" s="128" t="s">
        <v>2692</v>
      </c>
      <c r="E262" s="128" t="s">
        <v>2692</v>
      </c>
      <c r="F262" s="128" t="s">
        <v>2692</v>
      </c>
      <c r="G262" s="128" t="s">
        <v>2693</v>
      </c>
      <c r="H262" s="128" t="s">
        <v>2692</v>
      </c>
      <c r="I262" s="128" t="s">
        <v>2692</v>
      </c>
      <c r="J262" s="128" t="s">
        <v>2693</v>
      </c>
      <c r="K262" s="127" t="s">
        <v>1109</v>
      </c>
      <c r="L262" s="128" t="s">
        <v>2693</v>
      </c>
      <c r="M262" s="128" t="s">
        <v>2692</v>
      </c>
      <c r="N262" s="127" t="s">
        <v>1109</v>
      </c>
      <c r="O262" s="127" t="s">
        <v>1109</v>
      </c>
      <c r="P262" s="128" t="s">
        <v>2693</v>
      </c>
      <c r="Q262" s="127" t="s">
        <v>1109</v>
      </c>
      <c r="R262" s="127" t="s">
        <v>1109</v>
      </c>
      <c r="S262" s="127" t="s">
        <v>1109</v>
      </c>
      <c r="T262">
        <f t="shared" si="12"/>
        <v>4</v>
      </c>
      <c r="U262">
        <f t="shared" si="13"/>
        <v>7</v>
      </c>
      <c r="V262">
        <f t="shared" si="14"/>
        <v>0</v>
      </c>
    </row>
    <row r="263" spans="1:22">
      <c r="A263" s="126" t="s">
        <v>2630</v>
      </c>
      <c r="B263" s="127" t="s">
        <v>1109</v>
      </c>
      <c r="C263" s="128" t="s">
        <v>2692</v>
      </c>
      <c r="D263" s="127" t="s">
        <v>1109</v>
      </c>
      <c r="E263" s="128" t="s">
        <v>2691</v>
      </c>
      <c r="F263" s="127" t="s">
        <v>1109</v>
      </c>
      <c r="G263" s="128" t="s">
        <v>2693</v>
      </c>
      <c r="H263" s="127" t="s">
        <v>1109</v>
      </c>
      <c r="I263" s="128" t="s">
        <v>2692</v>
      </c>
      <c r="J263" s="127" t="s">
        <v>1109</v>
      </c>
      <c r="K263" s="127" t="s">
        <v>1109</v>
      </c>
      <c r="L263" s="127" t="s">
        <v>1109</v>
      </c>
      <c r="M263" s="127" t="s">
        <v>1109</v>
      </c>
      <c r="N263" s="128" t="s">
        <v>2692</v>
      </c>
      <c r="O263" s="127" t="s">
        <v>1109</v>
      </c>
      <c r="P263" s="128" t="s">
        <v>2693</v>
      </c>
      <c r="Q263" s="127" t="s">
        <v>1109</v>
      </c>
      <c r="R263" s="127" t="s">
        <v>1109</v>
      </c>
      <c r="S263" s="128" t="s">
        <v>2693</v>
      </c>
      <c r="T263">
        <f t="shared" si="12"/>
        <v>3</v>
      </c>
      <c r="U263">
        <f t="shared" si="13"/>
        <v>3</v>
      </c>
      <c r="V263">
        <f t="shared" si="14"/>
        <v>1</v>
      </c>
    </row>
    <row r="264" spans="1:22">
      <c r="A264" s="126" t="s">
        <v>2631</v>
      </c>
      <c r="B264" s="127" t="s">
        <v>1109</v>
      </c>
      <c r="C264" s="128" t="s">
        <v>2692</v>
      </c>
      <c r="D264" s="128" t="s">
        <v>2692</v>
      </c>
      <c r="E264" s="127" t="s">
        <v>1109</v>
      </c>
      <c r="F264" s="128" t="s">
        <v>2692</v>
      </c>
      <c r="G264" s="128" t="s">
        <v>2693</v>
      </c>
      <c r="H264" s="128" t="s">
        <v>2692</v>
      </c>
      <c r="I264" s="127" t="s">
        <v>1109</v>
      </c>
      <c r="J264" s="128" t="s">
        <v>2691</v>
      </c>
      <c r="K264" s="127" t="s">
        <v>1109</v>
      </c>
      <c r="L264" s="127" t="s">
        <v>1109</v>
      </c>
      <c r="M264" s="128" t="s">
        <v>2692</v>
      </c>
      <c r="N264" s="128" t="s">
        <v>2693</v>
      </c>
      <c r="O264" s="127" t="s">
        <v>1109</v>
      </c>
      <c r="P264" s="128" t="s">
        <v>2693</v>
      </c>
      <c r="Q264" s="127" t="s">
        <v>1109</v>
      </c>
      <c r="R264" s="127" t="s">
        <v>1109</v>
      </c>
      <c r="S264" s="128" t="s">
        <v>2693</v>
      </c>
      <c r="T264">
        <f t="shared" si="12"/>
        <v>4</v>
      </c>
      <c r="U264">
        <f t="shared" si="13"/>
        <v>5</v>
      </c>
      <c r="V264">
        <f t="shared" si="14"/>
        <v>1</v>
      </c>
    </row>
    <row r="265" spans="1:22">
      <c r="A265" s="126" t="s">
        <v>2632</v>
      </c>
      <c r="B265" s="127" t="s">
        <v>1109</v>
      </c>
      <c r="C265" s="128" t="s">
        <v>2692</v>
      </c>
      <c r="D265" s="128" t="s">
        <v>2692</v>
      </c>
      <c r="E265" s="128" t="s">
        <v>2692</v>
      </c>
      <c r="F265" s="128" t="s">
        <v>2692</v>
      </c>
      <c r="G265" s="128" t="s">
        <v>2693</v>
      </c>
      <c r="H265" s="128" t="s">
        <v>2692</v>
      </c>
      <c r="I265" s="127" t="s">
        <v>1109</v>
      </c>
      <c r="J265" s="127" t="s">
        <v>1109</v>
      </c>
      <c r="K265" s="127" t="s">
        <v>1109</v>
      </c>
      <c r="L265" s="128" t="s">
        <v>2692</v>
      </c>
      <c r="M265" s="128" t="s">
        <v>2693</v>
      </c>
      <c r="N265" s="127" t="s">
        <v>1109</v>
      </c>
      <c r="O265" s="128" t="s">
        <v>2693</v>
      </c>
      <c r="P265" s="128" t="s">
        <v>2693</v>
      </c>
      <c r="Q265" s="128" t="s">
        <v>2693</v>
      </c>
      <c r="R265" s="127" t="s">
        <v>1109</v>
      </c>
      <c r="S265" s="128" t="s">
        <v>2693</v>
      </c>
      <c r="T265">
        <f t="shared" si="12"/>
        <v>6</v>
      </c>
      <c r="U265">
        <f t="shared" si="13"/>
        <v>6</v>
      </c>
      <c r="V265">
        <f t="shared" si="14"/>
        <v>0</v>
      </c>
    </row>
    <row r="266" spans="1:22">
      <c r="A266" s="126" t="s">
        <v>2633</v>
      </c>
      <c r="B266" s="127" t="s">
        <v>1109</v>
      </c>
      <c r="C266" s="127" t="s">
        <v>1109</v>
      </c>
      <c r="D266" s="128" t="s">
        <v>2692</v>
      </c>
      <c r="E266" s="128" t="s">
        <v>2692</v>
      </c>
      <c r="F266" s="128" t="s">
        <v>2692</v>
      </c>
      <c r="G266" s="128" t="s">
        <v>2693</v>
      </c>
      <c r="H266" s="128" t="s">
        <v>2692</v>
      </c>
      <c r="I266" s="127" t="s">
        <v>1109</v>
      </c>
      <c r="J266" s="128" t="s">
        <v>2692</v>
      </c>
      <c r="K266" s="128" t="s">
        <v>2693</v>
      </c>
      <c r="L266" s="127" t="s">
        <v>1109</v>
      </c>
      <c r="M266" s="127" t="s">
        <v>1109</v>
      </c>
      <c r="N266" s="128" t="s">
        <v>2693</v>
      </c>
      <c r="O266" s="127" t="s">
        <v>1109</v>
      </c>
      <c r="P266" s="128" t="s">
        <v>2693</v>
      </c>
      <c r="Q266" s="127" t="s">
        <v>1109</v>
      </c>
      <c r="R266" s="127" t="s">
        <v>1109</v>
      </c>
      <c r="S266" s="128" t="s">
        <v>2693</v>
      </c>
      <c r="T266">
        <f t="shared" si="12"/>
        <v>5</v>
      </c>
      <c r="U266">
        <f t="shared" si="13"/>
        <v>5</v>
      </c>
      <c r="V266">
        <f t="shared" si="14"/>
        <v>0</v>
      </c>
    </row>
    <row r="267" spans="1:22">
      <c r="A267" s="126" t="s">
        <v>2634</v>
      </c>
      <c r="B267" s="128" t="s">
        <v>2692</v>
      </c>
      <c r="C267" s="128" t="s">
        <v>2692</v>
      </c>
      <c r="D267" s="127" t="s">
        <v>1109</v>
      </c>
      <c r="E267" s="128" t="s">
        <v>2692</v>
      </c>
      <c r="F267" s="127" t="s">
        <v>1109</v>
      </c>
      <c r="G267" s="128" t="s">
        <v>2693</v>
      </c>
      <c r="H267" s="128" t="s">
        <v>2693</v>
      </c>
      <c r="I267" s="128" t="s">
        <v>2692</v>
      </c>
      <c r="J267" s="128" t="s">
        <v>2693</v>
      </c>
      <c r="K267" s="128" t="s">
        <v>2692</v>
      </c>
      <c r="L267" s="127" t="s">
        <v>1109</v>
      </c>
      <c r="M267" s="127" t="s">
        <v>1109</v>
      </c>
      <c r="N267" s="127" t="s">
        <v>1109</v>
      </c>
      <c r="O267" s="127" t="s">
        <v>1109</v>
      </c>
      <c r="P267" s="128" t="s">
        <v>2693</v>
      </c>
      <c r="Q267" s="127" t="s">
        <v>1109</v>
      </c>
      <c r="R267" s="128" t="s">
        <v>2693</v>
      </c>
      <c r="S267" s="128" t="s">
        <v>2693</v>
      </c>
      <c r="T267">
        <f t="shared" si="12"/>
        <v>6</v>
      </c>
      <c r="U267">
        <f t="shared" si="13"/>
        <v>5</v>
      </c>
      <c r="V267">
        <f t="shared" si="14"/>
        <v>0</v>
      </c>
    </row>
    <row r="268" spans="1:22">
      <c r="A268" s="126" t="s">
        <v>2635</v>
      </c>
      <c r="B268" s="128" t="s">
        <v>2691</v>
      </c>
      <c r="C268" s="128" t="s">
        <v>2692</v>
      </c>
      <c r="D268" s="128" t="s">
        <v>2692</v>
      </c>
      <c r="E268" s="128" t="s">
        <v>2692</v>
      </c>
      <c r="F268" s="128" t="s">
        <v>2692</v>
      </c>
      <c r="G268" s="128" t="s">
        <v>2693</v>
      </c>
      <c r="H268" s="128" t="s">
        <v>2691</v>
      </c>
      <c r="I268" s="128" t="s">
        <v>2692</v>
      </c>
      <c r="J268" s="127" t="s">
        <v>1109</v>
      </c>
      <c r="K268" s="127" t="s">
        <v>1109</v>
      </c>
      <c r="L268" s="127" t="s">
        <v>1109</v>
      </c>
      <c r="M268" s="128" t="s">
        <v>2692</v>
      </c>
      <c r="N268" s="127" t="s">
        <v>1109</v>
      </c>
      <c r="O268" s="128" t="s">
        <v>2693</v>
      </c>
      <c r="P268" s="128" t="s">
        <v>2693</v>
      </c>
      <c r="Q268" s="128" t="s">
        <v>2693</v>
      </c>
      <c r="R268" s="127" t="s">
        <v>1109</v>
      </c>
      <c r="S268" s="128" t="s">
        <v>2693</v>
      </c>
      <c r="T268">
        <f t="shared" si="12"/>
        <v>5</v>
      </c>
      <c r="U268">
        <f t="shared" si="13"/>
        <v>6</v>
      </c>
      <c r="V268">
        <f t="shared" si="14"/>
        <v>2</v>
      </c>
    </row>
    <row r="269" spans="1:22">
      <c r="A269" s="126" t="s">
        <v>2636</v>
      </c>
      <c r="B269" s="127" t="s">
        <v>1109</v>
      </c>
      <c r="C269" s="128" t="s">
        <v>2692</v>
      </c>
      <c r="D269" s="128" t="s">
        <v>2692</v>
      </c>
      <c r="E269" s="128" t="s">
        <v>2692</v>
      </c>
      <c r="F269" s="128" t="s">
        <v>2692</v>
      </c>
      <c r="G269" s="128" t="s">
        <v>2693</v>
      </c>
      <c r="H269" s="128" t="s">
        <v>2693</v>
      </c>
      <c r="I269" s="127" t="s">
        <v>1109</v>
      </c>
      <c r="J269" s="127" t="s">
        <v>1109</v>
      </c>
      <c r="K269" s="127" t="s">
        <v>1109</v>
      </c>
      <c r="L269" s="128" t="s">
        <v>2691</v>
      </c>
      <c r="M269" s="128" t="s">
        <v>2693</v>
      </c>
      <c r="N269" s="127" t="s">
        <v>1109</v>
      </c>
      <c r="O269" s="128" t="s">
        <v>2692</v>
      </c>
      <c r="P269" s="128" t="s">
        <v>2693</v>
      </c>
      <c r="Q269" s="128" t="s">
        <v>2692</v>
      </c>
      <c r="R269" s="127" t="s">
        <v>1109</v>
      </c>
      <c r="S269" s="128" t="s">
        <v>2693</v>
      </c>
      <c r="T269">
        <f t="shared" si="12"/>
        <v>5</v>
      </c>
      <c r="U269">
        <f t="shared" si="13"/>
        <v>6</v>
      </c>
      <c r="V269">
        <f t="shared" si="14"/>
        <v>1</v>
      </c>
    </row>
    <row r="270" spans="1:22">
      <c r="A270" s="126" t="s">
        <v>2637</v>
      </c>
      <c r="B270" s="128" t="s">
        <v>2692</v>
      </c>
      <c r="C270" s="127" t="s">
        <v>1109</v>
      </c>
      <c r="D270" s="128" t="s">
        <v>2692</v>
      </c>
      <c r="E270" s="128" t="s">
        <v>2692</v>
      </c>
      <c r="F270" s="128" t="s">
        <v>2692</v>
      </c>
      <c r="G270" s="127" t="s">
        <v>1109</v>
      </c>
      <c r="H270" s="128" t="s">
        <v>2693</v>
      </c>
      <c r="I270" s="128" t="s">
        <v>2691</v>
      </c>
      <c r="J270" s="128" t="s">
        <v>2693</v>
      </c>
      <c r="K270" s="128" t="s">
        <v>2692</v>
      </c>
      <c r="L270" s="128" t="s">
        <v>2692</v>
      </c>
      <c r="M270" s="128" t="s">
        <v>2692</v>
      </c>
      <c r="N270" s="128" t="s">
        <v>2692</v>
      </c>
      <c r="O270" s="127" t="s">
        <v>1109</v>
      </c>
      <c r="P270" s="127" t="s">
        <v>1109</v>
      </c>
      <c r="Q270" s="127" t="s">
        <v>1109</v>
      </c>
      <c r="R270" s="128" t="s">
        <v>2692</v>
      </c>
      <c r="S270" s="127" t="s">
        <v>1109</v>
      </c>
      <c r="T270">
        <f t="shared" si="12"/>
        <v>2</v>
      </c>
      <c r="U270">
        <f t="shared" si="13"/>
        <v>9</v>
      </c>
      <c r="V270">
        <f t="shared" si="14"/>
        <v>1</v>
      </c>
    </row>
    <row r="271" spans="1:22">
      <c r="A271" s="126" t="s">
        <v>2638</v>
      </c>
      <c r="B271" s="127" t="s">
        <v>1109</v>
      </c>
      <c r="C271" s="128" t="s">
        <v>2692</v>
      </c>
      <c r="D271" s="128" t="s">
        <v>2692</v>
      </c>
      <c r="E271" s="128" t="s">
        <v>2692</v>
      </c>
      <c r="F271" s="128" t="s">
        <v>2692</v>
      </c>
      <c r="G271" s="128" t="s">
        <v>2693</v>
      </c>
      <c r="H271" s="128" t="s">
        <v>2692</v>
      </c>
      <c r="I271" s="128" t="s">
        <v>2693</v>
      </c>
      <c r="J271" s="127" t="s">
        <v>1109</v>
      </c>
      <c r="K271" s="127" t="s">
        <v>1109</v>
      </c>
      <c r="L271" s="127" t="s">
        <v>1109</v>
      </c>
      <c r="M271" s="128" t="s">
        <v>2692</v>
      </c>
      <c r="N271" s="127" t="s">
        <v>1109</v>
      </c>
      <c r="O271" s="127" t="s">
        <v>1109</v>
      </c>
      <c r="P271" s="128" t="s">
        <v>2691</v>
      </c>
      <c r="Q271" s="128" t="s">
        <v>2692</v>
      </c>
      <c r="R271" s="128" t="s">
        <v>2693</v>
      </c>
      <c r="S271" s="128" t="s">
        <v>2693</v>
      </c>
      <c r="T271">
        <f t="shared" si="12"/>
        <v>4</v>
      </c>
      <c r="U271">
        <f t="shared" si="13"/>
        <v>7</v>
      </c>
      <c r="V271">
        <f t="shared" si="14"/>
        <v>1</v>
      </c>
    </row>
    <row r="272" spans="1:22">
      <c r="A272" s="126" t="s">
        <v>2381</v>
      </c>
      <c r="B272" s="127" t="s">
        <v>1109</v>
      </c>
      <c r="C272" s="127" t="s">
        <v>1109</v>
      </c>
      <c r="D272" s="127" t="s">
        <v>1109</v>
      </c>
      <c r="E272" s="127" t="s">
        <v>1109</v>
      </c>
      <c r="F272" s="127" t="s">
        <v>1109</v>
      </c>
      <c r="G272" s="127" t="s">
        <v>1109</v>
      </c>
      <c r="H272" s="128" t="s">
        <v>2693</v>
      </c>
      <c r="I272" s="127" t="s">
        <v>1109</v>
      </c>
      <c r="J272" s="127" t="s">
        <v>1109</v>
      </c>
      <c r="K272" s="127" t="s">
        <v>1109</v>
      </c>
      <c r="L272" s="128" t="s">
        <v>2691</v>
      </c>
      <c r="M272" s="128" t="s">
        <v>2693</v>
      </c>
      <c r="N272" s="127" t="s">
        <v>1109</v>
      </c>
      <c r="O272" s="128" t="s">
        <v>2692</v>
      </c>
      <c r="P272" s="127" t="s">
        <v>1109</v>
      </c>
      <c r="Q272" s="128" t="s">
        <v>2692</v>
      </c>
      <c r="R272" s="127" t="s">
        <v>1109</v>
      </c>
      <c r="S272" s="128" t="s">
        <v>2693</v>
      </c>
      <c r="T272">
        <f t="shared" si="12"/>
        <v>3</v>
      </c>
      <c r="U272">
        <f t="shared" si="13"/>
        <v>2</v>
      </c>
      <c r="V272">
        <f t="shared" si="14"/>
        <v>1</v>
      </c>
    </row>
    <row r="273" spans="1:22">
      <c r="A273" s="126" t="s">
        <v>2639</v>
      </c>
      <c r="B273" s="127" t="s">
        <v>1109</v>
      </c>
      <c r="C273" s="127" t="s">
        <v>1109</v>
      </c>
      <c r="D273" s="127" t="s">
        <v>1109</v>
      </c>
      <c r="E273" s="127" t="s">
        <v>1109</v>
      </c>
      <c r="F273" s="127" t="s">
        <v>1109</v>
      </c>
      <c r="G273" s="127" t="s">
        <v>1109</v>
      </c>
      <c r="H273" s="128" t="s">
        <v>2693</v>
      </c>
      <c r="I273" s="127" t="s">
        <v>1109</v>
      </c>
      <c r="J273" s="127" t="s">
        <v>1109</v>
      </c>
      <c r="K273" s="127" t="s">
        <v>1109</v>
      </c>
      <c r="L273" s="128" t="s">
        <v>2691</v>
      </c>
      <c r="M273" s="128" t="s">
        <v>2693</v>
      </c>
      <c r="N273" s="127" t="s">
        <v>1109</v>
      </c>
      <c r="O273" s="128" t="s">
        <v>2691</v>
      </c>
      <c r="P273" s="127" t="s">
        <v>1109</v>
      </c>
      <c r="Q273" s="128" t="s">
        <v>2692</v>
      </c>
      <c r="R273" s="127" t="s">
        <v>1109</v>
      </c>
      <c r="S273" s="128" t="s">
        <v>2693</v>
      </c>
      <c r="T273">
        <f t="shared" si="12"/>
        <v>3</v>
      </c>
      <c r="U273">
        <f t="shared" si="13"/>
        <v>1</v>
      </c>
      <c r="V273">
        <f t="shared" si="14"/>
        <v>2</v>
      </c>
    </row>
    <row r="274" spans="1:22">
      <c r="A274" s="126" t="s">
        <v>2640</v>
      </c>
      <c r="B274" s="127" t="s">
        <v>1109</v>
      </c>
      <c r="C274" s="128" t="s">
        <v>2692</v>
      </c>
      <c r="D274" s="128" t="s">
        <v>2693</v>
      </c>
      <c r="E274" s="127" t="s">
        <v>1109</v>
      </c>
      <c r="F274" s="128" t="s">
        <v>2692</v>
      </c>
      <c r="G274" s="128" t="s">
        <v>2692</v>
      </c>
      <c r="H274" s="128" t="s">
        <v>2693</v>
      </c>
      <c r="I274" s="127" t="s">
        <v>1109</v>
      </c>
      <c r="J274" s="128" t="s">
        <v>2693</v>
      </c>
      <c r="K274" s="127" t="s">
        <v>1109</v>
      </c>
      <c r="L274" s="128" t="s">
        <v>2691</v>
      </c>
      <c r="M274" s="127" t="s">
        <v>1109</v>
      </c>
      <c r="N274" s="128" t="s">
        <v>2693</v>
      </c>
      <c r="O274" s="128" t="s">
        <v>2692</v>
      </c>
      <c r="P274" s="127" t="s">
        <v>1109</v>
      </c>
      <c r="Q274" s="128" t="s">
        <v>2692</v>
      </c>
      <c r="R274" s="128" t="s">
        <v>2692</v>
      </c>
      <c r="S274" s="127" t="s">
        <v>1109</v>
      </c>
      <c r="T274">
        <f t="shared" si="12"/>
        <v>4</v>
      </c>
      <c r="U274">
        <f t="shared" si="13"/>
        <v>6</v>
      </c>
      <c r="V274">
        <f t="shared" si="14"/>
        <v>1</v>
      </c>
    </row>
    <row r="275" spans="1:22">
      <c r="A275" s="126" t="s">
        <v>2641</v>
      </c>
      <c r="B275" s="127" t="s">
        <v>1109</v>
      </c>
      <c r="C275" s="128" t="s">
        <v>2692</v>
      </c>
      <c r="D275" s="128" t="s">
        <v>2692</v>
      </c>
      <c r="E275" s="128" t="s">
        <v>2693</v>
      </c>
      <c r="F275" s="128" t="s">
        <v>2693</v>
      </c>
      <c r="G275" s="128" t="s">
        <v>2692</v>
      </c>
      <c r="H275" s="128" t="s">
        <v>2693</v>
      </c>
      <c r="I275" s="127" t="s">
        <v>1109</v>
      </c>
      <c r="J275" s="127" t="s">
        <v>1109</v>
      </c>
      <c r="K275" s="127" t="s">
        <v>1109</v>
      </c>
      <c r="L275" s="128" t="s">
        <v>2691</v>
      </c>
      <c r="M275" s="128" t="s">
        <v>2693</v>
      </c>
      <c r="N275" s="127" t="s">
        <v>1109</v>
      </c>
      <c r="O275" s="128" t="s">
        <v>2692</v>
      </c>
      <c r="P275" s="127" t="s">
        <v>1109</v>
      </c>
      <c r="Q275" s="128" t="s">
        <v>2692</v>
      </c>
      <c r="R275" s="128" t="s">
        <v>2692</v>
      </c>
      <c r="S275" s="128" t="s">
        <v>2693</v>
      </c>
      <c r="T275">
        <f t="shared" si="12"/>
        <v>5</v>
      </c>
      <c r="U275">
        <f t="shared" si="13"/>
        <v>6</v>
      </c>
      <c r="V275">
        <f t="shared" si="14"/>
        <v>1</v>
      </c>
    </row>
    <row r="276" spans="1:22">
      <c r="A276" s="126" t="s">
        <v>2642</v>
      </c>
      <c r="B276" s="127" t="s">
        <v>1109</v>
      </c>
      <c r="C276" s="127" t="s">
        <v>1109</v>
      </c>
      <c r="D276" s="127" t="s">
        <v>1109</v>
      </c>
      <c r="E276" s="128" t="s">
        <v>2692</v>
      </c>
      <c r="F276" s="127" t="s">
        <v>1109</v>
      </c>
      <c r="G276" s="127" t="s">
        <v>1109</v>
      </c>
      <c r="H276" s="128" t="s">
        <v>2693</v>
      </c>
      <c r="I276" s="127" t="s">
        <v>1109</v>
      </c>
      <c r="J276" s="128" t="s">
        <v>2693</v>
      </c>
      <c r="K276" s="128" t="s">
        <v>2692</v>
      </c>
      <c r="L276" s="128" t="s">
        <v>2691</v>
      </c>
      <c r="M276" s="128" t="s">
        <v>2693</v>
      </c>
      <c r="N276" s="127" t="s">
        <v>1109</v>
      </c>
      <c r="O276" s="128" t="s">
        <v>2692</v>
      </c>
      <c r="P276" s="127" t="s">
        <v>1109</v>
      </c>
      <c r="Q276" s="128" t="s">
        <v>2692</v>
      </c>
      <c r="R276" s="128" t="s">
        <v>2692</v>
      </c>
      <c r="S276" s="128" t="s">
        <v>2693</v>
      </c>
      <c r="T276">
        <f t="shared" si="12"/>
        <v>4</v>
      </c>
      <c r="U276">
        <f t="shared" si="13"/>
        <v>5</v>
      </c>
      <c r="V276">
        <f t="shared" si="14"/>
        <v>1</v>
      </c>
    </row>
    <row r="277" spans="1:22">
      <c r="A277" s="126" t="s">
        <v>2643</v>
      </c>
      <c r="B277" s="127" t="s">
        <v>1109</v>
      </c>
      <c r="C277" s="128" t="s">
        <v>2693</v>
      </c>
      <c r="D277" s="128" t="s">
        <v>2692</v>
      </c>
      <c r="E277" s="128" t="s">
        <v>2692</v>
      </c>
      <c r="F277" s="128" t="s">
        <v>2692</v>
      </c>
      <c r="G277" s="128" t="s">
        <v>2693</v>
      </c>
      <c r="H277" s="128" t="s">
        <v>2693</v>
      </c>
      <c r="I277" s="128" t="s">
        <v>2693</v>
      </c>
      <c r="J277" s="128" t="s">
        <v>2692</v>
      </c>
      <c r="K277" s="128" t="s">
        <v>2693</v>
      </c>
      <c r="L277" s="128" t="s">
        <v>2691</v>
      </c>
      <c r="M277" s="128" t="s">
        <v>2693</v>
      </c>
      <c r="N277" s="127" t="s">
        <v>1109</v>
      </c>
      <c r="O277" s="128" t="s">
        <v>2692</v>
      </c>
      <c r="P277" s="127" t="s">
        <v>1109</v>
      </c>
      <c r="Q277" s="128" t="s">
        <v>2692</v>
      </c>
      <c r="R277" s="127" t="s">
        <v>1109</v>
      </c>
      <c r="S277" s="128" t="s">
        <v>2693</v>
      </c>
      <c r="T277">
        <f t="shared" si="12"/>
        <v>7</v>
      </c>
      <c r="U277">
        <f t="shared" si="13"/>
        <v>6</v>
      </c>
      <c r="V277">
        <f t="shared" si="14"/>
        <v>1</v>
      </c>
    </row>
    <row r="278" spans="1:22">
      <c r="A278" s="126" t="s">
        <v>2644</v>
      </c>
      <c r="B278" s="127" t="s">
        <v>1109</v>
      </c>
      <c r="C278" s="128" t="s">
        <v>2693</v>
      </c>
      <c r="D278" s="127" t="s">
        <v>1109</v>
      </c>
      <c r="E278" s="127" t="s">
        <v>1109</v>
      </c>
      <c r="F278" s="127" t="s">
        <v>1109</v>
      </c>
      <c r="G278" s="128" t="s">
        <v>2692</v>
      </c>
      <c r="H278" s="128" t="s">
        <v>2693</v>
      </c>
      <c r="I278" s="127" t="s">
        <v>1109</v>
      </c>
      <c r="J278" s="127" t="s">
        <v>1109</v>
      </c>
      <c r="K278" s="127" t="s">
        <v>1109</v>
      </c>
      <c r="L278" s="128" t="s">
        <v>2691</v>
      </c>
      <c r="M278" s="128" t="s">
        <v>2693</v>
      </c>
      <c r="N278" s="128" t="s">
        <v>2693</v>
      </c>
      <c r="O278" s="128" t="s">
        <v>2692</v>
      </c>
      <c r="P278" s="127" t="s">
        <v>1109</v>
      </c>
      <c r="Q278" s="128" t="s">
        <v>2692</v>
      </c>
      <c r="R278" s="128" t="s">
        <v>2693</v>
      </c>
      <c r="S278" s="128" t="s">
        <v>2693</v>
      </c>
      <c r="T278">
        <f t="shared" si="12"/>
        <v>6</v>
      </c>
      <c r="U278">
        <f t="shared" si="13"/>
        <v>3</v>
      </c>
      <c r="V278">
        <f t="shared" si="14"/>
        <v>1</v>
      </c>
    </row>
    <row r="279" spans="1:22">
      <c r="A279" s="126" t="s">
        <v>2645</v>
      </c>
      <c r="B279" s="127" t="s">
        <v>1109</v>
      </c>
      <c r="C279" s="127" t="s">
        <v>1109</v>
      </c>
      <c r="D279" s="127" t="s">
        <v>1109</v>
      </c>
      <c r="E279" s="127" t="s">
        <v>1109</v>
      </c>
      <c r="F279" s="127" t="s">
        <v>1109</v>
      </c>
      <c r="G279" s="127" t="s">
        <v>1109</v>
      </c>
      <c r="H279" s="128" t="s">
        <v>2693</v>
      </c>
      <c r="I279" s="127" t="s">
        <v>1109</v>
      </c>
      <c r="J279" s="127" t="s">
        <v>1109</v>
      </c>
      <c r="K279" s="128" t="s">
        <v>2693</v>
      </c>
      <c r="L279" s="128" t="s">
        <v>2691</v>
      </c>
      <c r="M279" s="127" t="s">
        <v>1109</v>
      </c>
      <c r="N279" s="128" t="s">
        <v>2692</v>
      </c>
      <c r="O279" s="128" t="s">
        <v>2692</v>
      </c>
      <c r="P279" s="127" t="s">
        <v>1109</v>
      </c>
      <c r="Q279" s="128" t="s">
        <v>2692</v>
      </c>
      <c r="R279" s="127" t="s">
        <v>1109</v>
      </c>
      <c r="S279" s="128" t="s">
        <v>2693</v>
      </c>
      <c r="T279">
        <f t="shared" si="12"/>
        <v>3</v>
      </c>
      <c r="U279">
        <f t="shared" si="13"/>
        <v>3</v>
      </c>
      <c r="V279">
        <f t="shared" si="14"/>
        <v>1</v>
      </c>
    </row>
    <row r="280" spans="1:22">
      <c r="A280" s="126" t="s">
        <v>2646</v>
      </c>
      <c r="B280" s="127" t="s">
        <v>1109</v>
      </c>
      <c r="C280" s="127" t="s">
        <v>1109</v>
      </c>
      <c r="D280" s="127" t="s">
        <v>1109</v>
      </c>
      <c r="E280" s="127" t="s">
        <v>1109</v>
      </c>
      <c r="F280" s="128" t="s">
        <v>2692</v>
      </c>
      <c r="G280" s="127" t="s">
        <v>1109</v>
      </c>
      <c r="H280" s="127" t="s">
        <v>1109</v>
      </c>
      <c r="I280" s="128" t="s">
        <v>2692</v>
      </c>
      <c r="J280" s="128" t="s">
        <v>2693</v>
      </c>
      <c r="K280" s="127" t="s">
        <v>1109</v>
      </c>
      <c r="L280" s="128" t="s">
        <v>2691</v>
      </c>
      <c r="M280" s="127" t="s">
        <v>1109</v>
      </c>
      <c r="N280" s="127" t="s">
        <v>1109</v>
      </c>
      <c r="O280" s="128" t="s">
        <v>2692</v>
      </c>
      <c r="P280" s="127" t="s">
        <v>1109</v>
      </c>
      <c r="Q280" s="128" t="s">
        <v>2692</v>
      </c>
      <c r="R280" s="127" t="s">
        <v>1109</v>
      </c>
      <c r="S280" s="127" t="s">
        <v>1109</v>
      </c>
      <c r="T280">
        <f t="shared" si="12"/>
        <v>1</v>
      </c>
      <c r="U280">
        <f t="shared" si="13"/>
        <v>4</v>
      </c>
      <c r="V280">
        <f t="shared" si="14"/>
        <v>1</v>
      </c>
    </row>
    <row r="281" spans="1:22">
      <c r="A281" s="126" t="s">
        <v>2647</v>
      </c>
      <c r="B281" s="127" t="s">
        <v>1109</v>
      </c>
      <c r="C281" s="127" t="s">
        <v>1109</v>
      </c>
      <c r="D281" s="128" t="s">
        <v>2693</v>
      </c>
      <c r="E281" s="128" t="s">
        <v>2691</v>
      </c>
      <c r="F281" s="128" t="s">
        <v>2693</v>
      </c>
      <c r="G281" s="128" t="s">
        <v>2693</v>
      </c>
      <c r="H281" s="128" t="s">
        <v>2693</v>
      </c>
      <c r="I281" s="128" t="s">
        <v>2692</v>
      </c>
      <c r="J281" s="127" t="s">
        <v>1109</v>
      </c>
      <c r="K281" s="127" t="s">
        <v>1109</v>
      </c>
      <c r="L281" s="128" t="s">
        <v>2691</v>
      </c>
      <c r="M281" s="128" t="s">
        <v>2693</v>
      </c>
      <c r="N281" s="128" t="s">
        <v>2692</v>
      </c>
      <c r="O281" s="128" t="s">
        <v>2692</v>
      </c>
      <c r="P281" s="127" t="s">
        <v>1109</v>
      </c>
      <c r="Q281" s="128" t="s">
        <v>2692</v>
      </c>
      <c r="R281" s="127" t="s">
        <v>1109</v>
      </c>
      <c r="S281" s="128" t="s">
        <v>2693</v>
      </c>
      <c r="T281">
        <f t="shared" si="12"/>
        <v>6</v>
      </c>
      <c r="U281">
        <f t="shared" si="13"/>
        <v>4</v>
      </c>
      <c r="V281">
        <f t="shared" si="14"/>
        <v>2</v>
      </c>
    </row>
    <row r="282" spans="1:22">
      <c r="A282" s="126" t="s">
        <v>2648</v>
      </c>
      <c r="B282" s="127" t="s">
        <v>1109</v>
      </c>
      <c r="C282" s="127" t="s">
        <v>1109</v>
      </c>
      <c r="D282" s="127" t="s">
        <v>1109</v>
      </c>
      <c r="E282" s="128" t="s">
        <v>2693</v>
      </c>
      <c r="F282" s="128" t="s">
        <v>2692</v>
      </c>
      <c r="G282" s="128" t="s">
        <v>2693</v>
      </c>
      <c r="H282" s="127" t="s">
        <v>1109</v>
      </c>
      <c r="I282" s="127" t="s">
        <v>1109</v>
      </c>
      <c r="J282" s="128" t="s">
        <v>2691</v>
      </c>
      <c r="K282" s="127" t="s">
        <v>1109</v>
      </c>
      <c r="L282" s="128" t="s">
        <v>2691</v>
      </c>
      <c r="M282" s="127" t="s">
        <v>1109</v>
      </c>
      <c r="N282" s="128" t="s">
        <v>2693</v>
      </c>
      <c r="O282" s="128" t="s">
        <v>2692</v>
      </c>
      <c r="P282" s="127" t="s">
        <v>1109</v>
      </c>
      <c r="Q282" s="128" t="s">
        <v>2692</v>
      </c>
      <c r="R282" s="127" t="s">
        <v>1109</v>
      </c>
      <c r="S282" s="128" t="s">
        <v>2693</v>
      </c>
      <c r="T282">
        <f t="shared" si="12"/>
        <v>4</v>
      </c>
      <c r="U282">
        <f t="shared" si="13"/>
        <v>3</v>
      </c>
      <c r="V282">
        <f t="shared" si="14"/>
        <v>2</v>
      </c>
    </row>
    <row r="283" spans="1:22">
      <c r="A283" s="126" t="s">
        <v>2649</v>
      </c>
      <c r="B283" s="127" t="s">
        <v>1109</v>
      </c>
      <c r="C283" s="127" t="s">
        <v>1109</v>
      </c>
      <c r="D283" s="127" t="s">
        <v>1109</v>
      </c>
      <c r="E283" s="127" t="s">
        <v>1109</v>
      </c>
      <c r="F283" s="127" t="s">
        <v>1109</v>
      </c>
      <c r="G283" s="127" t="s">
        <v>1109</v>
      </c>
      <c r="H283" s="127" t="s">
        <v>1109</v>
      </c>
      <c r="I283" s="127" t="s">
        <v>1109</v>
      </c>
      <c r="J283" s="127" t="s">
        <v>1109</v>
      </c>
      <c r="K283" s="127" t="s">
        <v>1109</v>
      </c>
      <c r="L283" s="128" t="s">
        <v>2691</v>
      </c>
      <c r="M283" s="128" t="s">
        <v>2693</v>
      </c>
      <c r="N283" s="127" t="s">
        <v>1109</v>
      </c>
      <c r="O283" s="127" t="s">
        <v>1109</v>
      </c>
      <c r="P283" s="127" t="s">
        <v>1109</v>
      </c>
      <c r="Q283" s="127" t="s">
        <v>1109</v>
      </c>
      <c r="R283" s="127" t="s">
        <v>1109</v>
      </c>
      <c r="S283" s="128" t="s">
        <v>2693</v>
      </c>
      <c r="T283">
        <f t="shared" si="12"/>
        <v>2</v>
      </c>
      <c r="U283">
        <f t="shared" si="13"/>
        <v>0</v>
      </c>
      <c r="V283">
        <f t="shared" si="14"/>
        <v>1</v>
      </c>
    </row>
    <row r="284" spans="1:22">
      <c r="A284" s="126" t="s">
        <v>2650</v>
      </c>
      <c r="B284" s="127" t="s">
        <v>1109</v>
      </c>
      <c r="C284" s="128" t="s">
        <v>2693</v>
      </c>
      <c r="D284" s="127" t="s">
        <v>1109</v>
      </c>
      <c r="E284" s="127" t="s">
        <v>1109</v>
      </c>
      <c r="F284" s="128" t="s">
        <v>2692</v>
      </c>
      <c r="G284" s="127" t="s">
        <v>1109</v>
      </c>
      <c r="H284" s="127" t="s">
        <v>1109</v>
      </c>
      <c r="I284" s="127" t="s">
        <v>1109</v>
      </c>
      <c r="J284" s="128" t="s">
        <v>2692</v>
      </c>
      <c r="K284" s="128" t="s">
        <v>2693</v>
      </c>
      <c r="L284" s="128" t="s">
        <v>2691</v>
      </c>
      <c r="M284" s="128" t="s">
        <v>2693</v>
      </c>
      <c r="N284" s="128" t="s">
        <v>2693</v>
      </c>
      <c r="O284" s="128" t="s">
        <v>2692</v>
      </c>
      <c r="P284" s="127" t="s">
        <v>1109</v>
      </c>
      <c r="Q284" s="128" t="s">
        <v>2692</v>
      </c>
      <c r="R284" s="127" t="s">
        <v>1109</v>
      </c>
      <c r="S284" s="128" t="s">
        <v>2693</v>
      </c>
      <c r="T284">
        <f t="shared" si="12"/>
        <v>5</v>
      </c>
      <c r="U284">
        <f t="shared" si="13"/>
        <v>4</v>
      </c>
      <c r="V284">
        <f t="shared" si="14"/>
        <v>1</v>
      </c>
    </row>
    <row r="285" spans="1:22">
      <c r="A285" s="126" t="s">
        <v>2651</v>
      </c>
      <c r="B285" s="128" t="s">
        <v>2692</v>
      </c>
      <c r="C285" s="128" t="s">
        <v>2692</v>
      </c>
      <c r="D285" s="128" t="s">
        <v>2693</v>
      </c>
      <c r="E285" s="127" t="s">
        <v>1109</v>
      </c>
      <c r="F285" s="128" t="s">
        <v>2693</v>
      </c>
      <c r="G285" s="127" t="s">
        <v>1109</v>
      </c>
      <c r="H285" s="128" t="s">
        <v>2693</v>
      </c>
      <c r="I285" s="128" t="s">
        <v>2692</v>
      </c>
      <c r="J285" s="128" t="s">
        <v>2693</v>
      </c>
      <c r="K285" s="128" t="s">
        <v>2692</v>
      </c>
      <c r="L285" s="128" t="s">
        <v>2691</v>
      </c>
      <c r="M285" s="128" t="s">
        <v>2693</v>
      </c>
      <c r="N285" s="127" t="s">
        <v>1109</v>
      </c>
      <c r="O285" s="128" t="s">
        <v>2692</v>
      </c>
      <c r="P285" s="127" t="s">
        <v>1109</v>
      </c>
      <c r="Q285" s="128" t="s">
        <v>2692</v>
      </c>
      <c r="R285" s="128" t="s">
        <v>2693</v>
      </c>
      <c r="S285" s="128" t="s">
        <v>2693</v>
      </c>
      <c r="T285">
        <f t="shared" si="12"/>
        <v>7</v>
      </c>
      <c r="U285">
        <f t="shared" si="13"/>
        <v>6</v>
      </c>
      <c r="V285">
        <f t="shared" si="14"/>
        <v>1</v>
      </c>
    </row>
    <row r="286" spans="1:22">
      <c r="A286" s="126" t="s">
        <v>2652</v>
      </c>
      <c r="B286" s="128" t="s">
        <v>2691</v>
      </c>
      <c r="C286" s="127" t="s">
        <v>1109</v>
      </c>
      <c r="D286" s="127" t="s">
        <v>1109</v>
      </c>
      <c r="E286" s="127" t="s">
        <v>1109</v>
      </c>
      <c r="F286" s="127" t="s">
        <v>1109</v>
      </c>
      <c r="G286" s="127" t="s">
        <v>1109</v>
      </c>
      <c r="H286" s="128" t="s">
        <v>2691</v>
      </c>
      <c r="I286" s="128" t="s">
        <v>2692</v>
      </c>
      <c r="J286" s="127" t="s">
        <v>1109</v>
      </c>
      <c r="K286" s="127" t="s">
        <v>1109</v>
      </c>
      <c r="L286" s="128" t="s">
        <v>2691</v>
      </c>
      <c r="M286" s="127" t="s">
        <v>1109</v>
      </c>
      <c r="N286" s="127" t="s">
        <v>1109</v>
      </c>
      <c r="O286" s="127" t="s">
        <v>1109</v>
      </c>
      <c r="P286" s="127" t="s">
        <v>1109</v>
      </c>
      <c r="Q286" s="127" t="s">
        <v>1109</v>
      </c>
      <c r="R286" s="127" t="s">
        <v>1109</v>
      </c>
      <c r="S286" s="128" t="s">
        <v>2693</v>
      </c>
      <c r="T286">
        <f t="shared" si="12"/>
        <v>1</v>
      </c>
      <c r="U286">
        <f t="shared" si="13"/>
        <v>1</v>
      </c>
      <c r="V286">
        <f t="shared" si="14"/>
        <v>3</v>
      </c>
    </row>
    <row r="287" spans="1:22">
      <c r="A287" s="126" t="s">
        <v>2653</v>
      </c>
      <c r="B287" s="127" t="s">
        <v>1109</v>
      </c>
      <c r="C287" s="128" t="s">
        <v>2692</v>
      </c>
      <c r="D287" s="128" t="s">
        <v>2692</v>
      </c>
      <c r="E287" s="128" t="s">
        <v>2692</v>
      </c>
      <c r="F287" s="128" t="s">
        <v>2692</v>
      </c>
      <c r="G287" s="128" t="s">
        <v>2693</v>
      </c>
      <c r="H287" s="128" t="s">
        <v>2693</v>
      </c>
      <c r="I287" s="127" t="s">
        <v>1109</v>
      </c>
      <c r="J287" s="127" t="s">
        <v>1109</v>
      </c>
      <c r="K287" s="127" t="s">
        <v>1109</v>
      </c>
      <c r="L287" s="128" t="s">
        <v>2691</v>
      </c>
      <c r="M287" s="128" t="s">
        <v>2693</v>
      </c>
      <c r="N287" s="127" t="s">
        <v>1109</v>
      </c>
      <c r="O287" s="128" t="s">
        <v>2692</v>
      </c>
      <c r="P287" s="128" t="s">
        <v>2693</v>
      </c>
      <c r="Q287" s="128" t="s">
        <v>2692</v>
      </c>
      <c r="R287" s="127" t="s">
        <v>1109</v>
      </c>
      <c r="S287" s="128" t="s">
        <v>2693</v>
      </c>
      <c r="T287">
        <f t="shared" si="12"/>
        <v>5</v>
      </c>
      <c r="U287">
        <f t="shared" si="13"/>
        <v>6</v>
      </c>
      <c r="V287">
        <f t="shared" si="14"/>
        <v>1</v>
      </c>
    </row>
    <row r="288" spans="1:22">
      <c r="A288" s="126" t="s">
        <v>2654</v>
      </c>
      <c r="B288" s="128" t="s">
        <v>2692</v>
      </c>
      <c r="C288" s="128" t="s">
        <v>2693</v>
      </c>
      <c r="D288" s="127" t="s">
        <v>1109</v>
      </c>
      <c r="E288" s="127" t="s">
        <v>1109</v>
      </c>
      <c r="F288" s="128" t="s">
        <v>2692</v>
      </c>
      <c r="G288" s="128" t="s">
        <v>2692</v>
      </c>
      <c r="H288" s="128" t="s">
        <v>2693</v>
      </c>
      <c r="I288" s="128" t="s">
        <v>2691</v>
      </c>
      <c r="J288" s="128" t="s">
        <v>2693</v>
      </c>
      <c r="K288" s="128" t="s">
        <v>2692</v>
      </c>
      <c r="L288" s="128" t="s">
        <v>2691</v>
      </c>
      <c r="M288" s="127" t="s">
        <v>1109</v>
      </c>
      <c r="N288" s="128" t="s">
        <v>2692</v>
      </c>
      <c r="O288" s="128" t="s">
        <v>2692</v>
      </c>
      <c r="P288" s="128" t="s">
        <v>2692</v>
      </c>
      <c r="Q288" s="128" t="s">
        <v>2692</v>
      </c>
      <c r="R288" s="128" t="s">
        <v>2692</v>
      </c>
      <c r="S288" s="127" t="s">
        <v>1109</v>
      </c>
      <c r="T288">
        <f t="shared" si="12"/>
        <v>3</v>
      </c>
      <c r="U288">
        <f t="shared" si="13"/>
        <v>9</v>
      </c>
      <c r="V288">
        <f t="shared" si="14"/>
        <v>2</v>
      </c>
    </row>
    <row r="289" spans="1:22">
      <c r="A289" s="126" t="s">
        <v>2655</v>
      </c>
      <c r="B289" s="127" t="s">
        <v>1109</v>
      </c>
      <c r="C289" s="127" t="s">
        <v>1109</v>
      </c>
      <c r="D289" s="127" t="s">
        <v>1109</v>
      </c>
      <c r="E289" s="127" t="s">
        <v>1109</v>
      </c>
      <c r="F289" s="127" t="s">
        <v>1109</v>
      </c>
      <c r="G289" s="127" t="s">
        <v>1109</v>
      </c>
      <c r="H289" s="127" t="s">
        <v>1109</v>
      </c>
      <c r="I289" s="128" t="s">
        <v>2693</v>
      </c>
      <c r="J289" s="127" t="s">
        <v>1109</v>
      </c>
      <c r="K289" s="127" t="s">
        <v>1109</v>
      </c>
      <c r="L289" s="128" t="s">
        <v>2691</v>
      </c>
      <c r="M289" s="127" t="s">
        <v>1109</v>
      </c>
      <c r="N289" s="127" t="s">
        <v>1109</v>
      </c>
      <c r="O289" s="128" t="s">
        <v>2692</v>
      </c>
      <c r="P289" s="128" t="s">
        <v>2691</v>
      </c>
      <c r="Q289" s="128" t="s">
        <v>2692</v>
      </c>
      <c r="R289" s="128" t="s">
        <v>2693</v>
      </c>
      <c r="S289" s="128" t="s">
        <v>2693</v>
      </c>
      <c r="T289">
        <f t="shared" si="12"/>
        <v>3</v>
      </c>
      <c r="U289">
        <f t="shared" si="13"/>
        <v>2</v>
      </c>
      <c r="V289">
        <f t="shared" si="14"/>
        <v>2</v>
      </c>
    </row>
    <row r="290" spans="1:22">
      <c r="A290" s="126" t="s">
        <v>2382</v>
      </c>
      <c r="B290" s="128" t="s">
        <v>2692</v>
      </c>
      <c r="C290" s="128" t="s">
        <v>2693</v>
      </c>
      <c r="D290" s="127" t="s">
        <v>1109</v>
      </c>
      <c r="E290" s="127" t="s">
        <v>1109</v>
      </c>
      <c r="F290" s="128" t="s">
        <v>2692</v>
      </c>
      <c r="G290" s="128" t="s">
        <v>2692</v>
      </c>
      <c r="H290" s="128" t="s">
        <v>2693</v>
      </c>
      <c r="I290" s="128" t="s">
        <v>2691</v>
      </c>
      <c r="J290" s="128" t="s">
        <v>2693</v>
      </c>
      <c r="K290" s="128" t="s">
        <v>2692</v>
      </c>
      <c r="L290" s="128" t="s">
        <v>2692</v>
      </c>
      <c r="M290" s="128" t="s">
        <v>2692</v>
      </c>
      <c r="N290" s="128" t="s">
        <v>2692</v>
      </c>
      <c r="O290" s="127" t="s">
        <v>1109</v>
      </c>
      <c r="P290" s="128" t="s">
        <v>2692</v>
      </c>
      <c r="Q290" s="127" t="s">
        <v>1109</v>
      </c>
      <c r="R290" s="128" t="s">
        <v>2692</v>
      </c>
      <c r="S290" s="128" t="s">
        <v>2692</v>
      </c>
      <c r="T290">
        <f t="shared" si="12"/>
        <v>3</v>
      </c>
      <c r="U290">
        <f t="shared" si="13"/>
        <v>10</v>
      </c>
      <c r="V290">
        <f t="shared" si="14"/>
        <v>1</v>
      </c>
    </row>
    <row r="291" spans="1:22">
      <c r="A291" s="126" t="s">
        <v>2656</v>
      </c>
      <c r="B291" s="128" t="s">
        <v>2692</v>
      </c>
      <c r="C291" s="128" t="s">
        <v>2693</v>
      </c>
      <c r="D291" s="127" t="s">
        <v>1109</v>
      </c>
      <c r="E291" s="127" t="s">
        <v>1109</v>
      </c>
      <c r="F291" s="128" t="s">
        <v>2692</v>
      </c>
      <c r="G291" s="128" t="s">
        <v>2692</v>
      </c>
      <c r="H291" s="128" t="s">
        <v>2693</v>
      </c>
      <c r="I291" s="128" t="s">
        <v>2691</v>
      </c>
      <c r="J291" s="128" t="s">
        <v>2693</v>
      </c>
      <c r="K291" s="128" t="s">
        <v>2692</v>
      </c>
      <c r="L291" s="128" t="s">
        <v>2692</v>
      </c>
      <c r="M291" s="128" t="s">
        <v>2692</v>
      </c>
      <c r="N291" s="128" t="s">
        <v>2692</v>
      </c>
      <c r="O291" s="128" t="s">
        <v>2691</v>
      </c>
      <c r="P291" s="128" t="s">
        <v>2692</v>
      </c>
      <c r="Q291" s="127" t="s">
        <v>1109</v>
      </c>
      <c r="R291" s="128" t="s">
        <v>2692</v>
      </c>
      <c r="S291" s="128" t="s">
        <v>2692</v>
      </c>
      <c r="T291">
        <f t="shared" si="12"/>
        <v>3</v>
      </c>
      <c r="U291">
        <f t="shared" si="13"/>
        <v>10</v>
      </c>
      <c r="V291">
        <f t="shared" si="14"/>
        <v>2</v>
      </c>
    </row>
    <row r="292" spans="1:22">
      <c r="A292" s="126" t="s">
        <v>2657</v>
      </c>
      <c r="B292" s="128" t="s">
        <v>2692</v>
      </c>
      <c r="C292" s="127" t="s">
        <v>1109</v>
      </c>
      <c r="D292" s="128" t="s">
        <v>2693</v>
      </c>
      <c r="E292" s="127" t="s">
        <v>1109</v>
      </c>
      <c r="F292" s="128" t="s">
        <v>2692</v>
      </c>
      <c r="G292" s="128" t="s">
        <v>2692</v>
      </c>
      <c r="H292" s="128" t="s">
        <v>2693</v>
      </c>
      <c r="I292" s="128" t="s">
        <v>2691</v>
      </c>
      <c r="J292" s="128" t="s">
        <v>2693</v>
      </c>
      <c r="K292" s="128" t="s">
        <v>2692</v>
      </c>
      <c r="L292" s="128" t="s">
        <v>2692</v>
      </c>
      <c r="M292" s="128" t="s">
        <v>2692</v>
      </c>
      <c r="N292" s="127" t="s">
        <v>1109</v>
      </c>
      <c r="O292" s="127" t="s">
        <v>1109</v>
      </c>
      <c r="P292" s="128" t="s">
        <v>2692</v>
      </c>
      <c r="Q292" s="127" t="s">
        <v>1109</v>
      </c>
      <c r="R292" s="128" t="s">
        <v>2692</v>
      </c>
      <c r="S292" s="128" t="s">
        <v>2692</v>
      </c>
      <c r="T292">
        <f t="shared" si="12"/>
        <v>3</v>
      </c>
      <c r="U292">
        <f t="shared" si="13"/>
        <v>9</v>
      </c>
      <c r="V292">
        <f t="shared" si="14"/>
        <v>1</v>
      </c>
    </row>
    <row r="293" spans="1:22">
      <c r="A293" s="126" t="s">
        <v>2658</v>
      </c>
      <c r="B293" s="128" t="s">
        <v>2692</v>
      </c>
      <c r="C293" s="127" t="s">
        <v>1109</v>
      </c>
      <c r="D293" s="128" t="s">
        <v>2692</v>
      </c>
      <c r="E293" s="128" t="s">
        <v>2693</v>
      </c>
      <c r="F293" s="127" t="s">
        <v>1109</v>
      </c>
      <c r="G293" s="128" t="s">
        <v>2692</v>
      </c>
      <c r="H293" s="128" t="s">
        <v>2693</v>
      </c>
      <c r="I293" s="128" t="s">
        <v>2691</v>
      </c>
      <c r="J293" s="128" t="s">
        <v>2693</v>
      </c>
      <c r="K293" s="128" t="s">
        <v>2692</v>
      </c>
      <c r="L293" s="128" t="s">
        <v>2692</v>
      </c>
      <c r="M293" s="128" t="s">
        <v>2692</v>
      </c>
      <c r="N293" s="128" t="s">
        <v>2692</v>
      </c>
      <c r="O293" s="127" t="s">
        <v>1109</v>
      </c>
      <c r="P293" s="128" t="s">
        <v>2692</v>
      </c>
      <c r="Q293" s="127" t="s">
        <v>1109</v>
      </c>
      <c r="R293" s="128" t="s">
        <v>2692</v>
      </c>
      <c r="S293" s="128" t="s">
        <v>2692</v>
      </c>
      <c r="T293">
        <f t="shared" si="12"/>
        <v>3</v>
      </c>
      <c r="U293">
        <f t="shared" si="13"/>
        <v>10</v>
      </c>
      <c r="V293">
        <f t="shared" si="14"/>
        <v>1</v>
      </c>
    </row>
    <row r="294" spans="1:22">
      <c r="A294" s="126" t="s">
        <v>2659</v>
      </c>
      <c r="B294" s="128" t="s">
        <v>2692</v>
      </c>
      <c r="C294" s="128" t="s">
        <v>2693</v>
      </c>
      <c r="D294" s="127" t="s">
        <v>1109</v>
      </c>
      <c r="E294" s="128" t="s">
        <v>2692</v>
      </c>
      <c r="F294" s="128" t="s">
        <v>2692</v>
      </c>
      <c r="G294" s="128" t="s">
        <v>2692</v>
      </c>
      <c r="H294" s="128" t="s">
        <v>2693</v>
      </c>
      <c r="I294" s="128" t="s">
        <v>2691</v>
      </c>
      <c r="J294" s="128" t="s">
        <v>2693</v>
      </c>
      <c r="K294" s="128" t="s">
        <v>2692</v>
      </c>
      <c r="L294" s="128" t="s">
        <v>2692</v>
      </c>
      <c r="M294" s="128" t="s">
        <v>2692</v>
      </c>
      <c r="N294" s="128" t="s">
        <v>2692</v>
      </c>
      <c r="O294" s="127" t="s">
        <v>1109</v>
      </c>
      <c r="P294" s="128" t="s">
        <v>2692</v>
      </c>
      <c r="Q294" s="127" t="s">
        <v>1109</v>
      </c>
      <c r="R294" s="128" t="s">
        <v>2692</v>
      </c>
      <c r="S294" s="128" t="s">
        <v>2692</v>
      </c>
      <c r="T294">
        <f t="shared" si="12"/>
        <v>3</v>
      </c>
      <c r="U294">
        <f t="shared" si="13"/>
        <v>11</v>
      </c>
      <c r="V294">
        <f t="shared" si="14"/>
        <v>1</v>
      </c>
    </row>
    <row r="295" spans="1:22">
      <c r="A295" s="126" t="s">
        <v>2660</v>
      </c>
      <c r="B295" s="128" t="s">
        <v>2692</v>
      </c>
      <c r="C295" s="128" t="s">
        <v>2693</v>
      </c>
      <c r="D295" s="128" t="s">
        <v>2692</v>
      </c>
      <c r="E295" s="128" t="s">
        <v>2692</v>
      </c>
      <c r="F295" s="128" t="s">
        <v>2692</v>
      </c>
      <c r="G295" s="127" t="s">
        <v>1109</v>
      </c>
      <c r="H295" s="128" t="s">
        <v>2693</v>
      </c>
      <c r="I295" s="128" t="s">
        <v>2691</v>
      </c>
      <c r="J295" s="127" t="s">
        <v>1109</v>
      </c>
      <c r="K295" s="127" t="s">
        <v>1109</v>
      </c>
      <c r="L295" s="128" t="s">
        <v>2692</v>
      </c>
      <c r="M295" s="127" t="s">
        <v>1109</v>
      </c>
      <c r="N295" s="128" t="s">
        <v>2692</v>
      </c>
      <c r="O295" s="127" t="s">
        <v>1109</v>
      </c>
      <c r="P295" s="128" t="s">
        <v>2692</v>
      </c>
      <c r="Q295" s="127" t="s">
        <v>1109</v>
      </c>
      <c r="R295" s="128" t="s">
        <v>2692</v>
      </c>
      <c r="S295" s="128" t="s">
        <v>2692</v>
      </c>
      <c r="T295">
        <f t="shared" si="12"/>
        <v>2</v>
      </c>
      <c r="U295">
        <f t="shared" si="13"/>
        <v>9</v>
      </c>
      <c r="V295">
        <f t="shared" si="14"/>
        <v>1</v>
      </c>
    </row>
    <row r="296" spans="1:22">
      <c r="A296" s="126" t="s">
        <v>2661</v>
      </c>
      <c r="B296" s="128" t="s">
        <v>2692</v>
      </c>
      <c r="C296" s="128" t="s">
        <v>2693</v>
      </c>
      <c r="D296" s="127" t="s">
        <v>1109</v>
      </c>
      <c r="E296" s="127" t="s">
        <v>1109</v>
      </c>
      <c r="F296" s="128" t="s">
        <v>2692</v>
      </c>
      <c r="G296" s="128" t="s">
        <v>2692</v>
      </c>
      <c r="H296" s="128" t="s">
        <v>2693</v>
      </c>
      <c r="I296" s="128" t="s">
        <v>2691</v>
      </c>
      <c r="J296" s="128" t="s">
        <v>2693</v>
      </c>
      <c r="K296" s="128" t="s">
        <v>2692</v>
      </c>
      <c r="L296" s="128" t="s">
        <v>2692</v>
      </c>
      <c r="M296" s="128" t="s">
        <v>2692</v>
      </c>
      <c r="N296" s="127" t="s">
        <v>1109</v>
      </c>
      <c r="O296" s="127" t="s">
        <v>1109</v>
      </c>
      <c r="P296" s="128" t="s">
        <v>2692</v>
      </c>
      <c r="Q296" s="127" t="s">
        <v>1109</v>
      </c>
      <c r="R296" s="127" t="s">
        <v>1109</v>
      </c>
      <c r="S296" s="128" t="s">
        <v>2692</v>
      </c>
      <c r="T296">
        <f t="shared" si="12"/>
        <v>3</v>
      </c>
      <c r="U296">
        <f t="shared" si="13"/>
        <v>8</v>
      </c>
      <c r="V296">
        <f t="shared" si="14"/>
        <v>1</v>
      </c>
    </row>
    <row r="297" spans="1:22">
      <c r="A297" s="126" t="s">
        <v>2662</v>
      </c>
      <c r="B297" s="128" t="s">
        <v>2692</v>
      </c>
      <c r="C297" s="128" t="s">
        <v>2693</v>
      </c>
      <c r="D297" s="127" t="s">
        <v>1109</v>
      </c>
      <c r="E297" s="127" t="s">
        <v>1109</v>
      </c>
      <c r="F297" s="128" t="s">
        <v>2692</v>
      </c>
      <c r="G297" s="128" t="s">
        <v>2692</v>
      </c>
      <c r="H297" s="128" t="s">
        <v>2693</v>
      </c>
      <c r="I297" s="128" t="s">
        <v>2691</v>
      </c>
      <c r="J297" s="128" t="s">
        <v>2693</v>
      </c>
      <c r="K297" s="127" t="s">
        <v>1109</v>
      </c>
      <c r="L297" s="127" t="s">
        <v>1109</v>
      </c>
      <c r="M297" s="128" t="s">
        <v>2692</v>
      </c>
      <c r="N297" s="128" t="s">
        <v>2692</v>
      </c>
      <c r="O297" s="127" t="s">
        <v>1109</v>
      </c>
      <c r="P297" s="128" t="s">
        <v>2692</v>
      </c>
      <c r="Q297" s="128" t="s">
        <v>2692</v>
      </c>
      <c r="R297" s="128" t="s">
        <v>2692</v>
      </c>
      <c r="S297" s="127" t="s">
        <v>1109</v>
      </c>
      <c r="T297">
        <f t="shared" si="12"/>
        <v>3</v>
      </c>
      <c r="U297">
        <f t="shared" si="13"/>
        <v>8</v>
      </c>
      <c r="V297">
        <f t="shared" si="14"/>
        <v>1</v>
      </c>
    </row>
    <row r="298" spans="1:22">
      <c r="A298" s="126" t="s">
        <v>2663</v>
      </c>
      <c r="B298" s="128" t="s">
        <v>2692</v>
      </c>
      <c r="C298" s="128" t="s">
        <v>2693</v>
      </c>
      <c r="D298" s="127" t="s">
        <v>1109</v>
      </c>
      <c r="E298" s="127" t="s">
        <v>1109</v>
      </c>
      <c r="F298" s="128" t="s">
        <v>2692</v>
      </c>
      <c r="G298" s="128" t="s">
        <v>2692</v>
      </c>
      <c r="H298" s="127" t="s">
        <v>1109</v>
      </c>
      <c r="I298" s="128" t="s">
        <v>2691</v>
      </c>
      <c r="J298" s="128" t="s">
        <v>2693</v>
      </c>
      <c r="K298" s="128" t="s">
        <v>2692</v>
      </c>
      <c r="L298" s="127" t="s">
        <v>1109</v>
      </c>
      <c r="M298" s="128" t="s">
        <v>2692</v>
      </c>
      <c r="N298" s="128" t="s">
        <v>2692</v>
      </c>
      <c r="O298" s="127" t="s">
        <v>1109</v>
      </c>
      <c r="P298" s="128" t="s">
        <v>2692</v>
      </c>
      <c r="Q298" s="127" t="s">
        <v>1109</v>
      </c>
      <c r="R298" s="128" t="s">
        <v>2692</v>
      </c>
      <c r="S298" s="128" t="s">
        <v>2692</v>
      </c>
      <c r="T298">
        <f t="shared" si="12"/>
        <v>2</v>
      </c>
      <c r="U298">
        <f t="shared" si="13"/>
        <v>9</v>
      </c>
      <c r="V298">
        <f t="shared" si="14"/>
        <v>1</v>
      </c>
    </row>
    <row r="299" spans="1:22">
      <c r="A299" s="126" t="s">
        <v>2664</v>
      </c>
      <c r="B299" s="128" t="s">
        <v>2692</v>
      </c>
      <c r="C299" s="128" t="s">
        <v>2693</v>
      </c>
      <c r="D299" s="128" t="s">
        <v>2693</v>
      </c>
      <c r="E299" s="128" t="s">
        <v>2691</v>
      </c>
      <c r="F299" s="127" t="s">
        <v>1109</v>
      </c>
      <c r="G299" s="127" t="s">
        <v>1109</v>
      </c>
      <c r="H299" s="128" t="s">
        <v>2693</v>
      </c>
      <c r="I299" s="128" t="s">
        <v>2691</v>
      </c>
      <c r="J299" s="128" t="s">
        <v>2693</v>
      </c>
      <c r="K299" s="128" t="s">
        <v>2692</v>
      </c>
      <c r="L299" s="128" t="s">
        <v>2692</v>
      </c>
      <c r="M299" s="128" t="s">
        <v>2692</v>
      </c>
      <c r="N299" s="128" t="s">
        <v>2692</v>
      </c>
      <c r="O299" s="127" t="s">
        <v>1109</v>
      </c>
      <c r="P299" s="128" t="s">
        <v>2692</v>
      </c>
      <c r="Q299" s="127" t="s">
        <v>1109</v>
      </c>
      <c r="R299" s="128" t="s">
        <v>2692</v>
      </c>
      <c r="S299" s="128" t="s">
        <v>2692</v>
      </c>
      <c r="T299">
        <f t="shared" si="12"/>
        <v>4</v>
      </c>
      <c r="U299">
        <f t="shared" si="13"/>
        <v>8</v>
      </c>
      <c r="V299">
        <f t="shared" si="14"/>
        <v>2</v>
      </c>
    </row>
    <row r="300" spans="1:22">
      <c r="A300" s="126" t="s">
        <v>2665</v>
      </c>
      <c r="B300" s="128" t="s">
        <v>2692</v>
      </c>
      <c r="C300" s="128" t="s">
        <v>2693</v>
      </c>
      <c r="D300" s="127" t="s">
        <v>1109</v>
      </c>
      <c r="E300" s="128" t="s">
        <v>2693</v>
      </c>
      <c r="F300" s="128" t="s">
        <v>2692</v>
      </c>
      <c r="G300" s="127" t="s">
        <v>1109</v>
      </c>
      <c r="H300" s="127" t="s">
        <v>1109</v>
      </c>
      <c r="I300" s="128" t="s">
        <v>2691</v>
      </c>
      <c r="J300" s="128" t="s">
        <v>2691</v>
      </c>
      <c r="K300" s="128" t="s">
        <v>2692</v>
      </c>
      <c r="L300" s="128" t="s">
        <v>2692</v>
      </c>
      <c r="M300" s="128" t="s">
        <v>2692</v>
      </c>
      <c r="N300" s="127" t="s">
        <v>1109</v>
      </c>
      <c r="O300" s="127" t="s">
        <v>1109</v>
      </c>
      <c r="P300" s="128" t="s">
        <v>2692</v>
      </c>
      <c r="Q300" s="127" t="s">
        <v>1109</v>
      </c>
      <c r="R300" s="128" t="s">
        <v>2692</v>
      </c>
      <c r="S300" s="128" t="s">
        <v>2692</v>
      </c>
      <c r="T300">
        <f t="shared" si="12"/>
        <v>2</v>
      </c>
      <c r="U300">
        <f t="shared" si="13"/>
        <v>8</v>
      </c>
      <c r="V300">
        <f t="shared" si="14"/>
        <v>2</v>
      </c>
    </row>
    <row r="301" spans="1:22">
      <c r="A301" s="126" t="s">
        <v>2666</v>
      </c>
      <c r="B301" s="128" t="s">
        <v>2692</v>
      </c>
      <c r="C301" s="128" t="s">
        <v>2693</v>
      </c>
      <c r="D301" s="127" t="s">
        <v>1109</v>
      </c>
      <c r="E301" s="127" t="s">
        <v>1109</v>
      </c>
      <c r="F301" s="128" t="s">
        <v>2692</v>
      </c>
      <c r="G301" s="128" t="s">
        <v>2692</v>
      </c>
      <c r="H301" s="127" t="s">
        <v>1109</v>
      </c>
      <c r="I301" s="128" t="s">
        <v>2691</v>
      </c>
      <c r="J301" s="128" t="s">
        <v>2693</v>
      </c>
      <c r="K301" s="128" t="s">
        <v>2692</v>
      </c>
      <c r="L301" s="128" t="s">
        <v>2692</v>
      </c>
      <c r="M301" s="127" t="s">
        <v>1109</v>
      </c>
      <c r="N301" s="128" t="s">
        <v>2692</v>
      </c>
      <c r="O301" s="128" t="s">
        <v>2693</v>
      </c>
      <c r="P301" s="128" t="s">
        <v>2692</v>
      </c>
      <c r="Q301" s="128" t="s">
        <v>2693</v>
      </c>
      <c r="R301" s="128" t="s">
        <v>2692</v>
      </c>
      <c r="S301" s="128" t="s">
        <v>2692</v>
      </c>
      <c r="T301">
        <f t="shared" si="12"/>
        <v>4</v>
      </c>
      <c r="U301">
        <f t="shared" si="13"/>
        <v>9</v>
      </c>
      <c r="V301">
        <f t="shared" si="14"/>
        <v>1</v>
      </c>
    </row>
    <row r="302" spans="1:22">
      <c r="A302" s="126" t="s">
        <v>2667</v>
      </c>
      <c r="B302" s="128" t="s">
        <v>2692</v>
      </c>
      <c r="C302" s="128" t="s">
        <v>2693</v>
      </c>
      <c r="D302" s="127" t="s">
        <v>1109</v>
      </c>
      <c r="E302" s="127" t="s">
        <v>1109</v>
      </c>
      <c r="F302" s="128" t="s">
        <v>2692</v>
      </c>
      <c r="G302" s="128" t="s">
        <v>2692</v>
      </c>
      <c r="H302" s="127" t="s">
        <v>1109</v>
      </c>
      <c r="I302" s="128" t="s">
        <v>2691</v>
      </c>
      <c r="J302" s="127" t="s">
        <v>1109</v>
      </c>
      <c r="K302" s="127" t="s">
        <v>1109</v>
      </c>
      <c r="L302" s="128" t="s">
        <v>2692</v>
      </c>
      <c r="M302" s="128" t="s">
        <v>2692</v>
      </c>
      <c r="N302" s="127" t="s">
        <v>1109</v>
      </c>
      <c r="O302" s="127" t="s">
        <v>1109</v>
      </c>
      <c r="P302" s="128" t="s">
        <v>2692</v>
      </c>
      <c r="Q302" s="127" t="s">
        <v>1109</v>
      </c>
      <c r="R302" s="128" t="s">
        <v>2692</v>
      </c>
      <c r="S302" s="128" t="s">
        <v>2692</v>
      </c>
      <c r="T302">
        <f t="shared" si="12"/>
        <v>1</v>
      </c>
      <c r="U302">
        <f t="shared" si="13"/>
        <v>8</v>
      </c>
      <c r="V302">
        <f t="shared" si="14"/>
        <v>1</v>
      </c>
    </row>
    <row r="303" spans="1:22">
      <c r="A303" s="126" t="s">
        <v>2668</v>
      </c>
      <c r="B303" s="128" t="s">
        <v>2692</v>
      </c>
      <c r="C303" s="127" t="s">
        <v>1109</v>
      </c>
      <c r="D303" s="128" t="s">
        <v>2693</v>
      </c>
      <c r="E303" s="127" t="s">
        <v>1109</v>
      </c>
      <c r="F303" s="127" t="s">
        <v>1109</v>
      </c>
      <c r="G303" s="128" t="s">
        <v>2692</v>
      </c>
      <c r="H303" s="128" t="s">
        <v>2693</v>
      </c>
      <c r="I303" s="128" t="s">
        <v>2691</v>
      </c>
      <c r="J303" s="128" t="s">
        <v>2693</v>
      </c>
      <c r="K303" s="128" t="s">
        <v>2692</v>
      </c>
      <c r="L303" s="128" t="s">
        <v>2692</v>
      </c>
      <c r="M303" s="128" t="s">
        <v>2692</v>
      </c>
      <c r="N303" s="128" t="s">
        <v>2692</v>
      </c>
      <c r="O303" s="127" t="s">
        <v>1109</v>
      </c>
      <c r="P303" s="128" t="s">
        <v>2692</v>
      </c>
      <c r="Q303" s="127" t="s">
        <v>1109</v>
      </c>
      <c r="R303" s="127" t="s">
        <v>1109</v>
      </c>
      <c r="S303" s="128" t="s">
        <v>2692</v>
      </c>
      <c r="T303">
        <f t="shared" si="12"/>
        <v>3</v>
      </c>
      <c r="U303">
        <f t="shared" si="13"/>
        <v>8</v>
      </c>
      <c r="V303">
        <f t="shared" si="14"/>
        <v>1</v>
      </c>
    </row>
    <row r="304" spans="1:22">
      <c r="A304" s="126" t="s">
        <v>2669</v>
      </c>
      <c r="B304" s="128" t="s">
        <v>2691</v>
      </c>
      <c r="C304" s="128" t="s">
        <v>2693</v>
      </c>
      <c r="D304" s="127" t="s">
        <v>1109</v>
      </c>
      <c r="E304" s="127" t="s">
        <v>1109</v>
      </c>
      <c r="F304" s="128" t="s">
        <v>2692</v>
      </c>
      <c r="G304" s="128" t="s">
        <v>2692</v>
      </c>
      <c r="H304" s="128" t="s">
        <v>2691</v>
      </c>
      <c r="I304" s="128" t="s">
        <v>2691</v>
      </c>
      <c r="J304" s="128" t="s">
        <v>2693</v>
      </c>
      <c r="K304" s="128" t="s">
        <v>2692</v>
      </c>
      <c r="L304" s="128" t="s">
        <v>2692</v>
      </c>
      <c r="M304" s="128" t="s">
        <v>2692</v>
      </c>
      <c r="N304" s="128" t="s">
        <v>2692</v>
      </c>
      <c r="O304" s="128" t="s">
        <v>2693</v>
      </c>
      <c r="P304" s="128" t="s">
        <v>2692</v>
      </c>
      <c r="Q304" s="128" t="s">
        <v>2693</v>
      </c>
      <c r="R304" s="128" t="s">
        <v>2692</v>
      </c>
      <c r="S304" s="128" t="s">
        <v>2692</v>
      </c>
      <c r="T304">
        <f t="shared" si="12"/>
        <v>4</v>
      </c>
      <c r="U304">
        <f t="shared" si="13"/>
        <v>9</v>
      </c>
      <c r="V304">
        <f t="shared" si="14"/>
        <v>3</v>
      </c>
    </row>
    <row r="305" spans="1:22">
      <c r="A305" s="126" t="s">
        <v>2670</v>
      </c>
      <c r="B305" s="128" t="s">
        <v>2692</v>
      </c>
      <c r="C305" s="127" t="s">
        <v>1109</v>
      </c>
      <c r="D305" s="128" t="s">
        <v>2692</v>
      </c>
      <c r="E305" s="128" t="s">
        <v>2692</v>
      </c>
      <c r="F305" s="128" t="s">
        <v>2692</v>
      </c>
      <c r="G305" s="127" t="s">
        <v>1109</v>
      </c>
      <c r="H305" s="128" t="s">
        <v>2693</v>
      </c>
      <c r="I305" s="128" t="s">
        <v>2691</v>
      </c>
      <c r="J305" s="128" t="s">
        <v>2693</v>
      </c>
      <c r="K305" s="128" t="s">
        <v>2692</v>
      </c>
      <c r="L305" s="128" t="s">
        <v>2692</v>
      </c>
      <c r="M305" s="128" t="s">
        <v>2692</v>
      </c>
      <c r="N305" s="128" t="s">
        <v>2692</v>
      </c>
      <c r="O305" s="127" t="s">
        <v>1109</v>
      </c>
      <c r="P305" s="127" t="s">
        <v>1109</v>
      </c>
      <c r="Q305" s="127" t="s">
        <v>1109</v>
      </c>
      <c r="R305" s="128" t="s">
        <v>2692</v>
      </c>
      <c r="S305" s="127" t="s">
        <v>1109</v>
      </c>
      <c r="T305">
        <f t="shared" si="12"/>
        <v>2</v>
      </c>
      <c r="U305">
        <f t="shared" si="13"/>
        <v>9</v>
      </c>
      <c r="V305">
        <f t="shared" si="14"/>
        <v>1</v>
      </c>
    </row>
    <row r="306" spans="1:22">
      <c r="A306" s="126" t="s">
        <v>2671</v>
      </c>
      <c r="B306" s="128" t="s">
        <v>2692</v>
      </c>
      <c r="C306" s="128" t="s">
        <v>2693</v>
      </c>
      <c r="D306" s="127" t="s">
        <v>1109</v>
      </c>
      <c r="E306" s="127" t="s">
        <v>1109</v>
      </c>
      <c r="F306" s="128" t="s">
        <v>2692</v>
      </c>
      <c r="G306" s="128" t="s">
        <v>2692</v>
      </c>
      <c r="H306" s="128" t="s">
        <v>2693</v>
      </c>
      <c r="I306" s="128" t="s">
        <v>2691</v>
      </c>
      <c r="J306" s="128" t="s">
        <v>2693</v>
      </c>
      <c r="K306" s="128" t="s">
        <v>2692</v>
      </c>
      <c r="L306" s="128" t="s">
        <v>2691</v>
      </c>
      <c r="M306" s="127" t="s">
        <v>1109</v>
      </c>
      <c r="N306" s="128" t="s">
        <v>2692</v>
      </c>
      <c r="O306" s="128" t="s">
        <v>2692</v>
      </c>
      <c r="P306" s="128" t="s">
        <v>2692</v>
      </c>
      <c r="Q306" s="128" t="s">
        <v>2692</v>
      </c>
      <c r="R306" s="128" t="s">
        <v>2692</v>
      </c>
      <c r="S306" s="127" t="s">
        <v>1109</v>
      </c>
      <c r="T306">
        <f t="shared" si="12"/>
        <v>3</v>
      </c>
      <c r="U306">
        <f t="shared" si="13"/>
        <v>9</v>
      </c>
      <c r="V306">
        <f t="shared" si="14"/>
        <v>2</v>
      </c>
    </row>
    <row r="307" spans="1:22">
      <c r="A307" s="126" t="s">
        <v>2672</v>
      </c>
      <c r="B307" s="128" t="s">
        <v>2692</v>
      </c>
      <c r="C307" s="128" t="s">
        <v>2693</v>
      </c>
      <c r="D307" s="127" t="s">
        <v>1109</v>
      </c>
      <c r="E307" s="127" t="s">
        <v>1109</v>
      </c>
      <c r="F307" s="128" t="s">
        <v>2692</v>
      </c>
      <c r="G307" s="128" t="s">
        <v>2692</v>
      </c>
      <c r="H307" s="127" t="s">
        <v>1109</v>
      </c>
      <c r="I307" s="128" t="s">
        <v>2691</v>
      </c>
      <c r="J307" s="128" t="s">
        <v>2693</v>
      </c>
      <c r="K307" s="128" t="s">
        <v>2692</v>
      </c>
      <c r="L307" s="128" t="s">
        <v>2692</v>
      </c>
      <c r="M307" s="128" t="s">
        <v>2692</v>
      </c>
      <c r="N307" s="128" t="s">
        <v>2692</v>
      </c>
      <c r="O307" s="127" t="s">
        <v>1109</v>
      </c>
      <c r="P307" s="128" t="s">
        <v>2691</v>
      </c>
      <c r="Q307" s="128" t="s">
        <v>2692</v>
      </c>
      <c r="R307" s="127" t="s">
        <v>1109</v>
      </c>
      <c r="S307" s="128" t="s">
        <v>2692</v>
      </c>
      <c r="T307">
        <f t="shared" si="12"/>
        <v>2</v>
      </c>
      <c r="U307">
        <f t="shared" si="13"/>
        <v>9</v>
      </c>
      <c r="V307">
        <f t="shared" si="14"/>
        <v>2</v>
      </c>
    </row>
    <row r="308" spans="1:22">
      <c r="A308" s="126" t="s">
        <v>2383</v>
      </c>
      <c r="B308" s="127" t="s">
        <v>1109</v>
      </c>
      <c r="C308" s="127" t="s">
        <v>1109</v>
      </c>
      <c r="D308" s="127" t="s">
        <v>1109</v>
      </c>
      <c r="E308" s="127" t="s">
        <v>1109</v>
      </c>
      <c r="F308" s="127" t="s">
        <v>1109</v>
      </c>
      <c r="G308" s="127" t="s">
        <v>1109</v>
      </c>
      <c r="H308" s="128" t="s">
        <v>2692</v>
      </c>
      <c r="I308" s="128" t="s">
        <v>2693</v>
      </c>
      <c r="J308" s="127" t="s">
        <v>1109</v>
      </c>
      <c r="K308" s="127" t="s">
        <v>1109</v>
      </c>
      <c r="L308" s="127" t="s">
        <v>1109</v>
      </c>
      <c r="M308" s="128" t="s">
        <v>2692</v>
      </c>
      <c r="N308" s="127" t="s">
        <v>1109</v>
      </c>
      <c r="O308" s="127" t="s">
        <v>1109</v>
      </c>
      <c r="P308" s="128" t="s">
        <v>2691</v>
      </c>
      <c r="Q308" s="128" t="s">
        <v>2692</v>
      </c>
      <c r="R308" s="128" t="s">
        <v>2693</v>
      </c>
      <c r="S308" s="127" t="s">
        <v>1109</v>
      </c>
      <c r="T308">
        <f t="shared" si="12"/>
        <v>2</v>
      </c>
      <c r="U308">
        <f t="shared" si="13"/>
        <v>3</v>
      </c>
      <c r="V308">
        <f t="shared" si="14"/>
        <v>1</v>
      </c>
    </row>
    <row r="309" spans="1:22">
      <c r="A309" s="126" t="s">
        <v>2673</v>
      </c>
      <c r="B309" s="127" t="s">
        <v>1109</v>
      </c>
      <c r="C309" s="127" t="s">
        <v>1109</v>
      </c>
      <c r="D309" s="127" t="s">
        <v>1109</v>
      </c>
      <c r="E309" s="127" t="s">
        <v>1109</v>
      </c>
      <c r="F309" s="127" t="s">
        <v>1109</v>
      </c>
      <c r="G309" s="127" t="s">
        <v>1109</v>
      </c>
      <c r="H309" s="127" t="s">
        <v>1109</v>
      </c>
      <c r="I309" s="128" t="s">
        <v>2693</v>
      </c>
      <c r="J309" s="127" t="s">
        <v>1109</v>
      </c>
      <c r="K309" s="127" t="s">
        <v>1109</v>
      </c>
      <c r="L309" s="127" t="s">
        <v>1109</v>
      </c>
      <c r="M309" s="128" t="s">
        <v>2692</v>
      </c>
      <c r="N309" s="127" t="s">
        <v>1109</v>
      </c>
      <c r="O309" s="128" t="s">
        <v>2691</v>
      </c>
      <c r="P309" s="128" t="s">
        <v>2691</v>
      </c>
      <c r="Q309" s="128" t="s">
        <v>2692</v>
      </c>
      <c r="R309" s="128" t="s">
        <v>2693</v>
      </c>
      <c r="S309" s="127" t="s">
        <v>1109</v>
      </c>
      <c r="T309">
        <f t="shared" si="12"/>
        <v>2</v>
      </c>
      <c r="U309">
        <f t="shared" si="13"/>
        <v>2</v>
      </c>
      <c r="V309">
        <f t="shared" si="14"/>
        <v>2</v>
      </c>
    </row>
    <row r="310" spans="1:22">
      <c r="A310" s="126" t="s">
        <v>2674</v>
      </c>
      <c r="B310" s="127" t="s">
        <v>1109</v>
      </c>
      <c r="C310" s="128" t="s">
        <v>2692</v>
      </c>
      <c r="D310" s="128" t="s">
        <v>2693</v>
      </c>
      <c r="E310" s="127" t="s">
        <v>1109</v>
      </c>
      <c r="F310" s="128" t="s">
        <v>2692</v>
      </c>
      <c r="G310" s="128" t="s">
        <v>2692</v>
      </c>
      <c r="H310" s="128" t="s">
        <v>2692</v>
      </c>
      <c r="I310" s="128" t="s">
        <v>2693</v>
      </c>
      <c r="J310" s="128" t="s">
        <v>2693</v>
      </c>
      <c r="K310" s="127" t="s">
        <v>1109</v>
      </c>
      <c r="L310" s="127" t="s">
        <v>1109</v>
      </c>
      <c r="M310" s="128" t="s">
        <v>2692</v>
      </c>
      <c r="N310" s="128" t="s">
        <v>2693</v>
      </c>
      <c r="O310" s="127" t="s">
        <v>1109</v>
      </c>
      <c r="P310" s="128" t="s">
        <v>2691</v>
      </c>
      <c r="Q310" s="128" t="s">
        <v>2692</v>
      </c>
      <c r="R310" s="127" t="s">
        <v>1109</v>
      </c>
      <c r="S310" s="128" t="s">
        <v>2692</v>
      </c>
      <c r="T310">
        <f t="shared" si="12"/>
        <v>4</v>
      </c>
      <c r="U310">
        <f t="shared" si="13"/>
        <v>7</v>
      </c>
      <c r="V310">
        <f t="shared" si="14"/>
        <v>1</v>
      </c>
    </row>
    <row r="311" spans="1:22">
      <c r="A311" s="126" t="s">
        <v>2675</v>
      </c>
      <c r="B311" s="127" t="s">
        <v>1109</v>
      </c>
      <c r="C311" s="128" t="s">
        <v>2692</v>
      </c>
      <c r="D311" s="128" t="s">
        <v>2692</v>
      </c>
      <c r="E311" s="128" t="s">
        <v>2693</v>
      </c>
      <c r="F311" s="128" t="s">
        <v>2693</v>
      </c>
      <c r="G311" s="128" t="s">
        <v>2692</v>
      </c>
      <c r="H311" s="128" t="s">
        <v>2692</v>
      </c>
      <c r="I311" s="128" t="s">
        <v>2693</v>
      </c>
      <c r="J311" s="127" t="s">
        <v>1109</v>
      </c>
      <c r="K311" s="127" t="s">
        <v>1109</v>
      </c>
      <c r="L311" s="127" t="s">
        <v>1109</v>
      </c>
      <c r="M311" s="128" t="s">
        <v>2692</v>
      </c>
      <c r="N311" s="127" t="s">
        <v>1109</v>
      </c>
      <c r="O311" s="127" t="s">
        <v>1109</v>
      </c>
      <c r="P311" s="128" t="s">
        <v>2691</v>
      </c>
      <c r="Q311" s="128" t="s">
        <v>2692</v>
      </c>
      <c r="R311" s="127" t="s">
        <v>1109</v>
      </c>
      <c r="S311" s="127" t="s">
        <v>1109</v>
      </c>
      <c r="T311">
        <f t="shared" si="12"/>
        <v>3</v>
      </c>
      <c r="U311">
        <f t="shared" si="13"/>
        <v>6</v>
      </c>
      <c r="V311">
        <f t="shared" si="14"/>
        <v>1</v>
      </c>
    </row>
    <row r="312" spans="1:22">
      <c r="A312" s="126" t="s">
        <v>2676</v>
      </c>
      <c r="B312" s="127" t="s">
        <v>1109</v>
      </c>
      <c r="C312" s="127" t="s">
        <v>1109</v>
      </c>
      <c r="D312" s="127" t="s">
        <v>1109</v>
      </c>
      <c r="E312" s="128" t="s">
        <v>2692</v>
      </c>
      <c r="F312" s="127" t="s">
        <v>1109</v>
      </c>
      <c r="G312" s="127" t="s">
        <v>1109</v>
      </c>
      <c r="H312" s="128" t="s">
        <v>2692</v>
      </c>
      <c r="I312" s="128" t="s">
        <v>2693</v>
      </c>
      <c r="J312" s="128" t="s">
        <v>2693</v>
      </c>
      <c r="K312" s="128" t="s">
        <v>2692</v>
      </c>
      <c r="L312" s="127" t="s">
        <v>1109</v>
      </c>
      <c r="M312" s="128" t="s">
        <v>2692</v>
      </c>
      <c r="N312" s="127" t="s">
        <v>1109</v>
      </c>
      <c r="O312" s="127" t="s">
        <v>1109</v>
      </c>
      <c r="P312" s="128" t="s">
        <v>2691</v>
      </c>
      <c r="Q312" s="128" t="s">
        <v>2692</v>
      </c>
      <c r="R312" s="127" t="s">
        <v>1109</v>
      </c>
      <c r="S312" s="127" t="s">
        <v>1109</v>
      </c>
      <c r="T312">
        <f t="shared" si="12"/>
        <v>2</v>
      </c>
      <c r="U312">
        <f t="shared" si="13"/>
        <v>5</v>
      </c>
      <c r="V312">
        <f t="shared" si="14"/>
        <v>1</v>
      </c>
    </row>
    <row r="313" spans="1:22">
      <c r="A313" s="126" t="s">
        <v>2677</v>
      </c>
      <c r="B313" s="127" t="s">
        <v>1109</v>
      </c>
      <c r="C313" s="128" t="s">
        <v>2693</v>
      </c>
      <c r="D313" s="128" t="s">
        <v>2692</v>
      </c>
      <c r="E313" s="128" t="s">
        <v>2692</v>
      </c>
      <c r="F313" s="128" t="s">
        <v>2692</v>
      </c>
      <c r="G313" s="128" t="s">
        <v>2693</v>
      </c>
      <c r="H313" s="128" t="s">
        <v>2692</v>
      </c>
      <c r="I313" s="128" t="s">
        <v>2693</v>
      </c>
      <c r="J313" s="128" t="s">
        <v>2692</v>
      </c>
      <c r="K313" s="128" t="s">
        <v>2693</v>
      </c>
      <c r="L313" s="127" t="s">
        <v>1109</v>
      </c>
      <c r="M313" s="127" t="s">
        <v>1109</v>
      </c>
      <c r="N313" s="127" t="s">
        <v>1109</v>
      </c>
      <c r="O313" s="127" t="s">
        <v>1109</v>
      </c>
      <c r="P313" s="128" t="s">
        <v>2691</v>
      </c>
      <c r="Q313" s="128" t="s">
        <v>2692</v>
      </c>
      <c r="R313" s="128" t="s">
        <v>2693</v>
      </c>
      <c r="S313" s="127" t="s">
        <v>1109</v>
      </c>
      <c r="T313">
        <f t="shared" si="12"/>
        <v>5</v>
      </c>
      <c r="U313">
        <f t="shared" si="13"/>
        <v>6</v>
      </c>
      <c r="V313">
        <f t="shared" si="14"/>
        <v>1</v>
      </c>
    </row>
    <row r="314" spans="1:22">
      <c r="A314" s="126" t="s">
        <v>2678</v>
      </c>
      <c r="B314" s="127" t="s">
        <v>1109</v>
      </c>
      <c r="C314" s="128" t="s">
        <v>2693</v>
      </c>
      <c r="D314" s="127" t="s">
        <v>1109</v>
      </c>
      <c r="E314" s="127" t="s">
        <v>1109</v>
      </c>
      <c r="F314" s="127" t="s">
        <v>1109</v>
      </c>
      <c r="G314" s="128" t="s">
        <v>2692</v>
      </c>
      <c r="H314" s="127" t="s">
        <v>1109</v>
      </c>
      <c r="I314" s="128" t="s">
        <v>2693</v>
      </c>
      <c r="J314" s="127" t="s">
        <v>1109</v>
      </c>
      <c r="K314" s="127" t="s">
        <v>1109</v>
      </c>
      <c r="L314" s="127" t="s">
        <v>1109</v>
      </c>
      <c r="M314" s="128" t="s">
        <v>2692</v>
      </c>
      <c r="N314" s="128" t="s">
        <v>2693</v>
      </c>
      <c r="O314" s="127" t="s">
        <v>1109</v>
      </c>
      <c r="P314" s="128" t="s">
        <v>2691</v>
      </c>
      <c r="Q314" s="128" t="s">
        <v>2692</v>
      </c>
      <c r="R314" s="128" t="s">
        <v>2693</v>
      </c>
      <c r="S314" s="127" t="s">
        <v>1109</v>
      </c>
      <c r="T314">
        <f t="shared" si="12"/>
        <v>4</v>
      </c>
      <c r="U314">
        <f t="shared" si="13"/>
        <v>3</v>
      </c>
      <c r="V314">
        <f t="shared" si="14"/>
        <v>1</v>
      </c>
    </row>
    <row r="315" spans="1:22">
      <c r="A315" s="126" t="s">
        <v>2679</v>
      </c>
      <c r="B315" s="127" t="s">
        <v>1109</v>
      </c>
      <c r="C315" s="127" t="s">
        <v>1109</v>
      </c>
      <c r="D315" s="127" t="s">
        <v>1109</v>
      </c>
      <c r="E315" s="127" t="s">
        <v>1109</v>
      </c>
      <c r="F315" s="127" t="s">
        <v>1109</v>
      </c>
      <c r="G315" s="127" t="s">
        <v>1109</v>
      </c>
      <c r="H315" s="128" t="s">
        <v>2692</v>
      </c>
      <c r="I315" s="128" t="s">
        <v>2693</v>
      </c>
      <c r="J315" s="127" t="s">
        <v>1109</v>
      </c>
      <c r="K315" s="128" t="s">
        <v>2693</v>
      </c>
      <c r="L315" s="128" t="s">
        <v>2693</v>
      </c>
      <c r="M315" s="128" t="s">
        <v>2692</v>
      </c>
      <c r="N315" s="128" t="s">
        <v>2692</v>
      </c>
      <c r="O315" s="127" t="s">
        <v>1109</v>
      </c>
      <c r="P315" s="128" t="s">
        <v>2691</v>
      </c>
      <c r="Q315" s="128" t="s">
        <v>2692</v>
      </c>
      <c r="R315" s="128" t="s">
        <v>2693</v>
      </c>
      <c r="S315" s="128" t="s">
        <v>2693</v>
      </c>
      <c r="T315">
        <f t="shared" si="12"/>
        <v>5</v>
      </c>
      <c r="U315">
        <f t="shared" si="13"/>
        <v>4</v>
      </c>
      <c r="V315">
        <f t="shared" si="14"/>
        <v>1</v>
      </c>
    </row>
    <row r="316" spans="1:22">
      <c r="A316" s="126" t="s">
        <v>2680</v>
      </c>
      <c r="B316" s="127" t="s">
        <v>1109</v>
      </c>
      <c r="C316" s="127" t="s">
        <v>1109</v>
      </c>
      <c r="D316" s="127" t="s">
        <v>1109</v>
      </c>
      <c r="E316" s="127" t="s">
        <v>1109</v>
      </c>
      <c r="F316" s="128" t="s">
        <v>2692</v>
      </c>
      <c r="G316" s="127" t="s">
        <v>1109</v>
      </c>
      <c r="H316" s="128" t="s">
        <v>2692</v>
      </c>
      <c r="I316" s="127" t="s">
        <v>1109</v>
      </c>
      <c r="J316" s="128" t="s">
        <v>2693</v>
      </c>
      <c r="K316" s="127" t="s">
        <v>1109</v>
      </c>
      <c r="L316" s="128" t="s">
        <v>2693</v>
      </c>
      <c r="M316" s="128" t="s">
        <v>2692</v>
      </c>
      <c r="N316" s="127" t="s">
        <v>1109</v>
      </c>
      <c r="O316" s="127" t="s">
        <v>1109</v>
      </c>
      <c r="P316" s="128" t="s">
        <v>2691</v>
      </c>
      <c r="Q316" s="128" t="s">
        <v>2692</v>
      </c>
      <c r="R316" s="128" t="s">
        <v>2693</v>
      </c>
      <c r="S316" s="128" t="s">
        <v>2692</v>
      </c>
      <c r="T316">
        <f t="shared" si="12"/>
        <v>3</v>
      </c>
      <c r="U316">
        <f t="shared" si="13"/>
        <v>5</v>
      </c>
      <c r="V316">
        <f t="shared" si="14"/>
        <v>1</v>
      </c>
    </row>
    <row r="317" spans="1:22">
      <c r="A317" s="126" t="s">
        <v>2681</v>
      </c>
      <c r="B317" s="127" t="s">
        <v>1109</v>
      </c>
      <c r="C317" s="127" t="s">
        <v>1109</v>
      </c>
      <c r="D317" s="128" t="s">
        <v>2693</v>
      </c>
      <c r="E317" s="128" t="s">
        <v>2691</v>
      </c>
      <c r="F317" s="128" t="s">
        <v>2693</v>
      </c>
      <c r="G317" s="128" t="s">
        <v>2693</v>
      </c>
      <c r="H317" s="128" t="s">
        <v>2692</v>
      </c>
      <c r="I317" s="127" t="s">
        <v>1109</v>
      </c>
      <c r="J317" s="127" t="s">
        <v>1109</v>
      </c>
      <c r="K317" s="127" t="s">
        <v>1109</v>
      </c>
      <c r="L317" s="127" t="s">
        <v>1109</v>
      </c>
      <c r="M317" s="128" t="s">
        <v>2692</v>
      </c>
      <c r="N317" s="128" t="s">
        <v>2692</v>
      </c>
      <c r="O317" s="127" t="s">
        <v>1109</v>
      </c>
      <c r="P317" s="128" t="s">
        <v>2691</v>
      </c>
      <c r="Q317" s="128" t="s">
        <v>2692</v>
      </c>
      <c r="R317" s="128" t="s">
        <v>2693</v>
      </c>
      <c r="S317" s="127" t="s">
        <v>1109</v>
      </c>
      <c r="T317">
        <f t="shared" si="12"/>
        <v>4</v>
      </c>
      <c r="U317">
        <f t="shared" si="13"/>
        <v>4</v>
      </c>
      <c r="V317">
        <f t="shared" si="14"/>
        <v>2</v>
      </c>
    </row>
    <row r="318" spans="1:22">
      <c r="A318" s="126" t="s">
        <v>2682</v>
      </c>
      <c r="B318" s="127" t="s">
        <v>1109</v>
      </c>
      <c r="C318" s="127" t="s">
        <v>1109</v>
      </c>
      <c r="D318" s="127" t="s">
        <v>1109</v>
      </c>
      <c r="E318" s="128" t="s">
        <v>2693</v>
      </c>
      <c r="F318" s="128" t="s">
        <v>2692</v>
      </c>
      <c r="G318" s="128" t="s">
        <v>2693</v>
      </c>
      <c r="H318" s="128" t="s">
        <v>2692</v>
      </c>
      <c r="I318" s="128" t="s">
        <v>2693</v>
      </c>
      <c r="J318" s="128" t="s">
        <v>2691</v>
      </c>
      <c r="K318" s="127" t="s">
        <v>1109</v>
      </c>
      <c r="L318" s="127" t="s">
        <v>1109</v>
      </c>
      <c r="M318" s="128" t="s">
        <v>2692</v>
      </c>
      <c r="N318" s="128" t="s">
        <v>2693</v>
      </c>
      <c r="O318" s="127" t="s">
        <v>1109</v>
      </c>
      <c r="P318" s="128" t="s">
        <v>2691</v>
      </c>
      <c r="Q318" s="128" t="s">
        <v>2692</v>
      </c>
      <c r="R318" s="128" t="s">
        <v>2693</v>
      </c>
      <c r="S318" s="127" t="s">
        <v>1109</v>
      </c>
      <c r="T318">
        <f t="shared" si="12"/>
        <v>5</v>
      </c>
      <c r="U318">
        <f t="shared" si="13"/>
        <v>4</v>
      </c>
      <c r="V318">
        <f t="shared" si="14"/>
        <v>2</v>
      </c>
    </row>
    <row r="319" spans="1:22">
      <c r="A319" s="126" t="s">
        <v>2683</v>
      </c>
      <c r="B319" s="127" t="s">
        <v>1109</v>
      </c>
      <c r="C319" s="127" t="s">
        <v>1109</v>
      </c>
      <c r="D319" s="127" t="s">
        <v>1109</v>
      </c>
      <c r="E319" s="127" t="s">
        <v>1109</v>
      </c>
      <c r="F319" s="127" t="s">
        <v>1109</v>
      </c>
      <c r="G319" s="127" t="s">
        <v>1109</v>
      </c>
      <c r="H319" s="128" t="s">
        <v>2692</v>
      </c>
      <c r="I319" s="128" t="s">
        <v>2693</v>
      </c>
      <c r="J319" s="127" t="s">
        <v>1109</v>
      </c>
      <c r="K319" s="127" t="s">
        <v>1109</v>
      </c>
      <c r="L319" s="128" t="s">
        <v>2692</v>
      </c>
      <c r="M319" s="127" t="s">
        <v>1109</v>
      </c>
      <c r="N319" s="127" t="s">
        <v>1109</v>
      </c>
      <c r="O319" s="128" t="s">
        <v>2693</v>
      </c>
      <c r="P319" s="128" t="s">
        <v>2691</v>
      </c>
      <c r="Q319" s="127" t="s">
        <v>1109</v>
      </c>
      <c r="R319" s="128" t="s">
        <v>2693</v>
      </c>
      <c r="S319" s="127" t="s">
        <v>1109</v>
      </c>
      <c r="T319">
        <f t="shared" si="12"/>
        <v>3</v>
      </c>
      <c r="U319">
        <f t="shared" si="13"/>
        <v>2</v>
      </c>
      <c r="V319">
        <f t="shared" si="14"/>
        <v>1</v>
      </c>
    </row>
    <row r="320" spans="1:22">
      <c r="A320" s="126" t="s">
        <v>2684</v>
      </c>
      <c r="B320" s="127" t="s">
        <v>1109</v>
      </c>
      <c r="C320" s="128" t="s">
        <v>2693</v>
      </c>
      <c r="D320" s="127" t="s">
        <v>1109</v>
      </c>
      <c r="E320" s="127" t="s">
        <v>1109</v>
      </c>
      <c r="F320" s="128" t="s">
        <v>2692</v>
      </c>
      <c r="G320" s="127" t="s">
        <v>1109</v>
      </c>
      <c r="H320" s="128" t="s">
        <v>2692</v>
      </c>
      <c r="I320" s="128" t="s">
        <v>2693</v>
      </c>
      <c r="J320" s="128" t="s">
        <v>2692</v>
      </c>
      <c r="K320" s="128" t="s">
        <v>2693</v>
      </c>
      <c r="L320" s="127" t="s">
        <v>1109</v>
      </c>
      <c r="M320" s="128" t="s">
        <v>2692</v>
      </c>
      <c r="N320" s="128" t="s">
        <v>2693</v>
      </c>
      <c r="O320" s="127" t="s">
        <v>1109</v>
      </c>
      <c r="P320" s="128" t="s">
        <v>2691</v>
      </c>
      <c r="Q320" s="128" t="s">
        <v>2692</v>
      </c>
      <c r="R320" s="128" t="s">
        <v>2693</v>
      </c>
      <c r="S320" s="127" t="s">
        <v>1109</v>
      </c>
      <c r="T320">
        <f t="shared" si="12"/>
        <v>5</v>
      </c>
      <c r="U320">
        <f t="shared" si="13"/>
        <v>5</v>
      </c>
      <c r="V320">
        <f t="shared" si="14"/>
        <v>1</v>
      </c>
    </row>
    <row r="321" spans="1:22">
      <c r="A321" s="126" t="s">
        <v>2685</v>
      </c>
      <c r="B321" s="128" t="s">
        <v>2692</v>
      </c>
      <c r="C321" s="128" t="s">
        <v>2692</v>
      </c>
      <c r="D321" s="128" t="s">
        <v>2693</v>
      </c>
      <c r="E321" s="127" t="s">
        <v>1109</v>
      </c>
      <c r="F321" s="128" t="s">
        <v>2693</v>
      </c>
      <c r="G321" s="127" t="s">
        <v>1109</v>
      </c>
      <c r="H321" s="127" t="s">
        <v>1109</v>
      </c>
      <c r="I321" s="127" t="s">
        <v>1109</v>
      </c>
      <c r="J321" s="128" t="s">
        <v>2693</v>
      </c>
      <c r="K321" s="128" t="s">
        <v>2692</v>
      </c>
      <c r="L321" s="127" t="s">
        <v>1109</v>
      </c>
      <c r="M321" s="128" t="s">
        <v>2692</v>
      </c>
      <c r="N321" s="127" t="s">
        <v>1109</v>
      </c>
      <c r="O321" s="127" t="s">
        <v>1109</v>
      </c>
      <c r="P321" s="128" t="s">
        <v>2691</v>
      </c>
      <c r="Q321" s="128" t="s">
        <v>2692</v>
      </c>
      <c r="R321" s="128" t="s">
        <v>2693</v>
      </c>
      <c r="S321" s="127" t="s">
        <v>1109</v>
      </c>
      <c r="T321">
        <f t="shared" si="12"/>
        <v>4</v>
      </c>
      <c r="U321">
        <f t="shared" si="13"/>
        <v>5</v>
      </c>
      <c r="V321">
        <f t="shared" si="14"/>
        <v>1</v>
      </c>
    </row>
    <row r="322" spans="1:22">
      <c r="A322" s="126" t="s">
        <v>2686</v>
      </c>
      <c r="B322" s="128" t="s">
        <v>2691</v>
      </c>
      <c r="C322" s="127" t="s">
        <v>1109</v>
      </c>
      <c r="D322" s="127" t="s">
        <v>1109</v>
      </c>
      <c r="E322" s="127" t="s">
        <v>1109</v>
      </c>
      <c r="F322" s="127" t="s">
        <v>1109</v>
      </c>
      <c r="G322" s="127" t="s">
        <v>1109</v>
      </c>
      <c r="H322" s="128" t="s">
        <v>2691</v>
      </c>
      <c r="I322" s="127" t="s">
        <v>1109</v>
      </c>
      <c r="J322" s="127" t="s">
        <v>1109</v>
      </c>
      <c r="K322" s="127" t="s">
        <v>1109</v>
      </c>
      <c r="L322" s="127" t="s">
        <v>1109</v>
      </c>
      <c r="M322" s="128" t="s">
        <v>2692</v>
      </c>
      <c r="N322" s="127" t="s">
        <v>1109</v>
      </c>
      <c r="O322" s="128" t="s">
        <v>2693</v>
      </c>
      <c r="P322" s="128" t="s">
        <v>2691</v>
      </c>
      <c r="Q322" s="127" t="s">
        <v>1109</v>
      </c>
      <c r="R322" s="128" t="s">
        <v>2693</v>
      </c>
      <c r="S322" s="127" t="s">
        <v>1109</v>
      </c>
      <c r="T322">
        <f t="shared" si="12"/>
        <v>2</v>
      </c>
      <c r="U322">
        <f t="shared" si="13"/>
        <v>1</v>
      </c>
      <c r="V322">
        <f t="shared" si="14"/>
        <v>3</v>
      </c>
    </row>
    <row r="323" spans="1:22">
      <c r="A323" s="126" t="s">
        <v>2687</v>
      </c>
      <c r="B323" s="127" t="s">
        <v>1109</v>
      </c>
      <c r="C323" s="128" t="s">
        <v>2692</v>
      </c>
      <c r="D323" s="128" t="s">
        <v>2692</v>
      </c>
      <c r="E323" s="128" t="s">
        <v>2692</v>
      </c>
      <c r="F323" s="128" t="s">
        <v>2692</v>
      </c>
      <c r="G323" s="128" t="s">
        <v>2693</v>
      </c>
      <c r="H323" s="128" t="s">
        <v>2692</v>
      </c>
      <c r="I323" s="128" t="s">
        <v>2693</v>
      </c>
      <c r="J323" s="127" t="s">
        <v>1109</v>
      </c>
      <c r="K323" s="127" t="s">
        <v>1109</v>
      </c>
      <c r="L323" s="127" t="s">
        <v>1109</v>
      </c>
      <c r="M323" s="128" t="s">
        <v>2692</v>
      </c>
      <c r="N323" s="127" t="s">
        <v>1109</v>
      </c>
      <c r="O323" s="127" t="s">
        <v>1109</v>
      </c>
      <c r="P323" s="128" t="s">
        <v>2691</v>
      </c>
      <c r="Q323" s="128" t="s">
        <v>2692</v>
      </c>
      <c r="R323" s="128" t="s">
        <v>2693</v>
      </c>
      <c r="S323" s="128" t="s">
        <v>2693</v>
      </c>
      <c r="T323">
        <f>COUNTIF($B323:$S323,"W")</f>
        <v>4</v>
      </c>
      <c r="U323">
        <f>COUNTIF($B323:$S323,"R")</f>
        <v>7</v>
      </c>
      <c r="V323">
        <f>COUNTIF($B323:$S323,"I")</f>
        <v>1</v>
      </c>
    </row>
    <row r="324" spans="1:22">
      <c r="A324" s="126" t="s">
        <v>2688</v>
      </c>
      <c r="B324" s="127" t="s">
        <v>1109</v>
      </c>
      <c r="C324" s="127" t="s">
        <v>1109</v>
      </c>
      <c r="D324" s="127" t="s">
        <v>1109</v>
      </c>
      <c r="E324" s="127" t="s">
        <v>1109</v>
      </c>
      <c r="F324" s="127" t="s">
        <v>1109</v>
      </c>
      <c r="G324" s="127" t="s">
        <v>1109</v>
      </c>
      <c r="H324" s="127" t="s">
        <v>1109</v>
      </c>
      <c r="I324" s="128" t="s">
        <v>2693</v>
      </c>
      <c r="J324" s="127" t="s">
        <v>1109</v>
      </c>
      <c r="K324" s="127" t="s">
        <v>1109</v>
      </c>
      <c r="L324" s="128" t="s">
        <v>2691</v>
      </c>
      <c r="M324" s="127" t="s">
        <v>1109</v>
      </c>
      <c r="N324" s="127" t="s">
        <v>1109</v>
      </c>
      <c r="O324" s="128" t="s">
        <v>2692</v>
      </c>
      <c r="P324" s="128" t="s">
        <v>2691</v>
      </c>
      <c r="Q324" s="128" t="s">
        <v>2692</v>
      </c>
      <c r="R324" s="128" t="s">
        <v>2693</v>
      </c>
      <c r="S324" s="128" t="s">
        <v>2693</v>
      </c>
      <c r="T324">
        <f>COUNTIF($B324:$S324,"W")</f>
        <v>3</v>
      </c>
      <c r="U324">
        <f>COUNTIF($B324:$S324,"R")</f>
        <v>2</v>
      </c>
      <c r="V324">
        <f>COUNTIF($B324:$S324,"I")</f>
        <v>2</v>
      </c>
    </row>
    <row r="325" spans="1:22">
      <c r="A325" s="126" t="s">
        <v>2689</v>
      </c>
      <c r="B325" s="128" t="s">
        <v>2692</v>
      </c>
      <c r="C325" s="128" t="s">
        <v>2693</v>
      </c>
      <c r="D325" s="127" t="s">
        <v>1109</v>
      </c>
      <c r="E325" s="127" t="s">
        <v>1109</v>
      </c>
      <c r="F325" s="128" t="s">
        <v>2692</v>
      </c>
      <c r="G325" s="128" t="s">
        <v>2692</v>
      </c>
      <c r="H325" s="127" t="s">
        <v>1109</v>
      </c>
      <c r="I325" s="128" t="s">
        <v>2691</v>
      </c>
      <c r="J325" s="128" t="s">
        <v>2693</v>
      </c>
      <c r="K325" s="128" t="s">
        <v>2692</v>
      </c>
      <c r="L325" s="128" t="s">
        <v>2692</v>
      </c>
      <c r="M325" s="128" t="s">
        <v>2692</v>
      </c>
      <c r="N325" s="128" t="s">
        <v>2692</v>
      </c>
      <c r="O325" s="127" t="s">
        <v>1109</v>
      </c>
      <c r="P325" s="128" t="s">
        <v>2691</v>
      </c>
      <c r="Q325" s="128" t="s">
        <v>2692</v>
      </c>
      <c r="R325" s="127" t="s">
        <v>1109</v>
      </c>
      <c r="S325" s="128" t="s">
        <v>2692</v>
      </c>
      <c r="T325">
        <f>COUNTIF($B325:$S325,"W")</f>
        <v>2</v>
      </c>
      <c r="U325">
        <f>COUNTIF($B325:$S325,"R")</f>
        <v>9</v>
      </c>
      <c r="V325">
        <f>COUNTIF($B325:$S325,"I")</f>
        <v>2</v>
      </c>
    </row>
  </sheetData>
  <autoFilter ref="A1:S325" xr:uid="{BA0D5E8E-D07E-0E47-AED6-570CBAA6B2B2}"/>
  <conditionalFormatting sqref="B2:S325">
    <cfRule type="cellIs" dxfId="3" priority="2" operator="equal">
      <formula>"I"</formula>
    </cfRule>
    <cfRule type="cellIs" dxfId="2" priority="3" operator="equal">
      <formula>"R"</formula>
    </cfRule>
    <cfRule type="cellIs" dxfId="1" priority="4" operator="equal">
      <formula>"W"</formula>
    </cfRule>
  </conditionalFormatting>
  <conditionalFormatting sqref="T2:V325">
    <cfRule type="cellIs" dxfId="0" priority="1" operator="greaterThan">
      <formula>5</formula>
    </cfRule>
  </conditionalFormatting>
  <hyperlinks>
    <hyperlink ref="B1" r:id="rId1" tooltip="Normal" display="https://pokemondb.net/type/normal" xr:uid="{CE05CFEB-1CB6-094B-9A7E-8254F6D7F2AC}"/>
    <hyperlink ref="C1" r:id="rId2" tooltip="Fire" display="https://pokemondb.net/type/fire" xr:uid="{D4650401-39D2-0B43-9C07-7A1206680920}"/>
    <hyperlink ref="D1" r:id="rId3" tooltip="Water" display="https://pokemondb.net/type/water" xr:uid="{3C98A3BF-9CF3-8E49-82E5-4B19DEC7A0A8}"/>
    <hyperlink ref="E1" r:id="rId4" tooltip="Electric" display="https://pokemondb.net/type/electric" xr:uid="{5F694279-F307-A84E-A7A4-CBC9774F6EF5}"/>
    <hyperlink ref="F1" r:id="rId5" tooltip="Grass" display="https://pokemondb.net/type/grass" xr:uid="{E0F85D92-68F0-FC44-BC17-AA2E81887783}"/>
    <hyperlink ref="G1" r:id="rId6" tooltip="Ice" display="https://pokemondb.net/type/ice" xr:uid="{7EC9A849-9E99-D545-B1FB-A10478A0B4CC}"/>
    <hyperlink ref="H1" r:id="rId7" tooltip="Fighting" display="https://pokemondb.net/type/fighting" xr:uid="{721E03F2-D1D7-AA47-844B-23ECEAFFEC49}"/>
    <hyperlink ref="I1" r:id="rId8" tooltip="Poison" display="https://pokemondb.net/type/poison" xr:uid="{8CECEE89-CDBE-214C-B001-1E56A3388954}"/>
    <hyperlink ref="J1" r:id="rId9" tooltip="Ground" display="https://pokemondb.net/type/ground" xr:uid="{7FD01D21-3DE9-3B41-A669-FB0457BF2C97}"/>
    <hyperlink ref="K1" r:id="rId10" tooltip="Flying" display="https://pokemondb.net/type/flying" xr:uid="{EE48D02B-7E25-1E42-B114-D3E807C77F75}"/>
    <hyperlink ref="L1" r:id="rId11" tooltip="Psychic" display="https://pokemondb.net/type/psychic" xr:uid="{EB97DBCD-94CD-DD45-8612-FB2C74793C34}"/>
    <hyperlink ref="M1" r:id="rId12" tooltip="Bug" display="https://pokemondb.net/type/bug" xr:uid="{EBCAC39A-85DB-5B4C-A01C-EAF43F0F9633}"/>
    <hyperlink ref="N1" r:id="rId13" tooltip="Rock" display="https://pokemondb.net/type/rock" xr:uid="{60AA2414-62B0-2249-91EE-873764B1A710}"/>
    <hyperlink ref="O1" r:id="rId14" tooltip="Ghost" display="https://pokemondb.net/type/ghost" xr:uid="{827316F6-56E5-0E4D-9CDA-EEF9B773D42B}"/>
    <hyperlink ref="P1" r:id="rId15" tooltip="Dragon" display="https://pokemondb.net/type/dragon" xr:uid="{76142222-06B1-A740-8B93-BE0D545926BB}"/>
    <hyperlink ref="Q1" r:id="rId16" tooltip="Dark" display="https://pokemondb.net/type/dark" xr:uid="{D4F301FC-3E85-8540-9403-CABFE2FDCE5B}"/>
    <hyperlink ref="R1" r:id="rId17" tooltip="Steel" display="https://pokemondb.net/type/steel" xr:uid="{EC62E898-CC8D-8D41-B770-5A05136553E7}"/>
    <hyperlink ref="S1" r:id="rId18" tooltip="Fairy" display="https://pokemondb.net/type/fairy" xr:uid="{32F5B83F-BB84-3242-AF47-805653D1D55C}"/>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D5E8E-D07E-0E47-AED6-570CBAA6B2B2}">
  <sheetPr codeName="Hoja13"/>
  <dimension ref="A1:S325"/>
  <sheetViews>
    <sheetView topLeftCell="A4" workbookViewId="0">
      <selection activeCell="B325" sqref="B2:S325"/>
    </sheetView>
  </sheetViews>
  <sheetFormatPr baseColWidth="10" defaultRowHeight="15"/>
  <cols>
    <col min="1" max="1" width="16.83203125" bestFit="1" customWidth="1"/>
  </cols>
  <sheetData>
    <row r="1" spans="1:19">
      <c r="A1" t="s">
        <v>2690</v>
      </c>
      <c r="B1" t="s">
        <v>2351</v>
      </c>
      <c r="C1" t="s">
        <v>2352</v>
      </c>
      <c r="D1" t="s">
        <v>2353</v>
      </c>
      <c r="E1" t="s">
        <v>2354</v>
      </c>
      <c r="F1" t="s">
        <v>2355</v>
      </c>
      <c r="G1" t="s">
        <v>2356</v>
      </c>
      <c r="H1" t="s">
        <v>2357</v>
      </c>
      <c r="I1" t="s">
        <v>2358</v>
      </c>
      <c r="J1" t="s">
        <v>2359</v>
      </c>
      <c r="K1" t="s">
        <v>2360</v>
      </c>
      <c r="L1" t="s">
        <v>2361</v>
      </c>
      <c r="M1" t="s">
        <v>2362</v>
      </c>
      <c r="N1" t="s">
        <v>2363</v>
      </c>
      <c r="O1" t="s">
        <v>2364</v>
      </c>
      <c r="P1" t="s">
        <v>2365</v>
      </c>
      <c r="Q1" t="s">
        <v>2366</v>
      </c>
      <c r="R1" t="s">
        <v>2367</v>
      </c>
      <c r="S1" t="s">
        <v>2368</v>
      </c>
    </row>
    <row r="2" spans="1:19">
      <c r="A2" t="s">
        <v>2031</v>
      </c>
      <c r="B2" s="125" t="s">
        <v>1109</v>
      </c>
      <c r="C2" s="125" t="s">
        <v>1109</v>
      </c>
      <c r="D2" s="125" t="s">
        <v>1109</v>
      </c>
      <c r="E2" s="125" t="s">
        <v>1109</v>
      </c>
      <c r="F2" s="125" t="s">
        <v>1109</v>
      </c>
      <c r="G2" s="125" t="s">
        <v>1109</v>
      </c>
      <c r="H2">
        <v>2</v>
      </c>
      <c r="I2" s="125" t="s">
        <v>1109</v>
      </c>
      <c r="J2" s="125" t="s">
        <v>1109</v>
      </c>
      <c r="K2" s="125" t="s">
        <v>1109</v>
      </c>
      <c r="L2" s="125" t="s">
        <v>1109</v>
      </c>
      <c r="M2" s="125" t="s">
        <v>1109</v>
      </c>
      <c r="N2" s="125" t="s">
        <v>1109</v>
      </c>
      <c r="O2">
        <v>0</v>
      </c>
      <c r="P2" s="125" t="s">
        <v>1109</v>
      </c>
      <c r="Q2" s="125" t="s">
        <v>1109</v>
      </c>
      <c r="R2" s="125" t="s">
        <v>1109</v>
      </c>
      <c r="S2" s="125" t="s">
        <v>1109</v>
      </c>
    </row>
    <row r="3" spans="1:19">
      <c r="A3" t="s">
        <v>2384</v>
      </c>
      <c r="B3" s="125" t="s">
        <v>1109</v>
      </c>
      <c r="C3">
        <v>0.5</v>
      </c>
      <c r="D3">
        <v>2</v>
      </c>
      <c r="E3" s="125" t="s">
        <v>1109</v>
      </c>
      <c r="F3">
        <v>0.5</v>
      </c>
      <c r="G3">
        <v>0.5</v>
      </c>
      <c r="H3">
        <v>2</v>
      </c>
      <c r="I3" s="125" t="s">
        <v>1109</v>
      </c>
      <c r="J3">
        <v>2</v>
      </c>
      <c r="K3" s="125" t="s">
        <v>1109</v>
      </c>
      <c r="L3" s="125" t="s">
        <v>1109</v>
      </c>
      <c r="M3">
        <v>0.5</v>
      </c>
      <c r="N3">
        <v>2</v>
      </c>
      <c r="O3">
        <v>0</v>
      </c>
      <c r="P3" s="125" t="s">
        <v>1109</v>
      </c>
      <c r="Q3" s="125" t="s">
        <v>1109</v>
      </c>
      <c r="R3">
        <v>0.5</v>
      </c>
      <c r="S3">
        <v>0.5</v>
      </c>
    </row>
    <row r="4" spans="1:19">
      <c r="A4" t="s">
        <v>2385</v>
      </c>
      <c r="B4" s="125" t="s">
        <v>1109</v>
      </c>
      <c r="C4">
        <v>0.5</v>
      </c>
      <c r="D4">
        <v>0.5</v>
      </c>
      <c r="E4">
        <v>2</v>
      </c>
      <c r="F4">
        <v>2</v>
      </c>
      <c r="G4">
        <v>0.5</v>
      </c>
      <c r="H4">
        <v>2</v>
      </c>
      <c r="I4" s="125" t="s">
        <v>1109</v>
      </c>
      <c r="J4" s="125" t="s">
        <v>1109</v>
      </c>
      <c r="K4" s="125" t="s">
        <v>1109</v>
      </c>
      <c r="L4" s="125" t="s">
        <v>1109</v>
      </c>
      <c r="M4" s="125" t="s">
        <v>1109</v>
      </c>
      <c r="N4" s="125" t="s">
        <v>1109</v>
      </c>
      <c r="O4">
        <v>0</v>
      </c>
      <c r="P4" s="125" t="s">
        <v>1109</v>
      </c>
      <c r="Q4" s="125" t="s">
        <v>1109</v>
      </c>
      <c r="R4">
        <v>0.5</v>
      </c>
      <c r="S4" s="125" t="s">
        <v>1109</v>
      </c>
    </row>
    <row r="5" spans="1:19">
      <c r="A5" t="s">
        <v>2386</v>
      </c>
      <c r="B5" s="125" t="s">
        <v>1109</v>
      </c>
      <c r="C5" s="125" t="s">
        <v>1109</v>
      </c>
      <c r="D5" s="125" t="s">
        <v>1109</v>
      </c>
      <c r="E5">
        <v>0.5</v>
      </c>
      <c r="F5" s="125" t="s">
        <v>1109</v>
      </c>
      <c r="G5" s="125" t="s">
        <v>1109</v>
      </c>
      <c r="H5">
        <v>2</v>
      </c>
      <c r="I5" s="125" t="s">
        <v>1109</v>
      </c>
      <c r="J5">
        <v>2</v>
      </c>
      <c r="K5">
        <v>0.5</v>
      </c>
      <c r="L5" s="125" t="s">
        <v>1109</v>
      </c>
      <c r="M5" s="125" t="s">
        <v>1109</v>
      </c>
      <c r="N5" s="125" t="s">
        <v>1109</v>
      </c>
      <c r="O5">
        <v>0</v>
      </c>
      <c r="P5" s="125" t="s">
        <v>1109</v>
      </c>
      <c r="Q5" s="125" t="s">
        <v>1109</v>
      </c>
      <c r="R5">
        <v>0.5</v>
      </c>
      <c r="S5" s="125" t="s">
        <v>1109</v>
      </c>
    </row>
    <row r="6" spans="1:19">
      <c r="A6" t="s">
        <v>2387</v>
      </c>
      <c r="B6" s="125" t="s">
        <v>1109</v>
      </c>
      <c r="C6">
        <v>2</v>
      </c>
      <c r="D6">
        <v>0.5</v>
      </c>
      <c r="E6">
        <v>0.5</v>
      </c>
      <c r="F6">
        <v>0.5</v>
      </c>
      <c r="G6">
        <v>2</v>
      </c>
      <c r="H6">
        <v>2</v>
      </c>
      <c r="I6">
        <v>2</v>
      </c>
      <c r="J6">
        <v>0.5</v>
      </c>
      <c r="K6">
        <v>2</v>
      </c>
      <c r="L6" s="125" t="s">
        <v>1109</v>
      </c>
      <c r="M6">
        <v>2</v>
      </c>
      <c r="N6" s="125" t="s">
        <v>1109</v>
      </c>
      <c r="O6">
        <v>0</v>
      </c>
      <c r="P6" s="125" t="s">
        <v>1109</v>
      </c>
      <c r="Q6" s="125" t="s">
        <v>1109</v>
      </c>
      <c r="R6" s="125" t="s">
        <v>1109</v>
      </c>
      <c r="S6" s="125" t="s">
        <v>1109</v>
      </c>
    </row>
    <row r="7" spans="1:19">
      <c r="A7" t="s">
        <v>2388</v>
      </c>
      <c r="B7" s="125" t="s">
        <v>1109</v>
      </c>
      <c r="C7">
        <v>2</v>
      </c>
      <c r="D7" s="125" t="s">
        <v>1109</v>
      </c>
      <c r="E7" s="125" t="s">
        <v>1109</v>
      </c>
      <c r="F7" s="125" t="s">
        <v>1109</v>
      </c>
      <c r="G7">
        <v>0.5</v>
      </c>
      <c r="H7">
        <v>4</v>
      </c>
      <c r="I7" s="125" t="s">
        <v>1109</v>
      </c>
      <c r="J7" s="125" t="s">
        <v>1109</v>
      </c>
      <c r="K7" s="125" t="s">
        <v>1109</v>
      </c>
      <c r="L7" s="125" t="s">
        <v>1109</v>
      </c>
      <c r="M7" s="125" t="s">
        <v>1109</v>
      </c>
      <c r="N7">
        <v>2</v>
      </c>
      <c r="O7">
        <v>0</v>
      </c>
      <c r="P7" s="125" t="s">
        <v>1109</v>
      </c>
      <c r="Q7" s="125" t="s">
        <v>1109</v>
      </c>
      <c r="R7">
        <v>2</v>
      </c>
      <c r="S7" s="125" t="s">
        <v>1109</v>
      </c>
    </row>
    <row r="8" spans="1:19">
      <c r="A8" t="s">
        <v>2389</v>
      </c>
      <c r="B8" s="125" t="s">
        <v>1109</v>
      </c>
      <c r="C8" s="125" t="s">
        <v>1109</v>
      </c>
      <c r="D8" s="125" t="s">
        <v>1109</v>
      </c>
      <c r="E8" s="125" t="s">
        <v>1109</v>
      </c>
      <c r="F8" s="125" t="s">
        <v>1109</v>
      </c>
      <c r="G8" s="125" t="s">
        <v>1109</v>
      </c>
      <c r="H8">
        <v>2</v>
      </c>
      <c r="I8" s="125" t="s">
        <v>1109</v>
      </c>
      <c r="J8" s="125" t="s">
        <v>1109</v>
      </c>
      <c r="K8">
        <v>2</v>
      </c>
      <c r="L8">
        <v>2</v>
      </c>
      <c r="M8">
        <v>0.5</v>
      </c>
      <c r="N8">
        <v>0.5</v>
      </c>
      <c r="O8">
        <v>0</v>
      </c>
      <c r="P8" s="125" t="s">
        <v>1109</v>
      </c>
      <c r="Q8">
        <v>0.5</v>
      </c>
      <c r="R8" s="125" t="s">
        <v>1109</v>
      </c>
      <c r="S8">
        <v>2</v>
      </c>
    </row>
    <row r="9" spans="1:19">
      <c r="A9" t="s">
        <v>2390</v>
      </c>
      <c r="B9" s="125" t="s">
        <v>1109</v>
      </c>
      <c r="C9" s="125" t="s">
        <v>1109</v>
      </c>
      <c r="D9" s="125" t="s">
        <v>1109</v>
      </c>
      <c r="E9" s="125" t="s">
        <v>1109</v>
      </c>
      <c r="F9">
        <v>0.5</v>
      </c>
      <c r="G9" s="125" t="s">
        <v>1109</v>
      </c>
      <c r="H9" s="125" t="s">
        <v>1109</v>
      </c>
      <c r="I9">
        <v>0.5</v>
      </c>
      <c r="J9">
        <v>2</v>
      </c>
      <c r="K9" s="125" t="s">
        <v>1109</v>
      </c>
      <c r="L9">
        <v>2</v>
      </c>
      <c r="M9">
        <v>0.5</v>
      </c>
      <c r="N9" s="125" t="s">
        <v>1109</v>
      </c>
      <c r="O9">
        <v>0</v>
      </c>
      <c r="P9" s="125" t="s">
        <v>1109</v>
      </c>
      <c r="Q9" s="125" t="s">
        <v>1109</v>
      </c>
      <c r="R9" s="125" t="s">
        <v>1109</v>
      </c>
      <c r="S9">
        <v>0.5</v>
      </c>
    </row>
    <row r="10" spans="1:19">
      <c r="A10" t="s">
        <v>2391</v>
      </c>
      <c r="B10" s="125" t="s">
        <v>1109</v>
      </c>
      <c r="C10" s="125" t="s">
        <v>1109</v>
      </c>
      <c r="D10">
        <v>2</v>
      </c>
      <c r="E10">
        <v>0</v>
      </c>
      <c r="F10">
        <v>2</v>
      </c>
      <c r="G10">
        <v>2</v>
      </c>
      <c r="H10">
        <v>2</v>
      </c>
      <c r="I10">
        <v>0.5</v>
      </c>
      <c r="J10" s="125" t="s">
        <v>1109</v>
      </c>
      <c r="K10" s="125" t="s">
        <v>1109</v>
      </c>
      <c r="L10" s="125" t="s">
        <v>1109</v>
      </c>
      <c r="M10" s="125" t="s">
        <v>1109</v>
      </c>
      <c r="N10">
        <v>0.5</v>
      </c>
      <c r="O10">
        <v>0</v>
      </c>
      <c r="P10" s="125" t="s">
        <v>1109</v>
      </c>
      <c r="Q10" s="125" t="s">
        <v>1109</v>
      </c>
      <c r="R10" s="125" t="s">
        <v>1109</v>
      </c>
      <c r="S10" s="125" t="s">
        <v>1109</v>
      </c>
    </row>
    <row r="11" spans="1:19">
      <c r="A11" t="s">
        <v>2392</v>
      </c>
      <c r="B11" s="125" t="s">
        <v>1109</v>
      </c>
      <c r="C11" s="125" t="s">
        <v>1109</v>
      </c>
      <c r="D11" s="125" t="s">
        <v>1109</v>
      </c>
      <c r="E11">
        <v>2</v>
      </c>
      <c r="F11">
        <v>0.5</v>
      </c>
      <c r="G11">
        <v>2</v>
      </c>
      <c r="H11" s="125" t="s">
        <v>1109</v>
      </c>
      <c r="I11" s="125" t="s">
        <v>1109</v>
      </c>
      <c r="J11">
        <v>0</v>
      </c>
      <c r="K11" s="125" t="s">
        <v>1109</v>
      </c>
      <c r="L11" s="125" t="s">
        <v>1109</v>
      </c>
      <c r="M11">
        <v>0.5</v>
      </c>
      <c r="N11">
        <v>2</v>
      </c>
      <c r="O11">
        <v>0</v>
      </c>
      <c r="P11" s="125" t="s">
        <v>1109</v>
      </c>
      <c r="Q11" s="125" t="s">
        <v>1109</v>
      </c>
      <c r="R11" s="125" t="s">
        <v>1109</v>
      </c>
      <c r="S11" s="125" t="s">
        <v>1109</v>
      </c>
    </row>
    <row r="12" spans="1:19">
      <c r="A12" t="s">
        <v>2393</v>
      </c>
      <c r="B12" s="125" t="s">
        <v>1109</v>
      </c>
      <c r="C12" s="125" t="s">
        <v>1109</v>
      </c>
      <c r="D12" s="125" t="s">
        <v>1109</v>
      </c>
      <c r="E12" s="125" t="s">
        <v>1109</v>
      </c>
      <c r="F12" s="125" t="s">
        <v>1109</v>
      </c>
      <c r="G12" s="125" t="s">
        <v>1109</v>
      </c>
      <c r="H12" s="125" t="s">
        <v>1109</v>
      </c>
      <c r="I12" s="125" t="s">
        <v>1109</v>
      </c>
      <c r="J12" s="125" t="s">
        <v>1109</v>
      </c>
      <c r="K12" s="125" t="s">
        <v>1109</v>
      </c>
      <c r="L12">
        <v>0.5</v>
      </c>
      <c r="M12">
        <v>2</v>
      </c>
      <c r="N12" s="125" t="s">
        <v>1109</v>
      </c>
      <c r="O12">
        <v>0</v>
      </c>
      <c r="P12" s="125" t="s">
        <v>1109</v>
      </c>
      <c r="Q12">
        <v>2</v>
      </c>
      <c r="R12" s="125" t="s">
        <v>1109</v>
      </c>
      <c r="S12" s="125" t="s">
        <v>1109</v>
      </c>
    </row>
    <row r="13" spans="1:19">
      <c r="A13" t="s">
        <v>2394</v>
      </c>
      <c r="B13" s="125" t="s">
        <v>1109</v>
      </c>
      <c r="C13">
        <v>2</v>
      </c>
      <c r="D13" s="125" t="s">
        <v>1109</v>
      </c>
      <c r="E13" s="125" t="s">
        <v>1109</v>
      </c>
      <c r="F13">
        <v>0.5</v>
      </c>
      <c r="G13" s="125" t="s">
        <v>1109</v>
      </c>
      <c r="H13" s="125" t="s">
        <v>1109</v>
      </c>
      <c r="I13" s="125" t="s">
        <v>1109</v>
      </c>
      <c r="J13">
        <v>0.5</v>
      </c>
      <c r="K13">
        <v>2</v>
      </c>
      <c r="L13" s="125" t="s">
        <v>1109</v>
      </c>
      <c r="M13" s="125" t="s">
        <v>1109</v>
      </c>
      <c r="N13">
        <v>2</v>
      </c>
      <c r="O13">
        <v>0</v>
      </c>
      <c r="P13" s="125" t="s">
        <v>1109</v>
      </c>
      <c r="Q13" s="125" t="s">
        <v>1109</v>
      </c>
      <c r="R13" s="125" t="s">
        <v>1109</v>
      </c>
      <c r="S13" s="125" t="s">
        <v>1109</v>
      </c>
    </row>
    <row r="14" spans="1:19">
      <c r="A14" t="s">
        <v>2395</v>
      </c>
      <c r="B14">
        <v>0.5</v>
      </c>
      <c r="C14">
        <v>0.5</v>
      </c>
      <c r="D14">
        <v>2</v>
      </c>
      <c r="E14" s="125" t="s">
        <v>1109</v>
      </c>
      <c r="F14">
        <v>2</v>
      </c>
      <c r="G14" s="125" t="s">
        <v>1109</v>
      </c>
      <c r="H14">
        <v>4</v>
      </c>
      <c r="I14">
        <v>0.5</v>
      </c>
      <c r="J14">
        <v>2</v>
      </c>
      <c r="K14">
        <v>0.5</v>
      </c>
      <c r="L14" s="125" t="s">
        <v>1109</v>
      </c>
      <c r="M14" s="125" t="s">
        <v>1109</v>
      </c>
      <c r="N14" s="125" t="s">
        <v>1109</v>
      </c>
      <c r="O14">
        <v>0</v>
      </c>
      <c r="P14" s="125" t="s">
        <v>1109</v>
      </c>
      <c r="Q14" s="125" t="s">
        <v>1109</v>
      </c>
      <c r="R14">
        <v>2</v>
      </c>
      <c r="S14" s="125" t="s">
        <v>1109</v>
      </c>
    </row>
    <row r="15" spans="1:19">
      <c r="A15" t="s">
        <v>2396</v>
      </c>
      <c r="B15">
        <v>0</v>
      </c>
      <c r="C15" s="125" t="s">
        <v>1109</v>
      </c>
      <c r="D15" s="125" t="s">
        <v>1109</v>
      </c>
      <c r="E15" s="125" t="s">
        <v>1109</v>
      </c>
      <c r="F15" s="125" t="s">
        <v>1109</v>
      </c>
      <c r="G15" s="125" t="s">
        <v>1109</v>
      </c>
      <c r="H15">
        <v>0</v>
      </c>
      <c r="I15">
        <v>0.5</v>
      </c>
      <c r="J15" s="125" t="s">
        <v>1109</v>
      </c>
      <c r="K15" s="125" t="s">
        <v>1109</v>
      </c>
      <c r="L15" s="125" t="s">
        <v>1109</v>
      </c>
      <c r="M15">
        <v>0.5</v>
      </c>
      <c r="N15" s="125" t="s">
        <v>1109</v>
      </c>
      <c r="O15">
        <v>0</v>
      </c>
      <c r="P15" s="125" t="s">
        <v>1109</v>
      </c>
      <c r="Q15">
        <v>2</v>
      </c>
      <c r="R15" s="125" t="s">
        <v>1109</v>
      </c>
      <c r="S15" s="125" t="s">
        <v>1109</v>
      </c>
    </row>
    <row r="16" spans="1:19">
      <c r="A16" t="s">
        <v>2397</v>
      </c>
      <c r="B16" s="125" t="s">
        <v>1109</v>
      </c>
      <c r="C16">
        <v>0.5</v>
      </c>
      <c r="D16">
        <v>0.5</v>
      </c>
      <c r="E16">
        <v>0.5</v>
      </c>
      <c r="F16">
        <v>0.5</v>
      </c>
      <c r="G16">
        <v>2</v>
      </c>
      <c r="H16">
        <v>2</v>
      </c>
      <c r="I16" s="125" t="s">
        <v>1109</v>
      </c>
      <c r="J16" s="125" t="s">
        <v>1109</v>
      </c>
      <c r="K16" s="125" t="s">
        <v>1109</v>
      </c>
      <c r="L16" s="125" t="s">
        <v>1109</v>
      </c>
      <c r="M16" s="125" t="s">
        <v>1109</v>
      </c>
      <c r="N16" s="125" t="s">
        <v>1109</v>
      </c>
      <c r="O16">
        <v>0</v>
      </c>
      <c r="P16">
        <v>2</v>
      </c>
      <c r="Q16" s="125" t="s">
        <v>1109</v>
      </c>
      <c r="R16" s="125" t="s">
        <v>1109</v>
      </c>
      <c r="S16">
        <v>2</v>
      </c>
    </row>
    <row r="17" spans="1:19">
      <c r="A17" t="s">
        <v>2398</v>
      </c>
      <c r="B17" s="125" t="s">
        <v>1109</v>
      </c>
      <c r="C17" s="125" t="s">
        <v>1109</v>
      </c>
      <c r="D17" s="125" t="s">
        <v>1109</v>
      </c>
      <c r="E17" s="125" t="s">
        <v>1109</v>
      </c>
      <c r="F17" s="125" t="s">
        <v>1109</v>
      </c>
      <c r="G17" s="125" t="s">
        <v>1109</v>
      </c>
      <c r="H17">
        <v>4</v>
      </c>
      <c r="I17" s="125" t="s">
        <v>1109</v>
      </c>
      <c r="J17" s="125" t="s">
        <v>1109</v>
      </c>
      <c r="K17" s="125" t="s">
        <v>1109</v>
      </c>
      <c r="L17">
        <v>0</v>
      </c>
      <c r="M17">
        <v>2</v>
      </c>
      <c r="N17" s="125" t="s">
        <v>1109</v>
      </c>
      <c r="O17">
        <v>0</v>
      </c>
      <c r="P17" s="125" t="s">
        <v>1109</v>
      </c>
      <c r="Q17">
        <v>0.5</v>
      </c>
      <c r="R17" s="125" t="s">
        <v>1109</v>
      </c>
      <c r="S17">
        <v>2</v>
      </c>
    </row>
    <row r="18" spans="1:19">
      <c r="A18" t="s">
        <v>2399</v>
      </c>
      <c r="B18">
        <v>0.5</v>
      </c>
      <c r="C18">
        <v>2</v>
      </c>
      <c r="D18" s="125" t="s">
        <v>1109</v>
      </c>
      <c r="E18" s="125" t="s">
        <v>1109</v>
      </c>
      <c r="F18">
        <v>0.5</v>
      </c>
      <c r="G18">
        <v>0.5</v>
      </c>
      <c r="H18">
        <v>4</v>
      </c>
      <c r="I18">
        <v>0</v>
      </c>
      <c r="J18">
        <v>2</v>
      </c>
      <c r="K18">
        <v>0.5</v>
      </c>
      <c r="L18">
        <v>0.5</v>
      </c>
      <c r="M18">
        <v>0.5</v>
      </c>
      <c r="N18">
        <v>0.5</v>
      </c>
      <c r="O18">
        <v>0</v>
      </c>
      <c r="P18">
        <v>0.5</v>
      </c>
      <c r="Q18" s="125" t="s">
        <v>1109</v>
      </c>
      <c r="R18">
        <v>0.5</v>
      </c>
      <c r="S18">
        <v>0.5</v>
      </c>
    </row>
    <row r="19" spans="1:19">
      <c r="A19" t="s">
        <v>2400</v>
      </c>
      <c r="B19" s="125" t="s">
        <v>1109</v>
      </c>
      <c r="C19" s="125" t="s">
        <v>1109</v>
      </c>
      <c r="D19" s="125" t="s">
        <v>1109</v>
      </c>
      <c r="E19" s="125" t="s">
        <v>1109</v>
      </c>
      <c r="F19" s="125" t="s">
        <v>1109</v>
      </c>
      <c r="G19" s="125" t="s">
        <v>1109</v>
      </c>
      <c r="H19" s="125" t="s">
        <v>1109</v>
      </c>
      <c r="I19">
        <v>2</v>
      </c>
      <c r="J19" s="125" t="s">
        <v>1109</v>
      </c>
      <c r="K19" s="125" t="s">
        <v>1109</v>
      </c>
      <c r="L19" s="125" t="s">
        <v>1109</v>
      </c>
      <c r="M19">
        <v>0.5</v>
      </c>
      <c r="N19" s="125" t="s">
        <v>1109</v>
      </c>
      <c r="O19">
        <v>0</v>
      </c>
      <c r="P19">
        <v>0</v>
      </c>
      <c r="Q19">
        <v>0.5</v>
      </c>
      <c r="R19">
        <v>2</v>
      </c>
      <c r="S19" s="125" t="s">
        <v>1109</v>
      </c>
    </row>
    <row r="20" spans="1:19">
      <c r="A20" t="s">
        <v>2369</v>
      </c>
      <c r="B20" s="125" t="s">
        <v>1109</v>
      </c>
      <c r="C20">
        <v>0.5</v>
      </c>
      <c r="D20">
        <v>2</v>
      </c>
      <c r="E20" s="125" t="s">
        <v>1109</v>
      </c>
      <c r="F20">
        <v>0.5</v>
      </c>
      <c r="G20">
        <v>0.5</v>
      </c>
      <c r="H20" s="125" t="s">
        <v>1109</v>
      </c>
      <c r="I20" s="125" t="s">
        <v>1109</v>
      </c>
      <c r="J20">
        <v>2</v>
      </c>
      <c r="K20" s="125" t="s">
        <v>1109</v>
      </c>
      <c r="L20" s="125" t="s">
        <v>1109</v>
      </c>
      <c r="M20">
        <v>0.5</v>
      </c>
      <c r="N20">
        <v>2</v>
      </c>
      <c r="O20" s="125" t="s">
        <v>1109</v>
      </c>
      <c r="P20" s="125" t="s">
        <v>1109</v>
      </c>
      <c r="Q20" s="125" t="s">
        <v>1109</v>
      </c>
      <c r="R20">
        <v>0.5</v>
      </c>
      <c r="S20">
        <v>0.5</v>
      </c>
    </row>
    <row r="21" spans="1:19">
      <c r="A21" t="s">
        <v>2401</v>
      </c>
      <c r="B21" s="125" t="s">
        <v>1109</v>
      </c>
      <c r="C21">
        <v>0.5</v>
      </c>
      <c r="D21">
        <v>2</v>
      </c>
      <c r="E21" s="125" t="s">
        <v>1109</v>
      </c>
      <c r="F21">
        <v>0.5</v>
      </c>
      <c r="G21">
        <v>0.5</v>
      </c>
      <c r="H21">
        <v>2</v>
      </c>
      <c r="I21" s="125" t="s">
        <v>1109</v>
      </c>
      <c r="J21">
        <v>2</v>
      </c>
      <c r="K21" s="125" t="s">
        <v>1109</v>
      </c>
      <c r="L21" s="125" t="s">
        <v>1109</v>
      </c>
      <c r="M21">
        <v>0.5</v>
      </c>
      <c r="N21">
        <v>2</v>
      </c>
      <c r="O21">
        <v>0</v>
      </c>
      <c r="P21" s="125" t="s">
        <v>1109</v>
      </c>
      <c r="Q21" s="125" t="s">
        <v>1109</v>
      </c>
      <c r="R21">
        <v>0.5</v>
      </c>
      <c r="S21">
        <v>0.5</v>
      </c>
    </row>
    <row r="22" spans="1:19">
      <c r="A22" t="s">
        <v>2402</v>
      </c>
      <c r="B22" s="125" t="s">
        <v>1109</v>
      </c>
      <c r="C22">
        <v>0.25</v>
      </c>
      <c r="D22" s="125" t="s">
        <v>1109</v>
      </c>
      <c r="E22">
        <v>2</v>
      </c>
      <c r="F22" s="125" t="s">
        <v>1109</v>
      </c>
      <c r="G22">
        <v>0.25</v>
      </c>
      <c r="H22" s="125" t="s">
        <v>1109</v>
      </c>
      <c r="I22" s="125" t="s">
        <v>1109</v>
      </c>
      <c r="J22">
        <v>2</v>
      </c>
      <c r="K22" s="125" t="s">
        <v>1109</v>
      </c>
      <c r="L22" s="125" t="s">
        <v>1109</v>
      </c>
      <c r="M22">
        <v>0.5</v>
      </c>
      <c r="N22">
        <v>2</v>
      </c>
      <c r="O22" s="125" t="s">
        <v>1109</v>
      </c>
      <c r="P22" s="125" t="s">
        <v>1109</v>
      </c>
      <c r="Q22" s="125" t="s">
        <v>1109</v>
      </c>
      <c r="R22">
        <v>0.25</v>
      </c>
      <c r="S22">
        <v>0.5</v>
      </c>
    </row>
    <row r="23" spans="1:19">
      <c r="A23" t="s">
        <v>2403</v>
      </c>
      <c r="B23" s="125" t="s">
        <v>1109</v>
      </c>
      <c r="C23">
        <v>0.5</v>
      </c>
      <c r="D23">
        <v>2</v>
      </c>
      <c r="E23">
        <v>0.5</v>
      </c>
      <c r="F23">
        <v>0.5</v>
      </c>
      <c r="G23">
        <v>0.5</v>
      </c>
      <c r="H23" s="125" t="s">
        <v>1109</v>
      </c>
      <c r="I23" s="125" t="s">
        <v>1109</v>
      </c>
      <c r="J23">
        <v>4</v>
      </c>
      <c r="K23">
        <v>0.5</v>
      </c>
      <c r="L23" s="125" t="s">
        <v>1109</v>
      </c>
      <c r="M23">
        <v>0.5</v>
      </c>
      <c r="N23">
        <v>2</v>
      </c>
      <c r="O23" s="125" t="s">
        <v>1109</v>
      </c>
      <c r="P23" s="125" t="s">
        <v>1109</v>
      </c>
      <c r="Q23" s="125" t="s">
        <v>1109</v>
      </c>
      <c r="R23">
        <v>0.25</v>
      </c>
      <c r="S23">
        <v>0.5</v>
      </c>
    </row>
    <row r="24" spans="1:19">
      <c r="A24" t="s">
        <v>2404</v>
      </c>
      <c r="B24" s="125" t="s">
        <v>1109</v>
      </c>
      <c r="C24" s="125" t="s">
        <v>1109</v>
      </c>
      <c r="D24" s="125" t="s">
        <v>1109</v>
      </c>
      <c r="E24">
        <v>0.5</v>
      </c>
      <c r="F24">
        <v>0.25</v>
      </c>
      <c r="G24" s="125" t="s">
        <v>1109</v>
      </c>
      <c r="H24" s="125" t="s">
        <v>1109</v>
      </c>
      <c r="I24">
        <v>2</v>
      </c>
      <c r="J24" s="125" t="s">
        <v>1109</v>
      </c>
      <c r="K24">
        <v>2</v>
      </c>
      <c r="L24" s="125" t="s">
        <v>1109</v>
      </c>
      <c r="M24" s="125" t="s">
        <v>1109</v>
      </c>
      <c r="N24">
        <v>2</v>
      </c>
      <c r="O24" s="125" t="s">
        <v>1109</v>
      </c>
      <c r="P24" s="125" t="s">
        <v>1109</v>
      </c>
      <c r="Q24" s="125" t="s">
        <v>1109</v>
      </c>
      <c r="R24">
        <v>0.5</v>
      </c>
      <c r="S24">
        <v>0.5</v>
      </c>
    </row>
    <row r="25" spans="1:19">
      <c r="A25" t="s">
        <v>2405</v>
      </c>
      <c r="B25" s="125" t="s">
        <v>1109</v>
      </c>
      <c r="C25" s="125" t="s">
        <v>1109</v>
      </c>
      <c r="D25">
        <v>2</v>
      </c>
      <c r="E25" s="125" t="s">
        <v>1109</v>
      </c>
      <c r="F25">
        <v>0.5</v>
      </c>
      <c r="G25">
        <v>0.25</v>
      </c>
      <c r="H25">
        <v>2</v>
      </c>
      <c r="I25" s="125" t="s">
        <v>1109</v>
      </c>
      <c r="J25">
        <v>2</v>
      </c>
      <c r="K25" s="125" t="s">
        <v>1109</v>
      </c>
      <c r="L25" s="125" t="s">
        <v>1109</v>
      </c>
      <c r="M25">
        <v>0.5</v>
      </c>
      <c r="N25">
        <v>4</v>
      </c>
      <c r="O25" s="125" t="s">
        <v>1109</v>
      </c>
      <c r="P25" s="125" t="s">
        <v>1109</v>
      </c>
      <c r="Q25" s="125" t="s">
        <v>1109</v>
      </c>
      <c r="R25" s="125" t="s">
        <v>1109</v>
      </c>
      <c r="S25">
        <v>0.5</v>
      </c>
    </row>
    <row r="26" spans="1:19">
      <c r="A26" t="s">
        <v>2406</v>
      </c>
      <c r="B26" s="125" t="s">
        <v>1109</v>
      </c>
      <c r="C26">
        <v>0.5</v>
      </c>
      <c r="D26">
        <v>2</v>
      </c>
      <c r="E26" s="125" t="s">
        <v>1109</v>
      </c>
      <c r="F26">
        <v>0.5</v>
      </c>
      <c r="G26">
        <v>0.5</v>
      </c>
      <c r="H26" s="125" t="s">
        <v>1109</v>
      </c>
      <c r="I26" s="125" t="s">
        <v>1109</v>
      </c>
      <c r="J26">
        <v>2</v>
      </c>
      <c r="K26">
        <v>2</v>
      </c>
      <c r="L26">
        <v>2</v>
      </c>
      <c r="M26">
        <v>0.25</v>
      </c>
      <c r="N26" s="125" t="s">
        <v>1109</v>
      </c>
      <c r="O26" s="125" t="s">
        <v>1109</v>
      </c>
      <c r="P26" s="125" t="s">
        <v>1109</v>
      </c>
      <c r="Q26">
        <v>0.5</v>
      </c>
      <c r="R26">
        <v>0.5</v>
      </c>
      <c r="S26" s="125" t="s">
        <v>1109</v>
      </c>
    </row>
    <row r="27" spans="1:19">
      <c r="A27" t="s">
        <v>2407</v>
      </c>
      <c r="B27" s="125" t="s">
        <v>1109</v>
      </c>
      <c r="C27">
        <v>0.5</v>
      </c>
      <c r="D27">
        <v>2</v>
      </c>
      <c r="E27" s="125" t="s">
        <v>1109</v>
      </c>
      <c r="F27">
        <v>0.25</v>
      </c>
      <c r="G27">
        <v>0.5</v>
      </c>
      <c r="H27">
        <v>0.5</v>
      </c>
      <c r="I27">
        <v>0.5</v>
      </c>
      <c r="J27">
        <v>4</v>
      </c>
      <c r="K27" s="125" t="s">
        <v>1109</v>
      </c>
      <c r="L27">
        <v>2</v>
      </c>
      <c r="M27">
        <v>0.25</v>
      </c>
      <c r="N27">
        <v>2</v>
      </c>
      <c r="O27" s="125" t="s">
        <v>1109</v>
      </c>
      <c r="P27" s="125" t="s">
        <v>1109</v>
      </c>
      <c r="Q27" s="125" t="s">
        <v>1109</v>
      </c>
      <c r="R27">
        <v>0.5</v>
      </c>
      <c r="S27">
        <v>0.25</v>
      </c>
    </row>
    <row r="28" spans="1:19">
      <c r="A28" t="s">
        <v>2408</v>
      </c>
      <c r="B28" s="125" t="s">
        <v>1109</v>
      </c>
      <c r="C28">
        <v>0.5</v>
      </c>
      <c r="D28">
        <v>4</v>
      </c>
      <c r="E28">
        <v>0</v>
      </c>
      <c r="F28" s="125" t="s">
        <v>1109</v>
      </c>
      <c r="G28" s="125" t="s">
        <v>1109</v>
      </c>
      <c r="H28" s="125" t="s">
        <v>1109</v>
      </c>
      <c r="I28">
        <v>0.5</v>
      </c>
      <c r="J28">
        <v>2</v>
      </c>
      <c r="K28" s="125" t="s">
        <v>1109</v>
      </c>
      <c r="L28" s="125" t="s">
        <v>1109</v>
      </c>
      <c r="M28">
        <v>0.5</v>
      </c>
      <c r="N28" s="125" t="s">
        <v>1109</v>
      </c>
      <c r="O28" s="125" t="s">
        <v>1109</v>
      </c>
      <c r="P28" s="125" t="s">
        <v>1109</v>
      </c>
      <c r="Q28" s="125" t="s">
        <v>1109</v>
      </c>
      <c r="R28">
        <v>0.5</v>
      </c>
      <c r="S28">
        <v>0.5</v>
      </c>
    </row>
    <row r="29" spans="1:19">
      <c r="A29" t="s">
        <v>2409</v>
      </c>
      <c r="B29" s="125" t="s">
        <v>1109</v>
      </c>
      <c r="C29">
        <v>0.5</v>
      </c>
      <c r="D29">
        <v>2</v>
      </c>
      <c r="E29">
        <v>2</v>
      </c>
      <c r="F29">
        <v>0.25</v>
      </c>
      <c r="G29" s="125" t="s">
        <v>1109</v>
      </c>
      <c r="H29">
        <v>0.5</v>
      </c>
      <c r="I29" s="125" t="s">
        <v>1109</v>
      </c>
      <c r="J29">
        <v>0</v>
      </c>
      <c r="K29" s="125" t="s">
        <v>1109</v>
      </c>
      <c r="L29" s="125" t="s">
        <v>1109</v>
      </c>
      <c r="M29">
        <v>0.25</v>
      </c>
      <c r="N29">
        <v>4</v>
      </c>
      <c r="O29" s="125" t="s">
        <v>1109</v>
      </c>
      <c r="P29" s="125" t="s">
        <v>1109</v>
      </c>
      <c r="Q29" s="125" t="s">
        <v>1109</v>
      </c>
      <c r="R29">
        <v>0.5</v>
      </c>
      <c r="S29">
        <v>0.5</v>
      </c>
    </row>
    <row r="30" spans="1:19">
      <c r="A30" t="s">
        <v>2410</v>
      </c>
      <c r="B30" s="125" t="s">
        <v>1109</v>
      </c>
      <c r="C30">
        <v>0.5</v>
      </c>
      <c r="D30">
        <v>2</v>
      </c>
      <c r="E30" s="125" t="s">
        <v>1109</v>
      </c>
      <c r="F30">
        <v>0.5</v>
      </c>
      <c r="G30">
        <v>0.5</v>
      </c>
      <c r="H30">
        <v>0.5</v>
      </c>
      <c r="I30" s="125" t="s">
        <v>1109</v>
      </c>
      <c r="J30">
        <v>2</v>
      </c>
      <c r="K30" s="125" t="s">
        <v>1109</v>
      </c>
      <c r="L30">
        <v>0.5</v>
      </c>
      <c r="M30" s="125" t="s">
        <v>1109</v>
      </c>
      <c r="N30">
        <v>2</v>
      </c>
      <c r="O30">
        <v>2</v>
      </c>
      <c r="P30" s="125" t="s">
        <v>1109</v>
      </c>
      <c r="Q30">
        <v>2</v>
      </c>
      <c r="R30">
        <v>0.5</v>
      </c>
      <c r="S30">
        <v>0.5</v>
      </c>
    </row>
    <row r="31" spans="1:19">
      <c r="A31" t="s">
        <v>2411</v>
      </c>
      <c r="B31" s="125" t="s">
        <v>1109</v>
      </c>
      <c r="C31" s="125" t="s">
        <v>1109</v>
      </c>
      <c r="D31">
        <v>2</v>
      </c>
      <c r="E31" s="125" t="s">
        <v>1109</v>
      </c>
      <c r="F31">
        <v>0.25</v>
      </c>
      <c r="G31">
        <v>0.5</v>
      </c>
      <c r="H31">
        <v>0.5</v>
      </c>
      <c r="I31" s="125" t="s">
        <v>1109</v>
      </c>
      <c r="J31" s="125" t="s">
        <v>1109</v>
      </c>
      <c r="K31">
        <v>2</v>
      </c>
      <c r="L31" s="125" t="s">
        <v>1109</v>
      </c>
      <c r="M31">
        <v>0.5</v>
      </c>
      <c r="N31">
        <v>4</v>
      </c>
      <c r="O31" s="125" t="s">
        <v>1109</v>
      </c>
      <c r="P31" s="125" t="s">
        <v>1109</v>
      </c>
      <c r="Q31" s="125" t="s">
        <v>1109</v>
      </c>
      <c r="R31">
        <v>0.5</v>
      </c>
      <c r="S31">
        <v>0.5</v>
      </c>
    </row>
    <row r="32" spans="1:19">
      <c r="A32" t="s">
        <v>2412</v>
      </c>
      <c r="B32">
        <v>0.5</v>
      </c>
      <c r="C32">
        <v>0.25</v>
      </c>
      <c r="D32">
        <v>4</v>
      </c>
      <c r="E32" s="125" t="s">
        <v>1109</v>
      </c>
      <c r="F32" s="125" t="s">
        <v>1109</v>
      </c>
      <c r="G32">
        <v>0.5</v>
      </c>
      <c r="H32">
        <v>2</v>
      </c>
      <c r="I32">
        <v>0.5</v>
      </c>
      <c r="J32">
        <v>4</v>
      </c>
      <c r="K32">
        <v>0.5</v>
      </c>
      <c r="L32" s="125" t="s">
        <v>1109</v>
      </c>
      <c r="M32">
        <v>0.5</v>
      </c>
      <c r="N32">
        <v>2</v>
      </c>
      <c r="O32" s="125" t="s">
        <v>1109</v>
      </c>
      <c r="P32" s="125" t="s">
        <v>1109</v>
      </c>
      <c r="Q32" s="125" t="s">
        <v>1109</v>
      </c>
      <c r="R32" s="125" t="s">
        <v>1109</v>
      </c>
      <c r="S32">
        <v>0.5</v>
      </c>
    </row>
    <row r="33" spans="1:19">
      <c r="A33" t="s">
        <v>2413</v>
      </c>
      <c r="B33">
        <v>0</v>
      </c>
      <c r="C33">
        <v>0.5</v>
      </c>
      <c r="D33">
        <v>2</v>
      </c>
      <c r="E33" s="125" t="s">
        <v>1109</v>
      </c>
      <c r="F33">
        <v>0.5</v>
      </c>
      <c r="G33">
        <v>0.5</v>
      </c>
      <c r="H33">
        <v>0</v>
      </c>
      <c r="I33">
        <v>0.5</v>
      </c>
      <c r="J33">
        <v>2</v>
      </c>
      <c r="K33" s="125" t="s">
        <v>1109</v>
      </c>
      <c r="L33" s="125" t="s">
        <v>1109</v>
      </c>
      <c r="M33">
        <v>0.25</v>
      </c>
      <c r="N33">
        <v>2</v>
      </c>
      <c r="O33">
        <v>2</v>
      </c>
      <c r="P33" s="125" t="s">
        <v>1109</v>
      </c>
      <c r="Q33">
        <v>2</v>
      </c>
      <c r="R33">
        <v>0.5</v>
      </c>
      <c r="S33">
        <v>0.5</v>
      </c>
    </row>
    <row r="34" spans="1:19">
      <c r="A34" t="s">
        <v>2414</v>
      </c>
      <c r="B34" s="125" t="s">
        <v>1109</v>
      </c>
      <c r="C34">
        <v>0.25</v>
      </c>
      <c r="D34" s="125" t="s">
        <v>1109</v>
      </c>
      <c r="E34">
        <v>0.5</v>
      </c>
      <c r="F34">
        <v>0.25</v>
      </c>
      <c r="G34" s="125" t="s">
        <v>1109</v>
      </c>
      <c r="H34" s="125" t="s">
        <v>1109</v>
      </c>
      <c r="I34" s="125" t="s">
        <v>1109</v>
      </c>
      <c r="J34">
        <v>2</v>
      </c>
      <c r="K34" s="125" t="s">
        <v>1109</v>
      </c>
      <c r="L34" s="125" t="s">
        <v>1109</v>
      </c>
      <c r="M34">
        <v>0.5</v>
      </c>
      <c r="N34">
        <v>2</v>
      </c>
      <c r="O34" s="125" t="s">
        <v>1109</v>
      </c>
      <c r="P34">
        <v>2</v>
      </c>
      <c r="Q34" s="125" t="s">
        <v>1109</v>
      </c>
      <c r="R34">
        <v>0.5</v>
      </c>
      <c r="S34" s="125" t="s">
        <v>1109</v>
      </c>
    </row>
    <row r="35" spans="1:19">
      <c r="A35" t="s">
        <v>2415</v>
      </c>
      <c r="B35" s="125" t="s">
        <v>1109</v>
      </c>
      <c r="C35">
        <v>0.5</v>
      </c>
      <c r="D35">
        <v>2</v>
      </c>
      <c r="E35" s="125" t="s">
        <v>1109</v>
      </c>
      <c r="F35">
        <v>0.5</v>
      </c>
      <c r="G35">
        <v>0.5</v>
      </c>
      <c r="H35">
        <v>2</v>
      </c>
      <c r="I35" s="125" t="s">
        <v>1109</v>
      </c>
      <c r="J35">
        <v>2</v>
      </c>
      <c r="K35" s="125" t="s">
        <v>1109</v>
      </c>
      <c r="L35">
        <v>0</v>
      </c>
      <c r="M35" s="125" t="s">
        <v>1109</v>
      </c>
      <c r="N35">
        <v>2</v>
      </c>
      <c r="O35">
        <v>0.5</v>
      </c>
      <c r="P35" s="125" t="s">
        <v>1109</v>
      </c>
      <c r="Q35">
        <v>0.5</v>
      </c>
      <c r="R35">
        <v>0.5</v>
      </c>
      <c r="S35" s="125" t="s">
        <v>1109</v>
      </c>
    </row>
    <row r="36" spans="1:19">
      <c r="A36" t="s">
        <v>2416</v>
      </c>
      <c r="B36">
        <v>0.5</v>
      </c>
      <c r="C36" s="125" t="s">
        <v>1109</v>
      </c>
      <c r="D36">
        <v>2</v>
      </c>
      <c r="E36" s="125" t="s">
        <v>1109</v>
      </c>
      <c r="F36">
        <v>0.25</v>
      </c>
      <c r="G36">
        <v>0.25</v>
      </c>
      <c r="H36">
        <v>2</v>
      </c>
      <c r="I36">
        <v>0</v>
      </c>
      <c r="J36">
        <v>4</v>
      </c>
      <c r="K36">
        <v>0.5</v>
      </c>
      <c r="L36">
        <v>0.5</v>
      </c>
      <c r="M36">
        <v>0.25</v>
      </c>
      <c r="N36" s="125" t="s">
        <v>1109</v>
      </c>
      <c r="O36" s="125" t="s">
        <v>1109</v>
      </c>
      <c r="P36">
        <v>0.5</v>
      </c>
      <c r="Q36" s="125" t="s">
        <v>1109</v>
      </c>
      <c r="R36">
        <v>0.25</v>
      </c>
      <c r="S36">
        <v>0.25</v>
      </c>
    </row>
    <row r="37" spans="1:19">
      <c r="A37" t="s">
        <v>2417</v>
      </c>
      <c r="B37" s="125" t="s">
        <v>1109</v>
      </c>
      <c r="C37">
        <v>0.5</v>
      </c>
      <c r="D37">
        <v>2</v>
      </c>
      <c r="E37" s="125" t="s">
        <v>1109</v>
      </c>
      <c r="F37">
        <v>0.5</v>
      </c>
      <c r="G37">
        <v>0.5</v>
      </c>
      <c r="H37">
        <v>0.5</v>
      </c>
      <c r="I37">
        <v>2</v>
      </c>
      <c r="J37">
        <v>2</v>
      </c>
      <c r="K37" s="125" t="s">
        <v>1109</v>
      </c>
      <c r="L37" s="125" t="s">
        <v>1109</v>
      </c>
      <c r="M37">
        <v>0.25</v>
      </c>
      <c r="N37">
        <v>2</v>
      </c>
      <c r="O37" s="125" t="s">
        <v>1109</v>
      </c>
      <c r="P37">
        <v>0</v>
      </c>
      <c r="Q37">
        <v>0.5</v>
      </c>
      <c r="R37" s="125" t="s">
        <v>1109</v>
      </c>
      <c r="S37">
        <v>0.5</v>
      </c>
    </row>
    <row r="38" spans="1:19">
      <c r="A38" t="s">
        <v>2370</v>
      </c>
      <c r="B38" s="125" t="s">
        <v>1109</v>
      </c>
      <c r="C38">
        <v>0.5</v>
      </c>
      <c r="D38">
        <v>0.5</v>
      </c>
      <c r="E38">
        <v>2</v>
      </c>
      <c r="F38">
        <v>2</v>
      </c>
      <c r="G38">
        <v>0.5</v>
      </c>
      <c r="H38" s="125" t="s">
        <v>1109</v>
      </c>
      <c r="I38" s="125" t="s">
        <v>1109</v>
      </c>
      <c r="J38" s="125" t="s">
        <v>1109</v>
      </c>
      <c r="K38" s="125" t="s">
        <v>1109</v>
      </c>
      <c r="L38" s="125" t="s">
        <v>1109</v>
      </c>
      <c r="M38" s="125" t="s">
        <v>1109</v>
      </c>
      <c r="N38" s="125" t="s">
        <v>1109</v>
      </c>
      <c r="O38" s="125" t="s">
        <v>1109</v>
      </c>
      <c r="P38" s="125" t="s">
        <v>1109</v>
      </c>
      <c r="Q38" s="125" t="s">
        <v>1109</v>
      </c>
      <c r="R38">
        <v>0.5</v>
      </c>
      <c r="S38" s="125" t="s">
        <v>1109</v>
      </c>
    </row>
    <row r="39" spans="1:19">
      <c r="A39" t="s">
        <v>2418</v>
      </c>
      <c r="B39" s="125" t="s">
        <v>1109</v>
      </c>
      <c r="C39">
        <v>0.5</v>
      </c>
      <c r="D39">
        <v>0.5</v>
      </c>
      <c r="E39">
        <v>2</v>
      </c>
      <c r="F39">
        <v>2</v>
      </c>
      <c r="G39">
        <v>0.5</v>
      </c>
      <c r="H39">
        <v>2</v>
      </c>
      <c r="I39" s="125" t="s">
        <v>1109</v>
      </c>
      <c r="J39" s="125" t="s">
        <v>1109</v>
      </c>
      <c r="K39" s="125" t="s">
        <v>1109</v>
      </c>
      <c r="L39" s="125" t="s">
        <v>1109</v>
      </c>
      <c r="M39" s="125" t="s">
        <v>1109</v>
      </c>
      <c r="N39" s="125" t="s">
        <v>1109</v>
      </c>
      <c r="O39">
        <v>0</v>
      </c>
      <c r="P39" s="125" t="s">
        <v>1109</v>
      </c>
      <c r="Q39" s="125" t="s">
        <v>1109</v>
      </c>
      <c r="R39">
        <v>0.5</v>
      </c>
      <c r="S39" s="125" t="s">
        <v>1109</v>
      </c>
    </row>
    <row r="40" spans="1:19">
      <c r="A40" t="s">
        <v>2419</v>
      </c>
      <c r="B40" s="125" t="s">
        <v>1109</v>
      </c>
      <c r="C40">
        <v>0.25</v>
      </c>
      <c r="D40" s="125" t="s">
        <v>1109</v>
      </c>
      <c r="E40">
        <v>2</v>
      </c>
      <c r="F40" s="125" t="s">
        <v>1109</v>
      </c>
      <c r="G40">
        <v>0.25</v>
      </c>
      <c r="H40" s="125" t="s">
        <v>1109</v>
      </c>
      <c r="I40" s="125" t="s">
        <v>1109</v>
      </c>
      <c r="J40">
        <v>2</v>
      </c>
      <c r="K40" s="125" t="s">
        <v>1109</v>
      </c>
      <c r="L40" s="125" t="s">
        <v>1109</v>
      </c>
      <c r="M40">
        <v>0.5</v>
      </c>
      <c r="N40">
        <v>2</v>
      </c>
      <c r="O40" s="125" t="s">
        <v>1109</v>
      </c>
      <c r="P40" s="125" t="s">
        <v>1109</v>
      </c>
      <c r="Q40" s="125" t="s">
        <v>1109</v>
      </c>
      <c r="R40">
        <v>0.25</v>
      </c>
      <c r="S40">
        <v>0.5</v>
      </c>
    </row>
    <row r="41" spans="1:19">
      <c r="A41" t="s">
        <v>2420</v>
      </c>
      <c r="B41" s="125" t="s">
        <v>1109</v>
      </c>
      <c r="C41">
        <v>0.5</v>
      </c>
      <c r="D41">
        <v>0.5</v>
      </c>
      <c r="E41" s="125" t="s">
        <v>1109</v>
      </c>
      <c r="F41">
        <v>2</v>
      </c>
      <c r="G41">
        <v>0.5</v>
      </c>
      <c r="H41" s="125" t="s">
        <v>1109</v>
      </c>
      <c r="I41" s="125" t="s">
        <v>1109</v>
      </c>
      <c r="J41">
        <v>2</v>
      </c>
      <c r="K41">
        <v>0.5</v>
      </c>
      <c r="L41" s="125" t="s">
        <v>1109</v>
      </c>
      <c r="M41" s="125" t="s">
        <v>1109</v>
      </c>
      <c r="N41" s="125" t="s">
        <v>1109</v>
      </c>
      <c r="O41" s="125" t="s">
        <v>1109</v>
      </c>
      <c r="P41" s="125" t="s">
        <v>1109</v>
      </c>
      <c r="Q41" s="125" t="s">
        <v>1109</v>
      </c>
      <c r="R41">
        <v>0.25</v>
      </c>
      <c r="S41" s="125" t="s">
        <v>1109</v>
      </c>
    </row>
    <row r="42" spans="1:19">
      <c r="A42" t="s">
        <v>2421</v>
      </c>
      <c r="B42" s="125" t="s">
        <v>1109</v>
      </c>
      <c r="C42" s="125" t="s">
        <v>1109</v>
      </c>
      <c r="D42">
        <v>0.25</v>
      </c>
      <c r="E42" s="125" t="s">
        <v>1109</v>
      </c>
      <c r="F42" s="125" t="s">
        <v>1109</v>
      </c>
      <c r="G42" s="125" t="s">
        <v>1109</v>
      </c>
      <c r="H42" s="125" t="s">
        <v>1109</v>
      </c>
      <c r="I42">
        <v>2</v>
      </c>
      <c r="J42">
        <v>0.5</v>
      </c>
      <c r="K42">
        <v>2</v>
      </c>
      <c r="L42" s="125" t="s">
        <v>1109</v>
      </c>
      <c r="M42">
        <v>2</v>
      </c>
      <c r="N42" s="125" t="s">
        <v>1109</v>
      </c>
      <c r="O42" s="125" t="s">
        <v>1109</v>
      </c>
      <c r="P42" s="125" t="s">
        <v>1109</v>
      </c>
      <c r="Q42" s="125" t="s">
        <v>1109</v>
      </c>
      <c r="R42">
        <v>0.5</v>
      </c>
      <c r="S42" s="125" t="s">
        <v>1109</v>
      </c>
    </row>
    <row r="43" spans="1:19">
      <c r="A43" t="s">
        <v>2422</v>
      </c>
      <c r="B43" s="125" t="s">
        <v>1109</v>
      </c>
      <c r="C43" s="125" t="s">
        <v>1109</v>
      </c>
      <c r="D43">
        <v>0.5</v>
      </c>
      <c r="E43">
        <v>2</v>
      </c>
      <c r="F43">
        <v>2</v>
      </c>
      <c r="G43">
        <v>0.25</v>
      </c>
      <c r="H43">
        <v>2</v>
      </c>
      <c r="I43" s="125" t="s">
        <v>1109</v>
      </c>
      <c r="J43" s="125" t="s">
        <v>1109</v>
      </c>
      <c r="K43" s="125" t="s">
        <v>1109</v>
      </c>
      <c r="L43" s="125" t="s">
        <v>1109</v>
      </c>
      <c r="M43" s="125" t="s">
        <v>1109</v>
      </c>
      <c r="N43">
        <v>2</v>
      </c>
      <c r="O43" s="125" t="s">
        <v>1109</v>
      </c>
      <c r="P43" s="125" t="s">
        <v>1109</v>
      </c>
      <c r="Q43" s="125" t="s">
        <v>1109</v>
      </c>
      <c r="R43" s="125" t="s">
        <v>1109</v>
      </c>
      <c r="S43" s="125" t="s">
        <v>1109</v>
      </c>
    </row>
    <row r="44" spans="1:19">
      <c r="A44" t="s">
        <v>2423</v>
      </c>
      <c r="B44" s="125" t="s">
        <v>1109</v>
      </c>
      <c r="C44">
        <v>0.5</v>
      </c>
      <c r="D44">
        <v>0.5</v>
      </c>
      <c r="E44">
        <v>2</v>
      </c>
      <c r="F44">
        <v>2</v>
      </c>
      <c r="G44">
        <v>0.5</v>
      </c>
      <c r="H44" s="125" t="s">
        <v>1109</v>
      </c>
      <c r="I44" s="125" t="s">
        <v>1109</v>
      </c>
      <c r="J44" s="125" t="s">
        <v>1109</v>
      </c>
      <c r="K44">
        <v>2</v>
      </c>
      <c r="L44">
        <v>2</v>
      </c>
      <c r="M44">
        <v>0.5</v>
      </c>
      <c r="N44">
        <v>0.5</v>
      </c>
      <c r="O44" s="125" t="s">
        <v>1109</v>
      </c>
      <c r="P44" s="125" t="s">
        <v>1109</v>
      </c>
      <c r="Q44">
        <v>0.5</v>
      </c>
      <c r="R44">
        <v>0.5</v>
      </c>
      <c r="S44">
        <v>2</v>
      </c>
    </row>
    <row r="45" spans="1:19">
      <c r="A45" t="s">
        <v>2424</v>
      </c>
      <c r="B45" s="125" t="s">
        <v>1109</v>
      </c>
      <c r="C45">
        <v>0.5</v>
      </c>
      <c r="D45">
        <v>0.5</v>
      </c>
      <c r="E45">
        <v>2</v>
      </c>
      <c r="F45" s="125" t="s">
        <v>1109</v>
      </c>
      <c r="G45">
        <v>0.5</v>
      </c>
      <c r="H45">
        <v>0.5</v>
      </c>
      <c r="I45">
        <v>0.5</v>
      </c>
      <c r="J45">
        <v>2</v>
      </c>
      <c r="K45" s="125" t="s">
        <v>1109</v>
      </c>
      <c r="L45">
        <v>2</v>
      </c>
      <c r="M45">
        <v>0.5</v>
      </c>
      <c r="N45" s="125" t="s">
        <v>1109</v>
      </c>
      <c r="O45" s="125" t="s">
        <v>1109</v>
      </c>
      <c r="P45" s="125" t="s">
        <v>1109</v>
      </c>
      <c r="Q45" s="125" t="s">
        <v>1109</v>
      </c>
      <c r="R45">
        <v>0.5</v>
      </c>
      <c r="S45">
        <v>0.5</v>
      </c>
    </row>
    <row r="46" spans="1:19">
      <c r="A46" t="s">
        <v>2425</v>
      </c>
      <c r="B46" s="125" t="s">
        <v>1109</v>
      </c>
      <c r="C46">
        <v>0.5</v>
      </c>
      <c r="D46" s="125" t="s">
        <v>1109</v>
      </c>
      <c r="E46">
        <v>0</v>
      </c>
      <c r="F46">
        <v>4</v>
      </c>
      <c r="G46" s="125" t="s">
        <v>1109</v>
      </c>
      <c r="H46" s="125" t="s">
        <v>1109</v>
      </c>
      <c r="I46">
        <v>0.5</v>
      </c>
      <c r="J46" s="125" t="s">
        <v>1109</v>
      </c>
      <c r="K46" s="125" t="s">
        <v>1109</v>
      </c>
      <c r="L46" s="125" t="s">
        <v>1109</v>
      </c>
      <c r="M46" s="125" t="s">
        <v>1109</v>
      </c>
      <c r="N46">
        <v>0.5</v>
      </c>
      <c r="O46" s="125" t="s">
        <v>1109</v>
      </c>
      <c r="P46" s="125" t="s">
        <v>1109</v>
      </c>
      <c r="Q46" s="125" t="s">
        <v>1109</v>
      </c>
      <c r="R46">
        <v>0.5</v>
      </c>
      <c r="S46" s="125" t="s">
        <v>1109</v>
      </c>
    </row>
    <row r="47" spans="1:19">
      <c r="A47" t="s">
        <v>2426</v>
      </c>
      <c r="B47" s="125" t="s">
        <v>1109</v>
      </c>
      <c r="C47">
        <v>0.5</v>
      </c>
      <c r="D47">
        <v>0.5</v>
      </c>
      <c r="E47">
        <v>4</v>
      </c>
      <c r="F47" s="125" t="s">
        <v>1109</v>
      </c>
      <c r="G47" s="125" t="s">
        <v>1109</v>
      </c>
      <c r="H47">
        <v>0.5</v>
      </c>
      <c r="I47" s="125" t="s">
        <v>1109</v>
      </c>
      <c r="J47">
        <v>0</v>
      </c>
      <c r="K47" s="125" t="s">
        <v>1109</v>
      </c>
      <c r="L47" s="125" t="s">
        <v>1109</v>
      </c>
      <c r="M47">
        <v>0.5</v>
      </c>
      <c r="N47">
        <v>2</v>
      </c>
      <c r="O47" s="125" t="s">
        <v>1109</v>
      </c>
      <c r="P47" s="125" t="s">
        <v>1109</v>
      </c>
      <c r="Q47" s="125" t="s">
        <v>1109</v>
      </c>
      <c r="R47">
        <v>0.5</v>
      </c>
      <c r="S47" s="125" t="s">
        <v>1109</v>
      </c>
    </row>
    <row r="48" spans="1:19">
      <c r="A48" t="s">
        <v>2427</v>
      </c>
      <c r="B48" s="125" t="s">
        <v>1109</v>
      </c>
      <c r="C48">
        <v>0.5</v>
      </c>
      <c r="D48">
        <v>0.5</v>
      </c>
      <c r="E48">
        <v>2</v>
      </c>
      <c r="F48">
        <v>2</v>
      </c>
      <c r="G48">
        <v>0.5</v>
      </c>
      <c r="H48">
        <v>0.5</v>
      </c>
      <c r="I48" s="125" t="s">
        <v>1109</v>
      </c>
      <c r="J48" s="125" t="s">
        <v>1109</v>
      </c>
      <c r="K48" s="125" t="s">
        <v>1109</v>
      </c>
      <c r="L48">
        <v>0.5</v>
      </c>
      <c r="M48">
        <v>2</v>
      </c>
      <c r="N48" s="125" t="s">
        <v>1109</v>
      </c>
      <c r="O48">
        <v>2</v>
      </c>
      <c r="P48" s="125" t="s">
        <v>1109</v>
      </c>
      <c r="Q48">
        <v>2</v>
      </c>
      <c r="R48">
        <v>0.5</v>
      </c>
      <c r="S48" s="125" t="s">
        <v>1109</v>
      </c>
    </row>
    <row r="49" spans="1:19">
      <c r="A49" t="s">
        <v>2428</v>
      </c>
      <c r="B49" s="125" t="s">
        <v>1109</v>
      </c>
      <c r="C49" s="125" t="s">
        <v>1109</v>
      </c>
      <c r="D49">
        <v>0.5</v>
      </c>
      <c r="E49">
        <v>2</v>
      </c>
      <c r="F49" s="125" t="s">
        <v>1109</v>
      </c>
      <c r="G49">
        <v>0.5</v>
      </c>
      <c r="H49">
        <v>0.5</v>
      </c>
      <c r="I49" s="125" t="s">
        <v>1109</v>
      </c>
      <c r="J49">
        <v>0.5</v>
      </c>
      <c r="K49">
        <v>2</v>
      </c>
      <c r="L49" s="125" t="s">
        <v>1109</v>
      </c>
      <c r="M49" s="125" t="s">
        <v>1109</v>
      </c>
      <c r="N49">
        <v>2</v>
      </c>
      <c r="O49" s="125" t="s">
        <v>1109</v>
      </c>
      <c r="P49" s="125" t="s">
        <v>1109</v>
      </c>
      <c r="Q49" s="125" t="s">
        <v>1109</v>
      </c>
      <c r="R49">
        <v>0.5</v>
      </c>
      <c r="S49" s="125" t="s">
        <v>1109</v>
      </c>
    </row>
    <row r="50" spans="1:19">
      <c r="A50" t="s">
        <v>2429</v>
      </c>
      <c r="B50">
        <v>0.5</v>
      </c>
      <c r="C50">
        <v>0.25</v>
      </c>
      <c r="D50" s="125" t="s">
        <v>1109</v>
      </c>
      <c r="E50">
        <v>2</v>
      </c>
      <c r="F50">
        <v>4</v>
      </c>
      <c r="G50">
        <v>0.5</v>
      </c>
      <c r="H50">
        <v>2</v>
      </c>
      <c r="I50">
        <v>0.5</v>
      </c>
      <c r="J50">
        <v>2</v>
      </c>
      <c r="K50">
        <v>0.5</v>
      </c>
      <c r="L50" s="125" t="s">
        <v>1109</v>
      </c>
      <c r="M50" s="125" t="s">
        <v>1109</v>
      </c>
      <c r="N50" s="125" t="s">
        <v>1109</v>
      </c>
      <c r="O50" s="125" t="s">
        <v>1109</v>
      </c>
      <c r="P50" s="125" t="s">
        <v>1109</v>
      </c>
      <c r="Q50" s="125" t="s">
        <v>1109</v>
      </c>
      <c r="R50" s="125" t="s">
        <v>1109</v>
      </c>
      <c r="S50" s="125" t="s">
        <v>1109</v>
      </c>
    </row>
    <row r="51" spans="1:19">
      <c r="A51" t="s">
        <v>2430</v>
      </c>
      <c r="B51">
        <v>0</v>
      </c>
      <c r="C51">
        <v>0.5</v>
      </c>
      <c r="D51">
        <v>0.5</v>
      </c>
      <c r="E51">
        <v>2</v>
      </c>
      <c r="F51">
        <v>2</v>
      </c>
      <c r="G51">
        <v>0.5</v>
      </c>
      <c r="H51">
        <v>0</v>
      </c>
      <c r="I51">
        <v>0.5</v>
      </c>
      <c r="J51" s="125" t="s">
        <v>1109</v>
      </c>
      <c r="K51" s="125" t="s">
        <v>1109</v>
      </c>
      <c r="L51" s="125" t="s">
        <v>1109</v>
      </c>
      <c r="M51">
        <v>0.5</v>
      </c>
      <c r="N51" s="125" t="s">
        <v>1109</v>
      </c>
      <c r="O51">
        <v>2</v>
      </c>
      <c r="P51" s="125" t="s">
        <v>1109</v>
      </c>
      <c r="Q51">
        <v>2</v>
      </c>
      <c r="R51">
        <v>0.5</v>
      </c>
      <c r="S51" s="125" t="s">
        <v>1109</v>
      </c>
    </row>
    <row r="52" spans="1:19">
      <c r="A52" t="s">
        <v>2431</v>
      </c>
      <c r="B52" s="125" t="s">
        <v>1109</v>
      </c>
      <c r="C52">
        <v>0.25</v>
      </c>
      <c r="D52">
        <v>0.25</v>
      </c>
      <c r="E52" s="125" t="s">
        <v>1109</v>
      </c>
      <c r="F52" s="125" t="s">
        <v>1109</v>
      </c>
      <c r="G52" s="125" t="s">
        <v>1109</v>
      </c>
      <c r="H52" s="125" t="s">
        <v>1109</v>
      </c>
      <c r="I52" s="125" t="s">
        <v>1109</v>
      </c>
      <c r="J52" s="125" t="s">
        <v>1109</v>
      </c>
      <c r="K52" s="125" t="s">
        <v>1109</v>
      </c>
      <c r="L52" s="125" t="s">
        <v>1109</v>
      </c>
      <c r="M52" s="125" t="s">
        <v>1109</v>
      </c>
      <c r="N52" s="125" t="s">
        <v>1109</v>
      </c>
      <c r="O52" s="125" t="s">
        <v>1109</v>
      </c>
      <c r="P52">
        <v>2</v>
      </c>
      <c r="Q52" s="125" t="s">
        <v>1109</v>
      </c>
      <c r="R52">
        <v>0.5</v>
      </c>
      <c r="S52">
        <v>2</v>
      </c>
    </row>
    <row r="53" spans="1:19">
      <c r="A53" t="s">
        <v>2432</v>
      </c>
      <c r="B53" s="125" t="s">
        <v>1109</v>
      </c>
      <c r="C53">
        <v>0.5</v>
      </c>
      <c r="D53">
        <v>0.5</v>
      </c>
      <c r="E53">
        <v>2</v>
      </c>
      <c r="F53">
        <v>2</v>
      </c>
      <c r="G53">
        <v>0.5</v>
      </c>
      <c r="H53">
        <v>2</v>
      </c>
      <c r="I53" s="125" t="s">
        <v>1109</v>
      </c>
      <c r="J53" s="125" t="s">
        <v>1109</v>
      </c>
      <c r="K53" s="125" t="s">
        <v>1109</v>
      </c>
      <c r="L53">
        <v>0</v>
      </c>
      <c r="M53">
        <v>2</v>
      </c>
      <c r="N53" s="125" t="s">
        <v>1109</v>
      </c>
      <c r="O53">
        <v>0.5</v>
      </c>
      <c r="P53" s="125" t="s">
        <v>1109</v>
      </c>
      <c r="Q53">
        <v>0.5</v>
      </c>
      <c r="R53">
        <v>0.5</v>
      </c>
      <c r="S53">
        <v>2</v>
      </c>
    </row>
    <row r="54" spans="1:19">
      <c r="A54" t="s">
        <v>2433</v>
      </c>
      <c r="B54">
        <v>0.5</v>
      </c>
      <c r="C54" s="125" t="s">
        <v>1109</v>
      </c>
      <c r="D54">
        <v>0.5</v>
      </c>
      <c r="E54">
        <v>2</v>
      </c>
      <c r="F54" s="125" t="s">
        <v>1109</v>
      </c>
      <c r="G54">
        <v>0.25</v>
      </c>
      <c r="H54">
        <v>2</v>
      </c>
      <c r="I54">
        <v>0</v>
      </c>
      <c r="J54">
        <v>2</v>
      </c>
      <c r="K54">
        <v>0.5</v>
      </c>
      <c r="L54">
        <v>0.5</v>
      </c>
      <c r="M54">
        <v>0.5</v>
      </c>
      <c r="N54">
        <v>0.5</v>
      </c>
      <c r="O54" s="125" t="s">
        <v>1109</v>
      </c>
      <c r="P54">
        <v>0.5</v>
      </c>
      <c r="Q54" s="125" t="s">
        <v>1109</v>
      </c>
      <c r="R54">
        <v>0.25</v>
      </c>
      <c r="S54">
        <v>0.5</v>
      </c>
    </row>
    <row r="55" spans="1:19">
      <c r="A55" t="s">
        <v>2434</v>
      </c>
      <c r="B55" s="125" t="s">
        <v>1109</v>
      </c>
      <c r="C55">
        <v>0.5</v>
      </c>
      <c r="D55">
        <v>0.5</v>
      </c>
      <c r="E55">
        <v>2</v>
      </c>
      <c r="F55">
        <v>2</v>
      </c>
      <c r="G55">
        <v>0.5</v>
      </c>
      <c r="H55">
        <v>0.5</v>
      </c>
      <c r="I55">
        <v>2</v>
      </c>
      <c r="J55" s="125" t="s">
        <v>1109</v>
      </c>
      <c r="K55" s="125" t="s">
        <v>1109</v>
      </c>
      <c r="L55" s="125" t="s">
        <v>1109</v>
      </c>
      <c r="M55">
        <v>0.5</v>
      </c>
      <c r="N55" s="125" t="s">
        <v>1109</v>
      </c>
      <c r="O55" s="125" t="s">
        <v>1109</v>
      </c>
      <c r="P55">
        <v>0</v>
      </c>
      <c r="Q55">
        <v>0.5</v>
      </c>
      <c r="R55" s="125" t="s">
        <v>1109</v>
      </c>
      <c r="S55" s="125" t="s">
        <v>1109</v>
      </c>
    </row>
    <row r="56" spans="1:19">
      <c r="A56" t="s">
        <v>2371</v>
      </c>
      <c r="B56" s="125" t="s">
        <v>1109</v>
      </c>
      <c r="C56" s="125" t="s">
        <v>1109</v>
      </c>
      <c r="D56" s="125" t="s">
        <v>1109</v>
      </c>
      <c r="E56">
        <v>0.5</v>
      </c>
      <c r="F56" s="125" t="s">
        <v>1109</v>
      </c>
      <c r="G56" s="125" t="s">
        <v>1109</v>
      </c>
      <c r="H56" s="125" t="s">
        <v>1109</v>
      </c>
      <c r="I56" s="125" t="s">
        <v>1109</v>
      </c>
      <c r="J56">
        <v>2</v>
      </c>
      <c r="K56">
        <v>0.5</v>
      </c>
      <c r="L56" s="125" t="s">
        <v>1109</v>
      </c>
      <c r="M56" s="125" t="s">
        <v>1109</v>
      </c>
      <c r="N56" s="125" t="s">
        <v>1109</v>
      </c>
      <c r="O56" s="125" t="s">
        <v>1109</v>
      </c>
      <c r="P56" s="125" t="s">
        <v>1109</v>
      </c>
      <c r="Q56" s="125" t="s">
        <v>1109</v>
      </c>
      <c r="R56">
        <v>0.5</v>
      </c>
      <c r="S56" s="125" t="s">
        <v>1109</v>
      </c>
    </row>
    <row r="57" spans="1:19">
      <c r="A57" t="s">
        <v>2435</v>
      </c>
      <c r="B57" s="125" t="s">
        <v>1109</v>
      </c>
      <c r="C57" s="125" t="s">
        <v>1109</v>
      </c>
      <c r="D57" s="125" t="s">
        <v>1109</v>
      </c>
      <c r="E57">
        <v>0.5</v>
      </c>
      <c r="F57" s="125" t="s">
        <v>1109</v>
      </c>
      <c r="G57" s="125" t="s">
        <v>1109</v>
      </c>
      <c r="H57">
        <v>2</v>
      </c>
      <c r="I57" s="125" t="s">
        <v>1109</v>
      </c>
      <c r="J57">
        <v>2</v>
      </c>
      <c r="K57">
        <v>0.5</v>
      </c>
      <c r="L57" s="125" t="s">
        <v>1109</v>
      </c>
      <c r="M57" s="125" t="s">
        <v>1109</v>
      </c>
      <c r="N57" s="125" t="s">
        <v>1109</v>
      </c>
      <c r="O57">
        <v>0</v>
      </c>
      <c r="P57" s="125" t="s">
        <v>1109</v>
      </c>
      <c r="Q57" s="125" t="s">
        <v>1109</v>
      </c>
      <c r="R57">
        <v>0.5</v>
      </c>
      <c r="S57" s="125" t="s">
        <v>1109</v>
      </c>
    </row>
    <row r="58" spans="1:19">
      <c r="A58" t="s">
        <v>2436</v>
      </c>
      <c r="B58" s="125" t="s">
        <v>1109</v>
      </c>
      <c r="C58">
        <v>0.5</v>
      </c>
      <c r="D58">
        <v>2</v>
      </c>
      <c r="E58">
        <v>0.5</v>
      </c>
      <c r="F58">
        <v>0.5</v>
      </c>
      <c r="G58">
        <v>0.5</v>
      </c>
      <c r="H58" s="125" t="s">
        <v>1109</v>
      </c>
      <c r="I58" s="125" t="s">
        <v>1109</v>
      </c>
      <c r="J58">
        <v>4</v>
      </c>
      <c r="K58">
        <v>0.5</v>
      </c>
      <c r="L58" s="125" t="s">
        <v>1109</v>
      </c>
      <c r="M58">
        <v>0.5</v>
      </c>
      <c r="N58">
        <v>2</v>
      </c>
      <c r="O58" s="125" t="s">
        <v>1109</v>
      </c>
      <c r="P58" s="125" t="s">
        <v>1109</v>
      </c>
      <c r="Q58" s="125" t="s">
        <v>1109</v>
      </c>
      <c r="R58">
        <v>0.25</v>
      </c>
      <c r="S58">
        <v>0.5</v>
      </c>
    </row>
    <row r="59" spans="1:19">
      <c r="A59" t="s">
        <v>2437</v>
      </c>
      <c r="B59" s="125" t="s">
        <v>1109</v>
      </c>
      <c r="C59">
        <v>0.5</v>
      </c>
      <c r="D59">
        <v>0.5</v>
      </c>
      <c r="E59" s="125" t="s">
        <v>1109</v>
      </c>
      <c r="F59">
        <v>2</v>
      </c>
      <c r="G59">
        <v>0.5</v>
      </c>
      <c r="H59" s="125" t="s">
        <v>1109</v>
      </c>
      <c r="I59" s="125" t="s">
        <v>1109</v>
      </c>
      <c r="J59">
        <v>2</v>
      </c>
      <c r="K59">
        <v>0.5</v>
      </c>
      <c r="L59" s="125" t="s">
        <v>1109</v>
      </c>
      <c r="M59" s="125" t="s">
        <v>1109</v>
      </c>
      <c r="N59" s="125" t="s">
        <v>1109</v>
      </c>
      <c r="O59" s="125" t="s">
        <v>1109</v>
      </c>
      <c r="P59" s="125" t="s">
        <v>1109</v>
      </c>
      <c r="Q59" s="125" t="s">
        <v>1109</v>
      </c>
      <c r="R59">
        <v>0.25</v>
      </c>
      <c r="S59" s="125" t="s">
        <v>1109</v>
      </c>
    </row>
    <row r="60" spans="1:19">
      <c r="A60" t="s">
        <v>2438</v>
      </c>
      <c r="B60" s="125" t="s">
        <v>1109</v>
      </c>
      <c r="C60">
        <v>2</v>
      </c>
      <c r="D60">
        <v>0.5</v>
      </c>
      <c r="E60">
        <v>0.25</v>
      </c>
      <c r="F60">
        <v>0.5</v>
      </c>
      <c r="G60">
        <v>2</v>
      </c>
      <c r="H60" s="125" t="s">
        <v>1109</v>
      </c>
      <c r="I60">
        <v>2</v>
      </c>
      <c r="J60" s="125" t="s">
        <v>1109</v>
      </c>
      <c r="K60" s="125" t="s">
        <v>1109</v>
      </c>
      <c r="L60" s="125" t="s">
        <v>1109</v>
      </c>
      <c r="M60">
        <v>2</v>
      </c>
      <c r="N60" s="125" t="s">
        <v>1109</v>
      </c>
      <c r="O60" s="125" t="s">
        <v>1109</v>
      </c>
      <c r="P60" s="125" t="s">
        <v>1109</v>
      </c>
      <c r="Q60" s="125" t="s">
        <v>1109</v>
      </c>
      <c r="R60">
        <v>0.5</v>
      </c>
      <c r="S60" s="125" t="s">
        <v>1109</v>
      </c>
    </row>
    <row r="61" spans="1:19">
      <c r="A61" t="s">
        <v>2439</v>
      </c>
      <c r="B61" s="125" t="s">
        <v>1109</v>
      </c>
      <c r="C61">
        <v>2</v>
      </c>
      <c r="D61" s="125" t="s">
        <v>1109</v>
      </c>
      <c r="E61">
        <v>0.5</v>
      </c>
      <c r="F61" s="125" t="s">
        <v>1109</v>
      </c>
      <c r="G61">
        <v>0.5</v>
      </c>
      <c r="H61">
        <v>2</v>
      </c>
      <c r="I61" s="125" t="s">
        <v>1109</v>
      </c>
      <c r="J61">
        <v>2</v>
      </c>
      <c r="K61">
        <v>0.5</v>
      </c>
      <c r="L61" s="125" t="s">
        <v>1109</v>
      </c>
      <c r="M61" s="125" t="s">
        <v>1109</v>
      </c>
      <c r="N61">
        <v>2</v>
      </c>
      <c r="O61" s="125" t="s">
        <v>1109</v>
      </c>
      <c r="P61" s="125" t="s">
        <v>1109</v>
      </c>
      <c r="Q61" s="125" t="s">
        <v>1109</v>
      </c>
      <c r="R61" s="125" t="s">
        <v>1109</v>
      </c>
      <c r="S61" s="125" t="s">
        <v>1109</v>
      </c>
    </row>
    <row r="62" spans="1:19">
      <c r="A62" t="s">
        <v>2440</v>
      </c>
      <c r="B62" s="125" t="s">
        <v>1109</v>
      </c>
      <c r="C62" s="125" t="s">
        <v>1109</v>
      </c>
      <c r="D62" s="125" t="s">
        <v>1109</v>
      </c>
      <c r="E62">
        <v>0.5</v>
      </c>
      <c r="F62" s="125" t="s">
        <v>1109</v>
      </c>
      <c r="G62" s="125" t="s">
        <v>1109</v>
      </c>
      <c r="H62" s="125" t="s">
        <v>1109</v>
      </c>
      <c r="I62" s="125" t="s">
        <v>1109</v>
      </c>
      <c r="J62">
        <v>2</v>
      </c>
      <c r="K62" s="125" t="s">
        <v>1109</v>
      </c>
      <c r="L62">
        <v>2</v>
      </c>
      <c r="M62">
        <v>0.5</v>
      </c>
      <c r="N62">
        <v>0.5</v>
      </c>
      <c r="O62" s="125" t="s">
        <v>1109</v>
      </c>
      <c r="P62" s="125" t="s">
        <v>1109</v>
      </c>
      <c r="Q62">
        <v>0.5</v>
      </c>
      <c r="R62">
        <v>0.5</v>
      </c>
      <c r="S62">
        <v>2</v>
      </c>
    </row>
    <row r="63" spans="1:19">
      <c r="A63" t="s">
        <v>2441</v>
      </c>
      <c r="B63" s="125" t="s">
        <v>1109</v>
      </c>
      <c r="C63" s="125" t="s">
        <v>1109</v>
      </c>
      <c r="D63" s="125" t="s">
        <v>1109</v>
      </c>
      <c r="E63">
        <v>0.5</v>
      </c>
      <c r="F63">
        <v>0.5</v>
      </c>
      <c r="G63" s="125" t="s">
        <v>1109</v>
      </c>
      <c r="H63">
        <v>0.5</v>
      </c>
      <c r="I63">
        <v>0.5</v>
      </c>
      <c r="J63">
        <v>4</v>
      </c>
      <c r="K63">
        <v>0.5</v>
      </c>
      <c r="L63">
        <v>2</v>
      </c>
      <c r="M63">
        <v>0.5</v>
      </c>
      <c r="N63" s="125" t="s">
        <v>1109</v>
      </c>
      <c r="O63" s="125" t="s">
        <v>1109</v>
      </c>
      <c r="P63" s="125" t="s">
        <v>1109</v>
      </c>
      <c r="Q63" s="125" t="s">
        <v>1109</v>
      </c>
      <c r="R63">
        <v>0.5</v>
      </c>
      <c r="S63">
        <v>0.5</v>
      </c>
    </row>
    <row r="64" spans="1:19">
      <c r="A64" t="s">
        <v>2442</v>
      </c>
      <c r="B64" s="125" t="s">
        <v>1109</v>
      </c>
      <c r="C64" s="125" t="s">
        <v>1109</v>
      </c>
      <c r="D64">
        <v>2</v>
      </c>
      <c r="E64">
        <v>0</v>
      </c>
      <c r="F64">
        <v>2</v>
      </c>
      <c r="G64">
        <v>2</v>
      </c>
      <c r="H64" s="125" t="s">
        <v>1109</v>
      </c>
      <c r="I64">
        <v>0.5</v>
      </c>
      <c r="J64">
        <v>2</v>
      </c>
      <c r="K64">
        <v>0.5</v>
      </c>
      <c r="L64" s="125" t="s">
        <v>1109</v>
      </c>
      <c r="M64" s="125" t="s">
        <v>1109</v>
      </c>
      <c r="N64">
        <v>0.5</v>
      </c>
      <c r="O64" s="125" t="s">
        <v>1109</v>
      </c>
      <c r="P64" s="125" t="s">
        <v>1109</v>
      </c>
      <c r="Q64" s="125" t="s">
        <v>1109</v>
      </c>
      <c r="R64">
        <v>0.5</v>
      </c>
      <c r="S64" s="125" t="s">
        <v>1109</v>
      </c>
    </row>
    <row r="65" spans="1:19">
      <c r="A65" t="s">
        <v>2443</v>
      </c>
      <c r="B65" s="125" t="s">
        <v>1109</v>
      </c>
      <c r="C65" s="125" t="s">
        <v>1109</v>
      </c>
      <c r="D65" s="125" t="s">
        <v>1109</v>
      </c>
      <c r="E65" s="125" t="s">
        <v>1109</v>
      </c>
      <c r="F65">
        <v>0.5</v>
      </c>
      <c r="G65">
        <v>2</v>
      </c>
      <c r="H65">
        <v>0.5</v>
      </c>
      <c r="I65" s="125" t="s">
        <v>1109</v>
      </c>
      <c r="J65">
        <v>0</v>
      </c>
      <c r="K65">
        <v>0.5</v>
      </c>
      <c r="L65" s="125" t="s">
        <v>1109</v>
      </c>
      <c r="M65">
        <v>0.5</v>
      </c>
      <c r="N65">
        <v>2</v>
      </c>
      <c r="O65" s="125" t="s">
        <v>1109</v>
      </c>
      <c r="P65" s="125" t="s">
        <v>1109</v>
      </c>
      <c r="Q65" s="125" t="s">
        <v>1109</v>
      </c>
      <c r="R65">
        <v>0.5</v>
      </c>
      <c r="S65" s="125" t="s">
        <v>1109</v>
      </c>
    </row>
    <row r="66" spans="1:19">
      <c r="A66" t="s">
        <v>2444</v>
      </c>
      <c r="B66" s="125" t="s">
        <v>1109</v>
      </c>
      <c r="C66" s="125" t="s">
        <v>1109</v>
      </c>
      <c r="D66" s="125" t="s">
        <v>1109</v>
      </c>
      <c r="E66">
        <v>0.5</v>
      </c>
      <c r="F66" s="125" t="s">
        <v>1109</v>
      </c>
      <c r="G66" s="125" t="s">
        <v>1109</v>
      </c>
      <c r="H66">
        <v>0.5</v>
      </c>
      <c r="I66" s="125" t="s">
        <v>1109</v>
      </c>
      <c r="J66">
        <v>2</v>
      </c>
      <c r="K66">
        <v>0.5</v>
      </c>
      <c r="L66">
        <v>0.5</v>
      </c>
      <c r="M66">
        <v>2</v>
      </c>
      <c r="N66" s="125" t="s">
        <v>1109</v>
      </c>
      <c r="O66">
        <v>2</v>
      </c>
      <c r="P66" s="125" t="s">
        <v>1109</v>
      </c>
      <c r="Q66">
        <v>2</v>
      </c>
      <c r="R66">
        <v>0.5</v>
      </c>
      <c r="S66" s="125" t="s">
        <v>1109</v>
      </c>
    </row>
    <row r="67" spans="1:19">
      <c r="A67" t="s">
        <v>2445</v>
      </c>
      <c r="B67" s="125" t="s">
        <v>1109</v>
      </c>
      <c r="C67">
        <v>2</v>
      </c>
      <c r="D67" s="125" t="s">
        <v>1109</v>
      </c>
      <c r="E67">
        <v>0.5</v>
      </c>
      <c r="F67">
        <v>0.5</v>
      </c>
      <c r="G67" s="125" t="s">
        <v>1109</v>
      </c>
      <c r="H67">
        <v>0.5</v>
      </c>
      <c r="I67" s="125" t="s">
        <v>1109</v>
      </c>
      <c r="J67" s="125" t="s">
        <v>1109</v>
      </c>
      <c r="K67" s="125" t="s">
        <v>1109</v>
      </c>
      <c r="L67" s="125" t="s">
        <v>1109</v>
      </c>
      <c r="M67" s="125" t="s">
        <v>1109</v>
      </c>
      <c r="N67">
        <v>2</v>
      </c>
      <c r="O67" s="125" t="s">
        <v>1109</v>
      </c>
      <c r="P67" s="125" t="s">
        <v>1109</v>
      </c>
      <c r="Q67" s="125" t="s">
        <v>1109</v>
      </c>
      <c r="R67">
        <v>0.5</v>
      </c>
      <c r="S67" s="125" t="s">
        <v>1109</v>
      </c>
    </row>
    <row r="68" spans="1:19">
      <c r="A68" t="s">
        <v>2446</v>
      </c>
      <c r="B68">
        <v>0.5</v>
      </c>
      <c r="C68">
        <v>0.5</v>
      </c>
      <c r="D68">
        <v>2</v>
      </c>
      <c r="E68">
        <v>0.5</v>
      </c>
      <c r="F68">
        <v>2</v>
      </c>
      <c r="G68" s="125" t="s">
        <v>1109</v>
      </c>
      <c r="H68">
        <v>2</v>
      </c>
      <c r="I68">
        <v>0.5</v>
      </c>
      <c r="J68">
        <v>4</v>
      </c>
      <c r="K68">
        <v>0.25</v>
      </c>
      <c r="L68" s="125" t="s">
        <v>1109</v>
      </c>
      <c r="M68" s="125" t="s">
        <v>1109</v>
      </c>
      <c r="N68" s="125" t="s">
        <v>1109</v>
      </c>
      <c r="O68" s="125" t="s">
        <v>1109</v>
      </c>
      <c r="P68" s="125" t="s">
        <v>1109</v>
      </c>
      <c r="Q68" s="125" t="s">
        <v>1109</v>
      </c>
      <c r="R68" s="125" t="s">
        <v>1109</v>
      </c>
      <c r="S68" s="125" t="s">
        <v>1109</v>
      </c>
    </row>
    <row r="69" spans="1:19">
      <c r="A69" t="s">
        <v>2447</v>
      </c>
      <c r="B69">
        <v>0</v>
      </c>
      <c r="C69" s="125" t="s">
        <v>1109</v>
      </c>
      <c r="D69" s="125" t="s">
        <v>1109</v>
      </c>
      <c r="E69">
        <v>0.5</v>
      </c>
      <c r="F69" s="125" t="s">
        <v>1109</v>
      </c>
      <c r="G69" s="125" t="s">
        <v>1109</v>
      </c>
      <c r="H69">
        <v>0</v>
      </c>
      <c r="I69">
        <v>0.5</v>
      </c>
      <c r="J69">
        <v>2</v>
      </c>
      <c r="K69">
        <v>0.5</v>
      </c>
      <c r="L69" s="125" t="s">
        <v>1109</v>
      </c>
      <c r="M69">
        <v>0.5</v>
      </c>
      <c r="N69" s="125" t="s">
        <v>1109</v>
      </c>
      <c r="O69">
        <v>2</v>
      </c>
      <c r="P69" s="125" t="s">
        <v>1109</v>
      </c>
      <c r="Q69">
        <v>2</v>
      </c>
      <c r="R69">
        <v>0.5</v>
      </c>
      <c r="S69" s="125" t="s">
        <v>1109</v>
      </c>
    </row>
    <row r="70" spans="1:19">
      <c r="A70" t="s">
        <v>2448</v>
      </c>
      <c r="B70" s="125" t="s">
        <v>1109</v>
      </c>
      <c r="C70">
        <v>0.5</v>
      </c>
      <c r="D70">
        <v>0.5</v>
      </c>
      <c r="E70">
        <v>0.25</v>
      </c>
      <c r="F70">
        <v>0.5</v>
      </c>
      <c r="G70">
        <v>2</v>
      </c>
      <c r="H70" s="125" t="s">
        <v>1109</v>
      </c>
      <c r="I70" s="125" t="s">
        <v>1109</v>
      </c>
      <c r="J70">
        <v>2</v>
      </c>
      <c r="K70">
        <v>0.5</v>
      </c>
      <c r="L70" s="125" t="s">
        <v>1109</v>
      </c>
      <c r="M70" s="125" t="s">
        <v>1109</v>
      </c>
      <c r="N70" s="125" t="s">
        <v>1109</v>
      </c>
      <c r="O70" s="125" t="s">
        <v>1109</v>
      </c>
      <c r="P70">
        <v>2</v>
      </c>
      <c r="Q70" s="125" t="s">
        <v>1109</v>
      </c>
      <c r="R70">
        <v>0.5</v>
      </c>
      <c r="S70">
        <v>2</v>
      </c>
    </row>
    <row r="71" spans="1:19">
      <c r="A71" t="s">
        <v>2449</v>
      </c>
      <c r="B71" s="125" t="s">
        <v>1109</v>
      </c>
      <c r="C71" s="125" t="s">
        <v>1109</v>
      </c>
      <c r="D71" s="125" t="s">
        <v>1109</v>
      </c>
      <c r="E71">
        <v>0.5</v>
      </c>
      <c r="F71" s="125" t="s">
        <v>1109</v>
      </c>
      <c r="G71" s="125" t="s">
        <v>1109</v>
      </c>
      <c r="H71">
        <v>2</v>
      </c>
      <c r="I71" s="125" t="s">
        <v>1109</v>
      </c>
      <c r="J71">
        <v>2</v>
      </c>
      <c r="K71">
        <v>0.5</v>
      </c>
      <c r="L71">
        <v>0</v>
      </c>
      <c r="M71">
        <v>2</v>
      </c>
      <c r="N71" s="125" t="s">
        <v>1109</v>
      </c>
      <c r="O71">
        <v>0.5</v>
      </c>
      <c r="P71" s="125" t="s">
        <v>1109</v>
      </c>
      <c r="Q71">
        <v>0.5</v>
      </c>
      <c r="R71">
        <v>0.5</v>
      </c>
      <c r="S71">
        <v>2</v>
      </c>
    </row>
    <row r="72" spans="1:19">
      <c r="A72" t="s">
        <v>2450</v>
      </c>
      <c r="B72">
        <v>0.5</v>
      </c>
      <c r="C72">
        <v>2</v>
      </c>
      <c r="D72" s="125" t="s">
        <v>1109</v>
      </c>
      <c r="E72">
        <v>0.5</v>
      </c>
      <c r="F72">
        <v>0.5</v>
      </c>
      <c r="G72">
        <v>0.5</v>
      </c>
      <c r="H72">
        <v>2</v>
      </c>
      <c r="I72">
        <v>0</v>
      </c>
      <c r="J72">
        <v>4</v>
      </c>
      <c r="K72">
        <v>0.25</v>
      </c>
      <c r="L72">
        <v>0.5</v>
      </c>
      <c r="M72">
        <v>0.5</v>
      </c>
      <c r="N72">
        <v>0.5</v>
      </c>
      <c r="O72" s="125" t="s">
        <v>1109</v>
      </c>
      <c r="P72">
        <v>0.5</v>
      </c>
      <c r="Q72" s="125" t="s">
        <v>1109</v>
      </c>
      <c r="R72">
        <v>0.25</v>
      </c>
      <c r="S72">
        <v>0.5</v>
      </c>
    </row>
    <row r="73" spans="1:19">
      <c r="A73" t="s">
        <v>2451</v>
      </c>
      <c r="B73" s="125" t="s">
        <v>1109</v>
      </c>
      <c r="C73" s="125" t="s">
        <v>1109</v>
      </c>
      <c r="D73" s="125" t="s">
        <v>1109</v>
      </c>
      <c r="E73">
        <v>0.5</v>
      </c>
      <c r="F73" s="125" t="s">
        <v>1109</v>
      </c>
      <c r="G73" s="125" t="s">
        <v>1109</v>
      </c>
      <c r="H73">
        <v>0.5</v>
      </c>
      <c r="I73">
        <v>2</v>
      </c>
      <c r="J73">
        <v>2</v>
      </c>
      <c r="K73">
        <v>0.5</v>
      </c>
      <c r="L73" s="125" t="s">
        <v>1109</v>
      </c>
      <c r="M73">
        <v>0.5</v>
      </c>
      <c r="N73" s="125" t="s">
        <v>1109</v>
      </c>
      <c r="O73" s="125" t="s">
        <v>1109</v>
      </c>
      <c r="P73">
        <v>0</v>
      </c>
      <c r="Q73">
        <v>0.5</v>
      </c>
      <c r="R73" s="125" t="s">
        <v>1109</v>
      </c>
      <c r="S73" s="125" t="s">
        <v>1109</v>
      </c>
    </row>
    <row r="74" spans="1:19">
      <c r="A74" t="s">
        <v>2372</v>
      </c>
      <c r="B74" s="125" t="s">
        <v>1109</v>
      </c>
      <c r="C74">
        <v>2</v>
      </c>
      <c r="D74">
        <v>0.5</v>
      </c>
      <c r="E74">
        <v>0.5</v>
      </c>
      <c r="F74">
        <v>0.5</v>
      </c>
      <c r="G74">
        <v>2</v>
      </c>
      <c r="H74" s="125" t="s">
        <v>1109</v>
      </c>
      <c r="I74">
        <v>2</v>
      </c>
      <c r="J74">
        <v>0.5</v>
      </c>
      <c r="K74">
        <v>2</v>
      </c>
      <c r="L74" s="125" t="s">
        <v>1109</v>
      </c>
      <c r="M74">
        <v>2</v>
      </c>
      <c r="N74" s="125" t="s">
        <v>1109</v>
      </c>
      <c r="O74" s="125" t="s">
        <v>1109</v>
      </c>
      <c r="P74" s="125" t="s">
        <v>1109</v>
      </c>
      <c r="Q74" s="125" t="s">
        <v>1109</v>
      </c>
      <c r="R74" s="125" t="s">
        <v>1109</v>
      </c>
      <c r="S74" s="125" t="s">
        <v>1109</v>
      </c>
    </row>
    <row r="75" spans="1:19">
      <c r="A75" t="s">
        <v>2452</v>
      </c>
      <c r="B75" s="125" t="s">
        <v>1109</v>
      </c>
      <c r="C75">
        <v>2</v>
      </c>
      <c r="D75">
        <v>0.5</v>
      </c>
      <c r="E75">
        <v>0.5</v>
      </c>
      <c r="F75">
        <v>0.5</v>
      </c>
      <c r="G75">
        <v>2</v>
      </c>
      <c r="H75">
        <v>2</v>
      </c>
      <c r="I75">
        <v>2</v>
      </c>
      <c r="J75">
        <v>0.5</v>
      </c>
      <c r="K75">
        <v>2</v>
      </c>
      <c r="L75" s="125" t="s">
        <v>1109</v>
      </c>
      <c r="M75">
        <v>2</v>
      </c>
      <c r="N75" s="125" t="s">
        <v>1109</v>
      </c>
      <c r="O75">
        <v>0</v>
      </c>
      <c r="P75" s="125" t="s">
        <v>1109</v>
      </c>
      <c r="Q75" s="125" t="s">
        <v>1109</v>
      </c>
      <c r="R75" s="125" t="s">
        <v>1109</v>
      </c>
      <c r="S75" s="125" t="s">
        <v>1109</v>
      </c>
    </row>
    <row r="76" spans="1:19">
      <c r="A76" t="s">
        <v>2453</v>
      </c>
      <c r="B76" s="125" t="s">
        <v>1109</v>
      </c>
      <c r="C76" s="125" t="s">
        <v>1109</v>
      </c>
      <c r="D76" s="125" t="s">
        <v>1109</v>
      </c>
      <c r="E76">
        <v>0.5</v>
      </c>
      <c r="F76">
        <v>0.25</v>
      </c>
      <c r="G76" s="125" t="s">
        <v>1109</v>
      </c>
      <c r="H76" s="125" t="s">
        <v>1109</v>
      </c>
      <c r="I76">
        <v>2</v>
      </c>
      <c r="J76" s="125" t="s">
        <v>1109</v>
      </c>
      <c r="K76">
        <v>2</v>
      </c>
      <c r="L76" s="125" t="s">
        <v>1109</v>
      </c>
      <c r="M76" s="125" t="s">
        <v>1109</v>
      </c>
      <c r="N76">
        <v>2</v>
      </c>
      <c r="O76" s="125" t="s">
        <v>1109</v>
      </c>
      <c r="P76" s="125" t="s">
        <v>1109</v>
      </c>
      <c r="Q76" s="125" t="s">
        <v>1109</v>
      </c>
      <c r="R76">
        <v>0.5</v>
      </c>
      <c r="S76">
        <v>0.5</v>
      </c>
    </row>
    <row r="77" spans="1:19">
      <c r="A77" t="s">
        <v>2454</v>
      </c>
      <c r="B77" s="125" t="s">
        <v>1109</v>
      </c>
      <c r="C77" s="125" t="s">
        <v>1109</v>
      </c>
      <c r="D77">
        <v>0.25</v>
      </c>
      <c r="E77" s="125" t="s">
        <v>1109</v>
      </c>
      <c r="F77" s="125" t="s">
        <v>1109</v>
      </c>
      <c r="G77" s="125" t="s">
        <v>1109</v>
      </c>
      <c r="H77" s="125" t="s">
        <v>1109</v>
      </c>
      <c r="I77">
        <v>2</v>
      </c>
      <c r="J77">
        <v>0.5</v>
      </c>
      <c r="K77">
        <v>2</v>
      </c>
      <c r="L77" s="125" t="s">
        <v>1109</v>
      </c>
      <c r="M77">
        <v>2</v>
      </c>
      <c r="N77" s="125" t="s">
        <v>1109</v>
      </c>
      <c r="O77" s="125" t="s">
        <v>1109</v>
      </c>
      <c r="P77" s="125" t="s">
        <v>1109</v>
      </c>
      <c r="Q77" s="125" t="s">
        <v>1109</v>
      </c>
      <c r="R77">
        <v>0.5</v>
      </c>
      <c r="S77" s="125" t="s">
        <v>1109</v>
      </c>
    </row>
    <row r="78" spans="1:19">
      <c r="A78" t="s">
        <v>2455</v>
      </c>
      <c r="B78" s="125" t="s">
        <v>1109</v>
      </c>
      <c r="C78">
        <v>2</v>
      </c>
      <c r="D78">
        <v>0.5</v>
      </c>
      <c r="E78">
        <v>0.25</v>
      </c>
      <c r="F78">
        <v>0.5</v>
      </c>
      <c r="G78">
        <v>2</v>
      </c>
      <c r="H78" s="125" t="s">
        <v>1109</v>
      </c>
      <c r="I78">
        <v>2</v>
      </c>
      <c r="J78" s="125" t="s">
        <v>1109</v>
      </c>
      <c r="K78" s="125" t="s">
        <v>1109</v>
      </c>
      <c r="L78" s="125" t="s">
        <v>1109</v>
      </c>
      <c r="M78">
        <v>2</v>
      </c>
      <c r="N78" s="125" t="s">
        <v>1109</v>
      </c>
      <c r="O78" s="125" t="s">
        <v>1109</v>
      </c>
      <c r="P78" s="125" t="s">
        <v>1109</v>
      </c>
      <c r="Q78" s="125" t="s">
        <v>1109</v>
      </c>
      <c r="R78">
        <v>0.5</v>
      </c>
      <c r="S78" s="125" t="s">
        <v>1109</v>
      </c>
    </row>
    <row r="79" spans="1:19">
      <c r="A79" t="s">
        <v>2456</v>
      </c>
      <c r="B79" s="125" t="s">
        <v>1109</v>
      </c>
      <c r="C79">
        <v>4</v>
      </c>
      <c r="D79">
        <v>0.5</v>
      </c>
      <c r="E79">
        <v>0.5</v>
      </c>
      <c r="F79">
        <v>0.5</v>
      </c>
      <c r="G79" s="125" t="s">
        <v>1109</v>
      </c>
      <c r="H79">
        <v>2</v>
      </c>
      <c r="I79">
        <v>2</v>
      </c>
      <c r="J79">
        <v>0.5</v>
      </c>
      <c r="K79">
        <v>2</v>
      </c>
      <c r="L79" s="125" t="s">
        <v>1109</v>
      </c>
      <c r="M79">
        <v>2</v>
      </c>
      <c r="N79">
        <v>2</v>
      </c>
      <c r="O79" s="125" t="s">
        <v>1109</v>
      </c>
      <c r="P79" s="125" t="s">
        <v>1109</v>
      </c>
      <c r="Q79" s="125" t="s">
        <v>1109</v>
      </c>
      <c r="R79">
        <v>2</v>
      </c>
      <c r="S79" s="125" t="s">
        <v>1109</v>
      </c>
    </row>
    <row r="80" spans="1:19">
      <c r="A80" t="s">
        <v>2457</v>
      </c>
      <c r="B80" s="125" t="s">
        <v>1109</v>
      </c>
      <c r="C80">
        <v>2</v>
      </c>
      <c r="D80">
        <v>0.5</v>
      </c>
      <c r="E80">
        <v>0.5</v>
      </c>
      <c r="F80">
        <v>0.5</v>
      </c>
      <c r="G80">
        <v>2</v>
      </c>
      <c r="H80" s="125" t="s">
        <v>1109</v>
      </c>
      <c r="I80">
        <v>2</v>
      </c>
      <c r="J80">
        <v>0.5</v>
      </c>
      <c r="K80">
        <v>4</v>
      </c>
      <c r="L80">
        <v>2</v>
      </c>
      <c r="M80" s="125" t="s">
        <v>1109</v>
      </c>
      <c r="N80">
        <v>0.5</v>
      </c>
      <c r="O80" s="125" t="s">
        <v>1109</v>
      </c>
      <c r="P80" s="125" t="s">
        <v>1109</v>
      </c>
      <c r="Q80">
        <v>0.5</v>
      </c>
      <c r="R80" s="125" t="s">
        <v>1109</v>
      </c>
      <c r="S80">
        <v>2</v>
      </c>
    </row>
    <row r="81" spans="1:19">
      <c r="A81" t="s">
        <v>2458</v>
      </c>
      <c r="B81" s="125" t="s">
        <v>1109</v>
      </c>
      <c r="C81">
        <v>2</v>
      </c>
      <c r="D81">
        <v>0.5</v>
      </c>
      <c r="E81">
        <v>0.5</v>
      </c>
      <c r="F81">
        <v>0.25</v>
      </c>
      <c r="G81">
        <v>2</v>
      </c>
      <c r="H81">
        <v>0.5</v>
      </c>
      <c r="I81" s="125" t="s">
        <v>1109</v>
      </c>
      <c r="J81" s="125" t="s">
        <v>1109</v>
      </c>
      <c r="K81">
        <v>2</v>
      </c>
      <c r="L81">
        <v>2</v>
      </c>
      <c r="M81" s="125" t="s">
        <v>1109</v>
      </c>
      <c r="N81" s="125" t="s">
        <v>1109</v>
      </c>
      <c r="O81" s="125" t="s">
        <v>1109</v>
      </c>
      <c r="P81" s="125" t="s">
        <v>1109</v>
      </c>
      <c r="Q81" s="125" t="s">
        <v>1109</v>
      </c>
      <c r="R81" s="125" t="s">
        <v>1109</v>
      </c>
      <c r="S81">
        <v>0.5</v>
      </c>
    </row>
    <row r="82" spans="1:19">
      <c r="A82" t="s">
        <v>2459</v>
      </c>
      <c r="B82" s="125" t="s">
        <v>1109</v>
      </c>
      <c r="C82">
        <v>2</v>
      </c>
      <c r="D82" s="125" t="s">
        <v>1109</v>
      </c>
      <c r="E82">
        <v>0</v>
      </c>
      <c r="F82" s="125" t="s">
        <v>1109</v>
      </c>
      <c r="G82">
        <v>4</v>
      </c>
      <c r="H82" s="125" t="s">
        <v>1109</v>
      </c>
      <c r="I82" s="125" t="s">
        <v>1109</v>
      </c>
      <c r="J82">
        <v>0.5</v>
      </c>
      <c r="K82">
        <v>2</v>
      </c>
      <c r="L82" s="125" t="s">
        <v>1109</v>
      </c>
      <c r="M82">
        <v>2</v>
      </c>
      <c r="N82">
        <v>0.5</v>
      </c>
      <c r="O82" s="125" t="s">
        <v>1109</v>
      </c>
      <c r="P82" s="125" t="s">
        <v>1109</v>
      </c>
      <c r="Q82" s="125" t="s">
        <v>1109</v>
      </c>
      <c r="R82" s="125" t="s">
        <v>1109</v>
      </c>
      <c r="S82" s="125" t="s">
        <v>1109</v>
      </c>
    </row>
    <row r="83" spans="1:19">
      <c r="A83" t="s">
        <v>2460</v>
      </c>
      <c r="B83" s="125" t="s">
        <v>1109</v>
      </c>
      <c r="C83">
        <v>2</v>
      </c>
      <c r="D83">
        <v>0.5</v>
      </c>
      <c r="E83" s="125" t="s">
        <v>1109</v>
      </c>
      <c r="F83">
        <v>0.25</v>
      </c>
      <c r="G83">
        <v>4</v>
      </c>
      <c r="H83">
        <v>0.5</v>
      </c>
      <c r="I83">
        <v>2</v>
      </c>
      <c r="J83">
        <v>0</v>
      </c>
      <c r="K83">
        <v>2</v>
      </c>
      <c r="L83" s="125" t="s">
        <v>1109</v>
      </c>
      <c r="M83" s="125" t="s">
        <v>1109</v>
      </c>
      <c r="N83">
        <v>2</v>
      </c>
      <c r="O83" s="125" t="s">
        <v>1109</v>
      </c>
      <c r="P83" s="125" t="s">
        <v>1109</v>
      </c>
      <c r="Q83" s="125" t="s">
        <v>1109</v>
      </c>
      <c r="R83" s="125" t="s">
        <v>1109</v>
      </c>
      <c r="S83" s="125" t="s">
        <v>1109</v>
      </c>
    </row>
    <row r="84" spans="1:19">
      <c r="A84" t="s">
        <v>2461</v>
      </c>
      <c r="B84" s="125" t="s">
        <v>1109</v>
      </c>
      <c r="C84">
        <v>2</v>
      </c>
      <c r="D84">
        <v>0.5</v>
      </c>
      <c r="E84">
        <v>0.5</v>
      </c>
      <c r="F84">
        <v>0.5</v>
      </c>
      <c r="G84">
        <v>2</v>
      </c>
      <c r="H84">
        <v>0.5</v>
      </c>
      <c r="I84">
        <v>2</v>
      </c>
      <c r="J84">
        <v>0.5</v>
      </c>
      <c r="K84">
        <v>2</v>
      </c>
      <c r="L84">
        <v>0.5</v>
      </c>
      <c r="M84">
        <v>4</v>
      </c>
      <c r="N84" s="125" t="s">
        <v>1109</v>
      </c>
      <c r="O84">
        <v>2</v>
      </c>
      <c r="P84" s="125" t="s">
        <v>1109</v>
      </c>
      <c r="Q84">
        <v>2</v>
      </c>
      <c r="R84" s="125" t="s">
        <v>1109</v>
      </c>
      <c r="S84" s="125" t="s">
        <v>1109</v>
      </c>
    </row>
    <row r="85" spans="1:19">
      <c r="A85" t="s">
        <v>2462</v>
      </c>
      <c r="B85" s="125" t="s">
        <v>1109</v>
      </c>
      <c r="C85">
        <v>4</v>
      </c>
      <c r="D85">
        <v>0.5</v>
      </c>
      <c r="E85">
        <v>0.5</v>
      </c>
      <c r="F85">
        <v>0.25</v>
      </c>
      <c r="G85">
        <v>2</v>
      </c>
      <c r="H85">
        <v>0.5</v>
      </c>
      <c r="I85">
        <v>2</v>
      </c>
      <c r="J85">
        <v>0.25</v>
      </c>
      <c r="K85">
        <v>4</v>
      </c>
      <c r="L85" s="125" t="s">
        <v>1109</v>
      </c>
      <c r="M85">
        <v>2</v>
      </c>
      <c r="N85">
        <v>2</v>
      </c>
      <c r="O85" s="125" t="s">
        <v>1109</v>
      </c>
      <c r="P85" s="125" t="s">
        <v>1109</v>
      </c>
      <c r="Q85" s="125" t="s">
        <v>1109</v>
      </c>
      <c r="R85" s="125" t="s">
        <v>1109</v>
      </c>
      <c r="S85" s="125" t="s">
        <v>1109</v>
      </c>
    </row>
    <row r="86" spans="1:19">
      <c r="A86" t="s">
        <v>2463</v>
      </c>
      <c r="B86">
        <v>0.5</v>
      </c>
      <c r="C86" s="125" t="s">
        <v>1109</v>
      </c>
      <c r="D86" s="125" t="s">
        <v>1109</v>
      </c>
      <c r="E86">
        <v>0.5</v>
      </c>
      <c r="F86" s="125" t="s">
        <v>1109</v>
      </c>
      <c r="G86">
        <v>2</v>
      </c>
      <c r="H86">
        <v>2</v>
      </c>
      <c r="I86" s="125" t="s">
        <v>1109</v>
      </c>
      <c r="J86" s="125" t="s">
        <v>1109</v>
      </c>
      <c r="K86" s="125" t="s">
        <v>1109</v>
      </c>
      <c r="L86" s="125" t="s">
        <v>1109</v>
      </c>
      <c r="M86">
        <v>2</v>
      </c>
      <c r="N86" s="125" t="s">
        <v>1109</v>
      </c>
      <c r="O86" s="125" t="s">
        <v>1109</v>
      </c>
      <c r="P86" s="125" t="s">
        <v>1109</v>
      </c>
      <c r="Q86" s="125" t="s">
        <v>1109</v>
      </c>
      <c r="R86">
        <v>2</v>
      </c>
      <c r="S86" s="125" t="s">
        <v>1109</v>
      </c>
    </row>
    <row r="87" spans="1:19">
      <c r="A87" t="s">
        <v>2464</v>
      </c>
      <c r="B87">
        <v>0</v>
      </c>
      <c r="C87">
        <v>2</v>
      </c>
      <c r="D87">
        <v>0.5</v>
      </c>
      <c r="E87">
        <v>0.5</v>
      </c>
      <c r="F87">
        <v>0.5</v>
      </c>
      <c r="G87">
        <v>2</v>
      </c>
      <c r="H87">
        <v>0</v>
      </c>
      <c r="I87" s="125" t="s">
        <v>1109</v>
      </c>
      <c r="J87">
        <v>0.5</v>
      </c>
      <c r="K87">
        <v>2</v>
      </c>
      <c r="L87" s="125" t="s">
        <v>1109</v>
      </c>
      <c r="M87" s="125" t="s">
        <v>1109</v>
      </c>
      <c r="N87" s="125" t="s">
        <v>1109</v>
      </c>
      <c r="O87">
        <v>2</v>
      </c>
      <c r="P87" s="125" t="s">
        <v>1109</v>
      </c>
      <c r="Q87">
        <v>2</v>
      </c>
      <c r="R87" s="125" t="s">
        <v>1109</v>
      </c>
      <c r="S87" s="125" t="s">
        <v>1109</v>
      </c>
    </row>
    <row r="88" spans="1:19">
      <c r="A88" t="s">
        <v>2465</v>
      </c>
      <c r="B88" s="125" t="s">
        <v>1109</v>
      </c>
      <c r="C88" s="125" t="s">
        <v>1109</v>
      </c>
      <c r="D88">
        <v>0.25</v>
      </c>
      <c r="E88">
        <v>0.25</v>
      </c>
      <c r="F88">
        <v>0.25</v>
      </c>
      <c r="G88">
        <v>4</v>
      </c>
      <c r="H88" s="125" t="s">
        <v>1109</v>
      </c>
      <c r="I88">
        <v>2</v>
      </c>
      <c r="J88">
        <v>0.5</v>
      </c>
      <c r="K88">
        <v>2</v>
      </c>
      <c r="L88" s="125" t="s">
        <v>1109</v>
      </c>
      <c r="M88">
        <v>2</v>
      </c>
      <c r="N88" s="125" t="s">
        <v>1109</v>
      </c>
      <c r="O88" s="125" t="s">
        <v>1109</v>
      </c>
      <c r="P88">
        <v>2</v>
      </c>
      <c r="Q88" s="125" t="s">
        <v>1109</v>
      </c>
      <c r="R88" s="125" t="s">
        <v>1109</v>
      </c>
      <c r="S88">
        <v>2</v>
      </c>
    </row>
    <row r="89" spans="1:19">
      <c r="A89" t="s">
        <v>2466</v>
      </c>
      <c r="B89" s="125" t="s">
        <v>1109</v>
      </c>
      <c r="C89">
        <v>2</v>
      </c>
      <c r="D89">
        <v>0.5</v>
      </c>
      <c r="E89">
        <v>0.5</v>
      </c>
      <c r="F89">
        <v>0.5</v>
      </c>
      <c r="G89">
        <v>2</v>
      </c>
      <c r="H89">
        <v>2</v>
      </c>
      <c r="I89">
        <v>2</v>
      </c>
      <c r="J89">
        <v>0.5</v>
      </c>
      <c r="K89">
        <v>2</v>
      </c>
      <c r="L89">
        <v>0</v>
      </c>
      <c r="M89">
        <v>4</v>
      </c>
      <c r="N89" s="125" t="s">
        <v>1109</v>
      </c>
      <c r="O89">
        <v>0.5</v>
      </c>
      <c r="P89" s="125" t="s">
        <v>1109</v>
      </c>
      <c r="Q89">
        <v>0.5</v>
      </c>
      <c r="R89" s="125" t="s">
        <v>1109</v>
      </c>
      <c r="S89">
        <v>2</v>
      </c>
    </row>
    <row r="90" spans="1:19">
      <c r="A90" t="s">
        <v>2467</v>
      </c>
      <c r="B90">
        <v>0.5</v>
      </c>
      <c r="C90">
        <v>4</v>
      </c>
      <c r="D90">
        <v>0.5</v>
      </c>
      <c r="E90">
        <v>0.5</v>
      </c>
      <c r="F90">
        <v>0.25</v>
      </c>
      <c r="G90" s="125" t="s">
        <v>1109</v>
      </c>
      <c r="H90">
        <v>2</v>
      </c>
      <c r="I90">
        <v>0</v>
      </c>
      <c r="J90" s="125" t="s">
        <v>1109</v>
      </c>
      <c r="K90" s="125" t="s">
        <v>1109</v>
      </c>
      <c r="L90">
        <v>0.5</v>
      </c>
      <c r="M90" s="125" t="s">
        <v>1109</v>
      </c>
      <c r="N90">
        <v>0.5</v>
      </c>
      <c r="O90" s="125" t="s">
        <v>1109</v>
      </c>
      <c r="P90">
        <v>0.5</v>
      </c>
      <c r="Q90" s="125" t="s">
        <v>1109</v>
      </c>
      <c r="R90">
        <v>0.5</v>
      </c>
      <c r="S90">
        <v>0.5</v>
      </c>
    </row>
    <row r="91" spans="1:19">
      <c r="A91" t="s">
        <v>2468</v>
      </c>
      <c r="B91" s="125" t="s">
        <v>1109</v>
      </c>
      <c r="C91">
        <v>2</v>
      </c>
      <c r="D91">
        <v>0.5</v>
      </c>
      <c r="E91">
        <v>0.5</v>
      </c>
      <c r="F91">
        <v>0.5</v>
      </c>
      <c r="G91">
        <v>2</v>
      </c>
      <c r="H91">
        <v>0.5</v>
      </c>
      <c r="I91">
        <v>4</v>
      </c>
      <c r="J91">
        <v>0.5</v>
      </c>
      <c r="K91">
        <v>2</v>
      </c>
      <c r="L91" s="125" t="s">
        <v>1109</v>
      </c>
      <c r="M91" s="125" t="s">
        <v>1109</v>
      </c>
      <c r="N91" s="125" t="s">
        <v>1109</v>
      </c>
      <c r="O91" s="125" t="s">
        <v>1109</v>
      </c>
      <c r="P91">
        <v>0</v>
      </c>
      <c r="Q91">
        <v>0.5</v>
      </c>
      <c r="R91">
        <v>2</v>
      </c>
      <c r="S91" s="125" t="s">
        <v>1109</v>
      </c>
    </row>
    <row r="92" spans="1:19">
      <c r="A92" t="s">
        <v>2356</v>
      </c>
      <c r="B92" s="125" t="s">
        <v>1109</v>
      </c>
      <c r="C92">
        <v>2</v>
      </c>
      <c r="D92" s="125" t="s">
        <v>1109</v>
      </c>
      <c r="E92" s="125" t="s">
        <v>1109</v>
      </c>
      <c r="F92" s="125" t="s">
        <v>1109</v>
      </c>
      <c r="G92">
        <v>0.5</v>
      </c>
      <c r="H92">
        <v>2</v>
      </c>
      <c r="I92" s="125" t="s">
        <v>1109</v>
      </c>
      <c r="J92" s="125" t="s">
        <v>1109</v>
      </c>
      <c r="K92" s="125" t="s">
        <v>1109</v>
      </c>
      <c r="L92" s="125" t="s">
        <v>1109</v>
      </c>
      <c r="M92" s="125" t="s">
        <v>1109</v>
      </c>
      <c r="N92">
        <v>2</v>
      </c>
      <c r="O92" s="125" t="s">
        <v>1109</v>
      </c>
      <c r="P92" s="125" t="s">
        <v>1109</v>
      </c>
      <c r="Q92" s="125" t="s">
        <v>1109</v>
      </c>
      <c r="R92">
        <v>2</v>
      </c>
      <c r="S92" s="125" t="s">
        <v>1109</v>
      </c>
    </row>
    <row r="93" spans="1:19">
      <c r="A93" t="s">
        <v>2469</v>
      </c>
      <c r="B93" s="125" t="s">
        <v>1109</v>
      </c>
      <c r="C93">
        <v>2</v>
      </c>
      <c r="D93" s="125" t="s">
        <v>1109</v>
      </c>
      <c r="E93" s="125" t="s">
        <v>1109</v>
      </c>
      <c r="F93" s="125" t="s">
        <v>1109</v>
      </c>
      <c r="G93">
        <v>0.5</v>
      </c>
      <c r="H93">
        <v>4</v>
      </c>
      <c r="I93" s="125" t="s">
        <v>1109</v>
      </c>
      <c r="J93" s="125" t="s">
        <v>1109</v>
      </c>
      <c r="K93" s="125" t="s">
        <v>1109</v>
      </c>
      <c r="L93" s="125" t="s">
        <v>1109</v>
      </c>
      <c r="M93" s="125" t="s">
        <v>1109</v>
      </c>
      <c r="N93">
        <v>2</v>
      </c>
      <c r="O93">
        <v>0</v>
      </c>
      <c r="P93" s="125" t="s">
        <v>1109</v>
      </c>
      <c r="Q93" s="125" t="s">
        <v>1109</v>
      </c>
      <c r="R93">
        <v>2</v>
      </c>
      <c r="S93" s="125" t="s">
        <v>1109</v>
      </c>
    </row>
    <row r="94" spans="1:19">
      <c r="A94" t="s">
        <v>2470</v>
      </c>
      <c r="B94" s="125" t="s">
        <v>1109</v>
      </c>
      <c r="C94" s="125" t="s">
        <v>1109</v>
      </c>
      <c r="D94">
        <v>2</v>
      </c>
      <c r="E94" s="125" t="s">
        <v>1109</v>
      </c>
      <c r="F94">
        <v>0.5</v>
      </c>
      <c r="G94">
        <v>0.25</v>
      </c>
      <c r="H94">
        <v>2</v>
      </c>
      <c r="I94" s="125" t="s">
        <v>1109</v>
      </c>
      <c r="J94">
        <v>2</v>
      </c>
      <c r="K94" s="125" t="s">
        <v>1109</v>
      </c>
      <c r="L94" s="125" t="s">
        <v>1109</v>
      </c>
      <c r="M94">
        <v>0.5</v>
      </c>
      <c r="N94">
        <v>4</v>
      </c>
      <c r="O94" s="125" t="s">
        <v>1109</v>
      </c>
      <c r="P94" s="125" t="s">
        <v>1109</v>
      </c>
      <c r="Q94" s="125" t="s">
        <v>1109</v>
      </c>
      <c r="R94" s="125" t="s">
        <v>1109</v>
      </c>
      <c r="S94">
        <v>0.5</v>
      </c>
    </row>
    <row r="95" spans="1:19">
      <c r="A95" t="s">
        <v>2471</v>
      </c>
      <c r="B95" s="125" t="s">
        <v>1109</v>
      </c>
      <c r="C95" s="125" t="s">
        <v>1109</v>
      </c>
      <c r="D95">
        <v>0.5</v>
      </c>
      <c r="E95">
        <v>2</v>
      </c>
      <c r="F95">
        <v>2</v>
      </c>
      <c r="G95">
        <v>0.25</v>
      </c>
      <c r="H95">
        <v>2</v>
      </c>
      <c r="I95" s="125" t="s">
        <v>1109</v>
      </c>
      <c r="J95" s="125" t="s">
        <v>1109</v>
      </c>
      <c r="K95" s="125" t="s">
        <v>1109</v>
      </c>
      <c r="L95" s="125" t="s">
        <v>1109</v>
      </c>
      <c r="M95" s="125" t="s">
        <v>1109</v>
      </c>
      <c r="N95">
        <v>2</v>
      </c>
      <c r="O95" s="125" t="s">
        <v>1109</v>
      </c>
      <c r="P95" s="125" t="s">
        <v>1109</v>
      </c>
      <c r="Q95" s="125" t="s">
        <v>1109</v>
      </c>
      <c r="R95" s="125" t="s">
        <v>1109</v>
      </c>
      <c r="S95" s="125" t="s">
        <v>1109</v>
      </c>
    </row>
    <row r="96" spans="1:19">
      <c r="A96" t="s">
        <v>2472</v>
      </c>
      <c r="B96" s="125" t="s">
        <v>1109</v>
      </c>
      <c r="C96">
        <v>2</v>
      </c>
      <c r="D96" s="125" t="s">
        <v>1109</v>
      </c>
      <c r="E96">
        <v>0.5</v>
      </c>
      <c r="F96" s="125" t="s">
        <v>1109</v>
      </c>
      <c r="G96">
        <v>0.5</v>
      </c>
      <c r="H96">
        <v>2</v>
      </c>
      <c r="I96" s="125" t="s">
        <v>1109</v>
      </c>
      <c r="J96">
        <v>2</v>
      </c>
      <c r="K96">
        <v>0.5</v>
      </c>
      <c r="L96" s="125" t="s">
        <v>1109</v>
      </c>
      <c r="M96" s="125" t="s">
        <v>1109</v>
      </c>
      <c r="N96">
        <v>2</v>
      </c>
      <c r="O96" s="125" t="s">
        <v>1109</v>
      </c>
      <c r="P96" s="125" t="s">
        <v>1109</v>
      </c>
      <c r="Q96" s="125" t="s">
        <v>1109</v>
      </c>
      <c r="R96" s="125" t="s">
        <v>1109</v>
      </c>
      <c r="S96" s="125" t="s">
        <v>1109</v>
      </c>
    </row>
    <row r="97" spans="1:19">
      <c r="A97" t="s">
        <v>2473</v>
      </c>
      <c r="B97" s="125" t="s">
        <v>1109</v>
      </c>
      <c r="C97">
        <v>4</v>
      </c>
      <c r="D97">
        <v>0.5</v>
      </c>
      <c r="E97">
        <v>0.5</v>
      </c>
      <c r="F97">
        <v>0.5</v>
      </c>
      <c r="G97" s="125" t="s">
        <v>1109</v>
      </c>
      <c r="H97">
        <v>2</v>
      </c>
      <c r="I97">
        <v>2</v>
      </c>
      <c r="J97">
        <v>0.5</v>
      </c>
      <c r="K97">
        <v>2</v>
      </c>
      <c r="L97" s="125" t="s">
        <v>1109</v>
      </c>
      <c r="M97">
        <v>2</v>
      </c>
      <c r="N97">
        <v>2</v>
      </c>
      <c r="O97" s="125" t="s">
        <v>1109</v>
      </c>
      <c r="P97" s="125" t="s">
        <v>1109</v>
      </c>
      <c r="Q97" s="125" t="s">
        <v>1109</v>
      </c>
      <c r="R97">
        <v>2</v>
      </c>
      <c r="S97" s="125" t="s">
        <v>1109</v>
      </c>
    </row>
    <row r="98" spans="1:19">
      <c r="A98" t="s">
        <v>2474</v>
      </c>
      <c r="B98" s="125" t="s">
        <v>1109</v>
      </c>
      <c r="C98">
        <v>2</v>
      </c>
      <c r="D98" s="125" t="s">
        <v>1109</v>
      </c>
      <c r="E98" s="125" t="s">
        <v>1109</v>
      </c>
      <c r="F98" s="125" t="s">
        <v>1109</v>
      </c>
      <c r="G98">
        <v>0.5</v>
      </c>
      <c r="H98">
        <v>2</v>
      </c>
      <c r="I98" s="125" t="s">
        <v>1109</v>
      </c>
      <c r="J98" s="125" t="s">
        <v>1109</v>
      </c>
      <c r="K98">
        <v>2</v>
      </c>
      <c r="L98">
        <v>2</v>
      </c>
      <c r="M98">
        <v>0.5</v>
      </c>
      <c r="N98" s="125" t="s">
        <v>1109</v>
      </c>
      <c r="O98" s="125" t="s">
        <v>1109</v>
      </c>
      <c r="P98" s="125" t="s">
        <v>1109</v>
      </c>
      <c r="Q98">
        <v>0.5</v>
      </c>
      <c r="R98">
        <v>2</v>
      </c>
      <c r="S98">
        <v>2</v>
      </c>
    </row>
    <row r="99" spans="1:19">
      <c r="A99" t="s">
        <v>2475</v>
      </c>
      <c r="B99" s="125" t="s">
        <v>1109</v>
      </c>
      <c r="C99">
        <v>2</v>
      </c>
      <c r="D99" s="125" t="s">
        <v>1109</v>
      </c>
      <c r="E99" s="125" t="s">
        <v>1109</v>
      </c>
      <c r="F99">
        <v>0.5</v>
      </c>
      <c r="G99">
        <v>0.5</v>
      </c>
      <c r="H99" s="125" t="s">
        <v>1109</v>
      </c>
      <c r="I99">
        <v>0.5</v>
      </c>
      <c r="J99">
        <v>2</v>
      </c>
      <c r="K99" s="125" t="s">
        <v>1109</v>
      </c>
      <c r="L99">
        <v>2</v>
      </c>
      <c r="M99">
        <v>0.5</v>
      </c>
      <c r="N99">
        <v>2</v>
      </c>
      <c r="O99" s="125" t="s">
        <v>1109</v>
      </c>
      <c r="P99" s="125" t="s">
        <v>1109</v>
      </c>
      <c r="Q99" s="125" t="s">
        <v>1109</v>
      </c>
      <c r="R99">
        <v>2</v>
      </c>
      <c r="S99">
        <v>0.5</v>
      </c>
    </row>
    <row r="100" spans="1:19">
      <c r="A100" t="s">
        <v>2476</v>
      </c>
      <c r="B100" s="125" t="s">
        <v>1109</v>
      </c>
      <c r="C100">
        <v>2</v>
      </c>
      <c r="D100">
        <v>2</v>
      </c>
      <c r="E100">
        <v>0</v>
      </c>
      <c r="F100">
        <v>2</v>
      </c>
      <c r="G100" s="125" t="s">
        <v>1109</v>
      </c>
      <c r="H100">
        <v>2</v>
      </c>
      <c r="I100">
        <v>0.5</v>
      </c>
      <c r="J100" s="125" t="s">
        <v>1109</v>
      </c>
      <c r="K100" s="125" t="s">
        <v>1109</v>
      </c>
      <c r="L100" s="125" t="s">
        <v>1109</v>
      </c>
      <c r="M100" s="125" t="s">
        <v>1109</v>
      </c>
      <c r="N100" s="125" t="s">
        <v>1109</v>
      </c>
      <c r="O100" s="125" t="s">
        <v>1109</v>
      </c>
      <c r="P100" s="125" t="s">
        <v>1109</v>
      </c>
      <c r="Q100" s="125" t="s">
        <v>1109</v>
      </c>
      <c r="R100">
        <v>2</v>
      </c>
      <c r="S100" s="125" t="s">
        <v>1109</v>
      </c>
    </row>
    <row r="101" spans="1:19">
      <c r="A101" t="s">
        <v>2477</v>
      </c>
      <c r="B101" s="125" t="s">
        <v>1109</v>
      </c>
      <c r="C101">
        <v>2</v>
      </c>
      <c r="D101" s="125" t="s">
        <v>1109</v>
      </c>
      <c r="E101">
        <v>2</v>
      </c>
      <c r="F101">
        <v>0.5</v>
      </c>
      <c r="G101" s="125" t="s">
        <v>1109</v>
      </c>
      <c r="H101" s="125" t="s">
        <v>1109</v>
      </c>
      <c r="I101" s="125" t="s">
        <v>1109</v>
      </c>
      <c r="J101">
        <v>0</v>
      </c>
      <c r="K101" s="125" t="s">
        <v>1109</v>
      </c>
      <c r="L101" s="125" t="s">
        <v>1109</v>
      </c>
      <c r="M101">
        <v>0.5</v>
      </c>
      <c r="N101">
        <v>4</v>
      </c>
      <c r="O101" s="125" t="s">
        <v>1109</v>
      </c>
      <c r="P101" s="125" t="s">
        <v>1109</v>
      </c>
      <c r="Q101" s="125" t="s">
        <v>1109</v>
      </c>
      <c r="R101">
        <v>2</v>
      </c>
      <c r="S101" s="125" t="s">
        <v>1109</v>
      </c>
    </row>
    <row r="102" spans="1:19">
      <c r="A102" t="s">
        <v>2478</v>
      </c>
      <c r="B102" s="125" t="s">
        <v>1109</v>
      </c>
      <c r="C102">
        <v>2</v>
      </c>
      <c r="D102" s="125" t="s">
        <v>1109</v>
      </c>
      <c r="E102" s="125" t="s">
        <v>1109</v>
      </c>
      <c r="F102" s="125" t="s">
        <v>1109</v>
      </c>
      <c r="G102">
        <v>0.5</v>
      </c>
      <c r="H102" s="125" t="s">
        <v>1109</v>
      </c>
      <c r="I102" s="125" t="s">
        <v>1109</v>
      </c>
      <c r="J102" s="125" t="s">
        <v>1109</v>
      </c>
      <c r="K102" s="125" t="s">
        <v>1109</v>
      </c>
      <c r="L102">
        <v>0.5</v>
      </c>
      <c r="M102">
        <v>2</v>
      </c>
      <c r="N102">
        <v>2</v>
      </c>
      <c r="O102">
        <v>2</v>
      </c>
      <c r="P102" s="125" t="s">
        <v>1109</v>
      </c>
      <c r="Q102">
        <v>2</v>
      </c>
      <c r="R102">
        <v>2</v>
      </c>
      <c r="S102" s="125" t="s">
        <v>1109</v>
      </c>
    </row>
    <row r="103" spans="1:19">
      <c r="A103" t="s">
        <v>2479</v>
      </c>
      <c r="B103" s="125" t="s">
        <v>1109</v>
      </c>
      <c r="C103">
        <v>4</v>
      </c>
      <c r="D103" s="125" t="s">
        <v>1109</v>
      </c>
      <c r="E103" s="125" t="s">
        <v>1109</v>
      </c>
      <c r="F103">
        <v>0.5</v>
      </c>
      <c r="G103">
        <v>0.5</v>
      </c>
      <c r="H103" s="125" t="s">
        <v>1109</v>
      </c>
      <c r="I103" s="125" t="s">
        <v>1109</v>
      </c>
      <c r="J103">
        <v>0.5</v>
      </c>
      <c r="K103">
        <v>2</v>
      </c>
      <c r="L103" s="125" t="s">
        <v>1109</v>
      </c>
      <c r="M103" s="125" t="s">
        <v>1109</v>
      </c>
      <c r="N103">
        <v>4</v>
      </c>
      <c r="O103" s="125" t="s">
        <v>1109</v>
      </c>
      <c r="P103" s="125" t="s">
        <v>1109</v>
      </c>
      <c r="Q103" s="125" t="s">
        <v>1109</v>
      </c>
      <c r="R103">
        <v>2</v>
      </c>
      <c r="S103" s="125" t="s">
        <v>1109</v>
      </c>
    </row>
    <row r="104" spans="1:19">
      <c r="A104" t="s">
        <v>2480</v>
      </c>
      <c r="B104">
        <v>0.5</v>
      </c>
      <c r="C104" s="125" t="s">
        <v>1109</v>
      </c>
      <c r="D104">
        <v>2</v>
      </c>
      <c r="E104" s="125" t="s">
        <v>1109</v>
      </c>
      <c r="F104">
        <v>2</v>
      </c>
      <c r="G104">
        <v>0.5</v>
      </c>
      <c r="H104">
        <v>4</v>
      </c>
      <c r="I104">
        <v>0.5</v>
      </c>
      <c r="J104">
        <v>2</v>
      </c>
      <c r="K104">
        <v>0.5</v>
      </c>
      <c r="L104" s="125" t="s">
        <v>1109</v>
      </c>
      <c r="M104" s="125" t="s">
        <v>1109</v>
      </c>
      <c r="N104">
        <v>2</v>
      </c>
      <c r="O104" s="125" t="s">
        <v>1109</v>
      </c>
      <c r="P104" s="125" t="s">
        <v>1109</v>
      </c>
      <c r="Q104" s="125" t="s">
        <v>1109</v>
      </c>
      <c r="R104">
        <v>4</v>
      </c>
      <c r="S104" s="125" t="s">
        <v>1109</v>
      </c>
    </row>
    <row r="105" spans="1:19">
      <c r="A105" t="s">
        <v>2481</v>
      </c>
      <c r="B105">
        <v>0</v>
      </c>
      <c r="C105">
        <v>2</v>
      </c>
      <c r="D105" s="125" t="s">
        <v>1109</v>
      </c>
      <c r="E105" s="125" t="s">
        <v>1109</v>
      </c>
      <c r="F105" s="125" t="s">
        <v>1109</v>
      </c>
      <c r="G105">
        <v>0.5</v>
      </c>
      <c r="H105">
        <v>0</v>
      </c>
      <c r="I105">
        <v>0.5</v>
      </c>
      <c r="J105" s="125" t="s">
        <v>1109</v>
      </c>
      <c r="K105" s="125" t="s">
        <v>1109</v>
      </c>
      <c r="L105" s="125" t="s">
        <v>1109</v>
      </c>
      <c r="M105">
        <v>0.5</v>
      </c>
      <c r="N105">
        <v>2</v>
      </c>
      <c r="O105">
        <v>2</v>
      </c>
      <c r="P105" s="125" t="s">
        <v>1109</v>
      </c>
      <c r="Q105">
        <v>2</v>
      </c>
      <c r="R105">
        <v>2</v>
      </c>
      <c r="S105" s="125" t="s">
        <v>1109</v>
      </c>
    </row>
    <row r="106" spans="1:19">
      <c r="A106" t="s">
        <v>2482</v>
      </c>
      <c r="B106" s="125" t="s">
        <v>1109</v>
      </c>
      <c r="C106" s="125" t="s">
        <v>1109</v>
      </c>
      <c r="D106">
        <v>0.5</v>
      </c>
      <c r="E106">
        <v>0.5</v>
      </c>
      <c r="F106">
        <v>0.5</v>
      </c>
      <c r="G106" s="125" t="s">
        <v>1109</v>
      </c>
      <c r="H106">
        <v>2</v>
      </c>
      <c r="I106" s="125" t="s">
        <v>1109</v>
      </c>
      <c r="J106" s="125" t="s">
        <v>1109</v>
      </c>
      <c r="K106" s="125" t="s">
        <v>1109</v>
      </c>
      <c r="L106" s="125" t="s">
        <v>1109</v>
      </c>
      <c r="M106" s="125" t="s">
        <v>1109</v>
      </c>
      <c r="N106">
        <v>2</v>
      </c>
      <c r="O106" s="125" t="s">
        <v>1109</v>
      </c>
      <c r="P106">
        <v>2</v>
      </c>
      <c r="Q106" s="125" t="s">
        <v>1109</v>
      </c>
      <c r="R106">
        <v>2</v>
      </c>
      <c r="S106">
        <v>2</v>
      </c>
    </row>
    <row r="107" spans="1:19">
      <c r="A107" t="s">
        <v>2483</v>
      </c>
      <c r="B107" s="125" t="s">
        <v>1109</v>
      </c>
      <c r="C107">
        <v>2</v>
      </c>
      <c r="D107" s="125" t="s">
        <v>1109</v>
      </c>
      <c r="E107" s="125" t="s">
        <v>1109</v>
      </c>
      <c r="F107" s="125" t="s">
        <v>1109</v>
      </c>
      <c r="G107">
        <v>0.5</v>
      </c>
      <c r="H107">
        <v>4</v>
      </c>
      <c r="I107" s="125" t="s">
        <v>1109</v>
      </c>
      <c r="J107" s="125" t="s">
        <v>1109</v>
      </c>
      <c r="K107" s="125" t="s">
        <v>1109</v>
      </c>
      <c r="L107">
        <v>0</v>
      </c>
      <c r="M107">
        <v>2</v>
      </c>
      <c r="N107">
        <v>2</v>
      </c>
      <c r="O107">
        <v>0.5</v>
      </c>
      <c r="P107" s="125" t="s">
        <v>1109</v>
      </c>
      <c r="Q107">
        <v>0.5</v>
      </c>
      <c r="R107">
        <v>2</v>
      </c>
      <c r="S107">
        <v>2</v>
      </c>
    </row>
    <row r="108" spans="1:19">
      <c r="A108" t="s">
        <v>2484</v>
      </c>
      <c r="B108">
        <v>0.5</v>
      </c>
      <c r="C108">
        <v>4</v>
      </c>
      <c r="D108" s="125" t="s">
        <v>1109</v>
      </c>
      <c r="E108" s="125" t="s">
        <v>1109</v>
      </c>
      <c r="F108">
        <v>0.5</v>
      </c>
      <c r="G108">
        <v>0.25</v>
      </c>
      <c r="H108">
        <v>4</v>
      </c>
      <c r="I108">
        <v>0</v>
      </c>
      <c r="J108">
        <v>2</v>
      </c>
      <c r="K108">
        <v>0.5</v>
      </c>
      <c r="L108">
        <v>0.5</v>
      </c>
      <c r="M108">
        <v>0.5</v>
      </c>
      <c r="N108" s="125" t="s">
        <v>1109</v>
      </c>
      <c r="O108" s="125" t="s">
        <v>1109</v>
      </c>
      <c r="P108">
        <v>0.5</v>
      </c>
      <c r="Q108" s="125" t="s">
        <v>1109</v>
      </c>
      <c r="R108" s="125" t="s">
        <v>1109</v>
      </c>
      <c r="S108">
        <v>0.5</v>
      </c>
    </row>
    <row r="109" spans="1:19">
      <c r="A109" t="s">
        <v>2485</v>
      </c>
      <c r="B109" s="125" t="s">
        <v>1109</v>
      </c>
      <c r="C109">
        <v>2</v>
      </c>
      <c r="D109" s="125" t="s">
        <v>1109</v>
      </c>
      <c r="E109" s="125" t="s">
        <v>1109</v>
      </c>
      <c r="F109" s="125" t="s">
        <v>1109</v>
      </c>
      <c r="G109">
        <v>0.5</v>
      </c>
      <c r="H109" s="125" t="s">
        <v>1109</v>
      </c>
      <c r="I109">
        <v>2</v>
      </c>
      <c r="J109" s="125" t="s">
        <v>1109</v>
      </c>
      <c r="K109" s="125" t="s">
        <v>1109</v>
      </c>
      <c r="L109" s="125" t="s">
        <v>1109</v>
      </c>
      <c r="M109">
        <v>0.5</v>
      </c>
      <c r="N109">
        <v>2</v>
      </c>
      <c r="O109" s="125" t="s">
        <v>1109</v>
      </c>
      <c r="P109">
        <v>0</v>
      </c>
      <c r="Q109">
        <v>0.5</v>
      </c>
      <c r="R109">
        <v>4</v>
      </c>
      <c r="S109" s="125" t="s">
        <v>1109</v>
      </c>
    </row>
    <row r="110" spans="1:19">
      <c r="A110" t="s">
        <v>2373</v>
      </c>
      <c r="B110" s="125" t="s">
        <v>1109</v>
      </c>
      <c r="C110" s="125" t="s">
        <v>1109</v>
      </c>
      <c r="D110" s="125" t="s">
        <v>1109</v>
      </c>
      <c r="E110" s="125" t="s">
        <v>1109</v>
      </c>
      <c r="F110" s="125" t="s">
        <v>1109</v>
      </c>
      <c r="G110" s="125" t="s">
        <v>1109</v>
      </c>
      <c r="H110" s="125" t="s">
        <v>1109</v>
      </c>
      <c r="I110" s="125" t="s">
        <v>1109</v>
      </c>
      <c r="J110" s="125" t="s">
        <v>1109</v>
      </c>
      <c r="K110">
        <v>2</v>
      </c>
      <c r="L110">
        <v>2</v>
      </c>
      <c r="M110">
        <v>0.5</v>
      </c>
      <c r="N110">
        <v>0.5</v>
      </c>
      <c r="O110" s="125" t="s">
        <v>1109</v>
      </c>
      <c r="P110" s="125" t="s">
        <v>1109</v>
      </c>
      <c r="Q110">
        <v>0.5</v>
      </c>
      <c r="R110" s="125" t="s">
        <v>1109</v>
      </c>
      <c r="S110">
        <v>2</v>
      </c>
    </row>
    <row r="111" spans="1:19">
      <c r="A111" t="s">
        <v>2486</v>
      </c>
      <c r="B111" s="125" t="s">
        <v>1109</v>
      </c>
      <c r="C111" s="125" t="s">
        <v>1109</v>
      </c>
      <c r="D111" s="125" t="s">
        <v>1109</v>
      </c>
      <c r="E111" s="125" t="s">
        <v>1109</v>
      </c>
      <c r="F111" s="125" t="s">
        <v>1109</v>
      </c>
      <c r="G111" s="125" t="s">
        <v>1109</v>
      </c>
      <c r="H111">
        <v>2</v>
      </c>
      <c r="I111" s="125" t="s">
        <v>1109</v>
      </c>
      <c r="J111" s="125" t="s">
        <v>1109</v>
      </c>
      <c r="K111">
        <v>2</v>
      </c>
      <c r="L111">
        <v>2</v>
      </c>
      <c r="M111">
        <v>0.5</v>
      </c>
      <c r="N111">
        <v>0.5</v>
      </c>
      <c r="O111">
        <v>0</v>
      </c>
      <c r="P111" s="125" t="s">
        <v>1109</v>
      </c>
      <c r="Q111">
        <v>0.5</v>
      </c>
      <c r="R111" s="125" t="s">
        <v>1109</v>
      </c>
      <c r="S111">
        <v>2</v>
      </c>
    </row>
    <row r="112" spans="1:19">
      <c r="A112" t="s">
        <v>2487</v>
      </c>
      <c r="B112" s="125" t="s">
        <v>1109</v>
      </c>
      <c r="C112">
        <v>0.5</v>
      </c>
      <c r="D112">
        <v>2</v>
      </c>
      <c r="E112" s="125" t="s">
        <v>1109</v>
      </c>
      <c r="F112">
        <v>0.5</v>
      </c>
      <c r="G112">
        <v>0.5</v>
      </c>
      <c r="H112" s="125" t="s">
        <v>1109</v>
      </c>
      <c r="I112" s="125" t="s">
        <v>1109</v>
      </c>
      <c r="J112">
        <v>2</v>
      </c>
      <c r="K112">
        <v>2</v>
      </c>
      <c r="L112">
        <v>2</v>
      </c>
      <c r="M112">
        <v>0.25</v>
      </c>
      <c r="N112" s="125" t="s">
        <v>1109</v>
      </c>
      <c r="O112" s="125" t="s">
        <v>1109</v>
      </c>
      <c r="P112" s="125" t="s">
        <v>1109</v>
      </c>
      <c r="Q112">
        <v>0.5</v>
      </c>
      <c r="R112">
        <v>0.5</v>
      </c>
      <c r="S112" s="125" t="s">
        <v>1109</v>
      </c>
    </row>
    <row r="113" spans="1:19">
      <c r="A113" t="s">
        <v>2488</v>
      </c>
      <c r="B113" s="125" t="s">
        <v>1109</v>
      </c>
      <c r="C113">
        <v>0.5</v>
      </c>
      <c r="D113">
        <v>0.5</v>
      </c>
      <c r="E113">
        <v>2</v>
      </c>
      <c r="F113">
        <v>2</v>
      </c>
      <c r="G113">
        <v>0.5</v>
      </c>
      <c r="H113" s="125" t="s">
        <v>1109</v>
      </c>
      <c r="I113" s="125" t="s">
        <v>1109</v>
      </c>
      <c r="J113" s="125" t="s">
        <v>1109</v>
      </c>
      <c r="K113">
        <v>2</v>
      </c>
      <c r="L113">
        <v>2</v>
      </c>
      <c r="M113">
        <v>0.5</v>
      </c>
      <c r="N113">
        <v>0.5</v>
      </c>
      <c r="O113" s="125" t="s">
        <v>1109</v>
      </c>
      <c r="P113" s="125" t="s">
        <v>1109</v>
      </c>
      <c r="Q113">
        <v>0.5</v>
      </c>
      <c r="R113">
        <v>0.5</v>
      </c>
      <c r="S113">
        <v>2</v>
      </c>
    </row>
    <row r="114" spans="1:19">
      <c r="A114" t="s">
        <v>2489</v>
      </c>
      <c r="B114" s="125" t="s">
        <v>1109</v>
      </c>
      <c r="C114" s="125" t="s">
        <v>1109</v>
      </c>
      <c r="D114" s="125" t="s">
        <v>1109</v>
      </c>
      <c r="E114">
        <v>0.5</v>
      </c>
      <c r="F114" s="125" t="s">
        <v>1109</v>
      </c>
      <c r="G114" s="125" t="s">
        <v>1109</v>
      </c>
      <c r="H114" s="125" t="s">
        <v>1109</v>
      </c>
      <c r="I114" s="125" t="s">
        <v>1109</v>
      </c>
      <c r="J114">
        <v>2</v>
      </c>
      <c r="K114" s="125" t="s">
        <v>1109</v>
      </c>
      <c r="L114">
        <v>2</v>
      </c>
      <c r="M114">
        <v>0.5</v>
      </c>
      <c r="N114">
        <v>0.5</v>
      </c>
      <c r="O114" s="125" t="s">
        <v>1109</v>
      </c>
      <c r="P114" s="125" t="s">
        <v>1109</v>
      </c>
      <c r="Q114">
        <v>0.5</v>
      </c>
      <c r="R114">
        <v>0.5</v>
      </c>
      <c r="S114">
        <v>2</v>
      </c>
    </row>
    <row r="115" spans="1:19">
      <c r="A115" t="s">
        <v>2490</v>
      </c>
      <c r="B115" s="125" t="s">
        <v>1109</v>
      </c>
      <c r="C115">
        <v>2</v>
      </c>
      <c r="D115">
        <v>0.5</v>
      </c>
      <c r="E115">
        <v>0.5</v>
      </c>
      <c r="F115">
        <v>0.5</v>
      </c>
      <c r="G115">
        <v>2</v>
      </c>
      <c r="H115" s="125" t="s">
        <v>1109</v>
      </c>
      <c r="I115">
        <v>2</v>
      </c>
      <c r="J115">
        <v>0.5</v>
      </c>
      <c r="K115">
        <v>4</v>
      </c>
      <c r="L115">
        <v>2</v>
      </c>
      <c r="M115" s="125" t="s">
        <v>1109</v>
      </c>
      <c r="N115">
        <v>0.5</v>
      </c>
      <c r="O115" s="125" t="s">
        <v>1109</v>
      </c>
      <c r="P115" s="125" t="s">
        <v>1109</v>
      </c>
      <c r="Q115">
        <v>0.5</v>
      </c>
      <c r="R115" s="125" t="s">
        <v>1109</v>
      </c>
      <c r="S115">
        <v>2</v>
      </c>
    </row>
    <row r="116" spans="1:19">
      <c r="A116" t="s">
        <v>2491</v>
      </c>
      <c r="B116" s="125" t="s">
        <v>1109</v>
      </c>
      <c r="C116">
        <v>2</v>
      </c>
      <c r="D116" s="125" t="s">
        <v>1109</v>
      </c>
      <c r="E116" s="125" t="s">
        <v>1109</v>
      </c>
      <c r="F116" s="125" t="s">
        <v>1109</v>
      </c>
      <c r="G116">
        <v>0.5</v>
      </c>
      <c r="H116">
        <v>2</v>
      </c>
      <c r="I116" s="125" t="s">
        <v>1109</v>
      </c>
      <c r="J116" s="125" t="s">
        <v>1109</v>
      </c>
      <c r="K116">
        <v>2</v>
      </c>
      <c r="L116">
        <v>2</v>
      </c>
      <c r="M116">
        <v>0.5</v>
      </c>
      <c r="N116" s="125" t="s">
        <v>1109</v>
      </c>
      <c r="O116" s="125" t="s">
        <v>1109</v>
      </c>
      <c r="P116" s="125" t="s">
        <v>1109</v>
      </c>
      <c r="Q116">
        <v>0.5</v>
      </c>
      <c r="R116">
        <v>2</v>
      </c>
      <c r="S116">
        <v>2</v>
      </c>
    </row>
    <row r="117" spans="1:19">
      <c r="A117" t="s">
        <v>2492</v>
      </c>
      <c r="B117" s="125" t="s">
        <v>1109</v>
      </c>
      <c r="C117" s="125" t="s">
        <v>1109</v>
      </c>
      <c r="D117" s="125" t="s">
        <v>1109</v>
      </c>
      <c r="E117" s="125" t="s">
        <v>1109</v>
      </c>
      <c r="F117">
        <v>0.5</v>
      </c>
      <c r="G117" s="125" t="s">
        <v>1109</v>
      </c>
      <c r="H117">
        <v>0.5</v>
      </c>
      <c r="I117">
        <v>0.5</v>
      </c>
      <c r="J117">
        <v>2</v>
      </c>
      <c r="K117">
        <v>2</v>
      </c>
      <c r="L117">
        <v>4</v>
      </c>
      <c r="M117">
        <v>0.25</v>
      </c>
      <c r="N117">
        <v>0.5</v>
      </c>
      <c r="O117" s="125" t="s">
        <v>1109</v>
      </c>
      <c r="P117" s="125" t="s">
        <v>1109</v>
      </c>
      <c r="Q117">
        <v>0.5</v>
      </c>
      <c r="R117" s="125" t="s">
        <v>1109</v>
      </c>
      <c r="S117" s="125" t="s">
        <v>1109</v>
      </c>
    </row>
    <row r="118" spans="1:19">
      <c r="A118" t="s">
        <v>2493</v>
      </c>
      <c r="B118" s="125" t="s">
        <v>1109</v>
      </c>
      <c r="C118" s="125" t="s">
        <v>1109</v>
      </c>
      <c r="D118">
        <v>2</v>
      </c>
      <c r="E118">
        <v>0</v>
      </c>
      <c r="F118">
        <v>2</v>
      </c>
      <c r="G118">
        <v>2</v>
      </c>
      <c r="H118" s="125" t="s">
        <v>1109</v>
      </c>
      <c r="I118">
        <v>0.5</v>
      </c>
      <c r="J118" s="125" t="s">
        <v>1109</v>
      </c>
      <c r="K118">
        <v>2</v>
      </c>
      <c r="L118">
        <v>2</v>
      </c>
      <c r="M118">
        <v>0.5</v>
      </c>
      <c r="N118">
        <v>0.25</v>
      </c>
      <c r="O118" s="125" t="s">
        <v>1109</v>
      </c>
      <c r="P118" s="125" t="s">
        <v>1109</v>
      </c>
      <c r="Q118">
        <v>0.5</v>
      </c>
      <c r="R118" s="125" t="s">
        <v>1109</v>
      </c>
      <c r="S118">
        <v>2</v>
      </c>
    </row>
    <row r="119" spans="1:19">
      <c r="A119" t="s">
        <v>2494</v>
      </c>
      <c r="B119" s="125" t="s">
        <v>1109</v>
      </c>
      <c r="C119" s="125" t="s">
        <v>1109</v>
      </c>
      <c r="D119" s="125" t="s">
        <v>1109</v>
      </c>
      <c r="E119">
        <v>2</v>
      </c>
      <c r="F119">
        <v>0.5</v>
      </c>
      <c r="G119">
        <v>2</v>
      </c>
      <c r="H119">
        <v>0.5</v>
      </c>
      <c r="I119" s="125" t="s">
        <v>1109</v>
      </c>
      <c r="J119">
        <v>0</v>
      </c>
      <c r="K119">
        <v>2</v>
      </c>
      <c r="L119">
        <v>2</v>
      </c>
      <c r="M119">
        <v>0.25</v>
      </c>
      <c r="N119" s="125" t="s">
        <v>1109</v>
      </c>
      <c r="O119" s="125" t="s">
        <v>1109</v>
      </c>
      <c r="P119" s="125" t="s">
        <v>1109</v>
      </c>
      <c r="Q119">
        <v>0.5</v>
      </c>
      <c r="R119" s="125" t="s">
        <v>1109</v>
      </c>
      <c r="S119">
        <v>2</v>
      </c>
    </row>
    <row r="120" spans="1:19">
      <c r="A120" t="s">
        <v>2495</v>
      </c>
      <c r="B120" s="125" t="s">
        <v>1109</v>
      </c>
      <c r="C120" s="125" t="s">
        <v>1109</v>
      </c>
      <c r="D120" s="125" t="s">
        <v>1109</v>
      </c>
      <c r="E120" s="125" t="s">
        <v>1109</v>
      </c>
      <c r="F120" s="125" t="s">
        <v>1109</v>
      </c>
      <c r="G120" s="125" t="s">
        <v>1109</v>
      </c>
      <c r="H120">
        <v>0.5</v>
      </c>
      <c r="I120" s="125" t="s">
        <v>1109</v>
      </c>
      <c r="J120" s="125" t="s">
        <v>1109</v>
      </c>
      <c r="K120">
        <v>2</v>
      </c>
      <c r="L120" s="125" t="s">
        <v>1109</v>
      </c>
      <c r="M120" s="125" t="s">
        <v>1109</v>
      </c>
      <c r="N120">
        <v>0.5</v>
      </c>
      <c r="O120">
        <v>2</v>
      </c>
      <c r="P120" s="125" t="s">
        <v>1109</v>
      </c>
      <c r="Q120" s="125" t="s">
        <v>1109</v>
      </c>
      <c r="R120" s="125" t="s">
        <v>1109</v>
      </c>
      <c r="S120">
        <v>2</v>
      </c>
    </row>
    <row r="121" spans="1:19">
      <c r="A121" t="s">
        <v>2496</v>
      </c>
      <c r="B121" s="125" t="s">
        <v>1109</v>
      </c>
      <c r="C121">
        <v>2</v>
      </c>
      <c r="D121" s="125" t="s">
        <v>1109</v>
      </c>
      <c r="E121" s="125" t="s">
        <v>1109</v>
      </c>
      <c r="F121">
        <v>0.5</v>
      </c>
      <c r="G121" s="125" t="s">
        <v>1109</v>
      </c>
      <c r="H121">
        <v>0.5</v>
      </c>
      <c r="I121" s="125" t="s">
        <v>1109</v>
      </c>
      <c r="J121">
        <v>0.5</v>
      </c>
      <c r="K121">
        <v>4</v>
      </c>
      <c r="L121">
        <v>2</v>
      </c>
      <c r="M121">
        <v>0.5</v>
      </c>
      <c r="N121" s="125" t="s">
        <v>1109</v>
      </c>
      <c r="O121" s="125" t="s">
        <v>1109</v>
      </c>
      <c r="P121" s="125" t="s">
        <v>1109</v>
      </c>
      <c r="Q121">
        <v>0.5</v>
      </c>
      <c r="R121" s="125" t="s">
        <v>1109</v>
      </c>
      <c r="S121">
        <v>2</v>
      </c>
    </row>
    <row r="122" spans="1:19">
      <c r="A122" t="s">
        <v>2497</v>
      </c>
      <c r="B122">
        <v>0.5</v>
      </c>
      <c r="C122">
        <v>0.5</v>
      </c>
      <c r="D122">
        <v>2</v>
      </c>
      <c r="E122" s="125" t="s">
        <v>1109</v>
      </c>
      <c r="F122">
        <v>2</v>
      </c>
      <c r="G122" s="125" t="s">
        <v>1109</v>
      </c>
      <c r="H122">
        <v>2</v>
      </c>
      <c r="I122">
        <v>0.5</v>
      </c>
      <c r="J122">
        <v>2</v>
      </c>
      <c r="K122" s="125" t="s">
        <v>1109</v>
      </c>
      <c r="L122">
        <v>2</v>
      </c>
      <c r="M122">
        <v>0.5</v>
      </c>
      <c r="N122">
        <v>0.5</v>
      </c>
      <c r="O122" s="125" t="s">
        <v>1109</v>
      </c>
      <c r="P122" s="125" t="s">
        <v>1109</v>
      </c>
      <c r="Q122">
        <v>0.5</v>
      </c>
      <c r="R122">
        <v>2</v>
      </c>
      <c r="S122">
        <v>2</v>
      </c>
    </row>
    <row r="123" spans="1:19">
      <c r="A123" t="s">
        <v>2498</v>
      </c>
      <c r="B123">
        <v>0</v>
      </c>
      <c r="C123" s="125" t="s">
        <v>1109</v>
      </c>
      <c r="D123" s="125" t="s">
        <v>1109</v>
      </c>
      <c r="E123" s="125" t="s">
        <v>1109</v>
      </c>
      <c r="F123" s="125" t="s">
        <v>1109</v>
      </c>
      <c r="G123" s="125" t="s">
        <v>1109</v>
      </c>
      <c r="H123">
        <v>0</v>
      </c>
      <c r="I123">
        <v>0.5</v>
      </c>
      <c r="J123" s="125" t="s">
        <v>1109</v>
      </c>
      <c r="K123">
        <v>2</v>
      </c>
      <c r="L123">
        <v>2</v>
      </c>
      <c r="M123">
        <v>0.25</v>
      </c>
      <c r="N123">
        <v>0.5</v>
      </c>
      <c r="O123">
        <v>2</v>
      </c>
      <c r="P123" s="125" t="s">
        <v>1109</v>
      </c>
      <c r="Q123" s="125" t="s">
        <v>1109</v>
      </c>
      <c r="R123" s="125" t="s">
        <v>1109</v>
      </c>
      <c r="S123">
        <v>2</v>
      </c>
    </row>
    <row r="124" spans="1:19">
      <c r="A124" t="s">
        <v>2499</v>
      </c>
      <c r="B124" s="125" t="s">
        <v>1109</v>
      </c>
      <c r="C124">
        <v>0.5</v>
      </c>
      <c r="D124">
        <v>0.5</v>
      </c>
      <c r="E124">
        <v>0.5</v>
      </c>
      <c r="F124">
        <v>0.5</v>
      </c>
      <c r="G124">
        <v>2</v>
      </c>
      <c r="H124" s="125" t="s">
        <v>1109</v>
      </c>
      <c r="I124" s="125" t="s">
        <v>1109</v>
      </c>
      <c r="J124" s="125" t="s">
        <v>1109</v>
      </c>
      <c r="K124">
        <v>2</v>
      </c>
      <c r="L124">
        <v>2</v>
      </c>
      <c r="M124">
        <v>0.5</v>
      </c>
      <c r="N124">
        <v>0.5</v>
      </c>
      <c r="O124" s="125" t="s">
        <v>1109</v>
      </c>
      <c r="P124">
        <v>2</v>
      </c>
      <c r="Q124">
        <v>0.5</v>
      </c>
      <c r="R124" s="125" t="s">
        <v>1109</v>
      </c>
      <c r="S124">
        <v>4</v>
      </c>
    </row>
    <row r="125" spans="1:19">
      <c r="A125" t="s">
        <v>2500</v>
      </c>
      <c r="B125" s="125" t="s">
        <v>1109</v>
      </c>
      <c r="C125" s="125" t="s">
        <v>1109</v>
      </c>
      <c r="D125" s="125" t="s">
        <v>1109</v>
      </c>
      <c r="E125" s="125" t="s">
        <v>1109</v>
      </c>
      <c r="F125" s="125" t="s">
        <v>1109</v>
      </c>
      <c r="G125" s="125" t="s">
        <v>1109</v>
      </c>
      <c r="H125">
        <v>2</v>
      </c>
      <c r="I125" s="125" t="s">
        <v>1109</v>
      </c>
      <c r="J125" s="125" t="s">
        <v>1109</v>
      </c>
      <c r="K125">
        <v>2</v>
      </c>
      <c r="L125">
        <v>0</v>
      </c>
      <c r="M125" s="125" t="s">
        <v>1109</v>
      </c>
      <c r="N125">
        <v>0.5</v>
      </c>
      <c r="O125">
        <v>0.5</v>
      </c>
      <c r="P125" s="125" t="s">
        <v>1109</v>
      </c>
      <c r="Q125">
        <v>0.25</v>
      </c>
      <c r="R125" s="125" t="s">
        <v>1109</v>
      </c>
      <c r="S125">
        <v>4</v>
      </c>
    </row>
    <row r="126" spans="1:19">
      <c r="A126" t="s">
        <v>2501</v>
      </c>
      <c r="B126">
        <v>0.5</v>
      </c>
      <c r="C126">
        <v>2</v>
      </c>
      <c r="D126" s="125" t="s">
        <v>1109</v>
      </c>
      <c r="E126" s="125" t="s">
        <v>1109</v>
      </c>
      <c r="F126">
        <v>0.5</v>
      </c>
      <c r="G126">
        <v>0.5</v>
      </c>
      <c r="H126">
        <v>2</v>
      </c>
      <c r="I126">
        <v>0</v>
      </c>
      <c r="J126">
        <v>2</v>
      </c>
      <c r="K126" s="125" t="s">
        <v>1109</v>
      </c>
      <c r="L126" s="125" t="s">
        <v>1109</v>
      </c>
      <c r="M126">
        <v>0.25</v>
      </c>
      <c r="N126">
        <v>0.25</v>
      </c>
      <c r="O126" s="125" t="s">
        <v>1109</v>
      </c>
      <c r="P126">
        <v>0.5</v>
      </c>
      <c r="Q126">
        <v>0.5</v>
      </c>
      <c r="R126">
        <v>0.5</v>
      </c>
      <c r="S126" s="125" t="s">
        <v>1109</v>
      </c>
    </row>
    <row r="127" spans="1:19">
      <c r="A127" t="s">
        <v>2502</v>
      </c>
      <c r="B127" s="125" t="s">
        <v>1109</v>
      </c>
      <c r="C127" s="125" t="s">
        <v>1109</v>
      </c>
      <c r="D127" s="125" t="s">
        <v>1109</v>
      </c>
      <c r="E127" s="125" t="s">
        <v>1109</v>
      </c>
      <c r="F127" s="125" t="s">
        <v>1109</v>
      </c>
      <c r="G127" s="125" t="s">
        <v>1109</v>
      </c>
      <c r="H127">
        <v>0.5</v>
      </c>
      <c r="I127">
        <v>2</v>
      </c>
      <c r="J127" s="125" t="s">
        <v>1109</v>
      </c>
      <c r="K127">
        <v>2</v>
      </c>
      <c r="L127">
        <v>2</v>
      </c>
      <c r="M127">
        <v>0.25</v>
      </c>
      <c r="N127">
        <v>0.5</v>
      </c>
      <c r="O127" s="125" t="s">
        <v>1109</v>
      </c>
      <c r="P127">
        <v>0</v>
      </c>
      <c r="Q127">
        <v>0.25</v>
      </c>
      <c r="R127">
        <v>2</v>
      </c>
      <c r="S127">
        <v>2</v>
      </c>
    </row>
    <row r="128" spans="1:19">
      <c r="A128" t="s">
        <v>2374</v>
      </c>
      <c r="B128" s="125" t="s">
        <v>1109</v>
      </c>
      <c r="C128" s="125" t="s">
        <v>1109</v>
      </c>
      <c r="D128" s="125" t="s">
        <v>1109</v>
      </c>
      <c r="E128" s="125" t="s">
        <v>1109</v>
      </c>
      <c r="F128">
        <v>0.5</v>
      </c>
      <c r="G128" s="125" t="s">
        <v>1109</v>
      </c>
      <c r="H128">
        <v>0.5</v>
      </c>
      <c r="I128">
        <v>0.5</v>
      </c>
      <c r="J128">
        <v>2</v>
      </c>
      <c r="K128" s="125" t="s">
        <v>1109</v>
      </c>
      <c r="L128">
        <v>2</v>
      </c>
      <c r="M128">
        <v>0.5</v>
      </c>
      <c r="N128" s="125" t="s">
        <v>1109</v>
      </c>
      <c r="O128" s="125" t="s">
        <v>1109</v>
      </c>
      <c r="P128" s="125" t="s">
        <v>1109</v>
      </c>
      <c r="Q128" s="125" t="s">
        <v>1109</v>
      </c>
      <c r="R128" s="125" t="s">
        <v>1109</v>
      </c>
      <c r="S128">
        <v>0.5</v>
      </c>
    </row>
    <row r="129" spans="1:19">
      <c r="A129" t="s">
        <v>2503</v>
      </c>
      <c r="B129" s="125" t="s">
        <v>1109</v>
      </c>
      <c r="C129" s="125" t="s">
        <v>1109</v>
      </c>
      <c r="D129" s="125" t="s">
        <v>1109</v>
      </c>
      <c r="E129" s="125" t="s">
        <v>1109</v>
      </c>
      <c r="F129">
        <v>0.5</v>
      </c>
      <c r="G129" s="125" t="s">
        <v>1109</v>
      </c>
      <c r="H129" s="125" t="s">
        <v>1109</v>
      </c>
      <c r="I129">
        <v>0.5</v>
      </c>
      <c r="J129">
        <v>2</v>
      </c>
      <c r="K129" s="125" t="s">
        <v>1109</v>
      </c>
      <c r="L129">
        <v>2</v>
      </c>
      <c r="M129">
        <v>0.5</v>
      </c>
      <c r="N129" s="125" t="s">
        <v>1109</v>
      </c>
      <c r="O129">
        <v>0</v>
      </c>
      <c r="P129" s="125" t="s">
        <v>1109</v>
      </c>
      <c r="Q129" s="125" t="s">
        <v>1109</v>
      </c>
      <c r="R129" s="125" t="s">
        <v>1109</v>
      </c>
      <c r="S129">
        <v>0.5</v>
      </c>
    </row>
    <row r="130" spans="1:19">
      <c r="A130" t="s">
        <v>2504</v>
      </c>
      <c r="B130" s="125" t="s">
        <v>1109</v>
      </c>
      <c r="C130">
        <v>0.5</v>
      </c>
      <c r="D130">
        <v>2</v>
      </c>
      <c r="E130" s="125" t="s">
        <v>1109</v>
      </c>
      <c r="F130">
        <v>0.25</v>
      </c>
      <c r="G130">
        <v>0.5</v>
      </c>
      <c r="H130">
        <v>0.5</v>
      </c>
      <c r="I130">
        <v>0.5</v>
      </c>
      <c r="J130">
        <v>4</v>
      </c>
      <c r="K130" s="125" t="s">
        <v>1109</v>
      </c>
      <c r="L130">
        <v>2</v>
      </c>
      <c r="M130">
        <v>0.25</v>
      </c>
      <c r="N130">
        <v>2</v>
      </c>
      <c r="O130" s="125" t="s">
        <v>1109</v>
      </c>
      <c r="P130" s="125" t="s">
        <v>1109</v>
      </c>
      <c r="Q130" s="125" t="s">
        <v>1109</v>
      </c>
      <c r="R130">
        <v>0.5</v>
      </c>
      <c r="S130">
        <v>0.25</v>
      </c>
    </row>
    <row r="131" spans="1:19">
      <c r="A131" t="s">
        <v>2505</v>
      </c>
      <c r="B131" s="125" t="s">
        <v>1109</v>
      </c>
      <c r="C131">
        <v>0.5</v>
      </c>
      <c r="D131">
        <v>0.5</v>
      </c>
      <c r="E131">
        <v>2</v>
      </c>
      <c r="F131" s="125" t="s">
        <v>1109</v>
      </c>
      <c r="G131">
        <v>0.5</v>
      </c>
      <c r="H131">
        <v>0.5</v>
      </c>
      <c r="I131">
        <v>0.5</v>
      </c>
      <c r="J131">
        <v>2</v>
      </c>
      <c r="K131" s="125" t="s">
        <v>1109</v>
      </c>
      <c r="L131">
        <v>2</v>
      </c>
      <c r="M131">
        <v>0.5</v>
      </c>
      <c r="N131" s="125" t="s">
        <v>1109</v>
      </c>
      <c r="O131" s="125" t="s">
        <v>1109</v>
      </c>
      <c r="P131" s="125" t="s">
        <v>1109</v>
      </c>
      <c r="Q131" s="125" t="s">
        <v>1109</v>
      </c>
      <c r="R131">
        <v>0.5</v>
      </c>
      <c r="S131">
        <v>0.5</v>
      </c>
    </row>
    <row r="132" spans="1:19">
      <c r="A132" t="s">
        <v>2506</v>
      </c>
      <c r="B132" s="125" t="s">
        <v>1109</v>
      </c>
      <c r="C132" s="125" t="s">
        <v>1109</v>
      </c>
      <c r="D132" s="125" t="s">
        <v>1109</v>
      </c>
      <c r="E132">
        <v>0.5</v>
      </c>
      <c r="F132">
        <v>0.5</v>
      </c>
      <c r="G132" s="125" t="s">
        <v>1109</v>
      </c>
      <c r="H132">
        <v>0.5</v>
      </c>
      <c r="I132">
        <v>0.5</v>
      </c>
      <c r="J132">
        <v>4</v>
      </c>
      <c r="K132">
        <v>0.5</v>
      </c>
      <c r="L132">
        <v>2</v>
      </c>
      <c r="M132">
        <v>0.5</v>
      </c>
      <c r="N132" s="125" t="s">
        <v>1109</v>
      </c>
      <c r="O132" s="125" t="s">
        <v>1109</v>
      </c>
      <c r="P132" s="125" t="s">
        <v>1109</v>
      </c>
      <c r="Q132" s="125" t="s">
        <v>1109</v>
      </c>
      <c r="R132">
        <v>0.5</v>
      </c>
      <c r="S132">
        <v>0.5</v>
      </c>
    </row>
    <row r="133" spans="1:19">
      <c r="A133" t="s">
        <v>2507</v>
      </c>
      <c r="B133" s="125" t="s">
        <v>1109</v>
      </c>
      <c r="C133">
        <v>2</v>
      </c>
      <c r="D133">
        <v>0.5</v>
      </c>
      <c r="E133">
        <v>0.5</v>
      </c>
      <c r="F133">
        <v>0.25</v>
      </c>
      <c r="G133">
        <v>2</v>
      </c>
      <c r="H133">
        <v>0.5</v>
      </c>
      <c r="I133" s="125" t="s">
        <v>1109</v>
      </c>
      <c r="J133" s="125" t="s">
        <v>1109</v>
      </c>
      <c r="K133">
        <v>2</v>
      </c>
      <c r="L133">
        <v>2</v>
      </c>
      <c r="M133" s="125" t="s">
        <v>1109</v>
      </c>
      <c r="N133" s="125" t="s">
        <v>1109</v>
      </c>
      <c r="O133" s="125" t="s">
        <v>1109</v>
      </c>
      <c r="P133" s="125" t="s">
        <v>1109</v>
      </c>
      <c r="Q133" s="125" t="s">
        <v>1109</v>
      </c>
      <c r="R133" s="125" t="s">
        <v>1109</v>
      </c>
      <c r="S133">
        <v>0.5</v>
      </c>
    </row>
    <row r="134" spans="1:19">
      <c r="A134" t="s">
        <v>2508</v>
      </c>
      <c r="B134" s="125" t="s">
        <v>1109</v>
      </c>
      <c r="C134">
        <v>2</v>
      </c>
      <c r="D134" s="125" t="s">
        <v>1109</v>
      </c>
      <c r="E134" s="125" t="s">
        <v>1109</v>
      </c>
      <c r="F134">
        <v>0.5</v>
      </c>
      <c r="G134">
        <v>0.5</v>
      </c>
      <c r="H134" s="125" t="s">
        <v>1109</v>
      </c>
      <c r="I134">
        <v>0.5</v>
      </c>
      <c r="J134">
        <v>2</v>
      </c>
      <c r="K134" s="125" t="s">
        <v>1109</v>
      </c>
      <c r="L134">
        <v>2</v>
      </c>
      <c r="M134">
        <v>0.5</v>
      </c>
      <c r="N134">
        <v>2</v>
      </c>
      <c r="O134" s="125" t="s">
        <v>1109</v>
      </c>
      <c r="P134" s="125" t="s">
        <v>1109</v>
      </c>
      <c r="Q134" s="125" t="s">
        <v>1109</v>
      </c>
      <c r="R134">
        <v>2</v>
      </c>
      <c r="S134">
        <v>0.5</v>
      </c>
    </row>
    <row r="135" spans="1:19">
      <c r="A135" t="s">
        <v>2509</v>
      </c>
      <c r="B135" s="125" t="s">
        <v>1109</v>
      </c>
      <c r="C135" s="125" t="s">
        <v>1109</v>
      </c>
      <c r="D135" s="125" t="s">
        <v>1109</v>
      </c>
      <c r="E135" s="125" t="s">
        <v>1109</v>
      </c>
      <c r="F135">
        <v>0.5</v>
      </c>
      <c r="G135" s="125" t="s">
        <v>1109</v>
      </c>
      <c r="H135">
        <v>0.5</v>
      </c>
      <c r="I135">
        <v>0.5</v>
      </c>
      <c r="J135">
        <v>2</v>
      </c>
      <c r="K135">
        <v>2</v>
      </c>
      <c r="L135">
        <v>4</v>
      </c>
      <c r="M135">
        <v>0.25</v>
      </c>
      <c r="N135">
        <v>0.5</v>
      </c>
      <c r="O135" s="125" t="s">
        <v>1109</v>
      </c>
      <c r="P135" s="125" t="s">
        <v>1109</v>
      </c>
      <c r="Q135">
        <v>0.5</v>
      </c>
      <c r="R135" s="125" t="s">
        <v>1109</v>
      </c>
      <c r="S135" s="125" t="s">
        <v>1109</v>
      </c>
    </row>
    <row r="136" spans="1:19">
      <c r="A136" t="s">
        <v>2510</v>
      </c>
      <c r="B136" s="125" t="s">
        <v>1109</v>
      </c>
      <c r="C136" s="125" t="s">
        <v>1109</v>
      </c>
      <c r="D136">
        <v>2</v>
      </c>
      <c r="E136">
        <v>0</v>
      </c>
      <c r="F136" s="125" t="s">
        <v>1109</v>
      </c>
      <c r="G136">
        <v>2</v>
      </c>
      <c r="H136">
        <v>0.5</v>
      </c>
      <c r="I136">
        <v>0.25</v>
      </c>
      <c r="J136">
        <v>2</v>
      </c>
      <c r="K136" s="125" t="s">
        <v>1109</v>
      </c>
      <c r="L136">
        <v>2</v>
      </c>
      <c r="M136">
        <v>0.5</v>
      </c>
      <c r="N136">
        <v>0.5</v>
      </c>
      <c r="O136" s="125" t="s">
        <v>1109</v>
      </c>
      <c r="P136" s="125" t="s">
        <v>1109</v>
      </c>
      <c r="Q136" s="125" t="s">
        <v>1109</v>
      </c>
      <c r="R136" s="125" t="s">
        <v>1109</v>
      </c>
      <c r="S136">
        <v>0.5</v>
      </c>
    </row>
    <row r="137" spans="1:19">
      <c r="A137" t="s">
        <v>2511</v>
      </c>
      <c r="B137" s="125" t="s">
        <v>1109</v>
      </c>
      <c r="C137" s="125" t="s">
        <v>1109</v>
      </c>
      <c r="D137" s="125" t="s">
        <v>1109</v>
      </c>
      <c r="E137">
        <v>2</v>
      </c>
      <c r="F137">
        <v>0.25</v>
      </c>
      <c r="G137">
        <v>2</v>
      </c>
      <c r="H137">
        <v>0.25</v>
      </c>
      <c r="I137">
        <v>0.5</v>
      </c>
      <c r="J137">
        <v>0</v>
      </c>
      <c r="K137" s="125" t="s">
        <v>1109</v>
      </c>
      <c r="L137">
        <v>2</v>
      </c>
      <c r="M137">
        <v>0.25</v>
      </c>
      <c r="N137">
        <v>2</v>
      </c>
      <c r="O137" s="125" t="s">
        <v>1109</v>
      </c>
      <c r="P137" s="125" t="s">
        <v>1109</v>
      </c>
      <c r="Q137" s="125" t="s">
        <v>1109</v>
      </c>
      <c r="R137" s="125" t="s">
        <v>1109</v>
      </c>
      <c r="S137">
        <v>0.5</v>
      </c>
    </row>
    <row r="138" spans="1:19">
      <c r="A138" t="s">
        <v>2512</v>
      </c>
      <c r="B138" s="125" t="s">
        <v>1109</v>
      </c>
      <c r="C138" s="125" t="s">
        <v>1109</v>
      </c>
      <c r="D138" s="125" t="s">
        <v>1109</v>
      </c>
      <c r="E138" s="125" t="s">
        <v>1109</v>
      </c>
      <c r="F138">
        <v>0.5</v>
      </c>
      <c r="G138" s="125" t="s">
        <v>1109</v>
      </c>
      <c r="H138">
        <v>0.25</v>
      </c>
      <c r="I138">
        <v>0.5</v>
      </c>
      <c r="J138">
        <v>2</v>
      </c>
      <c r="K138" s="125" t="s">
        <v>1109</v>
      </c>
      <c r="L138" s="125" t="s">
        <v>1109</v>
      </c>
      <c r="M138" s="125" t="s">
        <v>1109</v>
      </c>
      <c r="N138" s="125" t="s">
        <v>1109</v>
      </c>
      <c r="O138">
        <v>2</v>
      </c>
      <c r="P138" s="125" t="s">
        <v>1109</v>
      </c>
      <c r="Q138">
        <v>2</v>
      </c>
      <c r="R138" s="125" t="s">
        <v>1109</v>
      </c>
      <c r="S138">
        <v>0.5</v>
      </c>
    </row>
    <row r="139" spans="1:19">
      <c r="A139" t="s">
        <v>2513</v>
      </c>
      <c r="B139" s="125" t="s">
        <v>1109</v>
      </c>
      <c r="C139">
        <v>2</v>
      </c>
      <c r="D139" s="125" t="s">
        <v>1109</v>
      </c>
      <c r="E139" s="125" t="s">
        <v>1109</v>
      </c>
      <c r="F139">
        <v>0.25</v>
      </c>
      <c r="G139" s="125" t="s">
        <v>1109</v>
      </c>
      <c r="H139">
        <v>0.25</v>
      </c>
      <c r="I139">
        <v>0.5</v>
      </c>
      <c r="J139" s="125" t="s">
        <v>1109</v>
      </c>
      <c r="K139">
        <v>2</v>
      </c>
      <c r="L139">
        <v>2</v>
      </c>
      <c r="M139">
        <v>0.5</v>
      </c>
      <c r="N139">
        <v>2</v>
      </c>
      <c r="O139" s="125" t="s">
        <v>1109</v>
      </c>
      <c r="P139" s="125" t="s">
        <v>1109</v>
      </c>
      <c r="Q139" s="125" t="s">
        <v>1109</v>
      </c>
      <c r="R139" s="125" t="s">
        <v>1109</v>
      </c>
      <c r="S139">
        <v>0.5</v>
      </c>
    </row>
    <row r="140" spans="1:19">
      <c r="A140" t="s">
        <v>2514</v>
      </c>
      <c r="B140">
        <v>0.5</v>
      </c>
      <c r="C140">
        <v>0.5</v>
      </c>
      <c r="D140">
        <v>2</v>
      </c>
      <c r="E140" s="125" t="s">
        <v>1109</v>
      </c>
      <c r="F140" s="125" t="s">
        <v>1109</v>
      </c>
      <c r="G140" s="125" t="s">
        <v>1109</v>
      </c>
      <c r="H140" s="125" t="s">
        <v>1109</v>
      </c>
      <c r="I140">
        <v>0.25</v>
      </c>
      <c r="J140">
        <v>4</v>
      </c>
      <c r="K140">
        <v>0.5</v>
      </c>
      <c r="L140">
        <v>2</v>
      </c>
      <c r="M140">
        <v>0.5</v>
      </c>
      <c r="N140" s="125" t="s">
        <v>1109</v>
      </c>
      <c r="O140" s="125" t="s">
        <v>1109</v>
      </c>
      <c r="P140" s="125" t="s">
        <v>1109</v>
      </c>
      <c r="Q140" s="125" t="s">
        <v>1109</v>
      </c>
      <c r="R140">
        <v>2</v>
      </c>
      <c r="S140">
        <v>0.5</v>
      </c>
    </row>
    <row r="141" spans="1:19">
      <c r="A141" t="s">
        <v>2515</v>
      </c>
      <c r="B141">
        <v>0</v>
      </c>
      <c r="C141" s="125" t="s">
        <v>1109</v>
      </c>
      <c r="D141" s="125" t="s">
        <v>1109</v>
      </c>
      <c r="E141" s="125" t="s">
        <v>1109</v>
      </c>
      <c r="F141">
        <v>0.5</v>
      </c>
      <c r="G141" s="125" t="s">
        <v>1109</v>
      </c>
      <c r="H141">
        <v>0</v>
      </c>
      <c r="I141">
        <v>0.25</v>
      </c>
      <c r="J141">
        <v>2</v>
      </c>
      <c r="K141" s="125" t="s">
        <v>1109</v>
      </c>
      <c r="L141">
        <v>2</v>
      </c>
      <c r="M141">
        <v>0.25</v>
      </c>
      <c r="N141" s="125" t="s">
        <v>1109</v>
      </c>
      <c r="O141">
        <v>2</v>
      </c>
      <c r="P141" s="125" t="s">
        <v>1109</v>
      </c>
      <c r="Q141">
        <v>2</v>
      </c>
      <c r="R141" s="125" t="s">
        <v>1109</v>
      </c>
      <c r="S141">
        <v>0.5</v>
      </c>
    </row>
    <row r="142" spans="1:19">
      <c r="A142" t="s">
        <v>2516</v>
      </c>
      <c r="B142" s="125" t="s">
        <v>1109</v>
      </c>
      <c r="C142">
        <v>0.5</v>
      </c>
      <c r="D142">
        <v>0.5</v>
      </c>
      <c r="E142">
        <v>0.5</v>
      </c>
      <c r="F142">
        <v>0.25</v>
      </c>
      <c r="G142">
        <v>2</v>
      </c>
      <c r="H142">
        <v>0.5</v>
      </c>
      <c r="I142">
        <v>0.5</v>
      </c>
      <c r="J142">
        <v>2</v>
      </c>
      <c r="K142" s="125" t="s">
        <v>1109</v>
      </c>
      <c r="L142">
        <v>2</v>
      </c>
      <c r="M142">
        <v>0.5</v>
      </c>
      <c r="N142" s="125" t="s">
        <v>1109</v>
      </c>
      <c r="O142" s="125" t="s">
        <v>1109</v>
      </c>
      <c r="P142">
        <v>2</v>
      </c>
      <c r="Q142" s="125" t="s">
        <v>1109</v>
      </c>
      <c r="R142" s="125" t="s">
        <v>1109</v>
      </c>
      <c r="S142" s="125" t="s">
        <v>1109</v>
      </c>
    </row>
    <row r="143" spans="1:19">
      <c r="A143" t="s">
        <v>2517</v>
      </c>
      <c r="B143" s="125" t="s">
        <v>1109</v>
      </c>
      <c r="C143" s="125" t="s">
        <v>1109</v>
      </c>
      <c r="D143" s="125" t="s">
        <v>1109</v>
      </c>
      <c r="E143" s="125" t="s">
        <v>1109</v>
      </c>
      <c r="F143">
        <v>0.5</v>
      </c>
      <c r="G143" s="125" t="s">
        <v>1109</v>
      </c>
      <c r="H143" s="125" t="s">
        <v>1109</v>
      </c>
      <c r="I143">
        <v>0.5</v>
      </c>
      <c r="J143">
        <v>2</v>
      </c>
      <c r="K143" s="125" t="s">
        <v>1109</v>
      </c>
      <c r="L143">
        <v>0</v>
      </c>
      <c r="M143" s="125" t="s">
        <v>1109</v>
      </c>
      <c r="N143" s="125" t="s">
        <v>1109</v>
      </c>
      <c r="O143">
        <v>0.5</v>
      </c>
      <c r="P143" s="125" t="s">
        <v>1109</v>
      </c>
      <c r="Q143">
        <v>0.5</v>
      </c>
      <c r="R143" s="125" t="s">
        <v>1109</v>
      </c>
      <c r="S143" s="125" t="s">
        <v>1109</v>
      </c>
    </row>
    <row r="144" spans="1:19">
      <c r="A144" t="s">
        <v>2518</v>
      </c>
      <c r="B144">
        <v>0.5</v>
      </c>
      <c r="C144">
        <v>2</v>
      </c>
      <c r="D144" s="125" t="s">
        <v>1109</v>
      </c>
      <c r="E144" s="125" t="s">
        <v>1109</v>
      </c>
      <c r="F144">
        <v>0.25</v>
      </c>
      <c r="G144">
        <v>0.5</v>
      </c>
      <c r="H144" s="125" t="s">
        <v>1109</v>
      </c>
      <c r="I144">
        <v>0</v>
      </c>
      <c r="J144">
        <v>4</v>
      </c>
      <c r="K144">
        <v>0.5</v>
      </c>
      <c r="L144" s="125" t="s">
        <v>1109</v>
      </c>
      <c r="M144">
        <v>0.25</v>
      </c>
      <c r="N144">
        <v>0.5</v>
      </c>
      <c r="O144" s="125" t="s">
        <v>1109</v>
      </c>
      <c r="P144">
        <v>0.5</v>
      </c>
      <c r="Q144" s="125" t="s">
        <v>1109</v>
      </c>
      <c r="R144">
        <v>0.5</v>
      </c>
      <c r="S144">
        <v>0.25</v>
      </c>
    </row>
    <row r="145" spans="1:19">
      <c r="A145" t="s">
        <v>2519</v>
      </c>
      <c r="B145" s="125" t="s">
        <v>1109</v>
      </c>
      <c r="C145" s="125" t="s">
        <v>1109</v>
      </c>
      <c r="D145" s="125" t="s">
        <v>1109</v>
      </c>
      <c r="E145" s="125" t="s">
        <v>1109</v>
      </c>
      <c r="F145">
        <v>0.5</v>
      </c>
      <c r="G145" s="125" t="s">
        <v>1109</v>
      </c>
      <c r="H145">
        <v>0.25</v>
      </c>
      <c r="I145" s="125" t="s">
        <v>1109</v>
      </c>
      <c r="J145">
        <v>2</v>
      </c>
      <c r="K145" s="125" t="s">
        <v>1109</v>
      </c>
      <c r="L145">
        <v>2</v>
      </c>
      <c r="M145">
        <v>0.25</v>
      </c>
      <c r="N145" s="125" t="s">
        <v>1109</v>
      </c>
      <c r="O145" s="125" t="s">
        <v>1109</v>
      </c>
      <c r="P145">
        <v>0</v>
      </c>
      <c r="Q145">
        <v>0.5</v>
      </c>
      <c r="R145">
        <v>2</v>
      </c>
      <c r="S145">
        <v>0.5</v>
      </c>
    </row>
    <row r="146" spans="1:19">
      <c r="A146" t="s">
        <v>2375</v>
      </c>
      <c r="B146" s="125" t="s">
        <v>1109</v>
      </c>
      <c r="C146" s="125" t="s">
        <v>1109</v>
      </c>
      <c r="D146">
        <v>2</v>
      </c>
      <c r="E146">
        <v>0</v>
      </c>
      <c r="F146">
        <v>2</v>
      </c>
      <c r="G146">
        <v>2</v>
      </c>
      <c r="H146" s="125" t="s">
        <v>1109</v>
      </c>
      <c r="I146">
        <v>0.5</v>
      </c>
      <c r="J146" s="125" t="s">
        <v>1109</v>
      </c>
      <c r="K146" s="125" t="s">
        <v>1109</v>
      </c>
      <c r="L146" s="125" t="s">
        <v>1109</v>
      </c>
      <c r="M146" s="125" t="s">
        <v>1109</v>
      </c>
      <c r="N146">
        <v>0.5</v>
      </c>
      <c r="O146" s="125" t="s">
        <v>1109</v>
      </c>
      <c r="P146" s="125" t="s">
        <v>1109</v>
      </c>
      <c r="Q146" s="125" t="s">
        <v>1109</v>
      </c>
      <c r="R146" s="125" t="s">
        <v>1109</v>
      </c>
      <c r="S146" s="125" t="s">
        <v>1109</v>
      </c>
    </row>
    <row r="147" spans="1:19">
      <c r="A147" t="s">
        <v>2520</v>
      </c>
      <c r="B147" s="125" t="s">
        <v>1109</v>
      </c>
      <c r="C147" s="125" t="s">
        <v>1109</v>
      </c>
      <c r="D147">
        <v>2</v>
      </c>
      <c r="E147">
        <v>0</v>
      </c>
      <c r="F147">
        <v>2</v>
      </c>
      <c r="G147">
        <v>2</v>
      </c>
      <c r="H147">
        <v>2</v>
      </c>
      <c r="I147">
        <v>0.5</v>
      </c>
      <c r="J147" s="125" t="s">
        <v>1109</v>
      </c>
      <c r="K147" s="125" t="s">
        <v>1109</v>
      </c>
      <c r="L147" s="125" t="s">
        <v>1109</v>
      </c>
      <c r="M147" s="125" t="s">
        <v>1109</v>
      </c>
      <c r="N147">
        <v>0.5</v>
      </c>
      <c r="O147">
        <v>0</v>
      </c>
      <c r="P147" s="125" t="s">
        <v>1109</v>
      </c>
      <c r="Q147" s="125" t="s">
        <v>1109</v>
      </c>
      <c r="R147" s="125" t="s">
        <v>1109</v>
      </c>
      <c r="S147" s="125" t="s">
        <v>1109</v>
      </c>
    </row>
    <row r="148" spans="1:19">
      <c r="A148" t="s">
        <v>2521</v>
      </c>
      <c r="B148" s="125" t="s">
        <v>1109</v>
      </c>
      <c r="C148">
        <v>0.5</v>
      </c>
      <c r="D148">
        <v>4</v>
      </c>
      <c r="E148">
        <v>0</v>
      </c>
      <c r="F148" s="125" t="s">
        <v>1109</v>
      </c>
      <c r="G148" s="125" t="s">
        <v>1109</v>
      </c>
      <c r="H148" s="125" t="s">
        <v>1109</v>
      </c>
      <c r="I148">
        <v>0.5</v>
      </c>
      <c r="J148">
        <v>2</v>
      </c>
      <c r="K148" s="125" t="s">
        <v>1109</v>
      </c>
      <c r="L148" s="125" t="s">
        <v>1109</v>
      </c>
      <c r="M148">
        <v>0.5</v>
      </c>
      <c r="N148" s="125" t="s">
        <v>1109</v>
      </c>
      <c r="O148" s="125" t="s">
        <v>1109</v>
      </c>
      <c r="P148" s="125" t="s">
        <v>1109</v>
      </c>
      <c r="Q148" s="125" t="s">
        <v>1109</v>
      </c>
      <c r="R148">
        <v>0.5</v>
      </c>
      <c r="S148">
        <v>0.5</v>
      </c>
    </row>
    <row r="149" spans="1:19">
      <c r="A149" t="s">
        <v>2522</v>
      </c>
      <c r="B149" s="125" t="s">
        <v>1109</v>
      </c>
      <c r="C149">
        <v>0.5</v>
      </c>
      <c r="D149" s="125" t="s">
        <v>1109</v>
      </c>
      <c r="E149">
        <v>0</v>
      </c>
      <c r="F149">
        <v>4</v>
      </c>
      <c r="G149" s="125" t="s">
        <v>1109</v>
      </c>
      <c r="H149" s="125" t="s">
        <v>1109</v>
      </c>
      <c r="I149">
        <v>0.5</v>
      </c>
      <c r="J149" s="125" t="s">
        <v>1109</v>
      </c>
      <c r="K149" s="125" t="s">
        <v>1109</v>
      </c>
      <c r="L149" s="125" t="s">
        <v>1109</v>
      </c>
      <c r="M149" s="125" t="s">
        <v>1109</v>
      </c>
      <c r="N149">
        <v>0.5</v>
      </c>
      <c r="O149" s="125" t="s">
        <v>1109</v>
      </c>
      <c r="P149" s="125" t="s">
        <v>1109</v>
      </c>
      <c r="Q149" s="125" t="s">
        <v>1109</v>
      </c>
      <c r="R149">
        <v>0.5</v>
      </c>
      <c r="S149" s="125" t="s">
        <v>1109</v>
      </c>
    </row>
    <row r="150" spans="1:19">
      <c r="A150" t="s">
        <v>2523</v>
      </c>
      <c r="B150" s="125" t="s">
        <v>1109</v>
      </c>
      <c r="C150" s="125" t="s">
        <v>1109</v>
      </c>
      <c r="D150">
        <v>2</v>
      </c>
      <c r="E150">
        <v>0</v>
      </c>
      <c r="F150">
        <v>2</v>
      </c>
      <c r="G150">
        <v>2</v>
      </c>
      <c r="H150" s="125" t="s">
        <v>1109</v>
      </c>
      <c r="I150">
        <v>0.5</v>
      </c>
      <c r="J150">
        <v>2</v>
      </c>
      <c r="K150">
        <v>0.5</v>
      </c>
      <c r="L150" s="125" t="s">
        <v>1109</v>
      </c>
      <c r="M150" s="125" t="s">
        <v>1109</v>
      </c>
      <c r="N150">
        <v>0.5</v>
      </c>
      <c r="O150" s="125" t="s">
        <v>1109</v>
      </c>
      <c r="P150" s="125" t="s">
        <v>1109</v>
      </c>
      <c r="Q150" s="125" t="s">
        <v>1109</v>
      </c>
      <c r="R150">
        <v>0.5</v>
      </c>
      <c r="S150" s="125" t="s">
        <v>1109</v>
      </c>
    </row>
    <row r="151" spans="1:19">
      <c r="A151" t="s">
        <v>2524</v>
      </c>
      <c r="B151" s="125" t="s">
        <v>1109</v>
      </c>
      <c r="C151">
        <v>2</v>
      </c>
      <c r="D151" s="125" t="s">
        <v>1109</v>
      </c>
      <c r="E151">
        <v>0</v>
      </c>
      <c r="F151" s="125" t="s">
        <v>1109</v>
      </c>
      <c r="G151">
        <v>4</v>
      </c>
      <c r="H151" s="125" t="s">
        <v>1109</v>
      </c>
      <c r="I151" s="125" t="s">
        <v>1109</v>
      </c>
      <c r="J151">
        <v>0.5</v>
      </c>
      <c r="K151">
        <v>2</v>
      </c>
      <c r="L151" s="125" t="s">
        <v>1109</v>
      </c>
      <c r="M151">
        <v>2</v>
      </c>
      <c r="N151">
        <v>0.5</v>
      </c>
      <c r="O151" s="125" t="s">
        <v>1109</v>
      </c>
      <c r="P151" s="125" t="s">
        <v>1109</v>
      </c>
      <c r="Q151" s="125" t="s">
        <v>1109</v>
      </c>
      <c r="R151" s="125" t="s">
        <v>1109</v>
      </c>
      <c r="S151" s="125" t="s">
        <v>1109</v>
      </c>
    </row>
    <row r="152" spans="1:19">
      <c r="A152" t="s">
        <v>2525</v>
      </c>
      <c r="B152" s="125" t="s">
        <v>1109</v>
      </c>
      <c r="C152">
        <v>2</v>
      </c>
      <c r="D152">
        <v>2</v>
      </c>
      <c r="E152">
        <v>0</v>
      </c>
      <c r="F152">
        <v>2</v>
      </c>
      <c r="G152" s="125" t="s">
        <v>1109</v>
      </c>
      <c r="H152">
        <v>2</v>
      </c>
      <c r="I152">
        <v>0.5</v>
      </c>
      <c r="J152" s="125" t="s">
        <v>1109</v>
      </c>
      <c r="K152" s="125" t="s">
        <v>1109</v>
      </c>
      <c r="L152" s="125" t="s">
        <v>1109</v>
      </c>
      <c r="M152" s="125" t="s">
        <v>1109</v>
      </c>
      <c r="N152" s="125" t="s">
        <v>1109</v>
      </c>
      <c r="O152" s="125" t="s">
        <v>1109</v>
      </c>
      <c r="P152" s="125" t="s">
        <v>1109</v>
      </c>
      <c r="Q152" s="125" t="s">
        <v>1109</v>
      </c>
      <c r="R152">
        <v>2</v>
      </c>
      <c r="S152" s="125" t="s">
        <v>1109</v>
      </c>
    </row>
    <row r="153" spans="1:19">
      <c r="A153" t="s">
        <v>2526</v>
      </c>
      <c r="B153" s="125" t="s">
        <v>1109</v>
      </c>
      <c r="C153" s="125" t="s">
        <v>1109</v>
      </c>
      <c r="D153">
        <v>2</v>
      </c>
      <c r="E153">
        <v>0</v>
      </c>
      <c r="F153">
        <v>2</v>
      </c>
      <c r="G153">
        <v>2</v>
      </c>
      <c r="H153" s="125" t="s">
        <v>1109</v>
      </c>
      <c r="I153">
        <v>0.5</v>
      </c>
      <c r="J153" s="125" t="s">
        <v>1109</v>
      </c>
      <c r="K153">
        <v>2</v>
      </c>
      <c r="L153">
        <v>2</v>
      </c>
      <c r="M153">
        <v>0.5</v>
      </c>
      <c r="N153">
        <v>0.25</v>
      </c>
      <c r="O153" s="125" t="s">
        <v>1109</v>
      </c>
      <c r="P153" s="125" t="s">
        <v>1109</v>
      </c>
      <c r="Q153">
        <v>0.5</v>
      </c>
      <c r="R153" s="125" t="s">
        <v>1109</v>
      </c>
      <c r="S153">
        <v>2</v>
      </c>
    </row>
    <row r="154" spans="1:19">
      <c r="A154" t="s">
        <v>2527</v>
      </c>
      <c r="B154" s="125" t="s">
        <v>1109</v>
      </c>
      <c r="C154" s="125" t="s">
        <v>1109</v>
      </c>
      <c r="D154">
        <v>2</v>
      </c>
      <c r="E154">
        <v>0</v>
      </c>
      <c r="F154" s="125" t="s">
        <v>1109</v>
      </c>
      <c r="G154">
        <v>2</v>
      </c>
      <c r="H154">
        <v>0.5</v>
      </c>
      <c r="I154">
        <v>0.25</v>
      </c>
      <c r="J154">
        <v>2</v>
      </c>
      <c r="K154" s="125" t="s">
        <v>1109</v>
      </c>
      <c r="L154">
        <v>2</v>
      </c>
      <c r="M154">
        <v>0.5</v>
      </c>
      <c r="N154">
        <v>0.5</v>
      </c>
      <c r="O154" s="125" t="s">
        <v>1109</v>
      </c>
      <c r="P154" s="125" t="s">
        <v>1109</v>
      </c>
      <c r="Q154" s="125" t="s">
        <v>1109</v>
      </c>
      <c r="R154" s="125" t="s">
        <v>1109</v>
      </c>
      <c r="S154">
        <v>0.5</v>
      </c>
    </row>
    <row r="155" spans="1:19">
      <c r="A155" t="s">
        <v>2528</v>
      </c>
      <c r="B155" s="125" t="s">
        <v>1109</v>
      </c>
      <c r="C155" s="125" t="s">
        <v>1109</v>
      </c>
      <c r="D155">
        <v>2</v>
      </c>
      <c r="E155">
        <v>0</v>
      </c>
      <c r="F155" s="125" t="s">
        <v>1109</v>
      </c>
      <c r="G155">
        <v>4</v>
      </c>
      <c r="H155">
        <v>0.5</v>
      </c>
      <c r="I155">
        <v>0.5</v>
      </c>
      <c r="J155">
        <v>0</v>
      </c>
      <c r="K155" s="125" t="s">
        <v>1109</v>
      </c>
      <c r="L155" s="125" t="s">
        <v>1109</v>
      </c>
      <c r="M155">
        <v>0.5</v>
      </c>
      <c r="N155" s="125" t="s">
        <v>1109</v>
      </c>
      <c r="O155" s="125" t="s">
        <v>1109</v>
      </c>
      <c r="P155" s="125" t="s">
        <v>1109</v>
      </c>
      <c r="Q155" s="125" t="s">
        <v>1109</v>
      </c>
      <c r="R155" s="125" t="s">
        <v>1109</v>
      </c>
      <c r="S155" s="125" t="s">
        <v>1109</v>
      </c>
    </row>
    <row r="156" spans="1:19">
      <c r="A156" t="s">
        <v>2529</v>
      </c>
      <c r="B156" s="125" t="s">
        <v>1109</v>
      </c>
      <c r="C156" s="125" t="s">
        <v>1109</v>
      </c>
      <c r="D156">
        <v>2</v>
      </c>
      <c r="E156">
        <v>0</v>
      </c>
      <c r="F156">
        <v>2</v>
      </c>
      <c r="G156">
        <v>2</v>
      </c>
      <c r="H156">
        <v>0.5</v>
      </c>
      <c r="I156">
        <v>0.5</v>
      </c>
      <c r="J156" s="125" t="s">
        <v>1109</v>
      </c>
      <c r="K156" s="125" t="s">
        <v>1109</v>
      </c>
      <c r="L156">
        <v>0.5</v>
      </c>
      <c r="M156">
        <v>2</v>
      </c>
      <c r="N156">
        <v>0.5</v>
      </c>
      <c r="O156">
        <v>2</v>
      </c>
      <c r="P156" s="125" t="s">
        <v>1109</v>
      </c>
      <c r="Q156">
        <v>2</v>
      </c>
      <c r="R156" s="125" t="s">
        <v>1109</v>
      </c>
      <c r="S156" s="125" t="s">
        <v>1109</v>
      </c>
    </row>
    <row r="157" spans="1:19">
      <c r="A157" t="s">
        <v>2530</v>
      </c>
      <c r="B157" s="125" t="s">
        <v>1109</v>
      </c>
      <c r="C157">
        <v>2</v>
      </c>
      <c r="D157">
        <v>2</v>
      </c>
      <c r="E157">
        <v>0</v>
      </c>
      <c r="F157" s="125" t="s">
        <v>1109</v>
      </c>
      <c r="G157">
        <v>2</v>
      </c>
      <c r="H157">
        <v>0.5</v>
      </c>
      <c r="I157">
        <v>0.5</v>
      </c>
      <c r="J157">
        <v>0.5</v>
      </c>
      <c r="K157">
        <v>2</v>
      </c>
      <c r="L157" s="125" t="s">
        <v>1109</v>
      </c>
      <c r="M157" s="125" t="s">
        <v>1109</v>
      </c>
      <c r="N157" s="125" t="s">
        <v>1109</v>
      </c>
      <c r="O157" s="125" t="s">
        <v>1109</v>
      </c>
      <c r="P157" s="125" t="s">
        <v>1109</v>
      </c>
      <c r="Q157" s="125" t="s">
        <v>1109</v>
      </c>
      <c r="R157" s="125" t="s">
        <v>1109</v>
      </c>
      <c r="S157" s="125" t="s">
        <v>1109</v>
      </c>
    </row>
    <row r="158" spans="1:19">
      <c r="A158" t="s">
        <v>2531</v>
      </c>
      <c r="B158">
        <v>0.5</v>
      </c>
      <c r="C158">
        <v>0.5</v>
      </c>
      <c r="D158">
        <v>4</v>
      </c>
      <c r="E158">
        <v>0</v>
      </c>
      <c r="F158">
        <v>4</v>
      </c>
      <c r="G158">
        <v>2</v>
      </c>
      <c r="H158">
        <v>2</v>
      </c>
      <c r="I158">
        <v>0.25</v>
      </c>
      <c r="J158">
        <v>2</v>
      </c>
      <c r="K158">
        <v>0.5</v>
      </c>
      <c r="L158" s="125" t="s">
        <v>1109</v>
      </c>
      <c r="M158" s="125" t="s">
        <v>1109</v>
      </c>
      <c r="N158">
        <v>0.5</v>
      </c>
      <c r="O158" s="125" t="s">
        <v>1109</v>
      </c>
      <c r="P158" s="125" t="s">
        <v>1109</v>
      </c>
      <c r="Q158" s="125" t="s">
        <v>1109</v>
      </c>
      <c r="R158">
        <v>2</v>
      </c>
      <c r="S158" s="125" t="s">
        <v>1109</v>
      </c>
    </row>
    <row r="159" spans="1:19">
      <c r="A159" t="s">
        <v>2532</v>
      </c>
      <c r="B159">
        <v>0</v>
      </c>
      <c r="C159" s="125" t="s">
        <v>1109</v>
      </c>
      <c r="D159">
        <v>2</v>
      </c>
      <c r="E159">
        <v>0</v>
      </c>
      <c r="F159">
        <v>2</v>
      </c>
      <c r="G159">
        <v>2</v>
      </c>
      <c r="H159">
        <v>0</v>
      </c>
      <c r="I159">
        <v>0.25</v>
      </c>
      <c r="J159" s="125" t="s">
        <v>1109</v>
      </c>
      <c r="K159" s="125" t="s">
        <v>1109</v>
      </c>
      <c r="L159" s="125" t="s">
        <v>1109</v>
      </c>
      <c r="M159">
        <v>0.5</v>
      </c>
      <c r="N159">
        <v>0.5</v>
      </c>
      <c r="O159">
        <v>2</v>
      </c>
      <c r="P159" s="125" t="s">
        <v>1109</v>
      </c>
      <c r="Q159">
        <v>2</v>
      </c>
      <c r="R159" s="125" t="s">
        <v>1109</v>
      </c>
      <c r="S159" s="125" t="s">
        <v>1109</v>
      </c>
    </row>
    <row r="160" spans="1:19">
      <c r="A160" t="s">
        <v>2533</v>
      </c>
      <c r="B160" s="125" t="s">
        <v>1109</v>
      </c>
      <c r="C160">
        <v>0.5</v>
      </c>
      <c r="D160" s="125" t="s">
        <v>1109</v>
      </c>
      <c r="E160">
        <v>0</v>
      </c>
      <c r="F160" s="125" t="s">
        <v>1109</v>
      </c>
      <c r="G160">
        <v>4</v>
      </c>
      <c r="H160" s="125" t="s">
        <v>1109</v>
      </c>
      <c r="I160">
        <v>0.5</v>
      </c>
      <c r="J160" s="125" t="s">
        <v>1109</v>
      </c>
      <c r="K160" s="125" t="s">
        <v>1109</v>
      </c>
      <c r="L160" s="125" t="s">
        <v>1109</v>
      </c>
      <c r="M160" s="125" t="s">
        <v>1109</v>
      </c>
      <c r="N160">
        <v>0.5</v>
      </c>
      <c r="O160" s="125" t="s">
        <v>1109</v>
      </c>
      <c r="P160">
        <v>2</v>
      </c>
      <c r="Q160" s="125" t="s">
        <v>1109</v>
      </c>
      <c r="R160" s="125" t="s">
        <v>1109</v>
      </c>
      <c r="S160">
        <v>2</v>
      </c>
    </row>
    <row r="161" spans="1:19">
      <c r="A161" t="s">
        <v>2534</v>
      </c>
      <c r="B161" s="125" t="s">
        <v>1109</v>
      </c>
      <c r="C161" s="125" t="s">
        <v>1109</v>
      </c>
      <c r="D161">
        <v>2</v>
      </c>
      <c r="E161">
        <v>0</v>
      </c>
      <c r="F161">
        <v>2</v>
      </c>
      <c r="G161">
        <v>2</v>
      </c>
      <c r="H161">
        <v>2</v>
      </c>
      <c r="I161">
        <v>0.5</v>
      </c>
      <c r="J161" s="125" t="s">
        <v>1109</v>
      </c>
      <c r="K161" s="125" t="s">
        <v>1109</v>
      </c>
      <c r="L161">
        <v>0</v>
      </c>
      <c r="M161">
        <v>2</v>
      </c>
      <c r="N161">
        <v>0.5</v>
      </c>
      <c r="O161">
        <v>0.5</v>
      </c>
      <c r="P161" s="125" t="s">
        <v>1109</v>
      </c>
      <c r="Q161">
        <v>0.5</v>
      </c>
      <c r="R161" s="125" t="s">
        <v>1109</v>
      </c>
      <c r="S161">
        <v>2</v>
      </c>
    </row>
    <row r="162" spans="1:19">
      <c r="A162" t="s">
        <v>2535</v>
      </c>
      <c r="B162">
        <v>0.5</v>
      </c>
      <c r="C162">
        <v>2</v>
      </c>
      <c r="D162">
        <v>2</v>
      </c>
      <c r="E162">
        <v>0</v>
      </c>
      <c r="F162" s="125" t="s">
        <v>1109</v>
      </c>
      <c r="G162" s="125" t="s">
        <v>1109</v>
      </c>
      <c r="H162">
        <v>2</v>
      </c>
      <c r="I162">
        <v>0</v>
      </c>
      <c r="J162">
        <v>2</v>
      </c>
      <c r="K162">
        <v>0.5</v>
      </c>
      <c r="L162">
        <v>0.5</v>
      </c>
      <c r="M162">
        <v>0.5</v>
      </c>
      <c r="N162">
        <v>0.25</v>
      </c>
      <c r="O162" s="125" t="s">
        <v>1109</v>
      </c>
      <c r="P162">
        <v>0.5</v>
      </c>
      <c r="Q162" s="125" t="s">
        <v>1109</v>
      </c>
      <c r="R162">
        <v>0.5</v>
      </c>
      <c r="S162">
        <v>0.5</v>
      </c>
    </row>
    <row r="163" spans="1:19">
      <c r="A163" t="s">
        <v>2536</v>
      </c>
      <c r="B163" s="125" t="s">
        <v>1109</v>
      </c>
      <c r="C163" s="125" t="s">
        <v>1109</v>
      </c>
      <c r="D163">
        <v>2</v>
      </c>
      <c r="E163">
        <v>0</v>
      </c>
      <c r="F163">
        <v>2</v>
      </c>
      <c r="G163">
        <v>2</v>
      </c>
      <c r="H163">
        <v>0.5</v>
      </c>
      <c r="I163" s="125" t="s">
        <v>1109</v>
      </c>
      <c r="J163" s="125" t="s">
        <v>1109</v>
      </c>
      <c r="K163" s="125" t="s">
        <v>1109</v>
      </c>
      <c r="L163" s="125" t="s">
        <v>1109</v>
      </c>
      <c r="M163">
        <v>0.5</v>
      </c>
      <c r="N163">
        <v>0.5</v>
      </c>
      <c r="O163" s="125" t="s">
        <v>1109</v>
      </c>
      <c r="P163">
        <v>0</v>
      </c>
      <c r="Q163">
        <v>0.5</v>
      </c>
      <c r="R163">
        <v>2</v>
      </c>
      <c r="S163" s="125" t="s">
        <v>1109</v>
      </c>
    </row>
    <row r="164" spans="1:19">
      <c r="A164" t="s">
        <v>2376</v>
      </c>
      <c r="B164" s="125" t="s">
        <v>1109</v>
      </c>
      <c r="C164" s="125" t="s">
        <v>1109</v>
      </c>
      <c r="D164" s="125" t="s">
        <v>1109</v>
      </c>
      <c r="E164">
        <v>2</v>
      </c>
      <c r="F164">
        <v>0.5</v>
      </c>
      <c r="G164">
        <v>2</v>
      </c>
      <c r="H164">
        <v>0.5</v>
      </c>
      <c r="I164" s="125" t="s">
        <v>1109</v>
      </c>
      <c r="J164">
        <v>0</v>
      </c>
      <c r="K164" s="125" t="s">
        <v>1109</v>
      </c>
      <c r="L164" s="125" t="s">
        <v>1109</v>
      </c>
      <c r="M164">
        <v>0.5</v>
      </c>
      <c r="N164">
        <v>2</v>
      </c>
      <c r="O164" s="125" t="s">
        <v>1109</v>
      </c>
      <c r="P164" s="125" t="s">
        <v>1109</v>
      </c>
      <c r="Q164" s="125" t="s">
        <v>1109</v>
      </c>
      <c r="R164" s="125" t="s">
        <v>1109</v>
      </c>
      <c r="S164" s="125" t="s">
        <v>1109</v>
      </c>
    </row>
    <row r="165" spans="1:19">
      <c r="A165" t="s">
        <v>2537</v>
      </c>
      <c r="B165" s="125" t="s">
        <v>1109</v>
      </c>
      <c r="C165" s="125" t="s">
        <v>1109</v>
      </c>
      <c r="D165" s="125" t="s">
        <v>1109</v>
      </c>
      <c r="E165">
        <v>2</v>
      </c>
      <c r="F165">
        <v>0.5</v>
      </c>
      <c r="G165">
        <v>2</v>
      </c>
      <c r="H165" s="125" t="s">
        <v>1109</v>
      </c>
      <c r="I165" s="125" t="s">
        <v>1109</v>
      </c>
      <c r="J165">
        <v>0</v>
      </c>
      <c r="K165" s="125" t="s">
        <v>1109</v>
      </c>
      <c r="L165" s="125" t="s">
        <v>1109</v>
      </c>
      <c r="M165">
        <v>0.5</v>
      </c>
      <c r="N165">
        <v>2</v>
      </c>
      <c r="O165">
        <v>0</v>
      </c>
      <c r="P165" s="125" t="s">
        <v>1109</v>
      </c>
      <c r="Q165" s="125" t="s">
        <v>1109</v>
      </c>
      <c r="R165" s="125" t="s">
        <v>1109</v>
      </c>
      <c r="S165" s="125" t="s">
        <v>1109</v>
      </c>
    </row>
    <row r="166" spans="1:19">
      <c r="A166" t="s">
        <v>2538</v>
      </c>
      <c r="B166" s="125" t="s">
        <v>1109</v>
      </c>
      <c r="C166">
        <v>0.5</v>
      </c>
      <c r="D166">
        <v>2</v>
      </c>
      <c r="E166">
        <v>2</v>
      </c>
      <c r="F166">
        <v>0.25</v>
      </c>
      <c r="G166" s="125" t="s">
        <v>1109</v>
      </c>
      <c r="H166">
        <v>0.5</v>
      </c>
      <c r="I166" s="125" t="s">
        <v>1109</v>
      </c>
      <c r="J166">
        <v>0</v>
      </c>
      <c r="K166" s="125" t="s">
        <v>1109</v>
      </c>
      <c r="L166" s="125" t="s">
        <v>1109</v>
      </c>
      <c r="M166">
        <v>0.25</v>
      </c>
      <c r="N166">
        <v>4</v>
      </c>
      <c r="O166" s="125" t="s">
        <v>1109</v>
      </c>
      <c r="P166" s="125" t="s">
        <v>1109</v>
      </c>
      <c r="Q166" s="125" t="s">
        <v>1109</v>
      </c>
      <c r="R166">
        <v>0.5</v>
      </c>
      <c r="S166">
        <v>0.5</v>
      </c>
    </row>
    <row r="167" spans="1:19">
      <c r="A167" t="s">
        <v>2539</v>
      </c>
      <c r="B167" s="125" t="s">
        <v>1109</v>
      </c>
      <c r="C167">
        <v>0.5</v>
      </c>
      <c r="D167">
        <v>0.5</v>
      </c>
      <c r="E167">
        <v>4</v>
      </c>
      <c r="F167" s="125" t="s">
        <v>1109</v>
      </c>
      <c r="G167" s="125" t="s">
        <v>1109</v>
      </c>
      <c r="H167">
        <v>0.5</v>
      </c>
      <c r="I167" s="125" t="s">
        <v>1109</v>
      </c>
      <c r="J167">
        <v>0</v>
      </c>
      <c r="K167" s="125" t="s">
        <v>1109</v>
      </c>
      <c r="L167" s="125" t="s">
        <v>1109</v>
      </c>
      <c r="M167">
        <v>0.5</v>
      </c>
      <c r="N167">
        <v>2</v>
      </c>
      <c r="O167" s="125" t="s">
        <v>1109</v>
      </c>
      <c r="P167" s="125" t="s">
        <v>1109</v>
      </c>
      <c r="Q167" s="125" t="s">
        <v>1109</v>
      </c>
      <c r="R167">
        <v>0.5</v>
      </c>
      <c r="S167" s="125" t="s">
        <v>1109</v>
      </c>
    </row>
    <row r="168" spans="1:19">
      <c r="A168" t="s">
        <v>2540</v>
      </c>
      <c r="B168" s="125" t="s">
        <v>1109</v>
      </c>
      <c r="C168" s="125" t="s">
        <v>1109</v>
      </c>
      <c r="D168" s="125" t="s">
        <v>1109</v>
      </c>
      <c r="E168" s="125" t="s">
        <v>1109</v>
      </c>
      <c r="F168">
        <v>0.5</v>
      </c>
      <c r="G168">
        <v>2</v>
      </c>
      <c r="H168">
        <v>0.5</v>
      </c>
      <c r="I168" s="125" t="s">
        <v>1109</v>
      </c>
      <c r="J168">
        <v>0</v>
      </c>
      <c r="K168">
        <v>0.5</v>
      </c>
      <c r="L168" s="125" t="s">
        <v>1109</v>
      </c>
      <c r="M168">
        <v>0.5</v>
      </c>
      <c r="N168">
        <v>2</v>
      </c>
      <c r="O168" s="125" t="s">
        <v>1109</v>
      </c>
      <c r="P168" s="125" t="s">
        <v>1109</v>
      </c>
      <c r="Q168" s="125" t="s">
        <v>1109</v>
      </c>
      <c r="R168">
        <v>0.5</v>
      </c>
      <c r="S168" s="125" t="s">
        <v>1109</v>
      </c>
    </row>
    <row r="169" spans="1:19">
      <c r="A169" t="s">
        <v>2541</v>
      </c>
      <c r="B169" s="125" t="s">
        <v>1109</v>
      </c>
      <c r="C169">
        <v>2</v>
      </c>
      <c r="D169">
        <v>0.5</v>
      </c>
      <c r="E169" s="125" t="s">
        <v>1109</v>
      </c>
      <c r="F169">
        <v>0.25</v>
      </c>
      <c r="G169">
        <v>4</v>
      </c>
      <c r="H169">
        <v>0.5</v>
      </c>
      <c r="I169">
        <v>2</v>
      </c>
      <c r="J169">
        <v>0</v>
      </c>
      <c r="K169">
        <v>2</v>
      </c>
      <c r="L169" s="125" t="s">
        <v>1109</v>
      </c>
      <c r="M169" s="125" t="s">
        <v>1109</v>
      </c>
      <c r="N169">
        <v>2</v>
      </c>
      <c r="O169" s="125" t="s">
        <v>1109</v>
      </c>
      <c r="P169" s="125" t="s">
        <v>1109</v>
      </c>
      <c r="Q169" s="125" t="s">
        <v>1109</v>
      </c>
      <c r="R169" s="125" t="s">
        <v>1109</v>
      </c>
      <c r="S169" s="125" t="s">
        <v>1109</v>
      </c>
    </row>
    <row r="170" spans="1:19">
      <c r="A170" t="s">
        <v>2542</v>
      </c>
      <c r="B170" s="125" t="s">
        <v>1109</v>
      </c>
      <c r="C170">
        <v>2</v>
      </c>
      <c r="D170" s="125" t="s">
        <v>1109</v>
      </c>
      <c r="E170">
        <v>2</v>
      </c>
      <c r="F170">
        <v>0.5</v>
      </c>
      <c r="G170" s="125" t="s">
        <v>1109</v>
      </c>
      <c r="H170" s="125" t="s">
        <v>1109</v>
      </c>
      <c r="I170" s="125" t="s">
        <v>1109</v>
      </c>
      <c r="J170">
        <v>0</v>
      </c>
      <c r="K170" s="125" t="s">
        <v>1109</v>
      </c>
      <c r="L170" s="125" t="s">
        <v>1109</v>
      </c>
      <c r="M170">
        <v>0.5</v>
      </c>
      <c r="N170">
        <v>4</v>
      </c>
      <c r="O170" s="125" t="s">
        <v>1109</v>
      </c>
      <c r="P170" s="125" t="s">
        <v>1109</v>
      </c>
      <c r="Q170" s="125" t="s">
        <v>1109</v>
      </c>
      <c r="R170">
        <v>2</v>
      </c>
      <c r="S170" s="125" t="s">
        <v>1109</v>
      </c>
    </row>
    <row r="171" spans="1:19">
      <c r="A171" t="s">
        <v>2543</v>
      </c>
      <c r="B171" s="125" t="s">
        <v>1109</v>
      </c>
      <c r="C171" s="125" t="s">
        <v>1109</v>
      </c>
      <c r="D171" s="125" t="s">
        <v>1109</v>
      </c>
      <c r="E171">
        <v>2</v>
      </c>
      <c r="F171">
        <v>0.5</v>
      </c>
      <c r="G171">
        <v>2</v>
      </c>
      <c r="H171">
        <v>0.5</v>
      </c>
      <c r="I171" s="125" t="s">
        <v>1109</v>
      </c>
      <c r="J171">
        <v>0</v>
      </c>
      <c r="K171">
        <v>2</v>
      </c>
      <c r="L171">
        <v>2</v>
      </c>
      <c r="M171">
        <v>0.25</v>
      </c>
      <c r="N171" s="125" t="s">
        <v>1109</v>
      </c>
      <c r="O171" s="125" t="s">
        <v>1109</v>
      </c>
      <c r="P171" s="125" t="s">
        <v>1109</v>
      </c>
      <c r="Q171">
        <v>0.5</v>
      </c>
      <c r="R171" s="125" t="s">
        <v>1109</v>
      </c>
      <c r="S171">
        <v>2</v>
      </c>
    </row>
    <row r="172" spans="1:19">
      <c r="A172" t="s">
        <v>2544</v>
      </c>
      <c r="B172" s="125" t="s">
        <v>1109</v>
      </c>
      <c r="C172" s="125" t="s">
        <v>1109</v>
      </c>
      <c r="D172" s="125" t="s">
        <v>1109</v>
      </c>
      <c r="E172">
        <v>2</v>
      </c>
      <c r="F172">
        <v>0.25</v>
      </c>
      <c r="G172">
        <v>2</v>
      </c>
      <c r="H172">
        <v>0.25</v>
      </c>
      <c r="I172">
        <v>0.5</v>
      </c>
      <c r="J172">
        <v>0</v>
      </c>
      <c r="K172" s="125" t="s">
        <v>1109</v>
      </c>
      <c r="L172">
        <v>2</v>
      </c>
      <c r="M172">
        <v>0.25</v>
      </c>
      <c r="N172">
        <v>2</v>
      </c>
      <c r="O172" s="125" t="s">
        <v>1109</v>
      </c>
      <c r="P172" s="125" t="s">
        <v>1109</v>
      </c>
      <c r="Q172" s="125" t="s">
        <v>1109</v>
      </c>
      <c r="R172" s="125" t="s">
        <v>1109</v>
      </c>
      <c r="S172">
        <v>0.5</v>
      </c>
    </row>
    <row r="173" spans="1:19">
      <c r="A173" t="s">
        <v>2545</v>
      </c>
      <c r="B173" s="125" t="s">
        <v>1109</v>
      </c>
      <c r="C173" s="125" t="s">
        <v>1109</v>
      </c>
      <c r="D173">
        <v>2</v>
      </c>
      <c r="E173">
        <v>0</v>
      </c>
      <c r="F173" s="125" t="s">
        <v>1109</v>
      </c>
      <c r="G173">
        <v>4</v>
      </c>
      <c r="H173">
        <v>0.5</v>
      </c>
      <c r="I173">
        <v>0.5</v>
      </c>
      <c r="J173">
        <v>0</v>
      </c>
      <c r="K173" s="125" t="s">
        <v>1109</v>
      </c>
      <c r="L173" s="125" t="s">
        <v>1109</v>
      </c>
      <c r="M173">
        <v>0.5</v>
      </c>
      <c r="N173" s="125" t="s">
        <v>1109</v>
      </c>
      <c r="O173" s="125" t="s">
        <v>1109</v>
      </c>
      <c r="P173" s="125" t="s">
        <v>1109</v>
      </c>
      <c r="Q173" s="125" t="s">
        <v>1109</v>
      </c>
      <c r="R173" s="125" t="s">
        <v>1109</v>
      </c>
      <c r="S173" s="125" t="s">
        <v>1109</v>
      </c>
    </row>
    <row r="174" spans="1:19">
      <c r="A174" t="s">
        <v>2546</v>
      </c>
      <c r="B174" s="125" t="s">
        <v>1109</v>
      </c>
      <c r="C174" s="125" t="s">
        <v>1109</v>
      </c>
      <c r="D174" s="125" t="s">
        <v>1109</v>
      </c>
      <c r="E174">
        <v>2</v>
      </c>
      <c r="F174">
        <v>0.5</v>
      </c>
      <c r="G174">
        <v>2</v>
      </c>
      <c r="H174">
        <v>0.25</v>
      </c>
      <c r="I174" s="125" t="s">
        <v>1109</v>
      </c>
      <c r="J174">
        <v>0</v>
      </c>
      <c r="K174" s="125" t="s">
        <v>1109</v>
      </c>
      <c r="L174">
        <v>0.5</v>
      </c>
      <c r="M174" s="125" t="s">
        <v>1109</v>
      </c>
      <c r="N174">
        <v>2</v>
      </c>
      <c r="O174">
        <v>2</v>
      </c>
      <c r="P174" s="125" t="s">
        <v>1109</v>
      </c>
      <c r="Q174">
        <v>2</v>
      </c>
      <c r="R174" s="125" t="s">
        <v>1109</v>
      </c>
      <c r="S174" s="125" t="s">
        <v>1109</v>
      </c>
    </row>
    <row r="175" spans="1:19">
      <c r="A175" t="s">
        <v>2547</v>
      </c>
      <c r="B175" s="125" t="s">
        <v>1109</v>
      </c>
      <c r="C175">
        <v>2</v>
      </c>
      <c r="D175" s="125" t="s">
        <v>1109</v>
      </c>
      <c r="E175">
        <v>2</v>
      </c>
      <c r="F175">
        <v>0.25</v>
      </c>
      <c r="G175">
        <v>2</v>
      </c>
      <c r="H175">
        <v>0.25</v>
      </c>
      <c r="I175" s="125" t="s">
        <v>1109</v>
      </c>
      <c r="J175">
        <v>0</v>
      </c>
      <c r="K175">
        <v>2</v>
      </c>
      <c r="L175" s="125" t="s">
        <v>1109</v>
      </c>
      <c r="M175">
        <v>0.5</v>
      </c>
      <c r="N175">
        <v>4</v>
      </c>
      <c r="O175" s="125" t="s">
        <v>1109</v>
      </c>
      <c r="P175" s="125" t="s">
        <v>1109</v>
      </c>
      <c r="Q175" s="125" t="s">
        <v>1109</v>
      </c>
      <c r="R175" s="125" t="s">
        <v>1109</v>
      </c>
      <c r="S175" s="125" t="s">
        <v>1109</v>
      </c>
    </row>
    <row r="176" spans="1:19">
      <c r="A176" t="s">
        <v>2548</v>
      </c>
      <c r="B176">
        <v>0.5</v>
      </c>
      <c r="C176">
        <v>0.5</v>
      </c>
      <c r="D176">
        <v>2</v>
      </c>
      <c r="E176">
        <v>2</v>
      </c>
      <c r="F176" s="125" t="s">
        <v>1109</v>
      </c>
      <c r="G176">
        <v>2</v>
      </c>
      <c r="H176" s="125" t="s">
        <v>1109</v>
      </c>
      <c r="I176">
        <v>0.5</v>
      </c>
      <c r="J176">
        <v>0</v>
      </c>
      <c r="K176">
        <v>0.5</v>
      </c>
      <c r="L176" s="125" t="s">
        <v>1109</v>
      </c>
      <c r="M176">
        <v>0.5</v>
      </c>
      <c r="N176">
        <v>2</v>
      </c>
      <c r="O176" s="125" t="s">
        <v>1109</v>
      </c>
      <c r="P176" s="125" t="s">
        <v>1109</v>
      </c>
      <c r="Q176" s="125" t="s">
        <v>1109</v>
      </c>
      <c r="R176">
        <v>2</v>
      </c>
      <c r="S176" s="125" t="s">
        <v>1109</v>
      </c>
    </row>
    <row r="177" spans="1:19">
      <c r="A177" t="s">
        <v>2549</v>
      </c>
      <c r="B177">
        <v>0</v>
      </c>
      <c r="C177" s="125" t="s">
        <v>1109</v>
      </c>
      <c r="D177" s="125" t="s">
        <v>1109</v>
      </c>
      <c r="E177">
        <v>2</v>
      </c>
      <c r="F177">
        <v>0.5</v>
      </c>
      <c r="G177">
        <v>2</v>
      </c>
      <c r="H177">
        <v>0</v>
      </c>
      <c r="I177">
        <v>0.5</v>
      </c>
      <c r="J177">
        <v>0</v>
      </c>
      <c r="K177" s="125" t="s">
        <v>1109</v>
      </c>
      <c r="L177" s="125" t="s">
        <v>1109</v>
      </c>
      <c r="M177">
        <v>0.25</v>
      </c>
      <c r="N177">
        <v>2</v>
      </c>
      <c r="O177">
        <v>2</v>
      </c>
      <c r="P177" s="125" t="s">
        <v>1109</v>
      </c>
      <c r="Q177">
        <v>2</v>
      </c>
      <c r="R177" s="125" t="s">
        <v>1109</v>
      </c>
      <c r="S177" s="125" t="s">
        <v>1109</v>
      </c>
    </row>
    <row r="178" spans="1:19">
      <c r="A178" t="s">
        <v>2550</v>
      </c>
      <c r="B178" s="125" t="s">
        <v>1109</v>
      </c>
      <c r="C178">
        <v>0.5</v>
      </c>
      <c r="D178">
        <v>0.5</v>
      </c>
      <c r="E178" s="125" t="s">
        <v>1109</v>
      </c>
      <c r="F178">
        <v>0.25</v>
      </c>
      <c r="G178">
        <v>4</v>
      </c>
      <c r="H178">
        <v>0.5</v>
      </c>
      <c r="I178" s="125" t="s">
        <v>1109</v>
      </c>
      <c r="J178">
        <v>0</v>
      </c>
      <c r="K178" s="125" t="s">
        <v>1109</v>
      </c>
      <c r="L178" s="125" t="s">
        <v>1109</v>
      </c>
      <c r="M178">
        <v>0.5</v>
      </c>
      <c r="N178">
        <v>2</v>
      </c>
      <c r="O178" s="125" t="s">
        <v>1109</v>
      </c>
      <c r="P178">
        <v>2</v>
      </c>
      <c r="Q178" s="125" t="s">
        <v>1109</v>
      </c>
      <c r="R178" s="125" t="s">
        <v>1109</v>
      </c>
      <c r="S178">
        <v>2</v>
      </c>
    </row>
    <row r="179" spans="1:19">
      <c r="A179" t="s">
        <v>2551</v>
      </c>
      <c r="B179" s="125" t="s">
        <v>1109</v>
      </c>
      <c r="C179" s="125" t="s">
        <v>1109</v>
      </c>
      <c r="D179" s="125" t="s">
        <v>1109</v>
      </c>
      <c r="E179">
        <v>2</v>
      </c>
      <c r="F179">
        <v>0.5</v>
      </c>
      <c r="G179">
        <v>2</v>
      </c>
      <c r="H179" s="125" t="s">
        <v>1109</v>
      </c>
      <c r="I179" s="125" t="s">
        <v>1109</v>
      </c>
      <c r="J179">
        <v>0</v>
      </c>
      <c r="K179" s="125" t="s">
        <v>1109</v>
      </c>
      <c r="L179">
        <v>0</v>
      </c>
      <c r="M179" s="125" t="s">
        <v>1109</v>
      </c>
      <c r="N179">
        <v>2</v>
      </c>
      <c r="O179">
        <v>0.5</v>
      </c>
      <c r="P179" s="125" t="s">
        <v>1109</v>
      </c>
      <c r="Q179">
        <v>0.5</v>
      </c>
      <c r="R179" s="125" t="s">
        <v>1109</v>
      </c>
      <c r="S179">
        <v>2</v>
      </c>
    </row>
    <row r="180" spans="1:19">
      <c r="A180" t="s">
        <v>2552</v>
      </c>
      <c r="B180">
        <v>0.5</v>
      </c>
      <c r="C180">
        <v>2</v>
      </c>
      <c r="D180" s="125" t="s">
        <v>1109</v>
      </c>
      <c r="E180">
        <v>2</v>
      </c>
      <c r="F180">
        <v>0.25</v>
      </c>
      <c r="G180" s="125" t="s">
        <v>1109</v>
      </c>
      <c r="H180" s="125" t="s">
        <v>1109</v>
      </c>
      <c r="I180">
        <v>0</v>
      </c>
      <c r="J180">
        <v>0</v>
      </c>
      <c r="K180">
        <v>0.5</v>
      </c>
      <c r="L180">
        <v>0.5</v>
      </c>
      <c r="M180">
        <v>0.25</v>
      </c>
      <c r="N180" s="125" t="s">
        <v>1109</v>
      </c>
      <c r="O180" s="125" t="s">
        <v>1109</v>
      </c>
      <c r="P180">
        <v>0.5</v>
      </c>
      <c r="Q180" s="125" t="s">
        <v>1109</v>
      </c>
      <c r="R180">
        <v>0.5</v>
      </c>
      <c r="S180">
        <v>0.5</v>
      </c>
    </row>
    <row r="181" spans="1:19">
      <c r="A181" t="s">
        <v>2553</v>
      </c>
      <c r="B181" s="125" t="s">
        <v>1109</v>
      </c>
      <c r="C181" s="125" t="s">
        <v>1109</v>
      </c>
      <c r="D181" s="125" t="s">
        <v>1109</v>
      </c>
      <c r="E181">
        <v>2</v>
      </c>
      <c r="F181">
        <v>0.5</v>
      </c>
      <c r="G181">
        <v>2</v>
      </c>
      <c r="H181">
        <v>0.25</v>
      </c>
      <c r="I181">
        <v>2</v>
      </c>
      <c r="J181">
        <v>0</v>
      </c>
      <c r="K181" s="125" t="s">
        <v>1109</v>
      </c>
      <c r="L181" s="125" t="s">
        <v>1109</v>
      </c>
      <c r="M181">
        <v>0.25</v>
      </c>
      <c r="N181">
        <v>2</v>
      </c>
      <c r="O181" s="125" t="s">
        <v>1109</v>
      </c>
      <c r="P181">
        <v>0</v>
      </c>
      <c r="Q181">
        <v>0.5</v>
      </c>
      <c r="R181">
        <v>2</v>
      </c>
      <c r="S181" s="125" t="s">
        <v>1109</v>
      </c>
    </row>
    <row r="182" spans="1:19">
      <c r="A182" t="s">
        <v>2377</v>
      </c>
      <c r="B182" s="125" t="s">
        <v>1109</v>
      </c>
      <c r="C182" s="125" t="s">
        <v>1109</v>
      </c>
      <c r="D182" s="125" t="s">
        <v>1109</v>
      </c>
      <c r="E182" s="125" t="s">
        <v>1109</v>
      </c>
      <c r="F182" s="125" t="s">
        <v>1109</v>
      </c>
      <c r="G182" s="125" t="s">
        <v>1109</v>
      </c>
      <c r="H182">
        <v>0.5</v>
      </c>
      <c r="I182" s="125" t="s">
        <v>1109</v>
      </c>
      <c r="J182" s="125" t="s">
        <v>1109</v>
      </c>
      <c r="K182" s="125" t="s">
        <v>1109</v>
      </c>
      <c r="L182">
        <v>0.5</v>
      </c>
      <c r="M182">
        <v>2</v>
      </c>
      <c r="N182" s="125" t="s">
        <v>1109</v>
      </c>
      <c r="O182">
        <v>2</v>
      </c>
      <c r="P182" s="125" t="s">
        <v>1109</v>
      </c>
      <c r="Q182">
        <v>2</v>
      </c>
      <c r="R182" s="125" t="s">
        <v>1109</v>
      </c>
      <c r="S182" s="125" t="s">
        <v>1109</v>
      </c>
    </row>
    <row r="183" spans="1:19">
      <c r="A183" t="s">
        <v>2554</v>
      </c>
      <c r="B183" s="125" t="s">
        <v>1109</v>
      </c>
      <c r="C183" s="125" t="s">
        <v>1109</v>
      </c>
      <c r="D183" s="125" t="s">
        <v>1109</v>
      </c>
      <c r="E183" s="125" t="s">
        <v>1109</v>
      </c>
      <c r="F183" s="125" t="s">
        <v>1109</v>
      </c>
      <c r="G183" s="125" t="s">
        <v>1109</v>
      </c>
      <c r="H183" s="125" t="s">
        <v>1109</v>
      </c>
      <c r="I183" s="125" t="s">
        <v>1109</v>
      </c>
      <c r="J183" s="125" t="s">
        <v>1109</v>
      </c>
      <c r="K183" s="125" t="s">
        <v>1109</v>
      </c>
      <c r="L183">
        <v>0.5</v>
      </c>
      <c r="M183">
        <v>2</v>
      </c>
      <c r="N183" s="125" t="s">
        <v>1109</v>
      </c>
      <c r="O183">
        <v>0</v>
      </c>
      <c r="P183" s="125" t="s">
        <v>1109</v>
      </c>
      <c r="Q183">
        <v>2</v>
      </c>
      <c r="R183" s="125" t="s">
        <v>1109</v>
      </c>
      <c r="S183" s="125" t="s">
        <v>1109</v>
      </c>
    </row>
    <row r="184" spans="1:19">
      <c r="A184" t="s">
        <v>2555</v>
      </c>
      <c r="B184" s="125" t="s">
        <v>1109</v>
      </c>
      <c r="C184">
        <v>0.5</v>
      </c>
      <c r="D184">
        <v>2</v>
      </c>
      <c r="E184" s="125" t="s">
        <v>1109</v>
      </c>
      <c r="F184">
        <v>0.5</v>
      </c>
      <c r="G184">
        <v>0.5</v>
      </c>
      <c r="H184">
        <v>0.5</v>
      </c>
      <c r="I184" s="125" t="s">
        <v>1109</v>
      </c>
      <c r="J184">
        <v>2</v>
      </c>
      <c r="K184" s="125" t="s">
        <v>1109</v>
      </c>
      <c r="L184">
        <v>0.5</v>
      </c>
      <c r="M184" s="125" t="s">
        <v>1109</v>
      </c>
      <c r="N184">
        <v>2</v>
      </c>
      <c r="O184">
        <v>2</v>
      </c>
      <c r="P184" s="125" t="s">
        <v>1109</v>
      </c>
      <c r="Q184">
        <v>2</v>
      </c>
      <c r="R184">
        <v>0.5</v>
      </c>
      <c r="S184">
        <v>0.5</v>
      </c>
    </row>
    <row r="185" spans="1:19">
      <c r="A185" t="s">
        <v>2556</v>
      </c>
      <c r="B185" s="125" t="s">
        <v>1109</v>
      </c>
      <c r="C185">
        <v>0.5</v>
      </c>
      <c r="D185">
        <v>0.5</v>
      </c>
      <c r="E185">
        <v>2</v>
      </c>
      <c r="F185">
        <v>2</v>
      </c>
      <c r="G185">
        <v>0.5</v>
      </c>
      <c r="H185">
        <v>0.5</v>
      </c>
      <c r="I185" s="125" t="s">
        <v>1109</v>
      </c>
      <c r="J185" s="125" t="s">
        <v>1109</v>
      </c>
      <c r="K185" s="125" t="s">
        <v>1109</v>
      </c>
      <c r="L185">
        <v>0.5</v>
      </c>
      <c r="M185">
        <v>2</v>
      </c>
      <c r="N185" s="125" t="s">
        <v>1109</v>
      </c>
      <c r="O185">
        <v>2</v>
      </c>
      <c r="P185" s="125" t="s">
        <v>1109</v>
      </c>
      <c r="Q185">
        <v>2</v>
      </c>
      <c r="R185">
        <v>0.5</v>
      </c>
      <c r="S185" s="125" t="s">
        <v>1109</v>
      </c>
    </row>
    <row r="186" spans="1:19">
      <c r="A186" t="s">
        <v>2557</v>
      </c>
      <c r="B186" s="125" t="s">
        <v>1109</v>
      </c>
      <c r="C186" s="125" t="s">
        <v>1109</v>
      </c>
      <c r="D186" s="125" t="s">
        <v>1109</v>
      </c>
      <c r="E186">
        <v>0.5</v>
      </c>
      <c r="F186" s="125" t="s">
        <v>1109</v>
      </c>
      <c r="G186" s="125" t="s">
        <v>1109</v>
      </c>
      <c r="H186">
        <v>0.5</v>
      </c>
      <c r="I186" s="125" t="s">
        <v>1109</v>
      </c>
      <c r="J186">
        <v>2</v>
      </c>
      <c r="K186">
        <v>0.5</v>
      </c>
      <c r="L186">
        <v>0.5</v>
      </c>
      <c r="M186">
        <v>2</v>
      </c>
      <c r="N186" s="125" t="s">
        <v>1109</v>
      </c>
      <c r="O186">
        <v>2</v>
      </c>
      <c r="P186" s="125" t="s">
        <v>1109</v>
      </c>
      <c r="Q186">
        <v>2</v>
      </c>
      <c r="R186">
        <v>0.5</v>
      </c>
      <c r="S186" s="125" t="s">
        <v>1109</v>
      </c>
    </row>
    <row r="187" spans="1:19">
      <c r="A187" t="s">
        <v>2558</v>
      </c>
      <c r="B187" s="125" t="s">
        <v>1109</v>
      </c>
      <c r="C187">
        <v>2</v>
      </c>
      <c r="D187">
        <v>0.5</v>
      </c>
      <c r="E187">
        <v>0.5</v>
      </c>
      <c r="F187">
        <v>0.5</v>
      </c>
      <c r="G187">
        <v>2</v>
      </c>
      <c r="H187">
        <v>0.5</v>
      </c>
      <c r="I187">
        <v>2</v>
      </c>
      <c r="J187">
        <v>0.5</v>
      </c>
      <c r="K187">
        <v>2</v>
      </c>
      <c r="L187">
        <v>0.5</v>
      </c>
      <c r="M187">
        <v>4</v>
      </c>
      <c r="N187" s="125" t="s">
        <v>1109</v>
      </c>
      <c r="O187">
        <v>2</v>
      </c>
      <c r="P187" s="125" t="s">
        <v>1109</v>
      </c>
      <c r="Q187">
        <v>2</v>
      </c>
      <c r="R187" s="125" t="s">
        <v>1109</v>
      </c>
      <c r="S187" s="125" t="s">
        <v>1109</v>
      </c>
    </row>
    <row r="188" spans="1:19">
      <c r="A188" t="s">
        <v>2559</v>
      </c>
      <c r="B188" s="125" t="s">
        <v>1109</v>
      </c>
      <c r="C188">
        <v>2</v>
      </c>
      <c r="D188" s="125" t="s">
        <v>1109</v>
      </c>
      <c r="E188" s="125" t="s">
        <v>1109</v>
      </c>
      <c r="F188" s="125" t="s">
        <v>1109</v>
      </c>
      <c r="G188">
        <v>0.5</v>
      </c>
      <c r="H188" s="125" t="s">
        <v>1109</v>
      </c>
      <c r="I188" s="125" t="s">
        <v>1109</v>
      </c>
      <c r="J188" s="125" t="s">
        <v>1109</v>
      </c>
      <c r="K188" s="125" t="s">
        <v>1109</v>
      </c>
      <c r="L188">
        <v>0.5</v>
      </c>
      <c r="M188">
        <v>2</v>
      </c>
      <c r="N188">
        <v>2</v>
      </c>
      <c r="O188">
        <v>2</v>
      </c>
      <c r="P188" s="125" t="s">
        <v>1109</v>
      </c>
      <c r="Q188">
        <v>2</v>
      </c>
      <c r="R188">
        <v>2</v>
      </c>
      <c r="S188" s="125" t="s">
        <v>1109</v>
      </c>
    </row>
    <row r="189" spans="1:19">
      <c r="A189" t="s">
        <v>2560</v>
      </c>
      <c r="B189" s="125" t="s">
        <v>1109</v>
      </c>
      <c r="C189" s="125" t="s">
        <v>1109</v>
      </c>
      <c r="D189" s="125" t="s">
        <v>1109</v>
      </c>
      <c r="E189" s="125" t="s">
        <v>1109</v>
      </c>
      <c r="F189" s="125" t="s">
        <v>1109</v>
      </c>
      <c r="G189" s="125" t="s">
        <v>1109</v>
      </c>
      <c r="H189">
        <v>0.5</v>
      </c>
      <c r="I189" s="125" t="s">
        <v>1109</v>
      </c>
      <c r="J189" s="125" t="s">
        <v>1109</v>
      </c>
      <c r="K189">
        <v>2</v>
      </c>
      <c r="L189" s="125" t="s">
        <v>1109</v>
      </c>
      <c r="M189" s="125" t="s">
        <v>1109</v>
      </c>
      <c r="N189">
        <v>0.5</v>
      </c>
      <c r="O189">
        <v>2</v>
      </c>
      <c r="P189" s="125" t="s">
        <v>1109</v>
      </c>
      <c r="Q189" s="125" t="s">
        <v>1109</v>
      </c>
      <c r="R189" s="125" t="s">
        <v>1109</v>
      </c>
      <c r="S189">
        <v>2</v>
      </c>
    </row>
    <row r="190" spans="1:19">
      <c r="A190" t="s">
        <v>2561</v>
      </c>
      <c r="B190" s="125" t="s">
        <v>1109</v>
      </c>
      <c r="C190" s="125" t="s">
        <v>1109</v>
      </c>
      <c r="D190" s="125" t="s">
        <v>1109</v>
      </c>
      <c r="E190" s="125" t="s">
        <v>1109</v>
      </c>
      <c r="F190">
        <v>0.5</v>
      </c>
      <c r="G190" s="125" t="s">
        <v>1109</v>
      </c>
      <c r="H190">
        <v>0.25</v>
      </c>
      <c r="I190">
        <v>0.5</v>
      </c>
      <c r="J190">
        <v>2</v>
      </c>
      <c r="K190" s="125" t="s">
        <v>1109</v>
      </c>
      <c r="L190" s="125" t="s">
        <v>1109</v>
      </c>
      <c r="M190" s="125" t="s">
        <v>1109</v>
      </c>
      <c r="N190" s="125" t="s">
        <v>1109</v>
      </c>
      <c r="O190">
        <v>2</v>
      </c>
      <c r="P190" s="125" t="s">
        <v>1109</v>
      </c>
      <c r="Q190">
        <v>2</v>
      </c>
      <c r="R190" s="125" t="s">
        <v>1109</v>
      </c>
      <c r="S190">
        <v>0.5</v>
      </c>
    </row>
    <row r="191" spans="1:19">
      <c r="A191" t="s">
        <v>2562</v>
      </c>
      <c r="B191" s="125" t="s">
        <v>1109</v>
      </c>
      <c r="C191" s="125" t="s">
        <v>1109</v>
      </c>
      <c r="D191">
        <v>2</v>
      </c>
      <c r="E191">
        <v>0</v>
      </c>
      <c r="F191">
        <v>2</v>
      </c>
      <c r="G191">
        <v>2</v>
      </c>
      <c r="H191">
        <v>0.5</v>
      </c>
      <c r="I191">
        <v>0.5</v>
      </c>
      <c r="J191" s="125" t="s">
        <v>1109</v>
      </c>
      <c r="K191" s="125" t="s">
        <v>1109</v>
      </c>
      <c r="L191">
        <v>0.5</v>
      </c>
      <c r="M191">
        <v>2</v>
      </c>
      <c r="N191">
        <v>0.5</v>
      </c>
      <c r="O191">
        <v>2</v>
      </c>
      <c r="P191" s="125" t="s">
        <v>1109</v>
      </c>
      <c r="Q191">
        <v>2</v>
      </c>
      <c r="R191" s="125" t="s">
        <v>1109</v>
      </c>
      <c r="S191" s="125" t="s">
        <v>1109</v>
      </c>
    </row>
    <row r="192" spans="1:19">
      <c r="A192" t="s">
        <v>2563</v>
      </c>
      <c r="B192" s="125" t="s">
        <v>1109</v>
      </c>
      <c r="C192" s="125" t="s">
        <v>1109</v>
      </c>
      <c r="D192" s="125" t="s">
        <v>1109</v>
      </c>
      <c r="E192">
        <v>2</v>
      </c>
      <c r="F192">
        <v>0.5</v>
      </c>
      <c r="G192">
        <v>2</v>
      </c>
      <c r="H192">
        <v>0.25</v>
      </c>
      <c r="I192" s="125" t="s">
        <v>1109</v>
      </c>
      <c r="J192">
        <v>0</v>
      </c>
      <c r="K192" s="125" t="s">
        <v>1109</v>
      </c>
      <c r="L192">
        <v>0.5</v>
      </c>
      <c r="M192" s="125" t="s">
        <v>1109</v>
      </c>
      <c r="N192">
        <v>2</v>
      </c>
      <c r="O192">
        <v>2</v>
      </c>
      <c r="P192" s="125" t="s">
        <v>1109</v>
      </c>
      <c r="Q192">
        <v>2</v>
      </c>
      <c r="R192" s="125" t="s">
        <v>1109</v>
      </c>
      <c r="S192" s="125" t="s">
        <v>1109</v>
      </c>
    </row>
    <row r="193" spans="1:19">
      <c r="A193" t="s">
        <v>2564</v>
      </c>
      <c r="B193" s="125" t="s">
        <v>1109</v>
      </c>
      <c r="C193">
        <v>2</v>
      </c>
      <c r="D193" s="125" t="s">
        <v>1109</v>
      </c>
      <c r="E193" s="125" t="s">
        <v>1109</v>
      </c>
      <c r="F193">
        <v>0.5</v>
      </c>
      <c r="G193" s="125" t="s">
        <v>1109</v>
      </c>
      <c r="H193">
        <v>0.25</v>
      </c>
      <c r="I193" s="125" t="s">
        <v>1109</v>
      </c>
      <c r="J193">
        <v>0.5</v>
      </c>
      <c r="K193">
        <v>2</v>
      </c>
      <c r="L193">
        <v>0.5</v>
      </c>
      <c r="M193">
        <v>2</v>
      </c>
      <c r="N193">
        <v>2</v>
      </c>
      <c r="O193">
        <v>2</v>
      </c>
      <c r="P193" s="125" t="s">
        <v>1109</v>
      </c>
      <c r="Q193">
        <v>2</v>
      </c>
      <c r="R193" s="125" t="s">
        <v>1109</v>
      </c>
      <c r="S193" s="125" t="s">
        <v>1109</v>
      </c>
    </row>
    <row r="194" spans="1:19">
      <c r="A194" t="s">
        <v>2565</v>
      </c>
      <c r="B194">
        <v>0.5</v>
      </c>
      <c r="C194">
        <v>0.5</v>
      </c>
      <c r="D194">
        <v>2</v>
      </c>
      <c r="E194" s="125" t="s">
        <v>1109</v>
      </c>
      <c r="F194">
        <v>2</v>
      </c>
      <c r="G194" s="125" t="s">
        <v>1109</v>
      </c>
      <c r="H194" s="125" t="s">
        <v>1109</v>
      </c>
      <c r="I194">
        <v>0.5</v>
      </c>
      <c r="J194">
        <v>2</v>
      </c>
      <c r="K194">
        <v>0.5</v>
      </c>
      <c r="L194">
        <v>0.5</v>
      </c>
      <c r="M194">
        <v>2</v>
      </c>
      <c r="N194" s="125" t="s">
        <v>1109</v>
      </c>
      <c r="O194">
        <v>2</v>
      </c>
      <c r="P194" s="125" t="s">
        <v>1109</v>
      </c>
      <c r="Q194">
        <v>2</v>
      </c>
      <c r="R194">
        <v>2</v>
      </c>
      <c r="S194" s="125" t="s">
        <v>1109</v>
      </c>
    </row>
    <row r="195" spans="1:19">
      <c r="A195" t="s">
        <v>2566</v>
      </c>
      <c r="B195">
        <v>0</v>
      </c>
      <c r="C195" s="125" t="s">
        <v>1109</v>
      </c>
      <c r="D195" s="125" t="s">
        <v>1109</v>
      </c>
      <c r="E195" s="125" t="s">
        <v>1109</v>
      </c>
      <c r="F195" s="125" t="s">
        <v>1109</v>
      </c>
      <c r="G195" s="125" t="s">
        <v>1109</v>
      </c>
      <c r="H195">
        <v>0</v>
      </c>
      <c r="I195">
        <v>0.5</v>
      </c>
      <c r="J195" s="125" t="s">
        <v>1109</v>
      </c>
      <c r="K195" s="125" t="s">
        <v>1109</v>
      </c>
      <c r="L195">
        <v>0.5</v>
      </c>
      <c r="M195" s="125" t="s">
        <v>1109</v>
      </c>
      <c r="N195" s="125" t="s">
        <v>1109</v>
      </c>
      <c r="O195">
        <v>4</v>
      </c>
      <c r="P195" s="125" t="s">
        <v>1109</v>
      </c>
      <c r="Q195">
        <v>4</v>
      </c>
      <c r="R195" s="125" t="s">
        <v>1109</v>
      </c>
      <c r="S195" s="125" t="s">
        <v>1109</v>
      </c>
    </row>
    <row r="196" spans="1:19">
      <c r="A196" t="s">
        <v>2567</v>
      </c>
      <c r="B196" s="125" t="s">
        <v>1109</v>
      </c>
      <c r="C196">
        <v>0.5</v>
      </c>
      <c r="D196">
        <v>0.5</v>
      </c>
      <c r="E196">
        <v>0.5</v>
      </c>
      <c r="F196">
        <v>0.5</v>
      </c>
      <c r="G196">
        <v>2</v>
      </c>
      <c r="H196">
        <v>0.5</v>
      </c>
      <c r="I196" s="125" t="s">
        <v>1109</v>
      </c>
      <c r="J196" s="125" t="s">
        <v>1109</v>
      </c>
      <c r="K196" s="125" t="s">
        <v>1109</v>
      </c>
      <c r="L196">
        <v>0.5</v>
      </c>
      <c r="M196">
        <v>2</v>
      </c>
      <c r="N196" s="125" t="s">
        <v>1109</v>
      </c>
      <c r="O196">
        <v>2</v>
      </c>
      <c r="P196">
        <v>2</v>
      </c>
      <c r="Q196">
        <v>2</v>
      </c>
      <c r="R196" s="125" t="s">
        <v>1109</v>
      </c>
      <c r="S196">
        <v>2</v>
      </c>
    </row>
    <row r="197" spans="1:19">
      <c r="A197" t="s">
        <v>2568</v>
      </c>
      <c r="B197" s="125" t="s">
        <v>1109</v>
      </c>
      <c r="C197" s="125" t="s">
        <v>1109</v>
      </c>
      <c r="D197" s="125" t="s">
        <v>1109</v>
      </c>
      <c r="E197" s="125" t="s">
        <v>1109</v>
      </c>
      <c r="F197" s="125" t="s">
        <v>1109</v>
      </c>
      <c r="G197" s="125" t="s">
        <v>1109</v>
      </c>
      <c r="H197" s="125" t="s">
        <v>1109</v>
      </c>
      <c r="I197" s="125" t="s">
        <v>1109</v>
      </c>
      <c r="J197" s="125" t="s">
        <v>1109</v>
      </c>
      <c r="K197" s="125" t="s">
        <v>1109</v>
      </c>
      <c r="L197">
        <v>0</v>
      </c>
      <c r="M197">
        <v>4</v>
      </c>
      <c r="N197" s="125" t="s">
        <v>1109</v>
      </c>
      <c r="O197" s="125" t="s">
        <v>1109</v>
      </c>
      <c r="P197" s="125" t="s">
        <v>1109</v>
      </c>
      <c r="Q197" s="125" t="s">
        <v>1109</v>
      </c>
      <c r="R197" s="125" t="s">
        <v>1109</v>
      </c>
      <c r="S197">
        <v>2</v>
      </c>
    </row>
    <row r="198" spans="1:19">
      <c r="A198" t="s">
        <v>2569</v>
      </c>
      <c r="B198">
        <v>0.5</v>
      </c>
      <c r="C198">
        <v>2</v>
      </c>
      <c r="D198" s="125" t="s">
        <v>1109</v>
      </c>
      <c r="E198" s="125" t="s">
        <v>1109</v>
      </c>
      <c r="F198">
        <v>0.5</v>
      </c>
      <c r="G198">
        <v>0.5</v>
      </c>
      <c r="H198" s="125" t="s">
        <v>1109</v>
      </c>
      <c r="I198">
        <v>0</v>
      </c>
      <c r="J198">
        <v>2</v>
      </c>
      <c r="K198">
        <v>0.5</v>
      </c>
      <c r="L198">
        <v>0.25</v>
      </c>
      <c r="M198" s="125" t="s">
        <v>1109</v>
      </c>
      <c r="N198">
        <v>0.5</v>
      </c>
      <c r="O198">
        <v>2</v>
      </c>
      <c r="P198">
        <v>0.5</v>
      </c>
      <c r="Q198">
        <v>2</v>
      </c>
      <c r="R198">
        <v>0.5</v>
      </c>
      <c r="S198">
        <v>0.5</v>
      </c>
    </row>
    <row r="199" spans="1:19">
      <c r="A199" t="s">
        <v>2570</v>
      </c>
      <c r="B199" s="125" t="s">
        <v>1109</v>
      </c>
      <c r="C199" s="125" t="s">
        <v>1109</v>
      </c>
      <c r="D199" s="125" t="s">
        <v>1109</v>
      </c>
      <c r="E199" s="125" t="s">
        <v>1109</v>
      </c>
      <c r="F199" s="125" t="s">
        <v>1109</v>
      </c>
      <c r="G199" s="125" t="s">
        <v>1109</v>
      </c>
      <c r="H199">
        <v>0.25</v>
      </c>
      <c r="I199">
        <v>2</v>
      </c>
      <c r="J199" s="125" t="s">
        <v>1109</v>
      </c>
      <c r="K199" s="125" t="s">
        <v>1109</v>
      </c>
      <c r="L199">
        <v>0.5</v>
      </c>
      <c r="M199" s="125" t="s">
        <v>1109</v>
      </c>
      <c r="N199" s="125" t="s">
        <v>1109</v>
      </c>
      <c r="O199">
        <v>2</v>
      </c>
      <c r="P199">
        <v>0</v>
      </c>
      <c r="Q199" s="125" t="s">
        <v>1109</v>
      </c>
      <c r="R199">
        <v>2</v>
      </c>
      <c r="S199" s="125" t="s">
        <v>1109</v>
      </c>
    </row>
    <row r="200" spans="1:19">
      <c r="A200" t="s">
        <v>2362</v>
      </c>
      <c r="B200" s="125" t="s">
        <v>1109</v>
      </c>
      <c r="C200">
        <v>2</v>
      </c>
      <c r="D200" s="125" t="s">
        <v>1109</v>
      </c>
      <c r="E200" s="125" t="s">
        <v>1109</v>
      </c>
      <c r="F200">
        <v>0.5</v>
      </c>
      <c r="G200" s="125" t="s">
        <v>1109</v>
      </c>
      <c r="H200">
        <v>0.5</v>
      </c>
      <c r="I200" s="125" t="s">
        <v>1109</v>
      </c>
      <c r="J200">
        <v>0.5</v>
      </c>
      <c r="K200">
        <v>2</v>
      </c>
      <c r="L200" s="125" t="s">
        <v>1109</v>
      </c>
      <c r="M200" s="125" t="s">
        <v>1109</v>
      </c>
      <c r="N200">
        <v>2</v>
      </c>
      <c r="O200" s="125" t="s">
        <v>1109</v>
      </c>
      <c r="P200" s="125" t="s">
        <v>1109</v>
      </c>
      <c r="Q200" s="125" t="s">
        <v>1109</v>
      </c>
      <c r="R200" s="125" t="s">
        <v>1109</v>
      </c>
      <c r="S200" s="125" t="s">
        <v>1109</v>
      </c>
    </row>
    <row r="201" spans="1:19">
      <c r="A201" t="s">
        <v>2571</v>
      </c>
      <c r="B201" s="125" t="s">
        <v>1109</v>
      </c>
      <c r="C201">
        <v>2</v>
      </c>
      <c r="D201" s="125" t="s">
        <v>1109</v>
      </c>
      <c r="E201" s="125" t="s">
        <v>1109</v>
      </c>
      <c r="F201">
        <v>0.5</v>
      </c>
      <c r="G201" s="125" t="s">
        <v>1109</v>
      </c>
      <c r="H201" s="125" t="s">
        <v>1109</v>
      </c>
      <c r="I201" s="125" t="s">
        <v>1109</v>
      </c>
      <c r="J201">
        <v>0.5</v>
      </c>
      <c r="K201">
        <v>2</v>
      </c>
      <c r="L201" s="125" t="s">
        <v>1109</v>
      </c>
      <c r="M201" s="125" t="s">
        <v>1109</v>
      </c>
      <c r="N201">
        <v>2</v>
      </c>
      <c r="O201">
        <v>0</v>
      </c>
      <c r="P201" s="125" t="s">
        <v>1109</v>
      </c>
      <c r="Q201" s="125" t="s">
        <v>1109</v>
      </c>
      <c r="R201" s="125" t="s">
        <v>1109</v>
      </c>
      <c r="S201" s="125" t="s">
        <v>1109</v>
      </c>
    </row>
    <row r="202" spans="1:19">
      <c r="A202" t="s">
        <v>2572</v>
      </c>
      <c r="B202" s="125" t="s">
        <v>1109</v>
      </c>
      <c r="C202" s="125" t="s">
        <v>1109</v>
      </c>
      <c r="D202">
        <v>2</v>
      </c>
      <c r="E202" s="125" t="s">
        <v>1109</v>
      </c>
      <c r="F202">
        <v>0.25</v>
      </c>
      <c r="G202">
        <v>0.5</v>
      </c>
      <c r="H202">
        <v>0.5</v>
      </c>
      <c r="I202" s="125" t="s">
        <v>1109</v>
      </c>
      <c r="J202" s="125" t="s">
        <v>1109</v>
      </c>
      <c r="K202">
        <v>2</v>
      </c>
      <c r="L202" s="125" t="s">
        <v>1109</v>
      </c>
      <c r="M202">
        <v>0.5</v>
      </c>
      <c r="N202">
        <v>4</v>
      </c>
      <c r="O202" s="125" t="s">
        <v>1109</v>
      </c>
      <c r="P202" s="125" t="s">
        <v>1109</v>
      </c>
      <c r="Q202" s="125" t="s">
        <v>1109</v>
      </c>
      <c r="R202">
        <v>0.5</v>
      </c>
      <c r="S202">
        <v>0.5</v>
      </c>
    </row>
    <row r="203" spans="1:19">
      <c r="A203" t="s">
        <v>2573</v>
      </c>
      <c r="B203" s="125" t="s">
        <v>1109</v>
      </c>
      <c r="C203" s="125" t="s">
        <v>1109</v>
      </c>
      <c r="D203">
        <v>0.5</v>
      </c>
      <c r="E203">
        <v>2</v>
      </c>
      <c r="F203" s="125" t="s">
        <v>1109</v>
      </c>
      <c r="G203">
        <v>0.5</v>
      </c>
      <c r="H203">
        <v>0.5</v>
      </c>
      <c r="I203" s="125" t="s">
        <v>1109</v>
      </c>
      <c r="J203">
        <v>0.5</v>
      </c>
      <c r="K203">
        <v>2</v>
      </c>
      <c r="L203" s="125" t="s">
        <v>1109</v>
      </c>
      <c r="M203" s="125" t="s">
        <v>1109</v>
      </c>
      <c r="N203">
        <v>2</v>
      </c>
      <c r="O203" s="125" t="s">
        <v>1109</v>
      </c>
      <c r="P203" s="125" t="s">
        <v>1109</v>
      </c>
      <c r="Q203" s="125" t="s">
        <v>1109</v>
      </c>
      <c r="R203">
        <v>0.5</v>
      </c>
      <c r="S203" s="125" t="s">
        <v>1109</v>
      </c>
    </row>
    <row r="204" spans="1:19">
      <c r="A204" t="s">
        <v>2574</v>
      </c>
      <c r="B204" s="125" t="s">
        <v>1109</v>
      </c>
      <c r="C204">
        <v>2</v>
      </c>
      <c r="D204" s="125" t="s">
        <v>1109</v>
      </c>
      <c r="E204">
        <v>0.5</v>
      </c>
      <c r="F204">
        <v>0.5</v>
      </c>
      <c r="G204" s="125" t="s">
        <v>1109</v>
      </c>
      <c r="H204">
        <v>0.5</v>
      </c>
      <c r="I204" s="125" t="s">
        <v>1109</v>
      </c>
      <c r="J204" s="125" t="s">
        <v>1109</v>
      </c>
      <c r="K204" s="125" t="s">
        <v>1109</v>
      </c>
      <c r="L204" s="125" t="s">
        <v>1109</v>
      </c>
      <c r="M204" s="125" t="s">
        <v>1109</v>
      </c>
      <c r="N204">
        <v>2</v>
      </c>
      <c r="O204" s="125" t="s">
        <v>1109</v>
      </c>
      <c r="P204" s="125" t="s">
        <v>1109</v>
      </c>
      <c r="Q204" s="125" t="s">
        <v>1109</v>
      </c>
      <c r="R204">
        <v>0.5</v>
      </c>
      <c r="S204" s="125" t="s">
        <v>1109</v>
      </c>
    </row>
    <row r="205" spans="1:19">
      <c r="A205" t="s">
        <v>2575</v>
      </c>
      <c r="B205" s="125" t="s">
        <v>1109</v>
      </c>
      <c r="C205">
        <v>4</v>
      </c>
      <c r="D205">
        <v>0.5</v>
      </c>
      <c r="E205">
        <v>0.5</v>
      </c>
      <c r="F205">
        <v>0.25</v>
      </c>
      <c r="G205">
        <v>2</v>
      </c>
      <c r="H205">
        <v>0.5</v>
      </c>
      <c r="I205">
        <v>2</v>
      </c>
      <c r="J205">
        <v>0.25</v>
      </c>
      <c r="K205">
        <v>4</v>
      </c>
      <c r="L205" s="125" t="s">
        <v>1109</v>
      </c>
      <c r="M205">
        <v>2</v>
      </c>
      <c r="N205">
        <v>2</v>
      </c>
      <c r="O205" s="125" t="s">
        <v>1109</v>
      </c>
      <c r="P205" s="125" t="s">
        <v>1109</v>
      </c>
      <c r="Q205" s="125" t="s">
        <v>1109</v>
      </c>
      <c r="R205" s="125" t="s">
        <v>1109</v>
      </c>
      <c r="S205" s="125" t="s">
        <v>1109</v>
      </c>
    </row>
    <row r="206" spans="1:19">
      <c r="A206" t="s">
        <v>2576</v>
      </c>
      <c r="B206" s="125" t="s">
        <v>1109</v>
      </c>
      <c r="C206">
        <v>4</v>
      </c>
      <c r="D206" s="125" t="s">
        <v>1109</v>
      </c>
      <c r="E206" s="125" t="s">
        <v>1109</v>
      </c>
      <c r="F206">
        <v>0.5</v>
      </c>
      <c r="G206">
        <v>0.5</v>
      </c>
      <c r="H206" s="125" t="s">
        <v>1109</v>
      </c>
      <c r="I206" s="125" t="s">
        <v>1109</v>
      </c>
      <c r="J206">
        <v>0.5</v>
      </c>
      <c r="K206">
        <v>2</v>
      </c>
      <c r="L206" s="125" t="s">
        <v>1109</v>
      </c>
      <c r="M206" s="125" t="s">
        <v>1109</v>
      </c>
      <c r="N206">
        <v>4</v>
      </c>
      <c r="O206" s="125" t="s">
        <v>1109</v>
      </c>
      <c r="P206" s="125" t="s">
        <v>1109</v>
      </c>
      <c r="Q206" s="125" t="s">
        <v>1109</v>
      </c>
      <c r="R206">
        <v>2</v>
      </c>
      <c r="S206" s="125" t="s">
        <v>1109</v>
      </c>
    </row>
    <row r="207" spans="1:19">
      <c r="A207" t="s">
        <v>2577</v>
      </c>
      <c r="B207" s="125" t="s">
        <v>1109</v>
      </c>
      <c r="C207">
        <v>2</v>
      </c>
      <c r="D207" s="125" t="s">
        <v>1109</v>
      </c>
      <c r="E207" s="125" t="s">
        <v>1109</v>
      </c>
      <c r="F207">
        <v>0.5</v>
      </c>
      <c r="G207" s="125" t="s">
        <v>1109</v>
      </c>
      <c r="H207">
        <v>0.5</v>
      </c>
      <c r="I207" s="125" t="s">
        <v>1109</v>
      </c>
      <c r="J207">
        <v>0.5</v>
      </c>
      <c r="K207">
        <v>4</v>
      </c>
      <c r="L207">
        <v>2</v>
      </c>
      <c r="M207">
        <v>0.5</v>
      </c>
      <c r="N207" s="125" t="s">
        <v>1109</v>
      </c>
      <c r="O207" s="125" t="s">
        <v>1109</v>
      </c>
      <c r="P207" s="125" t="s">
        <v>1109</v>
      </c>
      <c r="Q207">
        <v>0.5</v>
      </c>
      <c r="R207" s="125" t="s">
        <v>1109</v>
      </c>
      <c r="S207">
        <v>2</v>
      </c>
    </row>
    <row r="208" spans="1:19">
      <c r="A208" t="s">
        <v>2578</v>
      </c>
      <c r="B208" s="125" t="s">
        <v>1109</v>
      </c>
      <c r="C208">
        <v>2</v>
      </c>
      <c r="D208" s="125" t="s">
        <v>1109</v>
      </c>
      <c r="E208" s="125" t="s">
        <v>1109</v>
      </c>
      <c r="F208">
        <v>0.25</v>
      </c>
      <c r="G208" s="125" t="s">
        <v>1109</v>
      </c>
      <c r="H208">
        <v>0.25</v>
      </c>
      <c r="I208">
        <v>0.5</v>
      </c>
      <c r="J208" s="125" t="s">
        <v>1109</v>
      </c>
      <c r="K208">
        <v>2</v>
      </c>
      <c r="L208">
        <v>2</v>
      </c>
      <c r="M208">
        <v>0.5</v>
      </c>
      <c r="N208">
        <v>2</v>
      </c>
      <c r="O208" s="125" t="s">
        <v>1109</v>
      </c>
      <c r="P208" s="125" t="s">
        <v>1109</v>
      </c>
      <c r="Q208" s="125" t="s">
        <v>1109</v>
      </c>
      <c r="R208" s="125" t="s">
        <v>1109</v>
      </c>
      <c r="S208">
        <v>0.5</v>
      </c>
    </row>
    <row r="209" spans="1:19">
      <c r="A209" t="s">
        <v>2579</v>
      </c>
      <c r="B209" s="125" t="s">
        <v>1109</v>
      </c>
      <c r="C209">
        <v>2</v>
      </c>
      <c r="D209">
        <v>2</v>
      </c>
      <c r="E209">
        <v>0</v>
      </c>
      <c r="F209" s="125" t="s">
        <v>1109</v>
      </c>
      <c r="G209">
        <v>2</v>
      </c>
      <c r="H209">
        <v>0.5</v>
      </c>
      <c r="I209">
        <v>0.5</v>
      </c>
      <c r="J209">
        <v>0.5</v>
      </c>
      <c r="K209">
        <v>2</v>
      </c>
      <c r="L209" s="125" t="s">
        <v>1109</v>
      </c>
      <c r="M209" s="125" t="s">
        <v>1109</v>
      </c>
      <c r="N209" s="125" t="s">
        <v>1109</v>
      </c>
      <c r="O209" s="125" t="s">
        <v>1109</v>
      </c>
      <c r="P209" s="125" t="s">
        <v>1109</v>
      </c>
      <c r="Q209" s="125" t="s">
        <v>1109</v>
      </c>
      <c r="R209" s="125" t="s">
        <v>1109</v>
      </c>
      <c r="S209" s="125" t="s">
        <v>1109</v>
      </c>
    </row>
    <row r="210" spans="1:19">
      <c r="A210" t="s">
        <v>2580</v>
      </c>
      <c r="B210" s="125" t="s">
        <v>1109</v>
      </c>
      <c r="C210">
        <v>2</v>
      </c>
      <c r="D210" s="125" t="s">
        <v>1109</v>
      </c>
      <c r="E210">
        <v>2</v>
      </c>
      <c r="F210">
        <v>0.25</v>
      </c>
      <c r="G210">
        <v>2</v>
      </c>
      <c r="H210">
        <v>0.25</v>
      </c>
      <c r="I210" s="125" t="s">
        <v>1109</v>
      </c>
      <c r="J210">
        <v>0</v>
      </c>
      <c r="K210">
        <v>2</v>
      </c>
      <c r="L210" s="125" t="s">
        <v>1109</v>
      </c>
      <c r="M210">
        <v>0.5</v>
      </c>
      <c r="N210">
        <v>4</v>
      </c>
      <c r="O210" s="125" t="s">
        <v>1109</v>
      </c>
      <c r="P210" s="125" t="s">
        <v>1109</v>
      </c>
      <c r="Q210" s="125" t="s">
        <v>1109</v>
      </c>
      <c r="R210" s="125" t="s">
        <v>1109</v>
      </c>
      <c r="S210" s="125" t="s">
        <v>1109</v>
      </c>
    </row>
    <row r="211" spans="1:19">
      <c r="A211" t="s">
        <v>2581</v>
      </c>
      <c r="B211" s="125" t="s">
        <v>1109</v>
      </c>
      <c r="C211">
        <v>2</v>
      </c>
      <c r="D211" s="125" t="s">
        <v>1109</v>
      </c>
      <c r="E211" s="125" t="s">
        <v>1109</v>
      </c>
      <c r="F211">
        <v>0.5</v>
      </c>
      <c r="G211" s="125" t="s">
        <v>1109</v>
      </c>
      <c r="H211">
        <v>0.25</v>
      </c>
      <c r="I211" s="125" t="s">
        <v>1109</v>
      </c>
      <c r="J211">
        <v>0.5</v>
      </c>
      <c r="K211">
        <v>2</v>
      </c>
      <c r="L211">
        <v>0.5</v>
      </c>
      <c r="M211">
        <v>2</v>
      </c>
      <c r="N211">
        <v>2</v>
      </c>
      <c r="O211">
        <v>2</v>
      </c>
      <c r="P211" s="125" t="s">
        <v>1109</v>
      </c>
      <c r="Q211">
        <v>2</v>
      </c>
      <c r="R211" s="125" t="s">
        <v>1109</v>
      </c>
      <c r="S211" s="125" t="s">
        <v>1109</v>
      </c>
    </row>
    <row r="212" spans="1:19">
      <c r="A212" t="s">
        <v>2582</v>
      </c>
      <c r="B212">
        <v>0.5</v>
      </c>
      <c r="C212" s="125" t="s">
        <v>1109</v>
      </c>
      <c r="D212">
        <v>2</v>
      </c>
      <c r="E212" s="125" t="s">
        <v>1109</v>
      </c>
      <c r="F212" s="125" t="s">
        <v>1109</v>
      </c>
      <c r="G212" s="125" t="s">
        <v>1109</v>
      </c>
      <c r="H212" s="125" t="s">
        <v>1109</v>
      </c>
      <c r="I212">
        <v>0.5</v>
      </c>
      <c r="J212" s="125" t="s">
        <v>1109</v>
      </c>
      <c r="K212" s="125" t="s">
        <v>1109</v>
      </c>
      <c r="L212" s="125" t="s">
        <v>1109</v>
      </c>
      <c r="M212" s="125" t="s">
        <v>1109</v>
      </c>
      <c r="N212">
        <v>2</v>
      </c>
      <c r="O212" s="125" t="s">
        <v>1109</v>
      </c>
      <c r="P212" s="125" t="s">
        <v>1109</v>
      </c>
      <c r="Q212" s="125" t="s">
        <v>1109</v>
      </c>
      <c r="R212">
        <v>2</v>
      </c>
      <c r="S212" s="125" t="s">
        <v>1109</v>
      </c>
    </row>
    <row r="213" spans="1:19">
      <c r="A213" t="s">
        <v>2583</v>
      </c>
      <c r="B213">
        <v>0</v>
      </c>
      <c r="C213">
        <v>2</v>
      </c>
      <c r="D213" s="125" t="s">
        <v>1109</v>
      </c>
      <c r="E213" s="125" t="s">
        <v>1109</v>
      </c>
      <c r="F213">
        <v>0.5</v>
      </c>
      <c r="G213" s="125" t="s">
        <v>1109</v>
      </c>
      <c r="H213">
        <v>0</v>
      </c>
      <c r="I213">
        <v>0.5</v>
      </c>
      <c r="J213">
        <v>0.5</v>
      </c>
      <c r="K213">
        <v>2</v>
      </c>
      <c r="L213" s="125" t="s">
        <v>1109</v>
      </c>
      <c r="M213">
        <v>0.5</v>
      </c>
      <c r="N213">
        <v>2</v>
      </c>
      <c r="O213">
        <v>2</v>
      </c>
      <c r="P213" s="125" t="s">
        <v>1109</v>
      </c>
      <c r="Q213">
        <v>2</v>
      </c>
      <c r="R213" s="125" t="s">
        <v>1109</v>
      </c>
      <c r="S213" s="125" t="s">
        <v>1109</v>
      </c>
    </row>
    <row r="214" spans="1:19">
      <c r="A214" t="s">
        <v>2584</v>
      </c>
      <c r="B214" s="125" t="s">
        <v>1109</v>
      </c>
      <c r="C214" s="125" t="s">
        <v>1109</v>
      </c>
      <c r="D214">
        <v>0.5</v>
      </c>
      <c r="E214">
        <v>0.5</v>
      </c>
      <c r="F214">
        <v>0.25</v>
      </c>
      <c r="G214">
        <v>2</v>
      </c>
      <c r="H214">
        <v>0.5</v>
      </c>
      <c r="I214" s="125" t="s">
        <v>1109</v>
      </c>
      <c r="J214">
        <v>0.5</v>
      </c>
      <c r="K214">
        <v>2</v>
      </c>
      <c r="L214" s="125" t="s">
        <v>1109</v>
      </c>
      <c r="M214" s="125" t="s">
        <v>1109</v>
      </c>
      <c r="N214">
        <v>2</v>
      </c>
      <c r="O214" s="125" t="s">
        <v>1109</v>
      </c>
      <c r="P214">
        <v>2</v>
      </c>
      <c r="Q214" s="125" t="s">
        <v>1109</v>
      </c>
      <c r="R214" s="125" t="s">
        <v>1109</v>
      </c>
      <c r="S214">
        <v>2</v>
      </c>
    </row>
    <row r="215" spans="1:19">
      <c r="A215" t="s">
        <v>2585</v>
      </c>
      <c r="B215" s="125" t="s">
        <v>1109</v>
      </c>
      <c r="C215">
        <v>2</v>
      </c>
      <c r="D215" s="125" t="s">
        <v>1109</v>
      </c>
      <c r="E215" s="125" t="s">
        <v>1109</v>
      </c>
      <c r="F215">
        <v>0.5</v>
      </c>
      <c r="G215" s="125" t="s">
        <v>1109</v>
      </c>
      <c r="H215" s="125" t="s">
        <v>1109</v>
      </c>
      <c r="I215" s="125" t="s">
        <v>1109</v>
      </c>
      <c r="J215">
        <v>0.5</v>
      </c>
      <c r="K215">
        <v>2</v>
      </c>
      <c r="L215">
        <v>0</v>
      </c>
      <c r="M215">
        <v>2</v>
      </c>
      <c r="N215">
        <v>2</v>
      </c>
      <c r="O215">
        <v>0.5</v>
      </c>
      <c r="P215" s="125" t="s">
        <v>1109</v>
      </c>
      <c r="Q215">
        <v>0.5</v>
      </c>
      <c r="R215" s="125" t="s">
        <v>1109</v>
      </c>
      <c r="S215">
        <v>2</v>
      </c>
    </row>
    <row r="216" spans="1:19">
      <c r="A216" t="s">
        <v>2586</v>
      </c>
      <c r="B216">
        <v>0.5</v>
      </c>
      <c r="C216">
        <v>4</v>
      </c>
      <c r="D216" s="125" t="s">
        <v>1109</v>
      </c>
      <c r="E216" s="125" t="s">
        <v>1109</v>
      </c>
      <c r="F216">
        <v>0.25</v>
      </c>
      <c r="G216">
        <v>0.5</v>
      </c>
      <c r="H216" s="125" t="s">
        <v>1109</v>
      </c>
      <c r="I216">
        <v>0</v>
      </c>
      <c r="J216" s="125" t="s">
        <v>1109</v>
      </c>
      <c r="K216" s="125" t="s">
        <v>1109</v>
      </c>
      <c r="L216">
        <v>0.5</v>
      </c>
      <c r="M216">
        <v>0.5</v>
      </c>
      <c r="N216" s="125" t="s">
        <v>1109</v>
      </c>
      <c r="O216" s="125" t="s">
        <v>1109</v>
      </c>
      <c r="P216">
        <v>0.5</v>
      </c>
      <c r="Q216" s="125" t="s">
        <v>1109</v>
      </c>
      <c r="R216">
        <v>0.5</v>
      </c>
      <c r="S216">
        <v>0.5</v>
      </c>
    </row>
    <row r="217" spans="1:19">
      <c r="A217" t="s">
        <v>2587</v>
      </c>
      <c r="B217" s="125" t="s">
        <v>1109</v>
      </c>
      <c r="C217">
        <v>2</v>
      </c>
      <c r="D217" s="125" t="s">
        <v>1109</v>
      </c>
      <c r="E217" s="125" t="s">
        <v>1109</v>
      </c>
      <c r="F217">
        <v>0.5</v>
      </c>
      <c r="G217" s="125" t="s">
        <v>1109</v>
      </c>
      <c r="H217">
        <v>0.25</v>
      </c>
      <c r="I217">
        <v>2</v>
      </c>
      <c r="J217">
        <v>0.5</v>
      </c>
      <c r="K217">
        <v>2</v>
      </c>
      <c r="L217" s="125" t="s">
        <v>1109</v>
      </c>
      <c r="M217">
        <v>0.5</v>
      </c>
      <c r="N217">
        <v>2</v>
      </c>
      <c r="O217" s="125" t="s">
        <v>1109</v>
      </c>
      <c r="P217">
        <v>0</v>
      </c>
      <c r="Q217">
        <v>0.5</v>
      </c>
      <c r="R217">
        <v>2</v>
      </c>
      <c r="S217" s="125" t="s">
        <v>1109</v>
      </c>
    </row>
    <row r="218" spans="1:19">
      <c r="A218" t="s">
        <v>2378</v>
      </c>
      <c r="B218">
        <v>0.5</v>
      </c>
      <c r="C218">
        <v>0.5</v>
      </c>
      <c r="D218">
        <v>2</v>
      </c>
      <c r="E218" s="125" t="s">
        <v>1109</v>
      </c>
      <c r="F218">
        <v>2</v>
      </c>
      <c r="G218" s="125" t="s">
        <v>1109</v>
      </c>
      <c r="H218">
        <v>2</v>
      </c>
      <c r="I218">
        <v>0.5</v>
      </c>
      <c r="J218">
        <v>2</v>
      </c>
      <c r="K218">
        <v>0.5</v>
      </c>
      <c r="L218" s="125" t="s">
        <v>1109</v>
      </c>
      <c r="M218" s="125" t="s">
        <v>1109</v>
      </c>
      <c r="N218" s="125" t="s">
        <v>1109</v>
      </c>
      <c r="O218" s="125" t="s">
        <v>1109</v>
      </c>
      <c r="P218" s="125" t="s">
        <v>1109</v>
      </c>
      <c r="Q218" s="125" t="s">
        <v>1109</v>
      </c>
      <c r="R218">
        <v>2</v>
      </c>
      <c r="S218" s="125" t="s">
        <v>1109</v>
      </c>
    </row>
    <row r="219" spans="1:19">
      <c r="A219" t="s">
        <v>2588</v>
      </c>
      <c r="B219">
        <v>0.5</v>
      </c>
      <c r="C219">
        <v>0.5</v>
      </c>
      <c r="D219">
        <v>2</v>
      </c>
      <c r="E219" s="125" t="s">
        <v>1109</v>
      </c>
      <c r="F219">
        <v>2</v>
      </c>
      <c r="G219" s="125" t="s">
        <v>1109</v>
      </c>
      <c r="H219">
        <v>4</v>
      </c>
      <c r="I219">
        <v>0.5</v>
      </c>
      <c r="J219">
        <v>2</v>
      </c>
      <c r="K219">
        <v>0.5</v>
      </c>
      <c r="L219" s="125" t="s">
        <v>1109</v>
      </c>
      <c r="M219" s="125" t="s">
        <v>1109</v>
      </c>
      <c r="N219" s="125" t="s">
        <v>1109</v>
      </c>
      <c r="O219">
        <v>0</v>
      </c>
      <c r="P219" s="125" t="s">
        <v>1109</v>
      </c>
      <c r="Q219" s="125" t="s">
        <v>1109</v>
      </c>
      <c r="R219">
        <v>2</v>
      </c>
      <c r="S219" s="125" t="s">
        <v>1109</v>
      </c>
    </row>
    <row r="220" spans="1:19">
      <c r="A220" t="s">
        <v>2589</v>
      </c>
      <c r="B220">
        <v>0.5</v>
      </c>
      <c r="C220">
        <v>0.25</v>
      </c>
      <c r="D220">
        <v>4</v>
      </c>
      <c r="E220" s="125" t="s">
        <v>1109</v>
      </c>
      <c r="F220" s="125" t="s">
        <v>1109</v>
      </c>
      <c r="G220">
        <v>0.5</v>
      </c>
      <c r="H220">
        <v>2</v>
      </c>
      <c r="I220">
        <v>0.5</v>
      </c>
      <c r="J220">
        <v>4</v>
      </c>
      <c r="K220">
        <v>0.5</v>
      </c>
      <c r="L220" s="125" t="s">
        <v>1109</v>
      </c>
      <c r="M220">
        <v>0.5</v>
      </c>
      <c r="N220">
        <v>2</v>
      </c>
      <c r="O220" s="125" t="s">
        <v>1109</v>
      </c>
      <c r="P220" s="125" t="s">
        <v>1109</v>
      </c>
      <c r="Q220" s="125" t="s">
        <v>1109</v>
      </c>
      <c r="R220" s="125" t="s">
        <v>1109</v>
      </c>
      <c r="S220">
        <v>0.5</v>
      </c>
    </row>
    <row r="221" spans="1:19">
      <c r="A221" t="s">
        <v>2590</v>
      </c>
      <c r="B221">
        <v>0.5</v>
      </c>
      <c r="C221">
        <v>0.25</v>
      </c>
      <c r="D221" s="125" t="s">
        <v>1109</v>
      </c>
      <c r="E221">
        <v>2</v>
      </c>
      <c r="F221">
        <v>4</v>
      </c>
      <c r="G221">
        <v>0.5</v>
      </c>
      <c r="H221">
        <v>2</v>
      </c>
      <c r="I221">
        <v>0.5</v>
      </c>
      <c r="J221">
        <v>2</v>
      </c>
      <c r="K221">
        <v>0.5</v>
      </c>
      <c r="L221" s="125" t="s">
        <v>1109</v>
      </c>
      <c r="M221" s="125" t="s">
        <v>1109</v>
      </c>
      <c r="N221" s="125" t="s">
        <v>1109</v>
      </c>
      <c r="O221" s="125" t="s">
        <v>1109</v>
      </c>
      <c r="P221" s="125" t="s">
        <v>1109</v>
      </c>
      <c r="Q221" s="125" t="s">
        <v>1109</v>
      </c>
      <c r="R221" s="125" t="s">
        <v>1109</v>
      </c>
      <c r="S221" s="125" t="s">
        <v>1109</v>
      </c>
    </row>
    <row r="222" spans="1:19">
      <c r="A222" t="s">
        <v>2591</v>
      </c>
      <c r="B222">
        <v>0.5</v>
      </c>
      <c r="C222">
        <v>0.5</v>
      </c>
      <c r="D222">
        <v>2</v>
      </c>
      <c r="E222">
        <v>0.5</v>
      </c>
      <c r="F222">
        <v>2</v>
      </c>
      <c r="G222" s="125" t="s">
        <v>1109</v>
      </c>
      <c r="H222">
        <v>2</v>
      </c>
      <c r="I222">
        <v>0.5</v>
      </c>
      <c r="J222">
        <v>4</v>
      </c>
      <c r="K222">
        <v>0.25</v>
      </c>
      <c r="L222" s="125" t="s">
        <v>1109</v>
      </c>
      <c r="M222" s="125" t="s">
        <v>1109</v>
      </c>
      <c r="N222" s="125" t="s">
        <v>1109</v>
      </c>
      <c r="O222" s="125" t="s">
        <v>1109</v>
      </c>
      <c r="P222" s="125" t="s">
        <v>1109</v>
      </c>
      <c r="Q222" s="125" t="s">
        <v>1109</v>
      </c>
      <c r="R222" s="125" t="s">
        <v>1109</v>
      </c>
      <c r="S222" s="125" t="s">
        <v>1109</v>
      </c>
    </row>
    <row r="223" spans="1:19">
      <c r="A223" t="s">
        <v>2592</v>
      </c>
      <c r="B223">
        <v>0.5</v>
      </c>
      <c r="C223" s="125" t="s">
        <v>1109</v>
      </c>
      <c r="D223" s="125" t="s">
        <v>1109</v>
      </c>
      <c r="E223">
        <v>0.5</v>
      </c>
      <c r="F223" s="125" t="s">
        <v>1109</v>
      </c>
      <c r="G223">
        <v>2</v>
      </c>
      <c r="H223">
        <v>2</v>
      </c>
      <c r="I223" s="125" t="s">
        <v>1109</v>
      </c>
      <c r="J223" s="125" t="s">
        <v>1109</v>
      </c>
      <c r="K223" s="125" t="s">
        <v>1109</v>
      </c>
      <c r="L223" s="125" t="s">
        <v>1109</v>
      </c>
      <c r="M223">
        <v>2</v>
      </c>
      <c r="N223" s="125" t="s">
        <v>1109</v>
      </c>
      <c r="O223" s="125" t="s">
        <v>1109</v>
      </c>
      <c r="P223" s="125" t="s">
        <v>1109</v>
      </c>
      <c r="Q223" s="125" t="s">
        <v>1109</v>
      </c>
      <c r="R223">
        <v>2</v>
      </c>
      <c r="S223" s="125" t="s">
        <v>1109</v>
      </c>
    </row>
    <row r="224" spans="1:19">
      <c r="A224" t="s">
        <v>2593</v>
      </c>
      <c r="B224">
        <v>0.5</v>
      </c>
      <c r="C224" s="125" t="s">
        <v>1109</v>
      </c>
      <c r="D224">
        <v>2</v>
      </c>
      <c r="E224" s="125" t="s">
        <v>1109</v>
      </c>
      <c r="F224">
        <v>2</v>
      </c>
      <c r="G224">
        <v>0.5</v>
      </c>
      <c r="H224">
        <v>4</v>
      </c>
      <c r="I224">
        <v>0.5</v>
      </c>
      <c r="J224">
        <v>2</v>
      </c>
      <c r="K224">
        <v>0.5</v>
      </c>
      <c r="L224" s="125" t="s">
        <v>1109</v>
      </c>
      <c r="M224" s="125" t="s">
        <v>1109</v>
      </c>
      <c r="N224">
        <v>2</v>
      </c>
      <c r="O224" s="125" t="s">
        <v>1109</v>
      </c>
      <c r="P224" s="125" t="s">
        <v>1109</v>
      </c>
      <c r="Q224" s="125" t="s">
        <v>1109</v>
      </c>
      <c r="R224">
        <v>4</v>
      </c>
      <c r="S224" s="125" t="s">
        <v>1109</v>
      </c>
    </row>
    <row r="225" spans="1:19">
      <c r="A225" t="s">
        <v>2594</v>
      </c>
      <c r="B225">
        <v>0.5</v>
      </c>
      <c r="C225">
        <v>0.5</v>
      </c>
      <c r="D225">
        <v>2</v>
      </c>
      <c r="E225" s="125" t="s">
        <v>1109</v>
      </c>
      <c r="F225">
        <v>2</v>
      </c>
      <c r="G225" s="125" t="s">
        <v>1109</v>
      </c>
      <c r="H225">
        <v>2</v>
      </c>
      <c r="I225">
        <v>0.5</v>
      </c>
      <c r="J225">
        <v>2</v>
      </c>
      <c r="K225" s="125" t="s">
        <v>1109</v>
      </c>
      <c r="L225">
        <v>2</v>
      </c>
      <c r="M225">
        <v>0.5</v>
      </c>
      <c r="N225">
        <v>0.5</v>
      </c>
      <c r="O225" s="125" t="s">
        <v>1109</v>
      </c>
      <c r="P225" s="125" t="s">
        <v>1109</v>
      </c>
      <c r="Q225">
        <v>0.5</v>
      </c>
      <c r="R225">
        <v>2</v>
      </c>
      <c r="S225">
        <v>2</v>
      </c>
    </row>
    <row r="226" spans="1:19">
      <c r="A226" t="s">
        <v>2595</v>
      </c>
      <c r="B226">
        <v>0.5</v>
      </c>
      <c r="C226">
        <v>0.5</v>
      </c>
      <c r="D226">
        <v>2</v>
      </c>
      <c r="E226" s="125" t="s">
        <v>1109</v>
      </c>
      <c r="F226" s="125" t="s">
        <v>1109</v>
      </c>
      <c r="G226" s="125" t="s">
        <v>1109</v>
      </c>
      <c r="H226" s="125" t="s">
        <v>1109</v>
      </c>
      <c r="I226">
        <v>0.25</v>
      </c>
      <c r="J226">
        <v>4</v>
      </c>
      <c r="K226">
        <v>0.5</v>
      </c>
      <c r="L226">
        <v>2</v>
      </c>
      <c r="M226">
        <v>0.5</v>
      </c>
      <c r="N226" s="125" t="s">
        <v>1109</v>
      </c>
      <c r="O226" s="125" t="s">
        <v>1109</v>
      </c>
      <c r="P226" s="125" t="s">
        <v>1109</v>
      </c>
      <c r="Q226" s="125" t="s">
        <v>1109</v>
      </c>
      <c r="R226">
        <v>2</v>
      </c>
      <c r="S226">
        <v>0.5</v>
      </c>
    </row>
    <row r="227" spans="1:19">
      <c r="A227" t="s">
        <v>2596</v>
      </c>
      <c r="B227">
        <v>0.5</v>
      </c>
      <c r="C227">
        <v>0.5</v>
      </c>
      <c r="D227">
        <v>4</v>
      </c>
      <c r="E227">
        <v>0</v>
      </c>
      <c r="F227">
        <v>4</v>
      </c>
      <c r="G227">
        <v>2</v>
      </c>
      <c r="H227">
        <v>2</v>
      </c>
      <c r="I227">
        <v>0.25</v>
      </c>
      <c r="J227">
        <v>2</v>
      </c>
      <c r="K227">
        <v>0.5</v>
      </c>
      <c r="L227" s="125" t="s">
        <v>1109</v>
      </c>
      <c r="M227" s="125" t="s">
        <v>1109</v>
      </c>
      <c r="N227">
        <v>0.5</v>
      </c>
      <c r="O227" s="125" t="s">
        <v>1109</v>
      </c>
      <c r="P227" s="125" t="s">
        <v>1109</v>
      </c>
      <c r="Q227" s="125" t="s">
        <v>1109</v>
      </c>
      <c r="R227">
        <v>2</v>
      </c>
      <c r="S227" s="125" t="s">
        <v>1109</v>
      </c>
    </row>
    <row r="228" spans="1:19">
      <c r="A228" t="s">
        <v>2597</v>
      </c>
      <c r="B228">
        <v>0.5</v>
      </c>
      <c r="C228">
        <v>0.5</v>
      </c>
      <c r="D228">
        <v>2</v>
      </c>
      <c r="E228">
        <v>2</v>
      </c>
      <c r="F228" s="125" t="s">
        <v>1109</v>
      </c>
      <c r="G228">
        <v>2</v>
      </c>
      <c r="H228" s="125" t="s">
        <v>1109</v>
      </c>
      <c r="I228">
        <v>0.5</v>
      </c>
      <c r="J228">
        <v>0</v>
      </c>
      <c r="K228">
        <v>0.5</v>
      </c>
      <c r="L228" s="125" t="s">
        <v>1109</v>
      </c>
      <c r="M228">
        <v>0.5</v>
      </c>
      <c r="N228">
        <v>2</v>
      </c>
      <c r="O228" s="125" t="s">
        <v>1109</v>
      </c>
      <c r="P228" s="125" t="s">
        <v>1109</v>
      </c>
      <c r="Q228" s="125" t="s">
        <v>1109</v>
      </c>
      <c r="R228">
        <v>2</v>
      </c>
      <c r="S228" s="125" t="s">
        <v>1109</v>
      </c>
    </row>
    <row r="229" spans="1:19">
      <c r="A229" t="s">
        <v>2598</v>
      </c>
      <c r="B229">
        <v>0.5</v>
      </c>
      <c r="C229">
        <v>0.5</v>
      </c>
      <c r="D229">
        <v>2</v>
      </c>
      <c r="E229" s="125" t="s">
        <v>1109</v>
      </c>
      <c r="F229">
        <v>2</v>
      </c>
      <c r="G229" s="125" t="s">
        <v>1109</v>
      </c>
      <c r="H229" s="125" t="s">
        <v>1109</v>
      </c>
      <c r="I229">
        <v>0.5</v>
      </c>
      <c r="J229">
        <v>2</v>
      </c>
      <c r="K229">
        <v>0.5</v>
      </c>
      <c r="L229">
        <v>0.5</v>
      </c>
      <c r="M229">
        <v>2</v>
      </c>
      <c r="N229" s="125" t="s">
        <v>1109</v>
      </c>
      <c r="O229">
        <v>2</v>
      </c>
      <c r="P229" s="125" t="s">
        <v>1109</v>
      </c>
      <c r="Q229">
        <v>2</v>
      </c>
      <c r="R229">
        <v>2</v>
      </c>
      <c r="S229" s="125" t="s">
        <v>1109</v>
      </c>
    </row>
    <row r="230" spans="1:19">
      <c r="A230" t="s">
        <v>2599</v>
      </c>
      <c r="B230">
        <v>0.5</v>
      </c>
      <c r="C230" s="125" t="s">
        <v>1109</v>
      </c>
      <c r="D230">
        <v>2</v>
      </c>
      <c r="E230" s="125" t="s">
        <v>1109</v>
      </c>
      <c r="F230" s="125" t="s">
        <v>1109</v>
      </c>
      <c r="G230" s="125" t="s">
        <v>1109</v>
      </c>
      <c r="H230" s="125" t="s">
        <v>1109</v>
      </c>
      <c r="I230">
        <v>0.5</v>
      </c>
      <c r="J230" s="125" t="s">
        <v>1109</v>
      </c>
      <c r="K230" s="125" t="s">
        <v>1109</v>
      </c>
      <c r="L230" s="125" t="s">
        <v>1109</v>
      </c>
      <c r="M230" s="125" t="s">
        <v>1109</v>
      </c>
      <c r="N230">
        <v>2</v>
      </c>
      <c r="O230" s="125" t="s">
        <v>1109</v>
      </c>
      <c r="P230" s="125" t="s">
        <v>1109</v>
      </c>
      <c r="Q230" s="125" t="s">
        <v>1109</v>
      </c>
      <c r="R230">
        <v>2</v>
      </c>
      <c r="S230" s="125" t="s">
        <v>1109</v>
      </c>
    </row>
    <row r="231" spans="1:19">
      <c r="A231" t="s">
        <v>2600</v>
      </c>
      <c r="B231">
        <v>0</v>
      </c>
      <c r="C231">
        <v>0.5</v>
      </c>
      <c r="D231">
        <v>2</v>
      </c>
      <c r="E231" s="125" t="s">
        <v>1109</v>
      </c>
      <c r="F231">
        <v>2</v>
      </c>
      <c r="G231" s="125" t="s">
        <v>1109</v>
      </c>
      <c r="H231">
        <v>0</v>
      </c>
      <c r="I231">
        <v>0.25</v>
      </c>
      <c r="J231">
        <v>2</v>
      </c>
      <c r="K231">
        <v>0.5</v>
      </c>
      <c r="L231" s="125" t="s">
        <v>1109</v>
      </c>
      <c r="M231">
        <v>0.5</v>
      </c>
      <c r="N231" s="125" t="s">
        <v>1109</v>
      </c>
      <c r="O231">
        <v>2</v>
      </c>
      <c r="P231" s="125" t="s">
        <v>1109</v>
      </c>
      <c r="Q231">
        <v>2</v>
      </c>
      <c r="R231">
        <v>2</v>
      </c>
      <c r="S231" s="125" t="s">
        <v>1109</v>
      </c>
    </row>
    <row r="232" spans="1:19">
      <c r="A232" t="s">
        <v>2601</v>
      </c>
      <c r="B232">
        <v>0.5</v>
      </c>
      <c r="C232">
        <v>0.25</v>
      </c>
      <c r="D232" s="125" t="s">
        <v>1109</v>
      </c>
      <c r="E232">
        <v>0.5</v>
      </c>
      <c r="F232" s="125" t="s">
        <v>1109</v>
      </c>
      <c r="G232">
        <v>2</v>
      </c>
      <c r="H232">
        <v>2</v>
      </c>
      <c r="I232">
        <v>0.5</v>
      </c>
      <c r="J232">
        <v>2</v>
      </c>
      <c r="K232">
        <v>0.5</v>
      </c>
      <c r="L232" s="125" t="s">
        <v>1109</v>
      </c>
      <c r="M232" s="125" t="s">
        <v>1109</v>
      </c>
      <c r="N232" s="125" t="s">
        <v>1109</v>
      </c>
      <c r="O232" s="125" t="s">
        <v>1109</v>
      </c>
      <c r="P232">
        <v>2</v>
      </c>
      <c r="Q232" s="125" t="s">
        <v>1109</v>
      </c>
      <c r="R232">
        <v>2</v>
      </c>
      <c r="S232">
        <v>2</v>
      </c>
    </row>
    <row r="233" spans="1:19">
      <c r="A233" t="s">
        <v>2602</v>
      </c>
      <c r="B233">
        <v>0.5</v>
      </c>
      <c r="C233">
        <v>0.5</v>
      </c>
      <c r="D233">
        <v>2</v>
      </c>
      <c r="E233" s="125" t="s">
        <v>1109</v>
      </c>
      <c r="F233">
        <v>2</v>
      </c>
      <c r="G233" s="125" t="s">
        <v>1109</v>
      </c>
      <c r="H233">
        <v>4</v>
      </c>
      <c r="I233">
        <v>0.5</v>
      </c>
      <c r="J233">
        <v>2</v>
      </c>
      <c r="K233">
        <v>0.5</v>
      </c>
      <c r="L233">
        <v>0</v>
      </c>
      <c r="M233">
        <v>2</v>
      </c>
      <c r="N233" s="125" t="s">
        <v>1109</v>
      </c>
      <c r="O233">
        <v>0.5</v>
      </c>
      <c r="P233" s="125" t="s">
        <v>1109</v>
      </c>
      <c r="Q233">
        <v>0.5</v>
      </c>
      <c r="R233">
        <v>2</v>
      </c>
      <c r="S233">
        <v>2</v>
      </c>
    </row>
    <row r="234" spans="1:19">
      <c r="A234" t="s">
        <v>2603</v>
      </c>
      <c r="B234">
        <v>0.25</v>
      </c>
      <c r="C234" s="125" t="s">
        <v>1109</v>
      </c>
      <c r="D234">
        <v>2</v>
      </c>
      <c r="E234" s="125" t="s">
        <v>1109</v>
      </c>
      <c r="F234" s="125" t="s">
        <v>1109</v>
      </c>
      <c r="G234">
        <v>0.5</v>
      </c>
      <c r="H234">
        <v>4</v>
      </c>
      <c r="I234">
        <v>0</v>
      </c>
      <c r="J234">
        <v>4</v>
      </c>
      <c r="K234">
        <v>0.25</v>
      </c>
      <c r="L234">
        <v>0.5</v>
      </c>
      <c r="M234">
        <v>0.5</v>
      </c>
      <c r="N234">
        <v>0.5</v>
      </c>
      <c r="O234" s="125" t="s">
        <v>1109</v>
      </c>
      <c r="P234">
        <v>0.5</v>
      </c>
      <c r="Q234" s="125" t="s">
        <v>1109</v>
      </c>
      <c r="R234" s="125" t="s">
        <v>1109</v>
      </c>
      <c r="S234">
        <v>0.5</v>
      </c>
    </row>
    <row r="235" spans="1:19">
      <c r="A235" t="s">
        <v>2604</v>
      </c>
      <c r="B235">
        <v>0.5</v>
      </c>
      <c r="C235">
        <v>0.5</v>
      </c>
      <c r="D235">
        <v>2</v>
      </c>
      <c r="E235" s="125" t="s">
        <v>1109</v>
      </c>
      <c r="F235">
        <v>2</v>
      </c>
      <c r="G235" s="125" t="s">
        <v>1109</v>
      </c>
      <c r="H235" s="125" t="s">
        <v>1109</v>
      </c>
      <c r="I235" s="125" t="s">
        <v>1109</v>
      </c>
      <c r="J235">
        <v>2</v>
      </c>
      <c r="K235">
        <v>0.5</v>
      </c>
      <c r="L235" s="125" t="s">
        <v>1109</v>
      </c>
      <c r="M235">
        <v>0.5</v>
      </c>
      <c r="N235" s="125" t="s">
        <v>1109</v>
      </c>
      <c r="O235" s="125" t="s">
        <v>1109</v>
      </c>
      <c r="P235">
        <v>0</v>
      </c>
      <c r="Q235">
        <v>0.5</v>
      </c>
      <c r="R235">
        <v>4</v>
      </c>
      <c r="S235" s="125" t="s">
        <v>1109</v>
      </c>
    </row>
    <row r="236" spans="1:19">
      <c r="A236" t="s">
        <v>2379</v>
      </c>
      <c r="B236">
        <v>0</v>
      </c>
      <c r="C236" s="125" t="s">
        <v>1109</v>
      </c>
      <c r="D236" s="125" t="s">
        <v>1109</v>
      </c>
      <c r="E236" s="125" t="s">
        <v>1109</v>
      </c>
      <c r="F236" s="125" t="s">
        <v>1109</v>
      </c>
      <c r="G236" s="125" t="s">
        <v>1109</v>
      </c>
      <c r="H236">
        <v>0</v>
      </c>
      <c r="I236">
        <v>0.5</v>
      </c>
      <c r="J236" s="125" t="s">
        <v>1109</v>
      </c>
      <c r="K236" s="125" t="s">
        <v>1109</v>
      </c>
      <c r="L236" s="125" t="s">
        <v>1109</v>
      </c>
      <c r="M236">
        <v>0.5</v>
      </c>
      <c r="N236" s="125" t="s">
        <v>1109</v>
      </c>
      <c r="O236">
        <v>2</v>
      </c>
      <c r="P236" s="125" t="s">
        <v>1109</v>
      </c>
      <c r="Q236">
        <v>2</v>
      </c>
      <c r="R236" s="125" t="s">
        <v>1109</v>
      </c>
      <c r="S236" s="125" t="s">
        <v>1109</v>
      </c>
    </row>
    <row r="237" spans="1:19">
      <c r="A237" t="s">
        <v>2605</v>
      </c>
      <c r="B237">
        <v>0</v>
      </c>
      <c r="C237" s="125" t="s">
        <v>1109</v>
      </c>
      <c r="D237" s="125" t="s">
        <v>1109</v>
      </c>
      <c r="E237" s="125" t="s">
        <v>1109</v>
      </c>
      <c r="F237" s="125" t="s">
        <v>1109</v>
      </c>
      <c r="G237" s="125" t="s">
        <v>1109</v>
      </c>
      <c r="H237">
        <v>0</v>
      </c>
      <c r="I237">
        <v>0.5</v>
      </c>
      <c r="J237" s="125" t="s">
        <v>1109</v>
      </c>
      <c r="K237" s="125" t="s">
        <v>1109</v>
      </c>
      <c r="L237" s="125" t="s">
        <v>1109</v>
      </c>
      <c r="M237">
        <v>0.5</v>
      </c>
      <c r="N237" s="125" t="s">
        <v>1109</v>
      </c>
      <c r="O237">
        <v>0</v>
      </c>
      <c r="P237" s="125" t="s">
        <v>1109</v>
      </c>
      <c r="Q237">
        <v>2</v>
      </c>
      <c r="R237" s="125" t="s">
        <v>1109</v>
      </c>
      <c r="S237" s="125" t="s">
        <v>1109</v>
      </c>
    </row>
    <row r="238" spans="1:19">
      <c r="A238" t="s">
        <v>2606</v>
      </c>
      <c r="B238">
        <v>0</v>
      </c>
      <c r="C238">
        <v>0.5</v>
      </c>
      <c r="D238">
        <v>2</v>
      </c>
      <c r="E238" s="125" t="s">
        <v>1109</v>
      </c>
      <c r="F238">
        <v>0.5</v>
      </c>
      <c r="G238">
        <v>0.5</v>
      </c>
      <c r="H238">
        <v>0</v>
      </c>
      <c r="I238">
        <v>0.5</v>
      </c>
      <c r="J238">
        <v>2</v>
      </c>
      <c r="K238" s="125" t="s">
        <v>1109</v>
      </c>
      <c r="L238" s="125" t="s">
        <v>1109</v>
      </c>
      <c r="M238">
        <v>0.25</v>
      </c>
      <c r="N238">
        <v>2</v>
      </c>
      <c r="O238">
        <v>2</v>
      </c>
      <c r="P238" s="125" t="s">
        <v>1109</v>
      </c>
      <c r="Q238">
        <v>2</v>
      </c>
      <c r="R238">
        <v>0.5</v>
      </c>
      <c r="S238">
        <v>0.5</v>
      </c>
    </row>
    <row r="239" spans="1:19">
      <c r="A239" t="s">
        <v>2607</v>
      </c>
      <c r="B239">
        <v>0</v>
      </c>
      <c r="C239">
        <v>0.5</v>
      </c>
      <c r="D239">
        <v>0.5</v>
      </c>
      <c r="E239">
        <v>2</v>
      </c>
      <c r="F239">
        <v>2</v>
      </c>
      <c r="G239">
        <v>0.5</v>
      </c>
      <c r="H239">
        <v>0</v>
      </c>
      <c r="I239">
        <v>0.5</v>
      </c>
      <c r="J239" s="125" t="s">
        <v>1109</v>
      </c>
      <c r="K239" s="125" t="s">
        <v>1109</v>
      </c>
      <c r="L239" s="125" t="s">
        <v>1109</v>
      </c>
      <c r="M239">
        <v>0.5</v>
      </c>
      <c r="N239" s="125" t="s">
        <v>1109</v>
      </c>
      <c r="O239">
        <v>2</v>
      </c>
      <c r="P239" s="125" t="s">
        <v>1109</v>
      </c>
      <c r="Q239">
        <v>2</v>
      </c>
      <c r="R239">
        <v>0.5</v>
      </c>
      <c r="S239" s="125" t="s">
        <v>1109</v>
      </c>
    </row>
    <row r="240" spans="1:19">
      <c r="A240" t="s">
        <v>2608</v>
      </c>
      <c r="B240">
        <v>0</v>
      </c>
      <c r="C240" s="125" t="s">
        <v>1109</v>
      </c>
      <c r="D240" s="125" t="s">
        <v>1109</v>
      </c>
      <c r="E240">
        <v>0.5</v>
      </c>
      <c r="F240" s="125" t="s">
        <v>1109</v>
      </c>
      <c r="G240" s="125" t="s">
        <v>1109</v>
      </c>
      <c r="H240">
        <v>0</v>
      </c>
      <c r="I240">
        <v>0.5</v>
      </c>
      <c r="J240">
        <v>2</v>
      </c>
      <c r="K240">
        <v>0.5</v>
      </c>
      <c r="L240" s="125" t="s">
        <v>1109</v>
      </c>
      <c r="M240">
        <v>0.5</v>
      </c>
      <c r="N240" s="125" t="s">
        <v>1109</v>
      </c>
      <c r="O240">
        <v>2</v>
      </c>
      <c r="P240" s="125" t="s">
        <v>1109</v>
      </c>
      <c r="Q240">
        <v>2</v>
      </c>
      <c r="R240">
        <v>0.5</v>
      </c>
      <c r="S240" s="125" t="s">
        <v>1109</v>
      </c>
    </row>
    <row r="241" spans="1:19">
      <c r="A241" t="s">
        <v>2609</v>
      </c>
      <c r="B241">
        <v>0</v>
      </c>
      <c r="C241">
        <v>2</v>
      </c>
      <c r="D241">
        <v>0.5</v>
      </c>
      <c r="E241">
        <v>0.5</v>
      </c>
      <c r="F241">
        <v>0.5</v>
      </c>
      <c r="G241">
        <v>2</v>
      </c>
      <c r="H241">
        <v>0</v>
      </c>
      <c r="I241" s="125" t="s">
        <v>1109</v>
      </c>
      <c r="J241">
        <v>0.5</v>
      </c>
      <c r="K241">
        <v>2</v>
      </c>
      <c r="L241" s="125" t="s">
        <v>1109</v>
      </c>
      <c r="M241" s="125" t="s">
        <v>1109</v>
      </c>
      <c r="N241" s="125" t="s">
        <v>1109</v>
      </c>
      <c r="O241">
        <v>2</v>
      </c>
      <c r="P241" s="125" t="s">
        <v>1109</v>
      </c>
      <c r="Q241">
        <v>2</v>
      </c>
      <c r="R241" s="125" t="s">
        <v>1109</v>
      </c>
      <c r="S241" s="125" t="s">
        <v>1109</v>
      </c>
    </row>
    <row r="242" spans="1:19">
      <c r="A242" t="s">
        <v>2610</v>
      </c>
      <c r="B242">
        <v>0</v>
      </c>
      <c r="C242">
        <v>2</v>
      </c>
      <c r="D242" s="125" t="s">
        <v>1109</v>
      </c>
      <c r="E242" s="125" t="s">
        <v>1109</v>
      </c>
      <c r="F242" s="125" t="s">
        <v>1109</v>
      </c>
      <c r="G242">
        <v>0.5</v>
      </c>
      <c r="H242">
        <v>0</v>
      </c>
      <c r="I242">
        <v>0.5</v>
      </c>
      <c r="J242" s="125" t="s">
        <v>1109</v>
      </c>
      <c r="K242" s="125" t="s">
        <v>1109</v>
      </c>
      <c r="L242" s="125" t="s">
        <v>1109</v>
      </c>
      <c r="M242">
        <v>0.5</v>
      </c>
      <c r="N242">
        <v>2</v>
      </c>
      <c r="O242">
        <v>2</v>
      </c>
      <c r="P242" s="125" t="s">
        <v>1109</v>
      </c>
      <c r="Q242">
        <v>2</v>
      </c>
      <c r="R242">
        <v>2</v>
      </c>
      <c r="S242" s="125" t="s">
        <v>1109</v>
      </c>
    </row>
    <row r="243" spans="1:19">
      <c r="A243" t="s">
        <v>2611</v>
      </c>
      <c r="B243">
        <v>0</v>
      </c>
      <c r="C243" s="125" t="s">
        <v>1109</v>
      </c>
      <c r="D243" s="125" t="s">
        <v>1109</v>
      </c>
      <c r="E243" s="125" t="s">
        <v>1109</v>
      </c>
      <c r="F243" s="125" t="s">
        <v>1109</v>
      </c>
      <c r="G243" s="125" t="s">
        <v>1109</v>
      </c>
      <c r="H243">
        <v>0</v>
      </c>
      <c r="I243">
        <v>0.5</v>
      </c>
      <c r="J243" s="125" t="s">
        <v>1109</v>
      </c>
      <c r="K243">
        <v>2</v>
      </c>
      <c r="L243">
        <v>2</v>
      </c>
      <c r="M243">
        <v>0.25</v>
      </c>
      <c r="N243">
        <v>0.5</v>
      </c>
      <c r="O243">
        <v>2</v>
      </c>
      <c r="P243" s="125" t="s">
        <v>1109</v>
      </c>
      <c r="Q243" s="125" t="s">
        <v>1109</v>
      </c>
      <c r="R243" s="125" t="s">
        <v>1109</v>
      </c>
      <c r="S243">
        <v>2</v>
      </c>
    </row>
    <row r="244" spans="1:19">
      <c r="A244" t="s">
        <v>2612</v>
      </c>
      <c r="B244">
        <v>0</v>
      </c>
      <c r="C244" s="125" t="s">
        <v>1109</v>
      </c>
      <c r="D244" s="125" t="s">
        <v>1109</v>
      </c>
      <c r="E244" s="125" t="s">
        <v>1109</v>
      </c>
      <c r="F244">
        <v>0.5</v>
      </c>
      <c r="G244" s="125" t="s">
        <v>1109</v>
      </c>
      <c r="H244">
        <v>0</v>
      </c>
      <c r="I244">
        <v>0.25</v>
      </c>
      <c r="J244">
        <v>2</v>
      </c>
      <c r="K244" s="125" t="s">
        <v>1109</v>
      </c>
      <c r="L244">
        <v>2</v>
      </c>
      <c r="M244">
        <v>0.25</v>
      </c>
      <c r="N244" s="125" t="s">
        <v>1109</v>
      </c>
      <c r="O244">
        <v>2</v>
      </c>
      <c r="P244" s="125" t="s">
        <v>1109</v>
      </c>
      <c r="Q244">
        <v>2</v>
      </c>
      <c r="R244" s="125" t="s">
        <v>1109</v>
      </c>
      <c r="S244">
        <v>0.5</v>
      </c>
    </row>
    <row r="245" spans="1:19">
      <c r="A245" t="s">
        <v>2613</v>
      </c>
      <c r="B245">
        <v>0</v>
      </c>
      <c r="C245" s="125" t="s">
        <v>1109</v>
      </c>
      <c r="D245">
        <v>2</v>
      </c>
      <c r="E245">
        <v>0</v>
      </c>
      <c r="F245">
        <v>2</v>
      </c>
      <c r="G245">
        <v>2</v>
      </c>
      <c r="H245">
        <v>0</v>
      </c>
      <c r="I245">
        <v>0.25</v>
      </c>
      <c r="J245" s="125" t="s">
        <v>1109</v>
      </c>
      <c r="K245" s="125" t="s">
        <v>1109</v>
      </c>
      <c r="L245" s="125" t="s">
        <v>1109</v>
      </c>
      <c r="M245">
        <v>0.5</v>
      </c>
      <c r="N245">
        <v>0.5</v>
      </c>
      <c r="O245">
        <v>2</v>
      </c>
      <c r="P245" s="125" t="s">
        <v>1109</v>
      </c>
      <c r="Q245">
        <v>2</v>
      </c>
      <c r="R245" s="125" t="s">
        <v>1109</v>
      </c>
      <c r="S245" s="125" t="s">
        <v>1109</v>
      </c>
    </row>
    <row r="246" spans="1:19">
      <c r="A246" t="s">
        <v>2614</v>
      </c>
      <c r="B246">
        <v>0</v>
      </c>
      <c r="C246" s="125" t="s">
        <v>1109</v>
      </c>
      <c r="D246" s="125" t="s">
        <v>1109</v>
      </c>
      <c r="E246">
        <v>2</v>
      </c>
      <c r="F246">
        <v>0.5</v>
      </c>
      <c r="G246">
        <v>2</v>
      </c>
      <c r="H246">
        <v>0</v>
      </c>
      <c r="I246">
        <v>0.5</v>
      </c>
      <c r="J246">
        <v>0</v>
      </c>
      <c r="K246" s="125" t="s">
        <v>1109</v>
      </c>
      <c r="L246" s="125" t="s">
        <v>1109</v>
      </c>
      <c r="M246">
        <v>0.25</v>
      </c>
      <c r="N246">
        <v>2</v>
      </c>
      <c r="O246">
        <v>2</v>
      </c>
      <c r="P246" s="125" t="s">
        <v>1109</v>
      </c>
      <c r="Q246">
        <v>2</v>
      </c>
      <c r="R246" s="125" t="s">
        <v>1109</v>
      </c>
      <c r="S246" s="125" t="s">
        <v>1109</v>
      </c>
    </row>
    <row r="247" spans="1:19">
      <c r="A247" t="s">
        <v>2615</v>
      </c>
      <c r="B247">
        <v>0</v>
      </c>
      <c r="C247" s="125" t="s">
        <v>1109</v>
      </c>
      <c r="D247" s="125" t="s">
        <v>1109</v>
      </c>
      <c r="E247" s="125" t="s">
        <v>1109</v>
      </c>
      <c r="F247" s="125" t="s">
        <v>1109</v>
      </c>
      <c r="G247" s="125" t="s">
        <v>1109</v>
      </c>
      <c r="H247">
        <v>0</v>
      </c>
      <c r="I247">
        <v>0.5</v>
      </c>
      <c r="J247" s="125" t="s">
        <v>1109</v>
      </c>
      <c r="K247" s="125" t="s">
        <v>1109</v>
      </c>
      <c r="L247">
        <v>0.5</v>
      </c>
      <c r="M247" s="125" t="s">
        <v>1109</v>
      </c>
      <c r="N247" s="125" t="s">
        <v>1109</v>
      </c>
      <c r="O247">
        <v>4</v>
      </c>
      <c r="P247" s="125" t="s">
        <v>1109</v>
      </c>
      <c r="Q247">
        <v>4</v>
      </c>
      <c r="R247" s="125" t="s">
        <v>1109</v>
      </c>
      <c r="S247" s="125" t="s">
        <v>1109</v>
      </c>
    </row>
    <row r="248" spans="1:19">
      <c r="A248" t="s">
        <v>2616</v>
      </c>
      <c r="B248">
        <v>0</v>
      </c>
      <c r="C248">
        <v>2</v>
      </c>
      <c r="D248" s="125" t="s">
        <v>1109</v>
      </c>
      <c r="E248" s="125" t="s">
        <v>1109</v>
      </c>
      <c r="F248">
        <v>0.5</v>
      </c>
      <c r="G248" s="125" t="s">
        <v>1109</v>
      </c>
      <c r="H248">
        <v>0</v>
      </c>
      <c r="I248">
        <v>0.5</v>
      </c>
      <c r="J248">
        <v>0.5</v>
      </c>
      <c r="K248">
        <v>2</v>
      </c>
      <c r="L248" s="125" t="s">
        <v>1109</v>
      </c>
      <c r="M248">
        <v>0.5</v>
      </c>
      <c r="N248">
        <v>2</v>
      </c>
      <c r="O248">
        <v>2</v>
      </c>
      <c r="P248" s="125" t="s">
        <v>1109</v>
      </c>
      <c r="Q248">
        <v>2</v>
      </c>
      <c r="R248" s="125" t="s">
        <v>1109</v>
      </c>
      <c r="S248" s="125" t="s">
        <v>1109</v>
      </c>
    </row>
    <row r="249" spans="1:19">
      <c r="A249" t="s">
        <v>2617</v>
      </c>
      <c r="B249">
        <v>0</v>
      </c>
      <c r="C249">
        <v>0.5</v>
      </c>
      <c r="D249">
        <v>2</v>
      </c>
      <c r="E249" s="125" t="s">
        <v>1109</v>
      </c>
      <c r="F249">
        <v>2</v>
      </c>
      <c r="G249" s="125" t="s">
        <v>1109</v>
      </c>
      <c r="H249">
        <v>0</v>
      </c>
      <c r="I249">
        <v>0.25</v>
      </c>
      <c r="J249">
        <v>2</v>
      </c>
      <c r="K249">
        <v>0.5</v>
      </c>
      <c r="L249" s="125" t="s">
        <v>1109</v>
      </c>
      <c r="M249">
        <v>0.5</v>
      </c>
      <c r="N249" s="125" t="s">
        <v>1109</v>
      </c>
      <c r="O249">
        <v>2</v>
      </c>
      <c r="P249" s="125" t="s">
        <v>1109</v>
      </c>
      <c r="Q249">
        <v>2</v>
      </c>
      <c r="R249">
        <v>2</v>
      </c>
      <c r="S249" s="125" t="s">
        <v>1109</v>
      </c>
    </row>
    <row r="250" spans="1:19">
      <c r="A250" t="s">
        <v>2618</v>
      </c>
      <c r="B250">
        <v>0</v>
      </c>
      <c r="C250">
        <v>0.5</v>
      </c>
      <c r="D250">
        <v>0.5</v>
      </c>
      <c r="E250">
        <v>0.5</v>
      </c>
      <c r="F250">
        <v>0.5</v>
      </c>
      <c r="G250">
        <v>2</v>
      </c>
      <c r="H250">
        <v>0</v>
      </c>
      <c r="I250">
        <v>0.5</v>
      </c>
      <c r="J250" s="125" t="s">
        <v>1109</v>
      </c>
      <c r="K250" s="125" t="s">
        <v>1109</v>
      </c>
      <c r="L250" s="125" t="s">
        <v>1109</v>
      </c>
      <c r="M250">
        <v>0.5</v>
      </c>
      <c r="N250" s="125" t="s">
        <v>1109</v>
      </c>
      <c r="O250">
        <v>2</v>
      </c>
      <c r="P250">
        <v>2</v>
      </c>
      <c r="Q250">
        <v>2</v>
      </c>
      <c r="R250" s="125" t="s">
        <v>1109</v>
      </c>
      <c r="S250">
        <v>2</v>
      </c>
    </row>
    <row r="251" spans="1:19">
      <c r="A251" t="s">
        <v>2619</v>
      </c>
      <c r="B251">
        <v>0</v>
      </c>
      <c r="C251" s="125" t="s">
        <v>1109</v>
      </c>
      <c r="D251" s="125" t="s">
        <v>1109</v>
      </c>
      <c r="E251" s="125" t="s">
        <v>1109</v>
      </c>
      <c r="F251" s="125" t="s">
        <v>1109</v>
      </c>
      <c r="G251" s="125" t="s">
        <v>1109</v>
      </c>
      <c r="H251">
        <v>0</v>
      </c>
      <c r="I251">
        <v>0.5</v>
      </c>
      <c r="J251" s="125" t="s">
        <v>1109</v>
      </c>
      <c r="K251" s="125" t="s">
        <v>1109</v>
      </c>
      <c r="L251">
        <v>0</v>
      </c>
      <c r="M251" s="125" t="s">
        <v>1109</v>
      </c>
      <c r="N251" s="125" t="s">
        <v>1109</v>
      </c>
      <c r="O251" s="125" t="s">
        <v>1109</v>
      </c>
      <c r="P251" s="125" t="s">
        <v>1109</v>
      </c>
      <c r="Q251" s="125" t="s">
        <v>1109</v>
      </c>
      <c r="R251" s="125" t="s">
        <v>1109</v>
      </c>
      <c r="S251">
        <v>2</v>
      </c>
    </row>
    <row r="252" spans="1:19">
      <c r="A252" t="s">
        <v>2620</v>
      </c>
      <c r="B252">
        <v>0</v>
      </c>
      <c r="C252">
        <v>2</v>
      </c>
      <c r="D252" s="125" t="s">
        <v>1109</v>
      </c>
      <c r="E252" s="125" t="s">
        <v>1109</v>
      </c>
      <c r="F252">
        <v>0.5</v>
      </c>
      <c r="G252">
        <v>0.5</v>
      </c>
      <c r="H252">
        <v>0</v>
      </c>
      <c r="I252">
        <v>0</v>
      </c>
      <c r="J252">
        <v>2</v>
      </c>
      <c r="K252">
        <v>0.5</v>
      </c>
      <c r="L252">
        <v>0.5</v>
      </c>
      <c r="M252">
        <v>0.25</v>
      </c>
      <c r="N252">
        <v>0.5</v>
      </c>
      <c r="O252">
        <v>2</v>
      </c>
      <c r="P252">
        <v>0.5</v>
      </c>
      <c r="Q252">
        <v>2</v>
      </c>
      <c r="R252">
        <v>0.5</v>
      </c>
      <c r="S252">
        <v>0.5</v>
      </c>
    </row>
    <row r="253" spans="1:19">
      <c r="A253" t="s">
        <v>2621</v>
      </c>
      <c r="B253">
        <v>0</v>
      </c>
      <c r="C253" s="125" t="s">
        <v>1109</v>
      </c>
      <c r="D253" s="125" t="s">
        <v>1109</v>
      </c>
      <c r="E253" s="125" t="s">
        <v>1109</v>
      </c>
      <c r="F253" s="125" t="s">
        <v>1109</v>
      </c>
      <c r="G253" s="125" t="s">
        <v>1109</v>
      </c>
      <c r="H253">
        <v>0</v>
      </c>
      <c r="I253" s="125" t="s">
        <v>1109</v>
      </c>
      <c r="J253" s="125" t="s">
        <v>1109</v>
      </c>
      <c r="K253" s="125" t="s">
        <v>1109</v>
      </c>
      <c r="L253" s="125" t="s">
        <v>1109</v>
      </c>
      <c r="M253">
        <v>0.25</v>
      </c>
      <c r="N253" s="125" t="s">
        <v>1109</v>
      </c>
      <c r="O253">
        <v>2</v>
      </c>
      <c r="P253">
        <v>0</v>
      </c>
      <c r="Q253" s="125" t="s">
        <v>1109</v>
      </c>
      <c r="R253">
        <v>2</v>
      </c>
      <c r="S253" s="125" t="s">
        <v>1109</v>
      </c>
    </row>
    <row r="254" spans="1:19">
      <c r="A254" t="s">
        <v>2380</v>
      </c>
      <c r="B254" s="125" t="s">
        <v>1109</v>
      </c>
      <c r="C254">
        <v>0.5</v>
      </c>
      <c r="D254">
        <v>0.5</v>
      </c>
      <c r="E254">
        <v>0.5</v>
      </c>
      <c r="F254">
        <v>0.5</v>
      </c>
      <c r="G254">
        <v>2</v>
      </c>
      <c r="H254" s="125" t="s">
        <v>1109</v>
      </c>
      <c r="I254" s="125" t="s">
        <v>1109</v>
      </c>
      <c r="J254" s="125" t="s">
        <v>1109</v>
      </c>
      <c r="K254" s="125" t="s">
        <v>1109</v>
      </c>
      <c r="L254" s="125" t="s">
        <v>1109</v>
      </c>
      <c r="M254" s="125" t="s">
        <v>1109</v>
      </c>
      <c r="N254" s="125" t="s">
        <v>1109</v>
      </c>
      <c r="O254" s="125" t="s">
        <v>1109</v>
      </c>
      <c r="P254">
        <v>2</v>
      </c>
      <c r="Q254" s="125" t="s">
        <v>1109</v>
      </c>
      <c r="R254" s="125" t="s">
        <v>1109</v>
      </c>
      <c r="S254">
        <v>2</v>
      </c>
    </row>
    <row r="255" spans="1:19">
      <c r="A255" t="s">
        <v>2622</v>
      </c>
      <c r="B255" s="125" t="s">
        <v>1109</v>
      </c>
      <c r="C255">
        <v>0.5</v>
      </c>
      <c r="D255">
        <v>0.5</v>
      </c>
      <c r="E255">
        <v>0.5</v>
      </c>
      <c r="F255">
        <v>0.5</v>
      </c>
      <c r="G255">
        <v>2</v>
      </c>
      <c r="H255">
        <v>2</v>
      </c>
      <c r="I255" s="125" t="s">
        <v>1109</v>
      </c>
      <c r="J255" s="125" t="s">
        <v>1109</v>
      </c>
      <c r="K255" s="125" t="s">
        <v>1109</v>
      </c>
      <c r="L255" s="125" t="s">
        <v>1109</v>
      </c>
      <c r="M255" s="125" t="s">
        <v>1109</v>
      </c>
      <c r="N255" s="125" t="s">
        <v>1109</v>
      </c>
      <c r="O255">
        <v>0</v>
      </c>
      <c r="P255">
        <v>2</v>
      </c>
      <c r="Q255" s="125" t="s">
        <v>1109</v>
      </c>
      <c r="R255" s="125" t="s">
        <v>1109</v>
      </c>
      <c r="S255">
        <v>2</v>
      </c>
    </row>
    <row r="256" spans="1:19">
      <c r="A256" t="s">
        <v>2623</v>
      </c>
      <c r="B256" s="125" t="s">
        <v>1109</v>
      </c>
      <c r="C256">
        <v>0.25</v>
      </c>
      <c r="D256" s="125" t="s">
        <v>1109</v>
      </c>
      <c r="E256">
        <v>0.5</v>
      </c>
      <c r="F256">
        <v>0.25</v>
      </c>
      <c r="G256" s="125" t="s">
        <v>1109</v>
      </c>
      <c r="H256" s="125" t="s">
        <v>1109</v>
      </c>
      <c r="I256" s="125" t="s">
        <v>1109</v>
      </c>
      <c r="J256">
        <v>2</v>
      </c>
      <c r="K256" s="125" t="s">
        <v>1109</v>
      </c>
      <c r="L256" s="125" t="s">
        <v>1109</v>
      </c>
      <c r="M256">
        <v>0.5</v>
      </c>
      <c r="N256">
        <v>2</v>
      </c>
      <c r="O256" s="125" t="s">
        <v>1109</v>
      </c>
      <c r="P256">
        <v>2</v>
      </c>
      <c r="Q256" s="125" t="s">
        <v>1109</v>
      </c>
      <c r="R256">
        <v>0.5</v>
      </c>
      <c r="S256" s="125" t="s">
        <v>1109</v>
      </c>
    </row>
    <row r="257" spans="1:19">
      <c r="A257" t="s">
        <v>2624</v>
      </c>
      <c r="B257" s="125" t="s">
        <v>1109</v>
      </c>
      <c r="C257">
        <v>0.25</v>
      </c>
      <c r="D257">
        <v>0.25</v>
      </c>
      <c r="E257" s="125" t="s">
        <v>1109</v>
      </c>
      <c r="F257" s="125" t="s">
        <v>1109</v>
      </c>
      <c r="G257" s="125" t="s">
        <v>1109</v>
      </c>
      <c r="H257" s="125" t="s">
        <v>1109</v>
      </c>
      <c r="I257" s="125" t="s">
        <v>1109</v>
      </c>
      <c r="J257" s="125" t="s">
        <v>1109</v>
      </c>
      <c r="K257" s="125" t="s">
        <v>1109</v>
      </c>
      <c r="L257" s="125" t="s">
        <v>1109</v>
      </c>
      <c r="M257" s="125" t="s">
        <v>1109</v>
      </c>
      <c r="N257" s="125" t="s">
        <v>1109</v>
      </c>
      <c r="O257" s="125" t="s">
        <v>1109</v>
      </c>
      <c r="P257">
        <v>2</v>
      </c>
      <c r="Q257" s="125" t="s">
        <v>1109</v>
      </c>
      <c r="R257">
        <v>0.5</v>
      </c>
      <c r="S257">
        <v>2</v>
      </c>
    </row>
    <row r="258" spans="1:19">
      <c r="A258" t="s">
        <v>2625</v>
      </c>
      <c r="B258" s="125" t="s">
        <v>1109</v>
      </c>
      <c r="C258">
        <v>0.5</v>
      </c>
      <c r="D258">
        <v>0.5</v>
      </c>
      <c r="E258">
        <v>0.25</v>
      </c>
      <c r="F258">
        <v>0.5</v>
      </c>
      <c r="G258">
        <v>2</v>
      </c>
      <c r="H258" s="125" t="s">
        <v>1109</v>
      </c>
      <c r="I258" s="125" t="s">
        <v>1109</v>
      </c>
      <c r="J258">
        <v>2</v>
      </c>
      <c r="K258">
        <v>0.5</v>
      </c>
      <c r="L258" s="125" t="s">
        <v>1109</v>
      </c>
      <c r="M258" s="125" t="s">
        <v>1109</v>
      </c>
      <c r="N258" s="125" t="s">
        <v>1109</v>
      </c>
      <c r="O258" s="125" t="s">
        <v>1109</v>
      </c>
      <c r="P258">
        <v>2</v>
      </c>
      <c r="Q258" s="125" t="s">
        <v>1109</v>
      </c>
      <c r="R258">
        <v>0.5</v>
      </c>
      <c r="S258">
        <v>2</v>
      </c>
    </row>
    <row r="259" spans="1:19">
      <c r="A259" t="s">
        <v>2626</v>
      </c>
      <c r="B259" s="125" t="s">
        <v>1109</v>
      </c>
      <c r="C259" s="125" t="s">
        <v>1109</v>
      </c>
      <c r="D259">
        <v>0.25</v>
      </c>
      <c r="E259">
        <v>0.25</v>
      </c>
      <c r="F259">
        <v>0.25</v>
      </c>
      <c r="G259">
        <v>4</v>
      </c>
      <c r="H259" s="125" t="s">
        <v>1109</v>
      </c>
      <c r="I259">
        <v>2</v>
      </c>
      <c r="J259">
        <v>0.5</v>
      </c>
      <c r="K259">
        <v>2</v>
      </c>
      <c r="L259" s="125" t="s">
        <v>1109</v>
      </c>
      <c r="M259">
        <v>2</v>
      </c>
      <c r="N259" s="125" t="s">
        <v>1109</v>
      </c>
      <c r="O259" s="125" t="s">
        <v>1109</v>
      </c>
      <c r="P259">
        <v>2</v>
      </c>
      <c r="Q259" s="125" t="s">
        <v>1109</v>
      </c>
      <c r="R259" s="125" t="s">
        <v>1109</v>
      </c>
      <c r="S259">
        <v>2</v>
      </c>
    </row>
    <row r="260" spans="1:19">
      <c r="A260" t="s">
        <v>2627</v>
      </c>
      <c r="B260" s="125" t="s">
        <v>1109</v>
      </c>
      <c r="C260" s="125" t="s">
        <v>1109</v>
      </c>
      <c r="D260">
        <v>0.5</v>
      </c>
      <c r="E260">
        <v>0.5</v>
      </c>
      <c r="F260">
        <v>0.5</v>
      </c>
      <c r="G260" s="125" t="s">
        <v>1109</v>
      </c>
      <c r="H260">
        <v>2</v>
      </c>
      <c r="I260" s="125" t="s">
        <v>1109</v>
      </c>
      <c r="J260" s="125" t="s">
        <v>1109</v>
      </c>
      <c r="K260" s="125" t="s">
        <v>1109</v>
      </c>
      <c r="L260" s="125" t="s">
        <v>1109</v>
      </c>
      <c r="M260" s="125" t="s">
        <v>1109</v>
      </c>
      <c r="N260">
        <v>2</v>
      </c>
      <c r="O260" s="125" t="s">
        <v>1109</v>
      </c>
      <c r="P260">
        <v>2</v>
      </c>
      <c r="Q260" s="125" t="s">
        <v>1109</v>
      </c>
      <c r="R260">
        <v>2</v>
      </c>
      <c r="S260">
        <v>2</v>
      </c>
    </row>
    <row r="261" spans="1:19">
      <c r="A261" t="s">
        <v>2628</v>
      </c>
      <c r="B261" s="125" t="s">
        <v>1109</v>
      </c>
      <c r="C261">
        <v>0.5</v>
      </c>
      <c r="D261">
        <v>0.5</v>
      </c>
      <c r="E261">
        <v>0.5</v>
      </c>
      <c r="F261">
        <v>0.5</v>
      </c>
      <c r="G261">
        <v>2</v>
      </c>
      <c r="H261" s="125" t="s">
        <v>1109</v>
      </c>
      <c r="I261" s="125" t="s">
        <v>1109</v>
      </c>
      <c r="J261" s="125" t="s">
        <v>1109</v>
      </c>
      <c r="K261">
        <v>2</v>
      </c>
      <c r="L261">
        <v>2</v>
      </c>
      <c r="M261">
        <v>0.5</v>
      </c>
      <c r="N261">
        <v>0.5</v>
      </c>
      <c r="O261" s="125" t="s">
        <v>1109</v>
      </c>
      <c r="P261">
        <v>2</v>
      </c>
      <c r="Q261">
        <v>0.5</v>
      </c>
      <c r="R261" s="125" t="s">
        <v>1109</v>
      </c>
      <c r="S261">
        <v>4</v>
      </c>
    </row>
    <row r="262" spans="1:19">
      <c r="A262" t="s">
        <v>2629</v>
      </c>
      <c r="B262" s="125" t="s">
        <v>1109</v>
      </c>
      <c r="C262">
        <v>0.5</v>
      </c>
      <c r="D262">
        <v>0.5</v>
      </c>
      <c r="E262">
        <v>0.5</v>
      </c>
      <c r="F262">
        <v>0.25</v>
      </c>
      <c r="G262">
        <v>2</v>
      </c>
      <c r="H262">
        <v>0.5</v>
      </c>
      <c r="I262">
        <v>0.5</v>
      </c>
      <c r="J262">
        <v>2</v>
      </c>
      <c r="K262" s="125" t="s">
        <v>1109</v>
      </c>
      <c r="L262">
        <v>2</v>
      </c>
      <c r="M262">
        <v>0.5</v>
      </c>
      <c r="N262" s="125" t="s">
        <v>1109</v>
      </c>
      <c r="O262" s="125" t="s">
        <v>1109</v>
      </c>
      <c r="P262">
        <v>2</v>
      </c>
      <c r="Q262" s="125" t="s">
        <v>1109</v>
      </c>
      <c r="R262" s="125" t="s">
        <v>1109</v>
      </c>
      <c r="S262" s="125" t="s">
        <v>1109</v>
      </c>
    </row>
    <row r="263" spans="1:19">
      <c r="A263" t="s">
        <v>2630</v>
      </c>
      <c r="B263" s="125" t="s">
        <v>1109</v>
      </c>
      <c r="C263">
        <v>0.5</v>
      </c>
      <c r="D263" s="125" t="s">
        <v>1109</v>
      </c>
      <c r="E263">
        <v>0</v>
      </c>
      <c r="F263" s="125" t="s">
        <v>1109</v>
      </c>
      <c r="G263">
        <v>4</v>
      </c>
      <c r="H263" s="125" t="s">
        <v>1109</v>
      </c>
      <c r="I263">
        <v>0.5</v>
      </c>
      <c r="J263" s="125" t="s">
        <v>1109</v>
      </c>
      <c r="K263" s="125" t="s">
        <v>1109</v>
      </c>
      <c r="L263" s="125" t="s">
        <v>1109</v>
      </c>
      <c r="M263" s="125" t="s">
        <v>1109</v>
      </c>
      <c r="N263">
        <v>0.5</v>
      </c>
      <c r="O263" s="125" t="s">
        <v>1109</v>
      </c>
      <c r="P263">
        <v>2</v>
      </c>
      <c r="Q263" s="125" t="s">
        <v>1109</v>
      </c>
      <c r="R263" s="125" t="s">
        <v>1109</v>
      </c>
      <c r="S263">
        <v>2</v>
      </c>
    </row>
    <row r="264" spans="1:19">
      <c r="A264" t="s">
        <v>2631</v>
      </c>
      <c r="B264" s="125" t="s">
        <v>1109</v>
      </c>
      <c r="C264">
        <v>0.5</v>
      </c>
      <c r="D264">
        <v>0.5</v>
      </c>
      <c r="E264" s="125" t="s">
        <v>1109</v>
      </c>
      <c r="F264">
        <v>0.25</v>
      </c>
      <c r="G264">
        <v>4</v>
      </c>
      <c r="H264">
        <v>0.5</v>
      </c>
      <c r="I264" s="125" t="s">
        <v>1109</v>
      </c>
      <c r="J264">
        <v>0</v>
      </c>
      <c r="K264" s="125" t="s">
        <v>1109</v>
      </c>
      <c r="L264" s="125" t="s">
        <v>1109</v>
      </c>
      <c r="M264">
        <v>0.5</v>
      </c>
      <c r="N264">
        <v>2</v>
      </c>
      <c r="O264" s="125" t="s">
        <v>1109</v>
      </c>
      <c r="P264">
        <v>2</v>
      </c>
      <c r="Q264" s="125" t="s">
        <v>1109</v>
      </c>
      <c r="R264" s="125" t="s">
        <v>1109</v>
      </c>
      <c r="S264">
        <v>2</v>
      </c>
    </row>
    <row r="265" spans="1:19">
      <c r="A265" t="s">
        <v>2632</v>
      </c>
      <c r="B265" s="125" t="s">
        <v>1109</v>
      </c>
      <c r="C265">
        <v>0.5</v>
      </c>
      <c r="D265">
        <v>0.5</v>
      </c>
      <c r="E265">
        <v>0.5</v>
      </c>
      <c r="F265">
        <v>0.5</v>
      </c>
      <c r="G265">
        <v>2</v>
      </c>
      <c r="H265">
        <v>0.5</v>
      </c>
      <c r="I265" s="125" t="s">
        <v>1109</v>
      </c>
      <c r="J265" s="125" t="s">
        <v>1109</v>
      </c>
      <c r="K265" s="125" t="s">
        <v>1109</v>
      </c>
      <c r="L265">
        <v>0.5</v>
      </c>
      <c r="M265">
        <v>2</v>
      </c>
      <c r="N265" s="125" t="s">
        <v>1109</v>
      </c>
      <c r="O265">
        <v>2</v>
      </c>
      <c r="P265">
        <v>2</v>
      </c>
      <c r="Q265">
        <v>2</v>
      </c>
      <c r="R265" s="125" t="s">
        <v>1109</v>
      </c>
      <c r="S265">
        <v>2</v>
      </c>
    </row>
    <row r="266" spans="1:19">
      <c r="A266" t="s">
        <v>2633</v>
      </c>
      <c r="B266" s="125" t="s">
        <v>1109</v>
      </c>
      <c r="C266" s="125" t="s">
        <v>1109</v>
      </c>
      <c r="D266">
        <v>0.5</v>
      </c>
      <c r="E266">
        <v>0.5</v>
      </c>
      <c r="F266">
        <v>0.25</v>
      </c>
      <c r="G266">
        <v>2</v>
      </c>
      <c r="H266">
        <v>0.5</v>
      </c>
      <c r="I266" s="125" t="s">
        <v>1109</v>
      </c>
      <c r="J266">
        <v>0.5</v>
      </c>
      <c r="K266">
        <v>2</v>
      </c>
      <c r="L266" s="125" t="s">
        <v>1109</v>
      </c>
      <c r="M266" s="125" t="s">
        <v>1109</v>
      </c>
      <c r="N266">
        <v>2</v>
      </c>
      <c r="O266" s="125" t="s">
        <v>1109</v>
      </c>
      <c r="P266">
        <v>2</v>
      </c>
      <c r="Q266" s="125" t="s">
        <v>1109</v>
      </c>
      <c r="R266" s="125" t="s">
        <v>1109</v>
      </c>
      <c r="S266">
        <v>2</v>
      </c>
    </row>
    <row r="267" spans="1:19">
      <c r="A267" t="s">
        <v>2634</v>
      </c>
      <c r="B267">
        <v>0.5</v>
      </c>
      <c r="C267">
        <v>0.25</v>
      </c>
      <c r="D267" s="125" t="s">
        <v>1109</v>
      </c>
      <c r="E267">
        <v>0.5</v>
      </c>
      <c r="F267" s="125" t="s">
        <v>1109</v>
      </c>
      <c r="G267">
        <v>2</v>
      </c>
      <c r="H267">
        <v>2</v>
      </c>
      <c r="I267">
        <v>0.5</v>
      </c>
      <c r="J267">
        <v>2</v>
      </c>
      <c r="K267">
        <v>0.5</v>
      </c>
      <c r="L267" s="125" t="s">
        <v>1109</v>
      </c>
      <c r="M267" s="125" t="s">
        <v>1109</v>
      </c>
      <c r="N267" s="125" t="s">
        <v>1109</v>
      </c>
      <c r="O267" s="125" t="s">
        <v>1109</v>
      </c>
      <c r="P267">
        <v>2</v>
      </c>
      <c r="Q267" s="125" t="s">
        <v>1109</v>
      </c>
      <c r="R267">
        <v>2</v>
      </c>
      <c r="S267">
        <v>2</v>
      </c>
    </row>
    <row r="268" spans="1:19">
      <c r="A268" t="s">
        <v>2635</v>
      </c>
      <c r="B268">
        <v>0</v>
      </c>
      <c r="C268">
        <v>0.5</v>
      </c>
      <c r="D268">
        <v>0.5</v>
      </c>
      <c r="E268">
        <v>0.5</v>
      </c>
      <c r="F268">
        <v>0.5</v>
      </c>
      <c r="G268">
        <v>2</v>
      </c>
      <c r="H268">
        <v>0</v>
      </c>
      <c r="I268">
        <v>0.5</v>
      </c>
      <c r="J268" s="125" t="s">
        <v>1109</v>
      </c>
      <c r="K268" s="125" t="s">
        <v>1109</v>
      </c>
      <c r="L268" s="125" t="s">
        <v>1109</v>
      </c>
      <c r="M268">
        <v>0.5</v>
      </c>
      <c r="N268" s="125" t="s">
        <v>1109</v>
      </c>
      <c r="O268">
        <v>2</v>
      </c>
      <c r="P268">
        <v>2</v>
      </c>
      <c r="Q268">
        <v>2</v>
      </c>
      <c r="R268" s="125" t="s">
        <v>1109</v>
      </c>
      <c r="S268">
        <v>2</v>
      </c>
    </row>
    <row r="269" spans="1:19">
      <c r="A269" t="s">
        <v>2636</v>
      </c>
      <c r="B269" s="125" t="s">
        <v>1109</v>
      </c>
      <c r="C269">
        <v>0.5</v>
      </c>
      <c r="D269">
        <v>0.5</v>
      </c>
      <c r="E269">
        <v>0.5</v>
      </c>
      <c r="F269">
        <v>0.5</v>
      </c>
      <c r="G269">
        <v>2</v>
      </c>
      <c r="H269">
        <v>2</v>
      </c>
      <c r="I269" s="125" t="s">
        <v>1109</v>
      </c>
      <c r="J269" s="125" t="s">
        <v>1109</v>
      </c>
      <c r="K269" s="125" t="s">
        <v>1109</v>
      </c>
      <c r="L269">
        <v>0</v>
      </c>
      <c r="M269">
        <v>2</v>
      </c>
      <c r="N269" s="125" t="s">
        <v>1109</v>
      </c>
      <c r="O269">
        <v>0.5</v>
      </c>
      <c r="P269">
        <v>2</v>
      </c>
      <c r="Q269">
        <v>0.5</v>
      </c>
      <c r="R269" s="125" t="s">
        <v>1109</v>
      </c>
      <c r="S269">
        <v>4</v>
      </c>
    </row>
    <row r="270" spans="1:19">
      <c r="A270" t="s">
        <v>2637</v>
      </c>
      <c r="B270">
        <v>0.5</v>
      </c>
      <c r="C270" s="125" t="s">
        <v>1109</v>
      </c>
      <c r="D270">
        <v>0.5</v>
      </c>
      <c r="E270">
        <v>0.5</v>
      </c>
      <c r="F270">
        <v>0.25</v>
      </c>
      <c r="G270" s="125" t="s">
        <v>1109</v>
      </c>
      <c r="H270">
        <v>2</v>
      </c>
      <c r="I270">
        <v>0</v>
      </c>
      <c r="J270">
        <v>2</v>
      </c>
      <c r="K270">
        <v>0.5</v>
      </c>
      <c r="L270">
        <v>0.5</v>
      </c>
      <c r="M270">
        <v>0.5</v>
      </c>
      <c r="N270">
        <v>0.5</v>
      </c>
      <c r="O270" s="125" t="s">
        <v>1109</v>
      </c>
      <c r="P270" s="125" t="s">
        <v>1109</v>
      </c>
      <c r="Q270" s="125" t="s">
        <v>1109</v>
      </c>
      <c r="R270">
        <v>0.5</v>
      </c>
      <c r="S270" s="125" t="s">
        <v>1109</v>
      </c>
    </row>
    <row r="271" spans="1:19">
      <c r="A271" t="s">
        <v>2638</v>
      </c>
      <c r="B271" s="125" t="s">
        <v>1109</v>
      </c>
      <c r="C271">
        <v>0.5</v>
      </c>
      <c r="D271">
        <v>0.5</v>
      </c>
      <c r="E271">
        <v>0.5</v>
      </c>
      <c r="F271">
        <v>0.5</v>
      </c>
      <c r="G271">
        <v>2</v>
      </c>
      <c r="H271">
        <v>0.5</v>
      </c>
      <c r="I271">
        <v>2</v>
      </c>
      <c r="J271" s="125" t="s">
        <v>1109</v>
      </c>
      <c r="K271" s="125" t="s">
        <v>1109</v>
      </c>
      <c r="L271" s="125" t="s">
        <v>1109</v>
      </c>
      <c r="M271">
        <v>0.5</v>
      </c>
      <c r="N271" s="125" t="s">
        <v>1109</v>
      </c>
      <c r="O271" s="125" t="s">
        <v>1109</v>
      </c>
      <c r="P271">
        <v>0</v>
      </c>
      <c r="Q271">
        <v>0.5</v>
      </c>
      <c r="R271">
        <v>2</v>
      </c>
      <c r="S271">
        <v>2</v>
      </c>
    </row>
    <row r="272" spans="1:19">
      <c r="A272" t="s">
        <v>2381</v>
      </c>
      <c r="B272" s="125" t="s">
        <v>1109</v>
      </c>
      <c r="C272" s="125" t="s">
        <v>1109</v>
      </c>
      <c r="D272" s="125" t="s">
        <v>1109</v>
      </c>
      <c r="E272" s="125" t="s">
        <v>1109</v>
      </c>
      <c r="F272" s="125" t="s">
        <v>1109</v>
      </c>
      <c r="G272" s="125" t="s">
        <v>1109</v>
      </c>
      <c r="H272">
        <v>2</v>
      </c>
      <c r="I272" s="125" t="s">
        <v>1109</v>
      </c>
      <c r="J272" s="125" t="s">
        <v>1109</v>
      </c>
      <c r="K272" s="125" t="s">
        <v>1109</v>
      </c>
      <c r="L272">
        <v>0</v>
      </c>
      <c r="M272">
        <v>2</v>
      </c>
      <c r="N272" s="125" t="s">
        <v>1109</v>
      </c>
      <c r="O272">
        <v>0.5</v>
      </c>
      <c r="P272" s="125" t="s">
        <v>1109</v>
      </c>
      <c r="Q272">
        <v>0.5</v>
      </c>
      <c r="R272" s="125" t="s">
        <v>1109</v>
      </c>
      <c r="S272">
        <v>2</v>
      </c>
    </row>
    <row r="273" spans="1:19">
      <c r="A273" t="s">
        <v>2639</v>
      </c>
      <c r="B273" s="125" t="s">
        <v>1109</v>
      </c>
      <c r="C273" s="125" t="s">
        <v>1109</v>
      </c>
      <c r="D273" s="125" t="s">
        <v>1109</v>
      </c>
      <c r="E273" s="125" t="s">
        <v>1109</v>
      </c>
      <c r="F273" s="125" t="s">
        <v>1109</v>
      </c>
      <c r="G273" s="125" t="s">
        <v>1109</v>
      </c>
      <c r="H273">
        <v>4</v>
      </c>
      <c r="I273" s="125" t="s">
        <v>1109</v>
      </c>
      <c r="J273" s="125" t="s">
        <v>1109</v>
      </c>
      <c r="K273" s="125" t="s">
        <v>1109</v>
      </c>
      <c r="L273">
        <v>0</v>
      </c>
      <c r="M273">
        <v>2</v>
      </c>
      <c r="N273" s="125" t="s">
        <v>1109</v>
      </c>
      <c r="O273">
        <v>0</v>
      </c>
      <c r="P273" s="125" t="s">
        <v>1109</v>
      </c>
      <c r="Q273">
        <v>0.5</v>
      </c>
      <c r="R273" s="125" t="s">
        <v>1109</v>
      </c>
      <c r="S273">
        <v>2</v>
      </c>
    </row>
    <row r="274" spans="1:19">
      <c r="A274" t="s">
        <v>2640</v>
      </c>
      <c r="B274" s="125" t="s">
        <v>1109</v>
      </c>
      <c r="C274">
        <v>0.5</v>
      </c>
      <c r="D274">
        <v>2</v>
      </c>
      <c r="E274" s="125" t="s">
        <v>1109</v>
      </c>
      <c r="F274">
        <v>0.5</v>
      </c>
      <c r="G274">
        <v>0.5</v>
      </c>
      <c r="H274">
        <v>2</v>
      </c>
      <c r="I274" s="125" t="s">
        <v>1109</v>
      </c>
      <c r="J274">
        <v>2</v>
      </c>
      <c r="K274" s="125" t="s">
        <v>1109</v>
      </c>
      <c r="L274">
        <v>0</v>
      </c>
      <c r="M274" s="125" t="s">
        <v>1109</v>
      </c>
      <c r="N274">
        <v>2</v>
      </c>
      <c r="O274">
        <v>0.5</v>
      </c>
      <c r="P274" s="125" t="s">
        <v>1109</v>
      </c>
      <c r="Q274">
        <v>0.5</v>
      </c>
      <c r="R274">
        <v>0.5</v>
      </c>
      <c r="S274" s="125" t="s">
        <v>1109</v>
      </c>
    </row>
    <row r="275" spans="1:19">
      <c r="A275" t="s">
        <v>2641</v>
      </c>
      <c r="B275" s="125" t="s">
        <v>1109</v>
      </c>
      <c r="C275">
        <v>0.5</v>
      </c>
      <c r="D275">
        <v>0.5</v>
      </c>
      <c r="E275">
        <v>2</v>
      </c>
      <c r="F275">
        <v>2</v>
      </c>
      <c r="G275">
        <v>0.5</v>
      </c>
      <c r="H275">
        <v>2</v>
      </c>
      <c r="I275" s="125" t="s">
        <v>1109</v>
      </c>
      <c r="J275" s="125" t="s">
        <v>1109</v>
      </c>
      <c r="K275" s="125" t="s">
        <v>1109</v>
      </c>
      <c r="L275">
        <v>0</v>
      </c>
      <c r="M275">
        <v>2</v>
      </c>
      <c r="N275" s="125" t="s">
        <v>1109</v>
      </c>
      <c r="O275">
        <v>0.5</v>
      </c>
      <c r="P275" s="125" t="s">
        <v>1109</v>
      </c>
      <c r="Q275">
        <v>0.5</v>
      </c>
      <c r="R275">
        <v>0.5</v>
      </c>
      <c r="S275">
        <v>2</v>
      </c>
    </row>
    <row r="276" spans="1:19">
      <c r="A276" t="s">
        <v>2642</v>
      </c>
      <c r="B276" s="125" t="s">
        <v>1109</v>
      </c>
      <c r="C276" s="125" t="s">
        <v>1109</v>
      </c>
      <c r="D276" s="125" t="s">
        <v>1109</v>
      </c>
      <c r="E276">
        <v>0.5</v>
      </c>
      <c r="F276" s="125" t="s">
        <v>1109</v>
      </c>
      <c r="G276" s="125" t="s">
        <v>1109</v>
      </c>
      <c r="H276">
        <v>2</v>
      </c>
      <c r="I276" s="125" t="s">
        <v>1109</v>
      </c>
      <c r="J276">
        <v>2</v>
      </c>
      <c r="K276">
        <v>0.5</v>
      </c>
      <c r="L276">
        <v>0</v>
      </c>
      <c r="M276">
        <v>2</v>
      </c>
      <c r="N276" s="125" t="s">
        <v>1109</v>
      </c>
      <c r="O276">
        <v>0.5</v>
      </c>
      <c r="P276" s="125" t="s">
        <v>1109</v>
      </c>
      <c r="Q276">
        <v>0.5</v>
      </c>
      <c r="R276">
        <v>0.5</v>
      </c>
      <c r="S276">
        <v>2</v>
      </c>
    </row>
    <row r="277" spans="1:19">
      <c r="A277" t="s">
        <v>2643</v>
      </c>
      <c r="B277" s="125" t="s">
        <v>1109</v>
      </c>
      <c r="C277">
        <v>2</v>
      </c>
      <c r="D277">
        <v>0.5</v>
      </c>
      <c r="E277">
        <v>0.5</v>
      </c>
      <c r="F277">
        <v>0.5</v>
      </c>
      <c r="G277">
        <v>2</v>
      </c>
      <c r="H277">
        <v>2</v>
      </c>
      <c r="I277">
        <v>2</v>
      </c>
      <c r="J277">
        <v>0.5</v>
      </c>
      <c r="K277">
        <v>2</v>
      </c>
      <c r="L277">
        <v>0</v>
      </c>
      <c r="M277">
        <v>4</v>
      </c>
      <c r="N277" s="125" t="s">
        <v>1109</v>
      </c>
      <c r="O277">
        <v>0.5</v>
      </c>
      <c r="P277" s="125" t="s">
        <v>1109</v>
      </c>
      <c r="Q277">
        <v>0.5</v>
      </c>
      <c r="R277" s="125" t="s">
        <v>1109</v>
      </c>
      <c r="S277">
        <v>2</v>
      </c>
    </row>
    <row r="278" spans="1:19">
      <c r="A278" t="s">
        <v>2644</v>
      </c>
      <c r="B278" s="125" t="s">
        <v>1109</v>
      </c>
      <c r="C278">
        <v>2</v>
      </c>
      <c r="D278" s="125" t="s">
        <v>1109</v>
      </c>
      <c r="E278" s="125" t="s">
        <v>1109</v>
      </c>
      <c r="F278" s="125" t="s">
        <v>1109</v>
      </c>
      <c r="G278">
        <v>0.5</v>
      </c>
      <c r="H278">
        <v>4</v>
      </c>
      <c r="I278" s="125" t="s">
        <v>1109</v>
      </c>
      <c r="J278" s="125" t="s">
        <v>1109</v>
      </c>
      <c r="K278" s="125" t="s">
        <v>1109</v>
      </c>
      <c r="L278">
        <v>0</v>
      </c>
      <c r="M278">
        <v>2</v>
      </c>
      <c r="N278">
        <v>2</v>
      </c>
      <c r="O278">
        <v>0.5</v>
      </c>
      <c r="P278" s="125" t="s">
        <v>1109</v>
      </c>
      <c r="Q278">
        <v>0.5</v>
      </c>
      <c r="R278">
        <v>2</v>
      </c>
      <c r="S278">
        <v>2</v>
      </c>
    </row>
    <row r="279" spans="1:19">
      <c r="A279" t="s">
        <v>2645</v>
      </c>
      <c r="B279" s="125" t="s">
        <v>1109</v>
      </c>
      <c r="C279" s="125" t="s">
        <v>1109</v>
      </c>
      <c r="D279" s="125" t="s">
        <v>1109</v>
      </c>
      <c r="E279" s="125" t="s">
        <v>1109</v>
      </c>
      <c r="F279" s="125" t="s">
        <v>1109</v>
      </c>
      <c r="G279" s="125" t="s">
        <v>1109</v>
      </c>
      <c r="H279">
        <v>2</v>
      </c>
      <c r="I279" s="125" t="s">
        <v>1109</v>
      </c>
      <c r="J279" s="125" t="s">
        <v>1109</v>
      </c>
      <c r="K279">
        <v>2</v>
      </c>
      <c r="L279">
        <v>0</v>
      </c>
      <c r="M279" s="125" t="s">
        <v>1109</v>
      </c>
      <c r="N279">
        <v>0.5</v>
      </c>
      <c r="O279">
        <v>0.5</v>
      </c>
      <c r="P279" s="125" t="s">
        <v>1109</v>
      </c>
      <c r="Q279">
        <v>0.25</v>
      </c>
      <c r="R279" s="125" t="s">
        <v>1109</v>
      </c>
      <c r="S279">
        <v>4</v>
      </c>
    </row>
    <row r="280" spans="1:19">
      <c r="A280" t="s">
        <v>2646</v>
      </c>
      <c r="B280" s="125" t="s">
        <v>1109</v>
      </c>
      <c r="C280" s="125" t="s">
        <v>1109</v>
      </c>
      <c r="D280" s="125" t="s">
        <v>1109</v>
      </c>
      <c r="E280" s="125" t="s">
        <v>1109</v>
      </c>
      <c r="F280">
        <v>0.5</v>
      </c>
      <c r="G280" s="125" t="s">
        <v>1109</v>
      </c>
      <c r="H280" s="125" t="s">
        <v>1109</v>
      </c>
      <c r="I280">
        <v>0.5</v>
      </c>
      <c r="J280">
        <v>2</v>
      </c>
      <c r="K280" s="125" t="s">
        <v>1109</v>
      </c>
      <c r="L280">
        <v>0</v>
      </c>
      <c r="M280" s="125" t="s">
        <v>1109</v>
      </c>
      <c r="N280" s="125" t="s">
        <v>1109</v>
      </c>
      <c r="O280">
        <v>0.5</v>
      </c>
      <c r="P280" s="125" t="s">
        <v>1109</v>
      </c>
      <c r="Q280">
        <v>0.5</v>
      </c>
      <c r="R280" s="125" t="s">
        <v>1109</v>
      </c>
      <c r="S280" s="125" t="s">
        <v>1109</v>
      </c>
    </row>
    <row r="281" spans="1:19">
      <c r="A281" t="s">
        <v>2647</v>
      </c>
      <c r="B281" s="125" t="s">
        <v>1109</v>
      </c>
      <c r="C281" s="125" t="s">
        <v>1109</v>
      </c>
      <c r="D281">
        <v>2</v>
      </c>
      <c r="E281">
        <v>0</v>
      </c>
      <c r="F281">
        <v>2</v>
      </c>
      <c r="G281">
        <v>2</v>
      </c>
      <c r="H281">
        <v>2</v>
      </c>
      <c r="I281">
        <v>0.5</v>
      </c>
      <c r="J281" s="125" t="s">
        <v>1109</v>
      </c>
      <c r="K281" s="125" t="s">
        <v>1109</v>
      </c>
      <c r="L281">
        <v>0</v>
      </c>
      <c r="M281">
        <v>2</v>
      </c>
      <c r="N281">
        <v>0.5</v>
      </c>
      <c r="O281">
        <v>0.5</v>
      </c>
      <c r="P281" s="125" t="s">
        <v>1109</v>
      </c>
      <c r="Q281">
        <v>0.5</v>
      </c>
      <c r="R281" s="125" t="s">
        <v>1109</v>
      </c>
      <c r="S281">
        <v>2</v>
      </c>
    </row>
    <row r="282" spans="1:19">
      <c r="A282" t="s">
        <v>2648</v>
      </c>
      <c r="B282" s="125" t="s">
        <v>1109</v>
      </c>
      <c r="C282" s="125" t="s">
        <v>1109</v>
      </c>
      <c r="D282" s="125" t="s">
        <v>1109</v>
      </c>
      <c r="E282">
        <v>2</v>
      </c>
      <c r="F282">
        <v>0.5</v>
      </c>
      <c r="G282">
        <v>2</v>
      </c>
      <c r="H282" s="125" t="s">
        <v>1109</v>
      </c>
      <c r="I282" s="125" t="s">
        <v>1109</v>
      </c>
      <c r="J282">
        <v>0</v>
      </c>
      <c r="K282" s="125" t="s">
        <v>1109</v>
      </c>
      <c r="L282">
        <v>0</v>
      </c>
      <c r="M282" s="125" t="s">
        <v>1109</v>
      </c>
      <c r="N282">
        <v>2</v>
      </c>
      <c r="O282">
        <v>0.5</v>
      </c>
      <c r="P282" s="125" t="s">
        <v>1109</v>
      </c>
      <c r="Q282">
        <v>0.5</v>
      </c>
      <c r="R282" s="125" t="s">
        <v>1109</v>
      </c>
      <c r="S282">
        <v>2</v>
      </c>
    </row>
    <row r="283" spans="1:19">
      <c r="A283" t="s">
        <v>2649</v>
      </c>
      <c r="B283" s="125" t="s">
        <v>1109</v>
      </c>
      <c r="C283" s="125" t="s">
        <v>1109</v>
      </c>
      <c r="D283" s="125" t="s">
        <v>1109</v>
      </c>
      <c r="E283" s="125" t="s">
        <v>1109</v>
      </c>
      <c r="F283" s="125" t="s">
        <v>1109</v>
      </c>
      <c r="G283" s="125" t="s">
        <v>1109</v>
      </c>
      <c r="H283" s="125" t="s">
        <v>1109</v>
      </c>
      <c r="I283" s="125" t="s">
        <v>1109</v>
      </c>
      <c r="J283" s="125" t="s">
        <v>1109</v>
      </c>
      <c r="K283" s="125" t="s">
        <v>1109</v>
      </c>
      <c r="L283">
        <v>0</v>
      </c>
      <c r="M283">
        <v>4</v>
      </c>
      <c r="N283" s="125" t="s">
        <v>1109</v>
      </c>
      <c r="O283" s="125" t="s">
        <v>1109</v>
      </c>
      <c r="P283" s="125" t="s">
        <v>1109</v>
      </c>
      <c r="Q283" s="125" t="s">
        <v>1109</v>
      </c>
      <c r="R283" s="125" t="s">
        <v>1109</v>
      </c>
      <c r="S283">
        <v>2</v>
      </c>
    </row>
    <row r="284" spans="1:19">
      <c r="A284" t="s">
        <v>2650</v>
      </c>
      <c r="B284" s="125" t="s">
        <v>1109</v>
      </c>
      <c r="C284">
        <v>2</v>
      </c>
      <c r="D284" s="125" t="s">
        <v>1109</v>
      </c>
      <c r="E284" s="125" t="s">
        <v>1109</v>
      </c>
      <c r="F284">
        <v>0.5</v>
      </c>
      <c r="G284" s="125" t="s">
        <v>1109</v>
      </c>
      <c r="H284" s="125" t="s">
        <v>1109</v>
      </c>
      <c r="I284" s="125" t="s">
        <v>1109</v>
      </c>
      <c r="J284">
        <v>0.5</v>
      </c>
      <c r="K284">
        <v>2</v>
      </c>
      <c r="L284">
        <v>0</v>
      </c>
      <c r="M284">
        <v>2</v>
      </c>
      <c r="N284">
        <v>2</v>
      </c>
      <c r="O284">
        <v>0.5</v>
      </c>
      <c r="P284" s="125" t="s">
        <v>1109</v>
      </c>
      <c r="Q284">
        <v>0.5</v>
      </c>
      <c r="R284" s="125" t="s">
        <v>1109</v>
      </c>
      <c r="S284">
        <v>2</v>
      </c>
    </row>
    <row r="285" spans="1:19">
      <c r="A285" t="s">
        <v>2651</v>
      </c>
      <c r="B285">
        <v>0.5</v>
      </c>
      <c r="C285">
        <v>0.5</v>
      </c>
      <c r="D285">
        <v>2</v>
      </c>
      <c r="E285" s="125" t="s">
        <v>1109</v>
      </c>
      <c r="F285">
        <v>2</v>
      </c>
      <c r="G285" s="125" t="s">
        <v>1109</v>
      </c>
      <c r="H285">
        <v>4</v>
      </c>
      <c r="I285">
        <v>0.5</v>
      </c>
      <c r="J285">
        <v>2</v>
      </c>
      <c r="K285">
        <v>0.5</v>
      </c>
      <c r="L285">
        <v>0</v>
      </c>
      <c r="M285">
        <v>2</v>
      </c>
      <c r="N285" s="125" t="s">
        <v>1109</v>
      </c>
      <c r="O285">
        <v>0.5</v>
      </c>
      <c r="P285" s="125" t="s">
        <v>1109</v>
      </c>
      <c r="Q285">
        <v>0.5</v>
      </c>
      <c r="R285">
        <v>2</v>
      </c>
      <c r="S285">
        <v>2</v>
      </c>
    </row>
    <row r="286" spans="1:19">
      <c r="A286" t="s">
        <v>2652</v>
      </c>
      <c r="B286">
        <v>0</v>
      </c>
      <c r="C286" s="125" t="s">
        <v>1109</v>
      </c>
      <c r="D286" s="125" t="s">
        <v>1109</v>
      </c>
      <c r="E286" s="125" t="s">
        <v>1109</v>
      </c>
      <c r="F286" s="125" t="s">
        <v>1109</v>
      </c>
      <c r="G286" s="125" t="s">
        <v>1109</v>
      </c>
      <c r="H286">
        <v>0</v>
      </c>
      <c r="I286">
        <v>0.5</v>
      </c>
      <c r="J286" s="125" t="s">
        <v>1109</v>
      </c>
      <c r="K286" s="125" t="s">
        <v>1109</v>
      </c>
      <c r="L286">
        <v>0</v>
      </c>
      <c r="M286" s="125" t="s">
        <v>1109</v>
      </c>
      <c r="N286" s="125" t="s">
        <v>1109</v>
      </c>
      <c r="O286" s="125" t="s">
        <v>1109</v>
      </c>
      <c r="P286" s="125" t="s">
        <v>1109</v>
      </c>
      <c r="Q286" s="125" t="s">
        <v>1109</v>
      </c>
      <c r="R286" s="125" t="s">
        <v>1109</v>
      </c>
      <c r="S286">
        <v>2</v>
      </c>
    </row>
    <row r="287" spans="1:19">
      <c r="A287" t="s">
        <v>2653</v>
      </c>
      <c r="B287" s="125" t="s">
        <v>1109</v>
      </c>
      <c r="C287">
        <v>0.5</v>
      </c>
      <c r="D287">
        <v>0.5</v>
      </c>
      <c r="E287">
        <v>0.5</v>
      </c>
      <c r="F287">
        <v>0.5</v>
      </c>
      <c r="G287">
        <v>2</v>
      </c>
      <c r="H287">
        <v>2</v>
      </c>
      <c r="I287" s="125" t="s">
        <v>1109</v>
      </c>
      <c r="J287" s="125" t="s">
        <v>1109</v>
      </c>
      <c r="K287" s="125" t="s">
        <v>1109</v>
      </c>
      <c r="L287">
        <v>0</v>
      </c>
      <c r="M287">
        <v>2</v>
      </c>
      <c r="N287" s="125" t="s">
        <v>1109</v>
      </c>
      <c r="O287">
        <v>0.5</v>
      </c>
      <c r="P287">
        <v>2</v>
      </c>
      <c r="Q287">
        <v>0.5</v>
      </c>
      <c r="R287" s="125" t="s">
        <v>1109</v>
      </c>
      <c r="S287">
        <v>4</v>
      </c>
    </row>
    <row r="288" spans="1:19">
      <c r="A288" t="s">
        <v>2654</v>
      </c>
      <c r="B288">
        <v>0.5</v>
      </c>
      <c r="C288">
        <v>2</v>
      </c>
      <c r="D288" s="125" t="s">
        <v>1109</v>
      </c>
      <c r="E288" s="125" t="s">
        <v>1109</v>
      </c>
      <c r="F288">
        <v>0.5</v>
      </c>
      <c r="G288">
        <v>0.5</v>
      </c>
      <c r="H288">
        <v>4</v>
      </c>
      <c r="I288">
        <v>0</v>
      </c>
      <c r="J288">
        <v>2</v>
      </c>
      <c r="K288">
        <v>0.5</v>
      </c>
      <c r="L288">
        <v>0</v>
      </c>
      <c r="M288" s="125" t="s">
        <v>1109</v>
      </c>
      <c r="N288">
        <v>0.5</v>
      </c>
      <c r="O288">
        <v>0.5</v>
      </c>
      <c r="P288">
        <v>0.5</v>
      </c>
      <c r="Q288">
        <v>0.5</v>
      </c>
      <c r="R288">
        <v>0.5</v>
      </c>
      <c r="S288" s="125" t="s">
        <v>1109</v>
      </c>
    </row>
    <row r="289" spans="1:19">
      <c r="A289" t="s">
        <v>2655</v>
      </c>
      <c r="B289" s="125" t="s">
        <v>1109</v>
      </c>
      <c r="C289" s="125" t="s">
        <v>1109</v>
      </c>
      <c r="D289" s="125" t="s">
        <v>1109</v>
      </c>
      <c r="E289" s="125" t="s">
        <v>1109</v>
      </c>
      <c r="F289" s="125" t="s">
        <v>1109</v>
      </c>
      <c r="G289" s="125" t="s">
        <v>1109</v>
      </c>
      <c r="H289" s="125" t="s">
        <v>1109</v>
      </c>
      <c r="I289">
        <v>2</v>
      </c>
      <c r="J289" s="125" t="s">
        <v>1109</v>
      </c>
      <c r="K289" s="125" t="s">
        <v>1109</v>
      </c>
      <c r="L289">
        <v>0</v>
      </c>
      <c r="M289" s="125" t="s">
        <v>1109</v>
      </c>
      <c r="N289" s="125" t="s">
        <v>1109</v>
      </c>
      <c r="O289">
        <v>0.5</v>
      </c>
      <c r="P289">
        <v>0</v>
      </c>
      <c r="Q289">
        <v>0.25</v>
      </c>
      <c r="R289">
        <v>2</v>
      </c>
      <c r="S289">
        <v>2</v>
      </c>
    </row>
    <row r="290" spans="1:19">
      <c r="A290" t="s">
        <v>2382</v>
      </c>
      <c r="B290">
        <v>0.5</v>
      </c>
      <c r="C290">
        <v>2</v>
      </c>
      <c r="D290" s="125" t="s">
        <v>1109</v>
      </c>
      <c r="E290" s="125" t="s">
        <v>1109</v>
      </c>
      <c r="F290">
        <v>0.5</v>
      </c>
      <c r="G290">
        <v>0.5</v>
      </c>
      <c r="H290">
        <v>2</v>
      </c>
      <c r="I290">
        <v>0</v>
      </c>
      <c r="J290">
        <v>2</v>
      </c>
      <c r="K290">
        <v>0.5</v>
      </c>
      <c r="L290">
        <v>0.5</v>
      </c>
      <c r="M290">
        <v>0.5</v>
      </c>
      <c r="N290">
        <v>0.5</v>
      </c>
      <c r="O290" s="125" t="s">
        <v>1109</v>
      </c>
      <c r="P290">
        <v>0.5</v>
      </c>
      <c r="Q290" s="125" t="s">
        <v>1109</v>
      </c>
      <c r="R290">
        <v>0.5</v>
      </c>
      <c r="S290">
        <v>0.5</v>
      </c>
    </row>
    <row r="291" spans="1:19">
      <c r="A291" t="s">
        <v>2656</v>
      </c>
      <c r="B291">
        <v>0.5</v>
      </c>
      <c r="C291">
        <v>2</v>
      </c>
      <c r="D291" s="125" t="s">
        <v>1109</v>
      </c>
      <c r="E291" s="125" t="s">
        <v>1109</v>
      </c>
      <c r="F291">
        <v>0.5</v>
      </c>
      <c r="G291">
        <v>0.5</v>
      </c>
      <c r="H291">
        <v>4</v>
      </c>
      <c r="I291">
        <v>0</v>
      </c>
      <c r="J291">
        <v>2</v>
      </c>
      <c r="K291">
        <v>0.5</v>
      </c>
      <c r="L291">
        <v>0.5</v>
      </c>
      <c r="M291">
        <v>0.5</v>
      </c>
      <c r="N291">
        <v>0.5</v>
      </c>
      <c r="O291">
        <v>0</v>
      </c>
      <c r="P291">
        <v>0.5</v>
      </c>
      <c r="Q291" s="125" t="s">
        <v>1109</v>
      </c>
      <c r="R291">
        <v>0.5</v>
      </c>
      <c r="S291">
        <v>0.5</v>
      </c>
    </row>
    <row r="292" spans="1:19">
      <c r="A292" t="s">
        <v>2657</v>
      </c>
      <c r="B292">
        <v>0.5</v>
      </c>
      <c r="C292" s="125" t="s">
        <v>1109</v>
      </c>
      <c r="D292">
        <v>2</v>
      </c>
      <c r="E292" s="125" t="s">
        <v>1109</v>
      </c>
      <c r="F292">
        <v>0.25</v>
      </c>
      <c r="G292">
        <v>0.25</v>
      </c>
      <c r="H292">
        <v>2</v>
      </c>
      <c r="I292">
        <v>0</v>
      </c>
      <c r="J292">
        <v>4</v>
      </c>
      <c r="K292">
        <v>0.5</v>
      </c>
      <c r="L292">
        <v>0.5</v>
      </c>
      <c r="M292">
        <v>0.25</v>
      </c>
      <c r="N292" s="125" t="s">
        <v>1109</v>
      </c>
      <c r="O292" s="125" t="s">
        <v>1109</v>
      </c>
      <c r="P292">
        <v>0.5</v>
      </c>
      <c r="Q292" s="125" t="s">
        <v>1109</v>
      </c>
      <c r="R292">
        <v>0.25</v>
      </c>
      <c r="S292">
        <v>0.25</v>
      </c>
    </row>
    <row r="293" spans="1:19">
      <c r="A293" t="s">
        <v>2658</v>
      </c>
      <c r="B293">
        <v>0.5</v>
      </c>
      <c r="C293" s="125" t="s">
        <v>1109</v>
      </c>
      <c r="D293">
        <v>0.5</v>
      </c>
      <c r="E293">
        <v>2</v>
      </c>
      <c r="F293" s="125" t="s">
        <v>1109</v>
      </c>
      <c r="G293">
        <v>0.25</v>
      </c>
      <c r="H293">
        <v>2</v>
      </c>
      <c r="I293">
        <v>0</v>
      </c>
      <c r="J293">
        <v>2</v>
      </c>
      <c r="K293">
        <v>0.5</v>
      </c>
      <c r="L293">
        <v>0.5</v>
      </c>
      <c r="M293">
        <v>0.5</v>
      </c>
      <c r="N293">
        <v>0.5</v>
      </c>
      <c r="O293" s="125" t="s">
        <v>1109</v>
      </c>
      <c r="P293">
        <v>0.5</v>
      </c>
      <c r="Q293" s="125" t="s">
        <v>1109</v>
      </c>
      <c r="R293">
        <v>0.25</v>
      </c>
      <c r="S293">
        <v>0.5</v>
      </c>
    </row>
    <row r="294" spans="1:19">
      <c r="A294" t="s">
        <v>2659</v>
      </c>
      <c r="B294">
        <v>0.5</v>
      </c>
      <c r="C294">
        <v>2</v>
      </c>
      <c r="D294" s="125" t="s">
        <v>1109</v>
      </c>
      <c r="E294">
        <v>0.5</v>
      </c>
      <c r="F294">
        <v>0.5</v>
      </c>
      <c r="G294">
        <v>0.5</v>
      </c>
      <c r="H294">
        <v>2</v>
      </c>
      <c r="I294">
        <v>0</v>
      </c>
      <c r="J294">
        <v>4</v>
      </c>
      <c r="K294">
        <v>0.25</v>
      </c>
      <c r="L294">
        <v>0.5</v>
      </c>
      <c r="M294">
        <v>0.5</v>
      </c>
      <c r="N294">
        <v>0.5</v>
      </c>
      <c r="O294" s="125" t="s">
        <v>1109</v>
      </c>
      <c r="P294">
        <v>0.5</v>
      </c>
      <c r="Q294" s="125" t="s">
        <v>1109</v>
      </c>
      <c r="R294">
        <v>0.25</v>
      </c>
      <c r="S294">
        <v>0.5</v>
      </c>
    </row>
    <row r="295" spans="1:19">
      <c r="A295" t="s">
        <v>2660</v>
      </c>
      <c r="B295">
        <v>0.5</v>
      </c>
      <c r="C295">
        <v>4</v>
      </c>
      <c r="D295">
        <v>0.5</v>
      </c>
      <c r="E295">
        <v>0.5</v>
      </c>
      <c r="F295">
        <v>0.25</v>
      </c>
      <c r="G295" s="125" t="s">
        <v>1109</v>
      </c>
      <c r="H295">
        <v>2</v>
      </c>
      <c r="I295">
        <v>0</v>
      </c>
      <c r="J295" s="125" t="s">
        <v>1109</v>
      </c>
      <c r="K295" s="125" t="s">
        <v>1109</v>
      </c>
      <c r="L295">
        <v>0.5</v>
      </c>
      <c r="M295" s="125" t="s">
        <v>1109</v>
      </c>
      <c r="N295">
        <v>0.5</v>
      </c>
      <c r="O295" s="125" t="s">
        <v>1109</v>
      </c>
      <c r="P295">
        <v>0.5</v>
      </c>
      <c r="Q295" s="125" t="s">
        <v>1109</v>
      </c>
      <c r="R295">
        <v>0.5</v>
      </c>
      <c r="S295">
        <v>0.5</v>
      </c>
    </row>
    <row r="296" spans="1:19">
      <c r="A296" t="s">
        <v>2661</v>
      </c>
      <c r="B296">
        <v>0.5</v>
      </c>
      <c r="C296">
        <v>4</v>
      </c>
      <c r="D296" s="125" t="s">
        <v>1109</v>
      </c>
      <c r="E296" s="125" t="s">
        <v>1109</v>
      </c>
      <c r="F296">
        <v>0.5</v>
      </c>
      <c r="G296">
        <v>0.25</v>
      </c>
      <c r="H296">
        <v>4</v>
      </c>
      <c r="I296">
        <v>0</v>
      </c>
      <c r="J296">
        <v>2</v>
      </c>
      <c r="K296">
        <v>0.5</v>
      </c>
      <c r="L296">
        <v>0.5</v>
      </c>
      <c r="M296">
        <v>0.5</v>
      </c>
      <c r="N296" s="125" t="s">
        <v>1109</v>
      </c>
      <c r="O296" s="125" t="s">
        <v>1109</v>
      </c>
      <c r="P296">
        <v>0.5</v>
      </c>
      <c r="Q296" s="125" t="s">
        <v>1109</v>
      </c>
      <c r="R296" s="125" t="s">
        <v>1109</v>
      </c>
      <c r="S296">
        <v>0.5</v>
      </c>
    </row>
    <row r="297" spans="1:19">
      <c r="A297" t="s">
        <v>2662</v>
      </c>
      <c r="B297">
        <v>0.5</v>
      </c>
      <c r="C297">
        <v>2</v>
      </c>
      <c r="D297" s="125" t="s">
        <v>1109</v>
      </c>
      <c r="E297" s="125" t="s">
        <v>1109</v>
      </c>
      <c r="F297">
        <v>0.5</v>
      </c>
      <c r="G297">
        <v>0.5</v>
      </c>
      <c r="H297">
        <v>2</v>
      </c>
      <c r="I297">
        <v>0</v>
      </c>
      <c r="J297">
        <v>2</v>
      </c>
      <c r="K297" s="125" t="s">
        <v>1109</v>
      </c>
      <c r="L297" s="125" t="s">
        <v>1109</v>
      </c>
      <c r="M297">
        <v>0.25</v>
      </c>
      <c r="N297">
        <v>0.25</v>
      </c>
      <c r="O297" s="125" t="s">
        <v>1109</v>
      </c>
      <c r="P297">
        <v>0.5</v>
      </c>
      <c r="Q297">
        <v>0.5</v>
      </c>
      <c r="R297">
        <v>0.5</v>
      </c>
      <c r="S297" s="125" t="s">
        <v>1109</v>
      </c>
    </row>
    <row r="298" spans="1:19">
      <c r="A298" t="s">
        <v>2663</v>
      </c>
      <c r="B298">
        <v>0.5</v>
      </c>
      <c r="C298">
        <v>2</v>
      </c>
      <c r="D298" s="125" t="s">
        <v>1109</v>
      </c>
      <c r="E298" s="125" t="s">
        <v>1109</v>
      </c>
      <c r="F298">
        <v>0.25</v>
      </c>
      <c r="G298">
        <v>0.5</v>
      </c>
      <c r="H298" s="125" t="s">
        <v>1109</v>
      </c>
      <c r="I298">
        <v>0</v>
      </c>
      <c r="J298">
        <v>4</v>
      </c>
      <c r="K298">
        <v>0.5</v>
      </c>
      <c r="L298" s="125" t="s">
        <v>1109</v>
      </c>
      <c r="M298">
        <v>0.25</v>
      </c>
      <c r="N298">
        <v>0.5</v>
      </c>
      <c r="O298" s="125" t="s">
        <v>1109</v>
      </c>
      <c r="P298">
        <v>0.5</v>
      </c>
      <c r="Q298" s="125" t="s">
        <v>1109</v>
      </c>
      <c r="R298">
        <v>0.5</v>
      </c>
      <c r="S298">
        <v>0.25</v>
      </c>
    </row>
    <row r="299" spans="1:19">
      <c r="A299" t="s">
        <v>2664</v>
      </c>
      <c r="B299">
        <v>0.5</v>
      </c>
      <c r="C299">
        <v>2</v>
      </c>
      <c r="D299">
        <v>2</v>
      </c>
      <c r="E299">
        <v>0</v>
      </c>
      <c r="F299" s="125" t="s">
        <v>1109</v>
      </c>
      <c r="G299" s="125" t="s">
        <v>1109</v>
      </c>
      <c r="H299">
        <v>2</v>
      </c>
      <c r="I299">
        <v>0</v>
      </c>
      <c r="J299">
        <v>2</v>
      </c>
      <c r="K299">
        <v>0.5</v>
      </c>
      <c r="L299">
        <v>0.5</v>
      </c>
      <c r="M299">
        <v>0.5</v>
      </c>
      <c r="N299">
        <v>0.25</v>
      </c>
      <c r="O299" s="125" t="s">
        <v>1109</v>
      </c>
      <c r="P299">
        <v>0.5</v>
      </c>
      <c r="Q299" s="125" t="s">
        <v>1109</v>
      </c>
      <c r="R299">
        <v>0.5</v>
      </c>
      <c r="S299">
        <v>0.5</v>
      </c>
    </row>
    <row r="300" spans="1:19">
      <c r="A300" t="s">
        <v>2665</v>
      </c>
      <c r="B300">
        <v>0.5</v>
      </c>
      <c r="C300">
        <v>2</v>
      </c>
      <c r="D300" s="125" t="s">
        <v>1109</v>
      </c>
      <c r="E300">
        <v>2</v>
      </c>
      <c r="F300">
        <v>0.25</v>
      </c>
      <c r="G300" s="125" t="s">
        <v>1109</v>
      </c>
      <c r="H300" s="125" t="s">
        <v>1109</v>
      </c>
      <c r="I300">
        <v>0</v>
      </c>
      <c r="J300">
        <v>0</v>
      </c>
      <c r="K300">
        <v>0.5</v>
      </c>
      <c r="L300">
        <v>0.5</v>
      </c>
      <c r="M300">
        <v>0.25</v>
      </c>
      <c r="N300" s="125" t="s">
        <v>1109</v>
      </c>
      <c r="O300" s="125" t="s">
        <v>1109</v>
      </c>
      <c r="P300">
        <v>0.5</v>
      </c>
      <c r="Q300" s="125" t="s">
        <v>1109</v>
      </c>
      <c r="R300">
        <v>0.5</v>
      </c>
      <c r="S300">
        <v>0.5</v>
      </c>
    </row>
    <row r="301" spans="1:19">
      <c r="A301" t="s">
        <v>2666</v>
      </c>
      <c r="B301">
        <v>0.5</v>
      </c>
      <c r="C301">
        <v>2</v>
      </c>
      <c r="D301" s="125" t="s">
        <v>1109</v>
      </c>
      <c r="E301" s="125" t="s">
        <v>1109</v>
      </c>
      <c r="F301">
        <v>0.5</v>
      </c>
      <c r="G301">
        <v>0.5</v>
      </c>
      <c r="H301" s="125" t="s">
        <v>1109</v>
      </c>
      <c r="I301">
        <v>0</v>
      </c>
      <c r="J301">
        <v>2</v>
      </c>
      <c r="K301">
        <v>0.5</v>
      </c>
      <c r="L301">
        <v>0.25</v>
      </c>
      <c r="M301" s="125" t="s">
        <v>1109</v>
      </c>
      <c r="N301">
        <v>0.5</v>
      </c>
      <c r="O301">
        <v>2</v>
      </c>
      <c r="P301">
        <v>0.5</v>
      </c>
      <c r="Q301">
        <v>2</v>
      </c>
      <c r="R301">
        <v>0.5</v>
      </c>
      <c r="S301">
        <v>0.5</v>
      </c>
    </row>
    <row r="302" spans="1:19">
      <c r="A302" t="s">
        <v>2667</v>
      </c>
      <c r="B302">
        <v>0.5</v>
      </c>
      <c r="C302">
        <v>4</v>
      </c>
      <c r="D302" s="125" t="s">
        <v>1109</v>
      </c>
      <c r="E302" s="125" t="s">
        <v>1109</v>
      </c>
      <c r="F302">
        <v>0.25</v>
      </c>
      <c r="G302">
        <v>0.5</v>
      </c>
      <c r="H302" s="125" t="s">
        <v>1109</v>
      </c>
      <c r="I302">
        <v>0</v>
      </c>
      <c r="J302" s="125" t="s">
        <v>1109</v>
      </c>
      <c r="K302" s="125" t="s">
        <v>1109</v>
      </c>
      <c r="L302">
        <v>0.5</v>
      </c>
      <c r="M302">
        <v>0.5</v>
      </c>
      <c r="N302" s="125" t="s">
        <v>1109</v>
      </c>
      <c r="O302" s="125" t="s">
        <v>1109</v>
      </c>
      <c r="P302">
        <v>0.5</v>
      </c>
      <c r="Q302" s="125" t="s">
        <v>1109</v>
      </c>
      <c r="R302">
        <v>0.5</v>
      </c>
      <c r="S302">
        <v>0.5</v>
      </c>
    </row>
    <row r="303" spans="1:19">
      <c r="A303" t="s">
        <v>2668</v>
      </c>
      <c r="B303">
        <v>0.25</v>
      </c>
      <c r="C303" s="125" t="s">
        <v>1109</v>
      </c>
      <c r="D303">
        <v>2</v>
      </c>
      <c r="E303" s="125" t="s">
        <v>1109</v>
      </c>
      <c r="F303" s="125" t="s">
        <v>1109</v>
      </c>
      <c r="G303">
        <v>0.5</v>
      </c>
      <c r="H303">
        <v>4</v>
      </c>
      <c r="I303">
        <v>0</v>
      </c>
      <c r="J303">
        <v>4</v>
      </c>
      <c r="K303">
        <v>0.25</v>
      </c>
      <c r="L303">
        <v>0.5</v>
      </c>
      <c r="M303">
        <v>0.5</v>
      </c>
      <c r="N303">
        <v>0.5</v>
      </c>
      <c r="O303" s="125" t="s">
        <v>1109</v>
      </c>
      <c r="P303">
        <v>0.5</v>
      </c>
      <c r="Q303" s="125" t="s">
        <v>1109</v>
      </c>
      <c r="R303" s="125" t="s">
        <v>1109</v>
      </c>
      <c r="S303">
        <v>0.5</v>
      </c>
    </row>
    <row r="304" spans="1:19">
      <c r="A304" t="s">
        <v>2669</v>
      </c>
      <c r="B304">
        <v>0</v>
      </c>
      <c r="C304">
        <v>2</v>
      </c>
      <c r="D304" s="125" t="s">
        <v>1109</v>
      </c>
      <c r="E304" s="125" t="s">
        <v>1109</v>
      </c>
      <c r="F304">
        <v>0.5</v>
      </c>
      <c r="G304">
        <v>0.5</v>
      </c>
      <c r="H304">
        <v>0</v>
      </c>
      <c r="I304">
        <v>0</v>
      </c>
      <c r="J304">
        <v>2</v>
      </c>
      <c r="K304">
        <v>0.5</v>
      </c>
      <c r="L304">
        <v>0.5</v>
      </c>
      <c r="M304">
        <v>0.25</v>
      </c>
      <c r="N304">
        <v>0.5</v>
      </c>
      <c r="O304">
        <v>2</v>
      </c>
      <c r="P304">
        <v>0.5</v>
      </c>
      <c r="Q304">
        <v>2</v>
      </c>
      <c r="R304">
        <v>0.5</v>
      </c>
      <c r="S304">
        <v>0.5</v>
      </c>
    </row>
    <row r="305" spans="1:19">
      <c r="A305" t="s">
        <v>2670</v>
      </c>
      <c r="B305">
        <v>0.5</v>
      </c>
      <c r="C305" s="125" t="s">
        <v>1109</v>
      </c>
      <c r="D305">
        <v>0.5</v>
      </c>
      <c r="E305">
        <v>0.5</v>
      </c>
      <c r="F305">
        <v>0.25</v>
      </c>
      <c r="G305" s="125" t="s">
        <v>1109</v>
      </c>
      <c r="H305">
        <v>2</v>
      </c>
      <c r="I305">
        <v>0</v>
      </c>
      <c r="J305">
        <v>2</v>
      </c>
      <c r="K305">
        <v>0.5</v>
      </c>
      <c r="L305">
        <v>0.5</v>
      </c>
      <c r="M305">
        <v>0.5</v>
      </c>
      <c r="N305">
        <v>0.5</v>
      </c>
      <c r="O305" s="125" t="s">
        <v>1109</v>
      </c>
      <c r="P305" s="125" t="s">
        <v>1109</v>
      </c>
      <c r="Q305" s="125" t="s">
        <v>1109</v>
      </c>
      <c r="R305">
        <v>0.5</v>
      </c>
      <c r="S305" s="125" t="s">
        <v>1109</v>
      </c>
    </row>
    <row r="306" spans="1:19">
      <c r="A306" t="s">
        <v>2671</v>
      </c>
      <c r="B306">
        <v>0.5</v>
      </c>
      <c r="C306">
        <v>2</v>
      </c>
      <c r="D306" s="125" t="s">
        <v>1109</v>
      </c>
      <c r="E306" s="125" t="s">
        <v>1109</v>
      </c>
      <c r="F306">
        <v>0.5</v>
      </c>
      <c r="G306">
        <v>0.5</v>
      </c>
      <c r="H306">
        <v>4</v>
      </c>
      <c r="I306">
        <v>0</v>
      </c>
      <c r="J306">
        <v>2</v>
      </c>
      <c r="K306">
        <v>0.5</v>
      </c>
      <c r="L306">
        <v>0</v>
      </c>
      <c r="M306" s="125" t="s">
        <v>1109</v>
      </c>
      <c r="N306">
        <v>0.5</v>
      </c>
      <c r="O306">
        <v>0.5</v>
      </c>
      <c r="P306">
        <v>0.5</v>
      </c>
      <c r="Q306">
        <v>0.5</v>
      </c>
      <c r="R306">
        <v>0.5</v>
      </c>
      <c r="S306" s="125" t="s">
        <v>1109</v>
      </c>
    </row>
    <row r="307" spans="1:19">
      <c r="A307" t="s">
        <v>2672</v>
      </c>
      <c r="B307">
        <v>0.5</v>
      </c>
      <c r="C307">
        <v>2</v>
      </c>
      <c r="D307" s="125" t="s">
        <v>1109</v>
      </c>
      <c r="E307" s="125" t="s">
        <v>1109</v>
      </c>
      <c r="F307">
        <v>0.5</v>
      </c>
      <c r="G307">
        <v>0.5</v>
      </c>
      <c r="H307" s="125" t="s">
        <v>1109</v>
      </c>
      <c r="I307">
        <v>0</v>
      </c>
      <c r="J307">
        <v>2</v>
      </c>
      <c r="K307">
        <v>0.5</v>
      </c>
      <c r="L307">
        <v>0.5</v>
      </c>
      <c r="M307">
        <v>0.25</v>
      </c>
      <c r="N307">
        <v>0.5</v>
      </c>
      <c r="O307" s="125" t="s">
        <v>1109</v>
      </c>
      <c r="P307">
        <v>0</v>
      </c>
      <c r="Q307">
        <v>0.5</v>
      </c>
      <c r="R307" s="125" t="s">
        <v>1109</v>
      </c>
      <c r="S307">
        <v>0.5</v>
      </c>
    </row>
    <row r="308" spans="1:19">
      <c r="A308" t="s">
        <v>2383</v>
      </c>
      <c r="B308" s="125" t="s">
        <v>1109</v>
      </c>
      <c r="C308" s="125" t="s">
        <v>1109</v>
      </c>
      <c r="D308" s="125" t="s">
        <v>1109</v>
      </c>
      <c r="E308" s="125" t="s">
        <v>1109</v>
      </c>
      <c r="F308" s="125" t="s">
        <v>1109</v>
      </c>
      <c r="G308" s="125" t="s">
        <v>1109</v>
      </c>
      <c r="H308">
        <v>0.5</v>
      </c>
      <c r="I308">
        <v>2</v>
      </c>
      <c r="J308" s="125" t="s">
        <v>1109</v>
      </c>
      <c r="K308" s="125" t="s">
        <v>1109</v>
      </c>
      <c r="L308" s="125" t="s">
        <v>1109</v>
      </c>
      <c r="M308">
        <v>0.5</v>
      </c>
      <c r="N308" s="125" t="s">
        <v>1109</v>
      </c>
      <c r="O308" s="125" t="s">
        <v>1109</v>
      </c>
      <c r="P308">
        <v>0</v>
      </c>
      <c r="Q308">
        <v>0.5</v>
      </c>
      <c r="R308">
        <v>2</v>
      </c>
      <c r="S308" s="125" t="s">
        <v>1109</v>
      </c>
    </row>
    <row r="309" spans="1:19">
      <c r="A309" t="s">
        <v>2673</v>
      </c>
      <c r="B309" s="125" t="s">
        <v>1109</v>
      </c>
      <c r="C309" s="125" t="s">
        <v>1109</v>
      </c>
      <c r="D309" s="125" t="s">
        <v>1109</v>
      </c>
      <c r="E309" s="125" t="s">
        <v>1109</v>
      </c>
      <c r="F309" s="125" t="s">
        <v>1109</v>
      </c>
      <c r="G309" s="125" t="s">
        <v>1109</v>
      </c>
      <c r="H309" s="125" t="s">
        <v>1109</v>
      </c>
      <c r="I309">
        <v>2</v>
      </c>
      <c r="J309" s="125" t="s">
        <v>1109</v>
      </c>
      <c r="K309" s="125" t="s">
        <v>1109</v>
      </c>
      <c r="L309" s="125" t="s">
        <v>1109</v>
      </c>
      <c r="M309">
        <v>0.5</v>
      </c>
      <c r="N309" s="125" t="s">
        <v>1109</v>
      </c>
      <c r="O309">
        <v>0</v>
      </c>
      <c r="P309">
        <v>0</v>
      </c>
      <c r="Q309">
        <v>0.5</v>
      </c>
      <c r="R309">
        <v>2</v>
      </c>
      <c r="S309" s="125" t="s">
        <v>1109</v>
      </c>
    </row>
    <row r="310" spans="1:19">
      <c r="A310" t="s">
        <v>2674</v>
      </c>
      <c r="B310" s="125" t="s">
        <v>1109</v>
      </c>
      <c r="C310">
        <v>0.5</v>
      </c>
      <c r="D310">
        <v>2</v>
      </c>
      <c r="E310" s="125" t="s">
        <v>1109</v>
      </c>
      <c r="F310">
        <v>0.5</v>
      </c>
      <c r="G310">
        <v>0.5</v>
      </c>
      <c r="H310">
        <v>0.5</v>
      </c>
      <c r="I310">
        <v>2</v>
      </c>
      <c r="J310">
        <v>2</v>
      </c>
      <c r="K310" s="125" t="s">
        <v>1109</v>
      </c>
      <c r="L310" s="125" t="s">
        <v>1109</v>
      </c>
      <c r="M310">
        <v>0.25</v>
      </c>
      <c r="N310">
        <v>2</v>
      </c>
      <c r="O310" s="125" t="s">
        <v>1109</v>
      </c>
      <c r="P310">
        <v>0</v>
      </c>
      <c r="Q310">
        <v>0.5</v>
      </c>
      <c r="R310" s="125" t="s">
        <v>1109</v>
      </c>
      <c r="S310">
        <v>0.5</v>
      </c>
    </row>
    <row r="311" spans="1:19">
      <c r="A311" t="s">
        <v>2675</v>
      </c>
      <c r="B311" s="125" t="s">
        <v>1109</v>
      </c>
      <c r="C311">
        <v>0.5</v>
      </c>
      <c r="D311">
        <v>0.5</v>
      </c>
      <c r="E311">
        <v>2</v>
      </c>
      <c r="F311">
        <v>2</v>
      </c>
      <c r="G311">
        <v>0.5</v>
      </c>
      <c r="H311">
        <v>0.5</v>
      </c>
      <c r="I311">
        <v>2</v>
      </c>
      <c r="J311" s="125" t="s">
        <v>1109</v>
      </c>
      <c r="K311" s="125" t="s">
        <v>1109</v>
      </c>
      <c r="L311" s="125" t="s">
        <v>1109</v>
      </c>
      <c r="M311">
        <v>0.5</v>
      </c>
      <c r="N311" s="125" t="s">
        <v>1109</v>
      </c>
      <c r="O311" s="125" t="s">
        <v>1109</v>
      </c>
      <c r="P311">
        <v>0</v>
      </c>
      <c r="Q311">
        <v>0.5</v>
      </c>
      <c r="R311" s="125" t="s">
        <v>1109</v>
      </c>
      <c r="S311" s="125" t="s">
        <v>1109</v>
      </c>
    </row>
    <row r="312" spans="1:19">
      <c r="A312" t="s">
        <v>2676</v>
      </c>
      <c r="B312" s="125" t="s">
        <v>1109</v>
      </c>
      <c r="C312" s="125" t="s">
        <v>1109</v>
      </c>
      <c r="D312" s="125" t="s">
        <v>1109</v>
      </c>
      <c r="E312">
        <v>0.5</v>
      </c>
      <c r="F312" s="125" t="s">
        <v>1109</v>
      </c>
      <c r="G312" s="125" t="s">
        <v>1109</v>
      </c>
      <c r="H312">
        <v>0.5</v>
      </c>
      <c r="I312">
        <v>2</v>
      </c>
      <c r="J312">
        <v>2</v>
      </c>
      <c r="K312">
        <v>0.5</v>
      </c>
      <c r="L312" s="125" t="s">
        <v>1109</v>
      </c>
      <c r="M312">
        <v>0.5</v>
      </c>
      <c r="N312" s="125" t="s">
        <v>1109</v>
      </c>
      <c r="O312" s="125" t="s">
        <v>1109</v>
      </c>
      <c r="P312">
        <v>0</v>
      </c>
      <c r="Q312">
        <v>0.5</v>
      </c>
      <c r="R312" s="125" t="s">
        <v>1109</v>
      </c>
      <c r="S312" s="125" t="s">
        <v>1109</v>
      </c>
    </row>
    <row r="313" spans="1:19">
      <c r="A313" t="s">
        <v>2677</v>
      </c>
      <c r="B313" s="125" t="s">
        <v>1109</v>
      </c>
      <c r="C313">
        <v>2</v>
      </c>
      <c r="D313">
        <v>0.5</v>
      </c>
      <c r="E313">
        <v>0.5</v>
      </c>
      <c r="F313">
        <v>0.5</v>
      </c>
      <c r="G313">
        <v>2</v>
      </c>
      <c r="H313">
        <v>0.5</v>
      </c>
      <c r="I313">
        <v>4</v>
      </c>
      <c r="J313">
        <v>0.5</v>
      </c>
      <c r="K313">
        <v>2</v>
      </c>
      <c r="L313" s="125" t="s">
        <v>1109</v>
      </c>
      <c r="M313" s="125" t="s">
        <v>1109</v>
      </c>
      <c r="N313" s="125" t="s">
        <v>1109</v>
      </c>
      <c r="O313" s="125" t="s">
        <v>1109</v>
      </c>
      <c r="P313">
        <v>0</v>
      </c>
      <c r="Q313">
        <v>0.5</v>
      </c>
      <c r="R313">
        <v>2</v>
      </c>
      <c r="S313" s="125" t="s">
        <v>1109</v>
      </c>
    </row>
    <row r="314" spans="1:19">
      <c r="A314" t="s">
        <v>2678</v>
      </c>
      <c r="B314" s="125" t="s">
        <v>1109</v>
      </c>
      <c r="C314">
        <v>2</v>
      </c>
      <c r="D314" s="125" t="s">
        <v>1109</v>
      </c>
      <c r="E314" s="125" t="s">
        <v>1109</v>
      </c>
      <c r="F314" s="125" t="s">
        <v>1109</v>
      </c>
      <c r="G314">
        <v>0.5</v>
      </c>
      <c r="H314" s="125" t="s">
        <v>1109</v>
      </c>
      <c r="I314">
        <v>2</v>
      </c>
      <c r="J314" s="125" t="s">
        <v>1109</v>
      </c>
      <c r="K314" s="125" t="s">
        <v>1109</v>
      </c>
      <c r="L314" s="125" t="s">
        <v>1109</v>
      </c>
      <c r="M314">
        <v>0.5</v>
      </c>
      <c r="N314">
        <v>2</v>
      </c>
      <c r="O314" s="125" t="s">
        <v>1109</v>
      </c>
      <c r="P314">
        <v>0</v>
      </c>
      <c r="Q314">
        <v>0.5</v>
      </c>
      <c r="R314">
        <v>4</v>
      </c>
      <c r="S314" s="125" t="s">
        <v>1109</v>
      </c>
    </row>
    <row r="315" spans="1:19">
      <c r="A315" t="s">
        <v>2679</v>
      </c>
      <c r="B315" s="125" t="s">
        <v>1109</v>
      </c>
      <c r="C315" s="125" t="s">
        <v>1109</v>
      </c>
      <c r="D315" s="125" t="s">
        <v>1109</v>
      </c>
      <c r="E315" s="125" t="s">
        <v>1109</v>
      </c>
      <c r="F315" s="125" t="s">
        <v>1109</v>
      </c>
      <c r="G315" s="125" t="s">
        <v>1109</v>
      </c>
      <c r="H315">
        <v>0.5</v>
      </c>
      <c r="I315">
        <v>2</v>
      </c>
      <c r="J315" s="125" t="s">
        <v>1109</v>
      </c>
      <c r="K315">
        <v>2</v>
      </c>
      <c r="L315">
        <v>2</v>
      </c>
      <c r="M315">
        <v>0.25</v>
      </c>
      <c r="N315">
        <v>0.5</v>
      </c>
      <c r="O315" s="125" t="s">
        <v>1109</v>
      </c>
      <c r="P315">
        <v>0</v>
      </c>
      <c r="Q315">
        <v>0.25</v>
      </c>
      <c r="R315">
        <v>2</v>
      </c>
      <c r="S315">
        <v>2</v>
      </c>
    </row>
    <row r="316" spans="1:19">
      <c r="A316" t="s">
        <v>2680</v>
      </c>
      <c r="B316" s="125" t="s">
        <v>1109</v>
      </c>
      <c r="C316" s="125" t="s">
        <v>1109</v>
      </c>
      <c r="D316" s="125" t="s">
        <v>1109</v>
      </c>
      <c r="E316" s="125" t="s">
        <v>1109</v>
      </c>
      <c r="F316">
        <v>0.5</v>
      </c>
      <c r="G316" s="125" t="s">
        <v>1109</v>
      </c>
      <c r="H316">
        <v>0.25</v>
      </c>
      <c r="I316" s="125" t="s">
        <v>1109</v>
      </c>
      <c r="J316">
        <v>2</v>
      </c>
      <c r="K316" s="125" t="s">
        <v>1109</v>
      </c>
      <c r="L316">
        <v>2</v>
      </c>
      <c r="M316">
        <v>0.25</v>
      </c>
      <c r="N316" s="125" t="s">
        <v>1109</v>
      </c>
      <c r="O316" s="125" t="s">
        <v>1109</v>
      </c>
      <c r="P316">
        <v>0</v>
      </c>
      <c r="Q316">
        <v>0.5</v>
      </c>
      <c r="R316">
        <v>2</v>
      </c>
      <c r="S316">
        <v>0.5</v>
      </c>
    </row>
    <row r="317" spans="1:19">
      <c r="A317" t="s">
        <v>2681</v>
      </c>
      <c r="B317" s="125" t="s">
        <v>1109</v>
      </c>
      <c r="C317" s="125" t="s">
        <v>1109</v>
      </c>
      <c r="D317">
        <v>2</v>
      </c>
      <c r="E317">
        <v>0</v>
      </c>
      <c r="F317">
        <v>2</v>
      </c>
      <c r="G317">
        <v>2</v>
      </c>
      <c r="H317">
        <v>0.5</v>
      </c>
      <c r="I317" s="125" t="s">
        <v>1109</v>
      </c>
      <c r="J317" s="125" t="s">
        <v>1109</v>
      </c>
      <c r="K317" s="125" t="s">
        <v>1109</v>
      </c>
      <c r="L317" s="125" t="s">
        <v>1109</v>
      </c>
      <c r="M317">
        <v>0.5</v>
      </c>
      <c r="N317">
        <v>0.5</v>
      </c>
      <c r="O317" s="125" t="s">
        <v>1109</v>
      </c>
      <c r="P317">
        <v>0</v>
      </c>
      <c r="Q317">
        <v>0.5</v>
      </c>
      <c r="R317">
        <v>2</v>
      </c>
      <c r="S317" s="125" t="s">
        <v>1109</v>
      </c>
    </row>
    <row r="318" spans="1:19">
      <c r="A318" t="s">
        <v>2682</v>
      </c>
      <c r="B318" s="125" t="s">
        <v>1109</v>
      </c>
      <c r="C318" s="125" t="s">
        <v>1109</v>
      </c>
      <c r="D318" s="125" t="s">
        <v>1109</v>
      </c>
      <c r="E318">
        <v>2</v>
      </c>
      <c r="F318">
        <v>0.5</v>
      </c>
      <c r="G318">
        <v>2</v>
      </c>
      <c r="H318">
        <v>0.25</v>
      </c>
      <c r="I318">
        <v>2</v>
      </c>
      <c r="J318">
        <v>0</v>
      </c>
      <c r="K318" s="125" t="s">
        <v>1109</v>
      </c>
      <c r="L318" s="125" t="s">
        <v>1109</v>
      </c>
      <c r="M318">
        <v>0.25</v>
      </c>
      <c r="N318">
        <v>2</v>
      </c>
      <c r="O318" s="125" t="s">
        <v>1109</v>
      </c>
      <c r="P318">
        <v>0</v>
      </c>
      <c r="Q318">
        <v>0.5</v>
      </c>
      <c r="R318">
        <v>2</v>
      </c>
      <c r="S318" s="125" t="s">
        <v>1109</v>
      </c>
    </row>
    <row r="319" spans="1:19">
      <c r="A319" t="s">
        <v>2683</v>
      </c>
      <c r="B319" s="125" t="s">
        <v>1109</v>
      </c>
      <c r="C319" s="125" t="s">
        <v>1109</v>
      </c>
      <c r="D319" s="125" t="s">
        <v>1109</v>
      </c>
      <c r="E319" s="125" t="s">
        <v>1109</v>
      </c>
      <c r="F319" s="125" t="s">
        <v>1109</v>
      </c>
      <c r="G319" s="125" t="s">
        <v>1109</v>
      </c>
      <c r="H319">
        <v>0.25</v>
      </c>
      <c r="I319">
        <v>2</v>
      </c>
      <c r="J319" s="125" t="s">
        <v>1109</v>
      </c>
      <c r="K319" s="125" t="s">
        <v>1109</v>
      </c>
      <c r="L319">
        <v>0.5</v>
      </c>
      <c r="M319" s="125" t="s">
        <v>1109</v>
      </c>
      <c r="N319" s="125" t="s">
        <v>1109</v>
      </c>
      <c r="O319">
        <v>2</v>
      </c>
      <c r="P319">
        <v>0</v>
      </c>
      <c r="Q319" s="125" t="s">
        <v>1109</v>
      </c>
      <c r="R319">
        <v>2</v>
      </c>
      <c r="S319" s="125" t="s">
        <v>1109</v>
      </c>
    </row>
    <row r="320" spans="1:19">
      <c r="A320" t="s">
        <v>2684</v>
      </c>
      <c r="B320" s="125" t="s">
        <v>1109</v>
      </c>
      <c r="C320">
        <v>2</v>
      </c>
      <c r="D320" s="125" t="s">
        <v>1109</v>
      </c>
      <c r="E320" s="125" t="s">
        <v>1109</v>
      </c>
      <c r="F320">
        <v>0.5</v>
      </c>
      <c r="G320" s="125" t="s">
        <v>1109</v>
      </c>
      <c r="H320">
        <v>0.25</v>
      </c>
      <c r="I320">
        <v>2</v>
      </c>
      <c r="J320">
        <v>0.5</v>
      </c>
      <c r="K320">
        <v>2</v>
      </c>
      <c r="L320" s="125" t="s">
        <v>1109</v>
      </c>
      <c r="M320">
        <v>0.5</v>
      </c>
      <c r="N320">
        <v>2</v>
      </c>
      <c r="O320" s="125" t="s">
        <v>1109</v>
      </c>
      <c r="P320">
        <v>0</v>
      </c>
      <c r="Q320">
        <v>0.5</v>
      </c>
      <c r="R320">
        <v>2</v>
      </c>
      <c r="S320" s="125" t="s">
        <v>1109</v>
      </c>
    </row>
    <row r="321" spans="1:19">
      <c r="A321" t="s">
        <v>2685</v>
      </c>
      <c r="B321">
        <v>0.5</v>
      </c>
      <c r="C321">
        <v>0.5</v>
      </c>
      <c r="D321">
        <v>2</v>
      </c>
      <c r="E321" s="125" t="s">
        <v>1109</v>
      </c>
      <c r="F321">
        <v>2</v>
      </c>
      <c r="G321" s="125" t="s">
        <v>1109</v>
      </c>
      <c r="H321" s="125" t="s">
        <v>1109</v>
      </c>
      <c r="I321" s="125" t="s">
        <v>1109</v>
      </c>
      <c r="J321">
        <v>2</v>
      </c>
      <c r="K321">
        <v>0.5</v>
      </c>
      <c r="L321" s="125" t="s">
        <v>1109</v>
      </c>
      <c r="M321">
        <v>0.5</v>
      </c>
      <c r="N321" s="125" t="s">
        <v>1109</v>
      </c>
      <c r="O321" s="125" t="s">
        <v>1109</v>
      </c>
      <c r="P321">
        <v>0</v>
      </c>
      <c r="Q321">
        <v>0.5</v>
      </c>
      <c r="R321">
        <v>4</v>
      </c>
      <c r="S321" s="125" t="s">
        <v>1109</v>
      </c>
    </row>
    <row r="322" spans="1:19">
      <c r="A322" t="s">
        <v>2686</v>
      </c>
      <c r="B322">
        <v>0</v>
      </c>
      <c r="C322" s="125" t="s">
        <v>1109</v>
      </c>
      <c r="D322" s="125" t="s">
        <v>1109</v>
      </c>
      <c r="E322" s="125" t="s">
        <v>1109</v>
      </c>
      <c r="F322" s="125" t="s">
        <v>1109</v>
      </c>
      <c r="G322" s="125" t="s">
        <v>1109</v>
      </c>
      <c r="H322">
        <v>0</v>
      </c>
      <c r="I322" s="125" t="s">
        <v>1109</v>
      </c>
      <c r="J322" s="125" t="s">
        <v>1109</v>
      </c>
      <c r="K322" s="125" t="s">
        <v>1109</v>
      </c>
      <c r="L322" s="125" t="s">
        <v>1109</v>
      </c>
      <c r="M322">
        <v>0.25</v>
      </c>
      <c r="N322" s="125" t="s">
        <v>1109</v>
      </c>
      <c r="O322">
        <v>2</v>
      </c>
      <c r="P322">
        <v>0</v>
      </c>
      <c r="Q322" s="125" t="s">
        <v>1109</v>
      </c>
      <c r="R322">
        <v>2</v>
      </c>
      <c r="S322" s="125" t="s">
        <v>1109</v>
      </c>
    </row>
    <row r="323" spans="1:19">
      <c r="A323" t="s">
        <v>2687</v>
      </c>
      <c r="B323" s="125" t="s">
        <v>1109</v>
      </c>
      <c r="C323">
        <v>0.5</v>
      </c>
      <c r="D323">
        <v>0.5</v>
      </c>
      <c r="E323">
        <v>0.5</v>
      </c>
      <c r="F323">
        <v>0.5</v>
      </c>
      <c r="G323">
        <v>2</v>
      </c>
      <c r="H323">
        <v>0.5</v>
      </c>
      <c r="I323">
        <v>2</v>
      </c>
      <c r="J323" s="125" t="s">
        <v>1109</v>
      </c>
      <c r="K323" s="125" t="s">
        <v>1109</v>
      </c>
      <c r="L323" s="125" t="s">
        <v>1109</v>
      </c>
      <c r="M323">
        <v>0.5</v>
      </c>
      <c r="N323" s="125" t="s">
        <v>1109</v>
      </c>
      <c r="O323" s="125" t="s">
        <v>1109</v>
      </c>
      <c r="P323">
        <v>0</v>
      </c>
      <c r="Q323">
        <v>0.5</v>
      </c>
      <c r="R323">
        <v>2</v>
      </c>
      <c r="S323">
        <v>2</v>
      </c>
    </row>
    <row r="324" spans="1:19">
      <c r="A324" t="s">
        <v>2688</v>
      </c>
      <c r="B324" s="125" t="s">
        <v>1109</v>
      </c>
      <c r="C324" s="125" t="s">
        <v>1109</v>
      </c>
      <c r="D324" s="125" t="s">
        <v>1109</v>
      </c>
      <c r="E324" s="125" t="s">
        <v>1109</v>
      </c>
      <c r="F324" s="125" t="s">
        <v>1109</v>
      </c>
      <c r="G324" s="125" t="s">
        <v>1109</v>
      </c>
      <c r="H324" s="125" t="s">
        <v>1109</v>
      </c>
      <c r="I324">
        <v>2</v>
      </c>
      <c r="J324" s="125" t="s">
        <v>1109</v>
      </c>
      <c r="K324" s="125" t="s">
        <v>1109</v>
      </c>
      <c r="L324">
        <v>0</v>
      </c>
      <c r="M324" s="125" t="s">
        <v>1109</v>
      </c>
      <c r="N324" s="125" t="s">
        <v>1109</v>
      </c>
      <c r="O324">
        <v>0.5</v>
      </c>
      <c r="P324">
        <v>0</v>
      </c>
      <c r="Q324">
        <v>0.25</v>
      </c>
      <c r="R324">
        <v>2</v>
      </c>
      <c r="S324">
        <v>2</v>
      </c>
    </row>
    <row r="325" spans="1:19">
      <c r="A325" t="s">
        <v>2689</v>
      </c>
      <c r="B325">
        <v>0.5</v>
      </c>
      <c r="C325">
        <v>2</v>
      </c>
      <c r="D325" s="125" t="s">
        <v>1109</v>
      </c>
      <c r="E325" s="125" t="s">
        <v>1109</v>
      </c>
      <c r="F325">
        <v>0.5</v>
      </c>
      <c r="G325">
        <v>0.5</v>
      </c>
      <c r="H325" s="125" t="s">
        <v>1109</v>
      </c>
      <c r="I325">
        <v>0</v>
      </c>
      <c r="J325">
        <v>2</v>
      </c>
      <c r="K325">
        <v>0.5</v>
      </c>
      <c r="L325">
        <v>0.5</v>
      </c>
      <c r="M325">
        <v>0.25</v>
      </c>
      <c r="N325">
        <v>0.5</v>
      </c>
      <c r="O325" s="125" t="s">
        <v>1109</v>
      </c>
      <c r="P325">
        <v>0</v>
      </c>
      <c r="Q325">
        <v>0.5</v>
      </c>
      <c r="R325" s="125" t="s">
        <v>1109</v>
      </c>
      <c r="S325">
        <v>0.5</v>
      </c>
    </row>
  </sheetData>
  <autoFilter ref="A1:S325" xr:uid="{BA0D5E8E-D07E-0E47-AED6-570CBAA6B2B2}"/>
  <hyperlinks>
    <hyperlink ref="B1" r:id="rId1" tooltip="Normal" display="https://pokemondb.net/type/normal" xr:uid="{2BD49472-3156-2A4F-88A5-A8CE84065BD2}"/>
    <hyperlink ref="C1" r:id="rId2" tooltip="Fire" display="https://pokemondb.net/type/fire" xr:uid="{AFED0BDA-2FA8-C645-ABCA-FFFAAE446EC0}"/>
    <hyperlink ref="D1" r:id="rId3" tooltip="Water" display="https://pokemondb.net/type/water" xr:uid="{7805A4B7-F713-CB43-A627-3B8E4A77979A}"/>
    <hyperlink ref="E1" r:id="rId4" tooltip="Electric" display="https://pokemondb.net/type/electric" xr:uid="{54D0B622-0ABB-DB4E-8974-7E44ECBBBD10}"/>
    <hyperlink ref="F1" r:id="rId5" tooltip="Grass" display="https://pokemondb.net/type/grass" xr:uid="{2BCF6236-8671-254E-BE26-B970A13CAAB3}"/>
    <hyperlink ref="G1" r:id="rId6" tooltip="Ice" display="https://pokemondb.net/type/ice" xr:uid="{97D826E4-D1DC-E64E-9D42-DC58F0B8816A}"/>
    <hyperlink ref="H1" r:id="rId7" tooltip="Fighting" display="https://pokemondb.net/type/fighting" xr:uid="{64581DFC-DD0D-0A4C-9518-D7DB750CEA8D}"/>
    <hyperlink ref="I1" r:id="rId8" tooltip="Poison" display="https://pokemondb.net/type/poison" xr:uid="{18ED57EA-A9D8-4F4D-945F-9CE6A6737F92}"/>
    <hyperlink ref="J1" r:id="rId9" tooltip="Ground" display="https://pokemondb.net/type/ground" xr:uid="{E4BFE242-C9E8-C34A-A4E6-8CBA71CB0693}"/>
    <hyperlink ref="K1" r:id="rId10" tooltip="Flying" display="https://pokemondb.net/type/flying" xr:uid="{420BE6D7-03F6-8748-B030-8F1E9839CE30}"/>
    <hyperlink ref="L1" r:id="rId11" tooltip="Psychic" display="https://pokemondb.net/type/psychic" xr:uid="{9DB27793-1369-6348-9722-D5FE6F9DBC5E}"/>
    <hyperlink ref="M1" r:id="rId12" tooltip="Bug" display="https://pokemondb.net/type/bug" xr:uid="{F4F3977A-0838-7545-BF5E-1CD9DDBFA693}"/>
    <hyperlink ref="N1" r:id="rId13" tooltip="Rock" display="https://pokemondb.net/type/rock" xr:uid="{D27A36F1-2D77-0F4F-B65B-319D70FFE97C}"/>
    <hyperlink ref="O1" r:id="rId14" tooltip="Ghost" display="https://pokemondb.net/type/ghost" xr:uid="{B58EE618-80E4-D349-B1F9-487A8BD0F08B}"/>
    <hyperlink ref="P1" r:id="rId15" tooltip="Dragon" display="https://pokemondb.net/type/dragon" xr:uid="{50F73E6A-9CDD-BA4D-93EF-FF8565F3235F}"/>
    <hyperlink ref="Q1" r:id="rId16" tooltip="Dark" display="https://pokemondb.net/type/dark" xr:uid="{2B40E2CF-C30C-1F4D-B044-A16787028476}"/>
    <hyperlink ref="R1" r:id="rId17" tooltip="Steel" display="https://pokemondb.net/type/steel" xr:uid="{49AB4BB4-BA4C-CA43-8E75-274BE2BBB3AF}"/>
    <hyperlink ref="S1" r:id="rId18" tooltip="Fairy" display="https://pokemondb.net/type/fairy" xr:uid="{BF568CB9-0794-D040-8F49-DEFB84580966}"/>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theme="7"/>
  </sheetPr>
  <dimension ref="A1:AG153"/>
  <sheetViews>
    <sheetView topLeftCell="B2" zoomScale="138" zoomScaleNormal="70" workbookViewId="0">
      <selection activeCell="H14" sqref="H14:I14"/>
    </sheetView>
  </sheetViews>
  <sheetFormatPr baseColWidth="10" defaultColWidth="8.6640625" defaultRowHeight="15" outlineLevelCol="1"/>
  <cols>
    <col min="1" max="1" width="4.1640625" bestFit="1" customWidth="1"/>
    <col min="2" max="2" width="11.33203125" bestFit="1" customWidth="1"/>
    <col min="3" max="3" width="6.33203125" bestFit="1" customWidth="1"/>
    <col min="4" max="5" width="6.1640625" customWidth="1"/>
    <col min="6" max="8" width="9" bestFit="1" customWidth="1"/>
    <col min="9" max="9" width="8.6640625" customWidth="1"/>
    <col min="10" max="30" width="8.6640625" style="13" customWidth="1" outlineLevel="1"/>
    <col min="31" max="31" width="81.1640625" style="13" customWidth="1"/>
    <col min="32" max="16384" width="8.6640625" style="13"/>
  </cols>
  <sheetData>
    <row r="1" spans="1:33" customFormat="1" hidden="1">
      <c r="A1" s="202" t="s">
        <v>795</v>
      </c>
      <c r="B1" s="202"/>
      <c r="C1" s="202"/>
      <c r="D1" s="11"/>
      <c r="E1" s="11"/>
      <c r="F1" s="203" t="s">
        <v>796</v>
      </c>
      <c r="G1" s="203"/>
      <c r="H1" s="203"/>
      <c r="I1" s="203"/>
      <c r="J1" s="204" t="s">
        <v>813</v>
      </c>
      <c r="K1" s="204"/>
      <c r="L1" s="204"/>
      <c r="M1" s="204"/>
      <c r="N1" s="204"/>
      <c r="O1" s="204"/>
      <c r="P1" s="204"/>
      <c r="Q1" s="204"/>
      <c r="R1" s="204"/>
      <c r="S1" s="204"/>
      <c r="T1" s="204"/>
      <c r="U1" s="204"/>
      <c r="V1" s="204"/>
      <c r="W1" s="204"/>
      <c r="X1" s="204"/>
      <c r="Y1" s="204"/>
      <c r="Z1" s="204"/>
      <c r="AA1" s="204"/>
      <c r="AB1" s="204"/>
      <c r="AC1" s="204"/>
      <c r="AD1" s="204"/>
      <c r="AE1" s="15"/>
      <c r="AF1" s="205"/>
      <c r="AG1" s="205"/>
    </row>
    <row r="2" spans="1:33" customFormat="1">
      <c r="A2" s="1" t="s">
        <v>0</v>
      </c>
      <c r="B2" s="1" t="s">
        <v>1</v>
      </c>
      <c r="C2" s="1" t="s">
        <v>791</v>
      </c>
      <c r="D2" s="1" t="s">
        <v>2</v>
      </c>
      <c r="E2" s="1" t="s">
        <v>3</v>
      </c>
      <c r="F2" s="2" t="s">
        <v>5</v>
      </c>
      <c r="G2" s="2" t="s">
        <v>6</v>
      </c>
      <c r="H2" s="2" t="s">
        <v>10</v>
      </c>
      <c r="I2" s="2" t="s">
        <v>773</v>
      </c>
      <c r="J2" s="12" t="s">
        <v>793</v>
      </c>
      <c r="K2" s="12" t="s">
        <v>797</v>
      </c>
      <c r="L2" s="12" t="s">
        <v>798</v>
      </c>
      <c r="M2" s="12" t="s">
        <v>799</v>
      </c>
      <c r="N2" s="12" t="s">
        <v>800</v>
      </c>
      <c r="O2" s="12" t="s">
        <v>801</v>
      </c>
      <c r="P2" s="12" t="s">
        <v>802</v>
      </c>
      <c r="Q2" s="12" t="s">
        <v>803</v>
      </c>
      <c r="R2" s="12" t="s">
        <v>815</v>
      </c>
      <c r="S2" s="12" t="s">
        <v>804</v>
      </c>
      <c r="T2" s="12" t="s">
        <v>805</v>
      </c>
      <c r="U2" s="12" t="s">
        <v>806</v>
      </c>
      <c r="V2" s="12" t="s">
        <v>807</v>
      </c>
      <c r="W2" s="12" t="s">
        <v>808</v>
      </c>
      <c r="X2" s="12" t="s">
        <v>816</v>
      </c>
      <c r="Y2" s="12" t="s">
        <v>809</v>
      </c>
      <c r="Z2" s="12" t="s">
        <v>810</v>
      </c>
      <c r="AA2" s="12" t="s">
        <v>811</v>
      </c>
      <c r="AB2" s="12" t="s">
        <v>794</v>
      </c>
      <c r="AC2" s="12" t="s">
        <v>812</v>
      </c>
      <c r="AD2" s="12" t="s">
        <v>817</v>
      </c>
      <c r="AE2" s="14" t="s">
        <v>814</v>
      </c>
    </row>
    <row r="3" spans="1:33">
      <c r="A3">
        <v>1</v>
      </c>
      <c r="B3" t="s">
        <v>13</v>
      </c>
      <c r="C3">
        <v>1</v>
      </c>
      <c r="D3" t="s">
        <v>14</v>
      </c>
      <c r="E3" t="s">
        <v>15</v>
      </c>
      <c r="F3" s="3">
        <v>10.6</v>
      </c>
      <c r="G3" s="4">
        <v>5</v>
      </c>
      <c r="H3" s="3">
        <v>4.5</v>
      </c>
      <c r="I3" s="9">
        <v>20.100000000000001</v>
      </c>
      <c r="AE3" s="13" t="s">
        <v>792</v>
      </c>
    </row>
    <row r="4" spans="1:33" customFormat="1">
      <c r="A4">
        <v>2</v>
      </c>
      <c r="B4" t="s">
        <v>16</v>
      </c>
      <c r="C4">
        <v>2</v>
      </c>
      <c r="D4" t="s">
        <v>14</v>
      </c>
      <c r="E4" t="s">
        <v>15</v>
      </c>
      <c r="F4" s="3">
        <v>13.533333333333333</v>
      </c>
      <c r="G4" s="4">
        <v>6</v>
      </c>
      <c r="H4" s="3">
        <v>6</v>
      </c>
      <c r="I4" s="9">
        <v>25.533333333333331</v>
      </c>
      <c r="J4" s="13"/>
      <c r="K4" s="13"/>
      <c r="L4" s="13"/>
      <c r="M4" s="13"/>
      <c r="N4" s="13"/>
      <c r="O4" s="13"/>
      <c r="P4" s="13"/>
      <c r="Q4" s="13"/>
      <c r="R4" s="13"/>
      <c r="S4" s="13"/>
      <c r="T4" s="13"/>
      <c r="U4" s="13"/>
      <c r="V4" s="13"/>
      <c r="W4" s="13"/>
      <c r="X4" s="13"/>
      <c r="Y4" s="13"/>
      <c r="Z4" s="13"/>
      <c r="AA4" s="13"/>
      <c r="AB4" s="13"/>
      <c r="AC4" s="13"/>
      <c r="AD4" s="13"/>
      <c r="AE4" s="13"/>
    </row>
    <row r="5" spans="1:33" customFormat="1">
      <c r="A5">
        <v>3</v>
      </c>
      <c r="B5" t="s">
        <v>17</v>
      </c>
      <c r="C5">
        <v>3</v>
      </c>
      <c r="D5" t="s">
        <v>14</v>
      </c>
      <c r="E5" t="s">
        <v>15</v>
      </c>
      <c r="F5" s="3">
        <v>17.533333333333335</v>
      </c>
      <c r="G5" s="4">
        <v>8</v>
      </c>
      <c r="H5" s="3">
        <v>8</v>
      </c>
      <c r="I5" s="9">
        <v>33.533333333333331</v>
      </c>
      <c r="J5" s="13"/>
      <c r="K5" s="13"/>
      <c r="L5" s="13"/>
      <c r="M5" s="13"/>
      <c r="N5" s="13"/>
      <c r="O5" s="13"/>
      <c r="P5" s="13"/>
      <c r="Q5" s="13"/>
      <c r="R5" s="13"/>
      <c r="S5" s="13"/>
      <c r="T5" s="13"/>
      <c r="U5" s="13"/>
      <c r="V5" s="13"/>
      <c r="W5" s="13"/>
      <c r="X5" s="13"/>
      <c r="Y5" s="13"/>
      <c r="Z5" s="13"/>
      <c r="AA5" s="13"/>
      <c r="AB5" s="13"/>
      <c r="AC5" s="13"/>
      <c r="AD5" s="13"/>
      <c r="AE5" s="13"/>
    </row>
    <row r="6" spans="1:33">
      <c r="A6">
        <v>4</v>
      </c>
      <c r="B6" t="s">
        <v>18</v>
      </c>
      <c r="C6">
        <v>1</v>
      </c>
      <c r="D6" t="s">
        <v>19</v>
      </c>
      <c r="F6" s="3">
        <v>8.8000000000000007</v>
      </c>
      <c r="G6" s="4">
        <v>5</v>
      </c>
      <c r="H6" s="3">
        <v>6.5</v>
      </c>
      <c r="I6" s="9">
        <v>20.3</v>
      </c>
      <c r="AE6" s="13" t="s">
        <v>792</v>
      </c>
    </row>
    <row r="7" spans="1:33" customFormat="1">
      <c r="A7">
        <v>5</v>
      </c>
      <c r="B7" t="s">
        <v>20</v>
      </c>
      <c r="C7">
        <v>2</v>
      </c>
      <c r="D7" t="s">
        <v>19</v>
      </c>
      <c r="F7" s="3">
        <v>12.066666666666666</v>
      </c>
      <c r="G7" s="4">
        <v>6</v>
      </c>
      <c r="H7" s="3">
        <v>8</v>
      </c>
      <c r="I7" s="9">
        <v>26.066666666666666</v>
      </c>
      <c r="J7" s="13"/>
      <c r="K7" s="13"/>
      <c r="L7" s="13"/>
      <c r="M7" s="13"/>
      <c r="N7" s="13"/>
      <c r="O7" s="13"/>
      <c r="P7" s="13"/>
      <c r="Q7" s="13"/>
      <c r="R7" s="13"/>
      <c r="S7" s="13"/>
      <c r="T7" s="13"/>
      <c r="U7" s="13"/>
      <c r="V7" s="13"/>
      <c r="W7" s="13"/>
      <c r="X7" s="13"/>
      <c r="Y7" s="13"/>
      <c r="Z7" s="13"/>
      <c r="AA7" s="13"/>
      <c r="AB7" s="13"/>
      <c r="AC7" s="13"/>
      <c r="AD7" s="13"/>
      <c r="AE7" s="13"/>
    </row>
    <row r="8" spans="1:33" customFormat="1">
      <c r="A8">
        <v>6</v>
      </c>
      <c r="B8" t="s">
        <v>21</v>
      </c>
      <c r="C8">
        <v>3</v>
      </c>
      <c r="D8" t="s">
        <v>19</v>
      </c>
      <c r="E8" t="s">
        <v>22</v>
      </c>
      <c r="F8" s="3">
        <v>16.066666666666666</v>
      </c>
      <c r="G8" s="4">
        <v>8</v>
      </c>
      <c r="H8" s="3">
        <v>10</v>
      </c>
      <c r="I8" s="9">
        <v>34.066666666666663</v>
      </c>
      <c r="J8" s="13"/>
      <c r="K8" s="13"/>
      <c r="L8" s="13"/>
      <c r="M8" s="13"/>
      <c r="N8" s="13"/>
      <c r="O8" s="13"/>
      <c r="P8" s="13"/>
      <c r="Q8" s="13"/>
      <c r="R8" s="13"/>
      <c r="S8" s="13"/>
      <c r="T8" s="13"/>
      <c r="U8" s="13"/>
      <c r="V8" s="13"/>
      <c r="W8" s="13"/>
      <c r="X8" s="13"/>
      <c r="Y8" s="13"/>
      <c r="Z8" s="13"/>
      <c r="AA8" s="13"/>
      <c r="AB8" s="13"/>
      <c r="AC8" s="13"/>
      <c r="AD8" s="13"/>
      <c r="AE8" s="13"/>
    </row>
    <row r="9" spans="1:33">
      <c r="A9">
        <v>7</v>
      </c>
      <c r="B9" t="s">
        <v>24</v>
      </c>
      <c r="C9">
        <v>1</v>
      </c>
      <c r="D9" t="s">
        <v>25</v>
      </c>
      <c r="F9" s="3">
        <v>11.533333333333333</v>
      </c>
      <c r="G9" s="4">
        <v>5</v>
      </c>
      <c r="H9" s="3">
        <v>4.3</v>
      </c>
      <c r="I9" s="9">
        <v>20.833333333333332</v>
      </c>
      <c r="AE9" s="13" t="s">
        <v>792</v>
      </c>
    </row>
    <row r="10" spans="1:33" customFormat="1">
      <c r="A10">
        <v>8</v>
      </c>
      <c r="B10" t="s">
        <v>26</v>
      </c>
      <c r="C10">
        <v>2</v>
      </c>
      <c r="D10" t="s">
        <v>25</v>
      </c>
      <c r="F10" s="3">
        <v>14.6</v>
      </c>
      <c r="G10" s="4">
        <v>6</v>
      </c>
      <c r="H10" s="3">
        <v>5.8</v>
      </c>
      <c r="I10" s="9">
        <v>26.400000000000002</v>
      </c>
      <c r="J10" s="13"/>
      <c r="K10" s="13"/>
      <c r="L10" s="13"/>
      <c r="M10" s="13"/>
      <c r="N10" s="13"/>
      <c r="O10" s="13"/>
      <c r="P10" s="13"/>
      <c r="Q10" s="13"/>
      <c r="R10" s="13"/>
      <c r="S10" s="13"/>
      <c r="T10" s="13"/>
      <c r="U10" s="13"/>
      <c r="V10" s="13"/>
      <c r="W10" s="13"/>
      <c r="X10" s="13"/>
      <c r="Y10" s="13"/>
      <c r="Z10" s="13"/>
      <c r="AA10" s="13"/>
      <c r="AB10" s="13"/>
      <c r="AC10" s="13"/>
      <c r="AD10" s="13"/>
      <c r="AE10" s="13"/>
    </row>
    <row r="11" spans="1:33" customFormat="1">
      <c r="A11">
        <v>9</v>
      </c>
      <c r="B11" t="s">
        <v>27</v>
      </c>
      <c r="C11">
        <v>3</v>
      </c>
      <c r="D11" t="s">
        <v>25</v>
      </c>
      <c r="F11" s="3">
        <v>18.933333333333334</v>
      </c>
      <c r="G11" s="4">
        <v>8</v>
      </c>
      <c r="H11" s="3">
        <v>7.8</v>
      </c>
      <c r="I11" s="9">
        <v>34.733333333333334</v>
      </c>
      <c r="J11" s="13"/>
      <c r="K11" s="13"/>
      <c r="L11" s="13"/>
      <c r="M11" s="13"/>
      <c r="N11" s="13"/>
      <c r="O11" s="13"/>
      <c r="P11" s="13"/>
      <c r="Q11" s="13"/>
      <c r="R11" s="13"/>
      <c r="S11" s="13"/>
      <c r="T11" s="13"/>
      <c r="U11" s="13"/>
      <c r="V11" s="13"/>
      <c r="W11" s="13"/>
      <c r="X11" s="13"/>
      <c r="Y11" s="13"/>
      <c r="Z11" s="13"/>
      <c r="AA11" s="13"/>
      <c r="AB11" s="13"/>
      <c r="AC11" s="13"/>
      <c r="AD11" s="13"/>
      <c r="AE11" s="13"/>
    </row>
    <row r="12" spans="1:33">
      <c r="A12">
        <v>10</v>
      </c>
      <c r="B12" t="s">
        <v>28</v>
      </c>
      <c r="C12">
        <v>1</v>
      </c>
      <c r="D12" t="s">
        <v>29</v>
      </c>
      <c r="F12" s="3">
        <v>6.666666666666667</v>
      </c>
      <c r="G12" s="4">
        <v>2</v>
      </c>
      <c r="H12" s="3">
        <v>4.5</v>
      </c>
      <c r="I12" s="9">
        <v>13.166666666666668</v>
      </c>
      <c r="J12" s="13">
        <v>1</v>
      </c>
      <c r="AB12" s="13">
        <v>1</v>
      </c>
    </row>
    <row r="13" spans="1:33" customFormat="1">
      <c r="A13">
        <v>19</v>
      </c>
      <c r="B13" t="s">
        <v>39</v>
      </c>
      <c r="C13">
        <v>1</v>
      </c>
      <c r="D13" t="s">
        <v>36</v>
      </c>
      <c r="F13" s="3">
        <v>6.666666666666667</v>
      </c>
      <c r="G13" s="4">
        <v>3</v>
      </c>
      <c r="H13" s="3">
        <v>7.2</v>
      </c>
      <c r="I13" s="9">
        <v>16.866666666666667</v>
      </c>
      <c r="J13" s="13">
        <v>1</v>
      </c>
      <c r="K13" s="13">
        <v>1</v>
      </c>
      <c r="L13" s="13"/>
      <c r="M13" s="13"/>
      <c r="N13" s="13"/>
      <c r="O13" s="13"/>
      <c r="P13" s="13"/>
      <c r="Q13" s="13"/>
      <c r="R13" s="13"/>
      <c r="S13" s="13"/>
      <c r="T13" s="13"/>
      <c r="U13" s="13"/>
      <c r="V13" s="13"/>
      <c r="W13" s="13"/>
      <c r="X13" s="13"/>
      <c r="Y13" s="13"/>
      <c r="Z13" s="13"/>
      <c r="AA13" s="13"/>
      <c r="AB13" s="13"/>
      <c r="AC13" s="13"/>
      <c r="AD13" s="13"/>
      <c r="AE13" s="13"/>
      <c r="AF13" s="13"/>
      <c r="AG13" s="13"/>
    </row>
    <row r="14" spans="1:33" customFormat="1">
      <c r="A14">
        <v>12</v>
      </c>
      <c r="B14" t="s">
        <v>31</v>
      </c>
      <c r="C14">
        <v>3</v>
      </c>
      <c r="D14" t="s">
        <v>29</v>
      </c>
      <c r="E14" t="s">
        <v>22</v>
      </c>
      <c r="F14" s="3">
        <v>12.666666666666666</v>
      </c>
      <c r="G14" s="4">
        <v>7</v>
      </c>
      <c r="H14" s="3">
        <v>7</v>
      </c>
      <c r="I14" s="9">
        <v>26.666666666666664</v>
      </c>
      <c r="J14" s="13"/>
      <c r="K14" s="13"/>
      <c r="L14" s="13"/>
      <c r="M14" s="13"/>
      <c r="N14" s="13"/>
      <c r="O14" s="13"/>
      <c r="P14" s="13"/>
      <c r="Q14" s="13"/>
      <c r="R14" s="13"/>
      <c r="S14" s="13"/>
      <c r="T14" s="13"/>
      <c r="U14" s="13"/>
      <c r="V14" s="13"/>
      <c r="W14" s="13"/>
      <c r="X14" s="13"/>
      <c r="Y14" s="13"/>
      <c r="Z14" s="13"/>
      <c r="AA14" s="13"/>
      <c r="AB14" s="13"/>
      <c r="AC14" s="13"/>
      <c r="AD14" s="13"/>
      <c r="AE14" s="13"/>
    </row>
    <row r="15" spans="1:33">
      <c r="A15">
        <v>13</v>
      </c>
      <c r="B15" t="s">
        <v>32</v>
      </c>
      <c r="C15">
        <v>1</v>
      </c>
      <c r="D15" t="s">
        <v>29</v>
      </c>
      <c r="E15" t="s">
        <v>15</v>
      </c>
      <c r="F15" s="3">
        <v>6</v>
      </c>
      <c r="G15" s="4">
        <v>4</v>
      </c>
      <c r="H15" s="3">
        <v>5</v>
      </c>
      <c r="I15" s="9">
        <v>15</v>
      </c>
      <c r="J15" s="13">
        <v>1</v>
      </c>
      <c r="AB15" s="13">
        <v>1</v>
      </c>
    </row>
    <row r="16" spans="1:33" customFormat="1">
      <c r="A16">
        <v>14</v>
      </c>
      <c r="B16" t="s">
        <v>33</v>
      </c>
      <c r="C16">
        <v>2</v>
      </c>
      <c r="D16" t="s">
        <v>29</v>
      </c>
      <c r="E16" t="s">
        <v>15</v>
      </c>
      <c r="F16" s="3">
        <v>8</v>
      </c>
      <c r="G16" s="4">
        <v>4</v>
      </c>
      <c r="H16" s="3">
        <v>3.5</v>
      </c>
      <c r="I16" s="9">
        <v>15.5</v>
      </c>
      <c r="J16" s="13"/>
      <c r="K16" s="13">
        <v>1</v>
      </c>
      <c r="L16" s="13"/>
      <c r="M16" s="13"/>
      <c r="N16" s="13"/>
      <c r="O16" s="13"/>
      <c r="P16" s="13"/>
      <c r="Q16" s="13"/>
      <c r="R16" s="13"/>
      <c r="S16" s="13"/>
      <c r="T16" s="13"/>
      <c r="U16" s="13"/>
      <c r="V16" s="13"/>
      <c r="W16" s="13"/>
      <c r="X16" s="13"/>
      <c r="Y16" s="13"/>
      <c r="Z16" s="13"/>
      <c r="AA16" s="13"/>
      <c r="AB16" s="13"/>
      <c r="AC16" s="13"/>
      <c r="AD16" s="13"/>
      <c r="AE16" s="13"/>
    </row>
    <row r="17" spans="1:31" customFormat="1">
      <c r="A17">
        <v>15</v>
      </c>
      <c r="B17" t="s">
        <v>34</v>
      </c>
      <c r="C17">
        <v>3</v>
      </c>
      <c r="D17" t="s">
        <v>29</v>
      </c>
      <c r="E17" t="s">
        <v>15</v>
      </c>
      <c r="F17" s="3">
        <v>12.333333333333334</v>
      </c>
      <c r="G17" s="4">
        <v>7</v>
      </c>
      <c r="H17" s="3">
        <v>7.5</v>
      </c>
      <c r="I17" s="9">
        <v>26.833333333333336</v>
      </c>
      <c r="J17" s="13"/>
      <c r="K17" s="13"/>
      <c r="L17" s="13"/>
      <c r="M17" s="13"/>
      <c r="N17" s="13"/>
      <c r="O17" s="13"/>
      <c r="P17" s="13"/>
      <c r="Q17" s="13"/>
      <c r="R17" s="13">
        <v>1</v>
      </c>
      <c r="S17" s="13"/>
      <c r="T17" s="13"/>
      <c r="U17" s="13"/>
      <c r="V17" s="13"/>
      <c r="W17" s="13"/>
      <c r="X17" s="13"/>
      <c r="Y17" s="13"/>
      <c r="Z17" s="13"/>
      <c r="AA17" s="13"/>
      <c r="AB17" s="13"/>
      <c r="AC17" s="13"/>
      <c r="AD17" s="13"/>
      <c r="AE17" s="13"/>
    </row>
    <row r="18" spans="1:31">
      <c r="A18">
        <v>16</v>
      </c>
      <c r="B18" t="s">
        <v>35</v>
      </c>
      <c r="C18">
        <v>1</v>
      </c>
      <c r="D18" t="s">
        <v>36</v>
      </c>
      <c r="E18" t="s">
        <v>22</v>
      </c>
      <c r="F18" s="3">
        <v>7.666666666666667</v>
      </c>
      <c r="G18" s="4">
        <v>4</v>
      </c>
      <c r="H18" s="3">
        <v>5.6</v>
      </c>
      <c r="I18" s="9">
        <v>17.266666666666666</v>
      </c>
      <c r="J18" s="13">
        <v>1</v>
      </c>
      <c r="M18" s="13">
        <v>1</v>
      </c>
      <c r="W18" s="13">
        <v>1</v>
      </c>
    </row>
    <row r="19" spans="1:31" customFormat="1">
      <c r="A19">
        <v>11</v>
      </c>
      <c r="B19" t="s">
        <v>30</v>
      </c>
      <c r="C19">
        <v>2</v>
      </c>
      <c r="D19" t="s">
        <v>29</v>
      </c>
      <c r="F19" s="3">
        <v>8.6666666666666661</v>
      </c>
      <c r="G19" s="4">
        <v>1</v>
      </c>
      <c r="H19" s="3">
        <v>3</v>
      </c>
      <c r="I19" s="9">
        <v>12.666666666666666</v>
      </c>
      <c r="J19" s="13"/>
      <c r="K19" s="13">
        <v>1</v>
      </c>
      <c r="L19" s="13"/>
      <c r="M19" s="13"/>
      <c r="N19" s="13"/>
      <c r="O19" s="13"/>
      <c r="P19" s="13"/>
      <c r="Q19" s="13"/>
      <c r="R19" s="13"/>
      <c r="S19" s="13"/>
      <c r="T19" s="13"/>
      <c r="U19" s="13"/>
      <c r="V19" s="13"/>
      <c r="W19" s="13"/>
      <c r="X19" s="13"/>
      <c r="Y19" s="13"/>
      <c r="Z19" s="13"/>
      <c r="AA19" s="13"/>
      <c r="AB19" s="13"/>
      <c r="AC19" s="13"/>
      <c r="AD19" s="13"/>
      <c r="AE19" s="13"/>
    </row>
    <row r="20" spans="1:31" customFormat="1">
      <c r="A20">
        <v>18</v>
      </c>
      <c r="B20" t="s">
        <v>38</v>
      </c>
      <c r="C20">
        <v>3</v>
      </c>
      <c r="D20" t="s">
        <v>36</v>
      </c>
      <c r="E20" t="s">
        <v>22</v>
      </c>
      <c r="F20" s="3">
        <v>15.2</v>
      </c>
      <c r="G20" s="4">
        <v>7</v>
      </c>
      <c r="H20" s="3">
        <v>10.1</v>
      </c>
      <c r="I20" s="9">
        <v>32.299999999999997</v>
      </c>
      <c r="J20" s="13"/>
      <c r="K20" s="13"/>
      <c r="L20" s="13"/>
      <c r="M20" s="13"/>
      <c r="N20" s="13"/>
      <c r="O20" s="13"/>
      <c r="P20" s="13"/>
      <c r="Q20" s="13"/>
      <c r="R20" s="13"/>
      <c r="S20" s="13"/>
      <c r="T20" s="13"/>
      <c r="U20" s="13"/>
      <c r="V20" s="13"/>
      <c r="W20" s="13"/>
      <c r="X20" s="13"/>
      <c r="Y20" s="13"/>
      <c r="Z20" s="13"/>
      <c r="AA20" s="13"/>
      <c r="AB20" s="13"/>
      <c r="AC20" s="13"/>
      <c r="AD20" s="13"/>
      <c r="AE20" s="13"/>
    </row>
    <row r="21" spans="1:31">
      <c r="A21">
        <v>43</v>
      </c>
      <c r="B21" t="s">
        <v>64</v>
      </c>
      <c r="C21">
        <v>1</v>
      </c>
      <c r="D21" t="s">
        <v>14</v>
      </c>
      <c r="E21" t="s">
        <v>15</v>
      </c>
      <c r="F21" s="3">
        <v>11</v>
      </c>
      <c r="G21" s="4">
        <v>4</v>
      </c>
      <c r="H21" s="3">
        <v>3</v>
      </c>
      <c r="I21" s="9">
        <v>18</v>
      </c>
      <c r="K21" s="13">
        <v>1</v>
      </c>
      <c r="M21" s="13">
        <v>1</v>
      </c>
      <c r="N21" s="13">
        <v>1</v>
      </c>
      <c r="AD21" s="13">
        <v>1</v>
      </c>
    </row>
    <row r="22" spans="1:31" customFormat="1">
      <c r="A22">
        <v>20</v>
      </c>
      <c r="B22" t="s">
        <v>40</v>
      </c>
      <c r="C22">
        <v>2</v>
      </c>
      <c r="D22" t="s">
        <v>36</v>
      </c>
      <c r="F22" s="3">
        <v>12.333333333333334</v>
      </c>
      <c r="G22" s="4">
        <v>6</v>
      </c>
      <c r="H22" s="3">
        <v>9.6999999999999993</v>
      </c>
      <c r="I22" s="9">
        <v>28.033333333333335</v>
      </c>
      <c r="J22" s="13"/>
      <c r="K22" s="13"/>
      <c r="L22" s="13"/>
      <c r="M22" s="13"/>
      <c r="N22" s="13"/>
      <c r="O22" s="13"/>
      <c r="P22" s="13"/>
      <c r="Q22" s="13"/>
      <c r="R22" s="13"/>
      <c r="S22" s="13"/>
      <c r="T22" s="13"/>
      <c r="U22" s="13"/>
      <c r="V22" s="13"/>
      <c r="W22" s="13"/>
      <c r="X22" s="13"/>
      <c r="Y22" s="13"/>
      <c r="Z22" s="13"/>
      <c r="AA22" s="13"/>
      <c r="AB22" s="13"/>
      <c r="AC22" s="13"/>
      <c r="AD22" s="13"/>
      <c r="AE22" s="13"/>
    </row>
    <row r="23" spans="1:31">
      <c r="A23">
        <v>21</v>
      </c>
      <c r="B23" t="s">
        <v>41</v>
      </c>
      <c r="C23">
        <v>1</v>
      </c>
      <c r="D23" t="s">
        <v>36</v>
      </c>
      <c r="E23" t="s">
        <v>22</v>
      </c>
      <c r="F23" s="3">
        <v>6.7333333333333334</v>
      </c>
      <c r="G23" s="4">
        <v>4</v>
      </c>
      <c r="H23" s="3">
        <v>7</v>
      </c>
      <c r="I23" s="9">
        <v>17.733333333333334</v>
      </c>
      <c r="L23" s="13">
        <v>1</v>
      </c>
      <c r="M23" s="13">
        <v>1</v>
      </c>
      <c r="V23" s="13">
        <v>1</v>
      </c>
      <c r="AB23" s="13">
        <v>1</v>
      </c>
    </row>
    <row r="24" spans="1:31" customFormat="1">
      <c r="A24">
        <v>22</v>
      </c>
      <c r="B24" t="s">
        <v>42</v>
      </c>
      <c r="C24">
        <v>2</v>
      </c>
      <c r="D24" t="s">
        <v>36</v>
      </c>
      <c r="E24" t="s">
        <v>22</v>
      </c>
      <c r="F24" s="3">
        <v>12.733333333333333</v>
      </c>
      <c r="G24" s="4">
        <v>7</v>
      </c>
      <c r="H24" s="3">
        <v>10</v>
      </c>
      <c r="I24" s="9">
        <v>29.733333333333334</v>
      </c>
      <c r="J24" s="13"/>
      <c r="K24" s="13"/>
      <c r="L24" s="13"/>
      <c r="M24" s="13"/>
      <c r="N24" s="13"/>
      <c r="O24" s="13"/>
      <c r="P24" s="13"/>
      <c r="Q24" s="13"/>
      <c r="R24" s="13"/>
      <c r="S24" s="13"/>
      <c r="T24" s="13"/>
      <c r="U24" s="13"/>
      <c r="V24" s="13"/>
      <c r="W24" s="13"/>
      <c r="X24" s="13"/>
      <c r="Y24" s="13"/>
      <c r="Z24" s="13"/>
      <c r="AA24" s="13"/>
      <c r="AB24" s="13"/>
      <c r="AC24" s="13"/>
      <c r="AD24" s="13"/>
      <c r="AE24" s="13"/>
    </row>
    <row r="25" spans="1:31">
      <c r="A25">
        <v>23</v>
      </c>
      <c r="B25" t="s">
        <v>43</v>
      </c>
      <c r="C25">
        <v>1</v>
      </c>
      <c r="D25" t="s">
        <v>15</v>
      </c>
      <c r="F25" s="3">
        <v>8.8666666666666671</v>
      </c>
      <c r="G25" s="4">
        <v>4</v>
      </c>
      <c r="H25" s="3">
        <v>5.5</v>
      </c>
      <c r="I25" s="9">
        <v>18.366666666666667</v>
      </c>
      <c r="L25" s="13">
        <v>1</v>
      </c>
      <c r="S25" s="13">
        <v>1</v>
      </c>
    </row>
    <row r="26" spans="1:31" customFormat="1">
      <c r="A26">
        <v>24</v>
      </c>
      <c r="B26" t="s">
        <v>44</v>
      </c>
      <c r="C26">
        <v>2</v>
      </c>
      <c r="D26" t="s">
        <v>15</v>
      </c>
      <c r="F26" s="3">
        <v>13.866666666666667</v>
      </c>
      <c r="G26" s="4">
        <v>8</v>
      </c>
      <c r="H26" s="3">
        <v>8</v>
      </c>
      <c r="I26" s="9">
        <v>29.866666666666667</v>
      </c>
      <c r="J26" s="13"/>
      <c r="K26" s="13"/>
      <c r="L26" s="13"/>
      <c r="M26" s="13"/>
      <c r="N26" s="13"/>
      <c r="O26" s="13"/>
      <c r="P26" s="13"/>
      <c r="Q26" s="13"/>
      <c r="R26" s="13"/>
      <c r="S26" s="13"/>
      <c r="T26" s="13"/>
      <c r="U26" s="13"/>
      <c r="V26" s="13"/>
      <c r="W26" s="13"/>
      <c r="X26" s="13"/>
      <c r="Y26" s="13"/>
      <c r="Z26" s="13"/>
      <c r="AA26" s="13"/>
      <c r="AB26" s="13"/>
      <c r="AC26" s="13">
        <v>1</v>
      </c>
      <c r="AD26" s="13"/>
      <c r="AE26" s="13"/>
    </row>
    <row r="27" spans="1:31">
      <c r="A27">
        <v>50</v>
      </c>
      <c r="B27" t="s">
        <v>71</v>
      </c>
      <c r="C27">
        <v>1</v>
      </c>
      <c r="D27" t="s">
        <v>49</v>
      </c>
      <c r="F27" s="3">
        <v>5.333333333333333</v>
      </c>
      <c r="G27" s="4">
        <v>4</v>
      </c>
      <c r="H27" s="3">
        <v>9.5</v>
      </c>
      <c r="I27" s="9">
        <v>18.833333333333332</v>
      </c>
      <c r="K27" s="13">
        <v>1</v>
      </c>
      <c r="S27" s="13">
        <v>1</v>
      </c>
    </row>
    <row r="28" spans="1:31" customFormat="1">
      <c r="A28">
        <v>26</v>
      </c>
      <c r="B28" t="s">
        <v>47</v>
      </c>
      <c r="C28">
        <v>2</v>
      </c>
      <c r="D28" t="s">
        <v>46</v>
      </c>
      <c r="F28" s="3">
        <v>13</v>
      </c>
      <c r="G28" s="4">
        <v>8</v>
      </c>
      <c r="H28" s="3">
        <v>11</v>
      </c>
      <c r="I28" s="9">
        <v>32</v>
      </c>
      <c r="J28" s="13"/>
      <c r="K28" s="13"/>
      <c r="L28" s="13"/>
      <c r="M28" s="13"/>
      <c r="N28" s="13"/>
      <c r="O28" s="13"/>
      <c r="P28" s="13"/>
      <c r="Q28" s="13"/>
      <c r="R28" s="13"/>
      <c r="S28" s="13"/>
      <c r="T28" s="13"/>
      <c r="U28" s="13"/>
      <c r="V28" s="13"/>
      <c r="W28" s="13"/>
      <c r="X28" s="13"/>
      <c r="Y28" s="13"/>
      <c r="Z28" s="13"/>
      <c r="AA28" s="13"/>
      <c r="AB28" s="13"/>
      <c r="AC28" s="13"/>
      <c r="AD28" s="13"/>
      <c r="AE28" s="13"/>
    </row>
    <row r="29" spans="1:31">
      <c r="A29">
        <v>39</v>
      </c>
      <c r="B29" t="s">
        <v>60</v>
      </c>
      <c r="C29">
        <v>1</v>
      </c>
      <c r="D29" t="s">
        <v>36</v>
      </c>
      <c r="E29" t="s">
        <v>56</v>
      </c>
      <c r="F29" s="3">
        <v>10.666666666666666</v>
      </c>
      <c r="G29" s="4">
        <v>3</v>
      </c>
      <c r="H29" s="3">
        <v>2</v>
      </c>
      <c r="I29" s="9">
        <v>15.666666666666666</v>
      </c>
      <c r="L29" s="13">
        <v>1</v>
      </c>
      <c r="O29" s="13">
        <v>1</v>
      </c>
    </row>
    <row r="30" spans="1:31" customFormat="1">
      <c r="A30">
        <v>28</v>
      </c>
      <c r="B30" t="s">
        <v>50</v>
      </c>
      <c r="C30">
        <v>2</v>
      </c>
      <c r="D30" t="s">
        <v>49</v>
      </c>
      <c r="F30" s="3">
        <v>16</v>
      </c>
      <c r="G30" s="4">
        <v>8</v>
      </c>
      <c r="H30" s="3">
        <v>6.5</v>
      </c>
      <c r="I30" s="9">
        <v>30.5</v>
      </c>
      <c r="J30" s="13"/>
      <c r="K30" s="13"/>
      <c r="L30" s="13"/>
      <c r="M30" s="13"/>
      <c r="N30" s="13"/>
      <c r="O30" s="13"/>
      <c r="P30" s="13"/>
      <c r="Q30" s="13"/>
      <c r="R30" s="13"/>
      <c r="S30" s="13"/>
      <c r="T30" s="13"/>
      <c r="U30" s="13"/>
      <c r="V30" s="13"/>
      <c r="W30" s="13"/>
      <c r="X30" s="13"/>
      <c r="Y30" s="13"/>
      <c r="Z30" s="13"/>
      <c r="AA30" s="13"/>
      <c r="AB30" s="13"/>
      <c r="AC30" s="13"/>
      <c r="AD30" s="13"/>
      <c r="AE30" s="13"/>
    </row>
    <row r="31" spans="1:31">
      <c r="A31">
        <v>29</v>
      </c>
      <c r="B31" t="s">
        <v>768</v>
      </c>
      <c r="C31">
        <v>1</v>
      </c>
      <c r="D31" t="s">
        <v>15</v>
      </c>
      <c r="F31" s="3">
        <v>9.8000000000000007</v>
      </c>
      <c r="G31" s="4">
        <v>4</v>
      </c>
      <c r="H31" s="3">
        <v>4.0999999999999996</v>
      </c>
      <c r="I31" s="9">
        <v>17.899999999999999</v>
      </c>
      <c r="R31" s="13">
        <v>1</v>
      </c>
      <c r="AB31" s="13">
        <v>1</v>
      </c>
      <c r="AE31" s="13" t="s">
        <v>819</v>
      </c>
    </row>
    <row r="32" spans="1:31" customFormat="1">
      <c r="A32">
        <v>30</v>
      </c>
      <c r="B32" t="s">
        <v>51</v>
      </c>
      <c r="C32">
        <v>2</v>
      </c>
      <c r="D32" t="s">
        <v>15</v>
      </c>
      <c r="F32" s="3">
        <v>12.8</v>
      </c>
      <c r="G32" s="4">
        <v>6</v>
      </c>
      <c r="H32" s="3">
        <v>5.6</v>
      </c>
      <c r="I32" s="9">
        <v>24.4</v>
      </c>
      <c r="J32" s="13"/>
      <c r="K32" s="13"/>
      <c r="L32" s="13"/>
      <c r="M32" s="13"/>
      <c r="N32" s="13"/>
      <c r="O32" s="13"/>
      <c r="P32" s="13"/>
      <c r="Q32" s="13"/>
      <c r="R32" s="13"/>
      <c r="S32" s="13"/>
      <c r="T32" s="13"/>
      <c r="U32" s="13"/>
      <c r="V32" s="13"/>
      <c r="W32" s="13"/>
      <c r="X32" s="13"/>
      <c r="Y32" s="13"/>
      <c r="Z32" s="13"/>
      <c r="AA32" s="13"/>
      <c r="AB32" s="13"/>
      <c r="AC32" s="13">
        <v>1</v>
      </c>
      <c r="AD32" s="13"/>
      <c r="AE32" s="13"/>
    </row>
    <row r="33" spans="1:31" customFormat="1">
      <c r="A33">
        <v>31</v>
      </c>
      <c r="B33" t="s">
        <v>52</v>
      </c>
      <c r="C33">
        <v>3</v>
      </c>
      <c r="D33" t="s">
        <v>15</v>
      </c>
      <c r="E33" t="s">
        <v>49</v>
      </c>
      <c r="F33" s="3">
        <v>17.466666666666665</v>
      </c>
      <c r="G33" s="4">
        <v>8</v>
      </c>
      <c r="H33" s="3">
        <v>7.6</v>
      </c>
      <c r="I33" s="9">
        <v>33.066666666666663</v>
      </c>
      <c r="J33" s="13"/>
      <c r="K33" s="13"/>
      <c r="L33" s="13"/>
      <c r="M33" s="13"/>
      <c r="N33" s="13"/>
      <c r="O33" s="13"/>
      <c r="P33" s="13"/>
      <c r="Q33" s="13"/>
      <c r="R33" s="13"/>
      <c r="S33" s="13"/>
      <c r="T33" s="13"/>
      <c r="U33" s="13"/>
      <c r="V33" s="13"/>
      <c r="W33" s="13"/>
      <c r="X33" s="13"/>
      <c r="Y33" s="13"/>
      <c r="Z33" s="13"/>
      <c r="AA33" s="13"/>
      <c r="AB33" s="13"/>
      <c r="AC33" s="13"/>
      <c r="AD33" s="13"/>
      <c r="AE33" s="13"/>
    </row>
    <row r="34" spans="1:31">
      <c r="A34">
        <v>32</v>
      </c>
      <c r="B34" t="s">
        <v>769</v>
      </c>
      <c r="C34">
        <v>1</v>
      </c>
      <c r="D34" t="s">
        <v>15</v>
      </c>
      <c r="F34" s="3">
        <v>8.4</v>
      </c>
      <c r="G34" s="4">
        <v>4</v>
      </c>
      <c r="H34" s="3">
        <v>5</v>
      </c>
      <c r="I34" s="9">
        <v>17.399999999999999</v>
      </c>
      <c r="R34" s="13">
        <v>1</v>
      </c>
      <c r="AB34" s="13">
        <v>1</v>
      </c>
      <c r="AE34" s="13" t="s">
        <v>819</v>
      </c>
    </row>
    <row r="35" spans="1:31" customFormat="1">
      <c r="A35">
        <v>33</v>
      </c>
      <c r="B35" t="s">
        <v>53</v>
      </c>
      <c r="C35">
        <v>2</v>
      </c>
      <c r="D35" t="s">
        <v>15</v>
      </c>
      <c r="F35" s="3">
        <v>11.533333333333333</v>
      </c>
      <c r="G35" s="4">
        <v>6</v>
      </c>
      <c r="H35" s="3">
        <v>6.5</v>
      </c>
      <c r="I35" s="9">
        <v>24.033333333333331</v>
      </c>
      <c r="J35" s="13"/>
      <c r="K35" s="13"/>
      <c r="L35" s="13"/>
      <c r="M35" s="13"/>
      <c r="N35" s="13"/>
      <c r="O35" s="13"/>
      <c r="P35" s="13"/>
      <c r="Q35" s="13"/>
      <c r="R35" s="13"/>
      <c r="S35" s="13"/>
      <c r="T35" s="13"/>
      <c r="U35" s="13"/>
      <c r="V35" s="13"/>
      <c r="W35" s="13"/>
      <c r="X35" s="13"/>
      <c r="Y35" s="13"/>
      <c r="Z35" s="13"/>
      <c r="AA35" s="13"/>
      <c r="AB35" s="13"/>
      <c r="AC35" s="13">
        <v>1</v>
      </c>
      <c r="AD35" s="13"/>
      <c r="AE35" s="13"/>
    </row>
    <row r="36" spans="1:31" customFormat="1">
      <c r="A36">
        <v>34</v>
      </c>
      <c r="B36" t="s">
        <v>54</v>
      </c>
      <c r="C36">
        <v>3</v>
      </c>
      <c r="D36" t="s">
        <v>15</v>
      </c>
      <c r="E36" t="s">
        <v>49</v>
      </c>
      <c r="F36" s="3">
        <v>15.533333333333333</v>
      </c>
      <c r="G36" s="4">
        <v>8</v>
      </c>
      <c r="H36" s="3">
        <v>8.5</v>
      </c>
      <c r="I36" s="9">
        <v>32.033333333333331</v>
      </c>
      <c r="J36" s="13"/>
      <c r="K36" s="13"/>
      <c r="L36" s="13"/>
      <c r="M36" s="13"/>
      <c r="N36" s="13"/>
      <c r="O36" s="13"/>
      <c r="P36" s="13"/>
      <c r="Q36" s="13"/>
      <c r="R36" s="13"/>
      <c r="S36" s="13"/>
      <c r="T36" s="13"/>
      <c r="U36" s="13"/>
      <c r="V36" s="13"/>
      <c r="W36" s="13"/>
      <c r="X36" s="13"/>
      <c r="Y36" s="13"/>
      <c r="Z36" s="13"/>
      <c r="AA36" s="13"/>
      <c r="AB36" s="13"/>
      <c r="AC36" s="13"/>
      <c r="AD36" s="13"/>
      <c r="AE36" s="13"/>
    </row>
    <row r="37" spans="1:31">
      <c r="A37">
        <v>144</v>
      </c>
      <c r="B37" t="s">
        <v>172</v>
      </c>
      <c r="C37">
        <v>1</v>
      </c>
      <c r="D37" t="s">
        <v>113</v>
      </c>
      <c r="E37" t="s">
        <v>22</v>
      </c>
      <c r="F37" s="3">
        <v>21</v>
      </c>
      <c r="G37" s="4">
        <v>11</v>
      </c>
      <c r="H37" s="3">
        <v>8.5</v>
      </c>
      <c r="I37" s="9">
        <v>40.5</v>
      </c>
      <c r="AE37" s="13" t="s">
        <v>830</v>
      </c>
    </row>
    <row r="38" spans="1:31" customFormat="1">
      <c r="A38">
        <v>36</v>
      </c>
      <c r="B38" t="s">
        <v>57</v>
      </c>
      <c r="C38">
        <v>2</v>
      </c>
      <c r="D38" t="s">
        <v>56</v>
      </c>
      <c r="F38" s="3">
        <v>17.2</v>
      </c>
      <c r="G38" s="4">
        <v>8</v>
      </c>
      <c r="H38" s="3">
        <v>6</v>
      </c>
      <c r="I38" s="9">
        <v>31.2</v>
      </c>
      <c r="J38" s="13"/>
      <c r="K38" s="13"/>
      <c r="L38" s="13"/>
      <c r="M38" s="13"/>
      <c r="N38" s="13"/>
      <c r="O38" s="13"/>
      <c r="P38" s="13"/>
      <c r="Q38" s="13"/>
      <c r="R38" s="13"/>
      <c r="S38" s="13"/>
      <c r="T38" s="13"/>
      <c r="U38" s="13"/>
      <c r="V38" s="13"/>
      <c r="W38" s="13"/>
      <c r="X38" s="13"/>
      <c r="Y38" s="13"/>
      <c r="Z38" s="13"/>
      <c r="AA38" s="13"/>
      <c r="AB38" s="13"/>
      <c r="AC38" s="13"/>
      <c r="AD38" s="13"/>
      <c r="AE38" s="13"/>
    </row>
    <row r="39" spans="1:31">
      <c r="A39">
        <v>37</v>
      </c>
      <c r="B39" t="s">
        <v>58</v>
      </c>
      <c r="C39">
        <v>1</v>
      </c>
      <c r="D39" t="s">
        <v>19</v>
      </c>
      <c r="F39" s="3">
        <v>9.5333333333333332</v>
      </c>
      <c r="G39" s="4">
        <v>3</v>
      </c>
      <c r="H39" s="3">
        <v>6.5</v>
      </c>
      <c r="I39" s="9">
        <v>19.033333333333331</v>
      </c>
      <c r="O39" s="13">
        <v>1</v>
      </c>
      <c r="S39" s="13">
        <v>1</v>
      </c>
      <c r="AE39" s="13" t="s">
        <v>825</v>
      </c>
    </row>
    <row r="40" spans="1:31" customFormat="1">
      <c r="A40">
        <v>38</v>
      </c>
      <c r="B40" t="s">
        <v>59</v>
      </c>
      <c r="C40">
        <v>2</v>
      </c>
      <c r="D40" t="s">
        <v>19</v>
      </c>
      <c r="F40" s="3">
        <v>16.533333333333335</v>
      </c>
      <c r="G40" s="4">
        <v>7</v>
      </c>
      <c r="H40" s="3">
        <v>10</v>
      </c>
      <c r="I40" s="9">
        <v>33.533333333333331</v>
      </c>
      <c r="J40" s="13"/>
      <c r="K40" s="13"/>
      <c r="L40" s="13"/>
      <c r="M40" s="13"/>
      <c r="N40" s="13"/>
      <c r="O40" s="13"/>
      <c r="P40" s="13"/>
      <c r="Q40" s="13"/>
      <c r="R40" s="13"/>
      <c r="S40" s="13"/>
      <c r="T40" s="13"/>
      <c r="U40" s="13"/>
      <c r="V40" s="13"/>
      <c r="W40" s="13"/>
      <c r="X40" s="13"/>
      <c r="Y40" s="13"/>
      <c r="Z40" s="13"/>
      <c r="AA40" s="13"/>
      <c r="AB40" s="13"/>
      <c r="AC40" s="13"/>
      <c r="AD40" s="13"/>
      <c r="AE40" s="13"/>
    </row>
    <row r="41" spans="1:31">
      <c r="A41">
        <v>56</v>
      </c>
      <c r="B41" t="s">
        <v>77</v>
      </c>
      <c r="C41">
        <v>1</v>
      </c>
      <c r="D41" t="s">
        <v>78</v>
      </c>
      <c r="F41" s="3">
        <v>8</v>
      </c>
      <c r="G41" s="4">
        <v>4</v>
      </c>
      <c r="H41" s="3">
        <v>7</v>
      </c>
      <c r="I41" s="9">
        <v>19</v>
      </c>
      <c r="L41" s="13">
        <v>1</v>
      </c>
      <c r="Q41" s="13">
        <v>1</v>
      </c>
      <c r="AB41" s="13">
        <v>1</v>
      </c>
    </row>
    <row r="42" spans="1:31" customFormat="1">
      <c r="A42">
        <v>40</v>
      </c>
      <c r="B42" t="s">
        <v>61</v>
      </c>
      <c r="C42">
        <v>2</v>
      </c>
      <c r="D42" t="s">
        <v>36</v>
      </c>
      <c r="E42" t="s">
        <v>56</v>
      </c>
      <c r="F42" s="3">
        <v>15.666666666666666</v>
      </c>
      <c r="G42" s="4">
        <v>6</v>
      </c>
      <c r="H42" s="3">
        <v>4.5</v>
      </c>
      <c r="I42" s="9">
        <v>26.166666666666664</v>
      </c>
      <c r="J42" s="13"/>
      <c r="K42" s="13"/>
      <c r="L42" s="13"/>
      <c r="M42" s="13"/>
      <c r="N42" s="13"/>
      <c r="O42" s="13"/>
      <c r="P42" s="13"/>
      <c r="Q42" s="13"/>
      <c r="R42" s="13"/>
      <c r="S42" s="13"/>
      <c r="T42" s="13"/>
      <c r="U42" s="13"/>
      <c r="V42" s="13"/>
      <c r="W42" s="13"/>
      <c r="X42" s="13"/>
      <c r="Y42" s="13"/>
      <c r="Z42" s="13"/>
      <c r="AA42" s="13"/>
      <c r="AB42" s="13"/>
      <c r="AC42" s="13">
        <v>1</v>
      </c>
      <c r="AD42" s="13"/>
      <c r="AE42" s="13"/>
    </row>
    <row r="43" spans="1:31">
      <c r="A43">
        <v>145</v>
      </c>
      <c r="B43" t="s">
        <v>173</v>
      </c>
      <c r="C43">
        <v>1</v>
      </c>
      <c r="D43" t="s">
        <v>46</v>
      </c>
      <c r="E43" t="s">
        <v>22</v>
      </c>
      <c r="F43" s="3">
        <v>17.666666666666668</v>
      </c>
      <c r="G43" s="4">
        <v>11</v>
      </c>
      <c r="H43" s="3">
        <v>10</v>
      </c>
      <c r="I43" s="9">
        <v>38.666666666666671</v>
      </c>
      <c r="AE43" s="13" t="s">
        <v>829</v>
      </c>
    </row>
    <row r="44" spans="1:31" customFormat="1">
      <c r="A44">
        <v>42</v>
      </c>
      <c r="B44" t="s">
        <v>63</v>
      </c>
      <c r="C44">
        <v>2</v>
      </c>
      <c r="D44" t="s">
        <v>15</v>
      </c>
      <c r="E44" t="s">
        <v>22</v>
      </c>
      <c r="F44" s="3">
        <v>14.666666666666666</v>
      </c>
      <c r="G44" s="4">
        <v>6</v>
      </c>
      <c r="H44" s="3">
        <v>9</v>
      </c>
      <c r="I44" s="9">
        <v>29.666666666666664</v>
      </c>
      <c r="J44" s="13"/>
      <c r="K44" s="13"/>
      <c r="L44" s="13"/>
      <c r="M44" s="13"/>
      <c r="N44" s="13"/>
      <c r="O44" s="13"/>
      <c r="P44" s="13"/>
      <c r="Q44" s="13"/>
      <c r="R44" s="13"/>
      <c r="S44" s="13"/>
      <c r="T44" s="13"/>
      <c r="U44" s="13"/>
      <c r="V44" s="13"/>
      <c r="W44" s="13"/>
      <c r="X44" s="13"/>
      <c r="Y44" s="13"/>
      <c r="Z44" s="13"/>
      <c r="AA44" s="13"/>
      <c r="AB44" s="13"/>
      <c r="AC44" s="13"/>
      <c r="AD44" s="13"/>
      <c r="AE44" s="13"/>
    </row>
    <row r="45" spans="1:31">
      <c r="A45">
        <v>25</v>
      </c>
      <c r="B45" t="s">
        <v>45</v>
      </c>
      <c r="C45">
        <v>1</v>
      </c>
      <c r="D45" t="s">
        <v>46</v>
      </c>
      <c r="F45" s="3">
        <v>8.3333333333333339</v>
      </c>
      <c r="G45" s="4">
        <v>6</v>
      </c>
      <c r="H45" s="3">
        <v>9</v>
      </c>
      <c r="I45" s="9">
        <v>23.333333333333336</v>
      </c>
      <c r="K45" s="13">
        <v>1</v>
      </c>
      <c r="V45" s="13">
        <v>1</v>
      </c>
    </row>
    <row r="46" spans="1:31" customFormat="1">
      <c r="A46">
        <v>44</v>
      </c>
      <c r="B46" t="s">
        <v>65</v>
      </c>
      <c r="C46">
        <v>2</v>
      </c>
      <c r="D46" t="s">
        <v>14</v>
      </c>
      <c r="E46" t="s">
        <v>15</v>
      </c>
      <c r="F46" s="3">
        <v>13.666666666666666</v>
      </c>
      <c r="G46" s="4">
        <v>5</v>
      </c>
      <c r="H46" s="3">
        <v>4</v>
      </c>
      <c r="I46" s="9">
        <v>22.666666666666664</v>
      </c>
      <c r="J46" s="13"/>
      <c r="K46" s="13"/>
      <c r="L46" s="13"/>
      <c r="M46" s="13"/>
      <c r="N46" s="13"/>
      <c r="O46" s="13"/>
      <c r="P46" s="13"/>
      <c r="Q46" s="13"/>
      <c r="R46" s="13"/>
      <c r="S46" s="13"/>
      <c r="T46" s="13"/>
      <c r="U46" s="13"/>
      <c r="V46" s="13">
        <v>1</v>
      </c>
      <c r="W46" s="13"/>
      <c r="X46" s="13"/>
      <c r="Y46" s="13"/>
      <c r="Z46" s="13"/>
      <c r="AA46" s="13"/>
      <c r="AB46" s="13"/>
      <c r="AC46" s="13"/>
      <c r="AD46" s="13"/>
      <c r="AE46" s="13"/>
    </row>
    <row r="47" spans="1:31" customFormat="1">
      <c r="A47">
        <v>45</v>
      </c>
      <c r="B47" t="s">
        <v>66</v>
      </c>
      <c r="C47">
        <v>3</v>
      </c>
      <c r="D47" t="s">
        <v>14</v>
      </c>
      <c r="E47" t="s">
        <v>15</v>
      </c>
      <c r="F47" s="3">
        <v>16.666666666666668</v>
      </c>
      <c r="G47" s="4">
        <v>8</v>
      </c>
      <c r="H47" s="3">
        <v>5</v>
      </c>
      <c r="I47" s="9">
        <v>29.666666666666668</v>
      </c>
      <c r="J47" s="13"/>
      <c r="K47" s="13"/>
      <c r="L47" s="13"/>
      <c r="M47" s="13"/>
      <c r="N47" s="13"/>
      <c r="O47" s="13"/>
      <c r="P47" s="13"/>
      <c r="Q47" s="13"/>
      <c r="R47" s="13"/>
      <c r="S47" s="13"/>
      <c r="T47" s="13"/>
      <c r="U47" s="13"/>
      <c r="V47" s="13"/>
      <c r="W47" s="13"/>
      <c r="X47" s="13"/>
      <c r="Y47" s="13"/>
      <c r="Z47" s="13"/>
      <c r="AA47" s="13"/>
      <c r="AB47" s="13"/>
      <c r="AC47" s="13"/>
      <c r="AD47" s="13"/>
      <c r="AE47" s="13"/>
    </row>
    <row r="48" spans="1:31">
      <c r="A48">
        <v>35</v>
      </c>
      <c r="B48" t="s">
        <v>55</v>
      </c>
      <c r="C48">
        <v>1</v>
      </c>
      <c r="D48" t="s">
        <v>56</v>
      </c>
      <c r="F48" s="3">
        <v>12.2</v>
      </c>
      <c r="G48" s="4">
        <v>6</v>
      </c>
      <c r="H48" s="3">
        <v>3.5</v>
      </c>
      <c r="I48" s="9">
        <v>21.7</v>
      </c>
      <c r="AE48" s="13" t="s">
        <v>790</v>
      </c>
    </row>
    <row r="49" spans="1:33" customFormat="1">
      <c r="A49">
        <v>47</v>
      </c>
      <c r="B49" t="s">
        <v>68</v>
      </c>
      <c r="C49">
        <v>2</v>
      </c>
      <c r="D49" t="s">
        <v>29</v>
      </c>
      <c r="E49" t="s">
        <v>14</v>
      </c>
      <c r="F49" s="3">
        <v>14.666666666666666</v>
      </c>
      <c r="G49" s="4">
        <v>6</v>
      </c>
      <c r="H49" s="3">
        <v>3</v>
      </c>
      <c r="I49" s="9">
        <v>23.666666666666664</v>
      </c>
      <c r="J49" s="13"/>
      <c r="K49" s="13"/>
      <c r="L49" s="13"/>
      <c r="M49" s="13"/>
      <c r="N49" s="13"/>
      <c r="O49" s="13"/>
      <c r="P49" s="13"/>
      <c r="Q49" s="13"/>
      <c r="R49" s="13"/>
      <c r="S49" s="13"/>
      <c r="T49" s="13"/>
      <c r="U49" s="13"/>
      <c r="V49" s="13"/>
      <c r="W49" s="13"/>
      <c r="X49" s="13"/>
      <c r="Y49" s="13"/>
      <c r="Z49" s="13"/>
      <c r="AA49" s="13"/>
      <c r="AB49" s="13"/>
      <c r="AC49" s="13"/>
      <c r="AD49" s="13"/>
      <c r="AE49" s="13"/>
    </row>
    <row r="50" spans="1:33">
      <c r="A50">
        <v>48</v>
      </c>
      <c r="B50" t="s">
        <v>69</v>
      </c>
      <c r="C50">
        <v>1</v>
      </c>
      <c r="D50" t="s">
        <v>29</v>
      </c>
      <c r="E50" t="s">
        <v>15</v>
      </c>
      <c r="F50" s="3">
        <v>11</v>
      </c>
      <c r="G50" s="4">
        <v>4</v>
      </c>
      <c r="H50" s="3">
        <v>4.5</v>
      </c>
      <c r="I50" s="9">
        <v>19.5</v>
      </c>
      <c r="P50" s="13">
        <v>1</v>
      </c>
      <c r="V50" s="13">
        <v>1</v>
      </c>
      <c r="W50" s="13">
        <v>1</v>
      </c>
      <c r="AD50" s="13">
        <v>1</v>
      </c>
    </row>
    <row r="51" spans="1:33" customFormat="1">
      <c r="A51">
        <v>49</v>
      </c>
      <c r="B51" t="s">
        <v>70</v>
      </c>
      <c r="C51">
        <v>2</v>
      </c>
      <c r="D51" t="s">
        <v>29</v>
      </c>
      <c r="E51" t="s">
        <v>15</v>
      </c>
      <c r="F51" s="3">
        <v>13.666666666666666</v>
      </c>
      <c r="G51" s="4">
        <v>4</v>
      </c>
      <c r="H51" s="3">
        <v>9</v>
      </c>
      <c r="I51" s="9">
        <v>26.666666666666664</v>
      </c>
      <c r="J51" s="13"/>
      <c r="K51" s="13"/>
      <c r="L51" s="13"/>
      <c r="M51" s="13"/>
      <c r="N51" s="13"/>
      <c r="O51" s="13"/>
      <c r="P51" s="13"/>
      <c r="Q51" s="13"/>
      <c r="R51" s="13"/>
      <c r="S51" s="13"/>
      <c r="T51" s="13"/>
      <c r="U51" s="13"/>
      <c r="V51" s="13">
        <v>1</v>
      </c>
      <c r="W51" s="13"/>
      <c r="X51" s="13"/>
      <c r="Y51" s="13"/>
      <c r="Z51" s="13"/>
      <c r="AA51" s="13"/>
      <c r="AB51" s="13"/>
      <c r="AC51" s="13"/>
      <c r="AD51" s="13"/>
      <c r="AE51" s="13"/>
    </row>
    <row r="52" spans="1:33">
      <c r="A52">
        <v>17</v>
      </c>
      <c r="B52" t="s">
        <v>37</v>
      </c>
      <c r="C52">
        <v>2</v>
      </c>
      <c r="D52" t="s">
        <v>36</v>
      </c>
      <c r="E52" t="s">
        <v>22</v>
      </c>
      <c r="F52" s="3">
        <v>11.2</v>
      </c>
      <c r="G52" s="4">
        <v>5</v>
      </c>
      <c r="H52" s="3">
        <v>7.1</v>
      </c>
      <c r="I52" s="9">
        <v>23.299999999999997</v>
      </c>
      <c r="K52" s="13">
        <v>1</v>
      </c>
      <c r="AF52"/>
      <c r="AG52"/>
    </row>
    <row r="53" spans="1:33" customFormat="1">
      <c r="A53">
        <v>51</v>
      </c>
      <c r="B53" t="s">
        <v>72</v>
      </c>
      <c r="C53">
        <v>2</v>
      </c>
      <c r="D53" t="s">
        <v>49</v>
      </c>
      <c r="F53" s="3">
        <v>10.333333333333334</v>
      </c>
      <c r="G53" s="4">
        <v>6</v>
      </c>
      <c r="H53" s="3">
        <v>12</v>
      </c>
      <c r="I53" s="9">
        <v>28.333333333333336</v>
      </c>
      <c r="J53" s="13"/>
      <c r="K53" s="13"/>
      <c r="L53" s="13"/>
      <c r="M53" s="13"/>
      <c r="N53" s="13"/>
      <c r="O53" s="13"/>
      <c r="P53" s="13"/>
      <c r="Q53" s="13"/>
      <c r="R53" s="13"/>
      <c r="S53" s="13">
        <v>1</v>
      </c>
      <c r="T53" s="13"/>
      <c r="U53" s="13"/>
      <c r="V53" s="13"/>
      <c r="W53" s="13"/>
      <c r="X53" s="13"/>
      <c r="Y53" s="13"/>
      <c r="Z53" s="13"/>
      <c r="AA53" s="13"/>
      <c r="AB53" s="13"/>
      <c r="AC53" s="13"/>
      <c r="AD53" s="13"/>
      <c r="AE53" s="13"/>
    </row>
    <row r="54" spans="1:33">
      <c r="A54">
        <v>52</v>
      </c>
      <c r="B54" t="s">
        <v>73</v>
      </c>
      <c r="C54">
        <v>1</v>
      </c>
      <c r="D54" t="s">
        <v>36</v>
      </c>
      <c r="F54" s="3">
        <v>7.666666666666667</v>
      </c>
      <c r="G54" s="4">
        <v>4</v>
      </c>
      <c r="H54" s="3">
        <v>9</v>
      </c>
      <c r="I54" s="9">
        <v>20.666666666666668</v>
      </c>
      <c r="N54" s="13">
        <v>1</v>
      </c>
      <c r="P54" s="13">
        <v>1</v>
      </c>
      <c r="S54" s="13">
        <v>1</v>
      </c>
      <c r="AE54" s="13" t="s">
        <v>825</v>
      </c>
    </row>
    <row r="55" spans="1:33" customFormat="1">
      <c r="A55">
        <v>53</v>
      </c>
      <c r="B55" t="s">
        <v>74</v>
      </c>
      <c r="C55">
        <v>2</v>
      </c>
      <c r="D55" t="s">
        <v>36</v>
      </c>
      <c r="F55" s="3">
        <v>12.666666666666666</v>
      </c>
      <c r="G55" s="4">
        <v>8</v>
      </c>
      <c r="H55" s="3">
        <v>11.5</v>
      </c>
      <c r="I55" s="9">
        <v>32.166666666666664</v>
      </c>
      <c r="J55" s="13"/>
      <c r="K55" s="13"/>
      <c r="L55" s="13"/>
      <c r="M55" s="13"/>
      <c r="N55" s="13"/>
      <c r="O55" s="13"/>
      <c r="P55" s="13"/>
      <c r="Q55" s="13"/>
      <c r="R55" s="13"/>
      <c r="S55" s="13"/>
      <c r="T55" s="13"/>
      <c r="U55" s="13"/>
      <c r="V55" s="13"/>
      <c r="W55" s="13"/>
      <c r="X55" s="13"/>
      <c r="Y55" s="13"/>
      <c r="Z55" s="13"/>
      <c r="AA55" s="13"/>
      <c r="AB55" s="13"/>
      <c r="AC55" s="13"/>
      <c r="AD55" s="13"/>
      <c r="AE55" s="13"/>
    </row>
    <row r="56" spans="1:33">
      <c r="A56">
        <v>54</v>
      </c>
      <c r="B56" t="s">
        <v>75</v>
      </c>
      <c r="C56">
        <v>1</v>
      </c>
      <c r="D56" t="s">
        <v>25</v>
      </c>
      <c r="F56" s="3">
        <v>9.8666666666666671</v>
      </c>
      <c r="G56" s="4">
        <v>4</v>
      </c>
      <c r="H56" s="3">
        <v>5.5</v>
      </c>
      <c r="I56" s="9">
        <v>19.366666666666667</v>
      </c>
      <c r="M56" s="13">
        <v>1</v>
      </c>
      <c r="O56" s="13">
        <v>1</v>
      </c>
      <c r="AD56" s="13">
        <v>1</v>
      </c>
    </row>
    <row r="57" spans="1:33" customFormat="1">
      <c r="A57">
        <v>55</v>
      </c>
      <c r="B57" t="s">
        <v>76</v>
      </c>
      <c r="C57">
        <v>2</v>
      </c>
      <c r="D57" t="s">
        <v>25</v>
      </c>
      <c r="F57" s="3">
        <v>15.866666666666667</v>
      </c>
      <c r="G57" s="4">
        <v>7</v>
      </c>
      <c r="H57" s="3">
        <v>8.5</v>
      </c>
      <c r="I57" s="9">
        <v>31.366666666666667</v>
      </c>
      <c r="J57" s="13"/>
      <c r="K57" s="13"/>
      <c r="L57" s="13"/>
      <c r="M57" s="13"/>
      <c r="N57" s="13"/>
      <c r="O57" s="13"/>
      <c r="P57" s="13"/>
      <c r="Q57" s="13"/>
      <c r="R57" s="13"/>
      <c r="S57" s="13"/>
      <c r="T57" s="13"/>
      <c r="U57" s="13"/>
      <c r="V57" s="13"/>
      <c r="W57" s="13"/>
      <c r="X57" s="13"/>
      <c r="Y57" s="13"/>
      <c r="Z57" s="13"/>
      <c r="AA57" s="13"/>
      <c r="AB57" s="13"/>
      <c r="AC57" s="13"/>
      <c r="AD57" s="13"/>
      <c r="AE57" s="13"/>
    </row>
    <row r="58" spans="1:33">
      <c r="A58">
        <v>27</v>
      </c>
      <c r="B58" t="s">
        <v>48</v>
      </c>
      <c r="C58">
        <v>1</v>
      </c>
      <c r="D58" t="s">
        <v>49</v>
      </c>
      <c r="F58" s="3">
        <v>11</v>
      </c>
      <c r="G58" s="4">
        <v>4</v>
      </c>
      <c r="H58" s="3">
        <v>4</v>
      </c>
      <c r="I58" s="9">
        <v>19</v>
      </c>
      <c r="L58" s="13">
        <v>1</v>
      </c>
      <c r="M58" s="13">
        <v>1</v>
      </c>
      <c r="AE58" s="13" t="s">
        <v>790</v>
      </c>
    </row>
    <row r="59" spans="1:33" customFormat="1">
      <c r="A59">
        <v>57</v>
      </c>
      <c r="B59" t="s">
        <v>79</v>
      </c>
      <c r="C59">
        <v>2</v>
      </c>
      <c r="D59" t="s">
        <v>78</v>
      </c>
      <c r="F59" s="3">
        <v>13</v>
      </c>
      <c r="G59" s="4">
        <v>6</v>
      </c>
      <c r="H59" s="3">
        <v>9.5</v>
      </c>
      <c r="I59" s="9">
        <v>28.5</v>
      </c>
      <c r="J59" s="13"/>
      <c r="K59" s="13"/>
      <c r="L59" s="13"/>
      <c r="M59" s="13"/>
      <c r="N59" s="13"/>
      <c r="O59" s="13"/>
      <c r="P59" s="13"/>
      <c r="Q59" s="13"/>
      <c r="R59" s="13"/>
      <c r="S59" s="13"/>
      <c r="T59" s="13"/>
      <c r="U59" s="13"/>
      <c r="V59" s="13"/>
      <c r="W59" s="13"/>
      <c r="X59" s="13"/>
      <c r="Y59" s="13"/>
      <c r="Z59" s="13"/>
      <c r="AA59" s="13"/>
      <c r="AB59" s="13"/>
      <c r="AC59" s="13">
        <v>1</v>
      </c>
      <c r="AD59" s="13"/>
      <c r="AE59" s="13"/>
    </row>
    <row r="60" spans="1:33">
      <c r="A60">
        <v>58</v>
      </c>
      <c r="B60" t="s">
        <v>80</v>
      </c>
      <c r="C60">
        <v>1</v>
      </c>
      <c r="D60" t="s">
        <v>19</v>
      </c>
      <c r="F60" s="3">
        <v>10</v>
      </c>
      <c r="G60" s="4">
        <v>5</v>
      </c>
      <c r="H60" s="3">
        <v>6</v>
      </c>
      <c r="I60" s="9">
        <v>21</v>
      </c>
      <c r="N60" s="13">
        <v>1</v>
      </c>
      <c r="S60" s="13">
        <v>1</v>
      </c>
    </row>
    <row r="61" spans="1:33" customFormat="1">
      <c r="A61">
        <v>59</v>
      </c>
      <c r="B61" t="s">
        <v>81</v>
      </c>
      <c r="C61">
        <v>2</v>
      </c>
      <c r="D61" t="s">
        <v>19</v>
      </c>
      <c r="F61" s="3">
        <v>16.666666666666668</v>
      </c>
      <c r="G61" s="4">
        <v>8</v>
      </c>
      <c r="H61" s="3">
        <v>9.5</v>
      </c>
      <c r="I61" s="9">
        <v>34.166666666666671</v>
      </c>
      <c r="J61" s="13"/>
      <c r="K61" s="13"/>
      <c r="L61" s="13"/>
      <c r="M61" s="13"/>
      <c r="N61" s="13"/>
      <c r="O61" s="13"/>
      <c r="P61" s="13"/>
      <c r="Q61" s="13"/>
      <c r="R61" s="13"/>
      <c r="S61" s="13"/>
      <c r="T61" s="13"/>
      <c r="U61" s="13"/>
      <c r="V61" s="13"/>
      <c r="W61" s="13"/>
      <c r="X61" s="13"/>
      <c r="Y61" s="13"/>
      <c r="Z61" s="13"/>
      <c r="AA61" s="13"/>
      <c r="AB61" s="13"/>
      <c r="AC61" s="13"/>
      <c r="AD61" s="13"/>
      <c r="AE61" s="13"/>
    </row>
    <row r="62" spans="1:33">
      <c r="A62">
        <v>60</v>
      </c>
      <c r="B62" t="s">
        <v>82</v>
      </c>
      <c r="C62">
        <v>1</v>
      </c>
      <c r="D62" t="s">
        <v>25</v>
      </c>
      <c r="F62" s="3">
        <v>8</v>
      </c>
      <c r="G62" s="4">
        <v>3</v>
      </c>
      <c r="H62" s="3">
        <v>9</v>
      </c>
      <c r="I62" s="9">
        <v>20</v>
      </c>
      <c r="J62" s="13">
        <v>1</v>
      </c>
      <c r="O62" s="13">
        <v>1</v>
      </c>
    </row>
    <row r="63" spans="1:33" customFormat="1">
      <c r="A63">
        <v>61</v>
      </c>
      <c r="B63" t="s">
        <v>83</v>
      </c>
      <c r="C63">
        <v>2</v>
      </c>
      <c r="D63" t="s">
        <v>25</v>
      </c>
      <c r="F63" s="3">
        <v>12</v>
      </c>
      <c r="G63" s="4">
        <v>5</v>
      </c>
      <c r="H63" s="3">
        <v>9</v>
      </c>
      <c r="I63" s="9">
        <v>26</v>
      </c>
      <c r="J63" s="13"/>
      <c r="K63" s="13"/>
      <c r="L63" s="13"/>
      <c r="M63" s="13"/>
      <c r="N63" s="13"/>
      <c r="O63" s="13"/>
      <c r="P63" s="13"/>
      <c r="Q63" s="13"/>
      <c r="R63" s="13"/>
      <c r="S63" s="13"/>
      <c r="T63" s="13"/>
      <c r="U63" s="13"/>
      <c r="V63" s="13"/>
      <c r="W63" s="13"/>
      <c r="X63" s="13"/>
      <c r="Y63" s="13"/>
      <c r="Z63" s="13"/>
      <c r="AA63" s="13">
        <v>1</v>
      </c>
      <c r="AB63" s="13"/>
      <c r="AC63" s="13">
        <v>1</v>
      </c>
      <c r="AD63" s="13"/>
      <c r="AE63" s="13"/>
    </row>
    <row r="64" spans="1:33" customFormat="1">
      <c r="A64">
        <v>62</v>
      </c>
      <c r="B64" t="s">
        <v>84</v>
      </c>
      <c r="C64">
        <v>3</v>
      </c>
      <c r="D64" t="s">
        <v>25</v>
      </c>
      <c r="E64" t="s">
        <v>78</v>
      </c>
      <c r="F64" s="3">
        <v>18.333333333333332</v>
      </c>
      <c r="G64" s="4">
        <v>9</v>
      </c>
      <c r="H64" s="3">
        <v>7</v>
      </c>
      <c r="I64" s="9">
        <v>34.333333333333329</v>
      </c>
      <c r="J64" s="13"/>
      <c r="K64" s="13"/>
      <c r="L64" s="13"/>
      <c r="M64" s="13"/>
      <c r="N64" s="13"/>
      <c r="O64" s="13"/>
      <c r="P64" s="13"/>
      <c r="Q64" s="13"/>
      <c r="R64" s="13"/>
      <c r="S64" s="13"/>
      <c r="T64" s="13"/>
      <c r="U64" s="13"/>
      <c r="V64" s="13"/>
      <c r="W64" s="13"/>
      <c r="X64" s="13"/>
      <c r="Y64" s="13"/>
      <c r="Z64" s="13"/>
      <c r="AA64" s="13"/>
      <c r="AB64" s="13"/>
      <c r="AC64" s="13"/>
      <c r="AD64" s="13"/>
      <c r="AE64" s="13"/>
    </row>
    <row r="65" spans="1:31">
      <c r="A65">
        <v>63</v>
      </c>
      <c r="B65" t="s">
        <v>85</v>
      </c>
      <c r="C65">
        <v>1</v>
      </c>
      <c r="D65" t="s">
        <v>86</v>
      </c>
      <c r="F65" s="3">
        <v>6.333333333333333</v>
      </c>
      <c r="G65" s="4">
        <v>2</v>
      </c>
      <c r="H65" s="3">
        <v>9</v>
      </c>
      <c r="I65" s="9">
        <v>17.333333333333332</v>
      </c>
      <c r="O65" s="13">
        <v>1</v>
      </c>
      <c r="P65" s="13">
        <v>1</v>
      </c>
      <c r="AD65" s="13">
        <v>1</v>
      </c>
      <c r="AE65" s="13" t="s">
        <v>825</v>
      </c>
    </row>
    <row r="66" spans="1:31" customFormat="1">
      <c r="A66">
        <v>64</v>
      </c>
      <c r="B66" t="s">
        <v>87</v>
      </c>
      <c r="C66">
        <v>2</v>
      </c>
      <c r="D66" t="s">
        <v>86</v>
      </c>
      <c r="F66" s="3">
        <v>9.3333333333333339</v>
      </c>
      <c r="G66" s="4">
        <v>5</v>
      </c>
      <c r="H66" s="3">
        <v>10.5</v>
      </c>
      <c r="I66" s="9">
        <v>24.833333333333336</v>
      </c>
      <c r="J66" s="13"/>
      <c r="K66" s="13"/>
      <c r="L66" s="13"/>
      <c r="M66" s="13"/>
      <c r="N66" s="13"/>
      <c r="O66" s="13"/>
      <c r="P66" s="13">
        <v>1</v>
      </c>
      <c r="Q66" s="13"/>
      <c r="R66" s="13"/>
      <c r="S66" s="13"/>
      <c r="T66" s="13"/>
      <c r="U66" s="13"/>
      <c r="V66" s="13"/>
      <c r="W66" s="13"/>
      <c r="X66" s="13"/>
      <c r="Y66" s="13"/>
      <c r="Z66" s="13"/>
      <c r="AA66" s="13"/>
      <c r="AB66" s="13"/>
      <c r="AC66" s="13"/>
      <c r="AD66" s="13"/>
      <c r="AE66" s="13"/>
    </row>
    <row r="67" spans="1:31" customFormat="1">
      <c r="A67">
        <v>65</v>
      </c>
      <c r="B67" t="s">
        <v>88</v>
      </c>
      <c r="C67">
        <v>3</v>
      </c>
      <c r="D67" t="s">
        <v>86</v>
      </c>
      <c r="F67" s="3">
        <v>13</v>
      </c>
      <c r="G67" s="4">
        <v>9</v>
      </c>
      <c r="H67" s="3">
        <v>12</v>
      </c>
      <c r="I67" s="9">
        <v>34</v>
      </c>
      <c r="J67" s="13"/>
      <c r="K67" s="13"/>
      <c r="L67" s="13"/>
      <c r="M67" s="13"/>
      <c r="N67" s="13"/>
      <c r="O67" s="13"/>
      <c r="P67" s="13"/>
      <c r="Q67" s="13"/>
      <c r="R67" s="13"/>
      <c r="S67" s="13"/>
      <c r="T67" s="13"/>
      <c r="U67" s="13"/>
      <c r="V67" s="13"/>
      <c r="W67" s="13"/>
      <c r="X67" s="13"/>
      <c r="Y67" s="13"/>
      <c r="Z67" s="13"/>
      <c r="AA67" s="13"/>
      <c r="AB67" s="13"/>
      <c r="AC67" s="13"/>
      <c r="AD67" s="13"/>
      <c r="AE67" s="13"/>
    </row>
    <row r="68" spans="1:31">
      <c r="A68">
        <v>41</v>
      </c>
      <c r="B68" t="s">
        <v>62</v>
      </c>
      <c r="C68">
        <v>1</v>
      </c>
      <c r="D68" t="s">
        <v>15</v>
      </c>
      <c r="E68" t="s">
        <v>22</v>
      </c>
      <c r="F68" s="3">
        <v>7.666666666666667</v>
      </c>
      <c r="G68" s="4">
        <v>4</v>
      </c>
      <c r="H68" s="3">
        <v>5.5</v>
      </c>
      <c r="I68" s="9">
        <v>17.166666666666668</v>
      </c>
      <c r="AE68" s="13" t="s">
        <v>827</v>
      </c>
    </row>
    <row r="69" spans="1:31" customFormat="1">
      <c r="A69">
        <v>67</v>
      </c>
      <c r="B69" t="s">
        <v>90</v>
      </c>
      <c r="C69">
        <v>2</v>
      </c>
      <c r="D69" t="s">
        <v>78</v>
      </c>
      <c r="F69" s="3">
        <v>14</v>
      </c>
      <c r="G69" s="4">
        <v>6</v>
      </c>
      <c r="H69" s="3">
        <v>4.5</v>
      </c>
      <c r="I69" s="9">
        <v>24.5</v>
      </c>
      <c r="J69" s="13"/>
      <c r="K69" s="13"/>
      <c r="L69" s="13"/>
      <c r="M69" s="13"/>
      <c r="N69" s="13"/>
      <c r="O69" s="13"/>
      <c r="P69" s="13"/>
      <c r="Q69" s="13"/>
      <c r="R69" s="13"/>
      <c r="S69" s="13"/>
      <c r="T69" s="13"/>
      <c r="U69" s="13"/>
      <c r="V69" s="13"/>
      <c r="W69" s="13"/>
      <c r="X69" s="13"/>
      <c r="Y69" s="13"/>
      <c r="Z69" s="13"/>
      <c r="AA69" s="13"/>
      <c r="AB69" s="13"/>
      <c r="AC69" s="13"/>
      <c r="AD69" s="13"/>
      <c r="AE69" s="13"/>
    </row>
    <row r="70" spans="1:31" customFormat="1">
      <c r="A70">
        <v>68</v>
      </c>
      <c r="B70" t="s">
        <v>91</v>
      </c>
      <c r="C70">
        <v>3</v>
      </c>
      <c r="D70" t="s">
        <v>78</v>
      </c>
      <c r="F70" s="3">
        <v>17</v>
      </c>
      <c r="G70" s="4">
        <v>8</v>
      </c>
      <c r="H70" s="3">
        <v>5.5</v>
      </c>
      <c r="I70" s="9">
        <v>30.5</v>
      </c>
      <c r="J70" s="13"/>
      <c r="K70" s="13"/>
      <c r="L70" s="13"/>
      <c r="M70" s="13"/>
      <c r="N70" s="13"/>
      <c r="O70" s="13"/>
      <c r="P70" s="13"/>
      <c r="Q70" s="13"/>
      <c r="R70" s="13"/>
      <c r="S70" s="13"/>
      <c r="T70" s="13"/>
      <c r="U70" s="13"/>
      <c r="V70" s="13"/>
      <c r="W70" s="13"/>
      <c r="X70" s="13"/>
      <c r="Y70" s="13"/>
      <c r="Z70" s="13"/>
      <c r="AA70" s="13"/>
      <c r="AB70" s="13"/>
      <c r="AC70" s="13"/>
      <c r="AD70" s="13"/>
      <c r="AE70" s="13"/>
    </row>
    <row r="71" spans="1:31">
      <c r="A71">
        <v>69</v>
      </c>
      <c r="B71" t="s">
        <v>92</v>
      </c>
      <c r="C71">
        <v>1</v>
      </c>
      <c r="D71" t="s">
        <v>14</v>
      </c>
      <c r="E71" t="s">
        <v>15</v>
      </c>
      <c r="F71" s="3">
        <v>7.666666666666667</v>
      </c>
      <c r="G71" s="4">
        <v>4</v>
      </c>
      <c r="H71" s="3">
        <v>4</v>
      </c>
      <c r="I71" s="9">
        <v>15.666666666666668</v>
      </c>
      <c r="N71" s="13">
        <v>1</v>
      </c>
      <c r="W71" s="13">
        <v>1</v>
      </c>
      <c r="AD71" s="13">
        <v>1</v>
      </c>
    </row>
    <row r="72" spans="1:31" customFormat="1">
      <c r="A72">
        <v>70</v>
      </c>
      <c r="B72" t="s">
        <v>93</v>
      </c>
      <c r="C72">
        <v>2</v>
      </c>
      <c r="D72" t="s">
        <v>14</v>
      </c>
      <c r="E72" t="s">
        <v>15</v>
      </c>
      <c r="F72" s="3">
        <v>10.666666666666666</v>
      </c>
      <c r="G72" s="4">
        <v>5</v>
      </c>
      <c r="H72" s="3">
        <v>5.5</v>
      </c>
      <c r="I72" s="9">
        <v>21.166666666666664</v>
      </c>
      <c r="J72" s="13"/>
      <c r="K72" s="13"/>
      <c r="L72" s="13"/>
      <c r="M72" s="13"/>
      <c r="N72" s="13"/>
      <c r="O72" s="13"/>
      <c r="P72" s="13"/>
      <c r="Q72" s="13"/>
      <c r="R72" s="13"/>
      <c r="S72" s="13"/>
      <c r="T72" s="13"/>
      <c r="U72" s="13"/>
      <c r="V72" s="13"/>
      <c r="W72" s="13">
        <v>1</v>
      </c>
      <c r="X72" s="13"/>
      <c r="Y72" s="13"/>
      <c r="Z72" s="13"/>
      <c r="AA72" s="13"/>
      <c r="AB72" s="13"/>
      <c r="AC72" s="13"/>
      <c r="AD72" s="13"/>
      <c r="AE72" s="13"/>
    </row>
    <row r="73" spans="1:31" customFormat="1">
      <c r="A73">
        <v>71</v>
      </c>
      <c r="B73" t="s">
        <v>94</v>
      </c>
      <c r="C73">
        <v>3</v>
      </c>
      <c r="D73" t="s">
        <v>14</v>
      </c>
      <c r="E73" t="s">
        <v>15</v>
      </c>
      <c r="F73" s="3">
        <v>14.333333333333334</v>
      </c>
      <c r="G73" s="4">
        <v>7</v>
      </c>
      <c r="H73" s="3">
        <v>7</v>
      </c>
      <c r="I73" s="9">
        <v>28.333333333333336</v>
      </c>
      <c r="J73" s="13"/>
      <c r="K73" s="13"/>
      <c r="L73" s="13"/>
      <c r="M73" s="13"/>
      <c r="N73" s="13"/>
      <c r="O73" s="13"/>
      <c r="P73" s="13"/>
      <c r="Q73" s="13"/>
      <c r="R73" s="13"/>
      <c r="S73" s="13"/>
      <c r="T73" s="13"/>
      <c r="U73" s="13"/>
      <c r="V73" s="13"/>
      <c r="W73" s="13"/>
      <c r="X73" s="13"/>
      <c r="Y73" s="13"/>
      <c r="Z73" s="13"/>
      <c r="AA73" s="13"/>
      <c r="AB73" s="13"/>
      <c r="AC73" s="13"/>
      <c r="AD73" s="13"/>
      <c r="AE73" s="13"/>
    </row>
    <row r="74" spans="1:31">
      <c r="A74">
        <v>72</v>
      </c>
      <c r="B74" t="s">
        <v>95</v>
      </c>
      <c r="C74">
        <v>1</v>
      </c>
      <c r="D74" t="s">
        <v>25</v>
      </c>
      <c r="E74" t="s">
        <v>15</v>
      </c>
      <c r="F74" s="3">
        <v>11.666666666666666</v>
      </c>
      <c r="G74" s="4">
        <v>4</v>
      </c>
      <c r="H74" s="3">
        <v>7</v>
      </c>
      <c r="I74" s="9">
        <v>22.666666666666664</v>
      </c>
      <c r="Y74" s="13">
        <v>1</v>
      </c>
      <c r="Z74" s="13">
        <v>1</v>
      </c>
      <c r="AA74" s="13">
        <v>1</v>
      </c>
    </row>
    <row r="75" spans="1:31" customFormat="1">
      <c r="A75">
        <v>73</v>
      </c>
      <c r="B75" t="s">
        <v>96</v>
      </c>
      <c r="C75">
        <v>2</v>
      </c>
      <c r="D75" t="s">
        <v>25</v>
      </c>
      <c r="E75" t="s">
        <v>15</v>
      </c>
      <c r="F75" s="3">
        <v>17.666666666666668</v>
      </c>
      <c r="G75" s="4">
        <v>10</v>
      </c>
      <c r="H75" s="3">
        <v>10</v>
      </c>
      <c r="I75" s="9">
        <v>37.666666666666671</v>
      </c>
      <c r="J75" s="13"/>
      <c r="K75" s="13"/>
      <c r="L75" s="13"/>
      <c r="M75" s="13"/>
      <c r="N75" s="13"/>
      <c r="O75" s="13"/>
      <c r="P75" s="13"/>
      <c r="Q75" s="13"/>
      <c r="R75" s="13"/>
      <c r="S75" s="13"/>
      <c r="T75" s="13"/>
      <c r="U75" s="13"/>
      <c r="V75" s="13"/>
      <c r="W75" s="13"/>
      <c r="X75" s="13"/>
      <c r="Y75" s="13"/>
      <c r="Z75" s="13"/>
      <c r="AA75" s="13"/>
      <c r="AB75" s="13"/>
      <c r="AC75" s="13"/>
      <c r="AD75" s="13"/>
      <c r="AE75" s="13"/>
    </row>
    <row r="76" spans="1:31">
      <c r="A76">
        <v>46</v>
      </c>
      <c r="B76" t="s">
        <v>67</v>
      </c>
      <c r="C76">
        <v>1</v>
      </c>
      <c r="D76" t="s">
        <v>29</v>
      </c>
      <c r="E76" t="s">
        <v>14</v>
      </c>
      <c r="F76" s="3">
        <v>9.6666666666666661</v>
      </c>
      <c r="G76" s="4">
        <v>4</v>
      </c>
      <c r="H76" s="3">
        <v>2.5</v>
      </c>
      <c r="I76" s="9">
        <v>16.166666666666664</v>
      </c>
      <c r="AE76" s="13" t="s">
        <v>827</v>
      </c>
    </row>
    <row r="77" spans="1:31" customFormat="1">
      <c r="A77">
        <v>74</v>
      </c>
      <c r="B77" t="s">
        <v>97</v>
      </c>
      <c r="C77">
        <v>1</v>
      </c>
      <c r="D77" t="s">
        <v>98</v>
      </c>
      <c r="E77" t="s">
        <v>49</v>
      </c>
      <c r="F77" s="3">
        <v>11.333333333333334</v>
      </c>
      <c r="G77" s="4">
        <v>2</v>
      </c>
      <c r="H77" s="3">
        <v>2</v>
      </c>
      <c r="I77" s="9">
        <v>15.333333333333334</v>
      </c>
      <c r="J77" s="13"/>
      <c r="K77" s="13"/>
      <c r="L77" s="13"/>
      <c r="M77" s="13"/>
      <c r="N77" s="13"/>
      <c r="O77" s="13"/>
      <c r="P77" s="13"/>
      <c r="Q77" s="13"/>
      <c r="R77" s="13"/>
      <c r="S77" s="13"/>
      <c r="T77" s="13"/>
      <c r="U77" s="13"/>
      <c r="V77" s="13"/>
      <c r="W77" s="13"/>
      <c r="X77" s="13"/>
      <c r="Y77" s="13"/>
      <c r="Z77" s="13"/>
      <c r="AA77" s="13"/>
      <c r="AB77" s="13"/>
      <c r="AC77" s="13"/>
      <c r="AD77" s="13"/>
      <c r="AE77" s="13" t="s">
        <v>827</v>
      </c>
    </row>
    <row r="78" spans="1:31" customFormat="1">
      <c r="A78">
        <v>76</v>
      </c>
      <c r="B78" t="s">
        <v>100</v>
      </c>
      <c r="C78">
        <v>3</v>
      </c>
      <c r="D78" t="s">
        <v>98</v>
      </c>
      <c r="E78" t="s">
        <v>49</v>
      </c>
      <c r="F78" s="3">
        <v>18.333333333333332</v>
      </c>
      <c r="G78" s="4">
        <v>8</v>
      </c>
      <c r="H78" s="3">
        <v>4.5</v>
      </c>
      <c r="I78" s="9">
        <v>30.833333333333332</v>
      </c>
      <c r="J78" s="13"/>
      <c r="K78" s="13"/>
      <c r="L78" s="13"/>
      <c r="M78" s="13"/>
      <c r="N78" s="13"/>
      <c r="O78" s="13"/>
      <c r="P78" s="13"/>
      <c r="Q78" s="13"/>
      <c r="R78" s="13"/>
      <c r="S78" s="13"/>
      <c r="T78" s="13"/>
      <c r="U78" s="13"/>
      <c r="V78" s="13"/>
      <c r="W78" s="13"/>
      <c r="X78" s="13"/>
      <c r="Y78" s="13"/>
      <c r="Z78" s="13"/>
      <c r="AA78" s="13"/>
      <c r="AB78" s="13"/>
      <c r="AC78" s="13"/>
      <c r="AD78" s="13"/>
      <c r="AE78" s="13"/>
    </row>
    <row r="79" spans="1:31">
      <c r="A79">
        <v>77</v>
      </c>
      <c r="B79" t="s">
        <v>101</v>
      </c>
      <c r="C79">
        <v>1</v>
      </c>
      <c r="D79" t="s">
        <v>19</v>
      </c>
      <c r="F79" s="3">
        <v>11.333333333333334</v>
      </c>
      <c r="G79" s="4">
        <v>5</v>
      </c>
      <c r="H79" s="3">
        <v>9</v>
      </c>
      <c r="I79" s="9">
        <v>25.333333333333336</v>
      </c>
      <c r="X79" s="13">
        <v>1</v>
      </c>
    </row>
    <row r="80" spans="1:31" customFormat="1">
      <c r="A80">
        <v>78</v>
      </c>
      <c r="B80" t="s">
        <v>102</v>
      </c>
      <c r="C80">
        <v>2</v>
      </c>
      <c r="D80" t="s">
        <v>19</v>
      </c>
      <c r="F80" s="3">
        <v>14.333333333333334</v>
      </c>
      <c r="G80" s="4">
        <v>8</v>
      </c>
      <c r="H80" s="3">
        <v>10.5</v>
      </c>
      <c r="I80" s="9">
        <v>32.833333333333336</v>
      </c>
      <c r="J80" s="13"/>
      <c r="K80" s="13"/>
      <c r="L80" s="13"/>
      <c r="M80" s="13"/>
      <c r="N80" s="13"/>
      <c r="O80" s="13"/>
      <c r="P80" s="13"/>
      <c r="Q80" s="13"/>
      <c r="R80" s="13"/>
      <c r="S80" s="13"/>
      <c r="T80" s="13"/>
      <c r="U80" s="13"/>
      <c r="V80" s="13"/>
      <c r="W80" s="13"/>
      <c r="X80" s="13"/>
      <c r="Y80" s="13"/>
      <c r="Z80" s="13"/>
      <c r="AA80" s="13"/>
      <c r="AB80" s="13"/>
      <c r="AC80" s="13"/>
      <c r="AD80" s="13"/>
      <c r="AE80" s="13"/>
    </row>
    <row r="81" spans="1:31">
      <c r="A81">
        <v>79</v>
      </c>
      <c r="B81" t="s">
        <v>103</v>
      </c>
      <c r="C81">
        <v>1</v>
      </c>
      <c r="D81" t="s">
        <v>25</v>
      </c>
      <c r="E81" t="s">
        <v>86</v>
      </c>
      <c r="F81" s="3">
        <v>13</v>
      </c>
      <c r="G81" s="4">
        <v>3</v>
      </c>
      <c r="H81" s="3">
        <v>1.5</v>
      </c>
      <c r="I81" s="9">
        <v>17.5</v>
      </c>
      <c r="T81" s="13">
        <v>1</v>
      </c>
      <c r="U81" s="13">
        <v>1</v>
      </c>
      <c r="X81" s="13">
        <v>1</v>
      </c>
      <c r="AA81" s="13">
        <v>1</v>
      </c>
      <c r="AE81" s="13" t="s">
        <v>819</v>
      </c>
    </row>
    <row r="82" spans="1:31" customFormat="1">
      <c r="A82">
        <v>80</v>
      </c>
      <c r="B82" t="s">
        <v>104</v>
      </c>
      <c r="C82">
        <v>2</v>
      </c>
      <c r="D82" t="s">
        <v>25</v>
      </c>
      <c r="E82" t="s">
        <v>86</v>
      </c>
      <c r="F82" s="3">
        <v>19</v>
      </c>
      <c r="G82" s="4">
        <v>8</v>
      </c>
      <c r="H82" s="3">
        <v>3</v>
      </c>
      <c r="I82" s="9">
        <v>30</v>
      </c>
      <c r="J82" s="13"/>
      <c r="K82" s="13"/>
      <c r="L82" s="13"/>
      <c r="M82" s="13"/>
      <c r="N82" s="13"/>
      <c r="O82" s="13"/>
      <c r="P82" s="13"/>
      <c r="Q82" s="13"/>
      <c r="R82" s="13"/>
      <c r="S82" s="13"/>
      <c r="T82" s="13"/>
      <c r="U82" s="13"/>
      <c r="V82" s="13"/>
      <c r="W82" s="13"/>
      <c r="X82" s="13"/>
      <c r="Y82" s="13"/>
      <c r="Z82" s="13"/>
      <c r="AA82" s="13"/>
      <c r="AB82" s="13"/>
      <c r="AC82" s="13"/>
      <c r="AD82" s="13"/>
      <c r="AE82" s="13"/>
    </row>
    <row r="83" spans="1:31">
      <c r="A83">
        <v>81</v>
      </c>
      <c r="B83" t="s">
        <v>105</v>
      </c>
      <c r="C83">
        <v>1</v>
      </c>
      <c r="D83" t="s">
        <v>46</v>
      </c>
      <c r="E83" t="s">
        <v>106</v>
      </c>
      <c r="F83" s="3">
        <v>10</v>
      </c>
      <c r="G83" s="4">
        <v>3</v>
      </c>
      <c r="H83" s="3">
        <v>4.5</v>
      </c>
      <c r="I83" s="9">
        <v>17.5</v>
      </c>
      <c r="R83" s="13">
        <v>1</v>
      </c>
      <c r="S83" s="13">
        <v>1</v>
      </c>
    </row>
    <row r="84" spans="1:31" customFormat="1">
      <c r="A84">
        <v>82</v>
      </c>
      <c r="B84" t="s">
        <v>107</v>
      </c>
      <c r="C84">
        <v>2</v>
      </c>
      <c r="D84" t="s">
        <v>46</v>
      </c>
      <c r="E84" t="s">
        <v>106</v>
      </c>
      <c r="F84" s="3">
        <v>14.333333333333334</v>
      </c>
      <c r="G84" s="4">
        <v>8</v>
      </c>
      <c r="H84" s="3">
        <v>7</v>
      </c>
      <c r="I84" s="9">
        <v>29.333333333333336</v>
      </c>
      <c r="J84" s="13"/>
      <c r="K84" s="13"/>
      <c r="L84" s="13"/>
      <c r="M84" s="13"/>
      <c r="N84" s="13"/>
      <c r="O84" s="13"/>
      <c r="P84" s="13"/>
      <c r="Q84" s="13"/>
      <c r="R84" s="13"/>
      <c r="S84" s="13"/>
      <c r="T84" s="13"/>
      <c r="U84" s="13"/>
      <c r="V84" s="13"/>
      <c r="W84" s="13"/>
      <c r="X84" s="13"/>
      <c r="Y84" s="13"/>
      <c r="Z84" s="13"/>
      <c r="AA84" s="13"/>
      <c r="AB84" s="13"/>
      <c r="AC84" s="13"/>
      <c r="AD84" s="13"/>
      <c r="AE84" s="13"/>
    </row>
    <row r="85" spans="1:31">
      <c r="A85">
        <v>83</v>
      </c>
      <c r="B85" t="s">
        <v>108</v>
      </c>
      <c r="C85">
        <v>1</v>
      </c>
      <c r="D85" t="s">
        <v>36</v>
      </c>
      <c r="E85" t="s">
        <v>22</v>
      </c>
      <c r="F85" s="3">
        <v>11.266666666666667</v>
      </c>
      <c r="G85" s="4">
        <v>4</v>
      </c>
      <c r="H85" s="3">
        <v>6</v>
      </c>
      <c r="I85" s="9">
        <v>21.266666666666666</v>
      </c>
      <c r="Q85" s="13">
        <v>1</v>
      </c>
      <c r="U85" s="13">
        <v>1</v>
      </c>
      <c r="V85" s="13">
        <v>1</v>
      </c>
    </row>
    <row r="86" spans="1:31">
      <c r="A86">
        <v>84</v>
      </c>
      <c r="B86" t="s">
        <v>109</v>
      </c>
      <c r="C86">
        <v>1</v>
      </c>
      <c r="D86" t="s">
        <v>36</v>
      </c>
      <c r="E86" t="s">
        <v>22</v>
      </c>
      <c r="F86" s="3">
        <v>7.666666666666667</v>
      </c>
      <c r="G86" s="4">
        <v>4</v>
      </c>
      <c r="H86" s="3">
        <v>7.5</v>
      </c>
      <c r="I86" s="9">
        <v>19.166666666666668</v>
      </c>
      <c r="X86" s="13">
        <v>1</v>
      </c>
    </row>
    <row r="87" spans="1:31" customFormat="1">
      <c r="A87">
        <v>85</v>
      </c>
      <c r="B87" t="s">
        <v>110</v>
      </c>
      <c r="C87">
        <v>2</v>
      </c>
      <c r="D87" t="s">
        <v>36</v>
      </c>
      <c r="E87" t="s">
        <v>22</v>
      </c>
      <c r="F87" s="3">
        <v>12.666666666666666</v>
      </c>
      <c r="G87" s="4">
        <v>9</v>
      </c>
      <c r="H87" s="3">
        <v>10</v>
      </c>
      <c r="I87" s="9">
        <v>31.666666666666664</v>
      </c>
      <c r="J87" s="13"/>
      <c r="K87" s="13"/>
      <c r="L87" s="13"/>
      <c r="M87" s="13"/>
      <c r="N87" s="13"/>
      <c r="O87" s="13"/>
      <c r="P87" s="13"/>
      <c r="Q87" s="13"/>
      <c r="R87" s="13"/>
      <c r="S87" s="13"/>
      <c r="T87" s="13"/>
      <c r="U87" s="13"/>
      <c r="V87" s="13"/>
      <c r="W87" s="13"/>
      <c r="X87" s="13"/>
      <c r="Y87" s="13"/>
      <c r="Z87" s="13"/>
      <c r="AA87" s="13"/>
      <c r="AB87" s="13"/>
      <c r="AC87" s="13"/>
      <c r="AD87" s="13"/>
      <c r="AE87" s="13"/>
    </row>
    <row r="88" spans="1:31">
      <c r="A88">
        <v>95</v>
      </c>
      <c r="B88" t="s">
        <v>122</v>
      </c>
      <c r="C88">
        <v>1</v>
      </c>
      <c r="D88" t="s">
        <v>98</v>
      </c>
      <c r="E88" t="s">
        <v>49</v>
      </c>
      <c r="F88" s="3">
        <v>16</v>
      </c>
      <c r="G88" s="4">
        <v>6</v>
      </c>
      <c r="H88" s="3">
        <v>7</v>
      </c>
      <c r="I88" s="9">
        <v>29</v>
      </c>
      <c r="AE88" s="13" t="s">
        <v>827</v>
      </c>
    </row>
    <row r="89" spans="1:31" customFormat="1">
      <c r="A89">
        <v>146</v>
      </c>
      <c r="B89" t="s">
        <v>174</v>
      </c>
      <c r="C89">
        <v>1</v>
      </c>
      <c r="D89" t="s">
        <v>19</v>
      </c>
      <c r="E89" t="s">
        <v>22</v>
      </c>
      <c r="F89" s="3">
        <v>17.666666666666668</v>
      </c>
      <c r="G89" s="4">
        <v>11</v>
      </c>
      <c r="H89" s="3">
        <v>9</v>
      </c>
      <c r="I89" s="9">
        <v>37.666666666666671</v>
      </c>
      <c r="J89" s="13"/>
      <c r="K89" s="13"/>
      <c r="L89" s="13"/>
      <c r="M89" s="13"/>
      <c r="N89" s="13"/>
      <c r="O89" s="13"/>
      <c r="P89" s="13"/>
      <c r="Q89" s="13"/>
      <c r="R89" s="13"/>
      <c r="S89" s="13"/>
      <c r="T89" s="13"/>
      <c r="U89" s="13"/>
      <c r="V89" s="13"/>
      <c r="W89" s="13"/>
      <c r="X89" s="13"/>
      <c r="Y89" s="13"/>
      <c r="Z89" s="13"/>
      <c r="AA89" s="13"/>
      <c r="AB89" s="13"/>
      <c r="AC89" s="13"/>
      <c r="AD89" s="13"/>
      <c r="AE89" s="13" t="s">
        <v>831</v>
      </c>
    </row>
    <row r="90" spans="1:31">
      <c r="A90">
        <v>88</v>
      </c>
      <c r="B90" t="s">
        <v>114</v>
      </c>
      <c r="C90">
        <v>1</v>
      </c>
      <c r="D90" t="s">
        <v>15</v>
      </c>
      <c r="F90" s="3">
        <v>12</v>
      </c>
      <c r="G90" s="4">
        <v>4</v>
      </c>
      <c r="H90" s="3">
        <v>2.5</v>
      </c>
      <c r="I90" s="9">
        <v>18.5</v>
      </c>
      <c r="P90" s="13">
        <v>1</v>
      </c>
      <c r="Q90" s="13">
        <v>1</v>
      </c>
      <c r="W90" s="13">
        <v>1</v>
      </c>
      <c r="X90" s="13">
        <v>1</v>
      </c>
    </row>
    <row r="91" spans="1:31" customFormat="1">
      <c r="A91">
        <v>89</v>
      </c>
      <c r="B91" t="s">
        <v>115</v>
      </c>
      <c r="C91">
        <v>2</v>
      </c>
      <c r="D91" t="s">
        <v>15</v>
      </c>
      <c r="F91" s="3">
        <v>18.666666666666668</v>
      </c>
      <c r="G91" s="4">
        <v>6</v>
      </c>
      <c r="H91" s="3">
        <v>5</v>
      </c>
      <c r="I91" s="9">
        <v>29.666666666666668</v>
      </c>
      <c r="J91" s="13"/>
      <c r="K91" s="13"/>
      <c r="L91" s="13"/>
      <c r="M91" s="13"/>
      <c r="N91" s="13"/>
      <c r="O91" s="13"/>
      <c r="P91" s="13"/>
      <c r="Q91" s="13"/>
      <c r="R91" s="13"/>
      <c r="S91" s="13"/>
      <c r="T91" s="13"/>
      <c r="U91" s="13"/>
      <c r="V91" s="13"/>
      <c r="W91" s="13"/>
      <c r="X91" s="13"/>
      <c r="Y91" s="13"/>
      <c r="Z91" s="13"/>
      <c r="AA91" s="13"/>
      <c r="AB91" s="13"/>
      <c r="AC91" s="13"/>
      <c r="AD91" s="13"/>
      <c r="AE91" s="13"/>
    </row>
    <row r="92" spans="1:31">
      <c r="A92">
        <v>150</v>
      </c>
      <c r="B92" t="s">
        <v>178</v>
      </c>
      <c r="C92">
        <v>1</v>
      </c>
      <c r="D92" t="s">
        <v>86</v>
      </c>
      <c r="F92" s="3">
        <v>19.066666666666666</v>
      </c>
      <c r="G92" s="4">
        <v>12</v>
      </c>
      <c r="H92" s="3">
        <v>13</v>
      </c>
      <c r="I92" s="9">
        <v>44.066666666666663</v>
      </c>
      <c r="AE92" s="13" t="s">
        <v>900</v>
      </c>
    </row>
    <row r="93" spans="1:31" customFormat="1">
      <c r="A93">
        <v>91</v>
      </c>
      <c r="B93" t="s">
        <v>117</v>
      </c>
      <c r="C93">
        <v>2</v>
      </c>
      <c r="D93" t="s">
        <v>25</v>
      </c>
      <c r="E93" t="s">
        <v>113</v>
      </c>
      <c r="F93" s="3">
        <v>18.333333333333332</v>
      </c>
      <c r="G93" s="4">
        <v>7</v>
      </c>
      <c r="H93" s="3">
        <v>7</v>
      </c>
      <c r="I93" s="9">
        <v>32.333333333333329</v>
      </c>
      <c r="J93" s="13"/>
      <c r="K93" s="13"/>
      <c r="L93" s="13"/>
      <c r="M93" s="13"/>
      <c r="N93" s="13"/>
      <c r="O93" s="13"/>
      <c r="P93" s="13"/>
      <c r="Q93" s="13"/>
      <c r="R93" s="13"/>
      <c r="S93" s="13"/>
      <c r="T93" s="13"/>
      <c r="U93" s="13"/>
      <c r="V93" s="13"/>
      <c r="W93" s="13"/>
      <c r="X93" s="13"/>
      <c r="Y93" s="13"/>
      <c r="Z93" s="13"/>
      <c r="AA93" s="13"/>
      <c r="AB93" s="13"/>
      <c r="AC93" s="13"/>
      <c r="AD93" s="13"/>
      <c r="AE93" s="13"/>
    </row>
    <row r="94" spans="1:31">
      <c r="A94">
        <v>92</v>
      </c>
      <c r="B94" t="s">
        <v>118</v>
      </c>
      <c r="C94">
        <v>1</v>
      </c>
      <c r="D94" t="s">
        <v>119</v>
      </c>
      <c r="E94" t="s">
        <v>15</v>
      </c>
      <c r="F94" s="3">
        <v>6.333333333333333</v>
      </c>
      <c r="G94" s="4">
        <v>3</v>
      </c>
      <c r="H94" s="3">
        <v>8</v>
      </c>
      <c r="I94" s="9">
        <v>17.333333333333332</v>
      </c>
      <c r="AE94" s="13" t="s">
        <v>818</v>
      </c>
    </row>
    <row r="95" spans="1:31" customFormat="1">
      <c r="A95">
        <v>93</v>
      </c>
      <c r="B95" t="s">
        <v>120</v>
      </c>
      <c r="C95">
        <v>2</v>
      </c>
      <c r="D95" t="s">
        <v>119</v>
      </c>
      <c r="E95" t="s">
        <v>15</v>
      </c>
      <c r="F95" s="3">
        <v>9.6666666666666661</v>
      </c>
      <c r="G95" s="4">
        <v>5</v>
      </c>
      <c r="H95" s="3">
        <v>9.5</v>
      </c>
      <c r="I95" s="9">
        <v>24.166666666666664</v>
      </c>
      <c r="J95" s="13"/>
      <c r="K95" s="13"/>
      <c r="L95" s="13"/>
      <c r="M95" s="13"/>
      <c r="N95" s="13"/>
      <c r="O95" s="13"/>
      <c r="P95" s="13"/>
      <c r="Q95" s="13"/>
      <c r="R95" s="13"/>
      <c r="S95" s="13"/>
      <c r="T95" s="13"/>
      <c r="U95" s="13"/>
      <c r="V95" s="13"/>
      <c r="W95" s="13"/>
      <c r="X95" s="13"/>
      <c r="Y95" s="13"/>
      <c r="Z95" s="13"/>
      <c r="AA95" s="13"/>
      <c r="AB95" s="13"/>
      <c r="AC95" s="13"/>
      <c r="AD95" s="13"/>
      <c r="AE95" s="13" t="s">
        <v>818</v>
      </c>
    </row>
    <row r="96" spans="1:31" customFormat="1">
      <c r="A96">
        <v>94</v>
      </c>
      <c r="B96" t="s">
        <v>121</v>
      </c>
      <c r="C96">
        <v>3</v>
      </c>
      <c r="D96" t="s">
        <v>119</v>
      </c>
      <c r="E96" t="s">
        <v>15</v>
      </c>
      <c r="F96" s="3">
        <v>13</v>
      </c>
      <c r="G96" s="4">
        <v>9</v>
      </c>
      <c r="H96" s="3">
        <v>11</v>
      </c>
      <c r="I96" s="9">
        <v>33</v>
      </c>
      <c r="J96" s="13"/>
      <c r="K96" s="13"/>
      <c r="L96" s="13"/>
      <c r="M96" s="13"/>
      <c r="N96" s="13"/>
      <c r="O96" s="13"/>
      <c r="P96" s="13"/>
      <c r="Q96" s="13"/>
      <c r="R96" s="13"/>
      <c r="S96" s="13"/>
      <c r="T96" s="13"/>
      <c r="U96" s="13"/>
      <c r="V96" s="13"/>
      <c r="W96" s="13"/>
      <c r="X96" s="13"/>
      <c r="Y96" s="13"/>
      <c r="Z96" s="13"/>
      <c r="AA96" s="13"/>
      <c r="AB96" s="13"/>
      <c r="AC96" s="13"/>
      <c r="AD96" s="13"/>
      <c r="AE96" s="13"/>
    </row>
    <row r="97" spans="1:31">
      <c r="A97">
        <v>151</v>
      </c>
      <c r="B97" t="s">
        <v>179</v>
      </c>
      <c r="C97">
        <v>1</v>
      </c>
      <c r="D97" t="s">
        <v>86</v>
      </c>
      <c r="F97" s="3">
        <v>20</v>
      </c>
      <c r="G97" s="4">
        <v>10</v>
      </c>
      <c r="H97" s="3">
        <v>10</v>
      </c>
      <c r="I97" s="9">
        <v>40</v>
      </c>
      <c r="AE97" s="13" t="s">
        <v>824</v>
      </c>
    </row>
    <row r="98" spans="1:31">
      <c r="A98">
        <v>96</v>
      </c>
      <c r="B98" t="s">
        <v>123</v>
      </c>
      <c r="C98">
        <v>1</v>
      </c>
      <c r="D98" t="s">
        <v>86</v>
      </c>
      <c r="F98" s="3">
        <v>13</v>
      </c>
      <c r="G98" s="4">
        <v>5</v>
      </c>
      <c r="H98" s="3">
        <v>4.2</v>
      </c>
      <c r="I98" s="9">
        <v>22.2</v>
      </c>
      <c r="M98" s="13">
        <v>1</v>
      </c>
      <c r="N98" s="13">
        <v>1</v>
      </c>
      <c r="V98" s="13">
        <v>1</v>
      </c>
    </row>
    <row r="99" spans="1:31" customFormat="1">
      <c r="A99">
        <v>97</v>
      </c>
      <c r="B99" t="s">
        <v>124</v>
      </c>
      <c r="C99">
        <v>2</v>
      </c>
      <c r="D99" t="s">
        <v>86</v>
      </c>
      <c r="F99" s="3">
        <v>18</v>
      </c>
      <c r="G99" s="4">
        <v>8</v>
      </c>
      <c r="H99" s="3">
        <v>6.7</v>
      </c>
      <c r="I99" s="9">
        <v>32.700000000000003</v>
      </c>
      <c r="J99" s="13"/>
      <c r="K99" s="13"/>
      <c r="L99" s="13"/>
      <c r="M99" s="13"/>
      <c r="N99" s="13"/>
      <c r="O99" s="13"/>
      <c r="P99" s="13"/>
      <c r="Q99" s="13"/>
      <c r="R99" s="13"/>
      <c r="S99" s="13"/>
      <c r="T99" s="13"/>
      <c r="U99" s="13"/>
      <c r="V99" s="13"/>
      <c r="W99" s="13"/>
      <c r="X99" s="13"/>
      <c r="Y99" s="13"/>
      <c r="Z99" s="13"/>
      <c r="AA99" s="13"/>
      <c r="AB99" s="13"/>
      <c r="AC99" s="13"/>
      <c r="AD99" s="13"/>
      <c r="AE99" s="13"/>
    </row>
    <row r="100" spans="1:31">
      <c r="A100">
        <v>66</v>
      </c>
      <c r="B100" t="s">
        <v>89</v>
      </c>
      <c r="C100">
        <v>1</v>
      </c>
      <c r="D100" t="s">
        <v>78</v>
      </c>
      <c r="F100" s="3">
        <v>10.333333333333334</v>
      </c>
      <c r="G100" s="4">
        <v>4</v>
      </c>
      <c r="H100" s="3">
        <v>3.5</v>
      </c>
      <c r="I100" s="9">
        <v>17.833333333333336</v>
      </c>
      <c r="Q100" s="13">
        <v>1</v>
      </c>
      <c r="R100" s="13">
        <v>1</v>
      </c>
      <c r="AE100" s="13" t="s">
        <v>828</v>
      </c>
    </row>
    <row r="101" spans="1:31" customFormat="1">
      <c r="A101">
        <v>99</v>
      </c>
      <c r="B101" t="s">
        <v>126</v>
      </c>
      <c r="C101">
        <v>2</v>
      </c>
      <c r="D101" t="s">
        <v>25</v>
      </c>
      <c r="F101" s="3">
        <v>14.666666666666666</v>
      </c>
      <c r="G101" s="4">
        <v>9</v>
      </c>
      <c r="H101" s="3">
        <v>7.5</v>
      </c>
      <c r="I101" s="9">
        <v>31.166666666666664</v>
      </c>
      <c r="J101" s="13"/>
      <c r="K101" s="13"/>
      <c r="L101" s="13"/>
      <c r="M101" s="13"/>
      <c r="N101" s="13"/>
      <c r="O101" s="13"/>
      <c r="P101" s="13"/>
      <c r="Q101" s="13"/>
      <c r="R101" s="13"/>
      <c r="S101" s="13"/>
      <c r="T101" s="13"/>
      <c r="U101" s="13"/>
      <c r="V101" s="13"/>
      <c r="W101" s="13"/>
      <c r="X101" s="13"/>
      <c r="Y101" s="13"/>
      <c r="Z101" s="13"/>
      <c r="AA101" s="13"/>
      <c r="AB101" s="13"/>
      <c r="AC101" s="13"/>
      <c r="AD101" s="13"/>
      <c r="AE101" s="13"/>
    </row>
    <row r="102" spans="1:31">
      <c r="A102">
        <v>100</v>
      </c>
      <c r="B102" t="s">
        <v>127</v>
      </c>
      <c r="C102">
        <v>1</v>
      </c>
      <c r="D102" t="s">
        <v>46</v>
      </c>
      <c r="F102" s="3">
        <v>9.6666666666666661</v>
      </c>
      <c r="G102" s="4">
        <v>4</v>
      </c>
      <c r="H102" s="3">
        <v>10</v>
      </c>
      <c r="I102" s="9">
        <v>23.666666666666664</v>
      </c>
      <c r="R102" s="13">
        <v>1</v>
      </c>
      <c r="W102" s="13">
        <v>1</v>
      </c>
    </row>
    <row r="103" spans="1:31" customFormat="1">
      <c r="A103">
        <v>101</v>
      </c>
      <c r="B103" t="s">
        <v>128</v>
      </c>
      <c r="C103">
        <v>2</v>
      </c>
      <c r="D103" t="s">
        <v>46</v>
      </c>
      <c r="F103" s="3">
        <v>14</v>
      </c>
      <c r="G103" s="4">
        <v>7</v>
      </c>
      <c r="H103" s="3">
        <v>14</v>
      </c>
      <c r="I103" s="9">
        <v>35</v>
      </c>
      <c r="J103" s="13"/>
      <c r="K103" s="13"/>
      <c r="L103" s="13"/>
      <c r="M103" s="13"/>
      <c r="N103" s="13"/>
      <c r="O103" s="13"/>
      <c r="P103" s="13"/>
      <c r="Q103" s="13"/>
      <c r="R103" s="13"/>
      <c r="S103" s="13"/>
      <c r="T103" s="13"/>
      <c r="U103" s="13"/>
      <c r="V103" s="13"/>
      <c r="W103" s="13"/>
      <c r="X103" s="13"/>
      <c r="Y103" s="13"/>
      <c r="Z103" s="13"/>
      <c r="AA103" s="13"/>
      <c r="AB103" s="13"/>
      <c r="AC103" s="13"/>
      <c r="AD103" s="13"/>
      <c r="AE103" s="13"/>
    </row>
    <row r="104" spans="1:31">
      <c r="A104">
        <v>102</v>
      </c>
      <c r="B104" t="s">
        <v>129</v>
      </c>
      <c r="C104">
        <v>1</v>
      </c>
      <c r="D104" t="s">
        <v>14</v>
      </c>
      <c r="E104" t="s">
        <v>86</v>
      </c>
      <c r="F104" s="3">
        <v>12.333333333333334</v>
      </c>
      <c r="G104" s="4">
        <v>3</v>
      </c>
      <c r="H104" s="3">
        <v>4</v>
      </c>
      <c r="I104" s="9">
        <v>19.333333333333336</v>
      </c>
      <c r="AA104" s="13">
        <v>1</v>
      </c>
      <c r="AE104" s="13" t="s">
        <v>819</v>
      </c>
    </row>
    <row r="105" spans="1:31" customFormat="1">
      <c r="A105">
        <v>103</v>
      </c>
      <c r="B105" t="s">
        <v>130</v>
      </c>
      <c r="C105">
        <v>2</v>
      </c>
      <c r="D105" t="s">
        <v>14</v>
      </c>
      <c r="E105" t="s">
        <v>86</v>
      </c>
      <c r="F105" s="3">
        <v>16.333333333333332</v>
      </c>
      <c r="G105" s="4">
        <v>8</v>
      </c>
      <c r="H105" s="3">
        <v>5.5</v>
      </c>
      <c r="I105" s="9">
        <v>29.833333333333332</v>
      </c>
      <c r="J105" s="13"/>
      <c r="K105" s="13"/>
      <c r="L105" s="13"/>
      <c r="M105" s="13"/>
      <c r="N105" s="13"/>
      <c r="O105" s="13"/>
      <c r="P105" s="13"/>
      <c r="Q105" s="13"/>
      <c r="R105" s="13"/>
      <c r="S105" s="13"/>
      <c r="T105" s="13"/>
      <c r="U105" s="13"/>
      <c r="V105" s="13"/>
      <c r="W105" s="13"/>
      <c r="X105" s="13"/>
      <c r="Y105" s="13"/>
      <c r="Z105" s="13"/>
      <c r="AA105" s="13"/>
      <c r="AB105" s="13"/>
      <c r="AC105" s="13"/>
      <c r="AD105" s="13"/>
      <c r="AE105" s="13"/>
    </row>
    <row r="106" spans="1:31">
      <c r="A106">
        <v>104</v>
      </c>
      <c r="B106" t="s">
        <v>131</v>
      </c>
      <c r="C106">
        <v>1</v>
      </c>
      <c r="D106" t="s">
        <v>49</v>
      </c>
      <c r="F106" s="3">
        <v>13</v>
      </c>
      <c r="G106" s="4">
        <v>5</v>
      </c>
      <c r="H106" s="3">
        <v>3.5</v>
      </c>
      <c r="I106" s="9">
        <v>21.5</v>
      </c>
      <c r="AE106" s="13" t="s">
        <v>818</v>
      </c>
    </row>
    <row r="107" spans="1:31" customFormat="1">
      <c r="A107">
        <v>105</v>
      </c>
      <c r="B107" t="s">
        <v>132</v>
      </c>
      <c r="C107">
        <v>2</v>
      </c>
      <c r="D107" t="s">
        <v>49</v>
      </c>
      <c r="F107" s="3">
        <v>16.666666666666668</v>
      </c>
      <c r="G107" s="4">
        <v>8</v>
      </c>
      <c r="H107" s="3">
        <v>4.5</v>
      </c>
      <c r="I107" s="9">
        <v>29.166666666666668</v>
      </c>
      <c r="J107" s="13"/>
      <c r="K107" s="13"/>
      <c r="L107" s="13"/>
      <c r="M107" s="13"/>
      <c r="N107" s="13"/>
      <c r="O107" s="13"/>
      <c r="P107" s="13"/>
      <c r="Q107" s="13"/>
      <c r="R107" s="13"/>
      <c r="S107" s="13"/>
      <c r="T107" s="13"/>
      <c r="U107" s="13"/>
      <c r="V107" s="13"/>
      <c r="W107" s="13"/>
      <c r="X107" s="13"/>
      <c r="Y107" s="13"/>
      <c r="Z107" s="13"/>
      <c r="AA107" s="13"/>
      <c r="AB107" s="13"/>
      <c r="AC107" s="13"/>
      <c r="AD107" s="13"/>
      <c r="AE107" s="13" t="s">
        <v>818</v>
      </c>
    </row>
    <row r="108" spans="1:31">
      <c r="A108">
        <v>106</v>
      </c>
      <c r="B108" t="s">
        <v>133</v>
      </c>
      <c r="C108">
        <v>1</v>
      </c>
      <c r="D108" t="s">
        <v>78</v>
      </c>
      <c r="F108" s="3">
        <v>14.2</v>
      </c>
      <c r="G108" s="4">
        <v>7</v>
      </c>
      <c r="H108" s="3">
        <v>8.6999999999999993</v>
      </c>
      <c r="I108" s="9">
        <v>29.9</v>
      </c>
      <c r="X108" s="13">
        <v>1</v>
      </c>
    </row>
    <row r="109" spans="1:31">
      <c r="A109">
        <v>107</v>
      </c>
      <c r="B109" t="s">
        <v>134</v>
      </c>
      <c r="C109">
        <v>1</v>
      </c>
      <c r="D109" t="s">
        <v>78</v>
      </c>
      <c r="F109" s="3">
        <v>15.933333333333334</v>
      </c>
      <c r="G109" s="4">
        <v>7</v>
      </c>
      <c r="H109" s="3">
        <v>7.6</v>
      </c>
      <c r="I109" s="9">
        <v>30.533333333333331</v>
      </c>
      <c r="X109" s="13">
        <v>1</v>
      </c>
    </row>
    <row r="110" spans="1:31">
      <c r="A110">
        <v>108</v>
      </c>
      <c r="B110" t="s">
        <v>135</v>
      </c>
      <c r="C110">
        <v>1</v>
      </c>
      <c r="D110" t="s">
        <v>36</v>
      </c>
      <c r="F110" s="3">
        <v>16</v>
      </c>
      <c r="G110" s="4">
        <v>7</v>
      </c>
      <c r="H110" s="3">
        <v>3</v>
      </c>
      <c r="I110" s="9">
        <v>26</v>
      </c>
      <c r="R110" s="13">
        <v>1</v>
      </c>
      <c r="AC110" s="13">
        <v>1</v>
      </c>
    </row>
    <row r="111" spans="1:31">
      <c r="A111">
        <v>109</v>
      </c>
      <c r="B111" t="s">
        <v>136</v>
      </c>
      <c r="C111">
        <v>1</v>
      </c>
      <c r="D111" t="s">
        <v>15</v>
      </c>
      <c r="F111" s="3">
        <v>12</v>
      </c>
      <c r="G111" s="4">
        <v>5</v>
      </c>
      <c r="H111" s="3">
        <v>3.5</v>
      </c>
      <c r="I111" s="9">
        <v>20.5</v>
      </c>
      <c r="P111" s="13">
        <v>1</v>
      </c>
      <c r="Q111" s="13">
        <v>1</v>
      </c>
      <c r="X111" s="13">
        <v>1</v>
      </c>
    </row>
    <row r="112" spans="1:31" customFormat="1">
      <c r="A112">
        <v>110</v>
      </c>
      <c r="B112" t="s">
        <v>137</v>
      </c>
      <c r="C112">
        <v>2</v>
      </c>
      <c r="D112" t="s">
        <v>15</v>
      </c>
      <c r="F112" s="3">
        <v>17</v>
      </c>
      <c r="G112" s="4">
        <v>8</v>
      </c>
      <c r="H112" s="3">
        <v>6</v>
      </c>
      <c r="I112" s="9">
        <v>31</v>
      </c>
      <c r="J112" s="13"/>
      <c r="K112" s="13"/>
      <c r="L112" s="13"/>
      <c r="M112" s="13"/>
      <c r="N112" s="13"/>
      <c r="O112" s="13"/>
      <c r="P112" s="13"/>
      <c r="Q112" s="13"/>
      <c r="R112" s="13"/>
      <c r="S112" s="13"/>
      <c r="T112" s="13"/>
      <c r="U112" s="13"/>
      <c r="V112" s="13"/>
      <c r="W112" s="13"/>
      <c r="X112" s="13"/>
      <c r="Y112" s="13"/>
      <c r="Z112" s="13"/>
      <c r="AA112" s="13"/>
      <c r="AB112" s="13"/>
      <c r="AC112" s="13"/>
      <c r="AD112" s="13"/>
      <c r="AE112" s="13"/>
    </row>
    <row r="113" spans="1:31">
      <c r="A113">
        <v>111</v>
      </c>
      <c r="B113" t="s">
        <v>138</v>
      </c>
      <c r="C113">
        <v>1</v>
      </c>
      <c r="D113" t="s">
        <v>49</v>
      </c>
      <c r="E113" t="s">
        <v>98</v>
      </c>
      <c r="F113" s="3">
        <v>13.666666666666666</v>
      </c>
      <c r="G113" s="4">
        <v>5</v>
      </c>
      <c r="H113" s="3">
        <v>2.5</v>
      </c>
      <c r="I113" s="9">
        <v>21.166666666666664</v>
      </c>
      <c r="AE113" s="13" t="s">
        <v>819</v>
      </c>
    </row>
    <row r="114" spans="1:31" customFormat="1">
      <c r="A114">
        <v>112</v>
      </c>
      <c r="B114" t="s">
        <v>139</v>
      </c>
      <c r="C114">
        <v>2</v>
      </c>
      <c r="D114" t="s">
        <v>49</v>
      </c>
      <c r="E114" t="s">
        <v>98</v>
      </c>
      <c r="F114" s="3">
        <v>18</v>
      </c>
      <c r="G114" s="4">
        <v>8</v>
      </c>
      <c r="H114" s="3">
        <v>4</v>
      </c>
      <c r="I114" s="9">
        <v>30</v>
      </c>
      <c r="J114" s="13"/>
      <c r="K114" s="13"/>
      <c r="L114" s="13"/>
      <c r="M114" s="13"/>
      <c r="N114" s="13"/>
      <c r="O114" s="13"/>
      <c r="P114" s="13"/>
      <c r="Q114" s="13"/>
      <c r="R114" s="13"/>
      <c r="S114" s="13"/>
      <c r="T114" s="13"/>
      <c r="U114" s="13"/>
      <c r="V114" s="13"/>
      <c r="W114" s="13"/>
      <c r="X114" s="13"/>
      <c r="Y114" s="13"/>
      <c r="Z114" s="13"/>
      <c r="AA114" s="13"/>
      <c r="AB114" s="13"/>
      <c r="AC114" s="13"/>
      <c r="AD114" s="13"/>
      <c r="AE114" s="13"/>
    </row>
    <row r="115" spans="1:31">
      <c r="A115">
        <v>113</v>
      </c>
      <c r="B115" t="s">
        <v>140</v>
      </c>
      <c r="C115">
        <v>1</v>
      </c>
      <c r="D115" t="s">
        <v>36</v>
      </c>
      <c r="F115" s="3">
        <v>24</v>
      </c>
      <c r="G115" s="4">
        <v>1</v>
      </c>
      <c r="H115" s="3">
        <v>5</v>
      </c>
      <c r="I115" s="9">
        <v>30</v>
      </c>
      <c r="AE115" s="13" t="s">
        <v>819</v>
      </c>
    </row>
    <row r="116" spans="1:31">
      <c r="A116">
        <v>114</v>
      </c>
      <c r="B116" t="s">
        <v>141</v>
      </c>
      <c r="C116">
        <v>1</v>
      </c>
      <c r="D116" t="s">
        <v>14</v>
      </c>
      <c r="F116" s="3">
        <v>14.666666666666666</v>
      </c>
      <c r="G116" s="4">
        <v>5</v>
      </c>
      <c r="H116" s="3">
        <v>6</v>
      </c>
      <c r="I116" s="9">
        <v>25.666666666666664</v>
      </c>
      <c r="U116" s="13">
        <v>1</v>
      </c>
      <c r="W116" s="13">
        <v>1</v>
      </c>
      <c r="AA116" s="13">
        <v>1</v>
      </c>
    </row>
    <row r="117" spans="1:31">
      <c r="A117">
        <v>115</v>
      </c>
      <c r="B117" t="s">
        <v>142</v>
      </c>
      <c r="C117">
        <v>1</v>
      </c>
      <c r="D117" t="s">
        <v>36</v>
      </c>
      <c r="F117" s="3">
        <v>17.666666666666668</v>
      </c>
      <c r="G117" s="4">
        <v>11</v>
      </c>
      <c r="H117" s="3">
        <v>9</v>
      </c>
      <c r="I117" s="9">
        <v>37.666666666666671</v>
      </c>
      <c r="AE117" s="13" t="s">
        <v>819</v>
      </c>
    </row>
    <row r="118" spans="1:31">
      <c r="A118">
        <v>116</v>
      </c>
      <c r="B118" t="s">
        <v>143</v>
      </c>
      <c r="C118">
        <v>1</v>
      </c>
      <c r="D118" t="s">
        <v>25</v>
      </c>
      <c r="F118" s="3">
        <v>8.3333333333333339</v>
      </c>
      <c r="G118" s="4">
        <v>4</v>
      </c>
      <c r="H118" s="3">
        <v>6</v>
      </c>
      <c r="I118" s="9">
        <v>18.333333333333336</v>
      </c>
      <c r="T118" s="13">
        <v>1</v>
      </c>
      <c r="U118" s="13">
        <v>1</v>
      </c>
      <c r="Y118" s="13">
        <v>1</v>
      </c>
      <c r="Z118" s="13">
        <v>1</v>
      </c>
    </row>
    <row r="119" spans="1:31" customFormat="1">
      <c r="A119">
        <v>117</v>
      </c>
      <c r="B119" t="s">
        <v>144</v>
      </c>
      <c r="C119">
        <v>2</v>
      </c>
      <c r="D119" t="s">
        <v>25</v>
      </c>
      <c r="F119" s="3">
        <v>13</v>
      </c>
      <c r="G119" s="4">
        <v>7</v>
      </c>
      <c r="H119" s="3">
        <v>8.5</v>
      </c>
      <c r="I119" s="9">
        <v>28.5</v>
      </c>
      <c r="J119" s="13"/>
      <c r="K119" s="13"/>
      <c r="L119" s="13"/>
      <c r="M119" s="13"/>
      <c r="N119" s="13"/>
      <c r="O119" s="13"/>
      <c r="P119" s="13"/>
      <c r="Q119" s="13"/>
      <c r="R119" s="13"/>
      <c r="S119" s="13"/>
      <c r="T119" s="13"/>
      <c r="U119" s="13"/>
      <c r="V119" s="13"/>
      <c r="W119" s="13"/>
      <c r="X119" s="13"/>
      <c r="Y119" s="13"/>
      <c r="Z119" s="13"/>
      <c r="AA119" s="13"/>
      <c r="AB119" s="13"/>
      <c r="AC119" s="13"/>
      <c r="AD119" s="13"/>
      <c r="AE119" s="13"/>
    </row>
    <row r="120" spans="1:31">
      <c r="A120">
        <v>118</v>
      </c>
      <c r="B120" t="s">
        <v>145</v>
      </c>
      <c r="C120">
        <v>1</v>
      </c>
      <c r="D120" t="s">
        <v>25</v>
      </c>
      <c r="F120" s="3">
        <v>10.333333333333334</v>
      </c>
      <c r="G120" s="4">
        <v>3</v>
      </c>
      <c r="H120" s="3">
        <v>6.3</v>
      </c>
      <c r="I120" s="9">
        <v>19.633333333333333</v>
      </c>
      <c r="O120" s="13">
        <v>1</v>
      </c>
      <c r="T120" s="13">
        <v>1</v>
      </c>
      <c r="U120" s="13">
        <v>1</v>
      </c>
      <c r="AD120" s="13">
        <v>1</v>
      </c>
    </row>
    <row r="121" spans="1:31" customFormat="1">
      <c r="A121">
        <v>119</v>
      </c>
      <c r="B121" t="s">
        <v>146</v>
      </c>
      <c r="C121">
        <v>2</v>
      </c>
      <c r="D121" t="s">
        <v>25</v>
      </c>
      <c r="F121" s="3">
        <v>15</v>
      </c>
      <c r="G121" s="4">
        <v>6</v>
      </c>
      <c r="H121" s="3">
        <v>6.8</v>
      </c>
      <c r="I121" s="9">
        <v>27.8</v>
      </c>
      <c r="J121" s="13"/>
      <c r="K121" s="13"/>
      <c r="L121" s="13"/>
      <c r="M121" s="13"/>
      <c r="N121" s="13"/>
      <c r="O121" s="13"/>
      <c r="P121" s="13"/>
      <c r="Q121" s="13"/>
      <c r="R121" s="13"/>
      <c r="S121" s="13"/>
      <c r="T121" s="13"/>
      <c r="U121" s="13"/>
      <c r="V121" s="13"/>
      <c r="W121" s="13"/>
      <c r="X121" s="13"/>
      <c r="Y121" s="13">
        <v>1</v>
      </c>
      <c r="Z121" s="13"/>
      <c r="AA121" s="13"/>
      <c r="AB121" s="13"/>
      <c r="AC121" s="13"/>
      <c r="AD121" s="13"/>
      <c r="AE121" s="13"/>
    </row>
    <row r="122" spans="1:31">
      <c r="A122">
        <v>120</v>
      </c>
      <c r="B122" t="s">
        <v>147</v>
      </c>
      <c r="C122">
        <v>1</v>
      </c>
      <c r="D122" t="s">
        <v>25</v>
      </c>
      <c r="F122" s="3">
        <v>9.3333333333333339</v>
      </c>
      <c r="G122" s="4">
        <v>5</v>
      </c>
      <c r="H122" s="3">
        <v>8.5</v>
      </c>
      <c r="I122" s="9">
        <v>22.833333333333336</v>
      </c>
      <c r="T122" s="13">
        <v>1</v>
      </c>
      <c r="Y122" s="13">
        <v>1</v>
      </c>
      <c r="Z122" s="13">
        <v>1</v>
      </c>
    </row>
    <row r="123" spans="1:31" customFormat="1">
      <c r="A123">
        <v>121</v>
      </c>
      <c r="B123" t="s">
        <v>148</v>
      </c>
      <c r="C123">
        <v>2</v>
      </c>
      <c r="D123" t="s">
        <v>25</v>
      </c>
      <c r="E123" t="s">
        <v>86</v>
      </c>
      <c r="F123" s="3">
        <v>15.333333333333334</v>
      </c>
      <c r="G123" s="4">
        <v>9</v>
      </c>
      <c r="H123" s="3">
        <v>11.5</v>
      </c>
      <c r="I123" s="9">
        <v>35.833333333333336</v>
      </c>
      <c r="J123" s="13"/>
      <c r="K123" s="13"/>
      <c r="L123" s="13"/>
      <c r="M123" s="13"/>
      <c r="N123" s="13"/>
      <c r="O123" s="13"/>
      <c r="P123" s="13"/>
      <c r="Q123" s="13"/>
      <c r="R123" s="13"/>
      <c r="S123" s="13"/>
      <c r="T123" s="13"/>
      <c r="U123" s="13"/>
      <c r="V123" s="13"/>
      <c r="W123" s="13"/>
      <c r="X123" s="13"/>
      <c r="Y123" s="13"/>
      <c r="Z123" s="13"/>
      <c r="AA123" s="13"/>
      <c r="AB123" s="13"/>
      <c r="AC123" s="13"/>
      <c r="AD123" s="13"/>
      <c r="AE123" s="13"/>
    </row>
    <row r="124" spans="1:31">
      <c r="A124">
        <v>122</v>
      </c>
      <c r="B124" t="s">
        <v>149</v>
      </c>
      <c r="C124">
        <v>1</v>
      </c>
      <c r="D124" t="s">
        <v>86</v>
      </c>
      <c r="E124" t="s">
        <v>56</v>
      </c>
      <c r="F124" s="3">
        <v>15</v>
      </c>
      <c r="G124" s="4">
        <v>6</v>
      </c>
      <c r="H124" s="3">
        <v>9</v>
      </c>
      <c r="I124" s="9">
        <v>30</v>
      </c>
      <c r="AE124" s="13" t="s">
        <v>825</v>
      </c>
    </row>
    <row r="125" spans="1:31">
      <c r="A125">
        <v>123</v>
      </c>
      <c r="B125" t="s">
        <v>150</v>
      </c>
      <c r="C125">
        <v>1</v>
      </c>
      <c r="D125" t="s">
        <v>29</v>
      </c>
      <c r="E125" t="s">
        <v>22</v>
      </c>
      <c r="F125" s="3">
        <v>15.333333333333334</v>
      </c>
      <c r="G125" s="4">
        <v>8</v>
      </c>
      <c r="H125" s="3">
        <v>10.5</v>
      </c>
      <c r="I125" s="9">
        <v>33.833333333333336</v>
      </c>
      <c r="AE125" s="13" t="s">
        <v>819</v>
      </c>
    </row>
    <row r="126" spans="1:31">
      <c r="A126">
        <v>75</v>
      </c>
      <c r="B126" t="s">
        <v>99</v>
      </c>
      <c r="C126">
        <v>2</v>
      </c>
      <c r="D126" t="s">
        <v>98</v>
      </c>
      <c r="E126" t="s">
        <v>49</v>
      </c>
      <c r="F126" s="3">
        <v>14.333333333333334</v>
      </c>
      <c r="G126" s="4">
        <v>4</v>
      </c>
      <c r="H126" s="3">
        <v>3.5</v>
      </c>
      <c r="I126" s="9">
        <v>21.833333333333336</v>
      </c>
      <c r="AE126" s="13" t="s">
        <v>828</v>
      </c>
    </row>
    <row r="127" spans="1:31">
      <c r="A127">
        <v>125</v>
      </c>
      <c r="B127" t="s">
        <v>152</v>
      </c>
      <c r="C127">
        <v>1</v>
      </c>
      <c r="D127" t="s">
        <v>46</v>
      </c>
      <c r="F127" s="3">
        <v>13.8</v>
      </c>
      <c r="G127" s="4">
        <v>8</v>
      </c>
      <c r="H127" s="3">
        <v>10.5</v>
      </c>
      <c r="I127" s="9">
        <v>32.299999999999997</v>
      </c>
      <c r="R127" s="13">
        <v>1</v>
      </c>
    </row>
    <row r="128" spans="1:31">
      <c r="A128">
        <v>126</v>
      </c>
      <c r="B128" t="s">
        <v>153</v>
      </c>
      <c r="C128">
        <v>1</v>
      </c>
      <c r="D128" t="s">
        <v>19</v>
      </c>
      <c r="F128" s="3">
        <v>13.8</v>
      </c>
      <c r="G128" s="4">
        <v>9</v>
      </c>
      <c r="H128" s="3">
        <v>9.3000000000000007</v>
      </c>
      <c r="I128" s="9">
        <v>32.1</v>
      </c>
      <c r="AC128" s="13">
        <v>1</v>
      </c>
    </row>
    <row r="129" spans="1:31">
      <c r="A129">
        <v>127</v>
      </c>
      <c r="B129" t="s">
        <v>154</v>
      </c>
      <c r="C129">
        <v>1</v>
      </c>
      <c r="D129" t="s">
        <v>29</v>
      </c>
      <c r="F129" s="3">
        <v>15.666666666666666</v>
      </c>
      <c r="G129" s="4">
        <v>7</v>
      </c>
      <c r="H129" s="3">
        <v>8.5</v>
      </c>
      <c r="I129" s="9">
        <v>31.166666666666664</v>
      </c>
      <c r="AE129" s="13" t="s">
        <v>819</v>
      </c>
    </row>
    <row r="130" spans="1:31">
      <c r="A130">
        <v>128</v>
      </c>
      <c r="B130" t="s">
        <v>155</v>
      </c>
      <c r="C130">
        <v>1</v>
      </c>
      <c r="D130" t="s">
        <v>36</v>
      </c>
      <c r="F130" s="3">
        <v>16</v>
      </c>
      <c r="G130" s="4">
        <v>6</v>
      </c>
      <c r="H130" s="3">
        <v>11</v>
      </c>
      <c r="I130" s="9">
        <v>33</v>
      </c>
      <c r="AE130" s="13" t="s">
        <v>819</v>
      </c>
    </row>
    <row r="131" spans="1:31">
      <c r="A131">
        <v>129</v>
      </c>
      <c r="B131" t="s">
        <v>156</v>
      </c>
      <c r="C131">
        <v>1</v>
      </c>
      <c r="D131" t="s">
        <v>25</v>
      </c>
      <c r="F131" s="3">
        <v>6.333333333333333</v>
      </c>
      <c r="G131" s="4">
        <v>1</v>
      </c>
      <c r="H131" s="3">
        <v>8</v>
      </c>
      <c r="I131" s="9">
        <v>15.333333333333332</v>
      </c>
      <c r="T131" s="13">
        <v>1</v>
      </c>
      <c r="U131" s="13">
        <v>1</v>
      </c>
      <c r="Z131" s="13">
        <v>1</v>
      </c>
      <c r="AA131" s="13">
        <v>1</v>
      </c>
    </row>
    <row r="132" spans="1:31" customFormat="1">
      <c r="A132">
        <v>130</v>
      </c>
      <c r="B132" t="s">
        <v>157</v>
      </c>
      <c r="C132">
        <v>2</v>
      </c>
      <c r="D132" t="s">
        <v>25</v>
      </c>
      <c r="E132" t="s">
        <v>22</v>
      </c>
      <c r="F132" s="3">
        <v>18.266666666666666</v>
      </c>
      <c r="G132" s="4">
        <v>10</v>
      </c>
      <c r="H132" s="3">
        <v>8.1</v>
      </c>
      <c r="I132" s="9">
        <v>36.366666666666667</v>
      </c>
      <c r="J132" s="13"/>
      <c r="K132" s="13"/>
      <c r="L132" s="13"/>
      <c r="M132" s="13"/>
      <c r="N132" s="13"/>
      <c r="O132" s="13"/>
      <c r="P132" s="13"/>
      <c r="Q132" s="13"/>
      <c r="R132" s="13"/>
      <c r="S132" s="13"/>
      <c r="T132" s="13"/>
      <c r="U132" s="13"/>
      <c r="V132" s="13"/>
      <c r="W132" s="13"/>
      <c r="X132" s="13"/>
      <c r="Y132" s="13"/>
      <c r="Z132" s="13"/>
      <c r="AA132" s="13"/>
      <c r="AB132" s="13"/>
      <c r="AC132" s="13"/>
      <c r="AD132" s="13"/>
      <c r="AE132" s="13"/>
    </row>
    <row r="133" spans="1:31">
      <c r="A133">
        <v>86</v>
      </c>
      <c r="B133" t="s">
        <v>111</v>
      </c>
      <c r="C133">
        <v>1</v>
      </c>
      <c r="D133" t="s">
        <v>25</v>
      </c>
      <c r="F133" s="3">
        <v>12.666666666666666</v>
      </c>
      <c r="G133" s="4">
        <v>6</v>
      </c>
      <c r="H133" s="3">
        <v>4.5</v>
      </c>
      <c r="I133" s="9">
        <v>23.166666666666664</v>
      </c>
      <c r="Y133" s="13">
        <v>1</v>
      </c>
      <c r="Z133" s="13">
        <v>1</v>
      </c>
      <c r="AE133" s="13" t="s">
        <v>878</v>
      </c>
    </row>
    <row r="134" spans="1:31">
      <c r="A134">
        <v>132</v>
      </c>
      <c r="B134" t="s">
        <v>160</v>
      </c>
      <c r="C134">
        <v>1</v>
      </c>
      <c r="D134" t="s">
        <v>36</v>
      </c>
      <c r="F134" s="3">
        <v>9.6</v>
      </c>
      <c r="G134" s="4">
        <v>1</v>
      </c>
      <c r="H134" s="3">
        <v>4.8</v>
      </c>
      <c r="I134" s="9">
        <v>15.399999999999999</v>
      </c>
      <c r="W134" s="13">
        <v>1</v>
      </c>
    </row>
    <row r="135" spans="1:31">
      <c r="A135">
        <v>133</v>
      </c>
      <c r="B135" t="s">
        <v>161</v>
      </c>
      <c r="C135">
        <v>1</v>
      </c>
      <c r="D135" t="s">
        <v>36</v>
      </c>
      <c r="F135" s="3">
        <v>11.333333333333334</v>
      </c>
      <c r="G135" s="4">
        <v>4</v>
      </c>
      <c r="H135" s="3">
        <v>5.5</v>
      </c>
      <c r="I135" s="9">
        <v>20.833333333333336</v>
      </c>
      <c r="AE135" s="13" t="s">
        <v>826</v>
      </c>
    </row>
    <row r="136" spans="1:31" customFormat="1">
      <c r="A136">
        <v>134</v>
      </c>
      <c r="B136" t="s">
        <v>162</v>
      </c>
      <c r="C136">
        <v>2</v>
      </c>
      <c r="D136" t="s">
        <v>25</v>
      </c>
      <c r="F136" s="3">
        <v>19</v>
      </c>
      <c r="G136" s="4">
        <v>8</v>
      </c>
      <c r="H136" s="3">
        <v>6.5</v>
      </c>
      <c r="I136" s="9">
        <v>33.5</v>
      </c>
      <c r="J136" s="13"/>
      <c r="K136" s="13"/>
      <c r="L136" s="13"/>
      <c r="M136" s="13"/>
      <c r="N136" s="13"/>
      <c r="O136" s="13"/>
      <c r="P136" s="13"/>
      <c r="Q136" s="13"/>
      <c r="R136" s="13"/>
      <c r="S136" s="13"/>
      <c r="T136" s="13"/>
      <c r="U136" s="13"/>
      <c r="V136" s="13"/>
      <c r="W136" s="13"/>
      <c r="X136" s="13"/>
      <c r="Y136" s="13"/>
      <c r="Z136" s="13"/>
      <c r="AA136" s="13"/>
      <c r="AB136" s="13"/>
      <c r="AC136" s="13"/>
      <c r="AD136" s="13"/>
      <c r="AE136" s="13"/>
    </row>
    <row r="137" spans="1:31" customFormat="1">
      <c r="A137">
        <v>135</v>
      </c>
      <c r="B137" t="s">
        <v>163</v>
      </c>
      <c r="C137">
        <v>2</v>
      </c>
      <c r="D137" t="s">
        <v>46</v>
      </c>
      <c r="F137" s="3">
        <v>14.666666666666666</v>
      </c>
      <c r="G137" s="4">
        <v>9</v>
      </c>
      <c r="H137" s="3">
        <v>13</v>
      </c>
      <c r="I137" s="9">
        <v>36.666666666666664</v>
      </c>
      <c r="J137" s="13"/>
      <c r="K137" s="13"/>
      <c r="L137" s="13"/>
      <c r="M137" s="13"/>
      <c r="N137" s="13"/>
      <c r="O137" s="13"/>
      <c r="P137" s="13"/>
      <c r="Q137" s="13"/>
      <c r="R137" s="13"/>
      <c r="S137" s="13"/>
      <c r="T137" s="13"/>
      <c r="U137" s="13"/>
      <c r="V137" s="13"/>
      <c r="W137" s="13"/>
      <c r="X137" s="13"/>
      <c r="Y137" s="13"/>
      <c r="Z137" s="13"/>
      <c r="AA137" s="13"/>
      <c r="AB137" s="13"/>
      <c r="AC137" s="13"/>
      <c r="AD137" s="13"/>
      <c r="AE137" s="13"/>
    </row>
    <row r="138" spans="1:31" customFormat="1">
      <c r="A138">
        <v>136</v>
      </c>
      <c r="B138" t="s">
        <v>164</v>
      </c>
      <c r="C138">
        <v>2</v>
      </c>
      <c r="D138" t="s">
        <v>19</v>
      </c>
      <c r="F138" s="3">
        <v>15.666666666666666</v>
      </c>
      <c r="G138" s="4">
        <v>9</v>
      </c>
      <c r="H138" s="3">
        <v>6.5</v>
      </c>
      <c r="I138" s="9">
        <v>31.166666666666664</v>
      </c>
      <c r="J138" s="13"/>
      <c r="K138" s="13"/>
      <c r="L138" s="13"/>
      <c r="M138" s="13"/>
      <c r="N138" s="13"/>
      <c r="O138" s="13"/>
      <c r="P138" s="13"/>
      <c r="Q138" s="13"/>
      <c r="R138" s="13"/>
      <c r="S138" s="13"/>
      <c r="T138" s="13"/>
      <c r="U138" s="13"/>
      <c r="V138" s="13"/>
      <c r="W138" s="13"/>
      <c r="X138" s="13"/>
      <c r="Y138" s="13"/>
      <c r="Z138" s="13"/>
      <c r="AA138" s="13"/>
      <c r="AB138" s="13"/>
      <c r="AC138" s="13"/>
      <c r="AD138" s="13"/>
      <c r="AE138" s="13"/>
    </row>
    <row r="139" spans="1:31">
      <c r="A139">
        <v>137</v>
      </c>
      <c r="B139" t="s">
        <v>165</v>
      </c>
      <c r="C139">
        <v>1</v>
      </c>
      <c r="D139" t="s">
        <v>36</v>
      </c>
      <c r="F139" s="3">
        <v>14</v>
      </c>
      <c r="G139" s="4">
        <v>5</v>
      </c>
      <c r="H139" s="3">
        <v>4</v>
      </c>
      <c r="I139" s="9">
        <v>23</v>
      </c>
      <c r="AE139" s="13" t="s">
        <v>825</v>
      </c>
    </row>
    <row r="140" spans="1:31">
      <c r="A140">
        <v>138</v>
      </c>
      <c r="B140" t="s">
        <v>166</v>
      </c>
      <c r="C140">
        <v>1</v>
      </c>
      <c r="D140" t="s">
        <v>98</v>
      </c>
      <c r="E140" t="s">
        <v>25</v>
      </c>
      <c r="F140" s="3">
        <v>12.666666666666666</v>
      </c>
      <c r="G140" s="4">
        <v>5</v>
      </c>
      <c r="H140" s="3">
        <v>3.5</v>
      </c>
      <c r="I140" s="9">
        <v>21.166666666666664</v>
      </c>
      <c r="AE140" s="13" t="s">
        <v>820</v>
      </c>
    </row>
    <row r="141" spans="1:31" customFormat="1">
      <c r="A141">
        <v>139</v>
      </c>
      <c r="B141" t="s">
        <v>167</v>
      </c>
      <c r="C141">
        <v>2</v>
      </c>
      <c r="D141" t="s">
        <v>98</v>
      </c>
      <c r="E141" t="s">
        <v>25</v>
      </c>
      <c r="F141" s="3">
        <v>17.666666666666668</v>
      </c>
      <c r="G141" s="4">
        <v>8</v>
      </c>
      <c r="H141" s="3">
        <v>5.5</v>
      </c>
      <c r="I141" s="9">
        <v>31.166666666666668</v>
      </c>
      <c r="J141" s="13"/>
      <c r="K141" s="13"/>
      <c r="L141" s="13"/>
      <c r="M141" s="13"/>
      <c r="N141" s="13"/>
      <c r="O141" s="13"/>
      <c r="P141" s="13"/>
      <c r="Q141" s="13"/>
      <c r="R141" s="13"/>
      <c r="S141" s="13"/>
      <c r="T141" s="13"/>
      <c r="U141" s="13"/>
      <c r="V141" s="13"/>
      <c r="W141" s="13"/>
      <c r="X141" s="13"/>
      <c r="Y141" s="13"/>
      <c r="Z141" s="13"/>
      <c r="AA141" s="13"/>
      <c r="AB141" s="13"/>
      <c r="AC141" s="13"/>
      <c r="AD141" s="13"/>
      <c r="AE141" s="13"/>
    </row>
    <row r="142" spans="1:31">
      <c r="A142">
        <v>140</v>
      </c>
      <c r="B142" t="s">
        <v>168</v>
      </c>
      <c r="C142">
        <v>1</v>
      </c>
      <c r="D142" t="s">
        <v>98</v>
      </c>
      <c r="E142" t="s">
        <v>25</v>
      </c>
      <c r="F142" s="3">
        <v>11</v>
      </c>
      <c r="G142" s="4">
        <v>5</v>
      </c>
      <c r="H142" s="3">
        <v>5.5</v>
      </c>
      <c r="I142" s="9">
        <v>21.5</v>
      </c>
      <c r="AE142" s="13" t="s">
        <v>821</v>
      </c>
    </row>
    <row r="143" spans="1:31" customFormat="1">
      <c r="A143">
        <v>141</v>
      </c>
      <c r="B143" t="s">
        <v>169</v>
      </c>
      <c r="C143">
        <v>2</v>
      </c>
      <c r="D143" t="s">
        <v>98</v>
      </c>
      <c r="E143" t="s">
        <v>25</v>
      </c>
      <c r="F143" s="3">
        <v>15.666666666666666</v>
      </c>
      <c r="G143" s="4">
        <v>11</v>
      </c>
      <c r="H143" s="3">
        <v>8</v>
      </c>
      <c r="I143" s="9">
        <v>34.666666666666664</v>
      </c>
      <c r="J143" s="13"/>
      <c r="K143" s="13"/>
      <c r="L143" s="13"/>
      <c r="M143" s="13"/>
      <c r="N143" s="13"/>
      <c r="O143" s="13"/>
      <c r="P143" s="13"/>
      <c r="Q143" s="13"/>
      <c r="R143" s="13"/>
      <c r="S143" s="13"/>
      <c r="T143" s="13"/>
      <c r="U143" s="13"/>
      <c r="V143" s="13"/>
      <c r="W143" s="13"/>
      <c r="X143" s="13"/>
      <c r="Y143" s="13"/>
      <c r="Z143" s="13"/>
      <c r="AA143" s="13"/>
      <c r="AB143" s="13"/>
      <c r="AC143" s="13"/>
      <c r="AD143" s="13"/>
      <c r="AE143" s="13"/>
    </row>
    <row r="144" spans="1:31">
      <c r="A144">
        <v>142</v>
      </c>
      <c r="B144" t="s">
        <v>170</v>
      </c>
      <c r="C144">
        <v>1</v>
      </c>
      <c r="D144" t="s">
        <v>98</v>
      </c>
      <c r="E144" t="s">
        <v>22</v>
      </c>
      <c r="F144" s="3">
        <v>14.666666666666666</v>
      </c>
      <c r="G144" s="4">
        <v>8</v>
      </c>
      <c r="H144" s="3">
        <v>13</v>
      </c>
      <c r="I144" s="9">
        <v>35.666666666666664</v>
      </c>
      <c r="AE144" s="13" t="s">
        <v>822</v>
      </c>
    </row>
    <row r="145" spans="1:31">
      <c r="A145">
        <v>143</v>
      </c>
      <c r="B145" t="s">
        <v>171</v>
      </c>
      <c r="C145">
        <v>1</v>
      </c>
      <c r="D145" t="s">
        <v>36</v>
      </c>
      <c r="F145" s="3">
        <v>22.333333333333332</v>
      </c>
      <c r="G145" s="4">
        <v>10</v>
      </c>
      <c r="H145" s="3">
        <v>3</v>
      </c>
      <c r="I145" s="9">
        <v>35.333333333333329</v>
      </c>
      <c r="AE145" s="13" t="s">
        <v>823</v>
      </c>
    </row>
    <row r="146" spans="1:31">
      <c r="A146">
        <v>87</v>
      </c>
      <c r="B146" t="s">
        <v>112</v>
      </c>
      <c r="C146">
        <v>2</v>
      </c>
      <c r="D146" t="s">
        <v>25</v>
      </c>
      <c r="E146" t="s">
        <v>113</v>
      </c>
      <c r="F146" s="3">
        <v>17.666666666666668</v>
      </c>
      <c r="G146" s="4">
        <v>9</v>
      </c>
      <c r="H146" s="3">
        <v>7</v>
      </c>
      <c r="I146" s="9">
        <v>33.666666666666671</v>
      </c>
      <c r="AE146" s="13" t="s">
        <v>878</v>
      </c>
    </row>
    <row r="147" spans="1:31">
      <c r="A147">
        <v>90</v>
      </c>
      <c r="B147" t="s">
        <v>116</v>
      </c>
      <c r="C147">
        <v>1</v>
      </c>
      <c r="D147" t="s">
        <v>25</v>
      </c>
      <c r="F147" s="3">
        <v>10.333333333333334</v>
      </c>
      <c r="G147" s="4">
        <v>4</v>
      </c>
      <c r="H147" s="3">
        <v>4</v>
      </c>
      <c r="I147" s="9">
        <v>18.333333333333336</v>
      </c>
      <c r="U147" s="13">
        <v>1</v>
      </c>
      <c r="X147" s="13">
        <v>1</v>
      </c>
      <c r="Y147" s="13">
        <v>1</v>
      </c>
      <c r="Z147" s="13">
        <v>1</v>
      </c>
      <c r="AE147" s="13" t="s">
        <v>878</v>
      </c>
    </row>
    <row r="148" spans="1:31">
      <c r="A148">
        <v>98</v>
      </c>
      <c r="B148" t="s">
        <v>125</v>
      </c>
      <c r="C148">
        <v>1</v>
      </c>
      <c r="D148" t="s">
        <v>25</v>
      </c>
      <c r="F148" s="3">
        <v>9.6666666666666661</v>
      </c>
      <c r="G148" s="4">
        <v>5</v>
      </c>
      <c r="H148" s="3">
        <v>5</v>
      </c>
      <c r="I148" s="9">
        <v>19.666666666666664</v>
      </c>
      <c r="T148" s="13">
        <v>1</v>
      </c>
      <c r="Y148" s="13">
        <v>1</v>
      </c>
      <c r="AA148" s="13">
        <v>1</v>
      </c>
      <c r="AE148" s="13" t="s">
        <v>878</v>
      </c>
    </row>
    <row r="149" spans="1:31">
      <c r="A149">
        <v>147</v>
      </c>
      <c r="B149" t="s">
        <v>175</v>
      </c>
      <c r="C149">
        <v>1</v>
      </c>
      <c r="D149" t="s">
        <v>23</v>
      </c>
      <c r="F149" s="3">
        <v>9.0666666666666664</v>
      </c>
      <c r="G149" s="4">
        <v>5</v>
      </c>
      <c r="H149" s="3">
        <v>5</v>
      </c>
      <c r="I149" s="9">
        <v>19.066666666666666</v>
      </c>
      <c r="AE149" s="13" t="s">
        <v>819</v>
      </c>
    </row>
    <row r="150" spans="1:31" customFormat="1">
      <c r="A150">
        <v>148</v>
      </c>
      <c r="B150" t="s">
        <v>176</v>
      </c>
      <c r="C150">
        <v>2</v>
      </c>
      <c r="D150" t="s">
        <v>23</v>
      </c>
      <c r="F150" s="3">
        <v>13.066666666666666</v>
      </c>
      <c r="G150" s="4">
        <v>7</v>
      </c>
      <c r="H150" s="3">
        <v>7</v>
      </c>
      <c r="I150" s="9">
        <v>27.066666666666666</v>
      </c>
      <c r="J150" s="13"/>
      <c r="K150" s="13"/>
      <c r="L150" s="13"/>
      <c r="M150" s="13"/>
      <c r="N150" s="13"/>
      <c r="O150" s="13"/>
      <c r="P150" s="13"/>
      <c r="Q150" s="13"/>
      <c r="R150" s="13"/>
      <c r="S150" s="13"/>
      <c r="T150" s="13"/>
      <c r="U150" s="13"/>
      <c r="V150" s="13"/>
      <c r="W150" s="13"/>
      <c r="X150" s="13"/>
      <c r="Y150" s="13"/>
      <c r="Z150" s="13"/>
      <c r="AA150" s="13"/>
      <c r="AB150" s="13"/>
      <c r="AC150" s="13"/>
      <c r="AD150" s="13"/>
      <c r="AE150" s="13"/>
    </row>
    <row r="151" spans="1:31">
      <c r="A151">
        <v>149</v>
      </c>
      <c r="B151" t="s">
        <v>177</v>
      </c>
      <c r="C151">
        <v>3</v>
      </c>
      <c r="D151" t="s">
        <v>23</v>
      </c>
      <c r="E151" t="s">
        <v>22</v>
      </c>
      <c r="F151" s="3">
        <v>19.066666666666666</v>
      </c>
      <c r="G151" s="4">
        <v>10</v>
      </c>
      <c r="H151" s="3">
        <v>8</v>
      </c>
      <c r="I151" s="9">
        <v>37.066666666666663</v>
      </c>
    </row>
    <row r="152" spans="1:31">
      <c r="A152">
        <v>124</v>
      </c>
      <c r="B152" t="s">
        <v>151</v>
      </c>
      <c r="C152">
        <v>1</v>
      </c>
      <c r="D152" t="s">
        <v>113</v>
      </c>
      <c r="E152" t="s">
        <v>86</v>
      </c>
      <c r="F152" s="3">
        <v>13</v>
      </c>
      <c r="G152" s="4">
        <v>7</v>
      </c>
      <c r="H152" s="3">
        <v>9.5</v>
      </c>
      <c r="I152" s="9">
        <v>29.5</v>
      </c>
      <c r="Z152" s="13">
        <v>1</v>
      </c>
      <c r="AE152" s="13" t="s">
        <v>878</v>
      </c>
    </row>
    <row r="153" spans="1:31">
      <c r="A153">
        <v>131</v>
      </c>
      <c r="B153" t="s">
        <v>159</v>
      </c>
      <c r="C153">
        <v>1</v>
      </c>
      <c r="D153" t="s">
        <v>25</v>
      </c>
      <c r="E153" t="s">
        <v>113</v>
      </c>
      <c r="F153" s="3">
        <v>20.333333333333332</v>
      </c>
      <c r="G153" s="4">
        <v>8</v>
      </c>
      <c r="H153" s="3">
        <v>6</v>
      </c>
      <c r="I153" s="9">
        <v>34.333333333333329</v>
      </c>
      <c r="AE153" s="13" t="s">
        <v>878</v>
      </c>
    </row>
  </sheetData>
  <autoFilter ref="A2:AE153" xr:uid="{00000000-0009-0000-0000-000007000000}">
    <sortState xmlns:xlrd2="http://schemas.microsoft.com/office/spreadsheetml/2017/richdata2" ref="A37:AE97">
      <sortCondition ref="A2:A153"/>
    </sortState>
  </autoFilter>
  <dataConsolidate/>
  <mergeCells count="4">
    <mergeCell ref="A1:C1"/>
    <mergeCell ref="F1:I1"/>
    <mergeCell ref="J1:AD1"/>
    <mergeCell ref="AF1:AG1"/>
  </mergeCells>
  <conditionalFormatting sqref="F3:F153">
    <cfRule type="colorScale" priority="4">
      <colorScale>
        <cfvo type="min"/>
        <cfvo type="percentile" val="50"/>
        <cfvo type="max"/>
        <color rgb="FFF8696B"/>
        <color rgb="FFFFEB84"/>
        <color rgb="FF63BE7B"/>
      </colorScale>
    </cfRule>
  </conditionalFormatting>
  <conditionalFormatting sqref="G3:G153">
    <cfRule type="colorScale" priority="3">
      <colorScale>
        <cfvo type="min"/>
        <cfvo type="percentile" val="50"/>
        <cfvo type="max"/>
        <color rgb="FFF8696B"/>
        <color rgb="FFFFEB84"/>
        <color rgb="FF63BE7B"/>
      </colorScale>
    </cfRule>
  </conditionalFormatting>
  <conditionalFormatting sqref="H3:H153">
    <cfRule type="colorScale" priority="2">
      <colorScale>
        <cfvo type="min"/>
        <cfvo type="percentile" val="50"/>
        <cfvo type="max"/>
        <color rgb="FFF8696B"/>
        <color rgb="FFFFEB84"/>
        <color rgb="FF63BE7B"/>
      </colorScale>
    </cfRule>
  </conditionalFormatting>
  <conditionalFormatting sqref="I3:I15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7"/>
  </sheetPr>
  <dimension ref="B1:L179"/>
  <sheetViews>
    <sheetView zoomScale="167" zoomScaleNormal="80" workbookViewId="0">
      <selection activeCell="H14" sqref="H14:I14"/>
    </sheetView>
  </sheetViews>
  <sheetFormatPr baseColWidth="10" defaultColWidth="8.6640625" defaultRowHeight="15"/>
  <cols>
    <col min="2" max="3" width="15.6640625" customWidth="1"/>
    <col min="4" max="4" width="5.6640625" customWidth="1"/>
    <col min="6" max="7" width="15.6640625" customWidth="1"/>
    <col min="10" max="10" width="15.6640625" customWidth="1"/>
    <col min="11" max="11" width="61" bestFit="1" customWidth="1"/>
  </cols>
  <sheetData>
    <row r="1" spans="2:12" ht="16" thickBot="1"/>
    <row r="2" spans="2:12" ht="16" thickBot="1">
      <c r="B2" s="25" t="s">
        <v>832</v>
      </c>
      <c r="C2" s="25" t="s">
        <v>833</v>
      </c>
      <c r="F2" s="25" t="s">
        <v>893</v>
      </c>
      <c r="G2" s="25" t="s">
        <v>833</v>
      </c>
      <c r="J2" s="25" t="s">
        <v>888</v>
      </c>
      <c r="K2" s="25" t="s">
        <v>889</v>
      </c>
    </row>
    <row r="3" spans="2:12" ht="17" thickTop="1" thickBot="1">
      <c r="B3" s="26" t="s">
        <v>35</v>
      </c>
      <c r="C3" s="27" t="s">
        <v>834</v>
      </c>
      <c r="D3" s="28">
        <f>6/20</f>
        <v>0.3</v>
      </c>
      <c r="F3" s="26" t="s">
        <v>13</v>
      </c>
      <c r="G3" s="27" t="s">
        <v>885</v>
      </c>
      <c r="H3" s="29">
        <v>0.33</v>
      </c>
      <c r="J3" s="30" t="s">
        <v>166</v>
      </c>
      <c r="K3" s="27" t="s">
        <v>896</v>
      </c>
    </row>
    <row r="4" spans="2:12" ht="16" thickBot="1">
      <c r="B4" s="31" t="s">
        <v>39</v>
      </c>
      <c r="C4" s="32" t="s">
        <v>835</v>
      </c>
      <c r="D4" s="28">
        <v>0.3</v>
      </c>
      <c r="F4" s="31" t="s">
        <v>18</v>
      </c>
      <c r="G4" s="32" t="s">
        <v>886</v>
      </c>
      <c r="H4" s="29">
        <v>0.33</v>
      </c>
      <c r="J4" s="33" t="s">
        <v>168</v>
      </c>
      <c r="K4" s="32" t="s">
        <v>897</v>
      </c>
      <c r="L4" s="28"/>
    </row>
    <row r="5" spans="2:12" ht="16" thickBot="1">
      <c r="B5" s="34" t="s">
        <v>28</v>
      </c>
      <c r="C5" s="35" t="s">
        <v>836</v>
      </c>
      <c r="D5" s="28">
        <v>0.15</v>
      </c>
      <c r="F5" s="34" t="s">
        <v>24</v>
      </c>
      <c r="G5" s="35" t="s">
        <v>887</v>
      </c>
      <c r="H5" s="29">
        <v>0.33</v>
      </c>
      <c r="J5" s="35" t="s">
        <v>170</v>
      </c>
      <c r="K5" s="35" t="s">
        <v>898</v>
      </c>
      <c r="L5" s="28"/>
    </row>
    <row r="6" spans="2:12" ht="16" thickBot="1">
      <c r="B6" s="31" t="s">
        <v>32</v>
      </c>
      <c r="C6" s="33" t="s">
        <v>837</v>
      </c>
      <c r="D6" s="28">
        <v>0.15</v>
      </c>
      <c r="J6" s="33" t="s">
        <v>161</v>
      </c>
      <c r="K6" s="32" t="s">
        <v>899</v>
      </c>
      <c r="L6" s="28"/>
    </row>
    <row r="7" spans="2:12" ht="16" thickBot="1">
      <c r="B7" s="34" t="s">
        <v>82</v>
      </c>
      <c r="C7" s="35" t="s">
        <v>838</v>
      </c>
      <c r="D7" s="28">
        <v>0.1</v>
      </c>
      <c r="F7" s="25" t="s">
        <v>892</v>
      </c>
      <c r="G7" s="25" t="s">
        <v>833</v>
      </c>
      <c r="J7" s="35" t="s">
        <v>171</v>
      </c>
      <c r="K7" s="35" t="s">
        <v>1526</v>
      </c>
      <c r="L7" s="28"/>
    </row>
    <row r="8" spans="2:12" ht="17" thickTop="1" thickBot="1">
      <c r="F8" s="26" t="s">
        <v>118</v>
      </c>
      <c r="G8" s="30" t="s">
        <v>890</v>
      </c>
      <c r="H8" s="28">
        <f>8/20</f>
        <v>0.4</v>
      </c>
      <c r="J8" s="35" t="s">
        <v>172</v>
      </c>
      <c r="K8" s="27" t="s">
        <v>1527</v>
      </c>
      <c r="L8" s="28"/>
    </row>
    <row r="9" spans="2:12" ht="17" thickTop="1" thickBot="1">
      <c r="B9" s="25" t="s">
        <v>839</v>
      </c>
      <c r="C9" s="25" t="s">
        <v>833</v>
      </c>
      <c r="F9" s="31" t="s">
        <v>131</v>
      </c>
      <c r="G9" s="33" t="s">
        <v>891</v>
      </c>
      <c r="H9" s="28">
        <f>8/20</f>
        <v>0.4</v>
      </c>
      <c r="J9" s="33" t="s">
        <v>173</v>
      </c>
      <c r="K9" s="27" t="s">
        <v>1527</v>
      </c>
      <c r="L9" s="28"/>
    </row>
    <row r="10" spans="2:12" ht="17" thickTop="1" thickBot="1">
      <c r="B10" s="26" t="s">
        <v>39</v>
      </c>
      <c r="C10" s="27" t="s">
        <v>851</v>
      </c>
      <c r="D10" s="28">
        <v>0.2</v>
      </c>
      <c r="F10" s="34" t="s">
        <v>120</v>
      </c>
      <c r="G10" s="35" t="s">
        <v>848</v>
      </c>
      <c r="H10" s="28">
        <v>0.15</v>
      </c>
      <c r="J10" s="35" t="s">
        <v>174</v>
      </c>
      <c r="K10" s="27" t="s">
        <v>1527</v>
      </c>
      <c r="L10" s="28"/>
    </row>
    <row r="11" spans="2:12" ht="16" thickBot="1">
      <c r="B11" s="31" t="s">
        <v>33</v>
      </c>
      <c r="C11" s="32" t="s">
        <v>852</v>
      </c>
      <c r="D11" s="28">
        <v>0.2</v>
      </c>
      <c r="F11" s="31" t="s">
        <v>132</v>
      </c>
      <c r="G11" s="33">
        <v>20</v>
      </c>
      <c r="H11" s="28">
        <v>0.05</v>
      </c>
      <c r="J11" s="33" t="s">
        <v>178</v>
      </c>
      <c r="K11" s="32" t="s">
        <v>1437</v>
      </c>
      <c r="L11" s="28"/>
    </row>
    <row r="12" spans="2:12" ht="16" thickBot="1">
      <c r="B12" s="34" t="s">
        <v>30</v>
      </c>
      <c r="C12" s="36" t="s">
        <v>853</v>
      </c>
      <c r="D12" s="28">
        <v>0.2</v>
      </c>
      <c r="F12" s="43" t="s">
        <v>1469</v>
      </c>
      <c r="J12" s="35" t="s">
        <v>179</v>
      </c>
      <c r="K12" s="35" t="s">
        <v>1436</v>
      </c>
      <c r="L12" s="28"/>
    </row>
    <row r="13" spans="2:12" ht="16" thickBot="1">
      <c r="B13" s="31" t="s">
        <v>64</v>
      </c>
      <c r="C13" s="33" t="s">
        <v>836</v>
      </c>
      <c r="D13" s="28">
        <v>0.15</v>
      </c>
      <c r="L13" s="28"/>
    </row>
    <row r="14" spans="2:12" ht="16" thickBot="1">
      <c r="B14" s="34" t="s">
        <v>71</v>
      </c>
      <c r="C14" s="35" t="s">
        <v>849</v>
      </c>
      <c r="D14" s="28">
        <v>0.1</v>
      </c>
      <c r="F14" s="25" t="s">
        <v>790</v>
      </c>
      <c r="G14" s="25" t="s">
        <v>833</v>
      </c>
      <c r="J14" t="s">
        <v>2047</v>
      </c>
      <c r="L14" s="28"/>
    </row>
    <row r="15" spans="2:12" ht="17" thickTop="1" thickBot="1">
      <c r="B15" s="31" t="s">
        <v>45</v>
      </c>
      <c r="C15" s="33" t="s">
        <v>850</v>
      </c>
      <c r="D15" s="28">
        <v>0.1</v>
      </c>
      <c r="F15" s="26" t="s">
        <v>62</v>
      </c>
      <c r="G15" s="27" t="s">
        <v>851</v>
      </c>
      <c r="H15" s="28">
        <v>0.2</v>
      </c>
    </row>
    <row r="16" spans="2:12" ht="16" thickBot="1">
      <c r="B16" s="34" t="s">
        <v>37</v>
      </c>
      <c r="C16" s="35">
        <v>20</v>
      </c>
      <c r="D16" s="28">
        <v>0.05</v>
      </c>
      <c r="F16" s="31" t="s">
        <v>97</v>
      </c>
      <c r="G16" s="32" t="s">
        <v>852</v>
      </c>
      <c r="H16" s="28">
        <v>0.2</v>
      </c>
    </row>
    <row r="17" spans="2:8" ht="16" thickBot="1">
      <c r="F17" s="34" t="s">
        <v>67</v>
      </c>
      <c r="G17" s="36" t="s">
        <v>853</v>
      </c>
      <c r="H17" s="28">
        <v>0.2</v>
      </c>
    </row>
    <row r="18" spans="2:8" ht="16" thickBot="1">
      <c r="B18" s="25" t="s">
        <v>840</v>
      </c>
      <c r="C18" s="25" t="s">
        <v>833</v>
      </c>
      <c r="F18" s="31" t="s">
        <v>48</v>
      </c>
      <c r="G18" s="33" t="s">
        <v>836</v>
      </c>
      <c r="H18" s="28">
        <v>0.15</v>
      </c>
    </row>
    <row r="19" spans="2:8" ht="17" thickTop="1" thickBot="1">
      <c r="B19" s="26" t="s">
        <v>41</v>
      </c>
      <c r="C19" s="27" t="s">
        <v>854</v>
      </c>
      <c r="D19" s="28">
        <v>0.25</v>
      </c>
      <c r="F19" s="34" t="s">
        <v>122</v>
      </c>
      <c r="G19" s="35" t="s">
        <v>837</v>
      </c>
      <c r="H19" s="28">
        <v>0.15</v>
      </c>
    </row>
    <row r="20" spans="2:8" ht="16" thickBot="1">
      <c r="B20" s="31" t="s">
        <v>43</v>
      </c>
      <c r="C20" s="32" t="s">
        <v>855</v>
      </c>
      <c r="D20" s="28">
        <v>0.25</v>
      </c>
      <c r="F20" s="31" t="s">
        <v>55</v>
      </c>
      <c r="G20" s="33" t="s">
        <v>838</v>
      </c>
      <c r="H20" s="28">
        <v>0.1</v>
      </c>
    </row>
    <row r="21" spans="2:8" ht="16" thickBot="1">
      <c r="B21" s="34" t="s">
        <v>60</v>
      </c>
      <c r="C21" s="37" t="s">
        <v>857</v>
      </c>
      <c r="D21" s="28">
        <v>0.2</v>
      </c>
    </row>
    <row r="22" spans="2:8" ht="16" thickBot="1">
      <c r="B22" s="31" t="s">
        <v>77</v>
      </c>
      <c r="C22" s="33" t="s">
        <v>845</v>
      </c>
      <c r="D22" s="28">
        <v>0.15</v>
      </c>
      <c r="F22" s="25" t="s">
        <v>1470</v>
      </c>
      <c r="G22" s="25" t="s">
        <v>833</v>
      </c>
    </row>
    <row r="23" spans="2:8" ht="17" thickTop="1" thickBot="1">
      <c r="B23" s="34" t="s">
        <v>48</v>
      </c>
      <c r="C23" s="35" t="s">
        <v>846</v>
      </c>
      <c r="D23" s="28">
        <v>0.15</v>
      </c>
      <c r="F23" s="26" t="s">
        <v>62</v>
      </c>
      <c r="G23" s="27" t="s">
        <v>851</v>
      </c>
      <c r="H23" s="28">
        <v>0.2</v>
      </c>
    </row>
    <row r="24" spans="2:8" ht="16" thickBot="1">
      <c r="F24" s="31" t="s">
        <v>67</v>
      </c>
      <c r="G24" s="32" t="s">
        <v>852</v>
      </c>
      <c r="H24" s="28">
        <v>0.2</v>
      </c>
    </row>
    <row r="25" spans="2:8" ht="16" thickBot="1">
      <c r="B25" s="25" t="s">
        <v>841</v>
      </c>
      <c r="C25" s="25" t="s">
        <v>833</v>
      </c>
      <c r="F25" s="34" t="s">
        <v>97</v>
      </c>
      <c r="G25" s="36" t="s">
        <v>853</v>
      </c>
      <c r="H25" s="28">
        <v>0.2</v>
      </c>
    </row>
    <row r="26" spans="2:8" ht="17" thickTop="1" thickBot="1">
      <c r="B26" s="26" t="s">
        <v>35</v>
      </c>
      <c r="C26" s="27" t="s">
        <v>851</v>
      </c>
      <c r="D26" s="28">
        <v>0.2</v>
      </c>
      <c r="F26" s="31" t="s">
        <v>122</v>
      </c>
      <c r="G26" s="33" t="s">
        <v>836</v>
      </c>
      <c r="H26" s="28">
        <v>0.15</v>
      </c>
    </row>
    <row r="27" spans="2:8" ht="16" thickBot="1">
      <c r="B27" s="31" t="s">
        <v>64</v>
      </c>
      <c r="C27" s="32" t="s">
        <v>852</v>
      </c>
      <c r="D27" s="28">
        <v>0.2</v>
      </c>
      <c r="F27" s="34" t="s">
        <v>89</v>
      </c>
      <c r="G27" s="35" t="s">
        <v>837</v>
      </c>
      <c r="H27" s="28">
        <v>0.15</v>
      </c>
    </row>
    <row r="28" spans="2:8" ht="16" thickBot="1">
      <c r="B28" s="34" t="s">
        <v>41</v>
      </c>
      <c r="C28" s="36" t="s">
        <v>853</v>
      </c>
      <c r="D28" s="28">
        <v>0.2</v>
      </c>
      <c r="F28" s="31" t="s">
        <v>99</v>
      </c>
      <c r="G28" s="33" t="s">
        <v>838</v>
      </c>
      <c r="H28" s="28">
        <v>0.1</v>
      </c>
    </row>
    <row r="29" spans="2:8" ht="16" thickBot="1">
      <c r="B29" s="31" t="s">
        <v>75</v>
      </c>
      <c r="C29" s="33" t="s">
        <v>836</v>
      </c>
      <c r="D29" s="28">
        <v>0.15</v>
      </c>
    </row>
    <row r="30" spans="2:8" ht="16" thickBot="1">
      <c r="B30" s="34" t="s">
        <v>48</v>
      </c>
      <c r="C30" s="35" t="s">
        <v>837</v>
      </c>
      <c r="D30" s="28">
        <v>0.15</v>
      </c>
      <c r="F30" s="25" t="s">
        <v>1471</v>
      </c>
      <c r="G30" s="25" t="s">
        <v>833</v>
      </c>
    </row>
    <row r="31" spans="2:8" ht="17" thickTop="1" thickBot="1">
      <c r="B31" s="31" t="s">
        <v>123</v>
      </c>
      <c r="C31" s="33" t="s">
        <v>838</v>
      </c>
      <c r="D31" s="28">
        <v>0.1</v>
      </c>
      <c r="F31" s="26" t="s">
        <v>111</v>
      </c>
      <c r="G31" s="27" t="s">
        <v>851</v>
      </c>
      <c r="H31" s="28">
        <v>0.2</v>
      </c>
    </row>
    <row r="32" spans="2:8" ht="16" thickBot="1">
      <c r="F32" s="31" t="s">
        <v>116</v>
      </c>
      <c r="G32" s="32" t="s">
        <v>852</v>
      </c>
      <c r="H32" s="28">
        <v>0.2</v>
      </c>
    </row>
    <row r="33" spans="2:8" ht="16" thickBot="1">
      <c r="B33" s="25" t="s">
        <v>842</v>
      </c>
      <c r="C33" s="25" t="s">
        <v>833</v>
      </c>
      <c r="F33" s="34" t="s">
        <v>125</v>
      </c>
      <c r="G33" s="36" t="s">
        <v>853</v>
      </c>
      <c r="H33" s="28">
        <v>0.2</v>
      </c>
    </row>
    <row r="34" spans="2:8" ht="17" thickTop="1" thickBot="1">
      <c r="B34" s="26" t="s">
        <v>64</v>
      </c>
      <c r="C34" s="27" t="s">
        <v>854</v>
      </c>
      <c r="D34" s="28">
        <v>0.25</v>
      </c>
      <c r="F34" s="31" t="s">
        <v>112</v>
      </c>
      <c r="G34" s="33" t="s">
        <v>836</v>
      </c>
      <c r="H34" s="28">
        <v>0.15</v>
      </c>
    </row>
    <row r="35" spans="2:8" ht="16" thickBot="1">
      <c r="B35" s="31" t="s">
        <v>73</v>
      </c>
      <c r="C35" s="32" t="s">
        <v>855</v>
      </c>
      <c r="D35" s="28">
        <v>0.25</v>
      </c>
      <c r="F35" s="34" t="s">
        <v>151</v>
      </c>
      <c r="G35" s="35" t="s">
        <v>837</v>
      </c>
      <c r="H35" s="28">
        <v>0.15</v>
      </c>
    </row>
    <row r="36" spans="2:8" ht="16" thickBot="1">
      <c r="B36" s="34" t="s">
        <v>92</v>
      </c>
      <c r="C36" s="37" t="s">
        <v>856</v>
      </c>
      <c r="D36" s="28">
        <v>0.25</v>
      </c>
      <c r="F36" s="31" t="s">
        <v>159</v>
      </c>
      <c r="G36" s="33" t="s">
        <v>838</v>
      </c>
      <c r="H36" s="28">
        <v>0.1</v>
      </c>
    </row>
    <row r="37" spans="2:8" ht="16" thickBot="1">
      <c r="B37" s="31" t="s">
        <v>123</v>
      </c>
      <c r="C37" s="33" t="s">
        <v>837</v>
      </c>
      <c r="D37" s="28">
        <v>0.15</v>
      </c>
    </row>
    <row r="38" spans="2:8" ht="16" thickBot="1">
      <c r="B38" s="34" t="s">
        <v>80</v>
      </c>
      <c r="C38" s="35" t="s">
        <v>838</v>
      </c>
      <c r="D38" s="28">
        <v>0.1</v>
      </c>
      <c r="F38" s="25" t="s">
        <v>894</v>
      </c>
      <c r="G38" s="25" t="s">
        <v>833</v>
      </c>
    </row>
    <row r="39" spans="2:8" ht="17" thickTop="1" thickBot="1">
      <c r="F39" s="26" t="s">
        <v>768</v>
      </c>
      <c r="G39" s="27" t="s">
        <v>859</v>
      </c>
      <c r="H39" s="28">
        <v>0.15</v>
      </c>
    </row>
    <row r="40" spans="2:8" ht="16" thickBot="1">
      <c r="B40" s="25" t="s">
        <v>843</v>
      </c>
      <c r="C40" s="25" t="s">
        <v>833</v>
      </c>
      <c r="F40" s="31" t="s">
        <v>769</v>
      </c>
      <c r="G40" s="32" t="s">
        <v>860</v>
      </c>
      <c r="H40" s="28">
        <v>0.15</v>
      </c>
    </row>
    <row r="41" spans="2:8" ht="17" thickTop="1" thickBot="1">
      <c r="B41" s="26" t="s">
        <v>82</v>
      </c>
      <c r="C41" s="27" t="s">
        <v>851</v>
      </c>
      <c r="D41" s="28">
        <v>0.2</v>
      </c>
      <c r="F41" s="34" t="s">
        <v>103</v>
      </c>
      <c r="G41" s="36" t="s">
        <v>861</v>
      </c>
      <c r="H41" s="28">
        <v>0.15</v>
      </c>
    </row>
    <row r="42" spans="2:8" ht="16" thickBot="1">
      <c r="B42" s="31" t="s">
        <v>75</v>
      </c>
      <c r="C42" s="32" t="s">
        <v>852</v>
      </c>
      <c r="D42" s="28">
        <v>0.2</v>
      </c>
      <c r="F42" s="31" t="s">
        <v>129</v>
      </c>
      <c r="G42" s="33" t="s">
        <v>884</v>
      </c>
      <c r="H42" s="28">
        <v>0.1</v>
      </c>
    </row>
    <row r="43" spans="2:8" ht="16" thickBot="1">
      <c r="B43" s="34" t="s">
        <v>60</v>
      </c>
      <c r="C43" s="36" t="s">
        <v>853</v>
      </c>
      <c r="D43" s="28">
        <v>0.2</v>
      </c>
      <c r="F43" s="34" t="s">
        <v>138</v>
      </c>
      <c r="G43" s="35" t="s">
        <v>883</v>
      </c>
      <c r="H43" s="28">
        <v>0.1</v>
      </c>
    </row>
    <row r="44" spans="2:8" ht="16" thickBot="1">
      <c r="B44" s="31" t="s">
        <v>145</v>
      </c>
      <c r="C44" s="33" t="s">
        <v>836</v>
      </c>
      <c r="D44" s="28">
        <v>0.15</v>
      </c>
      <c r="F44" s="31" t="s">
        <v>155</v>
      </c>
      <c r="G44" s="33" t="s">
        <v>882</v>
      </c>
      <c r="H44" s="28">
        <v>0.1</v>
      </c>
    </row>
    <row r="45" spans="2:8" ht="16" thickBot="1">
      <c r="B45" s="34" t="s">
        <v>85</v>
      </c>
      <c r="C45" s="35" t="s">
        <v>837</v>
      </c>
      <c r="D45" s="28">
        <v>0.15</v>
      </c>
      <c r="F45" s="34" t="s">
        <v>150</v>
      </c>
      <c r="G45" s="35">
        <v>16</v>
      </c>
      <c r="H45" s="28">
        <v>0.05</v>
      </c>
    </row>
    <row r="46" spans="2:8" ht="16" thickBot="1">
      <c r="B46" s="31" t="s">
        <v>58</v>
      </c>
      <c r="C46" s="33" t="s">
        <v>838</v>
      </c>
      <c r="D46" s="28">
        <v>0.1</v>
      </c>
      <c r="F46" s="31" t="s">
        <v>154</v>
      </c>
      <c r="G46" s="33">
        <v>17</v>
      </c>
      <c r="H46" s="28">
        <v>0.05</v>
      </c>
    </row>
    <row r="47" spans="2:8" ht="16" thickBot="1">
      <c r="F47" s="34" t="s">
        <v>175</v>
      </c>
      <c r="G47" s="35">
        <v>18</v>
      </c>
      <c r="H47" s="28">
        <v>0.05</v>
      </c>
    </row>
    <row r="48" spans="2:8" ht="16" thickBot="1">
      <c r="B48" s="25" t="s">
        <v>844</v>
      </c>
      <c r="C48" s="25" t="s">
        <v>833</v>
      </c>
      <c r="F48" s="31" t="s">
        <v>140</v>
      </c>
      <c r="G48" s="33">
        <v>19</v>
      </c>
      <c r="H48" s="28">
        <v>0.05</v>
      </c>
    </row>
    <row r="49" spans="2:8" ht="17" thickTop="1" thickBot="1">
      <c r="B49" s="26" t="s">
        <v>73</v>
      </c>
      <c r="C49" s="27" t="s">
        <v>851</v>
      </c>
      <c r="D49" s="28">
        <v>0.2</v>
      </c>
      <c r="F49" s="34" t="s">
        <v>142</v>
      </c>
      <c r="G49" s="35">
        <v>20</v>
      </c>
      <c r="H49" s="28">
        <v>0.05</v>
      </c>
    </row>
    <row r="50" spans="2:8" ht="16" thickBot="1">
      <c r="B50" s="31" t="s">
        <v>114</v>
      </c>
      <c r="C50" s="32" t="s">
        <v>852</v>
      </c>
      <c r="D50" s="28">
        <v>0.2</v>
      </c>
      <c r="F50" s="43" t="s">
        <v>1468</v>
      </c>
    </row>
    <row r="51" spans="2:8" ht="16" thickBot="1">
      <c r="B51" s="34" t="s">
        <v>136</v>
      </c>
      <c r="C51" s="36" t="s">
        <v>853</v>
      </c>
      <c r="D51" s="28">
        <v>0.2</v>
      </c>
    </row>
    <row r="52" spans="2:8" ht="16" thickBot="1">
      <c r="B52" s="31" t="s">
        <v>69</v>
      </c>
      <c r="C52" s="33" t="s">
        <v>847</v>
      </c>
      <c r="D52" s="28">
        <v>0.15</v>
      </c>
      <c r="F52" s="25" t="s">
        <v>895</v>
      </c>
      <c r="G52" s="25" t="s">
        <v>833</v>
      </c>
      <c r="H52" s="28"/>
    </row>
    <row r="53" spans="2:8" ht="17" thickTop="1" thickBot="1">
      <c r="B53" s="34" t="s">
        <v>85</v>
      </c>
      <c r="C53" s="35" t="s">
        <v>848</v>
      </c>
      <c r="D53" s="28">
        <v>0.15</v>
      </c>
      <c r="F53" s="26" t="s">
        <v>73</v>
      </c>
      <c r="G53" s="27" t="s">
        <v>929</v>
      </c>
      <c r="H53" s="28"/>
    </row>
    <row r="54" spans="2:8" ht="16" thickBot="1">
      <c r="B54" s="31" t="s">
        <v>87</v>
      </c>
      <c r="C54" s="33">
        <v>20</v>
      </c>
      <c r="D54" s="28">
        <v>0.1</v>
      </c>
      <c r="F54" s="31" t="s">
        <v>85</v>
      </c>
      <c r="G54" s="32" t="s">
        <v>930</v>
      </c>
      <c r="H54" s="28"/>
    </row>
    <row r="55" spans="2:8" ht="16" thickBot="1">
      <c r="F55" s="34" t="s">
        <v>58</v>
      </c>
      <c r="G55" s="36" t="s">
        <v>931</v>
      </c>
      <c r="H55" s="28"/>
    </row>
    <row r="56" spans="2:8" ht="16" thickBot="1">
      <c r="B56" s="25" t="s">
        <v>858</v>
      </c>
      <c r="C56" s="25" t="s">
        <v>833</v>
      </c>
      <c r="F56" s="31" t="s">
        <v>149</v>
      </c>
      <c r="G56" s="38" t="s">
        <v>1476</v>
      </c>
      <c r="H56" s="28"/>
    </row>
    <row r="57" spans="2:8" ht="17" thickTop="1" thickBot="1">
      <c r="B57" s="26" t="s">
        <v>114</v>
      </c>
      <c r="C57" s="27" t="s">
        <v>834</v>
      </c>
      <c r="D57" s="28">
        <f>6/20</f>
        <v>0.3</v>
      </c>
      <c r="F57" s="34" t="s">
        <v>165</v>
      </c>
      <c r="G57" s="35" t="s">
        <v>1475</v>
      </c>
    </row>
    <row r="58" spans="2:8" ht="16" thickBot="1">
      <c r="B58" s="31" t="s">
        <v>136</v>
      </c>
      <c r="C58" s="32" t="s">
        <v>835</v>
      </c>
      <c r="D58" s="28">
        <v>0.3</v>
      </c>
      <c r="F58" s="43" t="s">
        <v>1467</v>
      </c>
    </row>
    <row r="59" spans="2:8" ht="16" thickBot="1">
      <c r="B59" s="34" t="s">
        <v>77</v>
      </c>
      <c r="C59" s="35" t="s">
        <v>836</v>
      </c>
      <c r="D59" s="28">
        <v>0.15</v>
      </c>
    </row>
    <row r="60" spans="2:8" ht="16" thickBot="1">
      <c r="B60" s="31" t="s">
        <v>89</v>
      </c>
      <c r="C60" s="33" t="s">
        <v>837</v>
      </c>
      <c r="D60" s="28">
        <v>0.15</v>
      </c>
      <c r="F60" s="44" t="s">
        <v>895</v>
      </c>
      <c r="G60" s="44" t="s">
        <v>833</v>
      </c>
    </row>
    <row r="61" spans="2:8" ht="17" thickTop="1" thickBot="1">
      <c r="B61" s="34" t="s">
        <v>108</v>
      </c>
      <c r="C61" s="35" t="s">
        <v>838</v>
      </c>
      <c r="D61" s="28">
        <v>0.1</v>
      </c>
      <c r="F61" s="45" t="s">
        <v>906</v>
      </c>
      <c r="G61" s="46" t="s">
        <v>929</v>
      </c>
    </row>
    <row r="62" spans="2:8" ht="16" thickBot="1">
      <c r="F62" s="50" t="s">
        <v>1474</v>
      </c>
      <c r="G62" s="51" t="s">
        <v>930</v>
      </c>
    </row>
    <row r="63" spans="2:8" ht="16" thickBot="1">
      <c r="B63" s="25" t="s">
        <v>866</v>
      </c>
      <c r="C63" s="25" t="s">
        <v>833</v>
      </c>
      <c r="F63" s="47" t="s">
        <v>1466</v>
      </c>
      <c r="G63" s="48" t="s">
        <v>931</v>
      </c>
    </row>
    <row r="64" spans="2:8" ht="17" thickTop="1" thickBot="1">
      <c r="B64" s="26" t="s">
        <v>768</v>
      </c>
      <c r="C64" s="27" t="s">
        <v>859</v>
      </c>
      <c r="D64" s="28">
        <v>0.15</v>
      </c>
      <c r="F64" s="50" t="s">
        <v>905</v>
      </c>
      <c r="G64" s="52" t="s">
        <v>1476</v>
      </c>
    </row>
    <row r="65" spans="2:7" ht="16" thickBot="1">
      <c r="B65" s="31" t="s">
        <v>769</v>
      </c>
      <c r="C65" s="32" t="s">
        <v>860</v>
      </c>
      <c r="D65" s="28">
        <v>0.15</v>
      </c>
      <c r="F65" s="47" t="s">
        <v>901</v>
      </c>
      <c r="G65" s="49" t="s">
        <v>1475</v>
      </c>
    </row>
    <row r="66" spans="2:7" ht="16" thickBot="1">
      <c r="B66" s="34" t="s">
        <v>89</v>
      </c>
      <c r="C66" s="36" t="s">
        <v>861</v>
      </c>
      <c r="D66" s="28">
        <v>0.15</v>
      </c>
      <c r="F66" s="43" t="s">
        <v>1467</v>
      </c>
    </row>
    <row r="67" spans="2:7" ht="16" thickBot="1">
      <c r="B67" s="31" t="s">
        <v>105</v>
      </c>
      <c r="C67" s="33" t="s">
        <v>862</v>
      </c>
      <c r="D67" s="28">
        <v>0.15</v>
      </c>
    </row>
    <row r="68" spans="2:7" ht="16" thickBot="1">
      <c r="B68" s="34" t="s">
        <v>127</v>
      </c>
      <c r="C68" s="35" t="s">
        <v>836</v>
      </c>
      <c r="D68" s="28">
        <v>0.15</v>
      </c>
    </row>
    <row r="69" spans="2:7" ht="16" thickBot="1">
      <c r="B69" s="31" t="s">
        <v>135</v>
      </c>
      <c r="C69" s="33" t="s">
        <v>849</v>
      </c>
      <c r="D69" s="28">
        <v>0.1</v>
      </c>
    </row>
    <row r="70" spans="2:7" ht="16" thickBot="1">
      <c r="B70" s="34" t="s">
        <v>34</v>
      </c>
      <c r="C70" s="35" t="s">
        <v>850</v>
      </c>
      <c r="D70" s="28">
        <v>0.1</v>
      </c>
    </row>
    <row r="71" spans="2:7" ht="16" thickBot="1">
      <c r="B71" s="31" t="s">
        <v>152</v>
      </c>
      <c r="C71" s="33">
        <v>20</v>
      </c>
      <c r="D71" s="28">
        <v>0.05</v>
      </c>
    </row>
    <row r="72" spans="2:7" ht="16" thickBot="1"/>
    <row r="73" spans="2:7" ht="16" thickBot="1">
      <c r="B73" s="25" t="s">
        <v>867</v>
      </c>
      <c r="C73" s="25" t="s">
        <v>833</v>
      </c>
    </row>
    <row r="74" spans="2:7" ht="17" thickTop="1" thickBot="1">
      <c r="B74" s="26" t="s">
        <v>73</v>
      </c>
      <c r="C74" s="27" t="s">
        <v>851</v>
      </c>
      <c r="D74" s="28">
        <v>0.2</v>
      </c>
    </row>
    <row r="75" spans="2:7" ht="16" thickBot="1">
      <c r="B75" s="31" t="s">
        <v>71</v>
      </c>
      <c r="C75" s="32" t="s">
        <v>852</v>
      </c>
      <c r="D75" s="28">
        <v>0.2</v>
      </c>
    </row>
    <row r="76" spans="2:7" ht="16" thickBot="1">
      <c r="B76" s="34" t="s">
        <v>43</v>
      </c>
      <c r="C76" s="36" t="s">
        <v>853</v>
      </c>
      <c r="D76" s="28">
        <v>0.2</v>
      </c>
    </row>
    <row r="77" spans="2:7" ht="16" thickBot="1">
      <c r="B77" s="31" t="s">
        <v>105</v>
      </c>
      <c r="C77" s="33" t="s">
        <v>836</v>
      </c>
      <c r="D77" s="28">
        <v>0.15</v>
      </c>
    </row>
    <row r="78" spans="2:7" ht="16" thickBot="1">
      <c r="B78" s="34" t="s">
        <v>80</v>
      </c>
      <c r="C78" s="35" t="s">
        <v>849</v>
      </c>
      <c r="D78" s="28">
        <v>0.1</v>
      </c>
    </row>
    <row r="79" spans="2:7" ht="16" thickBot="1">
      <c r="B79" s="31" t="s">
        <v>58</v>
      </c>
      <c r="C79" s="33" t="s">
        <v>850</v>
      </c>
      <c r="D79" s="28">
        <v>0.1</v>
      </c>
    </row>
    <row r="80" spans="2:7" ht="16" thickBot="1">
      <c r="B80" s="34" t="s">
        <v>72</v>
      </c>
      <c r="C80" s="35">
        <v>20</v>
      </c>
      <c r="D80" s="28">
        <v>0.05</v>
      </c>
    </row>
    <row r="81" spans="2:5" ht="16" thickBot="1"/>
    <row r="82" spans="2:5" ht="16" thickBot="1">
      <c r="B82" s="25" t="s">
        <v>868</v>
      </c>
      <c r="C82" s="25" t="s">
        <v>833</v>
      </c>
    </row>
    <row r="83" spans="2:5" ht="17" thickTop="1" thickBot="1">
      <c r="B83" s="26" t="s">
        <v>103</v>
      </c>
      <c r="C83" s="27" t="s">
        <v>851</v>
      </c>
      <c r="D83" s="28">
        <f>4/20</f>
        <v>0.2</v>
      </c>
      <c r="E83" s="28"/>
    </row>
    <row r="84" spans="2:5" ht="16" thickBot="1">
      <c r="B84" s="31" t="s">
        <v>125</v>
      </c>
      <c r="C84" s="32" t="s">
        <v>852</v>
      </c>
      <c r="D84" s="28">
        <f>4/20</f>
        <v>0.2</v>
      </c>
      <c r="E84" s="28"/>
    </row>
    <row r="85" spans="2:5" ht="16" thickBot="1">
      <c r="B85" s="34" t="s">
        <v>143</v>
      </c>
      <c r="C85" s="36" t="s">
        <v>853</v>
      </c>
      <c r="D85" s="28">
        <f>4/20</f>
        <v>0.2</v>
      </c>
      <c r="E85" s="28"/>
    </row>
    <row r="86" spans="2:5" ht="16" thickBot="1">
      <c r="B86" s="31" t="s">
        <v>145</v>
      </c>
      <c r="C86" s="33" t="s">
        <v>847</v>
      </c>
      <c r="D86" s="28">
        <f>4/20</f>
        <v>0.2</v>
      </c>
      <c r="E86" s="28"/>
    </row>
    <row r="87" spans="2:5" ht="16" thickBot="1">
      <c r="B87" s="34" t="s">
        <v>147</v>
      </c>
      <c r="C87" s="35" t="s">
        <v>869</v>
      </c>
      <c r="D87" s="28">
        <f>2/20</f>
        <v>0.1</v>
      </c>
      <c r="E87" s="28"/>
    </row>
    <row r="88" spans="2:5" ht="16" thickBot="1">
      <c r="B88" s="31" t="s">
        <v>156</v>
      </c>
      <c r="C88" s="33" t="s">
        <v>838</v>
      </c>
      <c r="D88" s="28">
        <f>2/20</f>
        <v>0.1</v>
      </c>
      <c r="E88" s="28"/>
    </row>
    <row r="89" spans="2:5" ht="16" thickBot="1"/>
    <row r="90" spans="2:5" ht="16" thickBot="1">
      <c r="B90" s="25" t="s">
        <v>870</v>
      </c>
      <c r="C90" s="25" t="s">
        <v>833</v>
      </c>
    </row>
    <row r="91" spans="2:5" ht="17" thickTop="1" thickBot="1">
      <c r="B91" s="26" t="s">
        <v>103</v>
      </c>
      <c r="C91" s="27" t="s">
        <v>851</v>
      </c>
      <c r="D91" s="28">
        <f>4/20</f>
        <v>0.2</v>
      </c>
    </row>
    <row r="92" spans="2:5" ht="16" thickBot="1">
      <c r="B92" s="31" t="s">
        <v>145</v>
      </c>
      <c r="C92" s="32" t="s">
        <v>852</v>
      </c>
      <c r="D92" s="28">
        <f>4/20</f>
        <v>0.2</v>
      </c>
    </row>
    <row r="93" spans="2:5" ht="16" thickBot="1">
      <c r="B93" s="34" t="s">
        <v>143</v>
      </c>
      <c r="C93" s="36" t="s">
        <v>853</v>
      </c>
      <c r="D93" s="28">
        <f>4/20</f>
        <v>0.2</v>
      </c>
    </row>
    <row r="94" spans="2:5" ht="16" thickBot="1">
      <c r="B94" s="31" t="s">
        <v>116</v>
      </c>
      <c r="C94" s="33" t="s">
        <v>836</v>
      </c>
      <c r="D94" s="28">
        <f>3/20</f>
        <v>0.15</v>
      </c>
    </row>
    <row r="95" spans="2:5" ht="16" thickBot="1">
      <c r="B95" s="34" t="s">
        <v>141</v>
      </c>
      <c r="C95" s="35" t="s">
        <v>849</v>
      </c>
      <c r="D95" s="28">
        <f>2/20</f>
        <v>0.1</v>
      </c>
    </row>
    <row r="96" spans="2:5" ht="16" thickBot="1">
      <c r="B96" s="31" t="s">
        <v>156</v>
      </c>
      <c r="C96" s="33" t="s">
        <v>850</v>
      </c>
      <c r="D96" s="28">
        <f>2/20</f>
        <v>0.1</v>
      </c>
    </row>
    <row r="97" spans="2:4" ht="16" thickBot="1">
      <c r="B97" s="34" t="s">
        <v>108</v>
      </c>
      <c r="C97" s="35">
        <v>20</v>
      </c>
      <c r="D97" s="28">
        <f>1/20</f>
        <v>0.05</v>
      </c>
    </row>
    <row r="98" spans="2:4" ht="16" thickBot="1"/>
    <row r="99" spans="2:4" ht="16" thickBot="1">
      <c r="B99" s="25" t="s">
        <v>871</v>
      </c>
      <c r="C99" s="25" t="s">
        <v>833</v>
      </c>
    </row>
    <row r="100" spans="2:4" ht="17" thickTop="1" thickBot="1">
      <c r="B100" s="26" t="s">
        <v>41</v>
      </c>
      <c r="C100" s="27" t="s">
        <v>851</v>
      </c>
      <c r="D100" s="28">
        <f>4/20</f>
        <v>0.2</v>
      </c>
    </row>
    <row r="101" spans="2:4" ht="16" thickBot="1">
      <c r="B101" s="31" t="s">
        <v>123</v>
      </c>
      <c r="C101" s="32" t="s">
        <v>852</v>
      </c>
      <c r="D101" s="28">
        <f>4/20</f>
        <v>0.2</v>
      </c>
    </row>
    <row r="102" spans="2:4" ht="16" thickBot="1">
      <c r="B102" s="34" t="s">
        <v>69</v>
      </c>
      <c r="C102" s="36" t="s">
        <v>853</v>
      </c>
      <c r="D102" s="28">
        <f>4/20</f>
        <v>0.2</v>
      </c>
    </row>
    <row r="103" spans="2:4" ht="16" thickBot="1">
      <c r="B103" s="31" t="s">
        <v>65</v>
      </c>
      <c r="C103" s="33" t="s">
        <v>836</v>
      </c>
      <c r="D103" s="28">
        <f>3/20</f>
        <v>0.15</v>
      </c>
    </row>
    <row r="104" spans="2:4" ht="16" thickBot="1">
      <c r="B104" s="34" t="s">
        <v>45</v>
      </c>
      <c r="C104" s="35" t="s">
        <v>849</v>
      </c>
      <c r="D104" s="28">
        <f>2/20</f>
        <v>0.1</v>
      </c>
    </row>
    <row r="105" spans="2:4" ht="16" thickBot="1">
      <c r="B105" s="31" t="s">
        <v>108</v>
      </c>
      <c r="C105" s="33" t="s">
        <v>850</v>
      </c>
      <c r="D105" s="28">
        <f>2/20</f>
        <v>0.1</v>
      </c>
    </row>
    <row r="106" spans="2:4" ht="16" thickBot="1">
      <c r="B106" s="34" t="s">
        <v>70</v>
      </c>
      <c r="C106" s="35">
        <v>20</v>
      </c>
      <c r="D106" s="28">
        <f>1/20</f>
        <v>0.05</v>
      </c>
    </row>
    <row r="107" spans="2:4" ht="16" thickBot="1"/>
    <row r="108" spans="2:4" ht="16" thickBot="1">
      <c r="B108" s="25" t="s">
        <v>872</v>
      </c>
      <c r="C108" s="25" t="s">
        <v>833</v>
      </c>
    </row>
    <row r="109" spans="2:4" ht="17" thickTop="1" thickBot="1">
      <c r="B109" s="26" t="s">
        <v>35</v>
      </c>
      <c r="C109" s="27" t="s">
        <v>859</v>
      </c>
      <c r="D109" s="28">
        <v>0.15</v>
      </c>
    </row>
    <row r="110" spans="2:4" ht="16" thickBot="1">
      <c r="B110" s="31" t="s">
        <v>69</v>
      </c>
      <c r="C110" s="32" t="s">
        <v>860</v>
      </c>
      <c r="D110" s="28">
        <v>0.15</v>
      </c>
    </row>
    <row r="111" spans="2:4" ht="16" thickBot="1">
      <c r="B111" s="34" t="s">
        <v>92</v>
      </c>
      <c r="C111" s="36" t="s">
        <v>861</v>
      </c>
      <c r="D111" s="28">
        <v>0.15</v>
      </c>
    </row>
    <row r="112" spans="2:4" ht="16" thickBot="1">
      <c r="B112" s="31" t="s">
        <v>114</v>
      </c>
      <c r="C112" s="33" t="s">
        <v>862</v>
      </c>
      <c r="D112" s="28">
        <v>0.15</v>
      </c>
    </row>
    <row r="113" spans="2:4" ht="16" thickBot="1">
      <c r="B113" s="34" t="s">
        <v>127</v>
      </c>
      <c r="C113" s="35" t="s">
        <v>836</v>
      </c>
      <c r="D113" s="28">
        <v>0.15</v>
      </c>
    </row>
    <row r="114" spans="2:4" ht="16" thickBot="1">
      <c r="B114" s="31" t="s">
        <v>141</v>
      </c>
      <c r="C114" s="33" t="s">
        <v>849</v>
      </c>
      <c r="D114" s="28">
        <v>0.1</v>
      </c>
    </row>
    <row r="115" spans="2:4" ht="16" thickBot="1">
      <c r="B115" s="34" t="s">
        <v>93</v>
      </c>
      <c r="C115" s="35" t="s">
        <v>850</v>
      </c>
      <c r="D115" s="28">
        <v>0.1</v>
      </c>
    </row>
    <row r="116" spans="2:4" ht="16" thickBot="1">
      <c r="B116" s="31" t="s">
        <v>160</v>
      </c>
      <c r="C116" s="33">
        <v>20</v>
      </c>
      <c r="D116" s="28">
        <v>0.05</v>
      </c>
    </row>
    <row r="117" spans="2:4" ht="16" thickBot="1"/>
    <row r="118" spans="2:4" ht="16" thickBot="1">
      <c r="B118" s="25" t="s">
        <v>873</v>
      </c>
      <c r="C118" s="25" t="s">
        <v>833</v>
      </c>
    </row>
    <row r="119" spans="2:4" ht="17" thickTop="1" thickBot="1">
      <c r="B119" s="26" t="s">
        <v>103</v>
      </c>
      <c r="C119" s="27" t="s">
        <v>851</v>
      </c>
      <c r="D119" s="28">
        <f>4/20</f>
        <v>0.2</v>
      </c>
    </row>
    <row r="120" spans="2:4" ht="16" thickBot="1">
      <c r="B120" s="31" t="s">
        <v>109</v>
      </c>
      <c r="C120" s="32" t="s">
        <v>852</v>
      </c>
      <c r="D120" s="28">
        <f>4/20</f>
        <v>0.2</v>
      </c>
    </row>
    <row r="121" spans="2:4" ht="16" thickBot="1">
      <c r="B121" s="34" t="s">
        <v>114</v>
      </c>
      <c r="C121" s="36" t="s">
        <v>875</v>
      </c>
      <c r="D121" s="28">
        <v>0.15</v>
      </c>
    </row>
    <row r="122" spans="2:4" ht="16" thickBot="1">
      <c r="B122" s="31" t="s">
        <v>136</v>
      </c>
      <c r="C122" s="33" t="s">
        <v>876</v>
      </c>
      <c r="D122" s="28">
        <v>0.15</v>
      </c>
    </row>
    <row r="123" spans="2:4" ht="16" thickBot="1">
      <c r="B123" s="34" t="s">
        <v>116</v>
      </c>
      <c r="C123" s="35" t="s">
        <v>874</v>
      </c>
      <c r="D123" s="28">
        <v>0.1</v>
      </c>
    </row>
    <row r="124" spans="2:4" ht="16" thickBot="1">
      <c r="B124" s="31" t="s">
        <v>101</v>
      </c>
      <c r="C124" s="33" t="s">
        <v>869</v>
      </c>
      <c r="D124" s="28">
        <v>0.1</v>
      </c>
    </row>
    <row r="125" spans="2:4" ht="16" thickBot="1">
      <c r="B125" s="34" t="s">
        <v>133</v>
      </c>
      <c r="C125" s="35">
        <v>19</v>
      </c>
      <c r="D125" s="28">
        <v>0.05</v>
      </c>
    </row>
    <row r="126" spans="2:4" ht="16" thickBot="1">
      <c r="B126" s="31" t="s">
        <v>134</v>
      </c>
      <c r="C126" s="33">
        <v>20</v>
      </c>
      <c r="D126" s="28">
        <v>0.05</v>
      </c>
    </row>
    <row r="127" spans="2:4" ht="16" thickBot="1"/>
    <row r="128" spans="2:4" ht="16" thickBot="1">
      <c r="B128" s="25" t="s">
        <v>877</v>
      </c>
      <c r="C128" s="25" t="s">
        <v>833</v>
      </c>
    </row>
    <row r="129" spans="2:4" ht="17" thickTop="1" thickBot="1">
      <c r="B129" s="26" t="s">
        <v>95</v>
      </c>
      <c r="C129" s="27" t="s">
        <v>851</v>
      </c>
      <c r="D129" s="28">
        <f>4/20</f>
        <v>0.2</v>
      </c>
    </row>
    <row r="130" spans="2:4" ht="16" thickBot="1">
      <c r="B130" s="31" t="s">
        <v>125</v>
      </c>
      <c r="C130" s="32" t="s">
        <v>852</v>
      </c>
      <c r="D130" s="28">
        <f>4/20</f>
        <v>0.2</v>
      </c>
    </row>
    <row r="131" spans="2:4" ht="16" thickBot="1">
      <c r="B131" s="34" t="s">
        <v>143</v>
      </c>
      <c r="C131" s="36" t="s">
        <v>853</v>
      </c>
      <c r="D131" s="28">
        <f>4/20</f>
        <v>0.2</v>
      </c>
    </row>
    <row r="132" spans="2:4" ht="16" thickBot="1">
      <c r="B132" s="31" t="s">
        <v>111</v>
      </c>
      <c r="C132" s="33" t="s">
        <v>836</v>
      </c>
      <c r="D132" s="28">
        <f>3/20</f>
        <v>0.15</v>
      </c>
    </row>
    <row r="133" spans="2:4" ht="16" thickBot="1">
      <c r="B133" s="34" t="s">
        <v>116</v>
      </c>
      <c r="C133" s="35" t="s">
        <v>849</v>
      </c>
      <c r="D133" s="28">
        <f>2/20</f>
        <v>0.1</v>
      </c>
    </row>
    <row r="134" spans="2:4" ht="16" thickBot="1">
      <c r="B134" s="31" t="s">
        <v>147</v>
      </c>
      <c r="C134" s="33" t="s">
        <v>850</v>
      </c>
      <c r="D134" s="28">
        <f>2/20</f>
        <v>0.1</v>
      </c>
    </row>
    <row r="135" spans="2:4" ht="16" thickBot="1">
      <c r="B135" s="34" t="s">
        <v>146</v>
      </c>
      <c r="C135" s="35">
        <v>20</v>
      </c>
      <c r="D135" s="28">
        <f>1/20</f>
        <v>0.05</v>
      </c>
    </row>
    <row r="136" spans="2:4" ht="16" thickBot="1"/>
    <row r="137" spans="2:4" ht="16" thickBot="1">
      <c r="B137" s="25" t="s">
        <v>879</v>
      </c>
      <c r="C137" s="25" t="s">
        <v>833</v>
      </c>
    </row>
    <row r="138" spans="2:4" ht="17" thickTop="1" thickBot="1">
      <c r="B138" s="26" t="s">
        <v>95</v>
      </c>
      <c r="C138" s="27" t="s">
        <v>851</v>
      </c>
      <c r="D138" s="28">
        <f>4/20</f>
        <v>0.2</v>
      </c>
    </row>
    <row r="139" spans="2:4" ht="16" thickBot="1">
      <c r="B139" s="31" t="s">
        <v>143</v>
      </c>
      <c r="C139" s="32" t="s">
        <v>852</v>
      </c>
      <c r="D139" s="28">
        <f>4/20</f>
        <v>0.2</v>
      </c>
    </row>
    <row r="140" spans="2:4" ht="16" thickBot="1">
      <c r="B140" s="34" t="s">
        <v>111</v>
      </c>
      <c r="C140" s="36" t="s">
        <v>853</v>
      </c>
      <c r="D140" s="28">
        <f>4/20</f>
        <v>0.2</v>
      </c>
    </row>
    <row r="141" spans="2:4" ht="16" thickBot="1">
      <c r="B141" s="31" t="s">
        <v>156</v>
      </c>
      <c r="C141" s="33" t="s">
        <v>836</v>
      </c>
      <c r="D141" s="28">
        <f>3/20</f>
        <v>0.15</v>
      </c>
    </row>
    <row r="142" spans="2:4" ht="16" thickBot="1">
      <c r="B142" s="34" t="s">
        <v>116</v>
      </c>
      <c r="C142" s="35" t="s">
        <v>849</v>
      </c>
      <c r="D142" s="28">
        <f>2/20</f>
        <v>0.1</v>
      </c>
    </row>
    <row r="143" spans="2:4" ht="16" thickBot="1">
      <c r="B143" s="31" t="s">
        <v>147</v>
      </c>
      <c r="C143" s="33" t="s">
        <v>850</v>
      </c>
      <c r="D143" s="28">
        <f>2/20</f>
        <v>0.1</v>
      </c>
    </row>
    <row r="144" spans="2:4" ht="16" thickBot="1">
      <c r="B144" s="34" t="s">
        <v>151</v>
      </c>
      <c r="C144" s="35">
        <v>20</v>
      </c>
      <c r="D144" s="28">
        <f>1/20</f>
        <v>0.05</v>
      </c>
    </row>
    <row r="145" spans="2:4" ht="16" thickBot="1"/>
    <row r="146" spans="2:4" ht="16" thickBot="1">
      <c r="B146" s="25" t="s">
        <v>880</v>
      </c>
      <c r="C146" s="25" t="s">
        <v>833</v>
      </c>
    </row>
    <row r="147" spans="2:4" ht="17" thickTop="1" thickBot="1">
      <c r="B147" s="26" t="s">
        <v>95</v>
      </c>
      <c r="C147" s="27" t="s">
        <v>851</v>
      </c>
      <c r="D147" s="28">
        <f>4/20</f>
        <v>0.2</v>
      </c>
    </row>
    <row r="148" spans="2:4" ht="16" thickBot="1">
      <c r="B148" s="31" t="s">
        <v>156</v>
      </c>
      <c r="C148" s="32" t="s">
        <v>852</v>
      </c>
      <c r="D148" s="28">
        <f>4/20</f>
        <v>0.2</v>
      </c>
    </row>
    <row r="149" spans="2:4" ht="16" thickBot="1">
      <c r="B149" s="34" t="s">
        <v>125</v>
      </c>
      <c r="C149" s="36" t="s">
        <v>853</v>
      </c>
      <c r="D149" s="28">
        <f>4/20</f>
        <v>0.2</v>
      </c>
    </row>
    <row r="150" spans="2:4" ht="16" thickBot="1">
      <c r="B150" s="31" t="s">
        <v>103</v>
      </c>
      <c r="C150" s="33" t="s">
        <v>836</v>
      </c>
      <c r="D150" s="28">
        <f>3/20</f>
        <v>0.15</v>
      </c>
    </row>
    <row r="151" spans="2:4" ht="16" thickBot="1">
      <c r="B151" s="34" t="s">
        <v>141</v>
      </c>
      <c r="C151" s="35" t="s">
        <v>849</v>
      </c>
      <c r="D151" s="28">
        <f>2/20</f>
        <v>0.1</v>
      </c>
    </row>
    <row r="152" spans="2:4" ht="16" thickBot="1">
      <c r="B152" s="31" t="s">
        <v>129</v>
      </c>
      <c r="C152" s="33" t="s">
        <v>850</v>
      </c>
      <c r="D152" s="28">
        <f>2/20</f>
        <v>0.1</v>
      </c>
    </row>
    <row r="153" spans="2:4" ht="16" thickBot="1">
      <c r="B153" s="34" t="s">
        <v>83</v>
      </c>
      <c r="C153" s="35">
        <v>20</v>
      </c>
      <c r="D153" s="28">
        <f>1/20</f>
        <v>0.05</v>
      </c>
    </row>
    <row r="154" spans="2:4" ht="16" thickBot="1"/>
    <row r="155" spans="2:4" ht="16" thickBot="1">
      <c r="B155" s="25" t="s">
        <v>881</v>
      </c>
      <c r="C155" s="25" t="s">
        <v>833</v>
      </c>
    </row>
    <row r="156" spans="2:4" ht="17" thickTop="1" thickBot="1">
      <c r="B156" s="26" t="s">
        <v>28</v>
      </c>
      <c r="C156" s="27" t="s">
        <v>851</v>
      </c>
      <c r="D156" s="28">
        <f>4/20</f>
        <v>0.2</v>
      </c>
    </row>
    <row r="157" spans="2:4" ht="16" thickBot="1">
      <c r="B157" s="31" t="s">
        <v>32</v>
      </c>
      <c r="C157" s="32" t="s">
        <v>852</v>
      </c>
      <c r="D157" s="28">
        <f>4/20</f>
        <v>0.2</v>
      </c>
    </row>
    <row r="158" spans="2:4" ht="16" thickBot="1">
      <c r="B158" s="34" t="s">
        <v>41</v>
      </c>
      <c r="C158" s="36" t="s">
        <v>853</v>
      </c>
      <c r="D158" s="28">
        <f>4/20</f>
        <v>0.2</v>
      </c>
    </row>
    <row r="159" spans="2:4" ht="16" thickBot="1">
      <c r="B159" s="31" t="s">
        <v>768</v>
      </c>
      <c r="C159" s="33" t="s">
        <v>836</v>
      </c>
      <c r="D159" s="28">
        <v>0.15</v>
      </c>
    </row>
    <row r="160" spans="2:4" ht="16" thickBot="1">
      <c r="B160" s="34" t="s">
        <v>769</v>
      </c>
      <c r="C160" s="35" t="s">
        <v>837</v>
      </c>
      <c r="D160" s="28">
        <v>0.15</v>
      </c>
    </row>
    <row r="161" spans="2:4" ht="16" thickBot="1">
      <c r="B161" s="31" t="s">
        <v>77</v>
      </c>
      <c r="C161" s="33" t="s">
        <v>838</v>
      </c>
      <c r="D161" s="28">
        <v>0.1</v>
      </c>
    </row>
    <row r="162" spans="2:4" ht="16" thickBot="1"/>
    <row r="163" spans="2:4" ht="16" thickBot="1">
      <c r="B163" s="25" t="s">
        <v>1473</v>
      </c>
      <c r="C163" s="25" t="s">
        <v>833</v>
      </c>
    </row>
    <row r="164" spans="2:4" ht="17" thickTop="1" thickBot="1">
      <c r="B164" s="26" t="s">
        <v>51</v>
      </c>
      <c r="C164" s="27" t="s">
        <v>851</v>
      </c>
      <c r="D164" s="28">
        <v>0.2</v>
      </c>
    </row>
    <row r="165" spans="2:4" ht="16" thickBot="1">
      <c r="B165" s="31" t="s">
        <v>53</v>
      </c>
      <c r="C165" s="32" t="s">
        <v>852</v>
      </c>
      <c r="D165" s="28">
        <v>0.2</v>
      </c>
    </row>
    <row r="166" spans="2:4" ht="16" thickBot="1">
      <c r="B166" s="34" t="s">
        <v>61</v>
      </c>
      <c r="C166" s="36" t="s">
        <v>875</v>
      </c>
      <c r="D166" s="28">
        <v>0.15</v>
      </c>
    </row>
    <row r="167" spans="2:4" ht="16" thickBot="1">
      <c r="B167" s="31" t="s">
        <v>135</v>
      </c>
      <c r="C167" s="33" t="s">
        <v>883</v>
      </c>
      <c r="D167" s="28">
        <v>0.1</v>
      </c>
    </row>
    <row r="168" spans="2:4" ht="16" thickBot="1">
      <c r="B168" s="34" t="s">
        <v>83</v>
      </c>
      <c r="C168" s="35" t="s">
        <v>882</v>
      </c>
      <c r="D168" s="28">
        <v>0.1</v>
      </c>
    </row>
    <row r="169" spans="2:4" ht="16" thickBot="1">
      <c r="B169" s="31" t="s">
        <v>44</v>
      </c>
      <c r="C169" s="33" t="s">
        <v>849</v>
      </c>
      <c r="D169" s="28">
        <v>0.1</v>
      </c>
    </row>
    <row r="170" spans="2:4" ht="16" thickBot="1">
      <c r="B170" s="34" t="s">
        <v>79</v>
      </c>
      <c r="C170" s="35" t="s">
        <v>850</v>
      </c>
      <c r="D170" s="28">
        <v>0.1</v>
      </c>
    </row>
    <row r="171" spans="2:4" ht="16" thickBot="1">
      <c r="B171" s="31" t="s">
        <v>153</v>
      </c>
      <c r="C171" s="33">
        <v>20</v>
      </c>
      <c r="D171" s="28">
        <v>0.05</v>
      </c>
    </row>
    <row r="172" spans="2:4" ht="16" thickBot="1"/>
    <row r="173" spans="2:4" ht="16" thickBot="1">
      <c r="B173" s="25" t="s">
        <v>1472</v>
      </c>
      <c r="C173" s="25" t="s">
        <v>833</v>
      </c>
    </row>
    <row r="174" spans="2:4" ht="17" thickTop="1" thickBot="1">
      <c r="B174" s="26" t="s">
        <v>64</v>
      </c>
      <c r="C174" s="27" t="s">
        <v>851</v>
      </c>
      <c r="D174" s="28">
        <f>4/20</f>
        <v>0.2</v>
      </c>
    </row>
    <row r="175" spans="2:4" ht="16" thickBot="1">
      <c r="B175" s="31" t="s">
        <v>92</v>
      </c>
      <c r="C175" s="32" t="s">
        <v>852</v>
      </c>
      <c r="D175" s="28">
        <f>4/20</f>
        <v>0.2</v>
      </c>
    </row>
    <row r="176" spans="2:4" ht="16" thickBot="1">
      <c r="B176" s="34" t="s">
        <v>75</v>
      </c>
      <c r="C176" s="36" t="s">
        <v>853</v>
      </c>
      <c r="D176" s="28">
        <f>4/20</f>
        <v>0.2</v>
      </c>
    </row>
    <row r="177" spans="2:4" ht="16" thickBot="1">
      <c r="B177" s="31" t="s">
        <v>145</v>
      </c>
      <c r="C177" s="33" t="s">
        <v>836</v>
      </c>
      <c r="D177" s="28">
        <v>0.15</v>
      </c>
    </row>
    <row r="178" spans="2:4" ht="16" thickBot="1">
      <c r="B178" s="34" t="s">
        <v>69</v>
      </c>
      <c r="C178" s="35" t="s">
        <v>837</v>
      </c>
      <c r="D178" s="28">
        <v>0.15</v>
      </c>
    </row>
    <row r="179" spans="2:4" ht="16" thickBot="1">
      <c r="B179" s="31" t="s">
        <v>85</v>
      </c>
      <c r="C179" s="33" t="s">
        <v>838</v>
      </c>
      <c r="D179" s="28">
        <v>0.1</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theme="5"/>
  </sheetPr>
  <dimension ref="A1:E30"/>
  <sheetViews>
    <sheetView topLeftCell="A5" zoomScale="90" zoomScaleNormal="90" workbookViewId="0">
      <selection sqref="A1:XFD1048576"/>
    </sheetView>
  </sheetViews>
  <sheetFormatPr baseColWidth="10" defaultColWidth="8.83203125" defaultRowHeight="15"/>
  <cols>
    <col min="1" max="1" width="16.83203125" style="5" customWidth="1"/>
    <col min="2" max="2" width="78.1640625" style="6" customWidth="1"/>
    <col min="3" max="3" width="10.1640625" style="42" customWidth="1"/>
  </cols>
  <sheetData>
    <row r="1" spans="1:5" ht="16">
      <c r="A1" s="7" t="s">
        <v>774</v>
      </c>
      <c r="B1" s="7" t="s">
        <v>6466</v>
      </c>
      <c r="C1" s="7" t="s">
        <v>6476</v>
      </c>
      <c r="D1" s="7" t="s">
        <v>6467</v>
      </c>
      <c r="E1" s="7" t="s">
        <v>6482</v>
      </c>
    </row>
    <row r="2" spans="1:5" ht="80">
      <c r="A2" s="23" t="s">
        <v>6464</v>
      </c>
      <c r="B2" s="23" t="s">
        <v>6465</v>
      </c>
      <c r="C2" s="39" t="s">
        <v>1109</v>
      </c>
      <c r="D2" s="23" t="s">
        <v>1806</v>
      </c>
      <c r="E2" s="150" t="s">
        <v>1109</v>
      </c>
    </row>
    <row r="3" spans="1:5" ht="16">
      <c r="A3" s="19" t="s">
        <v>906</v>
      </c>
      <c r="B3" s="20" t="s">
        <v>6468</v>
      </c>
      <c r="C3" s="40">
        <v>1</v>
      </c>
      <c r="D3" s="20" t="s">
        <v>1806</v>
      </c>
      <c r="E3" s="20">
        <v>10</v>
      </c>
    </row>
    <row r="4" spans="1:5" ht="16">
      <c r="A4" s="19" t="s">
        <v>6470</v>
      </c>
      <c r="B4" s="20" t="s">
        <v>6469</v>
      </c>
      <c r="C4" s="40">
        <v>1</v>
      </c>
      <c r="D4" s="20" t="s">
        <v>1806</v>
      </c>
      <c r="E4" s="20">
        <v>8</v>
      </c>
    </row>
    <row r="5" spans="1:5" ht="16">
      <c r="A5" s="19" t="s">
        <v>910</v>
      </c>
      <c r="B5" s="20" t="s">
        <v>6472</v>
      </c>
      <c r="C5" s="40">
        <v>1</v>
      </c>
      <c r="D5" s="20" t="s">
        <v>1806</v>
      </c>
      <c r="E5" s="20">
        <v>10</v>
      </c>
    </row>
    <row r="6" spans="1:5" ht="16">
      <c r="A6" s="19" t="s">
        <v>911</v>
      </c>
      <c r="B6" s="20" t="s">
        <v>6473</v>
      </c>
      <c r="C6" s="40">
        <v>1</v>
      </c>
      <c r="D6" s="20" t="s">
        <v>1806</v>
      </c>
      <c r="E6" s="20">
        <v>10</v>
      </c>
    </row>
    <row r="7" spans="1:5" ht="16">
      <c r="A7" s="19" t="s">
        <v>925</v>
      </c>
      <c r="B7" s="20" t="s">
        <v>6491</v>
      </c>
      <c r="C7" s="40">
        <v>1</v>
      </c>
      <c r="D7" s="20" t="s">
        <v>1806</v>
      </c>
      <c r="E7" s="20">
        <v>10</v>
      </c>
    </row>
    <row r="8" spans="1:5" ht="32">
      <c r="A8" s="19" t="s">
        <v>6480</v>
      </c>
      <c r="B8" s="20" t="s">
        <v>6471</v>
      </c>
      <c r="C8" s="40">
        <v>1</v>
      </c>
      <c r="D8" s="20" t="s">
        <v>1806</v>
      </c>
      <c r="E8" s="20">
        <v>6</v>
      </c>
    </row>
    <row r="9" spans="1:5" ht="32">
      <c r="A9" s="19" t="s">
        <v>6481</v>
      </c>
      <c r="B9" s="20" t="s">
        <v>6478</v>
      </c>
      <c r="C9" s="40">
        <v>1</v>
      </c>
      <c r="D9" s="20" t="s">
        <v>1806</v>
      </c>
      <c r="E9" s="20">
        <v>6</v>
      </c>
    </row>
    <row r="10" spans="1:5" ht="32">
      <c r="A10" s="19" t="s">
        <v>909</v>
      </c>
      <c r="B10" s="20" t="s">
        <v>6479</v>
      </c>
      <c r="C10" s="40">
        <v>1</v>
      </c>
      <c r="D10" s="20" t="s">
        <v>1806</v>
      </c>
      <c r="E10" s="20">
        <v>6</v>
      </c>
    </row>
    <row r="11" spans="1:5" ht="32">
      <c r="A11" s="19" t="s">
        <v>6492</v>
      </c>
      <c r="B11" s="24" t="s">
        <v>6493</v>
      </c>
      <c r="C11" s="41">
        <v>1</v>
      </c>
      <c r="D11" s="20" t="s">
        <v>1806</v>
      </c>
      <c r="E11" s="41">
        <v>12</v>
      </c>
    </row>
    <row r="12" spans="1:5" ht="32">
      <c r="A12" s="19" t="s">
        <v>1474</v>
      </c>
      <c r="B12" s="24" t="s">
        <v>6494</v>
      </c>
      <c r="C12" s="41">
        <v>2</v>
      </c>
      <c r="D12" s="20" t="s">
        <v>1806</v>
      </c>
      <c r="E12" s="41">
        <v>10</v>
      </c>
    </row>
    <row r="13" spans="1:5" ht="32">
      <c r="A13" s="19" t="s">
        <v>6495</v>
      </c>
      <c r="B13" s="24" t="s">
        <v>6496</v>
      </c>
      <c r="C13" s="41">
        <v>3</v>
      </c>
      <c r="D13" s="20" t="s">
        <v>1806</v>
      </c>
      <c r="E13" s="41">
        <v>10</v>
      </c>
    </row>
    <row r="14" spans="1:5" ht="16">
      <c r="A14" s="19" t="s">
        <v>4952</v>
      </c>
      <c r="B14" s="24" t="s">
        <v>6497</v>
      </c>
      <c r="C14" s="41" t="s">
        <v>1109</v>
      </c>
      <c r="D14" s="20" t="s">
        <v>1807</v>
      </c>
      <c r="E14" s="41" t="s">
        <v>1109</v>
      </c>
    </row>
    <row r="15" spans="1:5" ht="16">
      <c r="A15" s="19" t="s">
        <v>4953</v>
      </c>
      <c r="B15" s="24" t="s">
        <v>6498</v>
      </c>
      <c r="C15" s="41">
        <v>2</v>
      </c>
      <c r="D15" s="20" t="s">
        <v>1806</v>
      </c>
      <c r="E15" s="41">
        <v>6</v>
      </c>
    </row>
    <row r="16" spans="1:5" ht="16">
      <c r="A16" s="19" t="s">
        <v>1466</v>
      </c>
      <c r="B16" s="24" t="s">
        <v>6499</v>
      </c>
      <c r="C16" s="41" t="s">
        <v>1109</v>
      </c>
      <c r="D16" s="20" t="s">
        <v>1807</v>
      </c>
      <c r="E16" s="41" t="s">
        <v>1109</v>
      </c>
    </row>
    <row r="17" spans="1:5" ht="16">
      <c r="A17" s="19" t="s">
        <v>6500</v>
      </c>
      <c r="B17" s="20" t="s">
        <v>6501</v>
      </c>
      <c r="C17" s="41">
        <v>2</v>
      </c>
      <c r="D17" s="20" t="s">
        <v>1806</v>
      </c>
      <c r="E17" s="41">
        <v>8</v>
      </c>
    </row>
    <row r="18" spans="1:5" ht="16">
      <c r="A18" s="19" t="s">
        <v>4954</v>
      </c>
      <c r="B18" s="20" t="s">
        <v>6502</v>
      </c>
      <c r="C18" s="41">
        <v>3</v>
      </c>
      <c r="D18" s="20" t="s">
        <v>1806</v>
      </c>
      <c r="E18" s="41">
        <v>6</v>
      </c>
    </row>
    <row r="19" spans="1:5" ht="16">
      <c r="A19" s="19" t="s">
        <v>907</v>
      </c>
      <c r="B19" s="20" t="s">
        <v>6503</v>
      </c>
      <c r="C19" s="41" t="s">
        <v>1109</v>
      </c>
      <c r="D19" s="20" t="s">
        <v>1807</v>
      </c>
      <c r="E19" s="41" t="s">
        <v>1109</v>
      </c>
    </row>
    <row r="20" spans="1:5" ht="16">
      <c r="A20" s="19" t="s">
        <v>4955</v>
      </c>
      <c r="B20" s="24" t="s">
        <v>1109</v>
      </c>
      <c r="C20" s="41" t="s">
        <v>1109</v>
      </c>
      <c r="D20" s="20" t="s">
        <v>1807</v>
      </c>
      <c r="E20" s="41" t="s">
        <v>1109</v>
      </c>
    </row>
    <row r="21" spans="1:5" ht="16">
      <c r="A21" s="19" t="s">
        <v>908</v>
      </c>
      <c r="B21" s="24" t="s">
        <v>1109</v>
      </c>
      <c r="C21" s="41" t="s">
        <v>1109</v>
      </c>
      <c r="D21" s="20" t="s">
        <v>1807</v>
      </c>
      <c r="E21" s="41" t="s">
        <v>1109</v>
      </c>
    </row>
    <row r="22" spans="1:5">
      <c r="A22" s="19"/>
      <c r="B22" s="20"/>
      <c r="C22" s="41"/>
      <c r="D22" s="20"/>
      <c r="E22" s="20"/>
    </row>
    <row r="23" spans="1:5">
      <c r="A23" s="19"/>
      <c r="B23" s="20"/>
      <c r="C23" s="41"/>
      <c r="D23" s="20"/>
      <c r="E23" s="20"/>
    </row>
    <row r="24" spans="1:5">
      <c r="A24" s="19"/>
      <c r="B24" s="20"/>
      <c r="C24" s="41"/>
      <c r="D24" s="20"/>
      <c r="E24" s="20"/>
    </row>
    <row r="25" spans="1:5">
      <c r="A25" s="19"/>
      <c r="B25" s="20"/>
      <c r="C25" s="41"/>
      <c r="D25" s="20"/>
      <c r="E25" s="20"/>
    </row>
    <row r="26" spans="1:5">
      <c r="A26" s="19"/>
      <c r="B26" s="20"/>
      <c r="C26" s="41"/>
      <c r="D26" s="20"/>
      <c r="E26" s="20"/>
    </row>
    <row r="27" spans="1:5">
      <c r="A27" s="19"/>
      <c r="B27" s="20"/>
      <c r="C27" s="41"/>
      <c r="D27" s="20"/>
      <c r="E27" s="20"/>
    </row>
    <row r="28" spans="1:5">
      <c r="A28" s="19"/>
      <c r="B28" s="20"/>
      <c r="C28" s="41"/>
      <c r="D28" s="20"/>
      <c r="E28" s="20"/>
    </row>
    <row r="29" spans="1:5">
      <c r="A29" s="19"/>
      <c r="B29" s="20"/>
      <c r="C29" s="41"/>
      <c r="D29" s="20"/>
      <c r="E29" s="20"/>
    </row>
    <row r="30" spans="1:5">
      <c r="A30" s="20"/>
      <c r="B30" s="20"/>
      <c r="C30" s="40"/>
      <c r="D30" s="20"/>
      <c r="E30" s="20"/>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B3:M32"/>
  <sheetViews>
    <sheetView showGridLines="0" workbookViewId="0">
      <selection activeCell="M16" sqref="M16"/>
    </sheetView>
  </sheetViews>
  <sheetFormatPr baseColWidth="10" defaultColWidth="8.6640625" defaultRowHeight="14"/>
  <cols>
    <col min="1" max="1" width="8.6640625" style="53"/>
    <col min="2" max="2" width="16.1640625" style="53" customWidth="1"/>
    <col min="3" max="3" width="4.5" style="56" bestFit="1" customWidth="1"/>
    <col min="4" max="4" width="4.5" style="56" customWidth="1"/>
    <col min="5" max="6" width="4.33203125" style="57" customWidth="1"/>
    <col min="7" max="7" width="8.1640625" style="53" customWidth="1"/>
    <col min="8" max="8" width="0.5" style="53" customWidth="1"/>
    <col min="9" max="10" width="8.1640625" style="53" customWidth="1"/>
    <col min="11" max="16384" width="8.6640625" style="53"/>
  </cols>
  <sheetData>
    <row r="3" spans="2:13">
      <c r="B3" s="59" t="e">
        <f>VLOOKUP(C3,'Consumable Items'!A:C,2,0)</f>
        <v>#N/A</v>
      </c>
      <c r="C3" s="55">
        <v>17</v>
      </c>
      <c r="D3" s="55"/>
      <c r="E3" s="59" t="e">
        <f>CONCATENATE("#"," - ",B3)</f>
        <v>#N/A</v>
      </c>
      <c r="F3" s="59"/>
    </row>
    <row r="4" spans="2:13" ht="6.5" customHeight="1">
      <c r="E4" s="58"/>
      <c r="F4" s="58"/>
    </row>
    <row r="5" spans="2:13" ht="16" customHeight="1">
      <c r="E5" s="58"/>
      <c r="F5" s="58"/>
    </row>
    <row r="6" spans="2:13" ht="16" customHeight="1">
      <c r="E6" s="58"/>
      <c r="F6" s="58"/>
      <c r="J6" s="64"/>
      <c r="M6" s="54"/>
    </row>
    <row r="7" spans="2:13" ht="16" customHeight="1">
      <c r="E7" s="58"/>
      <c r="F7" s="58"/>
      <c r="J7" s="65"/>
      <c r="M7" s="54"/>
    </row>
    <row r="8" spans="2:13" ht="26" customHeight="1">
      <c r="E8" s="58"/>
      <c r="F8" s="58"/>
      <c r="J8" s="66"/>
      <c r="M8" s="54"/>
    </row>
    <row r="9" spans="2:13" ht="5.5" customHeight="1">
      <c r="E9" s="58"/>
      <c r="F9" s="58"/>
      <c r="I9" s="62"/>
      <c r="M9" s="54"/>
    </row>
    <row r="10" spans="2:13" ht="18" customHeight="1">
      <c r="E10" s="206" t="s">
        <v>771</v>
      </c>
      <c r="F10" s="207"/>
      <c r="G10" s="207"/>
      <c r="H10" s="207"/>
      <c r="I10" s="207"/>
      <c r="J10" s="208"/>
    </row>
    <row r="11" spans="2:13" ht="32" customHeight="1">
      <c r="E11" s="215" t="e">
        <f>VLOOKUP(C3,'Consumable Items'!A:C,3,0)</f>
        <v>#N/A</v>
      </c>
      <c r="F11" s="216"/>
      <c r="G11" s="216"/>
      <c r="H11" s="216"/>
      <c r="I11" s="216"/>
      <c r="J11" s="217"/>
    </row>
    <row r="12" spans="2:13" ht="3" customHeight="1">
      <c r="E12" s="218"/>
      <c r="F12" s="219"/>
      <c r="G12" s="219"/>
      <c r="H12" s="219"/>
      <c r="I12" s="219"/>
      <c r="J12" s="220"/>
    </row>
    <row r="13" spans="2:13" ht="18" customHeight="1">
      <c r="E13" s="218"/>
      <c r="F13" s="219"/>
      <c r="G13" s="219"/>
      <c r="H13" s="219"/>
      <c r="I13" s="219"/>
      <c r="J13" s="220"/>
    </row>
    <row r="14" spans="2:13" ht="16" customHeight="1">
      <c r="E14" s="218"/>
      <c r="F14" s="219"/>
      <c r="G14" s="219"/>
      <c r="H14" s="219"/>
      <c r="I14" s="219"/>
      <c r="J14" s="220"/>
    </row>
    <row r="15" spans="2:13" ht="18" customHeight="1">
      <c r="E15" s="218"/>
      <c r="F15" s="219"/>
      <c r="G15" s="219"/>
      <c r="H15" s="219"/>
      <c r="I15" s="219"/>
      <c r="J15" s="220"/>
    </row>
    <row r="16" spans="2:13" ht="16" customHeight="1">
      <c r="E16" s="221"/>
      <c r="F16" s="222"/>
      <c r="G16" s="222"/>
      <c r="H16" s="222"/>
      <c r="I16" s="222"/>
      <c r="J16" s="223"/>
    </row>
    <row r="17" spans="5:10" ht="3" customHeight="1">
      <c r="E17" s="58"/>
      <c r="F17" s="58"/>
    </row>
    <row r="18" spans="5:10" ht="18" customHeight="1">
      <c r="E18" s="209" t="e">
        <f>CONCATENATE((VLOOKUP(C3,'Consumable Items'!A:C,4,0)),"$")</f>
        <v>#N/A</v>
      </c>
      <c r="F18" s="210"/>
      <c r="G18" s="210"/>
      <c r="H18" s="210"/>
      <c r="I18" s="210"/>
      <c r="J18" s="211"/>
    </row>
    <row r="19" spans="5:10" ht="18" customHeight="1">
      <c r="E19" s="212"/>
      <c r="F19" s="213"/>
      <c r="G19" s="213"/>
      <c r="H19" s="213"/>
      <c r="I19" s="213"/>
      <c r="J19" s="214"/>
    </row>
    <row r="29" spans="5:10" ht="14" customHeight="1"/>
    <row r="32" spans="5:10" ht="14" customHeight="1"/>
  </sheetData>
  <mergeCells count="3">
    <mergeCell ref="E10:J10"/>
    <mergeCell ref="E18:J19"/>
    <mergeCell ref="E11:J16"/>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5"/>
  </sheetPr>
  <dimension ref="A1:D115"/>
  <sheetViews>
    <sheetView topLeftCell="A99" zoomScale="80" zoomScaleNormal="80" workbookViewId="0">
      <selection activeCell="A115" sqref="A115"/>
    </sheetView>
  </sheetViews>
  <sheetFormatPr baseColWidth="10" defaultColWidth="8.83203125" defaultRowHeight="15"/>
  <cols>
    <col min="1" max="1" width="16.6640625" style="5" customWidth="1"/>
    <col min="2" max="2" width="81" style="6" customWidth="1"/>
  </cols>
  <sheetData>
    <row r="1" spans="1:4" s="10" customFormat="1" ht="16">
      <c r="A1" s="7" t="s">
        <v>774</v>
      </c>
      <c r="B1" s="7" t="s">
        <v>771</v>
      </c>
      <c r="C1" s="7" t="s">
        <v>6474</v>
      </c>
      <c r="D1" s="7" t="s">
        <v>6467</v>
      </c>
    </row>
    <row r="2" spans="1:4" ht="32">
      <c r="A2" s="19" t="s">
        <v>784</v>
      </c>
      <c r="B2" s="20" t="s">
        <v>4966</v>
      </c>
      <c r="C2" s="149" t="s">
        <v>1109</v>
      </c>
      <c r="D2" s="20" t="s">
        <v>1807</v>
      </c>
    </row>
    <row r="3" spans="1:4" ht="32">
      <c r="A3" s="19" t="s">
        <v>786</v>
      </c>
      <c r="B3" s="20" t="s">
        <v>4968</v>
      </c>
      <c r="C3" s="149" t="s">
        <v>1109</v>
      </c>
      <c r="D3" s="20" t="s">
        <v>1807</v>
      </c>
    </row>
    <row r="4" spans="1:4" ht="16">
      <c r="A4" s="19" t="s">
        <v>902</v>
      </c>
      <c r="B4" s="20" t="s">
        <v>4956</v>
      </c>
      <c r="C4" s="149" t="s">
        <v>1109</v>
      </c>
      <c r="D4" s="20" t="s">
        <v>1807</v>
      </c>
    </row>
    <row r="5" spans="1:4" ht="16">
      <c r="A5" s="19" t="s">
        <v>903</v>
      </c>
      <c r="B5" s="20" t="s">
        <v>4970</v>
      </c>
      <c r="C5" s="149" t="s">
        <v>1109</v>
      </c>
      <c r="D5" s="20" t="s">
        <v>1807</v>
      </c>
    </row>
    <row r="6" spans="1:4" ht="16">
      <c r="A6" s="19" t="s">
        <v>926</v>
      </c>
      <c r="B6" s="20" t="s">
        <v>4971</v>
      </c>
      <c r="C6" s="149" t="s">
        <v>1109</v>
      </c>
      <c r="D6" s="20" t="s">
        <v>1807</v>
      </c>
    </row>
    <row r="7" spans="1:4" ht="16">
      <c r="A7" s="19" t="s">
        <v>1456</v>
      </c>
      <c r="B7" s="20" t="s">
        <v>947</v>
      </c>
      <c r="C7" s="149" t="s">
        <v>1109</v>
      </c>
      <c r="D7" s="20" t="s">
        <v>1807</v>
      </c>
    </row>
    <row r="8" spans="1:4" ht="16">
      <c r="A8" s="19" t="s">
        <v>904</v>
      </c>
      <c r="B8" s="20" t="s">
        <v>4972</v>
      </c>
      <c r="C8" s="149" t="s">
        <v>1109</v>
      </c>
      <c r="D8" s="20" t="s">
        <v>1807</v>
      </c>
    </row>
    <row r="9" spans="1:4" ht="16">
      <c r="A9" s="19" t="s">
        <v>905</v>
      </c>
      <c r="B9" s="20" t="s">
        <v>4973</v>
      </c>
      <c r="C9" s="149" t="s">
        <v>1109</v>
      </c>
      <c r="D9" s="20" t="s">
        <v>1807</v>
      </c>
    </row>
    <row r="10" spans="1:4" ht="32">
      <c r="A10" s="19" t="s">
        <v>1439</v>
      </c>
      <c r="B10" s="20" t="s">
        <v>4992</v>
      </c>
      <c r="C10" s="149" t="s">
        <v>1109</v>
      </c>
      <c r="D10" s="20" t="s">
        <v>1807</v>
      </c>
    </row>
    <row r="11" spans="1:4" ht="32">
      <c r="A11" s="19" t="s">
        <v>789</v>
      </c>
      <c r="B11" s="20" t="s">
        <v>4998</v>
      </c>
      <c r="C11" s="149" t="s">
        <v>1109</v>
      </c>
      <c r="D11" s="20" t="s">
        <v>1807</v>
      </c>
    </row>
    <row r="12" spans="1:4" ht="16">
      <c r="A12" s="19" t="s">
        <v>1969</v>
      </c>
      <c r="B12" s="20" t="s">
        <v>4999</v>
      </c>
      <c r="C12" s="149" t="s">
        <v>1109</v>
      </c>
      <c r="D12" s="20" t="s">
        <v>1807</v>
      </c>
    </row>
    <row r="13" spans="1:4" ht="16">
      <c r="A13" s="19" t="s">
        <v>1970</v>
      </c>
      <c r="B13" s="20" t="s">
        <v>5000</v>
      </c>
      <c r="C13" s="149" t="s">
        <v>1109</v>
      </c>
      <c r="D13" s="20" t="s">
        <v>1807</v>
      </c>
    </row>
    <row r="14" spans="1:4" ht="16">
      <c r="A14" s="19" t="s">
        <v>913</v>
      </c>
      <c r="B14" s="20" t="s">
        <v>4976</v>
      </c>
      <c r="C14" s="149" t="s">
        <v>1109</v>
      </c>
      <c r="D14" s="20" t="s">
        <v>1807</v>
      </c>
    </row>
    <row r="15" spans="1:4" ht="16">
      <c r="A15" s="19" t="s">
        <v>914</v>
      </c>
      <c r="B15" s="20" t="s">
        <v>4977</v>
      </c>
      <c r="C15" s="149" t="s">
        <v>1109</v>
      </c>
      <c r="D15" s="20" t="s">
        <v>1807</v>
      </c>
    </row>
    <row r="16" spans="1:4" ht="32">
      <c r="A16" s="19" t="s">
        <v>915</v>
      </c>
      <c r="B16" s="20" t="s">
        <v>4985</v>
      </c>
      <c r="C16" s="149" t="s">
        <v>1109</v>
      </c>
      <c r="D16" s="20" t="s">
        <v>1807</v>
      </c>
    </row>
    <row r="17" spans="1:4" ht="16">
      <c r="A17" s="19" t="s">
        <v>917</v>
      </c>
      <c r="B17" s="20" t="s">
        <v>4978</v>
      </c>
      <c r="C17" s="149" t="s">
        <v>1109</v>
      </c>
      <c r="D17" s="20" t="s">
        <v>1807</v>
      </c>
    </row>
    <row r="18" spans="1:4" ht="16">
      <c r="A18" s="19" t="s">
        <v>918</v>
      </c>
      <c r="B18" s="20" t="s">
        <v>4979</v>
      </c>
      <c r="C18" s="149" t="s">
        <v>1109</v>
      </c>
      <c r="D18" s="20" t="s">
        <v>1807</v>
      </c>
    </row>
    <row r="19" spans="1:4" ht="32">
      <c r="A19" s="19" t="s">
        <v>919</v>
      </c>
      <c r="B19" s="20" t="s">
        <v>4980</v>
      </c>
      <c r="C19" s="149" t="s">
        <v>1109</v>
      </c>
      <c r="D19" s="20" t="s">
        <v>1807</v>
      </c>
    </row>
    <row r="20" spans="1:4" ht="16">
      <c r="A20" s="19" t="s">
        <v>920</v>
      </c>
      <c r="B20" s="20" t="s">
        <v>4987</v>
      </c>
      <c r="C20" s="149" t="s">
        <v>1109</v>
      </c>
      <c r="D20" s="20" t="s">
        <v>1807</v>
      </c>
    </row>
    <row r="21" spans="1:4" ht="16">
      <c r="A21" s="19" t="s">
        <v>921</v>
      </c>
      <c r="B21" s="20" t="s">
        <v>4986</v>
      </c>
      <c r="C21" s="149" t="s">
        <v>1109</v>
      </c>
      <c r="D21" s="20" t="s">
        <v>1807</v>
      </c>
    </row>
    <row r="22" spans="1:4" ht="32">
      <c r="A22" s="19" t="s">
        <v>922</v>
      </c>
      <c r="B22" s="24" t="s">
        <v>4984</v>
      </c>
      <c r="C22" s="149" t="s">
        <v>1109</v>
      </c>
      <c r="D22" s="20" t="s">
        <v>1807</v>
      </c>
    </row>
    <row r="23" spans="1:4" ht="16">
      <c r="A23" s="19" t="s">
        <v>923</v>
      </c>
      <c r="B23" s="20" t="s">
        <v>4981</v>
      </c>
      <c r="C23" s="149" t="s">
        <v>1109</v>
      </c>
      <c r="D23" s="20" t="s">
        <v>1807</v>
      </c>
    </row>
    <row r="24" spans="1:4" ht="32">
      <c r="A24" s="19" t="s">
        <v>924</v>
      </c>
      <c r="B24" s="20" t="s">
        <v>4982</v>
      </c>
      <c r="C24" s="149" t="s">
        <v>1109</v>
      </c>
      <c r="D24" s="20" t="s">
        <v>1807</v>
      </c>
    </row>
    <row r="25" spans="1:4" ht="16">
      <c r="A25" s="19" t="s">
        <v>1536</v>
      </c>
      <c r="B25" s="20" t="s">
        <v>4957</v>
      </c>
      <c r="C25" s="149" t="s">
        <v>1109</v>
      </c>
      <c r="D25" s="20" t="s">
        <v>1807</v>
      </c>
    </row>
    <row r="26" spans="1:4" ht="32">
      <c r="A26" s="19" t="s">
        <v>5001</v>
      </c>
      <c r="B26" s="20" t="s">
        <v>5002</v>
      </c>
      <c r="C26" s="149" t="s">
        <v>1109</v>
      </c>
      <c r="D26" s="20" t="s">
        <v>1807</v>
      </c>
    </row>
    <row r="27" spans="1:4" ht="32">
      <c r="A27" s="19" t="s">
        <v>5003</v>
      </c>
      <c r="B27" s="20" t="s">
        <v>5005</v>
      </c>
      <c r="C27" s="149" t="s">
        <v>1109</v>
      </c>
      <c r="D27" s="20" t="s">
        <v>1807</v>
      </c>
    </row>
    <row r="28" spans="1:4" ht="32">
      <c r="A28" s="19" t="s">
        <v>5004</v>
      </c>
      <c r="B28" s="20" t="s">
        <v>5006</v>
      </c>
      <c r="C28" s="149" t="s">
        <v>1109</v>
      </c>
      <c r="D28" s="20" t="s">
        <v>1807</v>
      </c>
    </row>
    <row r="29" spans="1:4" ht="32">
      <c r="A29" s="19" t="s">
        <v>4990</v>
      </c>
      <c r="B29" s="20" t="s">
        <v>4989</v>
      </c>
      <c r="C29" s="149" t="s">
        <v>1109</v>
      </c>
      <c r="D29" s="20" t="s">
        <v>1807</v>
      </c>
    </row>
    <row r="30" spans="1:4" ht="32">
      <c r="A30" s="19" t="s">
        <v>4988</v>
      </c>
      <c r="B30" s="20" t="s">
        <v>4983</v>
      </c>
      <c r="C30" s="149" t="s">
        <v>1109</v>
      </c>
      <c r="D30" s="20" t="s">
        <v>1807</v>
      </c>
    </row>
    <row r="31" spans="1:4" ht="48">
      <c r="A31" s="19" t="s">
        <v>775</v>
      </c>
      <c r="B31" s="20" t="s">
        <v>5008</v>
      </c>
      <c r="C31" s="149" t="s">
        <v>1109</v>
      </c>
      <c r="D31" s="20" t="s">
        <v>1807</v>
      </c>
    </row>
    <row r="32" spans="1:4" ht="16">
      <c r="A32" s="19" t="s">
        <v>776</v>
      </c>
      <c r="B32" s="20" t="s">
        <v>4958</v>
      </c>
      <c r="C32" s="149" t="s">
        <v>1109</v>
      </c>
      <c r="D32" s="20" t="s">
        <v>1807</v>
      </c>
    </row>
    <row r="33" spans="1:4" ht="16">
      <c r="A33" s="19" t="s">
        <v>781</v>
      </c>
      <c r="B33" s="20" t="s">
        <v>4963</v>
      </c>
      <c r="C33" s="149" t="s">
        <v>1109</v>
      </c>
      <c r="D33" s="20" t="s">
        <v>1807</v>
      </c>
    </row>
    <row r="34" spans="1:4" ht="16">
      <c r="A34" s="19" t="s">
        <v>782</v>
      </c>
      <c r="B34" s="20" t="s">
        <v>4964</v>
      </c>
      <c r="C34" s="149" t="s">
        <v>1109</v>
      </c>
      <c r="D34" s="20" t="s">
        <v>1807</v>
      </c>
    </row>
    <row r="35" spans="1:4" ht="16">
      <c r="A35" s="19" t="s">
        <v>783</v>
      </c>
      <c r="B35" s="20" t="s">
        <v>4965</v>
      </c>
      <c r="C35" s="149" t="s">
        <v>1109</v>
      </c>
      <c r="D35" s="20" t="s">
        <v>1807</v>
      </c>
    </row>
    <row r="36" spans="1:4" ht="32">
      <c r="A36" s="19" t="s">
        <v>785</v>
      </c>
      <c r="B36" s="20" t="s">
        <v>4967</v>
      </c>
      <c r="C36" s="149" t="s">
        <v>1109</v>
      </c>
      <c r="D36" s="20" t="s">
        <v>1807</v>
      </c>
    </row>
    <row r="37" spans="1:4" ht="16">
      <c r="A37" s="19" t="s">
        <v>787</v>
      </c>
      <c r="B37" s="20" t="s">
        <v>4969</v>
      </c>
      <c r="C37" s="149" t="s">
        <v>1109</v>
      </c>
      <c r="D37" s="20" t="s">
        <v>1807</v>
      </c>
    </row>
    <row r="38" spans="1:4" ht="16">
      <c r="A38" s="19" t="s">
        <v>912</v>
      </c>
      <c r="B38" s="20" t="s">
        <v>4974</v>
      </c>
      <c r="C38" s="149" t="s">
        <v>1109</v>
      </c>
      <c r="D38" s="20" t="s">
        <v>1807</v>
      </c>
    </row>
    <row r="39" spans="1:4" ht="16">
      <c r="A39" s="19" t="s">
        <v>1168</v>
      </c>
      <c r="B39" s="20" t="s">
        <v>4975</v>
      </c>
      <c r="C39" s="149" t="s">
        <v>1109</v>
      </c>
      <c r="D39" s="20" t="s">
        <v>1807</v>
      </c>
    </row>
    <row r="40" spans="1:4" ht="16">
      <c r="A40" s="19" t="s">
        <v>1435</v>
      </c>
      <c r="B40" s="20" t="s">
        <v>4991</v>
      </c>
      <c r="C40" s="149" t="s">
        <v>1109</v>
      </c>
      <c r="D40" s="20" t="s">
        <v>1807</v>
      </c>
    </row>
    <row r="41" spans="1:4" ht="16">
      <c r="A41" s="19" t="s">
        <v>1441</v>
      </c>
      <c r="B41" s="20" t="s">
        <v>4993</v>
      </c>
      <c r="C41" s="149" t="s">
        <v>1109</v>
      </c>
      <c r="D41" s="20" t="s">
        <v>1807</v>
      </c>
    </row>
    <row r="42" spans="1:4" ht="16">
      <c r="A42" s="20" t="s">
        <v>5071</v>
      </c>
      <c r="B42" s="20" t="s">
        <v>4994</v>
      </c>
      <c r="C42" s="149" t="s">
        <v>1109</v>
      </c>
      <c r="D42" s="20" t="s">
        <v>1807</v>
      </c>
    </row>
    <row r="43" spans="1:4" ht="16">
      <c r="A43" s="20" t="s">
        <v>5069</v>
      </c>
      <c r="B43" s="20" t="s">
        <v>4995</v>
      </c>
      <c r="C43" s="149" t="s">
        <v>1109</v>
      </c>
      <c r="D43" s="20" t="s">
        <v>1807</v>
      </c>
    </row>
    <row r="44" spans="1:4" ht="16">
      <c r="A44" s="20" t="s">
        <v>5068</v>
      </c>
      <c r="B44" s="20" t="s">
        <v>4996</v>
      </c>
      <c r="C44" s="149" t="s">
        <v>1109</v>
      </c>
      <c r="D44" s="20" t="s">
        <v>1807</v>
      </c>
    </row>
    <row r="45" spans="1:4" ht="16">
      <c r="A45" s="20" t="s">
        <v>5070</v>
      </c>
      <c r="B45" s="20" t="s">
        <v>4997</v>
      </c>
      <c r="C45" s="149" t="s">
        <v>1109</v>
      </c>
      <c r="D45" s="20" t="s">
        <v>1807</v>
      </c>
    </row>
    <row r="46" spans="1:4" ht="32">
      <c r="A46" s="19" t="s">
        <v>5007</v>
      </c>
      <c r="B46" s="20" t="s">
        <v>5009</v>
      </c>
      <c r="C46" s="149" t="s">
        <v>1109</v>
      </c>
      <c r="D46" s="20" t="s">
        <v>1807</v>
      </c>
    </row>
    <row r="47" spans="1:4" ht="16">
      <c r="A47" s="19" t="s">
        <v>777</v>
      </c>
      <c r="B47" s="20" t="s">
        <v>4959</v>
      </c>
      <c r="C47" s="149" t="s">
        <v>1109</v>
      </c>
      <c r="D47" s="20" t="s">
        <v>1807</v>
      </c>
    </row>
    <row r="48" spans="1:4" ht="16">
      <c r="A48" s="19" t="s">
        <v>778</v>
      </c>
      <c r="B48" s="20" t="s">
        <v>4960</v>
      </c>
      <c r="C48" s="149" t="s">
        <v>1109</v>
      </c>
      <c r="D48" s="20" t="s">
        <v>1807</v>
      </c>
    </row>
    <row r="49" spans="1:4" ht="16">
      <c r="A49" s="19" t="s">
        <v>779</v>
      </c>
      <c r="B49" s="20" t="s">
        <v>4961</v>
      </c>
      <c r="C49" s="149" t="s">
        <v>1109</v>
      </c>
      <c r="D49" s="20" t="s">
        <v>1807</v>
      </c>
    </row>
    <row r="50" spans="1:4" ht="16">
      <c r="A50" s="19" t="s">
        <v>780</v>
      </c>
      <c r="B50" s="20" t="s">
        <v>4962</v>
      </c>
      <c r="C50" s="149" t="s">
        <v>1109</v>
      </c>
      <c r="D50" s="20" t="s">
        <v>1807</v>
      </c>
    </row>
    <row r="51" spans="1:4" ht="32">
      <c r="A51" s="19" t="s">
        <v>1440</v>
      </c>
      <c r="B51" s="20" t="s">
        <v>5010</v>
      </c>
      <c r="C51" s="149" t="s">
        <v>1109</v>
      </c>
      <c r="D51" s="20" t="s">
        <v>1807</v>
      </c>
    </row>
    <row r="52" spans="1:4" ht="16">
      <c r="A52" s="19" t="s">
        <v>1480</v>
      </c>
      <c r="B52" s="20" t="s">
        <v>5011</v>
      </c>
      <c r="C52" s="149" t="s">
        <v>1109</v>
      </c>
      <c r="D52" s="20" t="s">
        <v>1807</v>
      </c>
    </row>
    <row r="53" spans="1:4" ht="32">
      <c r="A53" s="19" t="s">
        <v>5073</v>
      </c>
      <c r="B53" s="20" t="s">
        <v>5076</v>
      </c>
      <c r="C53" s="149" t="s">
        <v>1109</v>
      </c>
      <c r="D53" s="20" t="s">
        <v>1807</v>
      </c>
    </row>
    <row r="54" spans="1:4" ht="32">
      <c r="A54" s="19" t="s">
        <v>5074</v>
      </c>
      <c r="B54" s="20" t="s">
        <v>5075</v>
      </c>
      <c r="C54" s="149" t="s">
        <v>1109</v>
      </c>
      <c r="D54" s="20" t="s">
        <v>1807</v>
      </c>
    </row>
    <row r="55" spans="1:4" ht="16">
      <c r="A55" s="19" t="s">
        <v>5082</v>
      </c>
      <c r="B55" s="20" t="s">
        <v>5084</v>
      </c>
      <c r="C55" s="149" t="s">
        <v>1109</v>
      </c>
      <c r="D55" s="20" t="s">
        <v>1807</v>
      </c>
    </row>
    <row r="56" spans="1:4" ht="32">
      <c r="A56" s="19" t="s">
        <v>5081</v>
      </c>
      <c r="B56" s="20" t="s">
        <v>5083</v>
      </c>
      <c r="C56" s="149" t="s">
        <v>1109</v>
      </c>
      <c r="D56" s="20" t="s">
        <v>1807</v>
      </c>
    </row>
    <row r="57" spans="1:4" ht="16">
      <c r="A57" s="19" t="s">
        <v>5085</v>
      </c>
      <c r="B57" s="20" t="s">
        <v>5087</v>
      </c>
      <c r="C57" s="149" t="s">
        <v>1109</v>
      </c>
      <c r="D57" s="20" t="s">
        <v>1807</v>
      </c>
    </row>
    <row r="58" spans="1:4" ht="16">
      <c r="A58" s="19" t="s">
        <v>5086</v>
      </c>
      <c r="B58" s="20" t="s">
        <v>5088</v>
      </c>
      <c r="C58" s="149" t="s">
        <v>1109</v>
      </c>
      <c r="D58" s="20" t="s">
        <v>1807</v>
      </c>
    </row>
    <row r="59" spans="1:4" ht="16">
      <c r="A59" s="19" t="s">
        <v>775</v>
      </c>
      <c r="B59" s="24" t="s">
        <v>1109</v>
      </c>
      <c r="C59" s="149" t="s">
        <v>1109</v>
      </c>
      <c r="D59" s="20" t="s">
        <v>1807</v>
      </c>
    </row>
    <row r="60" spans="1:4" ht="16">
      <c r="A60" s="19" t="s">
        <v>782</v>
      </c>
      <c r="B60" s="24" t="s">
        <v>1109</v>
      </c>
      <c r="C60" s="149" t="s">
        <v>1109</v>
      </c>
      <c r="D60" s="20" t="s">
        <v>1807</v>
      </c>
    </row>
    <row r="61" spans="1:4" ht="16">
      <c r="A61" s="19" t="s">
        <v>783</v>
      </c>
      <c r="B61" s="24" t="s">
        <v>1109</v>
      </c>
      <c r="C61" s="149" t="s">
        <v>1109</v>
      </c>
      <c r="D61" s="20" t="s">
        <v>1807</v>
      </c>
    </row>
    <row r="62" spans="1:4" ht="16">
      <c r="A62" s="19" t="s">
        <v>785</v>
      </c>
      <c r="B62" s="24" t="s">
        <v>1109</v>
      </c>
      <c r="C62" s="149" t="s">
        <v>1109</v>
      </c>
      <c r="D62" s="20" t="s">
        <v>1807</v>
      </c>
    </row>
    <row r="63" spans="1:4" ht="16">
      <c r="A63" s="19" t="s">
        <v>5071</v>
      </c>
      <c r="B63" s="24" t="s">
        <v>1109</v>
      </c>
      <c r="C63" s="149" t="s">
        <v>1109</v>
      </c>
      <c r="D63" s="20" t="s">
        <v>1807</v>
      </c>
    </row>
    <row r="64" spans="1:4" ht="16">
      <c r="A64" s="19" t="s">
        <v>5069</v>
      </c>
      <c r="B64" s="24" t="s">
        <v>1109</v>
      </c>
      <c r="C64" s="149" t="s">
        <v>1109</v>
      </c>
      <c r="D64" s="20" t="s">
        <v>1807</v>
      </c>
    </row>
    <row r="65" spans="1:4" ht="16">
      <c r="A65" s="19" t="s">
        <v>5068</v>
      </c>
      <c r="B65" s="24" t="s">
        <v>1109</v>
      </c>
      <c r="C65" s="149" t="s">
        <v>1109</v>
      </c>
      <c r="D65" s="20" t="s">
        <v>1807</v>
      </c>
    </row>
    <row r="66" spans="1:4" ht="16">
      <c r="A66" s="19" t="s">
        <v>5070</v>
      </c>
      <c r="B66" s="24" t="s">
        <v>1109</v>
      </c>
      <c r="C66" s="149" t="s">
        <v>1109</v>
      </c>
      <c r="D66" s="20" t="s">
        <v>1807</v>
      </c>
    </row>
    <row r="67" spans="1:4" ht="16">
      <c r="A67" s="19" t="s">
        <v>1443</v>
      </c>
      <c r="B67" s="20" t="s">
        <v>1444</v>
      </c>
      <c r="C67" s="149" t="s">
        <v>1109</v>
      </c>
      <c r="D67" s="20" t="s">
        <v>1807</v>
      </c>
    </row>
    <row r="68" spans="1:4" ht="16">
      <c r="A68" s="19" t="s">
        <v>1446</v>
      </c>
      <c r="B68" s="20" t="s">
        <v>5046</v>
      </c>
      <c r="C68" s="149" t="s">
        <v>1109</v>
      </c>
      <c r="D68" s="20" t="s">
        <v>1807</v>
      </c>
    </row>
    <row r="69" spans="1:4" ht="16">
      <c r="A69" s="19" t="s">
        <v>1058</v>
      </c>
      <c r="B69" s="20" t="s">
        <v>1448</v>
      </c>
      <c r="C69" s="149" t="s">
        <v>1109</v>
      </c>
      <c r="D69" s="20" t="s">
        <v>1807</v>
      </c>
    </row>
    <row r="70" spans="1:4" ht="16">
      <c r="A70" s="19" t="s">
        <v>127</v>
      </c>
      <c r="B70" s="20" t="s">
        <v>1449</v>
      </c>
      <c r="C70" s="149" t="s">
        <v>1109</v>
      </c>
      <c r="D70" s="20" t="s">
        <v>1807</v>
      </c>
    </row>
    <row r="71" spans="1:4" ht="32">
      <c r="A71" s="19" t="s">
        <v>128</v>
      </c>
      <c r="B71" s="20" t="s">
        <v>1528</v>
      </c>
      <c r="C71" s="149" t="s">
        <v>1109</v>
      </c>
      <c r="D71" s="20" t="s">
        <v>1807</v>
      </c>
    </row>
    <row r="72" spans="1:4" ht="16">
      <c r="A72" s="19" t="s">
        <v>34</v>
      </c>
      <c r="B72" s="20" t="s">
        <v>1450</v>
      </c>
      <c r="C72" s="149" t="s">
        <v>1109</v>
      </c>
      <c r="D72" s="20" t="s">
        <v>1807</v>
      </c>
    </row>
    <row r="73" spans="1:4" ht="16">
      <c r="A73" s="19" t="s">
        <v>1451</v>
      </c>
      <c r="B73" s="20" t="s">
        <v>1452</v>
      </c>
      <c r="C73" s="149" t="s">
        <v>1109</v>
      </c>
      <c r="D73" s="20" t="s">
        <v>1807</v>
      </c>
    </row>
    <row r="74" spans="1:4" ht="16">
      <c r="A74" s="19" t="s">
        <v>152</v>
      </c>
      <c r="B74" s="20" t="s">
        <v>5017</v>
      </c>
      <c r="C74" s="149" t="s">
        <v>1109</v>
      </c>
      <c r="D74" s="20" t="s">
        <v>1807</v>
      </c>
    </row>
    <row r="75" spans="1:4" ht="16">
      <c r="A75" s="19" t="s">
        <v>137</v>
      </c>
      <c r="B75" s="20" t="s">
        <v>5018</v>
      </c>
      <c r="C75" s="149" t="s">
        <v>1109</v>
      </c>
      <c r="D75" s="20" t="s">
        <v>1807</v>
      </c>
    </row>
    <row r="76" spans="1:4" ht="16">
      <c r="A76" s="19" t="s">
        <v>1453</v>
      </c>
      <c r="B76" s="20" t="s">
        <v>5020</v>
      </c>
      <c r="C76" s="149" t="s">
        <v>1109</v>
      </c>
      <c r="D76" s="20" t="s">
        <v>1807</v>
      </c>
    </row>
    <row r="77" spans="1:4" ht="16">
      <c r="A77" s="19" t="s">
        <v>1438</v>
      </c>
      <c r="B77" s="20" t="s">
        <v>5019</v>
      </c>
      <c r="C77" s="149" t="s">
        <v>1109</v>
      </c>
      <c r="D77" s="20" t="s">
        <v>1807</v>
      </c>
    </row>
    <row r="78" spans="1:4" ht="16">
      <c r="A78" s="19" t="s">
        <v>1454</v>
      </c>
      <c r="B78" s="20" t="s">
        <v>1455</v>
      </c>
      <c r="C78" s="149" t="s">
        <v>1109</v>
      </c>
      <c r="D78" s="20" t="s">
        <v>1807</v>
      </c>
    </row>
    <row r="79" spans="1:4" ht="16">
      <c r="A79" s="19" t="s">
        <v>940</v>
      </c>
      <c r="B79" s="20" t="s">
        <v>1464</v>
      </c>
      <c r="C79" s="149" t="s">
        <v>1109</v>
      </c>
      <c r="D79" s="20" t="s">
        <v>1807</v>
      </c>
    </row>
    <row r="80" spans="1:4" ht="32">
      <c r="A80" s="19" t="s">
        <v>1458</v>
      </c>
      <c r="B80" s="20" t="s">
        <v>5023</v>
      </c>
      <c r="C80" s="149" t="s">
        <v>1109</v>
      </c>
      <c r="D80" s="20" t="s">
        <v>1807</v>
      </c>
    </row>
    <row r="81" spans="1:4" ht="16">
      <c r="A81" s="19" t="s">
        <v>1459</v>
      </c>
      <c r="B81" s="20" t="s">
        <v>1460</v>
      </c>
      <c r="C81" s="149" t="s">
        <v>1109</v>
      </c>
      <c r="D81" s="20" t="s">
        <v>1807</v>
      </c>
    </row>
    <row r="82" spans="1:4" ht="16">
      <c r="A82" s="19" t="s">
        <v>1530</v>
      </c>
      <c r="B82" s="20" t="s">
        <v>5032</v>
      </c>
      <c r="C82" s="149" t="s">
        <v>1109</v>
      </c>
      <c r="D82" s="20" t="s">
        <v>1807</v>
      </c>
    </row>
    <row r="83" spans="1:4" ht="32">
      <c r="A83" s="19" t="s">
        <v>5038</v>
      </c>
      <c r="B83" s="20" t="s">
        <v>5040</v>
      </c>
      <c r="C83" s="149" t="s">
        <v>1109</v>
      </c>
      <c r="D83" s="20" t="s">
        <v>1807</v>
      </c>
    </row>
    <row r="84" spans="1:4" ht="32">
      <c r="A84" s="19" t="s">
        <v>916</v>
      </c>
      <c r="B84" s="20" t="s">
        <v>5021</v>
      </c>
      <c r="C84" s="149" t="s">
        <v>1109</v>
      </c>
      <c r="D84" s="20" t="s">
        <v>1807</v>
      </c>
    </row>
    <row r="85" spans="1:4" ht="32">
      <c r="A85" s="19" t="s">
        <v>1457</v>
      </c>
      <c r="B85" s="20" t="s">
        <v>5022</v>
      </c>
      <c r="C85" s="149" t="s">
        <v>1109</v>
      </c>
      <c r="D85" s="20" t="s">
        <v>1807</v>
      </c>
    </row>
    <row r="86" spans="1:4" ht="16">
      <c r="A86" s="19" t="s">
        <v>1442</v>
      </c>
      <c r="B86" s="20" t="s">
        <v>5025</v>
      </c>
      <c r="C86" s="149" t="s">
        <v>1109</v>
      </c>
      <c r="D86" s="20" t="s">
        <v>1807</v>
      </c>
    </row>
    <row r="87" spans="1:4" ht="32">
      <c r="A87" s="19" t="s">
        <v>1461</v>
      </c>
      <c r="B87" s="20" t="s">
        <v>5026</v>
      </c>
      <c r="C87" s="149" t="s">
        <v>1109</v>
      </c>
      <c r="D87" s="20" t="s">
        <v>1807</v>
      </c>
    </row>
    <row r="88" spans="1:4" ht="16">
      <c r="A88" s="19" t="s">
        <v>1462</v>
      </c>
      <c r="B88" s="20" t="s">
        <v>5027</v>
      </c>
      <c r="C88" s="149" t="s">
        <v>1109</v>
      </c>
      <c r="D88" s="20" t="s">
        <v>1807</v>
      </c>
    </row>
    <row r="89" spans="1:4" ht="64">
      <c r="A89" s="19" t="s">
        <v>1463</v>
      </c>
      <c r="B89" s="20" t="s">
        <v>5030</v>
      </c>
      <c r="C89" s="149" t="s">
        <v>1109</v>
      </c>
      <c r="D89" s="20" t="s">
        <v>1807</v>
      </c>
    </row>
    <row r="90" spans="1:4" ht="32">
      <c r="A90" s="19" t="s">
        <v>5078</v>
      </c>
      <c r="B90" s="20" t="s">
        <v>5033</v>
      </c>
      <c r="C90" s="149" t="s">
        <v>1109</v>
      </c>
      <c r="D90" s="20" t="s">
        <v>1807</v>
      </c>
    </row>
    <row r="91" spans="1:4" ht="16">
      <c r="A91" s="19" t="s">
        <v>172</v>
      </c>
      <c r="B91" s="20" t="s">
        <v>5034</v>
      </c>
      <c r="C91" s="149" t="s">
        <v>1109</v>
      </c>
      <c r="D91" s="20" t="s">
        <v>1807</v>
      </c>
    </row>
    <row r="92" spans="1:4" ht="16">
      <c r="A92" s="19" t="s">
        <v>173</v>
      </c>
      <c r="B92" s="20" t="s">
        <v>5035</v>
      </c>
      <c r="C92" s="149" t="s">
        <v>1109</v>
      </c>
      <c r="D92" s="20" t="s">
        <v>1807</v>
      </c>
    </row>
    <row r="93" spans="1:4" ht="16">
      <c r="A93" s="19" t="s">
        <v>174</v>
      </c>
      <c r="B93" s="20" t="s">
        <v>5036</v>
      </c>
      <c r="C93" s="149" t="s">
        <v>1109</v>
      </c>
      <c r="D93" s="20" t="s">
        <v>1807</v>
      </c>
    </row>
    <row r="94" spans="1:4" ht="16">
      <c r="A94" s="19" t="s">
        <v>5045</v>
      </c>
      <c r="B94" s="20" t="s">
        <v>5044</v>
      </c>
      <c r="C94" s="149" t="s">
        <v>1109</v>
      </c>
      <c r="D94" s="20" t="s">
        <v>1807</v>
      </c>
    </row>
    <row r="95" spans="1:4" ht="16">
      <c r="A95" s="19" t="s">
        <v>5053</v>
      </c>
      <c r="B95" s="20" t="s">
        <v>5054</v>
      </c>
      <c r="C95" s="149" t="s">
        <v>1109</v>
      </c>
      <c r="D95" s="20" t="s">
        <v>1807</v>
      </c>
    </row>
    <row r="96" spans="1:4" ht="16">
      <c r="A96" s="19" t="s">
        <v>1465</v>
      </c>
      <c r="B96" s="20" t="s">
        <v>5024</v>
      </c>
      <c r="C96" s="149" t="s">
        <v>1109</v>
      </c>
      <c r="D96" s="20" t="s">
        <v>1807</v>
      </c>
    </row>
    <row r="97" spans="1:4" ht="16">
      <c r="A97" s="19" t="s">
        <v>1445</v>
      </c>
      <c r="B97" s="20" t="s">
        <v>5015</v>
      </c>
      <c r="C97" s="149" t="s">
        <v>1109</v>
      </c>
      <c r="D97" s="20" t="s">
        <v>1807</v>
      </c>
    </row>
    <row r="98" spans="1:4" ht="16">
      <c r="A98" s="19" t="s">
        <v>5029</v>
      </c>
      <c r="B98" s="20" t="s">
        <v>5028</v>
      </c>
      <c r="C98" s="149" t="s">
        <v>1109</v>
      </c>
      <c r="D98" s="20" t="s">
        <v>1807</v>
      </c>
    </row>
    <row r="99" spans="1:4" ht="48">
      <c r="A99" s="19" t="s">
        <v>119</v>
      </c>
      <c r="B99" s="20" t="s">
        <v>5031</v>
      </c>
      <c r="C99" s="149" t="s">
        <v>1109</v>
      </c>
      <c r="D99" s="20" t="s">
        <v>1807</v>
      </c>
    </row>
    <row r="100" spans="1:4" ht="32">
      <c r="A100" s="19" t="s">
        <v>1529</v>
      </c>
      <c r="B100" s="20" t="s">
        <v>5037</v>
      </c>
      <c r="C100" s="149" t="s">
        <v>1109</v>
      </c>
      <c r="D100" s="20" t="s">
        <v>1807</v>
      </c>
    </row>
    <row r="101" spans="1:4" ht="16">
      <c r="A101" s="19" t="s">
        <v>5042</v>
      </c>
      <c r="B101" s="20" t="s">
        <v>5041</v>
      </c>
      <c r="C101" s="149" t="s">
        <v>1109</v>
      </c>
      <c r="D101" s="20" t="s">
        <v>1807</v>
      </c>
    </row>
    <row r="102" spans="1:4" ht="32">
      <c r="A102" s="19" t="s">
        <v>5052</v>
      </c>
      <c r="B102" s="20" t="s">
        <v>5043</v>
      </c>
      <c r="C102" s="149" t="s">
        <v>1109</v>
      </c>
      <c r="D102" s="20" t="s">
        <v>1807</v>
      </c>
    </row>
    <row r="103" spans="1:4" ht="48">
      <c r="A103" s="19" t="s">
        <v>788</v>
      </c>
      <c r="B103" s="20" t="s">
        <v>5047</v>
      </c>
      <c r="C103" s="149" t="s">
        <v>1109</v>
      </c>
      <c r="D103" s="20" t="s">
        <v>1807</v>
      </c>
    </row>
    <row r="104" spans="1:4" ht="16">
      <c r="A104" s="19" t="s">
        <v>5048</v>
      </c>
      <c r="B104" s="20" t="s">
        <v>5049</v>
      </c>
      <c r="C104" s="149" t="s">
        <v>1109</v>
      </c>
      <c r="D104" s="20" t="s">
        <v>1807</v>
      </c>
    </row>
    <row r="105" spans="1:4" ht="32">
      <c r="A105" s="19" t="s">
        <v>5050</v>
      </c>
      <c r="B105" s="20" t="s">
        <v>5051</v>
      </c>
      <c r="C105" s="149" t="s">
        <v>1109</v>
      </c>
      <c r="D105" s="20" t="s">
        <v>1807</v>
      </c>
    </row>
    <row r="106" spans="1:4" ht="32">
      <c r="A106" s="19" t="s">
        <v>5056</v>
      </c>
      <c r="B106" s="20" t="s">
        <v>5055</v>
      </c>
      <c r="C106" s="149" t="s">
        <v>1109</v>
      </c>
      <c r="D106" s="20" t="s">
        <v>1807</v>
      </c>
    </row>
    <row r="107" spans="1:4" ht="32">
      <c r="A107" s="19" t="s">
        <v>5057</v>
      </c>
      <c r="B107" s="20" t="s">
        <v>5058</v>
      </c>
      <c r="C107" s="149" t="s">
        <v>1109</v>
      </c>
      <c r="D107" s="20" t="s">
        <v>1807</v>
      </c>
    </row>
    <row r="108" spans="1:4" ht="32">
      <c r="A108" s="19" t="s">
        <v>5059</v>
      </c>
      <c r="B108" s="20" t="s">
        <v>5060</v>
      </c>
      <c r="C108" s="149" t="s">
        <v>1109</v>
      </c>
      <c r="D108" s="20" t="s">
        <v>1807</v>
      </c>
    </row>
    <row r="109" spans="1:4" ht="16">
      <c r="A109" s="19" t="s">
        <v>5077</v>
      </c>
      <c r="B109" s="20" t="s">
        <v>5061</v>
      </c>
      <c r="C109" s="149" t="s">
        <v>1109</v>
      </c>
      <c r="D109" s="20" t="s">
        <v>1807</v>
      </c>
    </row>
    <row r="110" spans="1:4" ht="32">
      <c r="A110" s="19" t="s">
        <v>5062</v>
      </c>
      <c r="B110" s="20" t="s">
        <v>5063</v>
      </c>
      <c r="C110" s="149" t="s">
        <v>1109</v>
      </c>
      <c r="D110" s="20" t="s">
        <v>1807</v>
      </c>
    </row>
    <row r="111" spans="1:4" ht="32">
      <c r="A111" s="19" t="s">
        <v>5064</v>
      </c>
      <c r="B111" s="20" t="s">
        <v>5065</v>
      </c>
      <c r="C111" s="149" t="s">
        <v>1109</v>
      </c>
      <c r="D111" s="20" t="s">
        <v>1807</v>
      </c>
    </row>
    <row r="112" spans="1:4" ht="16">
      <c r="A112" s="19" t="s">
        <v>5066</v>
      </c>
      <c r="B112" s="20" t="s">
        <v>5067</v>
      </c>
      <c r="C112" s="149" t="s">
        <v>1109</v>
      </c>
      <c r="D112" s="20" t="s">
        <v>1807</v>
      </c>
    </row>
    <row r="113" spans="1:4" ht="16">
      <c r="A113" s="19" t="s">
        <v>1447</v>
      </c>
      <c r="B113" s="20" t="s">
        <v>5016</v>
      </c>
      <c r="C113" s="149" t="s">
        <v>1109</v>
      </c>
      <c r="D113" s="20" t="s">
        <v>1807</v>
      </c>
    </row>
    <row r="114" spans="1:4" ht="32">
      <c r="A114" s="19" t="s">
        <v>407</v>
      </c>
      <c r="B114" s="20" t="s">
        <v>5079</v>
      </c>
      <c r="C114" s="149" t="s">
        <v>1109</v>
      </c>
      <c r="D114" s="20" t="s">
        <v>1807</v>
      </c>
    </row>
    <row r="115" spans="1:4" ht="32">
      <c r="A115" s="19" t="s">
        <v>408</v>
      </c>
      <c r="B115" s="20" t="s">
        <v>5080</v>
      </c>
      <c r="C115" s="149" t="s">
        <v>1109</v>
      </c>
      <c r="D115" s="20" t="s">
        <v>1807</v>
      </c>
    </row>
  </sheetData>
  <autoFilter ref="A1:D1" xr:uid="{00000000-0001-0000-0C00-000000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dimension ref="B3:M32"/>
  <sheetViews>
    <sheetView showGridLines="0" workbookViewId="0">
      <selection activeCell="L11" sqref="L11"/>
    </sheetView>
  </sheetViews>
  <sheetFormatPr baseColWidth="10" defaultColWidth="8.6640625" defaultRowHeight="14"/>
  <cols>
    <col min="1" max="1" width="8.6640625" style="53"/>
    <col min="2" max="2" width="16.1640625" style="53" customWidth="1"/>
    <col min="3" max="3" width="4.5" style="56" bestFit="1" customWidth="1"/>
    <col min="4" max="4" width="4.5" style="56" customWidth="1"/>
    <col min="5" max="6" width="4.33203125" style="57" customWidth="1"/>
    <col min="7" max="7" width="8.1640625" style="53" customWidth="1"/>
    <col min="8" max="8" width="0.5" style="53" customWidth="1"/>
    <col min="9" max="10" width="8.1640625" style="53" customWidth="1"/>
    <col min="11" max="16384" width="8.6640625" style="53"/>
  </cols>
  <sheetData>
    <row r="3" spans="2:13">
      <c r="B3" s="59" t="e">
        <f>VLOOKUP(C3,'Eventos (Old)'!A:B,2,0)</f>
        <v>#N/A</v>
      </c>
      <c r="C3" s="55">
        <v>44</v>
      </c>
      <c r="D3" s="55"/>
      <c r="E3" s="59" t="e">
        <f>CONCATENATE("#"," - ",B3)</f>
        <v>#N/A</v>
      </c>
      <c r="F3" s="59"/>
      <c r="K3" s="53" t="e">
        <f>VLOOKUP(C3,'Eventos (Old)'!A:B,5,0)</f>
        <v>#N/A</v>
      </c>
    </row>
    <row r="4" spans="2:13" ht="6.5" customHeight="1">
      <c r="E4" s="58"/>
      <c r="F4" s="58"/>
    </row>
    <row r="5" spans="2:13" ht="16" customHeight="1">
      <c r="E5" s="58"/>
      <c r="F5" s="58"/>
    </row>
    <row r="6" spans="2:13" ht="16" customHeight="1">
      <c r="E6" s="58"/>
      <c r="F6" s="58"/>
      <c r="J6" s="64"/>
      <c r="M6" s="54"/>
    </row>
    <row r="7" spans="2:13" ht="16" customHeight="1">
      <c r="E7" s="58"/>
      <c r="F7" s="58"/>
      <c r="J7" s="65"/>
      <c r="M7" s="54"/>
    </row>
    <row r="8" spans="2:13" ht="26" customHeight="1">
      <c r="E8" s="58"/>
      <c r="F8" s="58"/>
      <c r="J8" s="66"/>
      <c r="M8" s="54"/>
    </row>
    <row r="9" spans="2:13" ht="5.5" customHeight="1">
      <c r="E9" s="58"/>
      <c r="F9" s="58"/>
      <c r="I9" s="62"/>
      <c r="M9" s="54"/>
    </row>
    <row r="10" spans="2:13" ht="18" customHeight="1">
      <c r="E10" s="206" t="s">
        <v>771</v>
      </c>
      <c r="F10" s="207"/>
      <c r="G10" s="207"/>
      <c r="H10" s="207"/>
      <c r="I10" s="207"/>
      <c r="J10" s="208"/>
    </row>
    <row r="11" spans="2:13" ht="32" customHeight="1">
      <c r="E11" s="215" t="e">
        <f>VLOOKUP(C3,'Eventos (Old)'!A:B,3,0)</f>
        <v>#N/A</v>
      </c>
      <c r="F11" s="216"/>
      <c r="G11" s="216"/>
      <c r="H11" s="216"/>
      <c r="I11" s="216"/>
      <c r="J11" s="217"/>
    </row>
    <row r="12" spans="2:13" ht="3" customHeight="1">
      <c r="E12" s="218"/>
      <c r="F12" s="219"/>
      <c r="G12" s="219"/>
      <c r="H12" s="219"/>
      <c r="I12" s="219"/>
      <c r="J12" s="220"/>
    </row>
    <row r="13" spans="2:13" ht="18" customHeight="1">
      <c r="E13" s="218"/>
      <c r="F13" s="219"/>
      <c r="G13" s="219"/>
      <c r="H13" s="219"/>
      <c r="I13" s="219"/>
      <c r="J13" s="220"/>
    </row>
    <row r="14" spans="2:13" ht="16" customHeight="1">
      <c r="E14" s="218"/>
      <c r="F14" s="219"/>
      <c r="G14" s="219"/>
      <c r="H14" s="219"/>
      <c r="I14" s="219"/>
      <c r="J14" s="220"/>
    </row>
    <row r="15" spans="2:13" ht="18" customHeight="1">
      <c r="E15" s="218"/>
      <c r="F15" s="219"/>
      <c r="G15" s="219"/>
      <c r="H15" s="219"/>
      <c r="I15" s="219"/>
      <c r="J15" s="220"/>
    </row>
    <row r="16" spans="2:13" ht="16" customHeight="1">
      <c r="E16" s="221"/>
      <c r="F16" s="222"/>
      <c r="G16" s="222"/>
      <c r="H16" s="222"/>
      <c r="I16" s="222"/>
      <c r="J16" s="223"/>
    </row>
    <row r="17" spans="5:10" ht="3" customHeight="1">
      <c r="E17" s="58"/>
      <c r="F17" s="58"/>
    </row>
    <row r="18" spans="5:10" ht="18" customHeight="1">
      <c r="E18" s="224" t="e">
        <f>CONCATENATE((VLOOKUP(C3,'Eventos (Old)'!A:B,4,0)))</f>
        <v>#N/A</v>
      </c>
      <c r="F18" s="225"/>
      <c r="G18" s="225"/>
      <c r="H18" s="225"/>
      <c r="I18" s="225"/>
      <c r="J18" s="226"/>
    </row>
    <row r="19" spans="5:10" ht="18" customHeight="1">
      <c r="E19" s="227"/>
      <c r="F19" s="228"/>
      <c r="G19" s="228"/>
      <c r="H19" s="228"/>
      <c r="I19" s="228"/>
      <c r="J19" s="229"/>
    </row>
    <row r="29" spans="5:10" ht="14" customHeight="1"/>
    <row r="32" spans="5:10" ht="14" customHeight="1"/>
  </sheetData>
  <mergeCells count="3">
    <mergeCell ref="E10:J10"/>
    <mergeCell ref="E11:J16"/>
    <mergeCell ref="E18:J19"/>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B3:M32"/>
  <sheetViews>
    <sheetView showGridLines="0" workbookViewId="0">
      <selection activeCell="C4" sqref="C4"/>
    </sheetView>
  </sheetViews>
  <sheetFormatPr baseColWidth="10" defaultColWidth="8.6640625" defaultRowHeight="14"/>
  <cols>
    <col min="1" max="1" width="8.6640625" style="53"/>
    <col min="2" max="2" width="16.1640625" style="53" customWidth="1"/>
    <col min="3" max="3" width="4.5" style="56" bestFit="1" customWidth="1"/>
    <col min="4" max="4" width="4.5" style="56" customWidth="1"/>
    <col min="5" max="6" width="4.33203125" style="57" customWidth="1"/>
    <col min="7" max="7" width="8.1640625" style="53" customWidth="1"/>
    <col min="8" max="8" width="0.5" style="53" customWidth="1"/>
    <col min="9" max="10" width="8.1640625" style="53" customWidth="1"/>
    <col min="11" max="16384" width="8.6640625" style="53"/>
  </cols>
  <sheetData>
    <row r="3" spans="2:13">
      <c r="B3" s="59" t="e">
        <f>VLOOKUP(C3,#REF!,2,0)</f>
        <v>#REF!</v>
      </c>
      <c r="C3" s="55">
        <v>43</v>
      </c>
      <c r="D3" s="55"/>
      <c r="E3" s="59" t="e">
        <f>CONCATENATE("#"," - ",B3)</f>
        <v>#REF!</v>
      </c>
      <c r="F3" s="59"/>
      <c r="K3" s="53" t="e">
        <f>VLOOKUP(C3,#REF!,4,0)</f>
        <v>#REF!</v>
      </c>
    </row>
    <row r="4" spans="2:13" ht="6.5" customHeight="1">
      <c r="E4" s="58"/>
      <c r="F4" s="58"/>
    </row>
    <row r="5" spans="2:13" ht="16" customHeight="1">
      <c r="E5" s="58"/>
      <c r="F5" s="58"/>
    </row>
    <row r="6" spans="2:13" ht="16" customHeight="1">
      <c r="E6" s="58"/>
      <c r="F6" s="58"/>
      <c r="J6" s="64"/>
      <c r="M6" s="54"/>
    </row>
    <row r="7" spans="2:13" ht="16" customHeight="1">
      <c r="E7" s="58"/>
      <c r="F7" s="58"/>
      <c r="J7" s="65"/>
      <c r="M7" s="54"/>
    </row>
    <row r="8" spans="2:13" ht="26" customHeight="1">
      <c r="E8" s="58"/>
      <c r="F8" s="58"/>
      <c r="J8" s="66"/>
      <c r="M8" s="54"/>
    </row>
    <row r="9" spans="2:13" ht="5.5" customHeight="1">
      <c r="E9" s="58"/>
      <c r="F9" s="58"/>
      <c r="I9" s="62"/>
      <c r="M9" s="54"/>
    </row>
    <row r="10" spans="2:13" ht="18" customHeight="1"/>
    <row r="11" spans="2:13" ht="32" customHeight="1">
      <c r="E11" s="206" t="s">
        <v>771</v>
      </c>
      <c r="F11" s="207"/>
      <c r="G11" s="207"/>
      <c r="H11" s="207"/>
      <c r="I11" s="207"/>
      <c r="J11" s="208"/>
    </row>
    <row r="12" spans="2:13" ht="3" customHeight="1">
      <c r="E12" s="70"/>
      <c r="F12" s="70"/>
      <c r="G12" s="70"/>
      <c r="H12" s="70"/>
      <c r="I12" s="70"/>
      <c r="J12" s="70"/>
    </row>
    <row r="13" spans="2:13" ht="18" customHeight="1">
      <c r="E13" s="215" t="e">
        <f>VLOOKUP(C3,#REF!,3,0)</f>
        <v>#REF!</v>
      </c>
      <c r="F13" s="216"/>
      <c r="G13" s="216"/>
      <c r="H13" s="216"/>
      <c r="I13" s="216"/>
      <c r="J13" s="217"/>
    </row>
    <row r="14" spans="2:13" ht="16" customHeight="1">
      <c r="E14" s="218"/>
      <c r="F14" s="219"/>
      <c r="G14" s="219"/>
      <c r="H14" s="219"/>
      <c r="I14" s="219"/>
      <c r="J14" s="220"/>
    </row>
    <row r="15" spans="2:13" ht="18" customHeight="1">
      <c r="E15" s="218"/>
      <c r="F15" s="219"/>
      <c r="G15" s="219"/>
      <c r="H15" s="219"/>
      <c r="I15" s="219"/>
      <c r="J15" s="220"/>
    </row>
    <row r="16" spans="2:13" ht="16" customHeight="1">
      <c r="E16" s="218"/>
      <c r="F16" s="219"/>
      <c r="G16" s="219"/>
      <c r="H16" s="219"/>
      <c r="I16" s="219"/>
      <c r="J16" s="220"/>
    </row>
    <row r="17" spans="5:10" ht="3" customHeight="1">
      <c r="E17" s="218"/>
      <c r="F17" s="219"/>
      <c r="G17" s="219"/>
      <c r="H17" s="219"/>
      <c r="I17" s="219"/>
      <c r="J17" s="220"/>
    </row>
    <row r="18" spans="5:10" ht="18" customHeight="1">
      <c r="E18" s="218"/>
      <c r="F18" s="219"/>
      <c r="G18" s="219"/>
      <c r="H18" s="219"/>
      <c r="I18" s="219"/>
      <c r="J18" s="220"/>
    </row>
    <row r="19" spans="5:10" ht="18" customHeight="1">
      <c r="E19" s="221"/>
      <c r="F19" s="222"/>
      <c r="G19" s="222"/>
      <c r="H19" s="222"/>
      <c r="I19" s="222"/>
      <c r="J19" s="223"/>
    </row>
    <row r="29" spans="5:10" ht="14" customHeight="1"/>
    <row r="32" spans="5:10" ht="14" customHeight="1"/>
  </sheetData>
  <mergeCells count="2">
    <mergeCell ref="E11:J11"/>
    <mergeCell ref="E13:J19"/>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B3:C13"/>
  <sheetViews>
    <sheetView workbookViewId="0">
      <selection activeCell="C13" sqref="C13"/>
    </sheetView>
  </sheetViews>
  <sheetFormatPr baseColWidth="10" defaultColWidth="8.83203125" defaultRowHeight="15"/>
  <cols>
    <col min="2" max="2" width="17.5" style="5" customWidth="1"/>
    <col min="3" max="3" width="66.6640625" style="6" customWidth="1"/>
  </cols>
  <sheetData>
    <row r="3" spans="2:3" ht="96">
      <c r="B3" s="5" t="s">
        <v>864</v>
      </c>
      <c r="C3" s="6" t="s">
        <v>865</v>
      </c>
    </row>
    <row r="4" spans="2:3" ht="16">
      <c r="B4" s="5" t="s">
        <v>927</v>
      </c>
      <c r="C4" s="6" t="s">
        <v>928</v>
      </c>
    </row>
    <row r="5" spans="2:3" ht="112">
      <c r="B5" s="5" t="s">
        <v>932</v>
      </c>
      <c r="C5" s="6" t="s">
        <v>941</v>
      </c>
    </row>
    <row r="6" spans="2:3" ht="240">
      <c r="B6" s="5" t="s">
        <v>863</v>
      </c>
      <c r="C6" s="6" t="s">
        <v>933</v>
      </c>
    </row>
    <row r="7" spans="2:3" ht="16">
      <c r="B7" s="5" t="s">
        <v>934</v>
      </c>
      <c r="C7" s="6" t="s">
        <v>935</v>
      </c>
    </row>
    <row r="8" spans="2:3" ht="16">
      <c r="B8" s="5" t="s">
        <v>2142</v>
      </c>
      <c r="C8" s="6" t="s">
        <v>2716</v>
      </c>
    </row>
    <row r="11" spans="2:3" ht="144">
      <c r="B11" s="5" t="s">
        <v>2034</v>
      </c>
      <c r="C11" s="6" t="s">
        <v>2038</v>
      </c>
    </row>
    <row r="13" spans="2:3" ht="96">
      <c r="B13" s="5" t="s">
        <v>4484</v>
      </c>
      <c r="C13" s="6" t="s">
        <v>4486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29</vt:i4>
      </vt:variant>
    </vt:vector>
  </HeadingPairs>
  <TitlesOfParts>
    <vt:vector size="29" baseType="lpstr">
      <vt:lpstr>pokemon</vt:lpstr>
      <vt:lpstr>PKMN BULBAP</vt:lpstr>
      <vt:lpstr>Evolution Special</vt:lpstr>
      <vt:lpstr>Breed</vt:lpstr>
      <vt:lpstr>Pokemon Db</vt:lpstr>
      <vt:lpstr>Analisis lideres</vt:lpstr>
      <vt:lpstr>Pokemon Data</vt:lpstr>
      <vt:lpstr>Hatch</vt:lpstr>
      <vt:lpstr>Hoja3</vt:lpstr>
      <vt:lpstr>LP Cost x Team</vt:lpstr>
      <vt:lpstr>Pokedex</vt:lpstr>
      <vt:lpstr>Evolution</vt:lpstr>
      <vt:lpstr>Habilidades</vt:lpstr>
      <vt:lpstr>Moves</vt:lpstr>
      <vt:lpstr>Movimientos</vt:lpstr>
      <vt:lpstr>Habs</vt:lpstr>
      <vt:lpstr>MISC</vt:lpstr>
      <vt:lpstr>Status</vt:lpstr>
      <vt:lpstr>Estados</vt:lpstr>
      <vt:lpstr>STR-WEAK</vt:lpstr>
      <vt:lpstr>STR-WEAK OFFICIAL</vt:lpstr>
      <vt:lpstr>Kanto Locations</vt:lpstr>
      <vt:lpstr>Locations (%)</vt:lpstr>
      <vt:lpstr>Consumable Items</vt:lpstr>
      <vt:lpstr>Itemdex</vt:lpstr>
      <vt:lpstr>Eventos (Old)</vt:lpstr>
      <vt:lpstr>Key Itemdex</vt:lpstr>
      <vt:lpstr>Eventdex</vt:lpstr>
      <vt:lpstr>Reglas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Miquel Pujol Pradillos</dc:creator>
  <cp:lastModifiedBy>Josep Miquel Pujol Pradillos</cp:lastModifiedBy>
  <dcterms:created xsi:type="dcterms:W3CDTF">2021-06-05T15:59:30Z</dcterms:created>
  <dcterms:modified xsi:type="dcterms:W3CDTF">2026-09-08T20:49:44Z</dcterms:modified>
</cp:coreProperties>
</file>